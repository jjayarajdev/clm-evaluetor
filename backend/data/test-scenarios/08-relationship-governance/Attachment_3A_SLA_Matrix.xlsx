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Page" sheetId="1" state="visible" r:id="rId1"/>
    <sheet xmlns:r="http://schemas.openxmlformats.org/officeDocument/2006/relationships" name="CD Critical Service Levels" sheetId="2" state="visible" r:id="rId2"/>
    <sheet xmlns:r="http://schemas.openxmlformats.org/officeDocument/2006/relationships" name="Critical Service Levels" sheetId="3" state="visible" r:id="rId3"/>
    <sheet xmlns:r="http://schemas.openxmlformats.org/officeDocument/2006/relationships" name="Key Measurements" sheetId="4" state="visible" r:id="rId4"/>
    <sheet xmlns:r="http://schemas.openxmlformats.org/officeDocument/2006/relationships" name="Critical Deliverables" sheetId="5" state="visible" r:id="rId5"/>
  </sheets>
  <definedNames>
    <definedName name="Baseline" hidden="0" function="0" vbProcedure="0">#REF!</definedName>
    <definedName name="_xlnm.Print_Area" localSheetId="0">'Title Page'!$A$1:$C$10</definedName>
    <definedName name="_xlnm.Print_Area" localSheetId="1">'CD Critical Service Levels'!$B$2:$K$61</definedName>
    <definedName name="_Toc135020313" localSheetId="2" hidden="0" function="0" vbProcedure="0">'Critical Service Levels'!$D$62</definedName>
    <definedName name="_xlnm.Print_Area" localSheetId="2">'Critical Service Levels'!$B$2:$K$209</definedName>
    <definedName name="_xlnm.Print_Area" localSheetId="3">'Key Measurements'!$C$3:$H$129</definedName>
    <definedName name="_Toc104717192" localSheetId="4" hidden="0" function="0" vbProcedure="0">'Critical Deliverables'!$C$6</definedName>
    <definedName name="_xlnm.Print_Area" localSheetId="4">'Critical Deliverables'!$B$1:$I$18</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0.0%"/>
    <numFmt numFmtId="165" formatCode="\$#,##0_);[RED]&quot;($&quot;#,##0\)"/>
  </numFmts>
  <fonts count="24">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b val="1"/>
      <i val="1"/>
      <sz val="16"/>
    </font>
    <font>
      <name val="Arial"/>
      <family val="2"/>
      <sz val="10"/>
    </font>
    <font>
      <name val="Arial"/>
      <family val="2"/>
      <sz val="8"/>
    </font>
    <font>
      <name val="Arial"/>
      <family val="2"/>
      <color rgb="FFFF0000"/>
      <sz val="10"/>
    </font>
    <font>
      <name val="Arial"/>
      <family val="2"/>
      <b val="1"/>
      <sz val="9"/>
    </font>
    <font>
      <name val="Arial"/>
      <family val="2"/>
      <b val="1"/>
      <sz val="10"/>
    </font>
    <font>
      <name val="Arial"/>
      <family val="2"/>
      <b val="1"/>
      <sz val="11"/>
    </font>
    <font>
      <name val="Times New Roman"/>
      <family val="1"/>
      <b val="1"/>
      <sz val="11"/>
    </font>
    <font>
      <name val="Arial"/>
      <family val="2"/>
      <sz val="9"/>
    </font>
    <font>
      <name val="Times New Roman"/>
      <family val="1"/>
      <b val="1"/>
      <sz val="10"/>
    </font>
    <font>
      <name val="Times New Roman"/>
      <family val="1"/>
      <sz val="10"/>
    </font>
    <font>
      <name val="Arial"/>
      <family val="2"/>
      <b val="1"/>
      <sz val="8"/>
    </font>
    <font>
      <name val="Arial"/>
      <family val="2"/>
      <b val="1"/>
      <color rgb="FF000000"/>
      <sz val="10"/>
    </font>
    <font>
      <name val="Arial"/>
      <family val="2"/>
      <color rgb="FF000000"/>
      <sz val="10"/>
    </font>
    <font>
      <name val="Arial"/>
      <family val="2"/>
      <b val="1"/>
      <sz val="12"/>
    </font>
    <font>
      <name val="Times New Roman"/>
      <family val="1"/>
      <sz val="8"/>
    </font>
    <font>
      <name val="Times New Roman"/>
      <family val="1"/>
      <b val="1"/>
      <sz val="14"/>
    </font>
    <font>
      <name val="Times New Roman"/>
      <family val="1"/>
      <sz val="14"/>
    </font>
    <font>
      <name val="Times New Roman"/>
      <family val="1"/>
      <sz val="11"/>
    </font>
  </fonts>
  <fills count="5">
    <fill>
      <patternFill/>
    </fill>
    <fill>
      <patternFill patternType="gray125"/>
    </fill>
    <fill>
      <patternFill patternType="solid">
        <fgColor rgb="FFCCFFCC"/>
        <bgColor rgb="FFCCFFFF"/>
      </patternFill>
    </fill>
    <fill>
      <patternFill patternType="solid">
        <fgColor rgb="FFFFFF99"/>
        <bgColor rgb="FFFFFFCC"/>
      </patternFill>
    </fill>
    <fill>
      <patternFill patternType="solid">
        <fgColor rgb="FFA6CAF0"/>
        <bgColor rgb="FFCCCCFF"/>
      </patternFill>
    </fill>
  </fills>
  <borders count="31">
    <border>
      <left/>
      <right/>
      <top/>
      <bottom/>
      <diagonal/>
    </border>
    <border>
      <left style="double"/>
      <right/>
      <top style="double"/>
      <bottom/>
      <diagonal/>
    </border>
    <border>
      <left/>
      <right/>
      <top style="double"/>
      <bottom/>
      <diagonal/>
    </border>
    <border>
      <left/>
      <right style="thin"/>
      <top style="double"/>
      <bottom/>
      <diagonal/>
    </border>
    <border>
      <left/>
      <right style="double"/>
      <top style="double"/>
      <bottom/>
      <diagonal/>
    </border>
    <border>
      <left style="double"/>
      <right/>
      <top/>
      <bottom/>
      <diagonal/>
    </border>
    <border>
      <left/>
      <right style="thin"/>
      <top/>
      <bottom/>
      <diagonal/>
    </border>
    <border>
      <left/>
      <right style="double"/>
      <top/>
      <bottom/>
      <diagonal/>
    </border>
    <border>
      <left style="double"/>
      <right/>
      <top/>
      <bottom style="double"/>
      <diagonal/>
    </border>
    <border>
      <left/>
      <right/>
      <top/>
      <bottom style="double"/>
      <diagonal/>
    </border>
    <border>
      <left/>
      <right style="thin"/>
      <top/>
      <bottom style="double"/>
      <diagonal/>
    </border>
    <border>
      <left/>
      <right style="double"/>
      <top/>
      <bottom style="double"/>
      <diagonal/>
    </border>
    <border>
      <left/>
      <right/>
      <top style="double"/>
      <bottom style="double"/>
      <diagonal/>
    </border>
    <border>
      <left style="double"/>
      <right/>
      <top style="double"/>
      <bottom style="thin"/>
      <diagonal/>
    </border>
    <border>
      <left/>
      <right/>
      <top/>
      <bottom style="thin"/>
      <diagonal/>
    </border>
    <border>
      <left style="thin"/>
      <right style="thin"/>
      <top/>
      <bottom/>
      <diagonal/>
    </border>
    <border>
      <left style="thin"/>
      <right style="double"/>
      <top style="double"/>
      <bottom/>
      <diagonal/>
    </border>
    <border>
      <left style="double"/>
      <right/>
      <top style="thin"/>
      <bottom style="double"/>
      <diagonal/>
    </border>
    <border>
      <left style="thin"/>
      <right style="thin"/>
      <top style="thin"/>
      <bottom style="double"/>
      <diagonal/>
    </border>
    <border>
      <left style="thin"/>
      <right style="thin"/>
      <top/>
      <bottom style="double"/>
      <diagonal/>
    </border>
    <border>
      <left style="thin"/>
      <right style="double"/>
      <top/>
      <bottom style="double"/>
      <diagonal/>
    </border>
    <border>
      <left style="thin"/>
      <right style="double"/>
      <top/>
      <bottom/>
      <diagonal/>
    </border>
    <border>
      <left style="thin"/>
      <right/>
      <top style="thin"/>
      <bottom/>
      <diagonal/>
    </border>
    <border>
      <left style="thin"/>
      <right style="thin"/>
      <top style="thin"/>
      <bottom/>
      <diagonal/>
    </border>
    <border>
      <left/>
      <right style="thin"/>
      <top style="thin"/>
      <bottom/>
      <diagonal/>
    </border>
    <border>
      <left style="thin"/>
      <right/>
      <top/>
      <bottom style="thin"/>
      <diagonal/>
    </border>
    <border>
      <left style="thin"/>
      <right style="thin"/>
      <top/>
      <bottom style="thin"/>
      <diagonal/>
    </border>
    <border>
      <left/>
      <right style="thin"/>
      <top/>
      <bottom style="thin"/>
      <diagonal/>
    </border>
    <border>
      <left/>
      <right/>
      <top style="double"/>
      <bottom style="thin"/>
      <diagonal/>
    </border>
    <border>
      <left/>
      <right/>
      <top style="thin"/>
      <bottom/>
      <diagonal/>
    </border>
    <border>
      <left/>
      <right/>
      <top style="thin"/>
      <bottom style="double"/>
      <diagonal/>
    </border>
  </borders>
  <cellStyleXfs count="8">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applyAlignment="1">
      <alignment horizontal="general" vertical="bottom"/>
    </xf>
    <xf numFmtId="0" fontId="3" fillId="0" borderId="0" applyAlignment="1">
      <alignment horizontal="general" vertical="bottom"/>
    </xf>
    <xf numFmtId="0" fontId="3" fillId="0" borderId="0" applyAlignment="1">
      <alignment horizontal="general" vertical="bottom"/>
    </xf>
  </cellStyleXfs>
  <cellXfs count="29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6" fillId="0" borderId="0" applyAlignment="1" pivotButton="0" quotePrefix="0" xfId="0">
      <alignment horizontal="general" vertical="top"/>
    </xf>
    <xf numFmtId="0" fontId="6" fillId="0" borderId="0" applyAlignment="1" pivotButton="0" quotePrefix="0" xfId="0">
      <alignment horizontal="center" vertical="top"/>
    </xf>
    <xf numFmtId="0" fontId="7" fillId="0" borderId="0" applyAlignment="1" pivotButton="0" quotePrefix="0" xfId="0">
      <alignment horizontal="center" vertical="top"/>
    </xf>
    <xf numFmtId="0" fontId="6" fillId="0" borderId="0" applyAlignment="1" pivotButton="0" quotePrefix="0" xfId="0">
      <alignment horizontal="general" vertical="top" wrapText="1"/>
    </xf>
    <xf numFmtId="0" fontId="6" fillId="0" borderId="0" applyAlignment="1" pivotButton="0" quotePrefix="0" xfId="0">
      <alignment horizontal="center" vertical="top"/>
    </xf>
    <xf numFmtId="0" fontId="6" fillId="0" borderId="0" applyAlignment="1" pivotButton="0" quotePrefix="0" xfId="0">
      <alignment horizontal="center" vertical="top" wrapText="1"/>
    </xf>
    <xf numFmtId="0" fontId="8"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2" borderId="1" applyAlignment="1" pivotButton="0" quotePrefix="0" xfId="0">
      <alignment horizontal="general" vertical="top"/>
    </xf>
    <xf numFmtId="0" fontId="9" fillId="2" borderId="2" applyAlignment="1" pivotButton="0" quotePrefix="0" xfId="0">
      <alignment horizontal="center" vertical="top"/>
    </xf>
    <xf numFmtId="0" fontId="10" fillId="2" borderId="2" applyAlignment="1" pivotButton="0" quotePrefix="0" xfId="0">
      <alignment horizontal="center" vertical="top"/>
    </xf>
    <xf numFmtId="9" fontId="10" fillId="2" borderId="3" applyAlignment="1" pivotButton="0" quotePrefix="0" xfId="0">
      <alignment horizontal="center" vertical="top"/>
    </xf>
    <xf numFmtId="0" fontId="10" fillId="2" borderId="2" applyAlignment="1" pivotButton="0" quotePrefix="0" xfId="0">
      <alignment horizontal="center" vertical="top" wrapText="1"/>
    </xf>
    <xf numFmtId="9" fontId="10" fillId="2" borderId="4" applyAlignment="1" pivotButton="0" quotePrefix="0" xfId="0">
      <alignment horizontal="center" vertical="top"/>
    </xf>
    <xf numFmtId="9" fontId="6" fillId="0" borderId="0" applyAlignment="1" pivotButton="0" quotePrefix="0" xfId="0">
      <alignment horizontal="left" vertical="top"/>
    </xf>
    <xf numFmtId="9" fontId="6" fillId="0" borderId="0" applyAlignment="1" pivotButton="0" quotePrefix="0" xfId="0">
      <alignment horizontal="center" vertical="top"/>
    </xf>
    <xf numFmtId="0" fontId="10" fillId="2" borderId="5" applyAlignment="1" pivotButton="0" quotePrefix="0" xfId="0">
      <alignment horizontal="general" vertical="top"/>
    </xf>
    <xf numFmtId="0" fontId="10" fillId="2" borderId="0" applyAlignment="1" pivotButton="0" quotePrefix="0" xfId="0">
      <alignment horizontal="center" vertical="top"/>
    </xf>
    <xf numFmtId="9" fontId="10" fillId="2" borderId="6" applyAlignment="1" pivotButton="0" quotePrefix="0" xfId="0">
      <alignment horizontal="center" vertical="top"/>
    </xf>
    <xf numFmtId="0" fontId="10" fillId="2" borderId="0" applyAlignment="1" pivotButton="0" quotePrefix="0" xfId="0">
      <alignment horizontal="center" vertical="top" wrapText="1"/>
    </xf>
    <xf numFmtId="9" fontId="10" fillId="2" borderId="7" applyAlignment="1" pivotButton="0" quotePrefix="0" xfId="0">
      <alignment horizontal="center" vertical="top"/>
    </xf>
    <xf numFmtId="0" fontId="6" fillId="0" borderId="0" applyAlignment="1" pivotButton="0" quotePrefix="0" xfId="0">
      <alignment horizontal="center" vertical="bottom" wrapText="1"/>
    </xf>
    <xf numFmtId="0" fontId="10" fillId="2" borderId="8" applyAlignment="1" pivotButton="0" quotePrefix="0" xfId="0">
      <alignment horizontal="general" vertical="top"/>
    </xf>
    <xf numFmtId="0" fontId="10" fillId="2" borderId="9" applyAlignment="1" pivotButton="0" quotePrefix="0" xfId="0">
      <alignment horizontal="center" vertical="top"/>
    </xf>
    <xf numFmtId="9" fontId="10" fillId="2" borderId="10" applyAlignment="1" pivotButton="0" quotePrefix="0" xfId="0">
      <alignment horizontal="center" vertical="top"/>
    </xf>
    <xf numFmtId="0" fontId="10" fillId="2" borderId="9" applyAlignment="1" pivotButton="0" quotePrefix="0" xfId="0">
      <alignment horizontal="center" vertical="top" wrapText="1"/>
    </xf>
    <xf numFmtId="9" fontId="10" fillId="2" borderId="11" applyAlignment="1" pivotButton="0" quotePrefix="0" xfId="0">
      <alignment horizontal="center" vertical="top"/>
    </xf>
    <xf numFmtId="0" fontId="6" fillId="0" borderId="0" applyAlignment="1" pivotButton="0" quotePrefix="0" xfId="0">
      <alignment horizontal="general" vertical="top"/>
    </xf>
    <xf numFmtId="0" fontId="6" fillId="0" borderId="12" applyAlignment="1" pivotButton="0" quotePrefix="0" xfId="0">
      <alignment horizontal="general" vertical="top"/>
    </xf>
    <xf numFmtId="0" fontId="11" fillId="3" borderId="13" applyAlignment="1" pivotButton="0" quotePrefix="0" xfId="0">
      <alignment horizontal="center" vertical="top"/>
    </xf>
    <xf numFmtId="0" fontId="11" fillId="3" borderId="14" applyAlignment="1" pivotButton="0" quotePrefix="0" xfId="0">
      <alignment horizontal="center" vertical="bottom"/>
    </xf>
    <xf numFmtId="9" fontId="11" fillId="3" borderId="14" applyAlignment="1" pivotButton="0" quotePrefix="0" xfId="0">
      <alignment horizontal="center" vertical="bottom"/>
    </xf>
    <xf numFmtId="0" fontId="12" fillId="2" borderId="15" applyAlignment="1" pivotButton="0" quotePrefix="0" xfId="0">
      <alignment horizontal="center" vertical="bottom"/>
    </xf>
    <xf numFmtId="0" fontId="12" fillId="2" borderId="15" applyAlignment="1" pivotButton="0" quotePrefix="0" xfId="0">
      <alignment horizontal="general" vertical="bottom"/>
    </xf>
    <xf numFmtId="0" fontId="12" fillId="2" borderId="16" applyAlignment="1" pivotButton="0" quotePrefix="0" xfId="0">
      <alignment horizontal="center" vertical="bottom"/>
    </xf>
    <xf numFmtId="0" fontId="11" fillId="2" borderId="17" applyAlignment="1" pivotButton="0" quotePrefix="0" xfId="0">
      <alignment horizontal="center" vertical="top"/>
    </xf>
    <xf numFmtId="0" fontId="12" fillId="2" borderId="18" applyAlignment="1" pivotButton="0" quotePrefix="0" xfId="0">
      <alignment horizontal="center" vertical="bottom"/>
    </xf>
    <xf numFmtId="0" fontId="12" fillId="2" borderId="19" applyAlignment="1" pivotButton="0" quotePrefix="0" xfId="0">
      <alignment horizontal="center" vertical="bottom"/>
    </xf>
    <xf numFmtId="0" fontId="12" fillId="2" borderId="19" applyAlignment="1" pivotButton="0" quotePrefix="0" xfId="0">
      <alignment horizontal="general" vertical="bottom"/>
    </xf>
    <xf numFmtId="0" fontId="12" fillId="2" borderId="20" applyAlignment="1" pivotButton="0" quotePrefix="0" xfId="0">
      <alignment horizontal="center" vertical="bottom"/>
    </xf>
    <xf numFmtId="0" fontId="10" fillId="3" borderId="0" applyAlignment="1" pivotButton="0" quotePrefix="0" xfId="0">
      <alignment horizontal="general" vertical="top" wrapText="1"/>
    </xf>
    <xf numFmtId="0" fontId="6" fillId="3" borderId="0" applyAlignment="1" pivotButton="0" quotePrefix="0" xfId="0">
      <alignment horizontal="center" vertical="top"/>
    </xf>
    <xf numFmtId="10" fontId="6" fillId="3" borderId="0" applyAlignment="1" pivotButton="0" quotePrefix="0" xfId="0">
      <alignment horizontal="center" vertical="top"/>
    </xf>
    <xf numFmtId="10" fontId="6" fillId="3" borderId="0" applyAlignment="1" pivotButton="0" quotePrefix="0" xfId="0">
      <alignment horizontal="center" vertical="top" wrapText="1"/>
    </xf>
    <xf numFmtId="164" fontId="6" fillId="3" borderId="0" applyAlignment="1" pivotButton="0" quotePrefix="0" xfId="0">
      <alignment horizontal="center" vertical="top"/>
    </xf>
    <xf numFmtId="164" fontId="6" fillId="3" borderId="0" applyAlignment="1" pivotButton="0" quotePrefix="0" xfId="0">
      <alignment horizontal="general" vertical="top" wrapText="1"/>
    </xf>
    <xf numFmtId="0" fontId="7" fillId="0" borderId="0" applyAlignment="1" pivotButton="0" quotePrefix="0" xfId="0">
      <alignment horizontal="center" vertical="top" wrapText="1"/>
    </xf>
    <xf numFmtId="0" fontId="10" fillId="0" borderId="0" applyAlignment="1" pivotButton="0" quotePrefix="0" xfId="0">
      <alignment horizontal="general" vertical="top" wrapText="1"/>
    </xf>
    <xf numFmtId="0" fontId="6" fillId="0" borderId="0" applyAlignment="1" pivotButton="0" quotePrefix="0" xfId="0">
      <alignment horizontal="center" vertical="top"/>
    </xf>
    <xf numFmtId="10" fontId="6" fillId="0" borderId="0" applyAlignment="1" pivotButton="0" quotePrefix="0" xfId="0">
      <alignment horizontal="center" vertical="top"/>
    </xf>
    <xf numFmtId="10" fontId="6" fillId="0" borderId="0" applyAlignment="1" pivotButton="0" quotePrefix="0" xfId="0">
      <alignment horizontal="center" vertical="top" wrapText="1"/>
    </xf>
    <xf numFmtId="164" fontId="6" fillId="0" borderId="0" applyAlignment="1" pivotButton="0" quotePrefix="0" xfId="0">
      <alignment horizontal="center" vertical="top"/>
    </xf>
    <xf numFmtId="0" fontId="6" fillId="0" borderId="9" applyAlignment="1" pivotButton="0" quotePrefix="0" xfId="0">
      <alignment horizontal="center" vertical="top"/>
    </xf>
    <xf numFmtId="10" fontId="6" fillId="0" borderId="9" applyAlignment="1" pivotButton="0" quotePrefix="0" xfId="0">
      <alignment horizontal="center" vertical="top"/>
    </xf>
    <xf numFmtId="10" fontId="6" fillId="0" borderId="9" applyAlignment="1" pivotButton="0" quotePrefix="0" xfId="0">
      <alignment horizontal="center" vertical="top" wrapText="1"/>
    </xf>
    <xf numFmtId="164" fontId="6" fillId="0" borderId="9" applyAlignment="1" pivotButton="0" quotePrefix="0" xfId="0">
      <alignment horizontal="center" vertical="top"/>
    </xf>
    <xf numFmtId="0" fontId="7" fillId="0" borderId="0" applyAlignment="1" pivotButton="0" quotePrefix="0" xfId="0">
      <alignment horizontal="center" vertical="top" wrapText="1"/>
    </xf>
    <xf numFmtId="0" fontId="7" fillId="0" borderId="0" applyAlignment="1" pivotButton="0" quotePrefix="0" xfId="0">
      <alignment horizontal="center" vertical="top"/>
    </xf>
    <xf numFmtId="0" fontId="6" fillId="0" borderId="0" applyAlignment="1" pivotButton="0" quotePrefix="0" xfId="0">
      <alignment horizontal="general" vertical="top" wrapText="1"/>
    </xf>
    <xf numFmtId="0" fontId="10" fillId="0" borderId="0" applyAlignment="1" pivotButton="0" quotePrefix="0" xfId="0">
      <alignment horizontal="left" vertical="top" wrapText="1"/>
    </xf>
    <xf numFmtId="0" fontId="10" fillId="4" borderId="0" applyAlignment="1" pivotButton="0" quotePrefix="0" xfId="0">
      <alignment horizontal="general" vertical="top" wrapText="1"/>
    </xf>
    <xf numFmtId="0" fontId="6" fillId="4" borderId="0" applyAlignment="1" pivotButton="0" quotePrefix="0" xfId="0">
      <alignment horizontal="center" vertical="top" wrapText="1"/>
    </xf>
    <xf numFmtId="10" fontId="6" fillId="4" borderId="0" applyAlignment="1" pivotButton="0" quotePrefix="0" xfId="0">
      <alignment horizontal="center" vertical="top"/>
    </xf>
    <xf numFmtId="10" fontId="6" fillId="4" borderId="0" applyAlignment="1" pivotButton="0" quotePrefix="0" xfId="0">
      <alignment horizontal="center" vertical="top" wrapText="1"/>
    </xf>
    <xf numFmtId="164" fontId="6" fillId="0" borderId="0" applyAlignment="1" pivotButton="0" quotePrefix="0" xfId="0">
      <alignment horizontal="center" vertical="top" wrapText="1"/>
    </xf>
    <xf numFmtId="0" fontId="6" fillId="0" borderId="0" applyAlignment="1" pivotButton="0" quotePrefix="0" xfId="0">
      <alignment horizontal="center" vertical="top" wrapText="1"/>
    </xf>
    <xf numFmtId="0" fontId="10" fillId="0" borderId="0" applyAlignment="1" pivotButton="0" quotePrefix="0" xfId="0">
      <alignment horizontal="general" vertical="top" wrapText="1"/>
    </xf>
    <xf numFmtId="0" fontId="7" fillId="0" borderId="0" applyAlignment="1" pivotButton="0" quotePrefix="0" xfId="0">
      <alignment horizontal="center" vertical="top"/>
    </xf>
    <xf numFmtId="0" fontId="13" fillId="0" borderId="0" applyAlignment="1" pivotButton="0" quotePrefix="0" xfId="0">
      <alignment horizontal="center" vertical="top"/>
    </xf>
    <xf numFmtId="0" fontId="6" fillId="0" borderId="0" applyAlignment="1" pivotButton="0" quotePrefix="0" xfId="0">
      <alignment horizontal="left" vertical="top"/>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10" fontId="6" fillId="0" borderId="0" applyAlignment="1" pivotButton="0" quotePrefix="0" xfId="0">
      <alignment horizontal="center" vertical="top"/>
    </xf>
    <xf numFmtId="164" fontId="6" fillId="0" borderId="0" applyAlignment="1" pivotButton="0" quotePrefix="0" xfId="0">
      <alignment horizontal="center" vertical="top"/>
    </xf>
    <xf numFmtId="0" fontId="6" fillId="0" borderId="0" applyAlignment="1" pivotButton="0" quotePrefix="0" xfId="0">
      <alignment horizontal="general" vertical="top"/>
    </xf>
    <xf numFmtId="9" fontId="6" fillId="0" borderId="0" applyAlignment="1" pivotButton="0" quotePrefix="0" xfId="0">
      <alignment horizontal="left" vertical="top"/>
    </xf>
    <xf numFmtId="0" fontId="6" fillId="0" borderId="12" applyAlignment="1" pivotButton="0" quotePrefix="0" xfId="0">
      <alignment horizontal="center" vertical="top"/>
    </xf>
    <xf numFmtId="0" fontId="6" fillId="0" borderId="12" applyAlignment="1" pivotButton="0" quotePrefix="0" xfId="0">
      <alignment horizontal="center" vertical="top" wrapText="1"/>
    </xf>
    <xf numFmtId="0" fontId="6" fillId="0" borderId="9" applyAlignment="1" pivotButton="0" quotePrefix="0" xfId="0">
      <alignment horizontal="center" vertical="top"/>
    </xf>
    <xf numFmtId="0" fontId="6" fillId="0" borderId="9" applyAlignment="1" pivotButton="0" quotePrefix="0" xfId="0">
      <alignment horizontal="center" vertical="top" wrapText="1"/>
    </xf>
    <xf numFmtId="0" fontId="16" fillId="0" borderId="0" applyAlignment="1" pivotButton="0" quotePrefix="0" xfId="0">
      <alignment horizontal="center" vertical="top" wrapText="1"/>
    </xf>
    <xf numFmtId="0" fontId="6" fillId="0" borderId="9" applyAlignment="1" pivotButton="0" quotePrefix="0" xfId="0">
      <alignment horizontal="general" vertical="top" wrapText="1"/>
    </xf>
    <xf numFmtId="0" fontId="0" fillId="0" borderId="0" applyAlignment="1" pivotButton="0" quotePrefix="0" xfId="0">
      <alignment horizontal="general" vertical="bottom" wrapText="1"/>
    </xf>
    <xf numFmtId="0" fontId="6" fillId="0" borderId="0" applyAlignment="1" pivotButton="0" quotePrefix="0" xfId="0">
      <alignment horizontal="center" vertical="top" wrapText="1"/>
    </xf>
    <xf numFmtId="0" fontId="12" fillId="2" borderId="21" applyAlignment="1" pivotButton="0" quotePrefix="0" xfId="0">
      <alignment horizontal="center" vertical="bottom"/>
    </xf>
    <xf numFmtId="0" fontId="6" fillId="4" borderId="0" applyAlignment="1" pivotButton="0" quotePrefix="0" xfId="0">
      <alignment horizontal="general" vertical="top" wrapText="1"/>
    </xf>
    <xf numFmtId="0" fontId="6" fillId="4" borderId="0" applyAlignment="1" pivotButton="0" quotePrefix="0" xfId="0">
      <alignment horizontal="center" vertical="top"/>
    </xf>
    <xf numFmtId="164" fontId="6" fillId="4" borderId="0" applyAlignment="1" pivotButton="0" quotePrefix="0" xfId="0">
      <alignment horizontal="center" vertical="top"/>
    </xf>
    <xf numFmtId="164" fontId="6" fillId="4" borderId="0" applyAlignment="1" pivotButton="0" quotePrefix="0" xfId="0">
      <alignment horizontal="center" vertical="top" wrapText="1"/>
    </xf>
    <xf numFmtId="0" fontId="10" fillId="4" borderId="0" applyAlignment="1" pivotButton="0" quotePrefix="0" xfId="0">
      <alignment horizontal="center" vertical="top" wrapText="1"/>
    </xf>
    <xf numFmtId="10" fontId="10" fillId="4" borderId="0" applyAlignment="1" pivotButton="0" quotePrefix="0" xfId="0">
      <alignment horizontal="center" vertical="top" wrapText="1"/>
    </xf>
    <xf numFmtId="1" fontId="6" fillId="0" borderId="0" applyAlignment="1" pivotButton="0" quotePrefix="0" xfId="0">
      <alignment horizontal="center" vertical="top" wrapText="1"/>
    </xf>
    <xf numFmtId="0" fontId="10" fillId="0" borderId="0" applyAlignment="1" pivotButton="0" quotePrefix="0" xfId="0">
      <alignment horizontal="center" vertical="top" wrapText="1"/>
    </xf>
    <xf numFmtId="0" fontId="6" fillId="0" borderId="0" applyAlignment="1" pivotButton="0" quotePrefix="0" xfId="19">
      <alignment horizontal="center" vertical="top" wrapText="1"/>
    </xf>
    <xf numFmtId="0" fontId="10" fillId="0" borderId="0" applyAlignment="1" pivotButton="0" quotePrefix="0" xfId="0">
      <alignment horizontal="general" vertical="top" wrapText="1"/>
    </xf>
    <xf numFmtId="0" fontId="17" fillId="0" borderId="0" applyAlignment="1" pivotButton="0" quotePrefix="0" xfId="0">
      <alignment horizontal="general" vertical="top" wrapText="1"/>
    </xf>
    <xf numFmtId="49" fontId="14"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5" fillId="0" borderId="0" applyAlignment="1" pivotButton="0" quotePrefix="0" xfId="0">
      <alignment horizontal="general" vertical="top"/>
    </xf>
    <xf numFmtId="0" fontId="14" fillId="0" borderId="0" applyAlignment="1" pivotButton="0" quotePrefix="0" xfId="0">
      <alignment horizontal="left" vertical="bottom" indent="1"/>
    </xf>
    <xf numFmtId="0" fontId="14" fillId="0" borderId="0" applyAlignment="1" pivotButton="0" quotePrefix="0" xfId="0">
      <alignment horizontal="general" vertical="bottom" wrapText="1"/>
    </xf>
    <xf numFmtId="0" fontId="15" fillId="0" borderId="0" applyAlignment="1" pivotButton="0" quotePrefix="0" xfId="0">
      <alignment horizontal="left" vertical="bottom" indent="1"/>
    </xf>
    <xf numFmtId="0" fontId="9" fillId="0" borderId="0" applyAlignment="1" pivotButton="0" quotePrefix="0" xfId="0">
      <alignment horizontal="left" vertical="top"/>
    </xf>
    <xf numFmtId="9" fontId="6" fillId="0" borderId="0" applyAlignment="1" pivotButton="0" quotePrefix="0" xfId="0">
      <alignment horizontal="center" vertical="top" wrapText="1"/>
    </xf>
    <xf numFmtId="0" fontId="6" fillId="2" borderId="22" applyAlignment="1" pivotButton="0" quotePrefix="0" xfId="0">
      <alignment horizontal="general" vertical="top" wrapText="1"/>
    </xf>
    <xf numFmtId="9" fontId="6" fillId="2" borderId="23" applyAlignment="1" pivotButton="0" quotePrefix="0" xfId="0">
      <alignment horizontal="center" vertical="top" wrapText="1"/>
    </xf>
    <xf numFmtId="0" fontId="6" fillId="2" borderId="23" applyAlignment="1" pivotButton="0" quotePrefix="0" xfId="0">
      <alignment horizontal="center" vertical="top" wrapText="1"/>
    </xf>
    <xf numFmtId="0" fontId="6" fillId="2" borderId="24" applyAlignment="1" pivotButton="0" quotePrefix="0" xfId="0">
      <alignment horizontal="center" vertical="top" wrapText="1"/>
    </xf>
    <xf numFmtId="0" fontId="19" fillId="2" borderId="25" applyAlignment="1" pivotButton="0" quotePrefix="0" xfId="0">
      <alignment horizontal="center" vertical="top" wrapText="1"/>
    </xf>
    <xf numFmtId="0" fontId="7" fillId="2" borderId="26" applyAlignment="1" pivotButton="0" quotePrefix="0" xfId="0">
      <alignment horizontal="center" vertical="top" wrapText="1"/>
    </xf>
    <xf numFmtId="0" fontId="6" fillId="2" borderId="27" applyAlignment="1" pivotButton="0" quotePrefix="0" xfId="0">
      <alignment horizontal="center" vertical="top" wrapText="1"/>
    </xf>
    <xf numFmtId="10" fontId="6" fillId="0" borderId="0" applyAlignment="1" pivotButton="0" quotePrefix="0" xfId="0">
      <alignment horizontal="center" vertical="top" wrapText="1"/>
    </xf>
    <xf numFmtId="0" fontId="6" fillId="0" borderId="0" applyAlignment="1" pivotButton="0" quotePrefix="0" xfId="0">
      <alignment horizontal="center" vertical="bottom" wrapText="1" shrinkToFit="1"/>
    </xf>
    <xf numFmtId="0" fontId="6" fillId="0" borderId="0" applyAlignment="1" pivotButton="0" quotePrefix="0" xfId="0">
      <alignment horizontal="general" vertical="top" wrapText="1" shrinkToFit="1"/>
    </xf>
    <xf numFmtId="9" fontId="6" fillId="0" borderId="0" applyAlignment="1" pivotButton="0" quotePrefix="0" xfId="0">
      <alignment horizontal="center" vertical="top" wrapText="1"/>
    </xf>
    <xf numFmtId="49" fontId="6" fillId="0" borderId="0" applyAlignment="1" pivotButton="0" quotePrefix="0" xfId="0">
      <alignment horizontal="left" vertical="top" wrapText="1"/>
    </xf>
    <xf numFmtId="10" fontId="6" fillId="0" borderId="0" applyAlignment="1" pivotButton="0" quotePrefix="0" xfId="0">
      <alignment horizontal="center" vertical="top" wrapText="1"/>
    </xf>
    <xf numFmtId="0" fontId="6" fillId="0" borderId="0" applyAlignment="1" pivotButton="0" quotePrefix="0" xfId="0">
      <alignment horizontal="general" vertical="top" wrapText="1"/>
    </xf>
    <xf numFmtId="10" fontId="6" fillId="0" borderId="0" applyAlignment="1" pivotButton="0" quotePrefix="0" xfId="0">
      <alignment horizontal="center" vertical="bottom"/>
    </xf>
    <xf numFmtId="0" fontId="6" fillId="0" borderId="0" applyAlignment="1" pivotButton="0" quotePrefix="0" xfId="0">
      <alignment horizontal="left" vertical="top" wrapText="1"/>
    </xf>
    <xf numFmtId="0" fontId="6" fillId="0" borderId="0"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top" wrapText="1"/>
    </xf>
    <xf numFmtId="10" fontId="6" fillId="0" borderId="0" applyAlignment="1" pivotButton="0" quotePrefix="0" xfId="0">
      <alignment horizontal="general" vertical="top"/>
    </xf>
    <xf numFmtId="49" fontId="6" fillId="0" borderId="0" applyAlignment="1" pivotButton="0" quotePrefix="0" xfId="0">
      <alignment horizontal="general" vertical="top" wrapText="1"/>
    </xf>
    <xf numFmtId="0" fontId="6" fillId="0" borderId="0" applyAlignment="1" pivotButton="0" quotePrefix="0" xfId="0">
      <alignment horizontal="general" vertical="bottom" wrapText="1"/>
    </xf>
    <xf numFmtId="0" fontId="0" fillId="0" borderId="0" applyAlignment="1" pivotButton="0" quotePrefix="0" xfId="21">
      <alignment horizontal="general" vertical="bottom"/>
    </xf>
    <xf numFmtId="0" fontId="0" fillId="0" borderId="0" applyAlignment="1" pivotButton="0" quotePrefix="0" xfId="21">
      <alignment horizontal="general" vertical="bottom" wrapText="1"/>
    </xf>
    <xf numFmtId="0" fontId="0" fillId="0" borderId="0" applyAlignment="1" pivotButton="0" quotePrefix="0" xfId="21">
      <alignment horizontal="center" vertical="bottom"/>
    </xf>
    <xf numFmtId="0" fontId="15" fillId="0" borderId="0" applyAlignment="1" pivotButton="0" quotePrefix="0" xfId="0">
      <alignment horizontal="general" vertical="bottom"/>
    </xf>
    <xf numFmtId="0" fontId="15" fillId="0" borderId="0" applyAlignment="1" pivotButton="0" quotePrefix="0" xfId="0">
      <alignment horizontal="general" vertical="bottom" wrapText="1"/>
    </xf>
    <xf numFmtId="164" fontId="15" fillId="0" borderId="0" applyAlignment="1" pivotButton="0" quotePrefix="0" xfId="0">
      <alignment horizontal="center" vertical="bottom"/>
    </xf>
    <xf numFmtId="0" fontId="20" fillId="0" borderId="0" applyAlignment="1" pivotButton="0" quotePrefix="0" xfId="0">
      <alignment horizontal="general" vertical="bottom"/>
    </xf>
    <xf numFmtId="10" fontId="0" fillId="0" borderId="0" applyAlignment="1" pivotButton="0" quotePrefix="0" xfId="21">
      <alignment horizontal="general" vertical="bottom"/>
    </xf>
    <xf numFmtId="0" fontId="20" fillId="0" borderId="0" applyAlignment="1" pivotButton="0" quotePrefix="0" xfId="0">
      <alignment horizontal="center" vertical="bottom"/>
    </xf>
    <xf numFmtId="0" fontId="21" fillId="0" borderId="0" applyAlignment="1" pivotButton="0" quotePrefix="0" xfId="0">
      <alignment horizontal="general" vertical="bottom" wrapText="1"/>
    </xf>
    <xf numFmtId="9" fontId="15" fillId="0" borderId="0" applyAlignment="1" pivotButton="0" quotePrefix="0" xfId="0">
      <alignment horizontal="center" vertical="bottom"/>
    </xf>
    <xf numFmtId="0" fontId="14" fillId="0" borderId="0" applyAlignment="1" pivotButton="0" quotePrefix="0" xfId="0">
      <alignment horizontal="center" vertical="bottom"/>
    </xf>
    <xf numFmtId="0" fontId="21" fillId="0" borderId="0" applyAlignment="1" pivotButton="0" quotePrefix="0" xfId="0">
      <alignment horizontal="center" vertical="bottom" wrapText="1"/>
    </xf>
    <xf numFmtId="0" fontId="15" fillId="0" borderId="0" applyAlignment="1" pivotButton="0" quotePrefix="0" xfId="0">
      <alignment horizontal="center" vertical="bottom"/>
    </xf>
    <xf numFmtId="0" fontId="20" fillId="0" borderId="0" applyAlignment="1" pivotButton="0" quotePrefix="0" xfId="0">
      <alignment horizontal="left" vertical="center" wrapText="1"/>
    </xf>
    <xf numFmtId="0" fontId="22" fillId="0" borderId="0" applyAlignment="1" pivotButton="0" quotePrefix="0" xfId="0">
      <alignment horizontal="left" vertical="bottom" wrapText="1"/>
    </xf>
    <xf numFmtId="0" fontId="20" fillId="0" borderId="0" applyAlignment="1" pivotButton="0" quotePrefix="0" xfId="0">
      <alignment horizontal="left" vertical="bottom"/>
    </xf>
    <xf numFmtId="9" fontId="15" fillId="0" borderId="0" applyAlignment="1" pivotButton="0" quotePrefix="0" xfId="0">
      <alignment horizontal="center" vertical="bottom"/>
    </xf>
    <xf numFmtId="10" fontId="15" fillId="0" borderId="0" applyAlignment="1" pivotButton="0" quotePrefix="0" xfId="0">
      <alignment horizontal="center" vertical="bottom" wrapText="1"/>
    </xf>
    <xf numFmtId="165" fontId="15" fillId="0" borderId="0" applyAlignment="1" pivotButton="0" quotePrefix="0" xfId="0">
      <alignment horizontal="center" vertical="bottom"/>
    </xf>
    <xf numFmtId="10" fontId="15" fillId="0" borderId="0" applyAlignment="1" pivotButton="0" quotePrefix="0" xfId="0">
      <alignment horizontal="general" vertical="bottom"/>
    </xf>
    <xf numFmtId="165" fontId="15" fillId="0" borderId="0" applyAlignment="1" pivotButton="0" quotePrefix="0" xfId="0">
      <alignment horizontal="general" vertical="bottom"/>
    </xf>
    <xf numFmtId="0" fontId="12" fillId="0" borderId="0" applyAlignment="1" pivotButton="0" quotePrefix="0" xfId="0">
      <alignment horizontal="general" vertical="bottom" wrapText="1"/>
    </xf>
    <xf numFmtId="0" fontId="23" fillId="0" borderId="0" applyAlignment="1" pivotButton="0" quotePrefix="0" xfId="0">
      <alignment horizontal="left" vertical="bottom" wrapText="1"/>
    </xf>
    <xf numFmtId="0" fontId="20" fillId="0" borderId="0" applyAlignment="1" pivotButton="0" quotePrefix="0" xfId="21">
      <alignment horizontal="center" vertical="bottom"/>
    </xf>
    <xf numFmtId="0" fontId="23"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6" fillId="0" borderId="0" applyAlignment="1" pivotButton="0" quotePrefix="0" xfId="0">
      <alignment horizontal="general" vertical="top"/>
    </xf>
    <xf numFmtId="0" fontId="6" fillId="0" borderId="0" applyAlignment="1" pivotButton="0" quotePrefix="0" xfId="0">
      <alignment horizontal="center" vertical="top"/>
    </xf>
    <xf numFmtId="0" fontId="7" fillId="0" borderId="0" applyAlignment="1" pivotButton="0" quotePrefix="0" xfId="0">
      <alignment horizontal="center" vertical="top"/>
    </xf>
    <xf numFmtId="0" fontId="6" fillId="0" borderId="0" applyAlignment="1" pivotButton="0" quotePrefix="0" xfId="0">
      <alignment horizontal="general" vertical="top" wrapText="1"/>
    </xf>
    <xf numFmtId="0" fontId="6" fillId="0" borderId="0" applyAlignment="1" pivotButton="0" quotePrefix="0" xfId="0">
      <alignment horizontal="center" vertical="top" wrapText="1"/>
    </xf>
    <xf numFmtId="0" fontId="8" fillId="0" borderId="0" applyAlignment="1" pivotButton="0" quotePrefix="0" xfId="0">
      <alignment horizontal="general" vertical="top" wrapText="1"/>
    </xf>
    <xf numFmtId="0" fontId="6" fillId="2" borderId="1" applyAlignment="1" pivotButton="0" quotePrefix="0" xfId="0">
      <alignment horizontal="general" vertical="top"/>
    </xf>
    <xf numFmtId="0" fontId="0" fillId="0" borderId="2" pivotButton="0" quotePrefix="0" xfId="0"/>
    <xf numFmtId="0" fontId="9" fillId="2" borderId="2" applyAlignment="1" pivotButton="0" quotePrefix="0" xfId="0">
      <alignment horizontal="center" vertical="top"/>
    </xf>
    <xf numFmtId="0" fontId="10" fillId="2" borderId="2" applyAlignment="1" pivotButton="0" quotePrefix="0" xfId="0">
      <alignment horizontal="center" vertical="top"/>
    </xf>
    <xf numFmtId="9" fontId="10" fillId="2" borderId="3" applyAlignment="1" pivotButton="0" quotePrefix="0" xfId="0">
      <alignment horizontal="center" vertical="top"/>
    </xf>
    <xf numFmtId="0" fontId="10" fillId="2" borderId="2" applyAlignment="1" pivotButton="0" quotePrefix="0" xfId="0">
      <alignment horizontal="center" vertical="top" wrapText="1"/>
    </xf>
    <xf numFmtId="9" fontId="10" fillId="2" borderId="4" applyAlignment="1" pivotButton="0" quotePrefix="0" xfId="0">
      <alignment horizontal="center" vertical="top"/>
    </xf>
    <xf numFmtId="9" fontId="6" fillId="0" borderId="0" applyAlignment="1" pivotButton="0" quotePrefix="0" xfId="0">
      <alignment horizontal="left" vertical="top"/>
    </xf>
    <xf numFmtId="9" fontId="6" fillId="0" borderId="0" applyAlignment="1" pivotButton="0" quotePrefix="0" xfId="0">
      <alignment horizontal="center" vertical="top"/>
    </xf>
    <xf numFmtId="0" fontId="10" fillId="2" borderId="5" applyAlignment="1" pivotButton="0" quotePrefix="0" xfId="0">
      <alignment horizontal="general" vertical="top"/>
    </xf>
    <xf numFmtId="0" fontId="10" fillId="2" borderId="0" applyAlignment="1" pivotButton="0" quotePrefix="0" xfId="0">
      <alignment horizontal="center" vertical="top"/>
    </xf>
    <xf numFmtId="9" fontId="10" fillId="2" borderId="6" applyAlignment="1" pivotButton="0" quotePrefix="0" xfId="0">
      <alignment horizontal="center" vertical="top"/>
    </xf>
    <xf numFmtId="0" fontId="10" fillId="2" borderId="0" applyAlignment="1" pivotButton="0" quotePrefix="0" xfId="0">
      <alignment horizontal="center" vertical="top" wrapText="1"/>
    </xf>
    <xf numFmtId="9" fontId="10" fillId="2" borderId="7" applyAlignment="1" pivotButton="0" quotePrefix="0" xfId="0">
      <alignment horizontal="center" vertical="top"/>
    </xf>
    <xf numFmtId="0" fontId="6" fillId="0" borderId="0" applyAlignment="1" pivotButton="0" quotePrefix="0" xfId="0">
      <alignment horizontal="center" vertical="bottom" wrapText="1"/>
    </xf>
    <xf numFmtId="0" fontId="10" fillId="2" borderId="8" applyAlignment="1" pivotButton="0" quotePrefix="0" xfId="0">
      <alignment horizontal="general" vertical="top"/>
    </xf>
    <xf numFmtId="0" fontId="0" fillId="0" borderId="9" pivotButton="0" quotePrefix="0" xfId="0"/>
    <xf numFmtId="0" fontId="10" fillId="2" borderId="9" applyAlignment="1" pivotButton="0" quotePrefix="0" xfId="0">
      <alignment horizontal="center" vertical="top"/>
    </xf>
    <xf numFmtId="9" fontId="10" fillId="2" borderId="10" applyAlignment="1" pivotButton="0" quotePrefix="0" xfId="0">
      <alignment horizontal="center" vertical="top"/>
    </xf>
    <xf numFmtId="0" fontId="10" fillId="2" borderId="9" applyAlignment="1" pivotButton="0" quotePrefix="0" xfId="0">
      <alignment horizontal="center" vertical="top" wrapText="1"/>
    </xf>
    <xf numFmtId="9" fontId="10" fillId="2" borderId="11" applyAlignment="1" pivotButton="0" quotePrefix="0" xfId="0">
      <alignment horizontal="center" vertical="top"/>
    </xf>
    <xf numFmtId="0" fontId="6" fillId="0" borderId="12" applyAlignment="1" pivotButton="0" quotePrefix="0" xfId="0">
      <alignment horizontal="general" vertical="top"/>
    </xf>
    <xf numFmtId="0" fontId="11" fillId="3" borderId="13" applyAlignment="1" pivotButton="0" quotePrefix="0" xfId="0">
      <alignment horizontal="center" vertical="top"/>
    </xf>
    <xf numFmtId="0" fontId="0" fillId="0" borderId="28" pivotButton="0" quotePrefix="0" xfId="0"/>
    <xf numFmtId="0" fontId="11" fillId="3" borderId="14" applyAlignment="1" pivotButton="0" quotePrefix="0" xfId="0">
      <alignment horizontal="center" vertical="bottom"/>
    </xf>
    <xf numFmtId="9" fontId="11" fillId="3" borderId="14" applyAlignment="1" pivotButton="0" quotePrefix="0" xfId="0">
      <alignment horizontal="center" vertical="bottom"/>
    </xf>
    <xf numFmtId="0" fontId="12" fillId="2" borderId="15" applyAlignment="1" pivotButton="0" quotePrefix="0" xfId="0">
      <alignment horizontal="center" vertical="bottom"/>
    </xf>
    <xf numFmtId="0" fontId="12" fillId="2" borderId="15" applyAlignment="1" pivotButton="0" quotePrefix="0" xfId="0">
      <alignment horizontal="general" vertical="bottom"/>
    </xf>
    <xf numFmtId="0" fontId="12" fillId="2" borderId="16" applyAlignment="1" pivotButton="0" quotePrefix="0" xfId="0">
      <alignment horizontal="center" vertical="bottom"/>
    </xf>
    <xf numFmtId="0" fontId="11" fillId="2" borderId="17" applyAlignment="1" pivotButton="0" quotePrefix="0" xfId="0">
      <alignment horizontal="center" vertical="top"/>
    </xf>
    <xf numFmtId="0" fontId="0" fillId="0" borderId="30" pivotButton="0" quotePrefix="0" xfId="0"/>
    <xf numFmtId="0" fontId="12" fillId="2" borderId="18" applyAlignment="1" pivotButton="0" quotePrefix="0" xfId="0">
      <alignment horizontal="center" vertical="bottom"/>
    </xf>
    <xf numFmtId="0" fontId="12" fillId="2" borderId="19" applyAlignment="1" pivotButton="0" quotePrefix="0" xfId="0">
      <alignment horizontal="center" vertical="bottom"/>
    </xf>
    <xf numFmtId="0" fontId="12" fillId="2" borderId="19" applyAlignment="1" pivotButton="0" quotePrefix="0" xfId="0">
      <alignment horizontal="general" vertical="bottom"/>
    </xf>
    <xf numFmtId="0" fontId="12" fillId="2" borderId="20" applyAlignment="1" pivotButton="0" quotePrefix="0" xfId="0">
      <alignment horizontal="center" vertical="bottom"/>
    </xf>
    <xf numFmtId="0" fontId="10" fillId="3" borderId="0" applyAlignment="1" pivotButton="0" quotePrefix="0" xfId="0">
      <alignment horizontal="general" vertical="top" wrapText="1"/>
    </xf>
    <xf numFmtId="0" fontId="6" fillId="3" borderId="0" applyAlignment="1" pivotButton="0" quotePrefix="0" xfId="0">
      <alignment horizontal="center" vertical="top"/>
    </xf>
    <xf numFmtId="10" fontId="6" fillId="3" borderId="0" applyAlignment="1" pivotButton="0" quotePrefix="0" xfId="0">
      <alignment horizontal="center" vertical="top"/>
    </xf>
    <xf numFmtId="10" fontId="6" fillId="3" borderId="0" applyAlignment="1" pivotButton="0" quotePrefix="0" xfId="0">
      <alignment horizontal="center" vertical="top" wrapText="1"/>
    </xf>
    <xf numFmtId="164" fontId="6" fillId="3" borderId="0" applyAlignment="1" pivotButton="0" quotePrefix="0" xfId="0">
      <alignment horizontal="center" vertical="top"/>
    </xf>
    <xf numFmtId="164" fontId="6" fillId="3" borderId="0" applyAlignment="1" pivotButton="0" quotePrefix="0" xfId="0">
      <alignment horizontal="general" vertical="top" wrapText="1"/>
    </xf>
    <xf numFmtId="0" fontId="7" fillId="0" borderId="0" applyAlignment="1" pivotButton="0" quotePrefix="0" xfId="0">
      <alignment horizontal="center" vertical="top" wrapText="1"/>
    </xf>
    <xf numFmtId="0" fontId="10" fillId="0" borderId="0" applyAlignment="1" pivotButton="0" quotePrefix="0" xfId="0">
      <alignment horizontal="general" vertical="top" wrapText="1"/>
    </xf>
    <xf numFmtId="10" fontId="6" fillId="0" borderId="0" applyAlignment="1" pivotButton="0" quotePrefix="0" xfId="0">
      <alignment horizontal="center" vertical="top"/>
    </xf>
    <xf numFmtId="10" fontId="6" fillId="0" borderId="0" applyAlignment="1" pivotButton="0" quotePrefix="0" xfId="0">
      <alignment horizontal="center" vertical="top" wrapText="1"/>
    </xf>
    <xf numFmtId="164" fontId="6" fillId="0" borderId="0" applyAlignment="1" pivotButton="0" quotePrefix="0" xfId="0">
      <alignment horizontal="center" vertical="top"/>
    </xf>
    <xf numFmtId="0" fontId="6" fillId="0" borderId="9" applyAlignment="1" pivotButton="0" quotePrefix="0" xfId="0">
      <alignment horizontal="center" vertical="top"/>
    </xf>
    <xf numFmtId="10" fontId="6" fillId="0" borderId="9" applyAlignment="1" pivotButton="0" quotePrefix="0" xfId="0">
      <alignment horizontal="center" vertical="top"/>
    </xf>
    <xf numFmtId="10" fontId="6" fillId="0" borderId="9" applyAlignment="1" pivotButton="0" quotePrefix="0" xfId="0">
      <alignment horizontal="center" vertical="top" wrapText="1"/>
    </xf>
    <xf numFmtId="164" fontId="6" fillId="0" borderId="9" applyAlignment="1" pivotButton="0" quotePrefix="0" xfId="0">
      <alignment horizontal="center" vertical="top"/>
    </xf>
    <xf numFmtId="0" fontId="10" fillId="0" borderId="0" applyAlignment="1" pivotButton="0" quotePrefix="0" xfId="0">
      <alignment horizontal="left" vertical="top" wrapText="1"/>
    </xf>
    <xf numFmtId="0" fontId="10" fillId="4" borderId="0" applyAlignment="1" pivotButton="0" quotePrefix="0" xfId="0">
      <alignment horizontal="general" vertical="top" wrapText="1"/>
    </xf>
    <xf numFmtId="0" fontId="6" fillId="4" borderId="0" applyAlignment="1" pivotButton="0" quotePrefix="0" xfId="0">
      <alignment horizontal="center" vertical="top" wrapText="1"/>
    </xf>
    <xf numFmtId="10" fontId="6" fillId="4" borderId="0" applyAlignment="1" pivotButton="0" quotePrefix="0" xfId="0">
      <alignment horizontal="center" vertical="top"/>
    </xf>
    <xf numFmtId="10" fontId="6" fillId="4" borderId="0" applyAlignment="1" pivotButton="0" quotePrefix="0" xfId="0">
      <alignment horizontal="center" vertical="top" wrapText="1"/>
    </xf>
    <xf numFmtId="164" fontId="6" fillId="0" borderId="0" applyAlignment="1" pivotButton="0" quotePrefix="0" xfId="0">
      <alignment horizontal="center" vertical="top" wrapText="1"/>
    </xf>
    <xf numFmtId="0" fontId="13" fillId="0" borderId="0" applyAlignment="1" pivotButton="0" quotePrefix="0" xfId="0">
      <alignment horizontal="center" vertical="top"/>
    </xf>
    <xf numFmtId="0" fontId="6" fillId="0" borderId="0" applyAlignment="1" pivotButton="0" quotePrefix="0" xfId="0">
      <alignment horizontal="left" vertical="top"/>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6" fillId="0" borderId="12" applyAlignment="1" pivotButton="0" quotePrefix="0" xfId="0">
      <alignment horizontal="center" vertical="top"/>
    </xf>
    <xf numFmtId="0" fontId="6" fillId="0" borderId="12" applyAlignment="1" pivotButton="0" quotePrefix="0" xfId="0">
      <alignment horizontal="center" vertical="top" wrapText="1"/>
    </xf>
    <xf numFmtId="0" fontId="6" fillId="0" borderId="9" applyAlignment="1" pivotButton="0" quotePrefix="0" xfId="0">
      <alignment horizontal="center" vertical="top" wrapText="1"/>
    </xf>
    <xf numFmtId="0" fontId="16" fillId="0" borderId="0" applyAlignment="1" pivotButton="0" quotePrefix="0" xfId="0">
      <alignment horizontal="center" vertical="top" wrapText="1"/>
    </xf>
    <xf numFmtId="0" fontId="6" fillId="0" borderId="9" applyAlignment="1" pivotButton="0" quotePrefix="0" xfId="0">
      <alignment horizontal="general" vertical="top" wrapText="1"/>
    </xf>
    <xf numFmtId="0" fontId="0" fillId="0" borderId="0" applyAlignment="1" pivotButton="0" quotePrefix="0" xfId="0">
      <alignment horizontal="general" vertical="bottom" wrapText="1"/>
    </xf>
    <xf numFmtId="0" fontId="12" fillId="2" borderId="21" applyAlignment="1" pivotButton="0" quotePrefix="0" xfId="0">
      <alignment horizontal="center" vertical="bottom"/>
    </xf>
    <xf numFmtId="0" fontId="6" fillId="4" borderId="0" applyAlignment="1" pivotButton="0" quotePrefix="0" xfId="0">
      <alignment horizontal="general" vertical="top" wrapText="1"/>
    </xf>
    <xf numFmtId="0" fontId="6" fillId="4" borderId="0" applyAlignment="1" pivotButton="0" quotePrefix="0" xfId="0">
      <alignment horizontal="center" vertical="top"/>
    </xf>
    <xf numFmtId="164" fontId="6" fillId="4" borderId="0" applyAlignment="1" pivotButton="0" quotePrefix="0" xfId="0">
      <alignment horizontal="center" vertical="top"/>
    </xf>
    <xf numFmtId="164" fontId="6" fillId="4" borderId="0" applyAlignment="1" pivotButton="0" quotePrefix="0" xfId="0">
      <alignment horizontal="center" vertical="top" wrapText="1"/>
    </xf>
    <xf numFmtId="0" fontId="10" fillId="4" borderId="0" applyAlignment="1" pivotButton="0" quotePrefix="0" xfId="0">
      <alignment horizontal="center" vertical="top" wrapText="1"/>
    </xf>
    <xf numFmtId="10" fontId="10" fillId="4" borderId="0" applyAlignment="1" pivotButton="0" quotePrefix="0" xfId="0">
      <alignment horizontal="center" vertical="top" wrapText="1"/>
    </xf>
    <xf numFmtId="1" fontId="6" fillId="0" borderId="0" applyAlignment="1" pivotButton="0" quotePrefix="0" xfId="0">
      <alignment horizontal="center" vertical="top" wrapText="1"/>
    </xf>
    <xf numFmtId="0" fontId="10" fillId="0" borderId="0" applyAlignment="1" pivotButton="0" quotePrefix="0" xfId="0">
      <alignment horizontal="center" vertical="top" wrapText="1"/>
    </xf>
    <xf numFmtId="0" fontId="6" fillId="0" borderId="0" applyAlignment="1" pivotButton="0" quotePrefix="0" xfId="19">
      <alignment horizontal="center" vertical="top" wrapText="1"/>
    </xf>
    <xf numFmtId="0" fontId="17" fillId="0" borderId="0" applyAlignment="1" pivotButton="0" quotePrefix="0" xfId="0">
      <alignment horizontal="general" vertical="top" wrapText="1"/>
    </xf>
    <xf numFmtId="49" fontId="14"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5" fillId="0" borderId="0" applyAlignment="1" pivotButton="0" quotePrefix="0" xfId="0">
      <alignment horizontal="general" vertical="top"/>
    </xf>
    <xf numFmtId="0" fontId="14" fillId="0" borderId="0" applyAlignment="1" pivotButton="0" quotePrefix="0" xfId="0">
      <alignment horizontal="left" vertical="bottom" indent="1"/>
    </xf>
    <xf numFmtId="0" fontId="14" fillId="0" borderId="0" applyAlignment="1" pivotButton="0" quotePrefix="0" xfId="0">
      <alignment horizontal="general" vertical="bottom" wrapText="1"/>
    </xf>
    <xf numFmtId="0" fontId="15" fillId="0" borderId="0" applyAlignment="1" pivotButton="0" quotePrefix="0" xfId="0">
      <alignment horizontal="left" vertical="bottom" indent="1"/>
    </xf>
    <xf numFmtId="0" fontId="9" fillId="0" borderId="0" applyAlignment="1" pivotButton="0" quotePrefix="0" xfId="0">
      <alignment horizontal="left" vertical="top"/>
    </xf>
    <xf numFmtId="9" fontId="6" fillId="0" borderId="0" applyAlignment="1" pivotButton="0" quotePrefix="0" xfId="0">
      <alignment horizontal="center" vertical="top" wrapText="1"/>
    </xf>
    <xf numFmtId="0" fontId="6" fillId="2" borderId="22" applyAlignment="1" pivotButton="0" quotePrefix="0" xfId="0">
      <alignment horizontal="general" vertical="top" wrapText="1"/>
    </xf>
    <xf numFmtId="9" fontId="6" fillId="2" borderId="23" applyAlignment="1" pivotButton="0" quotePrefix="0" xfId="0">
      <alignment horizontal="center" vertical="top" wrapText="1"/>
    </xf>
    <xf numFmtId="0" fontId="6" fillId="2" borderId="23" applyAlignment="1" pivotButton="0" quotePrefix="0" xfId="0">
      <alignment horizontal="center" vertical="top" wrapText="1"/>
    </xf>
    <xf numFmtId="0" fontId="6" fillId="2" borderId="24" applyAlignment="1" pivotButton="0" quotePrefix="0" xfId="0">
      <alignment horizontal="center" vertical="top" wrapText="1"/>
    </xf>
    <xf numFmtId="0" fontId="19" fillId="2" borderId="25" applyAlignment="1" pivotButton="0" quotePrefix="0" xfId="0">
      <alignment horizontal="center" vertical="top" wrapText="1"/>
    </xf>
    <xf numFmtId="0" fontId="7" fillId="2" borderId="26" applyAlignment="1" pivotButton="0" quotePrefix="0" xfId="0">
      <alignment horizontal="center" vertical="top" wrapText="1"/>
    </xf>
    <xf numFmtId="0" fontId="6" fillId="2" borderId="27" applyAlignment="1" pivotButton="0" quotePrefix="0" xfId="0">
      <alignment horizontal="center" vertical="top" wrapText="1"/>
    </xf>
    <xf numFmtId="0" fontId="6" fillId="0" borderId="0" applyAlignment="1" pivotButton="0" quotePrefix="0" xfId="0">
      <alignment horizontal="center" vertical="bottom" wrapText="1" shrinkToFit="1"/>
    </xf>
    <xf numFmtId="0" fontId="6" fillId="0" borderId="0" applyAlignment="1" pivotButton="0" quotePrefix="0" xfId="0">
      <alignment horizontal="general" vertical="top" wrapText="1" shrinkToFit="1"/>
    </xf>
    <xf numFmtId="49" fontId="6" fillId="0" borderId="0" applyAlignment="1" pivotButton="0" quotePrefix="0" xfId="0">
      <alignment horizontal="left" vertical="top" wrapText="1"/>
    </xf>
    <xf numFmtId="10" fontId="6" fillId="0" borderId="0" applyAlignment="1" pivotButton="0" quotePrefix="0" xfId="0">
      <alignment horizontal="center" vertical="bottom"/>
    </xf>
    <xf numFmtId="0" fontId="6" fillId="0" borderId="0" applyAlignment="1" pivotButton="0" quotePrefix="0" xfId="0">
      <alignment horizontal="left" vertical="top" wrapText="1"/>
    </xf>
    <xf numFmtId="0" fontId="6" fillId="0" borderId="0" applyAlignment="1" pivotButton="0" quotePrefix="0" xfId="0">
      <alignment horizontal="center" vertical="bottom"/>
    </xf>
    <xf numFmtId="0" fontId="6" fillId="0" borderId="0" applyAlignment="1" pivotButton="0" quotePrefix="0" xfId="0">
      <alignment horizontal="general" vertical="bottom"/>
    </xf>
    <xf numFmtId="10" fontId="6" fillId="0" borderId="0" applyAlignment="1" pivotButton="0" quotePrefix="0" xfId="0">
      <alignment horizontal="general" vertical="top"/>
    </xf>
    <xf numFmtId="49" fontId="6" fillId="0" borderId="0" applyAlignment="1" pivotButton="0" quotePrefix="0" xfId="0">
      <alignment horizontal="general" vertical="top" wrapText="1"/>
    </xf>
    <xf numFmtId="0" fontId="6" fillId="0" borderId="0" applyAlignment="1" pivotButton="0" quotePrefix="0" xfId="0">
      <alignment horizontal="general" vertical="bottom" wrapText="1"/>
    </xf>
    <xf numFmtId="0" fontId="0" fillId="0" borderId="0" applyAlignment="1" pivotButton="0" quotePrefix="0" xfId="21">
      <alignment horizontal="general" vertical="bottom"/>
    </xf>
    <xf numFmtId="0" fontId="0" fillId="0" borderId="0" applyAlignment="1" pivotButton="0" quotePrefix="0" xfId="21">
      <alignment horizontal="general" vertical="bottom" wrapText="1"/>
    </xf>
    <xf numFmtId="0" fontId="0" fillId="0" borderId="0" applyAlignment="1" pivotButton="0" quotePrefix="0" xfId="21">
      <alignment horizontal="center" vertical="bottom"/>
    </xf>
    <xf numFmtId="0" fontId="15" fillId="0" borderId="0" applyAlignment="1" pivotButton="0" quotePrefix="0" xfId="0">
      <alignment horizontal="general" vertical="bottom" wrapText="1"/>
    </xf>
    <xf numFmtId="164" fontId="15" fillId="0" borderId="0" applyAlignment="1" pivotButton="0" quotePrefix="0" xfId="0">
      <alignment horizontal="center" vertical="bottom"/>
    </xf>
    <xf numFmtId="0" fontId="20" fillId="0" borderId="0" applyAlignment="1" pivotButton="0" quotePrefix="0" xfId="0">
      <alignment horizontal="general" vertical="bottom"/>
    </xf>
    <xf numFmtId="10" fontId="0" fillId="0" borderId="0" applyAlignment="1" pivotButton="0" quotePrefix="0" xfId="21">
      <alignment horizontal="general" vertical="bottom"/>
    </xf>
    <xf numFmtId="0" fontId="20" fillId="0" borderId="0" applyAlignment="1" pivotButton="0" quotePrefix="0" xfId="0">
      <alignment horizontal="center" vertical="bottom"/>
    </xf>
    <xf numFmtId="0" fontId="21" fillId="0" borderId="0" applyAlignment="1" pivotButton="0" quotePrefix="0" xfId="0">
      <alignment horizontal="general" vertical="bottom" wrapText="1"/>
    </xf>
    <xf numFmtId="9" fontId="15" fillId="0" borderId="0" applyAlignment="1" pivotButton="0" quotePrefix="0" xfId="0">
      <alignment horizontal="center" vertical="bottom"/>
    </xf>
    <xf numFmtId="0" fontId="14" fillId="0" borderId="0" applyAlignment="1" pivotButton="0" quotePrefix="0" xfId="0">
      <alignment horizontal="center" vertical="bottom"/>
    </xf>
    <xf numFmtId="0" fontId="21" fillId="0" borderId="0" applyAlignment="1" pivotButton="0" quotePrefix="0" xfId="0">
      <alignment horizontal="center" vertical="bottom" wrapText="1"/>
    </xf>
    <xf numFmtId="0" fontId="15" fillId="0" borderId="0" applyAlignment="1" pivotButton="0" quotePrefix="0" xfId="0">
      <alignment horizontal="center" vertical="bottom"/>
    </xf>
    <xf numFmtId="0" fontId="20" fillId="0" borderId="0" applyAlignment="1" pivotButton="0" quotePrefix="0" xfId="0">
      <alignment horizontal="left" vertical="center" wrapText="1"/>
    </xf>
    <xf numFmtId="0" fontId="22" fillId="0" borderId="0" applyAlignment="1" pivotButton="0" quotePrefix="0" xfId="0">
      <alignment horizontal="left" vertical="bottom" wrapText="1"/>
    </xf>
    <xf numFmtId="0" fontId="20" fillId="0" borderId="0" applyAlignment="1" pivotButton="0" quotePrefix="0" xfId="0">
      <alignment horizontal="left" vertical="bottom"/>
    </xf>
    <xf numFmtId="10" fontId="15" fillId="0" borderId="0" applyAlignment="1" pivotButton="0" quotePrefix="0" xfId="0">
      <alignment horizontal="center" vertical="bottom" wrapText="1"/>
    </xf>
    <xf numFmtId="165" fontId="15" fillId="0" borderId="0" applyAlignment="1" pivotButton="0" quotePrefix="0" xfId="0">
      <alignment horizontal="center" vertical="bottom"/>
    </xf>
    <xf numFmtId="10" fontId="15" fillId="0" borderId="0" applyAlignment="1" pivotButton="0" quotePrefix="0" xfId="0">
      <alignment horizontal="general" vertical="bottom"/>
    </xf>
    <xf numFmtId="165" fontId="15" fillId="0" borderId="0" applyAlignment="1" pivotButton="0" quotePrefix="0" xfId="0">
      <alignment horizontal="general" vertical="bottom"/>
    </xf>
    <xf numFmtId="0" fontId="12" fillId="0" borderId="0" applyAlignment="1" pivotButton="0" quotePrefix="0" xfId="0">
      <alignment horizontal="general" vertical="bottom" wrapText="1"/>
    </xf>
    <xf numFmtId="0" fontId="23" fillId="0" borderId="0" applyAlignment="1" pivotButton="0" quotePrefix="0" xfId="0">
      <alignment horizontal="left" vertical="bottom" wrapText="1"/>
    </xf>
    <xf numFmtId="0" fontId="20" fillId="0" borderId="0" applyAlignment="1" pivotButton="0" quotePrefix="0" xfId="21">
      <alignment horizontal="center" vertical="bottom"/>
    </xf>
    <xf numFmtId="0" fontId="23" fillId="0" borderId="0" applyAlignment="1" pivotButton="0" quotePrefix="0" xfId="0">
      <alignment horizontal="general" vertical="bottom" wrapText="1"/>
    </xf>
  </cellXfs>
  <cellStyles count="8">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Standaard_ING RFP Attachment 3-A Service Levels Matrix" xfId="7"/>
  </cellStyles>
  <dxfs count="3">
    <dxf>
      <font>
        <name val="Arial"/>
        <family val="0"/>
        <strike val="0"/>
        <outline val="0"/>
        <shadow val="0"/>
        <color rgb="FFFFFFFF"/>
        <sz val="10"/>
      </font>
      <numFmt numFmtId="164" formatCode="General"/>
      <fill>
        <patternFill/>
      </fill>
    </dxf>
    <dxf>
      <font>
        <name val="Arial"/>
        <family val="0"/>
        <strike val="0"/>
        <outline val="0"/>
        <shadow val="0"/>
        <color rgb="FFFFFFFF"/>
        <sz val="10"/>
      </font>
      <numFmt numFmtId="164" formatCode="General"/>
      <fill>
        <patternFill/>
      </fill>
    </dxf>
    <dxf>
      <font>
        <name val="Arial"/>
        <family val="0"/>
        <strike val="0"/>
        <outline val="0"/>
        <shadow val="0"/>
        <color rgb="FFFFFFFF"/>
        <sz val="10"/>
      </font>
      <numFmt numFmtId="164" formatCode="General"/>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customHeight="1" zeroHeight="0" outlineLevelRow="0"/>
  <cols>
    <col width="20.1" customWidth="1" style="155" min="1" max="1"/>
    <col width="105.99" customWidth="1" style="155" min="2" max="2"/>
    <col width="3.99" customWidth="1" style="155" min="3" max="3"/>
  </cols>
  <sheetData>
    <row r="1" ht="72" customHeight="1" s="156"/>
    <row r="2" ht="21.75" customHeight="1" s="156">
      <c r="B2" s="157" t="inlineStr">
        <is>
          <t>EuroBank</t>
        </is>
      </c>
    </row>
    <row r="3" ht="20.4" customHeight="1" s="156">
      <c r="B3" s="157" t="n"/>
    </row>
    <row r="4" ht="45" customHeight="1" s="156">
      <c r="B4" s="157" t="n"/>
    </row>
    <row r="5" ht="20.4" customHeight="1" s="156">
      <c r="B5" s="157" t="inlineStr">
        <is>
          <t>ATTACHMENT 3-A</t>
        </is>
      </c>
    </row>
    <row r="6" ht="20.4" customHeight="1" s="156">
      <c r="B6" s="157" t="n"/>
    </row>
    <row r="7" ht="20.4" customHeight="1" s="156">
      <c r="B7" s="157" t="inlineStr">
        <is>
          <t>SERVICE LEVEL MATRIX</t>
        </is>
      </c>
    </row>
    <row r="8" ht="20.4" customHeight="1" s="156">
      <c r="B8" s="157" t="inlineStr">
        <is>
          <t>Attachment to Exhibit 3 (Service Levels)</t>
        </is>
      </c>
    </row>
    <row r="9" ht="20.4" customHeight="1" s="156">
      <c r="B9" s="157" t="n"/>
    </row>
    <row r="10" ht="20.4" customHeight="1" s="156">
      <c r="B10" s="157" t="n"/>
    </row>
  </sheetData>
  <printOptions horizontalCentered="0" verticalCentered="0" headings="0" gridLines="0" gridLinesSet="1"/>
  <pageMargins left="0.196527777777778" right="0.196527777777778" top="0.354166666666667" bottom="0.551388888888889" header="0.196527777777778" footer="0.511805555555556"/>
  <pageSetup orientation="landscape"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Confidential&amp;R&amp;"Times New Roman,Regular"&amp;8 30/11/06</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N74"/>
  <sheetViews>
    <sheetView showFormulas="0" showGridLines="1" showRowColHeaders="1" showZeros="1" rightToLeft="0" tabSelected="1" showOutlineSymbols="1" defaultGridColor="1" view="pageBreakPreview" topLeftCell="B1" colorId="64" zoomScale="75" zoomScaleNormal="75" zoomScalePageLayoutView="75" workbookViewId="0">
      <selection pane="topLeft" activeCell="F16" activeCellId="0" sqref="F16:G16"/>
    </sheetView>
  </sheetViews>
  <sheetFormatPr baseColWidth="8" defaultColWidth="9.1015625" defaultRowHeight="13.2" customHeight="1" zeroHeight="0" outlineLevelRow="1"/>
  <cols>
    <col width="8.550000000000001" customWidth="1" style="158" min="1" max="1"/>
    <col width="10.55" customWidth="1" style="159" min="2" max="2"/>
    <col width="10.87" customWidth="1" style="160" min="3" max="3"/>
    <col width="82.87" customWidth="1" style="161" min="4" max="4"/>
    <col width="12.32" customWidth="1" style="159" min="5" max="6"/>
    <col width="9.99" customWidth="1" style="159" min="7" max="7"/>
    <col width="15.1" customWidth="1" style="162" min="8" max="8"/>
    <col width="11.87" customWidth="1" style="159" min="9" max="9"/>
    <col width="12.32" customWidth="1" style="159" min="10" max="10"/>
    <col width="2.32" customWidth="1" style="158" min="11" max="11"/>
    <col width="9.1" customWidth="1" style="158" min="12" max="257"/>
  </cols>
  <sheetData>
    <row r="1" ht="13.2" customHeight="1" s="156">
      <c r="D1" s="163" t="n"/>
    </row>
    <row r="2" ht="13.8" customHeight="1" s="156">
      <c r="D2" s="161" t="n"/>
      <c r="L2" s="159" t="n"/>
      <c r="M2" s="159" t="n"/>
      <c r="N2" s="159" t="n"/>
    </row>
    <row r="3" ht="13.8" customHeight="1" s="156">
      <c r="C3" s="164" t="inlineStr">
        <is>
          <t>Total Supplier At Risk - Expressed in term of percentage of the Monthly Charge</t>
        </is>
      </c>
      <c r="D3" s="165" t="n"/>
      <c r="E3" s="166" t="n"/>
      <c r="F3" s="167" t="n"/>
      <c r="G3" s="168" t="n"/>
      <c r="H3" s="169" t="n"/>
      <c r="I3" s="167" t="n"/>
      <c r="J3" s="170" t="n">
        <v>0.15</v>
      </c>
      <c r="K3" s="171" t="n"/>
      <c r="L3" s="172" t="n"/>
      <c r="M3" s="159" t="n"/>
      <c r="N3" s="159" t="n"/>
    </row>
    <row r="4" ht="13.2" customHeight="1" s="156">
      <c r="C4" s="173" t="inlineStr">
        <is>
          <t xml:space="preserve">At Risk Pool Percentage Available For Allocation - Expressed as a % of the "At Risk" amount </t>
        </is>
      </c>
      <c r="E4" s="174" t="n"/>
      <c r="F4" s="174" t="n"/>
      <c r="G4" s="175" t="n"/>
      <c r="H4" s="176" t="n"/>
      <c r="I4" s="174" t="n"/>
      <c r="J4" s="177" t="n">
        <v>3.5</v>
      </c>
      <c r="K4" s="171" t="n"/>
      <c r="L4" s="172" t="n"/>
      <c r="M4" s="159" t="n"/>
      <c r="N4" s="159" t="n"/>
    </row>
    <row r="5" ht="13.8" customHeight="1" s="156">
      <c r="B5" s="178" t="inlineStr">
        <is>
          <t>Attach. 3-B</t>
        </is>
      </c>
      <c r="C5" s="179" t="inlineStr">
        <is>
          <t>At Risk Pool Available Unallocated --  Expressed as % of the Pool not Allocated</t>
        </is>
      </c>
      <c r="D5" s="180" t="n"/>
      <c r="E5" s="181" t="n"/>
      <c r="F5" s="181" t="n"/>
      <c r="G5" s="182" t="n"/>
      <c r="H5" s="183" t="n"/>
      <c r="I5" s="181" t="n"/>
      <c r="J5" s="184">
        <f>J4-F7-F12-F19-F26-F32</f>
        <v/>
      </c>
      <c r="K5" s="171" t="n"/>
      <c r="L5" s="172" t="n"/>
      <c r="M5" s="159" t="n"/>
      <c r="N5" s="159" t="n"/>
    </row>
    <row r="6" ht="27.6" customHeight="1" s="156">
      <c r="B6" s="178" t="inlineStr">
        <is>
          <t>Section Reference</t>
        </is>
      </c>
      <c r="C6" s="158" t="n"/>
      <c r="D6" s="158" t="n"/>
      <c r="E6" s="185" t="n"/>
      <c r="F6" s="185" t="n"/>
      <c r="G6" s="185" t="n"/>
      <c r="H6" s="185" t="n"/>
      <c r="I6" s="185" t="n"/>
      <c r="J6" s="158" t="n"/>
      <c r="K6" s="171" t="n"/>
      <c r="L6" s="172" t="n"/>
      <c r="M6" s="159" t="n"/>
      <c r="N6" s="159" t="n"/>
    </row>
    <row r="7" ht="14.4" customHeight="1" s="156">
      <c r="C7" s="186" t="inlineStr">
        <is>
          <t xml:space="preserve">Allocation of Pool Percentage </t>
        </is>
      </c>
      <c r="D7" s="187" t="n"/>
      <c r="E7" s="188" t="n"/>
      <c r="F7" s="189" t="n">
        <v>1.1</v>
      </c>
      <c r="G7" s="190" t="n"/>
      <c r="H7" s="190" t="inlineStr">
        <is>
          <t>Measurement</t>
        </is>
      </c>
      <c r="I7" s="191" t="n"/>
      <c r="J7" s="192" t="inlineStr">
        <is>
          <t>% of</t>
        </is>
      </c>
    </row>
    <row r="8" ht="14.4" customHeight="1" s="156">
      <c r="C8" s="193" t="inlineStr">
        <is>
          <t>Desktop Services Performance - Performance Category</t>
        </is>
      </c>
      <c r="D8" s="194" t="n"/>
      <c r="E8" s="195" t="inlineStr">
        <is>
          <t>Eff + mos**</t>
        </is>
      </c>
      <c r="F8" s="195" t="inlineStr">
        <is>
          <t>Expected</t>
        </is>
      </c>
      <c r="G8" s="196" t="inlineStr">
        <is>
          <t>Minimum</t>
        </is>
      </c>
      <c r="H8" s="196" t="inlineStr">
        <is>
          <t>Window</t>
        </is>
      </c>
      <c r="I8" s="197" t="inlineStr">
        <is>
          <t>Allocation*</t>
        </is>
      </c>
      <c r="J8" s="198" t="inlineStr">
        <is>
          <t>Invoice</t>
        </is>
      </c>
    </row>
    <row r="9" ht="13.8" customHeight="1" s="156">
      <c r="B9" s="159" t="inlineStr">
        <is>
          <t>12.1</t>
        </is>
      </c>
      <c r="C9" s="199" t="inlineStr">
        <is>
          <t>Application Integration Service - Performance</t>
        </is>
      </c>
      <c r="E9" s="200" t="inlineStr">
        <is>
          <t>CD</t>
        </is>
      </c>
      <c r="F9" s="201">
        <f>SUM(F10)/1</f>
        <v/>
      </c>
      <c r="G9" s="201">
        <f>SUM(G10)/1</f>
        <v/>
      </c>
      <c r="H9" s="202" t="inlineStr">
        <is>
          <t>monthly</t>
        </is>
      </c>
      <c r="I9" s="203" t="n">
        <v>1</v>
      </c>
      <c r="J9" s="204">
        <f>$J$3*$F$7*I9</f>
        <v/>
      </c>
    </row>
    <row r="10" outlineLevel="1" ht="13.2" customHeight="1" s="156">
      <c r="B10" s="159" t="inlineStr">
        <is>
          <t>12.1.1</t>
        </is>
      </c>
      <c r="C10" s="205" t="n"/>
      <c r="D10" s="206" t="inlineStr">
        <is>
          <t>SM &amp; EUC (-UIS) - Number of completed packages per month completed within the timelines</t>
        </is>
      </c>
      <c r="E10" s="159" t="inlineStr">
        <is>
          <t>CD</t>
        </is>
      </c>
      <c r="F10" s="207" t="n">
        <v>0.54</v>
      </c>
      <c r="G10" s="207" t="n">
        <v>0.45</v>
      </c>
      <c r="H10" s="208" t="inlineStr">
        <is>
          <t>monthly</t>
        </is>
      </c>
      <c r="I10" s="209" t="n"/>
      <c r="J10" s="208" t="n"/>
    </row>
    <row r="11" ht="13.8" customHeight="1" s="156">
      <c r="C11" s="206" t="n"/>
      <c r="E11" s="210" t="n"/>
      <c r="F11" s="211" t="n"/>
      <c r="G11" s="211" t="n"/>
      <c r="H11" s="212" t="n"/>
      <c r="I11" s="213" t="n"/>
      <c r="J11" s="208" t="n"/>
    </row>
    <row r="12" ht="14.4" customHeight="1" s="156">
      <c r="C12" s="186" t="inlineStr">
        <is>
          <t xml:space="preserve">Allocation of Pool Percentage </t>
        </is>
      </c>
      <c r="D12" s="187" t="n"/>
      <c r="E12" s="188" t="n"/>
      <c r="F12" s="189" t="n">
        <v>0.9</v>
      </c>
      <c r="G12" s="190" t="n"/>
      <c r="H12" s="190" t="inlineStr">
        <is>
          <t>Measurement</t>
        </is>
      </c>
      <c r="I12" s="191" t="n"/>
      <c r="J12" s="192" t="inlineStr">
        <is>
          <t>% of</t>
        </is>
      </c>
    </row>
    <row r="13" ht="14.4" customHeight="1" s="156">
      <c r="C13" s="193" t="inlineStr">
        <is>
          <t>Access Services Performance - Performance Category</t>
        </is>
      </c>
      <c r="D13" s="194" t="n"/>
      <c r="E13" s="195" t="inlineStr">
        <is>
          <t>Eff + mos**</t>
        </is>
      </c>
      <c r="F13" s="195" t="inlineStr">
        <is>
          <t>Expected</t>
        </is>
      </c>
      <c r="G13" s="196" t="inlineStr">
        <is>
          <t>Minimum</t>
        </is>
      </c>
      <c r="H13" s="196" t="inlineStr">
        <is>
          <t>Window</t>
        </is>
      </c>
      <c r="I13" s="197" t="inlineStr">
        <is>
          <t>Allocation*</t>
        </is>
      </c>
      <c r="J13" s="198" t="inlineStr">
        <is>
          <t>Invoice</t>
        </is>
      </c>
    </row>
    <row r="14" ht="13.8" customHeight="1" s="156">
      <c r="B14" s="159" t="inlineStr">
        <is>
          <t>12.2</t>
        </is>
      </c>
      <c r="C14" s="199" t="inlineStr">
        <is>
          <t>Access Service - Service requests - Performance</t>
        </is>
      </c>
      <c r="E14" s="200" t="inlineStr">
        <is>
          <t>CD</t>
        </is>
      </c>
      <c r="F14" s="201">
        <f>SUM(F15:F16)/2</f>
        <v/>
      </c>
      <c r="G14" s="201">
        <f>SUM(G15:G16)/2</f>
        <v/>
      </c>
      <c r="H14" s="202" t="inlineStr">
        <is>
          <t>monthly</t>
        </is>
      </c>
      <c r="I14" s="203" t="n">
        <v>1</v>
      </c>
      <c r="J14" s="204">
        <f>$J$3*$F$12*I14</f>
        <v/>
      </c>
    </row>
    <row r="15" outlineLevel="1" ht="13.5" customHeight="1" s="156">
      <c r="B15" s="159" t="inlineStr">
        <is>
          <t>12.2.1</t>
        </is>
      </c>
      <c r="C15" s="205" t="n"/>
      <c r="D15" s="206" t="inlineStr">
        <is>
          <t>SM &amp; EUC (-UIS) - Electronic Authorisation request performed in 1 day</t>
        </is>
      </c>
      <c r="E15" s="159" t="inlineStr">
        <is>
          <t>CD</t>
        </is>
      </c>
      <c r="F15" s="207" t="n">
        <v>0.45</v>
      </c>
      <c r="G15" s="207" t="n">
        <v>0.35</v>
      </c>
      <c r="H15" s="208" t="inlineStr">
        <is>
          <t>monthly</t>
        </is>
      </c>
      <c r="I15" s="209" t="n"/>
      <c r="J15" s="208" t="n"/>
    </row>
    <row r="16" outlineLevel="1" ht="13.2" customHeight="1" s="156">
      <c r="B16" s="159" t="inlineStr">
        <is>
          <t>12.2.2</t>
        </is>
      </c>
      <c r="C16" s="205" t="n"/>
      <c r="D16" s="206" t="inlineStr">
        <is>
          <t>SM &amp; EUC (-UIS) - Paper Authorisation request performed in 5 days</t>
        </is>
      </c>
      <c r="E16" s="159" t="inlineStr">
        <is>
          <t>CD</t>
        </is>
      </c>
      <c r="F16" s="207" t="n">
        <v>0.75</v>
      </c>
      <c r="G16" s="207" t="n">
        <v>0.58</v>
      </c>
      <c r="H16" s="208" t="inlineStr">
        <is>
          <t>monthly</t>
        </is>
      </c>
      <c r="I16" s="209" t="n"/>
      <c r="J16" s="208" t="n"/>
    </row>
    <row r="17" outlineLevel="1" ht="13.2" customHeight="1" s="156">
      <c r="C17" s="205" t="n"/>
      <c r="D17" s="206" t="n"/>
      <c r="E17" s="159" t="n"/>
      <c r="F17" s="207" t="n"/>
      <c r="G17" s="207" t="n"/>
      <c r="H17" s="208" t="n"/>
      <c r="I17" s="209" t="n"/>
      <c r="J17" s="208" t="n"/>
    </row>
    <row r="18" ht="13.8" customHeight="1" s="156">
      <c r="C18" s="160" t="n"/>
      <c r="D18" s="161" t="n"/>
      <c r="E18" s="211" t="n"/>
      <c r="F18" s="211" t="n"/>
      <c r="G18" s="211" t="n"/>
      <c r="H18" s="212" t="n"/>
      <c r="I18" s="213" t="n"/>
      <c r="J18" s="208" t="n"/>
    </row>
    <row r="19" ht="14.4" customHeight="1" s="156">
      <c r="C19" s="186" t="inlineStr">
        <is>
          <t xml:space="preserve">Allocation of Pool Percentage </t>
        </is>
      </c>
      <c r="D19" s="187" t="n"/>
      <c r="E19" s="188" t="n"/>
      <c r="F19" s="189" t="n">
        <v>0.5</v>
      </c>
      <c r="G19" s="191" t="n"/>
      <c r="H19" s="190" t="inlineStr">
        <is>
          <t>Measurement</t>
        </is>
      </c>
      <c r="I19" s="191" t="n"/>
      <c r="J19" s="192" t="inlineStr">
        <is>
          <t>% of</t>
        </is>
      </c>
    </row>
    <row r="20" ht="14.4" customHeight="1" s="156">
      <c r="C20" s="193" t="inlineStr">
        <is>
          <t>Service Desk Services Availability - Performance Category</t>
        </is>
      </c>
      <c r="D20" s="194" t="n"/>
      <c r="E20" s="195" t="inlineStr">
        <is>
          <t>Eff + mos**</t>
        </is>
      </c>
      <c r="F20" s="195" t="inlineStr">
        <is>
          <t>Expected</t>
        </is>
      </c>
      <c r="G20" s="196" t="inlineStr">
        <is>
          <t>Minimum</t>
        </is>
      </c>
      <c r="H20" s="196" t="inlineStr">
        <is>
          <t>Window</t>
        </is>
      </c>
      <c r="I20" s="197" t="inlineStr">
        <is>
          <t>Allocation*</t>
        </is>
      </c>
      <c r="J20" s="198" t="inlineStr">
        <is>
          <t>Invoice</t>
        </is>
      </c>
    </row>
    <row r="21" ht="13.8" customHeight="1" s="156">
      <c r="B21" s="159" t="inlineStr">
        <is>
          <t>12.3</t>
        </is>
      </c>
      <c r="C21" s="199" t="inlineStr">
        <is>
          <t>Base Service Desk Service - Availability</t>
        </is>
      </c>
      <c r="E21" s="200" t="inlineStr">
        <is>
          <t>CD</t>
        </is>
      </c>
      <c r="F21" s="201">
        <f>SUM(F22:F23)/2</f>
        <v/>
      </c>
      <c r="G21" s="201">
        <f>SUM(G22:G23)/2</f>
        <v/>
      </c>
      <c r="H21" s="202" t="inlineStr">
        <is>
          <t>monthly</t>
        </is>
      </c>
      <c r="I21" s="203" t="n">
        <v>1</v>
      </c>
      <c r="J21" s="204">
        <f>$J$3*$F$19*I21</f>
        <v/>
      </c>
    </row>
    <row r="22" outlineLevel="1" ht="13.2" customHeight="1" s="156">
      <c r="B22" s="159" t="inlineStr">
        <is>
          <t>12.3.1</t>
        </is>
      </c>
      <c r="C22" s="162" t="n"/>
      <c r="D22" s="214" t="inlineStr">
        <is>
          <t>SD - Speed to answer voice calls &lt; 60 sec after IVR (all levels) - NL</t>
        </is>
      </c>
      <c r="E22" s="159" t="inlineStr">
        <is>
          <t>CD</t>
        </is>
      </c>
      <c r="F22" s="207" t="n">
        <v>0.65</v>
      </c>
      <c r="G22" s="207" t="n">
        <v>0.59</v>
      </c>
      <c r="H22" s="208" t="inlineStr">
        <is>
          <t>monthly</t>
        </is>
      </c>
      <c r="I22" s="209" t="n"/>
      <c r="J22" s="208" t="n"/>
    </row>
    <row r="23" outlineLevel="1" ht="13.2" customHeight="1" s="156">
      <c r="B23" s="159" t="inlineStr">
        <is>
          <t>12.3.2</t>
        </is>
      </c>
      <c r="C23" s="162" t="n"/>
      <c r="D23" s="214" t="inlineStr">
        <is>
          <t>SD - Call non-abandonment rate - NL</t>
        </is>
      </c>
      <c r="E23" s="159" t="inlineStr">
        <is>
          <t>CD</t>
        </is>
      </c>
      <c r="F23" s="207" t="n">
        <v>0.8</v>
      </c>
      <c r="G23" s="207" t="n">
        <v>0.77</v>
      </c>
      <c r="H23" s="208" t="inlineStr">
        <is>
          <t>monthly</t>
        </is>
      </c>
      <c r="I23" s="209" t="n"/>
      <c r="J23" s="208" t="n"/>
    </row>
    <row r="24" outlineLevel="1" ht="13.2" customHeight="1" s="156">
      <c r="C24" s="162" t="n"/>
      <c r="D24" s="214" t="n"/>
      <c r="E24" s="159" t="n"/>
      <c r="F24" s="207" t="n"/>
      <c r="G24" s="207" t="n"/>
      <c r="H24" s="208" t="n"/>
      <c r="I24" s="209" t="n"/>
      <c r="J24" s="208" t="n"/>
    </row>
    <row r="25" ht="13.8" customHeight="1" s="156">
      <c r="C25" s="160" t="n"/>
      <c r="D25" s="161" t="n"/>
      <c r="E25" s="211" t="n"/>
      <c r="F25" s="211" t="n"/>
      <c r="G25" s="211" t="n"/>
      <c r="H25" s="212" t="n"/>
      <c r="I25" s="213" t="n"/>
      <c r="J25" s="208" t="n"/>
    </row>
    <row r="26" ht="14.4" customHeight="1" s="156">
      <c r="C26" s="186" t="inlineStr">
        <is>
          <t xml:space="preserve">Allocation of Pool Percentage </t>
        </is>
      </c>
      <c r="D26" s="187" t="n"/>
      <c r="E26" s="188" t="n"/>
      <c r="F26" s="189" t="n">
        <v>0.5</v>
      </c>
      <c r="G26" s="190" t="n"/>
      <c r="H26" s="190" t="inlineStr">
        <is>
          <t>Measurement</t>
        </is>
      </c>
      <c r="I26" s="191" t="n"/>
      <c r="J26" s="192" t="inlineStr">
        <is>
          <t>% of</t>
        </is>
      </c>
    </row>
    <row r="27" ht="14.4" customHeight="1" s="156">
      <c r="C27" s="193" t="inlineStr">
        <is>
          <t>Base Service Desk Services Performance - Performance Category</t>
        </is>
      </c>
      <c r="D27" s="194" t="n"/>
      <c r="E27" s="195" t="inlineStr">
        <is>
          <t>Eff + mos**</t>
        </is>
      </c>
      <c r="F27" s="195" t="inlineStr">
        <is>
          <t>Expected</t>
        </is>
      </c>
      <c r="G27" s="196" t="inlineStr">
        <is>
          <t>Minimum</t>
        </is>
      </c>
      <c r="H27" s="196" t="inlineStr">
        <is>
          <t>Window</t>
        </is>
      </c>
      <c r="I27" s="197" t="inlineStr">
        <is>
          <t>Allocation*</t>
        </is>
      </c>
      <c r="J27" s="198" t="inlineStr">
        <is>
          <t>Invoice</t>
        </is>
      </c>
    </row>
    <row r="28" ht="13.8" customHeight="1" s="156">
      <c r="B28" s="159" t="inlineStr">
        <is>
          <t>12.4</t>
        </is>
      </c>
      <c r="C28" s="199" t="inlineStr">
        <is>
          <t>Base Service Desk Services - Performance</t>
        </is>
      </c>
      <c r="E28" s="200" t="inlineStr">
        <is>
          <t>CD</t>
        </is>
      </c>
      <c r="F28" s="201">
        <f>SUM(F29)/1</f>
        <v/>
      </c>
      <c r="G28" s="201">
        <f>SUM(G29)/1</f>
        <v/>
      </c>
      <c r="H28" s="202" t="inlineStr">
        <is>
          <t>monthly</t>
        </is>
      </c>
      <c r="I28" s="203" t="n">
        <v>1</v>
      </c>
      <c r="J28" s="204">
        <f>$J$3*$F$26*I28</f>
        <v/>
      </c>
    </row>
    <row r="29" outlineLevel="1" ht="13.2" customHeight="1" s="156">
      <c r="B29" s="159" t="inlineStr">
        <is>
          <t>12.4.1</t>
        </is>
      </c>
      <c r="C29" s="162" t="n"/>
      <c r="D29" s="214" t="inlineStr">
        <is>
          <t>SD - Percentage of In-Scope Incidents resolved by the Service Desk - NL</t>
        </is>
      </c>
      <c r="E29" s="159" t="inlineStr">
        <is>
          <t>CD</t>
        </is>
      </c>
      <c r="F29" s="207" t="n">
        <v>0.58</v>
      </c>
      <c r="G29" s="207" t="n">
        <v>0.54</v>
      </c>
      <c r="H29" s="208" t="inlineStr">
        <is>
          <t>monthly</t>
        </is>
      </c>
      <c r="I29" s="209" t="n"/>
      <c r="J29" s="208" t="n"/>
    </row>
    <row r="30" outlineLevel="1" ht="13.2" customHeight="1" s="156">
      <c r="C30" s="162" t="n"/>
      <c r="D30" s="214" t="n"/>
      <c r="E30" s="159" t="n"/>
      <c r="F30" s="207" t="n"/>
      <c r="G30" s="207" t="n"/>
      <c r="H30" s="208" t="n"/>
      <c r="I30" s="209" t="n"/>
      <c r="J30" s="208" t="n"/>
    </row>
    <row r="31" ht="13.8" customHeight="1" s="156">
      <c r="C31" s="160" t="n"/>
      <c r="D31" s="161" t="n"/>
      <c r="E31" s="210" t="n"/>
      <c r="F31" s="211" t="n"/>
      <c r="G31" s="211" t="n"/>
      <c r="H31" s="212" t="n"/>
      <c r="I31" s="213" t="n"/>
      <c r="J31" s="208" t="n"/>
    </row>
    <row r="32" ht="14.4" customHeight="1" s="156">
      <c r="C32" s="186" t="inlineStr">
        <is>
          <t xml:space="preserve">Allocation of Pool Percentage </t>
        </is>
      </c>
      <c r="D32" s="187" t="n"/>
      <c r="E32" s="188" t="n"/>
      <c r="F32" s="189" t="n">
        <v>0.5</v>
      </c>
      <c r="G32" s="190" t="n"/>
      <c r="H32" s="190" t="inlineStr">
        <is>
          <t>Measurement</t>
        </is>
      </c>
      <c r="I32" s="191" t="n"/>
      <c r="J32" s="192" t="inlineStr">
        <is>
          <t>% of</t>
        </is>
      </c>
    </row>
    <row r="33" ht="14.4" customHeight="1" s="156">
      <c r="C33" s="193" t="inlineStr">
        <is>
          <t>Incident Services Performance - Performance Category</t>
        </is>
      </c>
      <c r="D33" s="194" t="n"/>
      <c r="E33" s="195" t="inlineStr">
        <is>
          <t>Eff + mos**</t>
        </is>
      </c>
      <c r="F33" s="195" t="inlineStr">
        <is>
          <t>Expected</t>
        </is>
      </c>
      <c r="G33" s="196" t="inlineStr">
        <is>
          <t>Minimum</t>
        </is>
      </c>
      <c r="H33" s="196" t="inlineStr">
        <is>
          <t>Window</t>
        </is>
      </c>
      <c r="I33" s="197" t="inlineStr">
        <is>
          <t>Allocation*</t>
        </is>
      </c>
      <c r="J33" s="198" t="inlineStr">
        <is>
          <t>Invoice</t>
        </is>
      </c>
    </row>
    <row r="34" ht="13.8" customHeight="1" s="156">
      <c r="B34" s="159" t="inlineStr">
        <is>
          <t>12.5</t>
        </is>
      </c>
      <c r="C34" s="199" t="inlineStr">
        <is>
          <t>Incident Response &amp; Management Service - Performance</t>
        </is>
      </c>
      <c r="E34" s="200" t="inlineStr">
        <is>
          <t>CD</t>
        </is>
      </c>
      <c r="F34" s="201">
        <f>(F35+F40)/2</f>
        <v/>
      </c>
      <c r="G34" s="201">
        <f>(G35+G40)/2</f>
        <v/>
      </c>
      <c r="H34" s="202" t="inlineStr">
        <is>
          <t>monthly</t>
        </is>
      </c>
      <c r="I34" s="203" t="n">
        <v>1</v>
      </c>
      <c r="J34" s="204">
        <f>$J$3*$F$32*I34</f>
        <v/>
      </c>
    </row>
    <row r="35" outlineLevel="1" ht="13.2" customHeight="1" s="156">
      <c r="B35" s="159" t="inlineStr">
        <is>
          <t>12.5.1</t>
        </is>
      </c>
      <c r="C35" s="205" t="n"/>
      <c r="D35" s="215" t="inlineStr">
        <is>
          <t>Incident resolution - priority 1</t>
        </is>
      </c>
      <c r="E35" s="216" t="inlineStr">
        <is>
          <t>CD</t>
        </is>
      </c>
      <c r="F35" s="217">
        <f>SUM(F36:F39)/4</f>
        <v/>
      </c>
      <c r="G35" s="217">
        <f>SUM(G36:G39)/4</f>
        <v/>
      </c>
      <c r="H35" s="218" t="inlineStr">
        <is>
          <t>monthly</t>
        </is>
      </c>
      <c r="I35" s="219" t="n"/>
      <c r="J35" s="208" t="n"/>
    </row>
    <row r="36" outlineLevel="1" ht="13.2" customHeight="1" s="156">
      <c r="C36" s="205" t="n"/>
      <c r="D36" s="206" t="inlineStr">
        <is>
          <t>SD &amp; SM &amp; LAN &amp; Voice &amp; DTHW &amp; EUC - Incident priority 1 resolution time &lt; 4 hours - NL</t>
        </is>
      </c>
      <c r="E36" s="162" t="inlineStr">
        <is>
          <t>CD</t>
        </is>
      </c>
      <c r="F36" s="208" t="n">
        <v>0.87</v>
      </c>
      <c r="G36" s="208" t="n">
        <v>0.83</v>
      </c>
      <c r="H36" s="162" t="inlineStr">
        <is>
          <t>monthly</t>
        </is>
      </c>
      <c r="I36" s="219" t="n"/>
      <c r="J36" s="208" t="n"/>
    </row>
    <row r="37" outlineLevel="1" ht="13.2" customHeight="1" s="156">
      <c r="C37" s="205" t="n"/>
      <c r="D37" s="206" t="inlineStr">
        <is>
          <t>SD &amp; SM &amp; LAN &amp; Voice &amp; DTHW &amp; EUC - Incident priority 1 resolution time &lt; 4 hours - BE</t>
        </is>
      </c>
      <c r="E37" s="162" t="inlineStr">
        <is>
          <t>CD</t>
        </is>
      </c>
      <c r="F37" s="208" t="n">
        <v>0.65</v>
      </c>
      <c r="G37" s="208" t="n">
        <v>0.4</v>
      </c>
      <c r="H37" s="162" t="inlineStr">
        <is>
          <t>monthly</t>
        </is>
      </c>
      <c r="I37" s="219" t="n"/>
      <c r="J37" s="208" t="n"/>
    </row>
    <row r="38" outlineLevel="1" ht="13.2" customHeight="1" s="156">
      <c r="C38" s="205" t="n"/>
      <c r="D38" s="206" t="inlineStr">
        <is>
          <t>SD &amp; SM &amp; LAN &amp; Voice &amp; DTHW &amp; EUC - Incident priority 1 resolution time &lt; 2 hours - NL</t>
        </is>
      </c>
      <c r="E38" s="162" t="inlineStr">
        <is>
          <t>CD</t>
        </is>
      </c>
      <c r="F38" s="208" t="n">
        <v>0.65</v>
      </c>
      <c r="G38" s="208" t="n">
        <v>0.62</v>
      </c>
      <c r="H38" s="162" t="inlineStr">
        <is>
          <t>monthly</t>
        </is>
      </c>
      <c r="I38" s="209" t="n"/>
      <c r="J38" s="208" t="n"/>
    </row>
    <row r="39" outlineLevel="1" ht="13.2" customHeight="1" s="156">
      <c r="C39" s="205" t="n"/>
      <c r="D39" s="206" t="inlineStr">
        <is>
          <t>SD &amp; SM &amp; LAN &amp; Voice &amp; DTHW &amp; EUC - Incident priority 1 resolution time &lt; 2 hours - BE</t>
        </is>
      </c>
      <c r="E39" s="162" t="inlineStr">
        <is>
          <t>CD</t>
        </is>
      </c>
      <c r="F39" s="208" t="n">
        <v>0.62</v>
      </c>
      <c r="G39" s="208" t="n">
        <v>0.4</v>
      </c>
      <c r="H39" s="162" t="inlineStr">
        <is>
          <t>monthly</t>
        </is>
      </c>
      <c r="I39" s="209" t="n"/>
      <c r="J39" s="208" t="n"/>
    </row>
    <row r="40" outlineLevel="1" ht="13.2" customHeight="1" s="156">
      <c r="B40" s="159" t="inlineStr">
        <is>
          <t>12.5.2</t>
        </is>
      </c>
      <c r="C40" s="205" t="n"/>
      <c r="D40" s="215" t="inlineStr">
        <is>
          <t>Incident resolution - priorities 2, 3 and 4</t>
        </is>
      </c>
      <c r="E40" s="216" t="inlineStr">
        <is>
          <t>CD</t>
        </is>
      </c>
      <c r="F40" s="217">
        <f>SUM(F41:F48)/8</f>
        <v/>
      </c>
      <c r="G40" s="217">
        <f>SUM(G41:G48)/8</f>
        <v/>
      </c>
      <c r="H40" s="218" t="inlineStr">
        <is>
          <t>monthly</t>
        </is>
      </c>
      <c r="I40" s="219" t="n"/>
      <c r="J40" s="208" t="n"/>
    </row>
    <row r="41" outlineLevel="1" ht="13.2" customHeight="1" s="156">
      <c r="C41" s="205" t="n"/>
      <c r="D41" s="206" t="inlineStr">
        <is>
          <t>DTHW - Incident resolution time  (priority level 3/4 - 24 working hours) - NL</t>
        </is>
      </c>
      <c r="E41" s="162" t="inlineStr">
        <is>
          <t>CD</t>
        </is>
      </c>
      <c r="F41" s="208" t="n">
        <v>0.9399999999999999</v>
      </c>
      <c r="G41" s="208" t="n">
        <v>0.93</v>
      </c>
      <c r="H41" s="208" t="inlineStr">
        <is>
          <t>monthly</t>
        </is>
      </c>
      <c r="I41" s="219" t="n"/>
      <c r="J41" s="208" t="n"/>
    </row>
    <row r="42" outlineLevel="1" ht="13.2" customHeight="1" s="156">
      <c r="C42" s="205" t="n"/>
      <c r="D42" s="206" t="inlineStr">
        <is>
          <t>DTHW - Incident resolution time  (priority level 3/4 - 24 working hours) - BE</t>
        </is>
      </c>
      <c r="E42" s="162" t="inlineStr">
        <is>
          <t>CD</t>
        </is>
      </c>
      <c r="F42" s="208" t="n">
        <v>0.96</v>
      </c>
      <c r="G42" s="208" t="n">
        <v>0.95</v>
      </c>
      <c r="H42" s="208" t="inlineStr">
        <is>
          <t>monthly</t>
        </is>
      </c>
      <c r="I42" s="219" t="n"/>
      <c r="J42" s="208" t="n"/>
    </row>
    <row r="43" outlineLevel="1" ht="13.2" customHeight="1" s="156">
      <c r="C43" s="205" t="n"/>
      <c r="D43" s="206" t="inlineStr">
        <is>
          <t>SM &amp; EUC (-UIS) - Incident priority 2 resolution time &lt; 8 hours - NL</t>
        </is>
      </c>
      <c r="E43" s="162" t="inlineStr">
        <is>
          <t>CD</t>
        </is>
      </c>
      <c r="F43" s="208" t="n">
        <v>0.58</v>
      </c>
      <c r="G43" s="208" t="n">
        <v>0.51</v>
      </c>
      <c r="H43" s="208" t="inlineStr">
        <is>
          <t>monthly</t>
        </is>
      </c>
      <c r="I43" s="219" t="n"/>
      <c r="J43" s="208" t="n"/>
    </row>
    <row r="44" outlineLevel="1" ht="13.2" customHeight="1" s="156">
      <c r="C44" s="205" t="n"/>
      <c r="D44" s="206" t="inlineStr">
        <is>
          <t>SM &amp; EUC (-UIS) - Incident priority 2 resolution time &lt; 8 hours - BE</t>
        </is>
      </c>
      <c r="E44" s="162" t="inlineStr">
        <is>
          <t>CD</t>
        </is>
      </c>
      <c r="F44" s="208" t="n">
        <v>0.6899999999999999</v>
      </c>
      <c r="G44" s="208" t="n">
        <v>0.64</v>
      </c>
      <c r="H44" s="208" t="inlineStr">
        <is>
          <t>monthly</t>
        </is>
      </c>
      <c r="I44" s="219" t="n"/>
      <c r="J44" s="208" t="n"/>
    </row>
    <row r="45" outlineLevel="1" ht="13.2" customHeight="1" s="156">
      <c r="C45" s="205" t="n"/>
      <c r="D45" s="206" t="inlineStr">
        <is>
          <t>SM &amp; EUC (-UIS) - Incident priority 3 resolution time &lt; 24 hours - NL</t>
        </is>
      </c>
      <c r="E45" s="162" t="inlineStr">
        <is>
          <t>CD</t>
        </is>
      </c>
      <c r="F45" s="208" t="n">
        <v>0.78</v>
      </c>
      <c r="G45" s="208" t="n">
        <v>0.72</v>
      </c>
      <c r="H45" s="208" t="inlineStr">
        <is>
          <t>monthly</t>
        </is>
      </c>
      <c r="I45" s="219" t="n"/>
      <c r="J45" s="208" t="n"/>
    </row>
    <row r="46" outlineLevel="1" ht="13.2" customHeight="1" s="156">
      <c r="C46" s="205" t="n"/>
      <c r="D46" s="206" t="inlineStr">
        <is>
          <t>SM &amp; EUC (-UIS) - Incident priority 3 resolution time &lt; 24 hours - BE</t>
        </is>
      </c>
      <c r="E46" s="162" t="inlineStr">
        <is>
          <t>CD</t>
        </is>
      </c>
      <c r="F46" s="208" t="n">
        <v>0.7</v>
      </c>
      <c r="G46" s="208" t="n">
        <v>0.63</v>
      </c>
      <c r="H46" s="208" t="inlineStr">
        <is>
          <t>monthly</t>
        </is>
      </c>
      <c r="I46" s="219" t="n"/>
      <c r="J46" s="208" t="n"/>
    </row>
    <row r="47" outlineLevel="1" ht="13.2" customHeight="1" s="156">
      <c r="C47" s="205" t="n"/>
      <c r="D47" s="206" t="inlineStr">
        <is>
          <t>SM &amp; EUC (-UIS) - Incident priority 4 resolution time &lt; 10 business days - NL</t>
        </is>
      </c>
      <c r="E47" s="162" t="inlineStr">
        <is>
          <t>CD</t>
        </is>
      </c>
      <c r="F47" s="208" t="n">
        <v>0.91</v>
      </c>
      <c r="G47" s="208" t="n">
        <v>0.88</v>
      </c>
      <c r="H47" s="208" t="inlineStr">
        <is>
          <t>monthly</t>
        </is>
      </c>
      <c r="I47" s="219" t="n"/>
      <c r="J47" s="208" t="n"/>
    </row>
    <row r="48" outlineLevel="1" ht="13.2" customHeight="1" s="156">
      <c r="C48" s="205" t="n"/>
      <c r="D48" s="206" t="inlineStr">
        <is>
          <t>SM &amp; EUC (-UIS) - Incident priority 4 resolution time &lt; 10 business days - BE</t>
        </is>
      </c>
      <c r="E48" s="162" t="inlineStr">
        <is>
          <t>CD</t>
        </is>
      </c>
      <c r="F48" s="208" t="n">
        <v>0.89</v>
      </c>
      <c r="G48" s="208" t="n">
        <v>0.88</v>
      </c>
      <c r="H48" s="208" t="inlineStr">
        <is>
          <t>monthly</t>
        </is>
      </c>
      <c r="I48" s="219" t="n"/>
      <c r="J48" s="208" t="n"/>
    </row>
    <row r="49" outlineLevel="1" ht="13.2" customHeight="1" s="156">
      <c r="C49" s="205" t="n"/>
      <c r="D49" s="206" t="n"/>
      <c r="E49" s="162" t="n"/>
      <c r="H49" s="208" t="n"/>
      <c r="I49" s="209" t="n"/>
      <c r="J49" s="208" t="n"/>
    </row>
    <row r="50" ht="13.2" customHeight="1" s="156">
      <c r="C50" s="160" t="n"/>
      <c r="D50" s="161" t="n"/>
      <c r="E50" s="159" t="n"/>
      <c r="F50" s="207" t="n"/>
      <c r="G50" s="207" t="n"/>
      <c r="H50" s="208" t="n"/>
      <c r="I50" s="209" t="n"/>
      <c r="J50" s="208" t="n"/>
    </row>
    <row r="51" ht="13.2" customHeight="1" s="156">
      <c r="C51" s="160" t="n"/>
      <c r="D51" s="206" t="inlineStr">
        <is>
          <t>Notes</t>
        </is>
      </c>
      <c r="E51" s="159" t="n"/>
      <c r="F51" s="207" t="n"/>
      <c r="G51" s="207" t="n"/>
      <c r="H51" s="208" t="n"/>
      <c r="I51" s="209" t="n"/>
      <c r="J51" s="208" t="n"/>
    </row>
    <row r="52" ht="13.2" customHeight="1" s="156">
      <c r="C52" s="160" t="n"/>
      <c r="D52" s="161" t="inlineStr">
        <is>
          <t>Expected = average based on report period may-sept 2006</t>
        </is>
      </c>
      <c r="E52" s="159" t="n"/>
      <c r="F52" s="207" t="n"/>
      <c r="G52" s="207" t="n"/>
      <c r="H52" s="208" t="n"/>
      <c r="I52" s="209" t="n"/>
      <c r="J52" s="208" t="n"/>
    </row>
    <row r="53" ht="13.2" customHeight="1" s="156">
      <c r="B53" s="160" t="n"/>
      <c r="D53" s="161" t="inlineStr">
        <is>
          <t xml:space="preserve">Minimum = average - 66,6% (average - minimum) </t>
        </is>
      </c>
      <c r="E53" s="220" t="n"/>
      <c r="F53" s="159" t="n"/>
      <c r="G53" s="159" t="n"/>
      <c r="H53" s="159" t="n"/>
      <c r="I53" s="159" t="n"/>
      <c r="J53" s="159" t="n"/>
      <c r="K53" s="160" t="n"/>
    </row>
    <row r="54" ht="13.2" customHeight="1" s="156">
      <c r="B54" s="160" t="n"/>
      <c r="D54" s="221" t="inlineStr">
        <is>
          <t>The ‘earn back’ system is applicable</t>
        </is>
      </c>
      <c r="E54" s="220" t="n"/>
      <c r="F54" s="159" t="n"/>
      <c r="G54" s="159" t="n"/>
      <c r="H54" s="159" t="n"/>
      <c r="I54" s="159" t="n"/>
      <c r="J54" s="159" t="n"/>
      <c r="K54" s="160" t="n"/>
    </row>
    <row r="55" ht="13.2" customHeight="1" s="156">
      <c r="B55" s="160" t="n"/>
      <c r="D55" s="221" t="inlineStr">
        <is>
          <t>Will only consist of Service Levels which are currently measured (no new measuring, tooling or reporting required)</t>
        </is>
      </c>
      <c r="E55" s="220" t="n"/>
      <c r="F55" s="159" t="n"/>
      <c r="G55" s="159" t="n"/>
      <c r="H55" s="159" t="n"/>
      <c r="I55" s="159" t="n"/>
      <c r="J55" s="159" t="n"/>
      <c r="K55" s="160" t="n"/>
    </row>
    <row r="56" ht="13.2" customHeight="1" s="156">
      <c r="B56" s="160" t="n"/>
      <c r="D56" s="221" t="n"/>
      <c r="E56" s="220" t="n"/>
      <c r="F56" s="159" t="n"/>
      <c r="G56" s="159" t="n"/>
      <c r="H56" s="159" t="n"/>
      <c r="I56" s="159" t="n"/>
      <c r="J56" s="159" t="n"/>
      <c r="K56" s="160" t="n"/>
    </row>
    <row r="57" ht="13.2" customHeight="1" s="156">
      <c r="B57" s="160" t="n"/>
      <c r="D57" s="222" t="inlineStr">
        <is>
          <t>Additional Notes:</t>
        </is>
      </c>
      <c r="E57" s="220" t="n"/>
      <c r="F57" s="159" t="n"/>
      <c r="G57" s="159" t="n"/>
      <c r="H57" s="159" t="n"/>
      <c r="I57" s="159" t="n"/>
      <c r="J57" s="159" t="n"/>
      <c r="K57" s="160" t="n"/>
    </row>
    <row r="58" ht="13.2" customHeight="1" s="156">
      <c r="B58" s="160" t="n"/>
      <c r="D58" s="223" t="inlineStr">
        <is>
          <t>* Service Level Credit Allocation Percentage</t>
        </is>
      </c>
      <c r="E58" s="220" t="n"/>
      <c r="F58" s="159" t="n"/>
      <c r="G58" s="159" t="n"/>
      <c r="H58" s="159" t="n"/>
      <c r="I58" s="159" t="n"/>
      <c r="J58" s="159" t="n"/>
      <c r="K58" s="160" t="n"/>
    </row>
    <row r="59" ht="13.2" customHeight="1" s="156">
      <c r="B59" s="160" t="n"/>
      <c r="D59" s="223" t="inlineStr">
        <is>
          <t>**  Number of Months after Effective Date when the Supplier is responsible for Service Level</t>
        </is>
      </c>
      <c r="E59" s="220" t="n"/>
      <c r="F59" s="159" t="n"/>
      <c r="G59" s="159" t="n"/>
      <c r="H59" s="159" t="n"/>
      <c r="I59" s="159" t="n"/>
      <c r="J59" s="159" t="n"/>
      <c r="K59" s="160" t="n"/>
    </row>
    <row r="60" ht="13.2" customHeight="1" s="156">
      <c r="B60" s="160" t="n"/>
      <c r="C60" s="160" t="n"/>
      <c r="D60" s="223" t="inlineStr">
        <is>
          <t xml:space="preserve">     performance and Performance Credits due for Service Level Default</t>
        </is>
      </c>
      <c r="E60" s="220" t="n"/>
      <c r="F60" s="207" t="n"/>
      <c r="G60" s="207" t="n"/>
      <c r="H60" s="207" t="n"/>
      <c r="I60" s="209" t="n"/>
      <c r="J60" s="207" t="n"/>
      <c r="K60" s="160" t="n"/>
    </row>
    <row r="61" ht="13.2" customHeight="1" s="156">
      <c r="B61" s="160" t="n"/>
      <c r="C61" s="160" t="n"/>
      <c r="D61" s="160" t="n"/>
      <c r="E61" s="160" t="n"/>
      <c r="F61" s="160" t="n"/>
      <c r="G61" s="160" t="n"/>
      <c r="H61" s="160" t="n"/>
      <c r="I61" s="160" t="n"/>
      <c r="J61" s="160" t="n"/>
      <c r="K61" s="160" t="n"/>
    </row>
    <row r="62" ht="13.2" customHeight="1" s="156">
      <c r="D62" s="158" t="n"/>
      <c r="E62" s="159" t="n"/>
      <c r="F62" s="159" t="n"/>
      <c r="G62" s="159" t="n"/>
      <c r="H62" s="159" t="n"/>
      <c r="I62" s="159" t="n"/>
    </row>
    <row r="63" ht="13.2" customHeight="1" s="156">
      <c r="D63" s="158" t="n"/>
      <c r="E63" s="159" t="n"/>
      <c r="F63" s="159" t="n"/>
      <c r="G63" s="159" t="n"/>
      <c r="H63" s="159" t="n"/>
      <c r="I63" s="159" t="n"/>
    </row>
    <row r="64" ht="13.2" customHeight="1" s="156">
      <c r="D64" s="158" t="n"/>
      <c r="E64" s="159" t="n"/>
      <c r="F64" s="159" t="n"/>
      <c r="G64" s="159" t="n"/>
      <c r="H64" s="159" t="n"/>
      <c r="I64" s="159" t="n"/>
    </row>
    <row r="65" ht="13.2" customHeight="1" s="156">
      <c r="D65" s="158" t="n"/>
      <c r="H65" s="159" t="n"/>
    </row>
    <row r="66" ht="13.2" customHeight="1" s="156">
      <c r="D66" s="158" t="n"/>
      <c r="H66" s="159" t="n"/>
    </row>
    <row r="67" ht="13.2" customHeight="1" s="156">
      <c r="D67" s="158" t="n"/>
      <c r="H67" s="159" t="n"/>
    </row>
    <row r="68" ht="13.2" customHeight="1" s="156">
      <c r="D68" s="158" t="n"/>
      <c r="H68" s="159" t="n"/>
    </row>
    <row r="69" ht="13.2" customHeight="1" s="156">
      <c r="D69" s="158" t="n"/>
      <c r="H69" s="159" t="n"/>
    </row>
    <row r="70" ht="13.2" customHeight="1" s="156">
      <c r="D70" s="158" t="n"/>
      <c r="H70" s="159" t="n"/>
    </row>
    <row r="71" ht="13.2" customHeight="1" s="156">
      <c r="D71" s="158" t="n"/>
      <c r="H71" s="159" t="n"/>
    </row>
    <row r="72" ht="13.2" customHeight="1" s="156">
      <c r="D72" s="158" t="n"/>
      <c r="H72" s="159" t="n"/>
    </row>
    <row r="73" ht="13.2" customHeight="1" s="156">
      <c r="D73" s="158" t="n"/>
      <c r="H73" s="159" t="n"/>
    </row>
    <row r="74" ht="13.2" customHeight="1" s="156">
      <c r="D74" s="158" t="n"/>
      <c r="H74" s="159" t="n"/>
    </row>
  </sheetData>
  <mergeCells count="18">
    <mergeCell ref="C20:D20"/>
    <mergeCell ref="C12:D12"/>
    <mergeCell ref="C34:D34"/>
    <mergeCell ref="C32:D32"/>
    <mergeCell ref="C7:D7"/>
    <mergeCell ref="C21:D21"/>
    <mergeCell ref="C3:D3"/>
    <mergeCell ref="C33:D33"/>
    <mergeCell ref="C27:D27"/>
    <mergeCell ref="C5:D5"/>
    <mergeCell ref="C19:D19"/>
    <mergeCell ref="C14:D14"/>
    <mergeCell ref="C28:D28"/>
    <mergeCell ref="C13:D13"/>
    <mergeCell ref="C9:D9"/>
    <mergeCell ref="C26:D26"/>
    <mergeCell ref="C8:D8"/>
    <mergeCell ref="C4:D4"/>
  </mergeCells>
  <conditionalFormatting sqref="J10:J11 J15:J18 J22:J25 J29:J31 J35:J52 J60">
    <cfRule type="expression" rank="0" priority="2" equalAverage="0" aboveAverage="0" dxfId="0" text="" percent="0" bottom="0">
      <formula>ISERROR(J60)</formula>
    </cfRule>
  </conditionalFormatting>
  <printOptions horizontalCentered="0" verticalCentered="0" headings="0" gridLines="0" gridLinesSet="1"/>
  <pageMargins left="0.747916666666667" right="0.747916666666667" top="0.9840277777777779" bottom="0.9840277777777779" header="0.5" footer="0.5"/>
  <pageSetup orientation="landscape" paperSize="9" scale="72"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3-A:   &amp;A   &amp;P&amp;R&amp;"Times New Roman,Regular"&amp;8 30/11/06</oddFooter>
    <evenHeader/>
    <evenFooter/>
    <firstHeader/>
    <firstFooter/>
  </headerFooter>
  <rowBreaks count="1" manualBreakCount="1">
    <brk id="30" min="0" max="16383" man="1"/>
  </rowBreaks>
</worksheet>
</file>

<file path=xl/worksheets/sheet3.xml><?xml version="1.0" encoding="utf-8"?>
<worksheet xmlns="http://schemas.openxmlformats.org/spreadsheetml/2006/main">
  <sheetPr filterMode="0">
    <outlinePr summaryBelow="1" summaryRight="1"/>
    <pageSetUpPr fitToPage="0"/>
  </sheetPr>
  <dimension ref="A1:O222"/>
  <sheetViews>
    <sheetView showFormulas="0" showGridLines="1" showRowColHeaders="1" showZeros="1" rightToLeft="0" tabSelected="0" showOutlineSymbols="1" defaultGridColor="1" view="pageBreakPreview" topLeftCell="A140" colorId="64" zoomScale="75" zoomScaleNormal="84" zoomScalePageLayoutView="75" workbookViewId="0">
      <selection pane="topLeft" activeCell="E178" activeCellId="0" sqref="E178"/>
    </sheetView>
  </sheetViews>
  <sheetFormatPr baseColWidth="8" defaultColWidth="9.1015625" defaultRowHeight="13.2" customHeight="1" zeroHeight="0" outlineLevelRow="1"/>
  <cols>
    <col width="7.88" customWidth="1" style="158" min="1" max="1"/>
    <col width="10.55" customWidth="1" style="159" min="2" max="2"/>
    <col width="10.87" customWidth="1" style="160" min="3" max="3"/>
    <col width="89.98999999999999" customWidth="1" style="161" min="4" max="4"/>
    <col width="12.32" customWidth="1" style="159" min="5" max="5"/>
    <col width="13.66" customWidth="1" style="159" min="6" max="6"/>
    <col width="9.99" customWidth="1" style="159" min="7" max="7"/>
    <col width="14.33" customWidth="1" style="162" min="8" max="8"/>
    <col width="11.87" customWidth="1" style="159" min="9" max="9"/>
    <col width="10.99" customWidth="1" style="159" min="10" max="10"/>
    <col width="2.32" customWidth="1" style="158" min="11" max="11"/>
    <col width="9.1" customWidth="1" style="158" min="12" max="257"/>
  </cols>
  <sheetData>
    <row r="1"/>
    <row r="2" ht="13.8" customHeight="1" s="156">
      <c r="D2" s="161" t="n"/>
      <c r="M2" s="159" t="n"/>
      <c r="N2" s="159" t="n"/>
      <c r="O2" s="159" t="n"/>
    </row>
    <row r="3" ht="13.8" customHeight="1" s="156">
      <c r="C3" s="164" t="inlineStr">
        <is>
          <t>Total Supplier At Risk - Expressed in term of percentage of the Monthly Charge</t>
        </is>
      </c>
      <c r="D3" s="165" t="n"/>
      <c r="E3" s="166" t="n"/>
      <c r="F3" s="167" t="n"/>
      <c r="G3" s="168" t="n"/>
      <c r="H3" s="169" t="n"/>
      <c r="I3" s="167" t="n"/>
      <c r="J3" s="170" t="n">
        <v>0.15</v>
      </c>
      <c r="K3" s="171" t="n"/>
      <c r="L3" s="171" t="n"/>
      <c r="M3" s="172" t="n"/>
      <c r="N3" s="159" t="n"/>
      <c r="O3" s="159" t="n"/>
    </row>
    <row r="4" ht="13.2" customHeight="1" s="156">
      <c r="C4" s="173" t="inlineStr">
        <is>
          <t xml:space="preserve">At Risk Pool Percentage Available For Allocation - Expressed as a % of the "At Risk" amount </t>
        </is>
      </c>
      <c r="E4" s="174" t="n"/>
      <c r="F4" s="174" t="n"/>
      <c r="G4" s="175" t="n"/>
      <c r="H4" s="176" t="n"/>
      <c r="I4" s="174" t="n"/>
      <c r="J4" s="177" t="n">
        <v>3.5</v>
      </c>
      <c r="K4" s="171" t="n"/>
      <c r="L4" s="171" t="n"/>
      <c r="M4" s="172" t="n"/>
      <c r="N4" s="159" t="n"/>
      <c r="O4" s="159" t="n"/>
    </row>
    <row r="5" ht="13.8" customHeight="1" s="156">
      <c r="B5" s="178" t="inlineStr">
        <is>
          <t>Attach. 3-B</t>
        </is>
      </c>
      <c r="C5" s="179" t="inlineStr">
        <is>
          <t>At Risk Pool Available Unallocated --  Expressed as % of the Pool not Allocated</t>
        </is>
      </c>
      <c r="D5" s="180" t="n"/>
      <c r="E5" s="181" t="n"/>
      <c r="F5" s="181" t="n"/>
      <c r="G5" s="182" t="n"/>
      <c r="H5" s="183" t="n"/>
      <c r="I5" s="181" t="n"/>
      <c r="J5" s="184">
        <f>J4-F7-F43-F57-F71-F82-F91-F99-F123-F154</f>
        <v/>
      </c>
      <c r="K5" s="171" t="n"/>
      <c r="L5" s="171" t="n"/>
      <c r="M5" s="172" t="n"/>
      <c r="N5" s="159" t="n"/>
      <c r="O5" s="159" t="n"/>
    </row>
    <row r="6" ht="27.6" customHeight="1" s="156">
      <c r="B6" s="178" t="inlineStr">
        <is>
          <t>Section Reference</t>
        </is>
      </c>
      <c r="E6" s="224" t="n"/>
      <c r="F6" s="224" t="n"/>
      <c r="G6" s="224" t="n"/>
      <c r="H6" s="225" t="n"/>
      <c r="I6" s="224" t="n"/>
      <c r="J6" s="224" t="n"/>
    </row>
    <row r="7" ht="14.4" customHeight="1" s="156">
      <c r="C7" s="186" t="inlineStr">
        <is>
          <t xml:space="preserve">Allocation of Pool Percentage </t>
        </is>
      </c>
      <c r="D7" s="187" t="n"/>
      <c r="E7" s="188" t="n"/>
      <c r="F7" s="189" t="n">
        <v>0.95</v>
      </c>
      <c r="G7" s="190" t="n"/>
      <c r="H7" s="190" t="inlineStr">
        <is>
          <t>Measurement</t>
        </is>
      </c>
      <c r="I7" s="191" t="n"/>
      <c r="J7" s="192" t="inlineStr">
        <is>
          <t>% of</t>
        </is>
      </c>
    </row>
    <row r="8" ht="14.4" customHeight="1" s="156">
      <c r="B8" s="159" t="inlineStr">
        <is>
          <t>2.0</t>
        </is>
      </c>
      <c r="C8" s="193" t="inlineStr">
        <is>
          <t>Desktop Services Availability - Performance Category</t>
        </is>
      </c>
      <c r="D8" s="194" t="n"/>
      <c r="E8" s="195" t="inlineStr">
        <is>
          <t>Eff + mos**</t>
        </is>
      </c>
      <c r="F8" s="195" t="inlineStr">
        <is>
          <t>Expected</t>
        </is>
      </c>
      <c r="G8" s="196" t="inlineStr">
        <is>
          <t>Minimum</t>
        </is>
      </c>
      <c r="H8" s="196" t="inlineStr">
        <is>
          <t>Window</t>
        </is>
      </c>
      <c r="I8" s="197" t="inlineStr">
        <is>
          <t>Allocation*</t>
        </is>
      </c>
      <c r="J8" s="198" t="inlineStr">
        <is>
          <t>Invoice</t>
        </is>
      </c>
    </row>
    <row r="9" ht="13.8" customHeight="1" s="156">
      <c r="B9" s="159" t="inlineStr">
        <is>
          <t>2.1</t>
        </is>
      </c>
      <c r="C9" s="199" t="inlineStr">
        <is>
          <t>Base Workplace Service - Availability Named Location</t>
        </is>
      </c>
      <c r="E9" s="200">
        <f>MAX(E10:E20)</f>
        <v/>
      </c>
      <c r="F9" s="201">
        <f>+F10</f>
        <v/>
      </c>
      <c r="G9" s="201">
        <f>+G10</f>
        <v/>
      </c>
      <c r="H9" s="202" t="inlineStr">
        <is>
          <t>monthly</t>
        </is>
      </c>
      <c r="I9" s="203" t="n">
        <v>0.16</v>
      </c>
      <c r="J9" s="204">
        <f>$J$3*$F$7*I9</f>
        <v/>
      </c>
    </row>
    <row r="10" outlineLevel="1" ht="13.2" customHeight="1" s="156">
      <c r="B10" s="159" t="inlineStr">
        <is>
          <t>2.1.1</t>
        </is>
      </c>
      <c r="C10" s="205" t="n"/>
      <c r="D10" s="206" t="inlineStr">
        <is>
          <t>DTHW - Base Workplace Service - Availability Named Locations</t>
        </is>
      </c>
      <c r="E10" s="159" t="n">
        <v>10</v>
      </c>
      <c r="F10" s="207" t="n">
        <v>0.99</v>
      </c>
      <c r="G10" s="207" t="n">
        <v>0.97</v>
      </c>
      <c r="H10" s="208" t="inlineStr">
        <is>
          <t>monthly</t>
        </is>
      </c>
      <c r="I10" s="209" t="n"/>
      <c r="J10" s="208" t="n"/>
    </row>
    <row r="11" ht="13.2" customHeight="1" s="156">
      <c r="B11" s="159" t="inlineStr">
        <is>
          <t>2.2</t>
        </is>
      </c>
      <c r="C11" s="199" t="inlineStr">
        <is>
          <t xml:space="preserve">File &amp; Print Services Named Locations - Availability </t>
        </is>
      </c>
      <c r="E11" s="200">
        <f>MAX(E12:E15)</f>
        <v/>
      </c>
      <c r="F11" s="201">
        <f>AVERAGE(F12:F15)</f>
        <v/>
      </c>
      <c r="G11" s="201">
        <f>AVERAGE(G12:G15)</f>
        <v/>
      </c>
      <c r="H11" s="202" t="inlineStr">
        <is>
          <t>monthly</t>
        </is>
      </c>
      <c r="I11" s="203" t="n">
        <v>0.16</v>
      </c>
      <c r="J11" s="204">
        <f>$J$3*$F$7*I11</f>
        <v/>
      </c>
    </row>
    <row r="12" outlineLevel="1" ht="13.2" customHeight="1" s="156">
      <c r="B12" s="159" t="inlineStr">
        <is>
          <t>2.2.1</t>
        </is>
      </c>
      <c r="C12" s="205" t="n"/>
      <c r="D12" s="214" t="inlineStr">
        <is>
          <t>SM - Directory Service</t>
        </is>
      </c>
      <c r="E12" s="159" t="n">
        <v>10</v>
      </c>
      <c r="F12" s="207" t="n">
        <v>0.998</v>
      </c>
      <c r="G12" s="207" t="n">
        <v>0.995</v>
      </c>
      <c r="H12" s="208" t="inlineStr">
        <is>
          <t>monthly</t>
        </is>
      </c>
      <c r="I12" s="209" t="n"/>
      <c r="J12" s="208" t="n"/>
    </row>
    <row r="13" outlineLevel="1" ht="13.2" customHeight="1" s="156">
      <c r="B13" s="159" t="inlineStr">
        <is>
          <t>2.2.2</t>
        </is>
      </c>
      <c r="C13" s="205" t="n"/>
      <c r="D13" s="214" t="inlineStr">
        <is>
          <t>SM - File &amp; Print application - named locations</t>
        </is>
      </c>
      <c r="E13" s="159" t="n">
        <v>10</v>
      </c>
      <c r="F13" s="207" t="n">
        <v>0.997</v>
      </c>
      <c r="G13" s="207" t="n">
        <v>0.995</v>
      </c>
      <c r="H13" s="208" t="inlineStr">
        <is>
          <t>monthly</t>
        </is>
      </c>
      <c r="I13" s="209" t="n"/>
      <c r="J13" s="208" t="n"/>
    </row>
    <row r="14" outlineLevel="1" ht="13.2" customHeight="1" s="156">
      <c r="B14" s="159" t="inlineStr">
        <is>
          <t>2.2.3</t>
        </is>
      </c>
      <c r="C14" s="162" t="n"/>
      <c r="D14" s="214" t="inlineStr">
        <is>
          <t>LAN - LAN Availability</t>
        </is>
      </c>
      <c r="E14" s="159" t="n">
        <v>10</v>
      </c>
      <c r="F14" s="207" t="n">
        <v>0.999</v>
      </c>
      <c r="G14" s="207" t="n">
        <v>0.995</v>
      </c>
      <c r="H14" s="208" t="inlineStr">
        <is>
          <t>monthly</t>
        </is>
      </c>
      <c r="I14" s="209" t="n"/>
      <c r="J14" s="208" t="n"/>
    </row>
    <row r="15" outlineLevel="1" ht="13.2" customHeight="1" s="156">
      <c r="B15" s="159" t="inlineStr">
        <is>
          <t>2.2.4</t>
        </is>
      </c>
      <c r="C15" s="162" t="n"/>
      <c r="D15" s="214" t="inlineStr">
        <is>
          <t>LAN - LAN Availability (Dealingroom only)</t>
        </is>
      </c>
      <c r="E15" s="159" t="n">
        <v>10</v>
      </c>
      <c r="F15" s="207" t="n">
        <v>0.9998</v>
      </c>
      <c r="G15" s="207" t="n">
        <v>0.9995000000000001</v>
      </c>
      <c r="H15" s="208" t="inlineStr">
        <is>
          <t>monthly</t>
        </is>
      </c>
      <c r="I15" s="209" t="n"/>
      <c r="J15" s="208" t="n"/>
    </row>
    <row r="16" ht="13.2" customHeight="1" s="156">
      <c r="B16" s="159" t="inlineStr">
        <is>
          <t>2.3</t>
        </is>
      </c>
      <c r="C16" s="199" t="inlineStr">
        <is>
          <t>Mail &amp; Agenda Services Named Locations - Availability</t>
        </is>
      </c>
      <c r="E16" s="200">
        <f>MAX(E17:E20)</f>
        <v/>
      </c>
      <c r="F16" s="201">
        <f>AVERAGE(F17:F20)</f>
        <v/>
      </c>
      <c r="G16" s="201">
        <f>AVERAGE(G17:G20)</f>
        <v/>
      </c>
      <c r="H16" s="202" t="inlineStr">
        <is>
          <t>monthly</t>
        </is>
      </c>
      <c r="I16" s="203" t="n">
        <v>0.16</v>
      </c>
      <c r="J16" s="204">
        <f>$J$3*$F$7*I16</f>
        <v/>
      </c>
    </row>
    <row r="17" outlineLevel="1" ht="13.2" customHeight="1" s="156">
      <c r="B17" s="159" t="inlineStr">
        <is>
          <t>2.3.1</t>
        </is>
      </c>
      <c r="C17" s="205" t="n"/>
      <c r="D17" s="214" t="inlineStr">
        <is>
          <t>SM - Directory Services</t>
        </is>
      </c>
      <c r="E17" s="159" t="n">
        <v>10</v>
      </c>
      <c r="F17" s="207" t="n">
        <v>0.998</v>
      </c>
      <c r="G17" s="207" t="n">
        <v>0.995</v>
      </c>
      <c r="H17" s="208" t="inlineStr">
        <is>
          <t>monthly</t>
        </is>
      </c>
      <c r="I17" s="209" t="n"/>
      <c r="J17" s="208" t="n"/>
    </row>
    <row r="18" outlineLevel="1" ht="13.2" customHeight="1" s="156">
      <c r="B18" s="159" t="inlineStr">
        <is>
          <t>2.3.2</t>
        </is>
      </c>
      <c r="C18" s="205" t="n"/>
      <c r="D18" s="214" t="inlineStr">
        <is>
          <t>SM - Exchange application - named locations</t>
        </is>
      </c>
      <c r="E18" s="159" t="n">
        <v>10</v>
      </c>
      <c r="F18" s="207" t="n">
        <v>0.997</v>
      </c>
      <c r="G18" s="207" t="n">
        <v>0.995</v>
      </c>
      <c r="H18" s="208" t="inlineStr">
        <is>
          <t>monthly</t>
        </is>
      </c>
      <c r="I18" s="209" t="n"/>
      <c r="J18" s="208" t="n"/>
    </row>
    <row r="19" outlineLevel="1" ht="13.2" customHeight="1" s="156">
      <c r="B19" s="159" t="inlineStr">
        <is>
          <t>2.3.3</t>
        </is>
      </c>
      <c r="C19" s="162" t="n"/>
      <c r="D19" s="214" t="inlineStr">
        <is>
          <t>LAN - LAN Availability</t>
        </is>
      </c>
      <c r="E19" s="159" t="n">
        <v>10</v>
      </c>
      <c r="F19" s="207" t="n">
        <v>0.999</v>
      </c>
      <c r="G19" s="207" t="n">
        <v>0.995</v>
      </c>
      <c r="H19" s="208" t="inlineStr">
        <is>
          <t>monthly</t>
        </is>
      </c>
      <c r="I19" s="209" t="n"/>
      <c r="J19" s="208" t="n"/>
    </row>
    <row r="20" outlineLevel="1" ht="13.2" customHeight="1" s="156">
      <c r="B20" s="159" t="inlineStr">
        <is>
          <t>2.3.4</t>
        </is>
      </c>
      <c r="C20" s="162" t="n"/>
      <c r="D20" s="214" t="inlineStr">
        <is>
          <t>LAN - LAN Availability (Dealingroom only)</t>
        </is>
      </c>
      <c r="E20" s="159" t="n">
        <v>10</v>
      </c>
      <c r="F20" s="207" t="n">
        <v>0.9998</v>
      </c>
      <c r="G20" s="207" t="n">
        <v>0.9995000000000001</v>
      </c>
      <c r="H20" s="208" t="inlineStr">
        <is>
          <t>monthly</t>
        </is>
      </c>
      <c r="I20" s="209" t="n"/>
      <c r="J20" s="208" t="n"/>
    </row>
    <row r="21" ht="13.2" customHeight="1" s="156">
      <c r="B21" s="159" t="inlineStr">
        <is>
          <t>2.4</t>
        </is>
      </c>
      <c r="C21" s="199" t="inlineStr">
        <is>
          <t>File &amp; Print Services - Availability</t>
        </is>
      </c>
      <c r="E21" s="200">
        <f>MAX(E22:E25)</f>
        <v/>
      </c>
      <c r="F21" s="201">
        <f>AVERAGE(F22:F25)</f>
        <v/>
      </c>
      <c r="G21" s="201">
        <f>AVERAGE(G22:G25)</f>
        <v/>
      </c>
      <c r="H21" s="202" t="inlineStr">
        <is>
          <t>monthly</t>
        </is>
      </c>
      <c r="I21" s="203" t="n">
        <v>0.15</v>
      </c>
      <c r="J21" s="204">
        <f>$J$3*$F$7*I21</f>
        <v/>
      </c>
    </row>
    <row r="22" outlineLevel="1" ht="13.2" customHeight="1" s="156">
      <c r="B22" s="159" t="inlineStr">
        <is>
          <t>2.4.1</t>
        </is>
      </c>
      <c r="C22" s="205" t="n"/>
      <c r="D22" s="214" t="inlineStr">
        <is>
          <t>SM - Directory Service</t>
        </is>
      </c>
      <c r="E22" s="159" t="n">
        <v>10</v>
      </c>
      <c r="F22" s="207" t="n">
        <v>0.998</v>
      </c>
      <c r="G22" s="207" t="n">
        <v>0.995</v>
      </c>
      <c r="H22" s="208" t="inlineStr">
        <is>
          <t>monthly</t>
        </is>
      </c>
      <c r="I22" s="209" t="n"/>
      <c r="J22" s="208" t="n"/>
    </row>
    <row r="23" outlineLevel="1" ht="13.2" customHeight="1" s="156">
      <c r="B23" s="159" t="inlineStr">
        <is>
          <t>2.4.2</t>
        </is>
      </c>
      <c r="C23" s="205" t="n"/>
      <c r="D23" s="214" t="inlineStr">
        <is>
          <t>SM - File &amp; Print application - standard locations</t>
        </is>
      </c>
      <c r="E23" s="159" t="n">
        <v>10</v>
      </c>
      <c r="F23" s="207" t="n">
        <v>0.99</v>
      </c>
      <c r="G23" s="207" t="n">
        <v>0.98</v>
      </c>
      <c r="H23" s="208" t="inlineStr">
        <is>
          <t>monthly</t>
        </is>
      </c>
      <c r="I23" s="209" t="n"/>
      <c r="J23" s="208" t="n"/>
    </row>
    <row r="24" outlineLevel="1" ht="13.2" customHeight="1" s="156">
      <c r="B24" s="159" t="inlineStr">
        <is>
          <t>2.4.3</t>
        </is>
      </c>
      <c r="C24" s="205" t="n"/>
      <c r="D24" s="214" t="inlineStr">
        <is>
          <t>SM - File &amp; Print application - high availibilty solution</t>
        </is>
      </c>
      <c r="E24" s="159" t="n">
        <v>10</v>
      </c>
      <c r="F24" s="207" t="n">
        <v>0.997</v>
      </c>
      <c r="G24" s="207" t="n">
        <v>0.995</v>
      </c>
      <c r="H24" s="208" t="inlineStr">
        <is>
          <t>monthly</t>
        </is>
      </c>
      <c r="I24" s="209" t="n"/>
      <c r="J24" s="208" t="n"/>
    </row>
    <row r="25" outlineLevel="1" ht="13.2" customHeight="1" s="156">
      <c r="B25" s="159" t="inlineStr">
        <is>
          <t>2.4.4</t>
        </is>
      </c>
      <c r="C25" s="162" t="n"/>
      <c r="D25" s="214" t="inlineStr">
        <is>
          <t>LAN - LAN Availability</t>
        </is>
      </c>
      <c r="E25" s="159" t="n">
        <v>10</v>
      </c>
      <c r="F25" s="207" t="n">
        <v>0.999</v>
      </c>
      <c r="G25" s="207" t="n">
        <v>0.995</v>
      </c>
      <c r="H25" s="208" t="inlineStr">
        <is>
          <t>monthly</t>
        </is>
      </c>
      <c r="I25" s="209" t="n"/>
      <c r="J25" s="208" t="n"/>
    </row>
    <row r="26" ht="13.2" customHeight="1" s="156">
      <c r="B26" s="159" t="inlineStr">
        <is>
          <t>2.5</t>
        </is>
      </c>
      <c r="C26" s="199" t="inlineStr">
        <is>
          <t>Mail &amp; Agenda Services - Availability</t>
        </is>
      </c>
      <c r="E26" s="200">
        <f>MAX(E27:E30)</f>
        <v/>
      </c>
      <c r="F26" s="201">
        <f>AVERAGE(F27:F30)</f>
        <v/>
      </c>
      <c r="G26" s="201">
        <f>AVERAGE(G27:G30)</f>
        <v/>
      </c>
      <c r="H26" s="202" t="inlineStr">
        <is>
          <t>monthly</t>
        </is>
      </c>
      <c r="I26" s="203" t="n">
        <v>0.15</v>
      </c>
      <c r="J26" s="204">
        <f>$J$3*$F$7*I26</f>
        <v/>
      </c>
    </row>
    <row r="27" outlineLevel="1" ht="13.2" customHeight="1" s="156">
      <c r="B27" s="159" t="inlineStr">
        <is>
          <t>2.5.1</t>
        </is>
      </c>
      <c r="C27" s="205" t="n"/>
      <c r="D27" s="214" t="inlineStr">
        <is>
          <t>SM - Directory Service</t>
        </is>
      </c>
      <c r="E27" s="159" t="n">
        <v>10</v>
      </c>
      <c r="F27" s="207" t="n">
        <v>0.998</v>
      </c>
      <c r="G27" s="207" t="n">
        <v>0.995</v>
      </c>
      <c r="H27" s="208" t="inlineStr">
        <is>
          <t>monthly</t>
        </is>
      </c>
      <c r="I27" s="209" t="n"/>
      <c r="J27" s="208" t="n"/>
    </row>
    <row r="28" outlineLevel="1" ht="13.2" customHeight="1" s="156">
      <c r="B28" s="159" t="inlineStr">
        <is>
          <t>2.5.2</t>
        </is>
      </c>
      <c r="C28" s="205" t="n"/>
      <c r="D28" s="214" t="inlineStr">
        <is>
          <t>SM - Exchange application - standard locations</t>
        </is>
      </c>
      <c r="E28" s="159" t="n">
        <v>10</v>
      </c>
      <c r="F28" s="207" t="n">
        <v>0.99</v>
      </c>
      <c r="G28" s="207" t="n">
        <v>0.98</v>
      </c>
      <c r="H28" s="208" t="inlineStr">
        <is>
          <t>monthly</t>
        </is>
      </c>
      <c r="I28" s="209" t="n"/>
      <c r="J28" s="208" t="n"/>
    </row>
    <row r="29" outlineLevel="1" ht="13.2" customHeight="1" s="156">
      <c r="B29" s="159" t="inlineStr">
        <is>
          <t>2.5.3</t>
        </is>
      </c>
      <c r="C29" s="205" t="n"/>
      <c r="D29" s="214" t="inlineStr">
        <is>
          <t>SM - Exchange application - high availibilty solution</t>
        </is>
      </c>
      <c r="E29" s="159" t="n">
        <v>10</v>
      </c>
      <c r="F29" s="207" t="n">
        <v>0.997</v>
      </c>
      <c r="G29" s="207" t="n">
        <v>0.995</v>
      </c>
      <c r="H29" s="208" t="inlineStr">
        <is>
          <t>monthly</t>
        </is>
      </c>
      <c r="I29" s="209" t="n"/>
      <c r="J29" s="208" t="n"/>
    </row>
    <row r="30" outlineLevel="1" ht="13.2" customHeight="1" s="156">
      <c r="B30" s="159" t="inlineStr">
        <is>
          <t>2.5.4</t>
        </is>
      </c>
      <c r="C30" s="162" t="n"/>
      <c r="D30" s="214" t="inlineStr">
        <is>
          <t>LAN - LAN Availability</t>
        </is>
      </c>
      <c r="E30" s="159" t="n">
        <v>10</v>
      </c>
      <c r="F30" s="207" t="n">
        <v>0.999</v>
      </c>
      <c r="G30" s="207" t="n">
        <v>0.995</v>
      </c>
      <c r="H30" s="208" t="inlineStr">
        <is>
          <t>monthly</t>
        </is>
      </c>
      <c r="I30" s="209" t="n"/>
      <c r="J30" s="208" t="n"/>
    </row>
    <row r="31" ht="13.2" customHeight="1" s="156">
      <c r="B31" s="159" t="inlineStr">
        <is>
          <t>2.6</t>
        </is>
      </c>
      <c r="C31" s="199" t="inlineStr">
        <is>
          <t>Application Integration Service - Availability</t>
        </is>
      </c>
      <c r="E31" s="200">
        <f>MAX(E32:E34)</f>
        <v/>
      </c>
      <c r="F31" s="201">
        <f>AVERAGE(F32:F34)</f>
        <v/>
      </c>
      <c r="G31" s="201">
        <f>AVERAGE(G32:G34)</f>
        <v/>
      </c>
      <c r="H31" s="202" t="inlineStr">
        <is>
          <t>monthly</t>
        </is>
      </c>
      <c r="I31" s="203" t="n">
        <v>0.11</v>
      </c>
      <c r="J31" s="204">
        <f>$J$3*$F$7*I31</f>
        <v/>
      </c>
    </row>
    <row r="32" outlineLevel="1" ht="13.2" customHeight="1" s="156">
      <c r="B32" s="159" t="inlineStr">
        <is>
          <t>2.6.1</t>
        </is>
      </c>
      <c r="C32" s="205" t="n"/>
      <c r="D32" s="214" t="inlineStr">
        <is>
          <t>SM - Directory Services</t>
        </is>
      </c>
      <c r="E32" s="159" t="n">
        <v>10</v>
      </c>
      <c r="F32" s="207" t="n">
        <v>0.998</v>
      </c>
      <c r="G32" s="207" t="n">
        <v>0.995</v>
      </c>
      <c r="H32" s="208" t="inlineStr">
        <is>
          <t>monthly</t>
        </is>
      </c>
      <c r="I32" s="209" t="n"/>
      <c r="J32" s="208" t="n"/>
    </row>
    <row r="33" outlineLevel="1" ht="13.2" customHeight="1" s="156">
      <c r="B33" s="159" t="inlineStr">
        <is>
          <t>2.6.2</t>
        </is>
      </c>
      <c r="C33" s="205" t="n"/>
      <c r="D33" s="214" t="inlineStr">
        <is>
          <t>SM - Software Distribution Services (e.g. SMS, EPO)</t>
        </is>
      </c>
      <c r="E33" s="159" t="n">
        <v>10</v>
      </c>
      <c r="F33" s="207" t="n">
        <v>0.99</v>
      </c>
      <c r="G33" s="207" t="n">
        <v>0.98</v>
      </c>
      <c r="H33" s="208" t="inlineStr">
        <is>
          <t>monthly</t>
        </is>
      </c>
      <c r="I33" s="209" t="n"/>
      <c r="J33" s="208" t="n"/>
    </row>
    <row r="34" outlineLevel="1" ht="13.2" customHeight="1" s="156">
      <c r="B34" s="159" t="inlineStr">
        <is>
          <t>2.6.3</t>
        </is>
      </c>
      <c r="C34" s="162" t="n"/>
      <c r="D34" s="214" t="inlineStr">
        <is>
          <t>LAN - LAN Availability</t>
        </is>
      </c>
      <c r="E34" s="159" t="n">
        <v>10</v>
      </c>
      <c r="F34" s="207" t="n">
        <v>0.999</v>
      </c>
      <c r="G34" s="207" t="n">
        <v>0.995</v>
      </c>
      <c r="H34" s="208" t="inlineStr">
        <is>
          <t>monthly</t>
        </is>
      </c>
      <c r="I34" s="209" t="n"/>
      <c r="J34" s="208" t="n"/>
    </row>
    <row r="35" ht="13.2" customHeight="1" s="156">
      <c r="B35" s="159" t="inlineStr">
        <is>
          <t>2.7</t>
        </is>
      </c>
      <c r="C35" s="199" t="inlineStr">
        <is>
          <t>Collaboration Service - Availability</t>
        </is>
      </c>
      <c r="E35" s="200">
        <f>MAX(E36:E40)</f>
        <v/>
      </c>
      <c r="F35" s="201">
        <f>AVERAGE(F36:F40)</f>
        <v/>
      </c>
      <c r="G35" s="201">
        <f>AVERAGE(G36:G40)</f>
        <v/>
      </c>
      <c r="H35" s="202" t="inlineStr">
        <is>
          <t>monthly</t>
        </is>
      </c>
      <c r="I35" s="203" t="n">
        <v>0.11</v>
      </c>
      <c r="J35" s="204">
        <f>$J$3*$F$7*I35</f>
        <v/>
      </c>
    </row>
    <row r="36" outlineLevel="1" ht="13.2" customHeight="1" s="156">
      <c r="B36" s="159" t="inlineStr">
        <is>
          <t>2.7.1</t>
        </is>
      </c>
      <c r="C36" s="205" t="n"/>
      <c r="D36" s="214" t="inlineStr">
        <is>
          <t>SM - Directory Services</t>
        </is>
      </c>
      <c r="E36" s="159" t="n">
        <v>10</v>
      </c>
      <c r="F36" s="207" t="n">
        <v>0.998</v>
      </c>
      <c r="G36" s="207" t="n">
        <v>0.995</v>
      </c>
      <c r="H36" s="208" t="inlineStr">
        <is>
          <t>monthly</t>
        </is>
      </c>
      <c r="I36" s="209" t="n"/>
      <c r="J36" s="208" t="n"/>
    </row>
    <row r="37" outlineLevel="1" ht="13.2" customHeight="1" s="156">
      <c r="B37" s="159" t="inlineStr">
        <is>
          <t>2.7.2</t>
        </is>
      </c>
      <c r="C37" s="205" t="n"/>
      <c r="D37" s="214" t="inlineStr">
        <is>
          <t>SM - Collaboration Service: SharePoint &amp; Notes</t>
        </is>
      </c>
      <c r="E37" s="159" t="n">
        <v>10</v>
      </c>
      <c r="F37" s="207" t="n">
        <v>0.99</v>
      </c>
      <c r="G37" s="207" t="n">
        <v>0.98</v>
      </c>
      <c r="H37" s="208" t="inlineStr">
        <is>
          <t>monthly</t>
        </is>
      </c>
      <c r="I37" s="209" t="n"/>
      <c r="J37" s="208" t="n"/>
    </row>
    <row r="38" outlineLevel="1" ht="13.2" customHeight="1" s="156">
      <c r="B38" s="159" t="inlineStr">
        <is>
          <t>2.7.3</t>
        </is>
      </c>
      <c r="C38" s="162" t="n"/>
      <c r="D38" s="214" t="inlineStr">
        <is>
          <t>LAN - Voice Network connection availability</t>
        </is>
      </c>
      <c r="E38" s="159" t="n">
        <v>10</v>
      </c>
      <c r="F38" s="207" t="n">
        <v>0.9998</v>
      </c>
      <c r="G38" s="207" t="n">
        <v>0.9995000000000001</v>
      </c>
      <c r="H38" s="208" t="inlineStr">
        <is>
          <t>monthly</t>
        </is>
      </c>
      <c r="I38" s="209" t="n"/>
      <c r="J38" s="208" t="n"/>
    </row>
    <row r="39" outlineLevel="1" ht="13.2" customHeight="1" s="156">
      <c r="B39" s="159" t="inlineStr">
        <is>
          <t>2.7.4</t>
        </is>
      </c>
      <c r="C39" s="162" t="n"/>
      <c r="D39" s="214" t="inlineStr">
        <is>
          <t>Voice - Standard PBX availability</t>
        </is>
      </c>
      <c r="E39" s="159" t="n">
        <v>7</v>
      </c>
      <c r="F39" s="207" t="n">
        <v>0.9998</v>
      </c>
      <c r="G39" s="207" t="n">
        <v>0.9995000000000001</v>
      </c>
      <c r="H39" s="208" t="inlineStr">
        <is>
          <t>monthly</t>
        </is>
      </c>
      <c r="I39" s="209" t="n"/>
      <c r="J39" s="208" t="n"/>
    </row>
    <row r="40" outlineLevel="1" ht="13.2" customHeight="1" s="156">
      <c r="B40" s="159" t="inlineStr">
        <is>
          <t>2.7.5</t>
        </is>
      </c>
      <c r="C40" s="162" t="n"/>
      <c r="D40" s="214" t="inlineStr">
        <is>
          <t>LAN &amp; Voice - Videoconferencing equipment availability</t>
        </is>
      </c>
      <c r="E40" s="159" t="n">
        <v>10</v>
      </c>
      <c r="F40" s="207" t="n">
        <v>0.98</v>
      </c>
      <c r="G40" s="207" t="n">
        <v>0.9</v>
      </c>
      <c r="H40" s="208" t="inlineStr">
        <is>
          <t>monthly</t>
        </is>
      </c>
      <c r="I40" s="209" t="n"/>
      <c r="J40" s="208" t="n"/>
    </row>
    <row r="41" outlineLevel="1" ht="13.2" customHeight="1" s="156">
      <c r="C41" s="162" t="n"/>
      <c r="D41" s="214" t="n"/>
      <c r="E41" s="159" t="n"/>
      <c r="F41" s="207" t="n"/>
      <c r="G41" s="207" t="n"/>
      <c r="H41" s="208" t="n"/>
      <c r="I41" s="209" t="n"/>
      <c r="J41" s="208" t="n"/>
    </row>
    <row r="42" ht="13.8" customHeight="1" s="156">
      <c r="C42" s="205" t="n"/>
      <c r="D42" s="161" t="n"/>
      <c r="E42" s="210" t="n"/>
      <c r="F42" s="210" t="n"/>
      <c r="G42" s="210" t="n"/>
      <c r="H42" s="226" t="n"/>
      <c r="I42" s="210" t="n"/>
    </row>
    <row r="43" ht="14.4" customHeight="1" s="156">
      <c r="C43" s="186" t="inlineStr">
        <is>
          <t xml:space="preserve">Allocation of Pool Percentage </t>
        </is>
      </c>
      <c r="D43" s="187" t="n"/>
      <c r="E43" s="188" t="n"/>
      <c r="F43" s="189" t="n">
        <v>0.45</v>
      </c>
      <c r="G43" s="190" t="n"/>
      <c r="H43" s="190" t="inlineStr">
        <is>
          <t>Measurement</t>
        </is>
      </c>
      <c r="I43" s="191" t="n"/>
      <c r="J43" s="192" t="inlineStr">
        <is>
          <t>% of</t>
        </is>
      </c>
    </row>
    <row r="44" ht="14.4" customHeight="1" s="156">
      <c r="B44" s="159" t="inlineStr">
        <is>
          <t>3.0</t>
        </is>
      </c>
      <c r="C44" s="193" t="inlineStr">
        <is>
          <t>Desktop Services Performance - Performance Category</t>
        </is>
      </c>
      <c r="D44" s="194" t="n"/>
      <c r="E44" s="195" t="inlineStr">
        <is>
          <t>Eff + mos**</t>
        </is>
      </c>
      <c r="F44" s="195" t="inlineStr">
        <is>
          <t>Expected</t>
        </is>
      </c>
      <c r="G44" s="196" t="inlineStr">
        <is>
          <t>Minimum</t>
        </is>
      </c>
      <c r="H44" s="196" t="inlineStr">
        <is>
          <t>Window</t>
        </is>
      </c>
      <c r="I44" s="197" t="inlineStr">
        <is>
          <t>Allocation*</t>
        </is>
      </c>
      <c r="J44" s="198" t="inlineStr">
        <is>
          <t>Invoice</t>
        </is>
      </c>
    </row>
    <row r="45" ht="13.8" customHeight="1" s="156">
      <c r="B45" s="159" t="inlineStr">
        <is>
          <t>3.1</t>
        </is>
      </c>
      <c r="C45" s="199" t="inlineStr">
        <is>
          <t>Workplace Services (File &amp; Print, Mail &amp; Agenda and Collaboration Services) - Performance</t>
        </is>
      </c>
      <c r="E45" s="200">
        <f>MAX(E46:E48)</f>
        <v/>
      </c>
      <c r="F45" s="201">
        <f>AVERAGE(F46:F48)</f>
        <v/>
      </c>
      <c r="G45" s="201">
        <f>AVERAGE(G46:G48)</f>
        <v/>
      </c>
      <c r="H45" s="202" t="inlineStr">
        <is>
          <t>Monthly</t>
        </is>
      </c>
      <c r="I45" s="203" t="n">
        <v>0.33</v>
      </c>
      <c r="J45" s="204">
        <f>$J$3*$F$43*I45</f>
        <v/>
      </c>
    </row>
    <row r="46" outlineLevel="1" ht="13.2" customHeight="1" s="156">
      <c r="B46" s="159" t="inlineStr">
        <is>
          <t>3.1.1</t>
        </is>
      </c>
      <c r="C46" s="205" t="n"/>
      <c r="D46" s="206" t="inlineStr">
        <is>
          <t>SM &amp; EUC (-UIS) - Stored data backed up and available for restore for 30 calendar days</t>
        </is>
      </c>
      <c r="E46" s="159" t="n">
        <v>10</v>
      </c>
      <c r="F46" s="207" t="n">
        <v>0.995</v>
      </c>
      <c r="G46" s="207" t="n">
        <v>0.98</v>
      </c>
      <c r="H46" s="208" t="inlineStr">
        <is>
          <t>Yearly</t>
        </is>
      </c>
      <c r="I46" s="209" t="n"/>
      <c r="J46" s="208" t="n"/>
    </row>
    <row r="47" outlineLevel="1" ht="13.2" customHeight="1" s="156">
      <c r="B47" s="159" t="inlineStr">
        <is>
          <t>3.1.2</t>
        </is>
      </c>
      <c r="C47" s="205" t="n"/>
      <c r="D47" s="206" t="inlineStr">
        <is>
          <t>SM &amp; EUC (-UIS) - Data restore started within 3 business hours</t>
        </is>
      </c>
      <c r="E47" s="159" t="n">
        <v>10</v>
      </c>
      <c r="F47" s="207" t="n">
        <v>0.9</v>
      </c>
      <c r="G47" s="207" t="n">
        <v>0.8</v>
      </c>
      <c r="H47" s="208" t="inlineStr">
        <is>
          <t>Monthly</t>
        </is>
      </c>
      <c r="I47" s="209" t="n"/>
      <c r="J47" s="208" t="n"/>
    </row>
    <row r="48" outlineLevel="1" ht="26.4" customHeight="1" s="156">
      <c r="B48" s="159" t="inlineStr">
        <is>
          <t>3.1.3</t>
        </is>
      </c>
      <c r="C48" s="205" t="n"/>
      <c r="D48" s="206" t="inlineStr">
        <is>
          <t>SM &amp; EUC (-UIS) - Data restored after loss of maximum one storage element &lt; 1 business day (other users/locations)</t>
        </is>
      </c>
      <c r="E48" s="159" t="n">
        <v>10</v>
      </c>
      <c r="F48" s="207" t="n">
        <v>0.98</v>
      </c>
      <c r="G48" s="207" t="n">
        <v>0.95</v>
      </c>
      <c r="H48" s="208" t="inlineStr">
        <is>
          <t>Monthly</t>
        </is>
      </c>
      <c r="I48" s="209" t="n"/>
      <c r="J48" s="208" t="n"/>
    </row>
    <row r="49" ht="13.2" customHeight="1" s="156">
      <c r="B49" s="159" t="inlineStr">
        <is>
          <t>3.2</t>
        </is>
      </c>
      <c r="C49" s="199" t="inlineStr">
        <is>
          <t>Application Integration Service - Performance</t>
        </is>
      </c>
      <c r="E49" s="200">
        <f>MAX(E50:E55)</f>
        <v/>
      </c>
      <c r="F49" s="201">
        <f>AVERAGE(F50:F55)</f>
        <v/>
      </c>
      <c r="G49" s="201">
        <f>AVERAGE(G50:G55)</f>
        <v/>
      </c>
      <c r="H49" s="202" t="inlineStr">
        <is>
          <t>monthly</t>
        </is>
      </c>
      <c r="I49" s="203" t="n">
        <v>0.67</v>
      </c>
      <c r="J49" s="204">
        <f>$J$3*$F$43*I49</f>
        <v/>
      </c>
    </row>
    <row r="50" outlineLevel="1" ht="26.4" customHeight="1" s="156">
      <c r="B50" s="159" t="inlineStr">
        <is>
          <t>3.2.1</t>
        </is>
      </c>
      <c r="C50" s="205" t="n"/>
      <c r="D50" s="206" t="inlineStr">
        <is>
          <t>SM &amp; EUC (-UIS) - Client application packaging: 'spoed' standard complexity package creation time &lt; 10 business days</t>
        </is>
      </c>
      <c r="E50" s="159" t="n">
        <v>10</v>
      </c>
      <c r="F50" s="207" t="n">
        <v>0.95</v>
      </c>
      <c r="G50" s="207" t="n">
        <v>0.8</v>
      </c>
      <c r="H50" s="208" t="inlineStr">
        <is>
          <t>monthly</t>
        </is>
      </c>
      <c r="I50" s="209" t="n"/>
      <c r="J50" s="208" t="n"/>
    </row>
    <row r="51" outlineLevel="1" ht="26.4" customHeight="1" s="156">
      <c r="B51" s="159" t="inlineStr">
        <is>
          <t>3.2.2</t>
        </is>
      </c>
      <c r="C51" s="205" t="n"/>
      <c r="D51" s="206" t="inlineStr">
        <is>
          <t>SM &amp; EUC (-UIS) - Client application packaging: 'spoed' standard complexity package creation time &lt; 15 business days</t>
        </is>
      </c>
      <c r="E51" s="159" t="n">
        <v>10</v>
      </c>
      <c r="F51" s="207" t="n">
        <v>1</v>
      </c>
      <c r="G51" s="207" t="n">
        <v>0.8</v>
      </c>
      <c r="H51" s="208" t="inlineStr">
        <is>
          <t>monthly</t>
        </is>
      </c>
      <c r="I51" s="209" t="n"/>
      <c r="J51" s="208" t="n"/>
    </row>
    <row r="52" outlineLevel="1" ht="13.2" customHeight="1" s="156">
      <c r="B52" s="159" t="inlineStr">
        <is>
          <t>3.2.3</t>
        </is>
      </c>
      <c r="C52" s="205" t="n"/>
      <c r="D52" s="206" t="inlineStr">
        <is>
          <t>SM &amp; EUC (-UIS) - Changes for BSL application will be executed within the category timelines</t>
        </is>
      </c>
      <c r="E52" s="159" t="n">
        <v>10</v>
      </c>
      <c r="F52" s="207" t="n">
        <v>0.85</v>
      </c>
      <c r="G52" s="207" t="n">
        <v>0.75</v>
      </c>
      <c r="H52" s="208" t="inlineStr">
        <is>
          <t>monthly</t>
        </is>
      </c>
      <c r="I52" s="209" t="n"/>
      <c r="J52" s="208" t="n"/>
    </row>
    <row r="53" outlineLevel="1" ht="26.4" customHeight="1" s="156">
      <c r="A53" s="158" t="inlineStr">
        <is>
          <t>Stay</t>
        </is>
      </c>
      <c r="B53" s="159" t="inlineStr">
        <is>
          <t>3.2.4</t>
        </is>
      </c>
      <c r="C53" s="227" t="n"/>
      <c r="D53" s="206" t="inlineStr">
        <is>
          <t>SM &amp; EUC (-UIS) - Request for emergency update, testing, approval and  ready for distribution within 2 business days for all service layers</t>
        </is>
      </c>
      <c r="E53" s="159" t="n">
        <v>10</v>
      </c>
      <c r="F53" s="207" t="n">
        <v>0.7</v>
      </c>
      <c r="G53" s="207" t="n">
        <v>0.6</v>
      </c>
      <c r="H53" s="208" t="inlineStr">
        <is>
          <t>monthly</t>
        </is>
      </c>
      <c r="I53" s="209" t="n"/>
      <c r="J53" s="208" t="n"/>
    </row>
    <row r="54" outlineLevel="1" ht="26.4" customHeight="1" s="156">
      <c r="B54" s="159" t="inlineStr">
        <is>
          <t>3.2.4</t>
        </is>
      </c>
      <c r="C54" s="205" t="n"/>
      <c r="D54" s="206" t="inlineStr">
        <is>
          <t>SM &amp; EUC (-UIS) - Request for emergency update, testing, approval and  ready for distribution within 1 business day (24 hours) for BSL</t>
        </is>
      </c>
      <c r="E54" s="159" t="n">
        <v>10</v>
      </c>
      <c r="F54" s="207" t="n">
        <v>0.95</v>
      </c>
      <c r="G54" s="207" t="n">
        <v>0.8</v>
      </c>
      <c r="H54" s="208" t="inlineStr">
        <is>
          <t>monthly</t>
        </is>
      </c>
      <c r="I54" s="209" t="n"/>
      <c r="J54" s="208" t="n"/>
    </row>
    <row r="55" outlineLevel="1" ht="26.4" customHeight="1" s="156">
      <c r="B55" s="159" t="inlineStr">
        <is>
          <t>3.2.5</t>
        </is>
      </c>
      <c r="C55" s="205" t="n"/>
      <c r="D55" s="206" t="inlineStr">
        <is>
          <t xml:space="preserve">SM &amp; EUC (-UIS) - Request for emergency update, testing, approval and  ready for distribution within 5 business days for BSL after </t>
        </is>
      </c>
      <c r="E55" s="159" t="n">
        <v>10</v>
      </c>
      <c r="F55" s="207" t="n">
        <v>1</v>
      </c>
      <c r="G55" s="207" t="n">
        <v>0.8</v>
      </c>
      <c r="H55" s="208" t="inlineStr">
        <is>
          <t>monthly</t>
        </is>
      </c>
      <c r="I55" s="209" t="n"/>
      <c r="J55" s="208" t="n"/>
    </row>
    <row r="56" ht="13.8" customHeight="1" s="156">
      <c r="C56" s="206" t="n"/>
      <c r="D56" s="228" t="n"/>
      <c r="E56" s="210" t="n"/>
      <c r="F56" s="211" t="n"/>
      <c r="G56" s="211" t="n"/>
      <c r="H56" s="212" t="n"/>
      <c r="I56" s="213" t="n"/>
      <c r="J56" s="208" t="n"/>
    </row>
    <row r="57" ht="14.4" customHeight="1" s="156">
      <c r="C57" s="186" t="inlineStr">
        <is>
          <t xml:space="preserve">Allocation of Pool Percentage </t>
        </is>
      </c>
      <c r="D57" s="187" t="n"/>
      <c r="E57" s="188" t="n"/>
      <c r="F57" s="189" t="n">
        <v>0.4</v>
      </c>
      <c r="G57" s="190" t="n"/>
      <c r="H57" s="190" t="inlineStr">
        <is>
          <t>Measurement</t>
        </is>
      </c>
      <c r="I57" s="191" t="n"/>
      <c r="J57" s="192" t="inlineStr">
        <is>
          <t>% of</t>
        </is>
      </c>
    </row>
    <row r="58" ht="14.4" customHeight="1" s="156">
      <c r="B58" s="159" t="inlineStr">
        <is>
          <t>4.0</t>
        </is>
      </c>
      <c r="C58" s="193" t="inlineStr">
        <is>
          <t>Access Services Performance - Performance Category</t>
        </is>
      </c>
      <c r="D58" s="194" t="n"/>
      <c r="E58" s="195" t="inlineStr">
        <is>
          <t>Eff + mos**</t>
        </is>
      </c>
      <c r="F58" s="195" t="inlineStr">
        <is>
          <t>Expected</t>
        </is>
      </c>
      <c r="G58" s="196" t="inlineStr">
        <is>
          <t>Minimum</t>
        </is>
      </c>
      <c r="H58" s="196" t="inlineStr">
        <is>
          <t>Window</t>
        </is>
      </c>
      <c r="I58" s="197" t="inlineStr">
        <is>
          <t>Allocation*</t>
        </is>
      </c>
      <c r="J58" s="198" t="inlineStr">
        <is>
          <t>Invoice</t>
        </is>
      </c>
    </row>
    <row r="59" ht="13.8" customHeight="1" s="156">
      <c r="B59" s="159" t="inlineStr">
        <is>
          <t>4.1</t>
        </is>
      </c>
      <c r="C59" s="199" t="inlineStr">
        <is>
          <t>Access Service - Password resets - Performance</t>
        </is>
      </c>
      <c r="E59" s="200">
        <f>MAX(E60:E62)</f>
        <v/>
      </c>
      <c r="F59" s="201">
        <f>AVERAGE(F60:F62)</f>
        <v/>
      </c>
      <c r="G59" s="201">
        <f>AVERAGE(G60:G62)</f>
        <v/>
      </c>
      <c r="H59" s="202" t="inlineStr">
        <is>
          <t>monthly</t>
        </is>
      </c>
      <c r="I59" s="203" t="n">
        <v>0.38</v>
      </c>
      <c r="J59" s="204">
        <f>$J$3*$F$57*I59</f>
        <v/>
      </c>
    </row>
    <row r="60" outlineLevel="1" ht="13.2" customHeight="1" s="156">
      <c r="B60" s="159" t="inlineStr">
        <is>
          <t>4.1.1</t>
        </is>
      </c>
      <c r="C60" s="205" t="n"/>
      <c r="D60" s="206" t="inlineStr">
        <is>
          <t>SM &amp; EUC (-UIS) - Reset password &lt; 22,5 minutes after approval/correct procedure</t>
        </is>
      </c>
      <c r="E60" s="159" t="n">
        <v>10</v>
      </c>
      <c r="F60" s="207" t="n">
        <v>0.9</v>
      </c>
      <c r="G60" s="207" t="n">
        <v>0.8</v>
      </c>
      <c r="H60" s="208" t="inlineStr">
        <is>
          <t>monthly</t>
        </is>
      </c>
      <c r="I60" s="209" t="n"/>
      <c r="J60" s="208" t="n"/>
    </row>
    <row r="61" outlineLevel="1" ht="13.2" customHeight="1" s="156">
      <c r="B61" s="159" t="inlineStr">
        <is>
          <t>4.1.2</t>
        </is>
      </c>
      <c r="C61" s="205" t="n"/>
      <c r="D61" s="206" t="inlineStr">
        <is>
          <t>SM &amp; EUC (-UIS) - PKI-pincode and GRAS-reset &lt; 90 minutes after approval/correct procedure</t>
        </is>
      </c>
      <c r="E61" s="159" t="n">
        <v>10</v>
      </c>
      <c r="F61" s="207" t="n">
        <v>0.98</v>
      </c>
      <c r="G61" s="207" t="n">
        <v>0.9</v>
      </c>
      <c r="H61" s="208" t="inlineStr">
        <is>
          <t>monthly</t>
        </is>
      </c>
      <c r="I61" s="209" t="n"/>
      <c r="J61" s="208" t="n"/>
    </row>
    <row r="62" outlineLevel="1" ht="26.4" customHeight="1" s="156">
      <c r="B62" s="159" t="inlineStr">
        <is>
          <t>4.1.3</t>
        </is>
      </c>
      <c r="C62" s="205" t="n"/>
      <c r="D62" s="206" t="inlineStr">
        <is>
          <t>SM &amp; EUC (-UIS) – Dealing Room / Named location Reset password less or equal to 10 minutes after approval/correct procedure</t>
        </is>
      </c>
      <c r="E62" s="159" t="n">
        <v>10</v>
      </c>
      <c r="F62" s="207" t="n">
        <v>0.95</v>
      </c>
      <c r="G62" s="207" t="n">
        <v>0.9</v>
      </c>
      <c r="H62" s="208" t="inlineStr">
        <is>
          <t>monthly</t>
        </is>
      </c>
      <c r="I62" s="209" t="n"/>
      <c r="J62" s="208" t="n"/>
    </row>
    <row r="63" ht="13.2" customHeight="1" s="156">
      <c r="B63" s="159" t="inlineStr">
        <is>
          <t>4.2</t>
        </is>
      </c>
      <c r="C63" s="199" t="inlineStr">
        <is>
          <t>Access Service - Service requests - Performance</t>
        </is>
      </c>
      <c r="E63" s="200">
        <f>MAX(E64:E66)</f>
        <v/>
      </c>
      <c r="F63" s="201">
        <f>AVERAGE(F64:F66)</f>
        <v/>
      </c>
      <c r="G63" s="201">
        <f>AVERAGE(G64:G66)</f>
        <v/>
      </c>
      <c r="H63" s="202" t="inlineStr">
        <is>
          <t>monthly</t>
        </is>
      </c>
      <c r="I63" s="203" t="n">
        <v>0.38</v>
      </c>
      <c r="J63" s="204">
        <f>$J$3*$F$57*I63</f>
        <v/>
      </c>
    </row>
    <row r="64" outlineLevel="1" ht="13.2" customHeight="1" s="156">
      <c r="B64" s="159" t="inlineStr">
        <is>
          <t>4.2.1</t>
        </is>
      </c>
      <c r="C64" s="205" t="n"/>
      <c r="D64" s="206" t="inlineStr">
        <is>
          <t xml:space="preserve">SM &amp; EUC (-UIS) - New / change authorization after approval/correct procedure </t>
        </is>
      </c>
      <c r="E64" s="159" t="n">
        <v>10</v>
      </c>
      <c r="F64" s="207" t="n">
        <v>0.95</v>
      </c>
      <c r="G64" s="207" t="n">
        <v>0.9</v>
      </c>
      <c r="H64" s="208" t="inlineStr">
        <is>
          <t>monthly</t>
        </is>
      </c>
      <c r="I64" s="209" t="n"/>
      <c r="J64" s="208" t="n"/>
    </row>
    <row r="65" outlineLevel="1" ht="39.6" customHeight="1" s="156">
      <c r="B65" s="159" t="inlineStr">
        <is>
          <t>4.2.2</t>
        </is>
      </c>
      <c r="C65" s="205" t="n"/>
      <c r="D65" s="229" t="inlineStr">
        <is>
          <t>Create the TSS-order to send smart card with Acceptance letter and reader to requested address &amp; After receiving acceptance letter implement all authorisations (incl GRAS) and create TSS-order to send PIN-code letter to requested address within timelines</t>
        </is>
      </c>
      <c r="E65" s="159" t="n">
        <v>10</v>
      </c>
      <c r="F65" s="207" t="n">
        <v>0.98</v>
      </c>
      <c r="G65" s="207" t="n">
        <v>0.9</v>
      </c>
      <c r="H65" s="208" t="inlineStr">
        <is>
          <t>monthly</t>
        </is>
      </c>
      <c r="I65" s="209" t="n"/>
      <c r="J65" s="208" t="n"/>
    </row>
    <row r="66" outlineLevel="1" ht="13.2" customHeight="1" s="156">
      <c r="B66" s="159" t="inlineStr">
        <is>
          <t>4.2.3</t>
        </is>
      </c>
      <c r="C66" s="205" t="n"/>
      <c r="D66" s="206" t="inlineStr">
        <is>
          <t>SM &amp; EUC (-UIS) - Lock user account &lt; 10 minutes after approval/correct procedure</t>
        </is>
      </c>
      <c r="E66" s="159" t="n">
        <v>10</v>
      </c>
      <c r="F66" s="207" t="n">
        <v>0.95</v>
      </c>
      <c r="G66" s="207" t="n">
        <v>0.9</v>
      </c>
      <c r="H66" s="208" t="inlineStr">
        <is>
          <t>monthly</t>
        </is>
      </c>
      <c r="I66" s="209" t="n"/>
      <c r="J66" s="208" t="n"/>
    </row>
    <row r="67" ht="13.2" customHeight="1" s="156">
      <c r="B67" s="159" t="inlineStr">
        <is>
          <t>4.3</t>
        </is>
      </c>
      <c r="C67" s="199" t="inlineStr">
        <is>
          <t>Access Service - Accuracy - Performance</t>
        </is>
      </c>
      <c r="E67" s="200">
        <f>MAX(E68:E70)</f>
        <v/>
      </c>
      <c r="F67" s="201">
        <f>AVERAGE(F68)</f>
        <v/>
      </c>
      <c r="G67" s="201">
        <f>AVERAGE(G68)</f>
        <v/>
      </c>
      <c r="H67" s="202" t="inlineStr">
        <is>
          <t>monthly</t>
        </is>
      </c>
      <c r="I67" s="203" t="n">
        <v>0.24</v>
      </c>
      <c r="J67" s="204">
        <f>$J$3*$F$57*I67</f>
        <v/>
      </c>
    </row>
    <row r="68" outlineLevel="1" ht="13.2" customHeight="1" s="156">
      <c r="B68" s="159" t="inlineStr">
        <is>
          <t>4.3.1</t>
        </is>
      </c>
      <c r="C68" s="205" t="n"/>
      <c r="D68" s="206" t="inlineStr">
        <is>
          <t>SM &amp; EUC (-UIS) - Standard change small correctly executed</t>
        </is>
      </c>
      <c r="E68" s="159" t="n">
        <v>10</v>
      </c>
      <c r="F68" s="207" t="n">
        <v>0.95</v>
      </c>
      <c r="G68" s="207" t="n">
        <v>0.9</v>
      </c>
      <c r="H68" s="208" t="inlineStr">
        <is>
          <t>monthly</t>
        </is>
      </c>
      <c r="I68" s="209" t="n"/>
      <c r="J68" s="208" t="n"/>
    </row>
    <row r="69" outlineLevel="1" ht="13.2" customHeight="1" s="156">
      <c r="C69" s="205" t="n"/>
      <c r="D69" s="206" t="n"/>
      <c r="E69" s="159" t="n"/>
      <c r="F69" s="207" t="n"/>
      <c r="G69" s="207" t="n"/>
      <c r="H69" s="208" t="n"/>
      <c r="I69" s="209" t="n"/>
      <c r="J69" s="208" t="n"/>
    </row>
    <row r="70" ht="13.8" customHeight="1" s="156">
      <c r="E70" s="210" t="n"/>
      <c r="F70" s="210" t="n"/>
      <c r="G70" s="210" t="n"/>
      <c r="H70" s="226" t="n"/>
      <c r="I70" s="210" t="n"/>
    </row>
    <row r="71" ht="14.4" customHeight="1" s="156">
      <c r="C71" s="186" t="inlineStr">
        <is>
          <t xml:space="preserve">Allocation of Pool Percentage </t>
        </is>
      </c>
      <c r="D71" s="187" t="n"/>
      <c r="E71" s="188" t="n"/>
      <c r="F71" s="189" t="n">
        <v>0.4</v>
      </c>
      <c r="G71" s="190" t="n"/>
      <c r="H71" s="190" t="inlineStr">
        <is>
          <t>Measurement</t>
        </is>
      </c>
      <c r="I71" s="191" t="n"/>
      <c r="J71" s="192" t="inlineStr">
        <is>
          <t>% of</t>
        </is>
      </c>
    </row>
    <row r="72" ht="14.4" customHeight="1" s="156">
      <c r="B72" s="159" t="inlineStr">
        <is>
          <t>5.0</t>
        </is>
      </c>
      <c r="C72" s="193" t="inlineStr">
        <is>
          <t>Voice Services Availability - Performance Category</t>
        </is>
      </c>
      <c r="D72" s="194" t="n"/>
      <c r="E72" s="195" t="inlineStr">
        <is>
          <t>Eff + mos**</t>
        </is>
      </c>
      <c r="F72" s="195" t="inlineStr">
        <is>
          <t>Expected</t>
        </is>
      </c>
      <c r="G72" s="196" t="inlineStr">
        <is>
          <t>Minimum</t>
        </is>
      </c>
      <c r="H72" s="196" t="inlineStr">
        <is>
          <t>Window</t>
        </is>
      </c>
      <c r="I72" s="197" t="inlineStr">
        <is>
          <t>Allocation*</t>
        </is>
      </c>
      <c r="J72" s="198" t="inlineStr">
        <is>
          <t>Invoice</t>
        </is>
      </c>
    </row>
    <row r="73" ht="13.8" customHeight="1" s="156">
      <c r="B73" s="159" t="inlineStr">
        <is>
          <t>5.1</t>
        </is>
      </c>
      <c r="C73" s="199" t="inlineStr">
        <is>
          <t>Base Voice Service - Availability</t>
        </is>
      </c>
      <c r="E73" s="200">
        <f>MAX(E74:E75)</f>
        <v/>
      </c>
      <c r="F73" s="201">
        <f>SUM(F74:F75)/2</f>
        <v/>
      </c>
      <c r="G73" s="201">
        <f>SUM(G74:G75)/2</f>
        <v/>
      </c>
      <c r="H73" s="202" t="inlineStr">
        <is>
          <t>monthly</t>
        </is>
      </c>
      <c r="I73" s="204" t="n">
        <v>0.5</v>
      </c>
      <c r="J73" s="204">
        <f>$J$3*$F$71*I73</f>
        <v/>
      </c>
      <c r="N73" s="158" t="n"/>
    </row>
    <row r="74" outlineLevel="1" ht="13.2" customHeight="1" s="156">
      <c r="B74" s="159" t="inlineStr">
        <is>
          <t>5.1.1</t>
        </is>
      </c>
      <c r="C74" s="162" t="n"/>
      <c r="D74" s="214" t="inlineStr">
        <is>
          <t>Voice - Network connection availability</t>
        </is>
      </c>
      <c r="E74" s="159" t="n">
        <v>7</v>
      </c>
      <c r="F74" s="207" t="n">
        <v>0.9998</v>
      </c>
      <c r="G74" s="207" t="n">
        <v>0.9995000000000001</v>
      </c>
      <c r="H74" s="208" t="inlineStr">
        <is>
          <t>monthly</t>
        </is>
      </c>
      <c r="I74" s="209" t="n"/>
      <c r="J74" s="208" t="n"/>
      <c r="N74" s="158" t="n"/>
    </row>
    <row r="75" outlineLevel="1" ht="13.2" customHeight="1" s="156">
      <c r="B75" s="159" t="inlineStr">
        <is>
          <t>5.1.2</t>
        </is>
      </c>
      <c r="C75" s="162" t="n"/>
      <c r="D75" s="214" t="inlineStr">
        <is>
          <t>Voice - PBX equipment availability</t>
        </is>
      </c>
      <c r="E75" s="159" t="n">
        <v>7</v>
      </c>
      <c r="F75" s="207" t="n">
        <v>0.9998</v>
      </c>
      <c r="G75" s="207" t="n">
        <v>0.9995000000000001</v>
      </c>
      <c r="H75" s="208" t="inlineStr">
        <is>
          <t>monthly</t>
        </is>
      </c>
      <c r="I75" s="209" t="n"/>
      <c r="J75" s="208" t="n"/>
      <c r="N75" s="158" t="n"/>
    </row>
    <row r="76" ht="13.2" customHeight="1" s="156">
      <c r="B76" s="159" t="inlineStr">
        <is>
          <t>5.2</t>
        </is>
      </c>
      <c r="C76" s="199" t="inlineStr">
        <is>
          <t xml:space="preserve">Call Centre Voice Service - Availability </t>
        </is>
      </c>
      <c r="E76" s="200">
        <f>MAX(E77:E78)</f>
        <v/>
      </c>
      <c r="F76" s="201">
        <f>SUM(F77:F78)/2</f>
        <v/>
      </c>
      <c r="G76" s="201">
        <f>SUM(G77:G78)/2</f>
        <v/>
      </c>
      <c r="H76" s="202" t="inlineStr">
        <is>
          <t>monthly</t>
        </is>
      </c>
      <c r="I76" s="204" t="n">
        <v>0.35</v>
      </c>
      <c r="J76" s="204">
        <f>$J$3*$F$71*I76</f>
        <v/>
      </c>
      <c r="N76" s="158" t="n"/>
    </row>
    <row r="77" outlineLevel="1" ht="13.2" customHeight="1" s="156">
      <c r="B77" s="159" t="inlineStr">
        <is>
          <t>5.2.1</t>
        </is>
      </c>
      <c r="C77" s="162" t="n"/>
      <c r="D77" s="214" t="inlineStr">
        <is>
          <t>Voice - Network connection availability</t>
        </is>
      </c>
      <c r="E77" s="159" t="n">
        <v>10</v>
      </c>
      <c r="F77" s="207" t="n">
        <v>0.9998</v>
      </c>
      <c r="G77" s="207" t="n">
        <v>0.9995000000000001</v>
      </c>
      <c r="H77" s="208" t="inlineStr">
        <is>
          <t>monthly</t>
        </is>
      </c>
      <c r="I77" s="209" t="n"/>
      <c r="J77" s="208" t="n"/>
      <c r="N77" s="158" t="n"/>
    </row>
    <row r="78" outlineLevel="1" ht="13.2" customHeight="1" s="156">
      <c r="B78" s="159" t="inlineStr">
        <is>
          <t>5.2.2</t>
        </is>
      </c>
      <c r="C78" s="162" t="n"/>
      <c r="D78" s="214" t="inlineStr">
        <is>
          <t>Voice - Call Centre equipment including software availability</t>
        </is>
      </c>
      <c r="E78" s="159" t="n">
        <v>10</v>
      </c>
      <c r="F78" s="207" t="n">
        <v>0.9998</v>
      </c>
      <c r="G78" s="207" t="n">
        <v>0.9995000000000001</v>
      </c>
      <c r="H78" s="208" t="inlineStr">
        <is>
          <t>monthly</t>
        </is>
      </c>
      <c r="I78" s="209" t="n"/>
      <c r="J78" s="208" t="n"/>
      <c r="N78" s="158" t="n"/>
    </row>
    <row r="79" ht="13.2" customHeight="1" s="156">
      <c r="B79" s="159" t="inlineStr">
        <is>
          <t>5.3</t>
        </is>
      </c>
      <c r="C79" s="199" t="inlineStr">
        <is>
          <t>Mobile Voice Service - Availability</t>
        </is>
      </c>
      <c r="E79" s="200">
        <f>MAX(E80)</f>
        <v/>
      </c>
      <c r="F79" s="201">
        <f>SUM(F80)</f>
        <v/>
      </c>
      <c r="G79" s="201">
        <f>SUM(G80)</f>
        <v/>
      </c>
      <c r="H79" s="202" t="inlineStr">
        <is>
          <t>monthly</t>
        </is>
      </c>
      <c r="I79" s="204" t="n">
        <v>0.15</v>
      </c>
      <c r="J79" s="204">
        <f>$J$3*$F$71*I79</f>
        <v/>
      </c>
      <c r="N79" s="158" t="n"/>
    </row>
    <row r="80" outlineLevel="1" ht="13.2" customHeight="1" s="156">
      <c r="B80" s="159" t="inlineStr">
        <is>
          <t>5.3.1</t>
        </is>
      </c>
      <c r="C80" s="162" t="n"/>
      <c r="D80" s="214" t="inlineStr">
        <is>
          <t>Voice - Network availability</t>
        </is>
      </c>
      <c r="E80" s="159" t="n">
        <v>4</v>
      </c>
      <c r="F80" s="207" t="n">
        <v>0.998</v>
      </c>
      <c r="G80" s="207" t="n">
        <v>0.998</v>
      </c>
      <c r="H80" s="208" t="inlineStr">
        <is>
          <t>monthly</t>
        </is>
      </c>
      <c r="I80" s="208" t="n"/>
      <c r="J80" s="208" t="n"/>
    </row>
    <row r="81" ht="13.8" customHeight="1" s="156">
      <c r="C81" s="160" t="n"/>
      <c r="E81" s="210" t="n"/>
      <c r="F81" s="211" t="n"/>
      <c r="G81" s="211" t="n"/>
      <c r="H81" s="212" t="n"/>
      <c r="I81" s="213" t="n"/>
      <c r="J81" s="210" t="n"/>
    </row>
    <row r="82" ht="14.4" customHeight="1" s="156">
      <c r="C82" s="186" t="inlineStr">
        <is>
          <t xml:space="preserve">Allocation of Pool Percentage </t>
        </is>
      </c>
      <c r="D82" s="187" t="n"/>
      <c r="E82" s="188" t="n"/>
      <c r="F82" s="189" t="n">
        <v>0.2</v>
      </c>
      <c r="G82" s="190" t="n"/>
      <c r="H82" s="190" t="inlineStr">
        <is>
          <t>Measurement</t>
        </is>
      </c>
      <c r="I82" s="191" t="n"/>
      <c r="J82" s="230" t="inlineStr">
        <is>
          <t>% of</t>
        </is>
      </c>
    </row>
    <row r="83" ht="14.4" customHeight="1" s="156">
      <c r="B83" s="159" t="inlineStr">
        <is>
          <t>6.0</t>
        </is>
      </c>
      <c r="C83" s="193" t="inlineStr">
        <is>
          <t>Service Desk Services Availability - Performance Category</t>
        </is>
      </c>
      <c r="D83" s="194" t="n"/>
      <c r="E83" s="195" t="inlineStr">
        <is>
          <t>Eff + mos**</t>
        </is>
      </c>
      <c r="F83" s="195" t="inlineStr">
        <is>
          <t>Expected</t>
        </is>
      </c>
      <c r="G83" s="196" t="inlineStr">
        <is>
          <t>Minimum</t>
        </is>
      </c>
      <c r="H83" s="196" t="inlineStr">
        <is>
          <t>Window</t>
        </is>
      </c>
      <c r="I83" s="197" t="inlineStr">
        <is>
          <t>Allocation*</t>
        </is>
      </c>
      <c r="J83" s="198" t="inlineStr">
        <is>
          <t>Invoice</t>
        </is>
      </c>
    </row>
    <row r="84" ht="13.8" customHeight="1" s="156">
      <c r="B84" s="159" t="inlineStr">
        <is>
          <t>6.1</t>
        </is>
      </c>
      <c r="C84" s="199" t="inlineStr">
        <is>
          <t>Base Service Desk Service - Availability</t>
        </is>
      </c>
      <c r="E84" s="200">
        <f>MAX(E85:E89)</f>
        <v/>
      </c>
      <c r="F84" s="201">
        <f>AVERAGE(F85:F89)</f>
        <v/>
      </c>
      <c r="G84" s="201">
        <f>AVERAGE(G85:G89)</f>
        <v/>
      </c>
      <c r="H84" s="202" t="inlineStr">
        <is>
          <t>monthly</t>
        </is>
      </c>
      <c r="I84" s="203" t="n">
        <v>1</v>
      </c>
      <c r="J84" s="204">
        <f>$J$3*$F$82*I84</f>
        <v/>
      </c>
    </row>
    <row r="85" outlineLevel="1" ht="13.2" customHeight="1" s="156">
      <c r="B85" s="159" t="inlineStr">
        <is>
          <t>6.1.1</t>
        </is>
      </c>
      <c r="C85" s="162" t="n"/>
      <c r="D85" s="214" t="inlineStr">
        <is>
          <t>SM - Self Service Portal - Availability</t>
        </is>
      </c>
      <c r="E85" s="159" t="n">
        <v>10</v>
      </c>
      <c r="F85" s="207" t="n">
        <v>0.995</v>
      </c>
      <c r="G85" s="207" t="n">
        <v>0.98</v>
      </c>
      <c r="H85" s="208" t="inlineStr">
        <is>
          <t>monthly</t>
        </is>
      </c>
      <c r="I85" s="209" t="n"/>
      <c r="J85" s="208" t="n"/>
    </row>
    <row r="86" outlineLevel="1" ht="13.2" customHeight="1" s="156">
      <c r="B86" s="159" t="inlineStr">
        <is>
          <t>6.1.2</t>
        </is>
      </c>
      <c r="C86" s="162" t="n"/>
      <c r="D86" s="214" t="inlineStr">
        <is>
          <t>SD - Speed to answer voice calls &lt; 45 sec after IVR (all levels)</t>
        </is>
      </c>
      <c r="E86" s="159" t="n">
        <v>10</v>
      </c>
      <c r="F86" s="207" t="n">
        <v>0.85</v>
      </c>
      <c r="G86" s="207" t="n">
        <v>0.75</v>
      </c>
      <c r="H86" s="208" t="inlineStr">
        <is>
          <t>monthly</t>
        </is>
      </c>
      <c r="I86" s="209" t="n"/>
      <c r="J86" s="208" t="n"/>
    </row>
    <row r="87" outlineLevel="1" ht="13.2" customHeight="1" s="156">
      <c r="B87" s="159" t="inlineStr">
        <is>
          <t>6.1.3</t>
        </is>
      </c>
      <c r="C87" s="162" t="n"/>
      <c r="D87" s="214" t="inlineStr">
        <is>
          <t>SD - Call non-abandonment rate</t>
        </is>
      </c>
      <c r="E87" s="159" t="n">
        <v>10</v>
      </c>
      <c r="F87" s="207" t="n">
        <v>0.9</v>
      </c>
      <c r="G87" s="207" t="n">
        <v>0.8</v>
      </c>
      <c r="H87" s="208" t="inlineStr">
        <is>
          <t>monthly</t>
        </is>
      </c>
      <c r="I87" s="209" t="n"/>
      <c r="J87" s="208" t="n"/>
    </row>
    <row r="88" outlineLevel="1" ht="13.2" customHeight="1" s="156">
      <c r="B88" s="159" t="inlineStr">
        <is>
          <t>6.1.4</t>
        </is>
      </c>
      <c r="C88" s="162" t="n"/>
      <c r="D88" s="214" t="inlineStr">
        <is>
          <t>SD - Service desk - voice availability</t>
        </is>
      </c>
      <c r="E88" s="159" t="n">
        <v>10</v>
      </c>
      <c r="F88" s="207" t="n">
        <v>0.995</v>
      </c>
      <c r="G88" s="207" t="n">
        <v>0.992</v>
      </c>
      <c r="H88" s="208" t="inlineStr">
        <is>
          <t>monthly</t>
        </is>
      </c>
      <c r="I88" s="209" t="n"/>
      <c r="J88" s="208" t="n"/>
    </row>
    <row r="89" outlineLevel="1" ht="13.2" customHeight="1" s="156">
      <c r="B89" s="159" t="inlineStr">
        <is>
          <t>6.1.5</t>
        </is>
      </c>
      <c r="C89" s="162" t="n"/>
      <c r="D89" s="214" t="inlineStr">
        <is>
          <t>SD - Service desk - call logging, tracking, etc portal availability</t>
        </is>
      </c>
      <c r="E89" s="159" t="n">
        <v>10</v>
      </c>
      <c r="F89" s="207" t="n">
        <v>0.9945000000000001</v>
      </c>
      <c r="G89" s="207" t="n">
        <v>0.98</v>
      </c>
      <c r="H89" s="208" t="inlineStr">
        <is>
          <t>monthly</t>
        </is>
      </c>
      <c r="I89" s="209" t="n"/>
      <c r="J89" s="208" t="n"/>
    </row>
    <row r="90" ht="13.8" customHeight="1" s="156">
      <c r="C90" s="160" t="n"/>
      <c r="D90" s="161" t="n"/>
      <c r="E90" s="210" t="n"/>
      <c r="F90" s="211" t="n"/>
      <c r="G90" s="211" t="n"/>
      <c r="H90" s="212" t="n"/>
      <c r="I90" s="213" t="n"/>
      <c r="J90" s="208" t="n"/>
    </row>
    <row r="91" ht="14.4" customHeight="1" s="156">
      <c r="C91" s="186" t="inlineStr">
        <is>
          <t xml:space="preserve">Allocation of Pool Percentage </t>
        </is>
      </c>
      <c r="D91" s="187" t="n"/>
      <c r="E91" s="188" t="n"/>
      <c r="F91" s="189" t="n">
        <v>0.2</v>
      </c>
      <c r="G91" s="190" t="n"/>
      <c r="H91" s="190" t="inlineStr">
        <is>
          <t>Measurement</t>
        </is>
      </c>
      <c r="I91" s="191" t="n"/>
      <c r="J91" s="192" t="inlineStr">
        <is>
          <t>% of</t>
        </is>
      </c>
    </row>
    <row r="92" ht="14.4" customHeight="1" s="156">
      <c r="B92" s="159" t="inlineStr">
        <is>
          <t>7.0</t>
        </is>
      </c>
      <c r="C92" s="193" t="inlineStr">
        <is>
          <t>Base Service Desk Services Performance - Performance Category</t>
        </is>
      </c>
      <c r="D92" s="194" t="n"/>
      <c r="E92" s="195" t="inlineStr">
        <is>
          <t>Eff + mos**</t>
        </is>
      </c>
      <c r="F92" s="195" t="inlineStr">
        <is>
          <t>Expected</t>
        </is>
      </c>
      <c r="G92" s="196" t="inlineStr">
        <is>
          <t>Minimum</t>
        </is>
      </c>
      <c r="H92" s="196" t="inlineStr">
        <is>
          <t>Window</t>
        </is>
      </c>
      <c r="I92" s="197" t="inlineStr">
        <is>
          <t>Allocation*</t>
        </is>
      </c>
      <c r="J92" s="198" t="inlineStr">
        <is>
          <t>Invoice</t>
        </is>
      </c>
    </row>
    <row r="93" ht="13.8" customHeight="1" s="156">
      <c r="B93" s="159" t="inlineStr">
        <is>
          <t>7.1</t>
        </is>
      </c>
      <c r="C93" s="199" t="inlineStr">
        <is>
          <t>Base Service Desk Services - Performance</t>
        </is>
      </c>
      <c r="E93" s="200">
        <f>MAX(E94:E96)</f>
        <v/>
      </c>
      <c r="F93" s="201">
        <f>AVERAGE(F94,(F95+(F96*(100%-F95))))</f>
        <v/>
      </c>
      <c r="G93" s="201">
        <f>AVERAGE(G94,(G95+(G96*(100%-G95))))</f>
        <v/>
      </c>
      <c r="H93" s="202" t="inlineStr">
        <is>
          <t>monthly</t>
        </is>
      </c>
      <c r="I93" s="203" t="n">
        <v>1</v>
      </c>
      <c r="J93" s="204">
        <f>$J$3*$F$91*I93</f>
        <v/>
      </c>
    </row>
    <row r="94" outlineLevel="1" ht="13.2" customHeight="1" s="156">
      <c r="B94" s="159" t="inlineStr">
        <is>
          <t>7.1.1</t>
        </is>
      </c>
      <c r="C94" s="162" t="n"/>
      <c r="D94" s="214" t="inlineStr">
        <is>
          <t>SD - Notification of outage within 15 minutes after the notification is received from the Resolver Group.</t>
        </is>
      </c>
      <c r="E94" s="159" t="n">
        <v>10</v>
      </c>
      <c r="F94" s="207" t="n">
        <v>0.9</v>
      </c>
      <c r="G94" s="207" t="n">
        <v>0.8</v>
      </c>
      <c r="H94" s="208" t="inlineStr">
        <is>
          <t>monthly</t>
        </is>
      </c>
      <c r="I94" s="209" t="n"/>
      <c r="J94" s="208" t="n"/>
    </row>
    <row r="95" outlineLevel="1" ht="13.2" customHeight="1" s="156">
      <c r="B95" s="159" t="inlineStr">
        <is>
          <t>7.1.2</t>
        </is>
      </c>
      <c r="C95" s="162" t="n"/>
      <c r="D95" s="214" t="inlineStr">
        <is>
          <t>SD - Percentage of In-Scope Incidents resolved by the Service Desk</t>
        </is>
      </c>
      <c r="E95" s="159" t="n">
        <v>10</v>
      </c>
      <c r="F95" s="207" t="n">
        <v>0.65</v>
      </c>
      <c r="G95" s="207" t="n">
        <v>0.55</v>
      </c>
      <c r="H95" s="208" t="inlineStr">
        <is>
          <t>monthly</t>
        </is>
      </c>
      <c r="I95" s="209" t="n"/>
      <c r="J95" s="208" t="n"/>
    </row>
    <row r="96" outlineLevel="1" ht="13.2" customHeight="1" s="156">
      <c r="B96" s="159" t="inlineStr">
        <is>
          <t>7.1.3</t>
        </is>
      </c>
      <c r="C96" s="162" t="n"/>
      <c r="D96" s="214" t="inlineStr">
        <is>
          <t>SD - Call assignment accuracy</t>
        </is>
      </c>
      <c r="E96" s="159" t="n">
        <v>10</v>
      </c>
      <c r="F96" s="207" t="n">
        <v>0.85</v>
      </c>
      <c r="G96" s="207" t="n">
        <v>0.7</v>
      </c>
      <c r="H96" s="208" t="inlineStr">
        <is>
          <t>monthly</t>
        </is>
      </c>
      <c r="I96" s="209" t="n"/>
      <c r="J96" s="208" t="n"/>
    </row>
    <row r="97" outlineLevel="1" ht="13.2" customHeight="1" s="156">
      <c r="C97" s="162" t="n"/>
      <c r="D97" s="214" t="n"/>
      <c r="E97" s="159" t="n"/>
      <c r="F97" s="207" t="n"/>
      <c r="G97" s="207" t="n"/>
      <c r="H97" s="208" t="n"/>
      <c r="I97" s="209" t="n"/>
      <c r="J97" s="208" t="n"/>
    </row>
    <row r="98" ht="13.8" customHeight="1" s="156">
      <c r="C98" s="160" t="n"/>
      <c r="D98" s="161" t="n"/>
      <c r="E98" s="210" t="n"/>
      <c r="F98" s="211" t="n"/>
      <c r="G98" s="211" t="n"/>
      <c r="H98" s="212" t="n"/>
      <c r="I98" s="213" t="n"/>
      <c r="J98" s="208" t="n"/>
    </row>
    <row r="99" ht="14.4" customHeight="1" s="156">
      <c r="C99" s="186" t="inlineStr">
        <is>
          <t xml:space="preserve">Allocation of Pool Percentage </t>
        </is>
      </c>
      <c r="D99" s="187" t="n"/>
      <c r="E99" s="188" t="n"/>
      <c r="F99" s="189" t="n">
        <v>0.2</v>
      </c>
      <c r="G99" s="190" t="n"/>
      <c r="H99" s="190" t="inlineStr">
        <is>
          <t>Measurement</t>
        </is>
      </c>
      <c r="I99" s="191" t="n"/>
      <c r="J99" s="192" t="inlineStr">
        <is>
          <t>% of</t>
        </is>
      </c>
    </row>
    <row r="100" ht="14.4" customHeight="1" s="156">
      <c r="B100" s="159" t="inlineStr">
        <is>
          <t>8.0</t>
        </is>
      </c>
      <c r="C100" s="193" t="inlineStr">
        <is>
          <t>IMAC Services Performance - Performance Category</t>
        </is>
      </c>
      <c r="D100" s="194" t="n"/>
      <c r="E100" s="195" t="inlineStr">
        <is>
          <t>Eff + mos**</t>
        </is>
      </c>
      <c r="F100" s="195" t="inlineStr">
        <is>
          <t>Expected</t>
        </is>
      </c>
      <c r="G100" s="196" t="inlineStr">
        <is>
          <t>Minimum</t>
        </is>
      </c>
      <c r="H100" s="196" t="inlineStr">
        <is>
          <t>Window</t>
        </is>
      </c>
      <c r="I100" s="197" t="inlineStr">
        <is>
          <t>Allocation*</t>
        </is>
      </c>
      <c r="J100" s="198" t="inlineStr">
        <is>
          <t>Invoice</t>
        </is>
      </c>
    </row>
    <row r="101" ht="13.8" customHeight="1" s="156">
      <c r="B101" s="159" t="inlineStr">
        <is>
          <t>8.1</t>
        </is>
      </c>
      <c r="C101" s="199" t="inlineStr">
        <is>
          <t>IMAC Response &amp; Management Service - Performance</t>
        </is>
      </c>
      <c r="E101" s="200">
        <f>MAX(E102,E108,E117)</f>
        <v/>
      </c>
      <c r="F101" s="201">
        <f>AVERAGE(F102,F108,F117)</f>
        <v/>
      </c>
      <c r="G101" s="201">
        <f>AVERAGE(G102,G108,G117)</f>
        <v/>
      </c>
      <c r="H101" s="202" t="inlineStr">
        <is>
          <t>monthly</t>
        </is>
      </c>
      <c r="I101" s="203" t="n">
        <v>1</v>
      </c>
      <c r="J101" s="204">
        <f>$J$3*$F$99*I101</f>
        <v/>
      </c>
    </row>
    <row r="102" outlineLevel="1" ht="13.2" customHeight="1" s="156">
      <c r="B102" s="159" t="inlineStr">
        <is>
          <t>8.1.1</t>
        </is>
      </c>
      <c r="C102" s="205" t="n"/>
      <c r="D102" s="231" t="inlineStr">
        <is>
          <t>Soft IMACs completed within the agreed time frame</t>
        </is>
      </c>
      <c r="E102" s="232">
        <f>MAX(E103:E107)</f>
        <v/>
      </c>
      <c r="F102" s="217">
        <f>AVERAGE(F103:F107)</f>
        <v/>
      </c>
      <c r="G102" s="217">
        <f>AVERAGE(G103:G107)</f>
        <v/>
      </c>
      <c r="H102" s="218" t="inlineStr">
        <is>
          <t>monthly</t>
        </is>
      </c>
      <c r="I102" s="233" t="n"/>
      <c r="J102" s="218" t="n"/>
    </row>
    <row r="103" outlineLevel="1" ht="13.2" customHeight="1" s="156">
      <c r="C103" s="162" t="n"/>
      <c r="D103" s="206" t="inlineStr">
        <is>
          <t>SM &amp; EUC (-UIS) - Standard change small' duration &lt; 1 business day (other users/locations)</t>
        </is>
      </c>
      <c r="E103" s="159" t="n">
        <v>8</v>
      </c>
      <c r="F103" s="207" t="n">
        <v>0.9</v>
      </c>
      <c r="G103" s="207" t="n">
        <v>0.8</v>
      </c>
      <c r="H103" s="208" t="inlineStr">
        <is>
          <t>monthly</t>
        </is>
      </c>
      <c r="I103" s="209" t="n"/>
      <c r="J103" s="208" t="n"/>
    </row>
    <row r="104" outlineLevel="1" ht="13.2" customHeight="1" s="156">
      <c r="C104" s="162" t="n"/>
      <c r="D104" s="206" t="inlineStr">
        <is>
          <t>LAN - LAN Soft IMAC</t>
        </is>
      </c>
      <c r="E104" s="159" t="n">
        <v>8</v>
      </c>
      <c r="F104" s="207" t="n">
        <v>0.95</v>
      </c>
      <c r="G104" s="207" t="n">
        <v>0.8</v>
      </c>
      <c r="H104" s="208" t="inlineStr">
        <is>
          <t>monthly</t>
        </is>
      </c>
      <c r="I104" s="209" t="n"/>
      <c r="J104" s="208" t="n"/>
    </row>
    <row r="105" outlineLevel="1" ht="13.2" customHeight="1" s="156">
      <c r="C105" s="162" t="n"/>
      <c r="D105" s="206" t="inlineStr">
        <is>
          <t>Voice - Voice Soft IMAC</t>
        </is>
      </c>
      <c r="E105" s="159" t="n">
        <v>8</v>
      </c>
      <c r="F105" s="207" t="n">
        <v>0.95</v>
      </c>
      <c r="G105" s="207" t="n">
        <v>0.8</v>
      </c>
      <c r="H105" s="208" t="inlineStr">
        <is>
          <t>monthly</t>
        </is>
      </c>
      <c r="I105" s="209" t="n"/>
      <c r="J105" s="208" t="n"/>
    </row>
    <row r="106" outlineLevel="1" ht="13.2" customHeight="1" s="156">
      <c r="C106" s="162" t="n"/>
      <c r="D106" s="206" t="inlineStr">
        <is>
          <t>LAN &amp; Voice - Soft IMAC Videoconferencing equipment in 2 business days</t>
        </is>
      </c>
      <c r="E106" s="159" t="n">
        <v>8</v>
      </c>
      <c r="F106" s="207" t="n">
        <v>0.95</v>
      </c>
      <c r="G106" s="207" t="n">
        <v>0.8</v>
      </c>
      <c r="H106" s="208" t="inlineStr">
        <is>
          <t>monthly</t>
        </is>
      </c>
      <c r="I106" s="209" t="n"/>
      <c r="J106" s="208" t="n"/>
    </row>
    <row r="107" outlineLevel="1" ht="13.2" customHeight="1" s="156">
      <c r="C107" s="205" t="n"/>
      <c r="D107" s="206" t="inlineStr">
        <is>
          <t>LAN &amp; Voice - Hard IMAC Videoconferencing equipment in 5 business days</t>
        </is>
      </c>
      <c r="E107" s="159" t="n">
        <v>8</v>
      </c>
      <c r="F107" s="207" t="n">
        <v>0.95</v>
      </c>
      <c r="G107" s="207" t="n">
        <v>0.8</v>
      </c>
      <c r="H107" s="208" t="inlineStr">
        <is>
          <t>monthly</t>
        </is>
      </c>
      <c r="I107" s="209" t="n"/>
      <c r="J107" s="208" t="n"/>
    </row>
    <row r="108" outlineLevel="1" ht="13.2" customHeight="1" s="156">
      <c r="B108" s="159" t="inlineStr">
        <is>
          <t>8.1.2</t>
        </is>
      </c>
      <c r="C108" s="205" t="n"/>
      <c r="D108" s="231" t="inlineStr">
        <is>
          <t>Soft &amp; Hard IMACs Named Location completed within the agreed time frame</t>
        </is>
      </c>
      <c r="E108" s="232">
        <f>MAX(E109:E116)</f>
        <v/>
      </c>
      <c r="F108" s="217">
        <f>AVERAGE(F109:F116)</f>
        <v/>
      </c>
      <c r="G108" s="217">
        <f>AVERAGE(G109:G116)</f>
        <v/>
      </c>
      <c r="H108" s="218" t="inlineStr">
        <is>
          <t>monthly</t>
        </is>
      </c>
      <c r="I108" s="233" t="n"/>
      <c r="J108" s="218" t="n"/>
    </row>
    <row r="109" outlineLevel="1" ht="13.2" customHeight="1" s="156">
      <c r="C109" s="162" t="n"/>
      <c r="D109" s="206" t="inlineStr">
        <is>
          <t>SM &amp; EUC (-UIS) - Standard change small' duration &lt; ,5 business day (named locations)</t>
        </is>
      </c>
      <c r="E109" s="159" t="n">
        <v>8</v>
      </c>
      <c r="F109" s="207" t="n">
        <v>0.9</v>
      </c>
      <c r="G109" s="207" t="n">
        <v>0.8</v>
      </c>
      <c r="H109" s="208" t="inlineStr">
        <is>
          <t>monthly</t>
        </is>
      </c>
      <c r="I109" s="209" t="n"/>
      <c r="J109" s="208" t="n"/>
    </row>
    <row r="110" outlineLevel="1" ht="13.2" customHeight="1" s="156">
      <c r="C110" s="162" t="n"/>
      <c r="D110" s="206" t="inlineStr">
        <is>
          <t>LAN - LAN Soft IMAC</t>
        </is>
      </c>
      <c r="E110" s="159" t="n">
        <v>8</v>
      </c>
      <c r="F110" s="207" t="n">
        <v>0.95</v>
      </c>
      <c r="G110" s="207" t="n">
        <v>0.8</v>
      </c>
      <c r="H110" s="208" t="inlineStr">
        <is>
          <t>monthly</t>
        </is>
      </c>
      <c r="I110" s="209" t="n"/>
      <c r="J110" s="208" t="n"/>
    </row>
    <row r="111" outlineLevel="1" ht="13.2" customHeight="1" s="156">
      <c r="C111" s="162" t="n"/>
      <c r="D111" s="206" t="inlineStr">
        <is>
          <t>Voice - Voice Soft IMAC</t>
        </is>
      </c>
      <c r="E111" s="159" t="n">
        <v>8</v>
      </c>
      <c r="F111" s="207" t="n">
        <v>0.95</v>
      </c>
      <c r="G111" s="207" t="n">
        <v>0.8</v>
      </c>
      <c r="H111" s="208" t="inlineStr">
        <is>
          <t>monthly</t>
        </is>
      </c>
      <c r="I111" s="209" t="n"/>
      <c r="J111" s="208" t="n"/>
    </row>
    <row r="112" outlineLevel="1" ht="13.2" customHeight="1" s="156">
      <c r="C112" s="162" t="n"/>
      <c r="D112" s="214" t="inlineStr">
        <is>
          <t>LAN - LAN Hard IMAC</t>
        </is>
      </c>
      <c r="E112" s="159" t="n">
        <v>8</v>
      </c>
      <c r="F112" s="207" t="n">
        <v>0.95</v>
      </c>
      <c r="G112" s="207" t="n">
        <v>0.8</v>
      </c>
      <c r="H112" s="208" t="inlineStr">
        <is>
          <t>monthly</t>
        </is>
      </c>
      <c r="I112" s="209" t="n"/>
      <c r="J112" s="208" t="n"/>
    </row>
    <row r="113" outlineLevel="1" ht="13.2" customHeight="1" s="156">
      <c r="C113" s="162" t="n"/>
      <c r="D113" s="214" t="inlineStr">
        <is>
          <t>Voice - Voice Hard IMAC</t>
        </is>
      </c>
      <c r="E113" s="159" t="n">
        <v>8</v>
      </c>
      <c r="F113" s="207" t="n">
        <v>0.95</v>
      </c>
      <c r="G113" s="207" t="n">
        <v>0.8</v>
      </c>
      <c r="H113" s="208" t="inlineStr">
        <is>
          <t>monthly</t>
        </is>
      </c>
      <c r="I113" s="209" t="n"/>
      <c r="J113" s="208" t="n"/>
    </row>
    <row r="114" outlineLevel="1" ht="13.2" customHeight="1" s="156">
      <c r="C114" s="162" t="n"/>
      <c r="D114" s="206" t="inlineStr">
        <is>
          <t>LAN &amp; Voice - Soft IMAC Videoconferencing equipment in 2 business days</t>
        </is>
      </c>
      <c r="E114" s="159" t="n">
        <v>8</v>
      </c>
      <c r="F114" s="207" t="n">
        <v>0.95</v>
      </c>
      <c r="G114" s="207" t="n">
        <v>0.8</v>
      </c>
      <c r="H114" s="208" t="inlineStr">
        <is>
          <t>monthly</t>
        </is>
      </c>
      <c r="I114" s="209" t="n"/>
      <c r="J114" s="208" t="n"/>
    </row>
    <row r="115" outlineLevel="1" ht="13.2" customHeight="1" s="156">
      <c r="C115" s="205" t="n"/>
      <c r="D115" s="206" t="inlineStr">
        <is>
          <t>LAN &amp; Voice - Hard IMAC Videoconferencing equipment in 5 business days</t>
        </is>
      </c>
      <c r="E115" s="159" t="n">
        <v>8</v>
      </c>
      <c r="F115" s="207" t="n">
        <v>0.95</v>
      </c>
      <c r="G115" s="207" t="n">
        <v>0.8</v>
      </c>
      <c r="H115" s="208" t="inlineStr">
        <is>
          <t>monthly</t>
        </is>
      </c>
      <c r="I115" s="209" t="n"/>
      <c r="J115" s="208" t="n"/>
    </row>
    <row r="116" outlineLevel="1" ht="13.2" customHeight="1" s="156">
      <c r="C116" s="162" t="n"/>
      <c r="D116" s="214" t="inlineStr">
        <is>
          <t>DTHW - Completion of service request DTHW Named Locations</t>
        </is>
      </c>
      <c r="E116" s="159" t="n">
        <v>8</v>
      </c>
      <c r="F116" s="207" t="n">
        <v>0.9</v>
      </c>
      <c r="G116" s="207" t="n">
        <v>0.85</v>
      </c>
      <c r="H116" s="208" t="inlineStr">
        <is>
          <t>monthly</t>
        </is>
      </c>
      <c r="I116" s="209" t="n"/>
      <c r="J116" s="208" t="n"/>
    </row>
    <row r="117" outlineLevel="1" ht="13.2" customHeight="1" s="156">
      <c r="B117" s="159" t="inlineStr">
        <is>
          <t>8.1.3</t>
        </is>
      </c>
      <c r="C117" s="205" t="n"/>
      <c r="D117" s="231" t="inlineStr">
        <is>
          <t>Hard IMACs completed within the agreed time frame</t>
        </is>
      </c>
      <c r="E117" s="232">
        <f>MAX(E118:E121)</f>
        <v/>
      </c>
      <c r="F117" s="217">
        <f>AVERAGE(F118:F121)</f>
        <v/>
      </c>
      <c r="G117" s="217">
        <f>AVERAGE(G118:G121)</f>
        <v/>
      </c>
      <c r="H117" s="218" t="inlineStr">
        <is>
          <t>monthly</t>
        </is>
      </c>
      <c r="I117" s="233" t="n"/>
      <c r="J117" s="218" t="n"/>
    </row>
    <row r="118" outlineLevel="1" ht="13.2" customHeight="1" s="156">
      <c r="C118" s="162" t="n"/>
      <c r="D118" s="214" t="inlineStr">
        <is>
          <t>DTHW - Completion of service request DTHW bronze</t>
        </is>
      </c>
      <c r="E118" s="159" t="n">
        <v>8</v>
      </c>
      <c r="F118" s="207" t="n">
        <v>0.9</v>
      </c>
      <c r="G118" s="207" t="n">
        <v>0.85</v>
      </c>
      <c r="H118" s="208" t="inlineStr">
        <is>
          <t>monthly</t>
        </is>
      </c>
      <c r="I118" s="209" t="n"/>
      <c r="J118" s="208" t="n"/>
    </row>
    <row r="119" outlineLevel="1" ht="13.2" customHeight="1" s="156">
      <c r="C119" s="162" t="n"/>
      <c r="D119" s="214" t="inlineStr">
        <is>
          <t>DTHW - Completion of service request DTHW silver</t>
        </is>
      </c>
      <c r="E119" s="159" t="n">
        <v>8</v>
      </c>
      <c r="F119" s="207" t="n">
        <v>0.95</v>
      </c>
      <c r="G119" s="207" t="n">
        <v>0.85</v>
      </c>
      <c r="H119" s="208" t="inlineStr">
        <is>
          <t>monthly</t>
        </is>
      </c>
      <c r="I119" s="209" t="n"/>
      <c r="J119" s="208" t="n"/>
    </row>
    <row r="120" outlineLevel="1" ht="13.2" customHeight="1" s="156">
      <c r="C120" s="162" t="n"/>
      <c r="D120" s="214" t="inlineStr">
        <is>
          <t>LAN - LAN Hard IMAC</t>
        </is>
      </c>
      <c r="E120" s="159" t="n">
        <v>8</v>
      </c>
      <c r="F120" s="207" t="n">
        <v>0.95</v>
      </c>
      <c r="G120" s="207" t="n">
        <v>0.8</v>
      </c>
      <c r="H120" s="208" t="inlineStr">
        <is>
          <t>monthly</t>
        </is>
      </c>
      <c r="I120" s="209" t="n"/>
      <c r="J120" s="208" t="n"/>
    </row>
    <row r="121" outlineLevel="1" ht="13.2" customHeight="1" s="156">
      <c r="C121" s="162" t="n"/>
      <c r="D121" s="214" t="inlineStr">
        <is>
          <t>Voice - Voice Hard IMAC</t>
        </is>
      </c>
      <c r="E121" s="159" t="n">
        <v>8</v>
      </c>
      <c r="F121" s="207" t="n">
        <v>0.95</v>
      </c>
      <c r="G121" s="207" t="n">
        <v>0.8</v>
      </c>
      <c r="H121" s="208" t="inlineStr">
        <is>
          <t>monthly</t>
        </is>
      </c>
      <c r="I121" s="209" t="n"/>
      <c r="J121" s="208" t="n"/>
    </row>
    <row r="122" ht="13.8" customHeight="1" s="156">
      <c r="C122" s="160" t="n"/>
      <c r="D122" s="161" t="n"/>
      <c r="E122" s="210" t="n"/>
      <c r="F122" s="211" t="n"/>
      <c r="G122" s="211" t="n"/>
      <c r="H122" s="212" t="n"/>
      <c r="I122" s="213" t="n"/>
      <c r="J122" s="208" t="n"/>
    </row>
    <row r="123" ht="14.4" customHeight="1" s="156">
      <c r="C123" s="186" t="inlineStr">
        <is>
          <t xml:space="preserve">Allocation of Pool Percentage </t>
        </is>
      </c>
      <c r="D123" s="187" t="n"/>
      <c r="E123" s="188" t="n"/>
      <c r="F123" s="189" t="n">
        <v>0.2</v>
      </c>
      <c r="G123" s="190" t="n"/>
      <c r="H123" s="190" t="inlineStr">
        <is>
          <t>Measurement</t>
        </is>
      </c>
      <c r="I123" s="191" t="n"/>
      <c r="J123" s="192" t="inlineStr">
        <is>
          <t>% of</t>
        </is>
      </c>
    </row>
    <row r="124" ht="14.4" customHeight="1" s="156">
      <c r="B124" s="159" t="inlineStr">
        <is>
          <t>9.0</t>
        </is>
      </c>
      <c r="C124" s="193" t="inlineStr">
        <is>
          <t>Incident Services Performance - Performance Category</t>
        </is>
      </c>
      <c r="D124" s="194" t="n"/>
      <c r="E124" s="195" t="inlineStr">
        <is>
          <t>Eff + mos**</t>
        </is>
      </c>
      <c r="F124" s="195" t="inlineStr">
        <is>
          <t>Expected</t>
        </is>
      </c>
      <c r="G124" s="196" t="inlineStr">
        <is>
          <t>Minimum</t>
        </is>
      </c>
      <c r="H124" s="196" t="inlineStr">
        <is>
          <t>Window</t>
        </is>
      </c>
      <c r="I124" s="197" t="inlineStr">
        <is>
          <t>Allocation*</t>
        </is>
      </c>
      <c r="J124" s="198" t="inlineStr">
        <is>
          <t>Invoice</t>
        </is>
      </c>
    </row>
    <row r="125" ht="13.8" customHeight="1" s="156">
      <c r="B125" s="159" t="inlineStr">
        <is>
          <t>9.1</t>
        </is>
      </c>
      <c r="C125" s="199" t="inlineStr">
        <is>
          <t>Incident Response &amp; Management Service - Performance</t>
        </is>
      </c>
      <c r="E125" s="200">
        <f>MAX(E138,E126,E130,E148)</f>
        <v/>
      </c>
      <c r="F125" s="201">
        <f>AVERAGE(F148,F126,F130,F138)</f>
        <v/>
      </c>
      <c r="G125" s="201">
        <f>AVERAGE(G148,G126,G130,G138)</f>
        <v/>
      </c>
      <c r="H125" s="202" t="inlineStr">
        <is>
          <t>monthly</t>
        </is>
      </c>
      <c r="I125" s="203" t="n">
        <v>1</v>
      </c>
      <c r="J125" s="204">
        <f>$J$3*$F$123*I125</f>
        <v/>
      </c>
    </row>
    <row r="126" outlineLevel="1" ht="13.2" customHeight="1" s="156">
      <c r="B126" s="159" t="inlineStr">
        <is>
          <t>9.1.1</t>
        </is>
      </c>
      <c r="C126" s="205" t="n"/>
      <c r="D126" s="215" t="inlineStr">
        <is>
          <t>Incident resolution - priority 1</t>
        </is>
      </c>
      <c r="E126" s="216">
        <f>MAX(E127:E129)</f>
        <v/>
      </c>
      <c r="F126" s="218">
        <f>AVERAGE(F127:F129)</f>
        <v/>
      </c>
      <c r="G126" s="218">
        <f>AVERAGE(G127:G129)</f>
        <v/>
      </c>
      <c r="H126" s="218" t="inlineStr">
        <is>
          <t>monthly</t>
        </is>
      </c>
      <c r="I126" s="234" t="n"/>
      <c r="J126" s="218" t="n"/>
    </row>
    <row r="127" outlineLevel="1" ht="13.2" customHeight="1" s="156">
      <c r="C127" s="205" t="n"/>
      <c r="D127" s="206" t="inlineStr">
        <is>
          <t>SD - Communication message available for authorised users &lt; 25 minutes</t>
        </is>
      </c>
      <c r="E127" s="162" t="n">
        <v>10</v>
      </c>
      <c r="F127" s="208" t="n">
        <v>0.9</v>
      </c>
      <c r="G127" s="208" t="n">
        <v>0.75</v>
      </c>
      <c r="H127" s="162" t="inlineStr">
        <is>
          <t>monthly</t>
        </is>
      </c>
      <c r="I127" s="219" t="n"/>
      <c r="J127" s="208" t="n"/>
    </row>
    <row r="128" outlineLevel="1" ht="13.2" customHeight="1" s="156">
      <c r="C128" s="205" t="n"/>
      <c r="D128" s="206" t="inlineStr">
        <is>
          <t>SD &amp; SM &amp; LAN &amp; Voice &amp; DTHW &amp; EUC - Incident priority 1 resolution time &lt; 4 hours</t>
        </is>
      </c>
      <c r="E128" s="162" t="n">
        <v>10</v>
      </c>
      <c r="F128" s="208" t="n">
        <v>0.9</v>
      </c>
      <c r="G128" s="208" t="n">
        <v>0.75</v>
      </c>
      <c r="H128" s="162" t="inlineStr">
        <is>
          <t>monthly</t>
        </is>
      </c>
      <c r="I128" s="219" t="n"/>
      <c r="J128" s="208" t="n"/>
    </row>
    <row r="129" outlineLevel="1" ht="13.2" customHeight="1" s="156">
      <c r="C129" s="205" t="n"/>
      <c r="D129" s="206" t="inlineStr">
        <is>
          <t>SD &amp; SM &amp; LAN &amp; Voice &amp; DTHW &amp; EUC - Incident priority 1 resolution time &lt; 2 hours</t>
        </is>
      </c>
      <c r="E129" s="162" t="n">
        <v>10</v>
      </c>
      <c r="F129" s="208" t="n">
        <v>0.7</v>
      </c>
      <c r="G129" s="208" t="n">
        <v>0.4</v>
      </c>
      <c r="H129" s="162" t="inlineStr">
        <is>
          <t>monthly</t>
        </is>
      </c>
      <c r="I129" s="219" t="n"/>
      <c r="J129" s="208" t="n"/>
    </row>
    <row r="130" outlineLevel="1" ht="13.2" customHeight="1" s="156">
      <c r="B130" s="159" t="inlineStr">
        <is>
          <t>9.1.2</t>
        </is>
      </c>
      <c r="C130" s="205" t="n"/>
      <c r="D130" s="215" t="inlineStr">
        <is>
          <t>Incident resolution - priorities 2, 3 and 4</t>
        </is>
      </c>
      <c r="E130" s="216">
        <f>MAX(E131:E137)</f>
        <v/>
      </c>
      <c r="F130" s="218">
        <f>AVERAGE(F131:F137)</f>
        <v/>
      </c>
      <c r="G130" s="218">
        <f>AVERAGE(G131:G137)</f>
        <v/>
      </c>
      <c r="H130" s="218" t="inlineStr">
        <is>
          <t>monthly</t>
        </is>
      </c>
      <c r="I130" s="234" t="n"/>
      <c r="J130" s="218" t="n"/>
    </row>
    <row r="131" outlineLevel="1" ht="13.2" customHeight="1" s="156">
      <c r="C131" s="205" t="n"/>
      <c r="D131" s="206" t="inlineStr">
        <is>
          <t>DTHW - Incident resolution time  (priority level 3/4 - 24 working hours)</t>
        </is>
      </c>
      <c r="E131" s="162" t="n">
        <v>10</v>
      </c>
      <c r="F131" s="208" t="n">
        <v>0.9</v>
      </c>
      <c r="G131" s="208" t="n">
        <v>0.8</v>
      </c>
      <c r="H131" s="208" t="inlineStr">
        <is>
          <t>monthly</t>
        </is>
      </c>
      <c r="I131" s="219" t="n"/>
      <c r="J131" s="208" t="n"/>
    </row>
    <row r="132" outlineLevel="1" ht="13.2" customHeight="1" s="156">
      <c r="C132" s="205" t="n"/>
      <c r="D132" s="206" t="inlineStr">
        <is>
          <t>DTHW - Break &amp; Fix End User Computing  Authorized Users  (next business day)</t>
        </is>
      </c>
      <c r="E132" s="162" t="n">
        <v>10</v>
      </c>
      <c r="F132" s="208" t="n">
        <v>0.9</v>
      </c>
      <c r="G132" s="208" t="n">
        <v>0.8</v>
      </c>
      <c r="H132" s="208" t="inlineStr">
        <is>
          <t>monthly</t>
        </is>
      </c>
      <c r="I132" s="219" t="n"/>
      <c r="J132" s="208" t="n"/>
    </row>
    <row r="133" outlineLevel="1" ht="13.2" customHeight="1" s="156">
      <c r="C133" s="205" t="n"/>
      <c r="D133" s="206" t="inlineStr">
        <is>
          <t>SM &amp; EUC (-UIS) - Incident priority 2 resolution time &lt; 8 hours</t>
        </is>
      </c>
      <c r="E133" s="162" t="n">
        <v>10</v>
      </c>
      <c r="F133" s="208" t="n">
        <v>0.9</v>
      </c>
      <c r="G133" s="208" t="n">
        <v>0.8</v>
      </c>
      <c r="H133" s="208" t="inlineStr">
        <is>
          <t>monthly</t>
        </is>
      </c>
      <c r="I133" s="219" t="n"/>
      <c r="J133" s="208" t="n"/>
    </row>
    <row r="134" outlineLevel="1" ht="13.2" customHeight="1" s="156">
      <c r="C134" s="205" t="n"/>
      <c r="D134" s="206" t="inlineStr">
        <is>
          <t>SM &amp; EUC (-UIS) - Incident priority 3 resolution time &lt; 24 hours</t>
        </is>
      </c>
      <c r="E134" s="162" t="n">
        <v>10</v>
      </c>
      <c r="F134" s="208" t="n">
        <v>0.8</v>
      </c>
      <c r="G134" s="208" t="n">
        <v>0.7</v>
      </c>
      <c r="H134" s="208" t="inlineStr">
        <is>
          <t>monthly</t>
        </is>
      </c>
      <c r="I134" s="219" t="n"/>
      <c r="J134" s="208" t="n"/>
    </row>
    <row r="135" outlineLevel="1" ht="13.2" customHeight="1" s="156">
      <c r="C135" s="205" t="n"/>
      <c r="D135" s="206" t="inlineStr">
        <is>
          <t>SM &amp; EUC (-UIS) - Incident priority 4 resolution time &lt; 10 business days</t>
        </is>
      </c>
      <c r="E135" s="162" t="n">
        <v>10</v>
      </c>
      <c r="F135" s="208" t="n">
        <v>0.8</v>
      </c>
      <c r="G135" s="208" t="n">
        <v>0.7</v>
      </c>
      <c r="H135" s="208" t="inlineStr">
        <is>
          <t>monthly</t>
        </is>
      </c>
      <c r="I135" s="219" t="n"/>
      <c r="J135" s="208" t="n"/>
    </row>
    <row r="136" outlineLevel="1" ht="13.2" customHeight="1" s="156">
      <c r="C136" s="205" t="n"/>
      <c r="D136" s="206" t="inlineStr">
        <is>
          <t>LAN - LAN Incidents</t>
        </is>
      </c>
      <c r="E136" s="162" t="n">
        <v>10</v>
      </c>
      <c r="F136" s="208" t="n">
        <v>0.9</v>
      </c>
      <c r="G136" s="208" t="n">
        <v>0.8</v>
      </c>
      <c r="H136" s="208" t="inlineStr">
        <is>
          <t>monthly</t>
        </is>
      </c>
      <c r="I136" s="219" t="n"/>
      <c r="J136" s="208" t="n"/>
    </row>
    <row r="137" outlineLevel="1" ht="13.2" customHeight="1" s="156">
      <c r="C137" s="205" t="n"/>
      <c r="D137" s="206" t="inlineStr">
        <is>
          <t>Voice - Voice Incidents</t>
        </is>
      </c>
      <c r="E137" s="162" t="n">
        <v>10</v>
      </c>
      <c r="F137" s="208" t="n">
        <v>0.9</v>
      </c>
      <c r="G137" s="208" t="n">
        <v>0.8</v>
      </c>
      <c r="H137" s="208" t="inlineStr">
        <is>
          <t>monthly</t>
        </is>
      </c>
      <c r="I137" s="219" t="n"/>
      <c r="J137" s="208" t="n"/>
    </row>
    <row r="138" outlineLevel="1" ht="13.2" customHeight="1" s="156">
      <c r="B138" s="159" t="inlineStr">
        <is>
          <t>9.1.3</t>
        </is>
      </c>
      <c r="C138" s="205" t="n"/>
      <c r="D138" s="215" t="inlineStr">
        <is>
          <t>Incident resolution optional upgraded priority level</t>
        </is>
      </c>
      <c r="E138" s="216">
        <f>MAX(E139:E147)</f>
        <v/>
      </c>
      <c r="F138" s="218">
        <f>AVERAGE(F139:F147)</f>
        <v/>
      </c>
      <c r="G138" s="218">
        <f>AVERAGE(G139:G147)</f>
        <v/>
      </c>
      <c r="H138" s="218" t="inlineStr">
        <is>
          <t>monthly</t>
        </is>
      </c>
      <c r="I138" s="234" t="n"/>
      <c r="J138" s="218" t="n"/>
    </row>
    <row r="139" outlineLevel="1" ht="13.2" customHeight="1" s="156">
      <c r="C139" s="205" t="n"/>
      <c r="D139" s="206" t="inlineStr">
        <is>
          <t>DTHW - Optional  upgrade bronze to priority 2 (request/incident)</t>
        </is>
      </c>
      <c r="E139" s="162" t="n">
        <v>10</v>
      </c>
      <c r="F139" s="208" t="n">
        <v>0.9</v>
      </c>
      <c r="G139" s="208" t="n">
        <v>0.8</v>
      </c>
      <c r="H139" s="208" t="inlineStr">
        <is>
          <t>monthly</t>
        </is>
      </c>
      <c r="I139" s="219" t="n"/>
      <c r="J139" s="208" t="n"/>
    </row>
    <row r="140" outlineLevel="1" ht="13.2" customHeight="1" s="156">
      <c r="C140" s="205" t="n"/>
      <c r="D140" s="206" t="inlineStr">
        <is>
          <t xml:space="preserve">DTHW - Optional  upgrade silver to priority 1 (request/incident)  </t>
        </is>
      </c>
      <c r="E140" s="162" t="n">
        <v>10</v>
      </c>
      <c r="F140" s="208" t="n">
        <v>0.9</v>
      </c>
      <c r="G140" s="208" t="n">
        <v>0.8</v>
      </c>
      <c r="H140" s="208" t="inlineStr">
        <is>
          <t>monthly</t>
        </is>
      </c>
      <c r="I140" s="219" t="n"/>
      <c r="J140" s="208" t="n"/>
    </row>
    <row r="141" outlineLevel="1" ht="13.2" customHeight="1" s="156">
      <c r="C141" s="205" t="n"/>
      <c r="D141" s="206" t="inlineStr">
        <is>
          <t>UIS - Optional  upgrade  bronze to priority 2 (request/incident)</t>
        </is>
      </c>
      <c r="E141" s="162" t="n">
        <v>10</v>
      </c>
      <c r="F141" s="208" t="n">
        <v>0.75</v>
      </c>
      <c r="G141" s="208" t="n">
        <v>0.6</v>
      </c>
      <c r="H141" s="208" t="inlineStr">
        <is>
          <t>monthly</t>
        </is>
      </c>
      <c r="I141" s="219" t="n"/>
      <c r="J141" s="208" t="n"/>
    </row>
    <row r="142" outlineLevel="1" ht="13.2" customHeight="1" s="156">
      <c r="C142" s="205" t="n"/>
      <c r="D142" s="206" t="inlineStr">
        <is>
          <t>UIS - Optional  upgrade silver to priority 1 (request/incident)</t>
        </is>
      </c>
      <c r="E142" s="162" t="n">
        <v>10</v>
      </c>
      <c r="F142" s="208" t="n">
        <v>0.75</v>
      </c>
      <c r="G142" s="208" t="n">
        <v>0.6</v>
      </c>
      <c r="H142" s="208" t="inlineStr">
        <is>
          <t>monthly</t>
        </is>
      </c>
      <c r="I142" s="219" t="n"/>
      <c r="J142" s="208" t="n"/>
    </row>
    <row r="143" outlineLevel="1" ht="13.2" customHeight="1" s="156">
      <c r="C143" s="205" t="n"/>
      <c r="D143" s="206" t="inlineStr">
        <is>
          <t>SM &amp; EUC (-UIS) - Incident priority 2 resolution time &lt; 8 hours</t>
        </is>
      </c>
      <c r="E143" s="162" t="n">
        <v>10</v>
      </c>
      <c r="F143" s="208" t="n">
        <v>0.9</v>
      </c>
      <c r="G143" s="208" t="n">
        <v>0.8</v>
      </c>
      <c r="H143" s="208" t="inlineStr">
        <is>
          <t>monthly</t>
        </is>
      </c>
      <c r="I143" s="219" t="n"/>
      <c r="J143" s="208" t="n"/>
    </row>
    <row r="144" outlineLevel="1" ht="13.2" customHeight="1" s="156">
      <c r="C144" s="205" t="n"/>
      <c r="D144" s="206" t="inlineStr">
        <is>
          <t>SM &amp; EUC (-UIS) - Incident priority 3 resolution time &lt; 24 hours</t>
        </is>
      </c>
      <c r="E144" s="162" t="n">
        <v>10</v>
      </c>
      <c r="F144" s="208" t="n">
        <v>0.8</v>
      </c>
      <c r="G144" s="208" t="n">
        <v>0.7</v>
      </c>
      <c r="H144" s="208" t="inlineStr">
        <is>
          <t>monthly</t>
        </is>
      </c>
      <c r="I144" s="219" t="n"/>
      <c r="J144" s="208" t="n"/>
    </row>
    <row r="145" outlineLevel="1" ht="13.2" customHeight="1" s="156">
      <c r="C145" s="205" t="n"/>
      <c r="D145" s="206" t="inlineStr">
        <is>
          <t>SM &amp; EUC (-UIS) - Incident priority 4 resolution time &lt; 10 business days</t>
        </is>
      </c>
      <c r="E145" s="162" t="n">
        <v>10</v>
      </c>
      <c r="F145" s="208" t="n">
        <v>0.8</v>
      </c>
      <c r="G145" s="208" t="n">
        <v>0.7</v>
      </c>
      <c r="H145" s="208" t="inlineStr">
        <is>
          <t>monthly</t>
        </is>
      </c>
      <c r="I145" s="219" t="n"/>
      <c r="J145" s="208" t="n"/>
    </row>
    <row r="146" outlineLevel="1" ht="13.2" customHeight="1" s="156">
      <c r="C146" s="205" t="n"/>
      <c r="D146" s="206" t="inlineStr">
        <is>
          <t>LAN - LAN Incidents</t>
        </is>
      </c>
      <c r="E146" s="162" t="n">
        <v>10</v>
      </c>
      <c r="F146" s="208" t="n">
        <v>0.9</v>
      </c>
      <c r="G146" s="208" t="n">
        <v>0.8</v>
      </c>
      <c r="H146" s="208" t="inlineStr">
        <is>
          <t>monthly</t>
        </is>
      </c>
      <c r="I146" s="219" t="n"/>
      <c r="J146" s="208" t="n"/>
    </row>
    <row r="147" outlineLevel="1" ht="13.2" customHeight="1" s="156">
      <c r="C147" s="205" t="n"/>
      <c r="D147" s="206" t="inlineStr">
        <is>
          <t>Voice - Voice Incidents</t>
        </is>
      </c>
      <c r="E147" s="162" t="n">
        <v>10</v>
      </c>
      <c r="F147" s="208" t="n">
        <v>0.9</v>
      </c>
      <c r="G147" s="208" t="n">
        <v>0.8</v>
      </c>
      <c r="H147" s="208" t="inlineStr">
        <is>
          <t>monthly</t>
        </is>
      </c>
      <c r="I147" s="219" t="n"/>
      <c r="J147" s="208" t="n"/>
    </row>
    <row r="148" outlineLevel="1" ht="13.2" customHeight="1" s="156">
      <c r="B148" s="159" t="inlineStr">
        <is>
          <t>9.1.4</t>
        </is>
      </c>
      <c r="C148" s="205" t="n"/>
      <c r="D148" s="215" t="inlineStr">
        <is>
          <t>Incident timelines Dealing Room</t>
        </is>
      </c>
      <c r="E148" s="216">
        <f>MAX(E149:E151)</f>
        <v/>
      </c>
      <c r="F148" s="218">
        <f>AVERAGE(F149:F151)</f>
        <v/>
      </c>
      <c r="G148" s="218">
        <f>AVERAGE(G149:G151)</f>
        <v/>
      </c>
      <c r="H148" s="218" t="inlineStr">
        <is>
          <t>monthly</t>
        </is>
      </c>
      <c r="I148" s="234" t="n"/>
      <c r="J148" s="218" t="n"/>
    </row>
    <row r="149" outlineLevel="1" ht="13.2" customHeight="1" s="156">
      <c r="C149" s="205" t="n"/>
      <c r="D149" s="206" t="inlineStr">
        <is>
          <t>SD &amp; SM &amp; LAN &amp; DTHW &amp; EUC - Incindent response time priority 1, 2, 3 and 4</t>
        </is>
      </c>
      <c r="E149" s="162" t="n">
        <v>10</v>
      </c>
      <c r="F149" s="208" t="n">
        <v>0.98</v>
      </c>
      <c r="G149" s="208" t="n">
        <v>0.8</v>
      </c>
      <c r="H149" s="208" t="inlineStr">
        <is>
          <t>monthly</t>
        </is>
      </c>
    </row>
    <row r="150" outlineLevel="1" ht="13.2" customHeight="1" s="156">
      <c r="C150" s="205" t="n"/>
      <c r="D150" s="206" t="inlineStr">
        <is>
          <t>SD &amp; SM &amp; LAN &amp; DTHW &amp; EUC - Incindent resolution time priority 1, 2, 3 and 4 Long</t>
        </is>
      </c>
      <c r="E150" s="162" t="n">
        <v>10</v>
      </c>
      <c r="F150" s="208" t="n">
        <v>0.98</v>
      </c>
      <c r="G150" s="208" t="n">
        <v>0.98</v>
      </c>
      <c r="H150" s="208" t="inlineStr">
        <is>
          <t>monthly</t>
        </is>
      </c>
      <c r="I150" s="219" t="n"/>
      <c r="J150" s="208" t="n"/>
    </row>
    <row r="151" outlineLevel="1" ht="13.2" customHeight="1" s="156">
      <c r="C151" s="205" t="n"/>
      <c r="D151" s="206" t="inlineStr">
        <is>
          <t>SD &amp; SM &amp; LAN &amp; DTHW &amp; EUC - Incindent resolution time priority 1, 2, 3 and 4 Short</t>
        </is>
      </c>
      <c r="E151" s="162" t="n">
        <v>10</v>
      </c>
      <c r="F151" s="208" t="n">
        <v>0.8</v>
      </c>
      <c r="G151" s="208" t="n">
        <v>0.8</v>
      </c>
      <c r="H151" s="208" t="inlineStr">
        <is>
          <t>monthly</t>
        </is>
      </c>
      <c r="I151" s="219" t="n"/>
      <c r="J151" s="208" t="n"/>
    </row>
    <row r="152" outlineLevel="1" ht="13.2" customHeight="1" s="156">
      <c r="C152" s="205" t="n"/>
      <c r="D152" s="206" t="n"/>
      <c r="E152" s="162" t="n"/>
      <c r="F152" s="208" t="n"/>
      <c r="G152" s="208" t="n"/>
      <c r="H152" s="208" t="n"/>
      <c r="I152" s="219" t="n"/>
      <c r="J152" s="208" t="n"/>
    </row>
    <row r="153" ht="13.8" customHeight="1" s="156">
      <c r="C153" s="160" t="n"/>
      <c r="D153" s="161" t="n"/>
      <c r="E153" s="210" t="n"/>
      <c r="F153" s="211" t="n"/>
      <c r="G153" s="211" t="n"/>
      <c r="H153" s="212" t="n"/>
      <c r="I153" s="213" t="n"/>
      <c r="J153" s="208" t="n"/>
    </row>
    <row r="154" ht="14.4" customHeight="1" s="156">
      <c r="C154" s="186" t="inlineStr">
        <is>
          <t xml:space="preserve">Allocation of Pool Percentage </t>
        </is>
      </c>
      <c r="D154" s="187" t="n"/>
      <c r="E154" s="188" t="n"/>
      <c r="F154" s="189" t="n">
        <v>0.5</v>
      </c>
      <c r="G154" s="190" t="n"/>
      <c r="H154" s="190" t="inlineStr">
        <is>
          <t>Measurement</t>
        </is>
      </c>
      <c r="I154" s="191" t="n"/>
      <c r="J154" s="192" t="inlineStr">
        <is>
          <t>% of</t>
        </is>
      </c>
    </row>
    <row r="155" ht="14.4" customHeight="1" s="156">
      <c r="B155" s="159" t="inlineStr">
        <is>
          <t>10.0</t>
        </is>
      </c>
      <c r="C155" s="193" t="inlineStr">
        <is>
          <t>Integrator Services - Performance Category</t>
        </is>
      </c>
      <c r="D155" s="194" t="n"/>
      <c r="E155" s="195" t="inlineStr">
        <is>
          <t>Eff + mos**</t>
        </is>
      </c>
      <c r="F155" s="195" t="inlineStr">
        <is>
          <t>Expected</t>
        </is>
      </c>
      <c r="G155" s="196" t="inlineStr">
        <is>
          <t>Minimum</t>
        </is>
      </c>
      <c r="H155" s="196" t="inlineStr">
        <is>
          <t>Window</t>
        </is>
      </c>
      <c r="I155" s="197" t="inlineStr">
        <is>
          <t>Allocation*</t>
        </is>
      </c>
      <c r="J155" s="198" t="inlineStr">
        <is>
          <t>Invoice</t>
        </is>
      </c>
    </row>
    <row r="156" ht="13.8" customHeight="1" s="156">
      <c r="B156" s="159" t="inlineStr">
        <is>
          <t>10.1</t>
        </is>
      </c>
      <c r="C156" s="199" t="inlineStr">
        <is>
          <t>Service Management Service - Availability</t>
        </is>
      </c>
      <c r="E156" s="200">
        <f>MAX(E157:E158)</f>
        <v/>
      </c>
      <c r="F156" s="201">
        <f>AVERAGE(F157:F158)</f>
        <v/>
      </c>
      <c r="G156" s="201">
        <f>AVERAGE(G157:G158)</f>
        <v/>
      </c>
      <c r="H156" s="202" t="inlineStr">
        <is>
          <t>monthly</t>
        </is>
      </c>
      <c r="I156" s="203" t="n">
        <v>0.1</v>
      </c>
      <c r="J156" s="204">
        <f>$J$3*$F$154*I156</f>
        <v/>
      </c>
    </row>
    <row r="157" outlineLevel="1" ht="13.2" customHeight="1" s="156">
      <c r="B157" s="159" t="inlineStr">
        <is>
          <t>10.1.1</t>
        </is>
      </c>
      <c r="C157" s="162" t="n"/>
      <c r="D157" s="214" t="inlineStr">
        <is>
          <t>2IM - Handling priority 1 incident.</t>
        </is>
      </c>
      <c r="E157" s="162" t="n">
        <v>10</v>
      </c>
      <c r="F157" s="207" t="n">
        <v>0.95</v>
      </c>
      <c r="G157" s="207" t="n">
        <v>0.9</v>
      </c>
      <c r="H157" s="208" t="inlineStr">
        <is>
          <t>monthly</t>
        </is>
      </c>
      <c r="I157" s="209" t="n"/>
      <c r="J157" s="208" t="n"/>
    </row>
    <row r="158" outlineLevel="1" ht="13.2" customHeight="1" s="156">
      <c r="B158" s="159" t="inlineStr">
        <is>
          <t>10.1.2</t>
        </is>
      </c>
      <c r="C158" s="162" t="n"/>
      <c r="D158" s="214" t="inlineStr">
        <is>
          <t>2IM - High impact incident management (priority 1)</t>
        </is>
      </c>
      <c r="E158" s="162" t="n">
        <v>10</v>
      </c>
      <c r="F158" s="207" t="n">
        <v>0.98</v>
      </c>
      <c r="G158" s="207" t="n">
        <v>0.9</v>
      </c>
      <c r="H158" s="208" t="inlineStr">
        <is>
          <t>monthly</t>
        </is>
      </c>
      <c r="I158" s="209" t="n"/>
      <c r="J158" s="208" t="n"/>
    </row>
    <row r="159" ht="13.2" customHeight="1" s="156">
      <c r="B159" s="159" t="inlineStr">
        <is>
          <t>10.2</t>
        </is>
      </c>
      <c r="C159" s="199" t="inlineStr">
        <is>
          <t>Service Management Service - Performance</t>
        </is>
      </c>
      <c r="E159" s="200">
        <f>MAX(E160,E165,E167)</f>
        <v/>
      </c>
      <c r="F159" s="201">
        <f>AVERAGE(F160,F165,F167)</f>
        <v/>
      </c>
      <c r="G159" s="201">
        <f>AVERAGE(G160,G165,G167)</f>
        <v/>
      </c>
      <c r="H159" s="202" t="inlineStr">
        <is>
          <t>monthly</t>
        </is>
      </c>
      <c r="I159" s="203" t="n">
        <v>0.1</v>
      </c>
      <c r="J159" s="204">
        <f>$J$3*$F$154*I159</f>
        <v/>
      </c>
    </row>
    <row r="160" outlineLevel="1" ht="13.2" customHeight="1" s="156">
      <c r="B160" s="159" t="inlineStr">
        <is>
          <t>10.2.1</t>
        </is>
      </c>
      <c r="C160" s="205" t="n"/>
      <c r="D160" s="215" t="inlineStr">
        <is>
          <t>Service quality</t>
        </is>
      </c>
      <c r="E160" s="235">
        <f>MAX(E161:E164)</f>
        <v/>
      </c>
      <c r="F160" s="236">
        <f>1-(1/SUM(F161:F164))</f>
        <v/>
      </c>
      <c r="G160" s="236">
        <f>1-(1/SUM(G161:G164))</f>
        <v/>
      </c>
      <c r="H160" s="216" t="inlineStr">
        <is>
          <t>Yearly</t>
        </is>
      </c>
      <c r="I160" s="215" t="n"/>
      <c r="J160" s="215" t="n"/>
    </row>
    <row r="161" outlineLevel="1" ht="13.2" customHeight="1" s="156">
      <c r="C161" s="162" t="n"/>
      <c r="D161" s="206" t="inlineStr">
        <is>
          <t>2IM - Conducting user / client survey</t>
        </is>
      </c>
      <c r="E161" s="162" t="n">
        <v>3</v>
      </c>
      <c r="F161" s="237" t="n">
        <v>2</v>
      </c>
      <c r="G161" s="237" t="n">
        <v>2</v>
      </c>
      <c r="H161" s="208" t="inlineStr">
        <is>
          <t>Yearly</t>
        </is>
      </c>
      <c r="I161" s="209" t="n"/>
      <c r="J161" s="208" t="n"/>
    </row>
    <row r="162" outlineLevel="1" ht="13.2" customHeight="1" s="156">
      <c r="C162" s="162" t="n"/>
      <c r="D162" s="206" t="inlineStr">
        <is>
          <t>2IM - Conducting quality audit</t>
        </is>
      </c>
      <c r="E162" s="162" t="n">
        <v>3</v>
      </c>
      <c r="F162" s="237" t="n">
        <v>2</v>
      </c>
      <c r="G162" s="237" t="n">
        <v>2</v>
      </c>
      <c r="H162" s="208" t="inlineStr">
        <is>
          <t>Yearly</t>
        </is>
      </c>
      <c r="I162" s="209" t="n"/>
      <c r="J162" s="208" t="n"/>
    </row>
    <row r="163" outlineLevel="1" ht="13.2" customHeight="1" s="156">
      <c r="C163" s="162" t="n"/>
      <c r="D163" s="214" t="inlineStr">
        <is>
          <t>2IM - Sourcing and category management</t>
        </is>
      </c>
      <c r="E163" s="162" t="n">
        <v>10</v>
      </c>
      <c r="F163" s="237" t="n">
        <v>1</v>
      </c>
      <c r="G163" s="237" t="n">
        <v>1</v>
      </c>
      <c r="H163" s="208" t="inlineStr">
        <is>
          <t>Yearly</t>
        </is>
      </c>
      <c r="I163" s="209" t="n"/>
      <c r="J163" s="208" t="n"/>
    </row>
    <row r="164" outlineLevel="1" ht="13.2" customHeight="1" s="156">
      <c r="C164" s="162" t="n"/>
      <c r="D164" s="206" t="inlineStr">
        <is>
          <t>2IM - Perform organisation benchmarking</t>
        </is>
      </c>
      <c r="E164" s="162" t="n">
        <v>10</v>
      </c>
      <c r="F164" s="237" t="n">
        <v>2</v>
      </c>
      <c r="G164" s="237" t="n">
        <v>2</v>
      </c>
      <c r="H164" s="208" t="inlineStr">
        <is>
          <t>Yearly</t>
        </is>
      </c>
      <c r="I164" s="209" t="n"/>
      <c r="J164" s="208" t="n"/>
    </row>
    <row r="165" outlineLevel="1" ht="13.2" customHeight="1" s="156">
      <c r="B165" s="159" t="inlineStr">
        <is>
          <t>10.2.2</t>
        </is>
      </c>
      <c r="C165" s="162" t="n"/>
      <c r="D165" s="215" t="inlineStr">
        <is>
          <t>Incident Management</t>
        </is>
      </c>
      <c r="E165" s="235">
        <f>MAX(E166)</f>
        <v/>
      </c>
      <c r="F165" s="236">
        <f>AVERAGE(F166)</f>
        <v/>
      </c>
      <c r="G165" s="236">
        <f>AVERAGE(G166)</f>
        <v/>
      </c>
      <c r="H165" s="216" t="inlineStr">
        <is>
          <t>monthly</t>
        </is>
      </c>
      <c r="I165" s="215" t="n"/>
      <c r="J165" s="215" t="n"/>
    </row>
    <row r="166" outlineLevel="1" ht="13.2" customHeight="1" s="156">
      <c r="C166" s="162" t="n"/>
      <c r="D166" s="214" t="inlineStr">
        <is>
          <t>2IM - Reporting priority 1 incident to EuroBank</t>
        </is>
      </c>
      <c r="E166" s="162" t="n">
        <v>10</v>
      </c>
      <c r="F166" s="208" t="n">
        <v>0.95</v>
      </c>
      <c r="G166" s="208" t="n">
        <v>0.9</v>
      </c>
      <c r="H166" s="208" t="inlineStr">
        <is>
          <t>monthly</t>
        </is>
      </c>
      <c r="I166" s="209" t="n"/>
      <c r="J166" s="208" t="n"/>
    </row>
    <row r="167" outlineLevel="1" ht="13.2" customHeight="1" s="156">
      <c r="B167" s="159" t="inlineStr">
        <is>
          <t>10.2.3</t>
        </is>
      </c>
      <c r="C167" s="162" t="n"/>
      <c r="D167" s="215" t="inlineStr">
        <is>
          <t>Effectiveness</t>
        </is>
      </c>
      <c r="E167" s="235">
        <f>MAX(E168:E171)</f>
        <v/>
      </c>
      <c r="F167" s="236">
        <f>AVERAGE(F168:F171)</f>
        <v/>
      </c>
      <c r="G167" s="236">
        <f>AVERAGE(G168:G171)</f>
        <v/>
      </c>
      <c r="H167" s="216" t="inlineStr">
        <is>
          <t>Yearly</t>
        </is>
      </c>
      <c r="I167" s="215" t="n"/>
      <c r="J167" s="215" t="n"/>
    </row>
    <row r="168" outlineLevel="1" ht="13.2" customHeight="1" s="156">
      <c r="C168" s="238" t="n"/>
      <c r="D168" s="214" t="inlineStr">
        <is>
          <t>2IM - Change Management</t>
        </is>
      </c>
      <c r="E168" s="162" t="n">
        <v>10</v>
      </c>
      <c r="F168" s="208" t="n">
        <v>0.9</v>
      </c>
      <c r="G168" s="208" t="n">
        <v>0.8</v>
      </c>
      <c r="H168" s="208" t="inlineStr">
        <is>
          <t>monthly</t>
        </is>
      </c>
      <c r="I168" s="209" t="n"/>
      <c r="J168" s="208" t="n"/>
    </row>
    <row r="169" outlineLevel="1" ht="13.2" customHeight="1" s="156">
      <c r="C169" s="238" t="n"/>
      <c r="D169" s="214" t="inlineStr">
        <is>
          <t>2IM - Problem Management</t>
        </is>
      </c>
      <c r="E169" s="162" t="n">
        <v>10</v>
      </c>
      <c r="F169" s="208" t="n">
        <v>0.9</v>
      </c>
      <c r="G169" s="208" t="n">
        <v>0.8</v>
      </c>
      <c r="H169" s="208" t="inlineStr">
        <is>
          <t>monthly</t>
        </is>
      </c>
      <c r="I169" s="209" t="n"/>
      <c r="J169" s="208" t="n"/>
    </row>
    <row r="170" outlineLevel="1" ht="13.2" customHeight="1" s="156">
      <c r="C170" s="238" t="n"/>
      <c r="D170" s="214" t="inlineStr">
        <is>
          <t>2IM - Incident Management</t>
        </is>
      </c>
      <c r="E170" s="162" t="n">
        <v>10</v>
      </c>
      <c r="F170" s="208" t="n">
        <v>0.9</v>
      </c>
      <c r="G170" s="208" t="n">
        <v>0.8</v>
      </c>
      <c r="H170" s="208" t="inlineStr">
        <is>
          <t>monthly</t>
        </is>
      </c>
      <c r="I170" s="209" t="n"/>
      <c r="J170" s="208" t="n"/>
    </row>
    <row r="171" outlineLevel="1" ht="13.2" customHeight="1" s="156">
      <c r="C171" s="162" t="n"/>
      <c r="D171" s="214" t="inlineStr">
        <is>
          <t>2IM - Configuration management</t>
        </is>
      </c>
      <c r="E171" s="162" t="n">
        <v>10</v>
      </c>
      <c r="F171" s="208" t="n">
        <v>0.9</v>
      </c>
      <c r="G171" s="208" t="n">
        <v>0.8</v>
      </c>
      <c r="H171" s="208" t="inlineStr">
        <is>
          <t>monthly</t>
        </is>
      </c>
      <c r="I171" s="209" t="n"/>
      <c r="J171" s="208" t="n"/>
    </row>
    <row r="172" ht="13.5" customHeight="1" s="156">
      <c r="B172" s="159" t="inlineStr">
        <is>
          <t>10.3</t>
        </is>
      </c>
      <c r="C172" s="199" t="inlineStr">
        <is>
          <t>Security Management Service - Performance (incl audits)</t>
        </is>
      </c>
      <c r="E172" s="200">
        <f>MAX(E173)</f>
        <v/>
      </c>
      <c r="F172" s="201">
        <f>AVERAGE(F173)</f>
        <v/>
      </c>
      <c r="G172" s="201">
        <f>AVERAGE(G173)</f>
        <v/>
      </c>
      <c r="H172" s="202" t="inlineStr">
        <is>
          <t>Semesterly</t>
        </is>
      </c>
      <c r="I172" s="203" t="n">
        <v>0.2</v>
      </c>
      <c r="J172" s="204">
        <f>$J$3*$F$154*I172</f>
        <v/>
      </c>
    </row>
    <row r="173" outlineLevel="1" ht="13.2" customHeight="1" s="156">
      <c r="B173" s="159" t="inlineStr">
        <is>
          <t>10.3.1</t>
        </is>
      </c>
      <c r="C173" s="162" t="n"/>
      <c r="D173" s="214" t="inlineStr">
        <is>
          <t>2IM - Critical Vulnerability mitigation plan must commence within 48 hours</t>
        </is>
      </c>
      <c r="E173" s="162" t="n">
        <v>10</v>
      </c>
      <c r="F173" s="208" t="n">
        <v>0.95</v>
      </c>
      <c r="G173" s="208" t="n">
        <v>0.9</v>
      </c>
      <c r="H173" s="208" t="inlineStr">
        <is>
          <t>Semesterly</t>
        </is>
      </c>
      <c r="I173" s="209" t="n"/>
      <c r="J173" s="208" t="n"/>
    </row>
    <row r="174" ht="12.75" customHeight="1" s="156">
      <c r="B174" s="159" t="inlineStr">
        <is>
          <t>10.4</t>
        </is>
      </c>
      <c r="C174" s="199" t="inlineStr">
        <is>
          <t>BCP &amp; DRP Service - Performance</t>
        </is>
      </c>
      <c r="E174" s="200">
        <f>MAX(E175:E176)</f>
        <v/>
      </c>
      <c r="F174" s="202">
        <f>1-(1/SUM(F175:F176))</f>
        <v/>
      </c>
      <c r="G174" s="202">
        <f>1-(1/SUM(G175:G176))</f>
        <v/>
      </c>
      <c r="H174" s="202" t="inlineStr">
        <is>
          <t>Yearly</t>
        </is>
      </c>
      <c r="I174" s="203" t="n">
        <v>0.2</v>
      </c>
      <c r="J174" s="204">
        <f>$J$3*$F$154*I174</f>
        <v/>
      </c>
    </row>
    <row r="175" outlineLevel="1" ht="13.2" customHeight="1" s="156">
      <c r="B175" s="159" t="inlineStr">
        <is>
          <t>10.4.1</t>
        </is>
      </c>
      <c r="C175" s="162" t="n"/>
      <c r="D175" s="214" t="inlineStr">
        <is>
          <t>2IM - PST Internal Business Continuity Plan Services plans and improvements provided on time</t>
        </is>
      </c>
      <c r="E175" s="162" t="n">
        <v>10</v>
      </c>
      <c r="F175" s="239" t="n">
        <v>2</v>
      </c>
      <c r="G175" s="239" t="n">
        <v>2</v>
      </c>
      <c r="H175" s="208" t="inlineStr">
        <is>
          <t>Yearly</t>
        </is>
      </c>
      <c r="I175" s="209" t="n"/>
      <c r="J175" s="208" t="n"/>
    </row>
    <row r="176" outlineLevel="1" ht="13.2" customHeight="1" s="156">
      <c r="B176" s="159" t="inlineStr">
        <is>
          <t>10.4.2</t>
        </is>
      </c>
      <c r="C176" s="162" t="n"/>
      <c r="D176" s="214" t="inlineStr">
        <is>
          <t>2IM - PST Internal Disaster Recovery Plan testing and reporting</t>
        </is>
      </c>
      <c r="E176" s="162" t="n">
        <v>10</v>
      </c>
      <c r="F176" s="239" t="n">
        <v>2</v>
      </c>
      <c r="G176" s="239" t="n">
        <v>2</v>
      </c>
      <c r="H176" s="208" t="inlineStr">
        <is>
          <t>Yearly</t>
        </is>
      </c>
      <c r="I176" s="209" t="n"/>
      <c r="J176" s="208" t="n"/>
    </row>
    <row r="177" ht="13.2" customHeight="1" s="156">
      <c r="B177" s="159" t="inlineStr">
        <is>
          <t>10.5</t>
        </is>
      </c>
      <c r="C177" s="199" t="inlineStr">
        <is>
          <t>PMO Service - Performance</t>
        </is>
      </c>
      <c r="E177" s="200">
        <f>MAX(E178:E181)</f>
        <v/>
      </c>
      <c r="F177" s="201">
        <f>AVERAGE(F178:F181)</f>
        <v/>
      </c>
      <c r="G177" s="201">
        <f>AVERAGE(G178:G181)</f>
        <v/>
      </c>
      <c r="H177" s="202" t="inlineStr">
        <is>
          <t>Quaterly</t>
        </is>
      </c>
      <c r="I177" s="203" t="n">
        <v>0.2</v>
      </c>
      <c r="J177" s="204">
        <f>$J$3*$F$154*I177</f>
        <v/>
      </c>
    </row>
    <row r="178" outlineLevel="1" ht="13.2" customHeight="1" s="156">
      <c r="B178" s="159" t="inlineStr">
        <is>
          <t>10.5.1</t>
        </is>
      </c>
      <c r="C178" s="162" t="n"/>
      <c r="D178" s="214" t="inlineStr">
        <is>
          <t>2IM - Conducting monthly performance review meetings</t>
        </is>
      </c>
      <c r="E178" s="162" t="n">
        <v>10</v>
      </c>
      <c r="F178" s="208" t="n">
        <v>0.98</v>
      </c>
      <c r="G178" s="208" t="n">
        <v>0.93</v>
      </c>
      <c r="H178" s="208" t="inlineStr">
        <is>
          <t>Quaterly</t>
        </is>
      </c>
      <c r="I178" s="209" t="n"/>
      <c r="J178" s="208" t="n"/>
    </row>
    <row r="179" outlineLevel="1" ht="13.2" customHeight="1" s="156">
      <c r="B179" s="159" t="inlineStr">
        <is>
          <t>10.5.2</t>
        </is>
      </c>
      <c r="C179" s="162" t="n"/>
      <c r="D179" s="206" t="inlineStr">
        <is>
          <t>2IM - On-demand performance information request</t>
        </is>
      </c>
      <c r="E179" s="162" t="n">
        <v>10</v>
      </c>
      <c r="F179" s="208" t="n">
        <v>0.9</v>
      </c>
      <c r="G179" s="208" t="n">
        <v>0.8</v>
      </c>
      <c r="H179" s="208" t="inlineStr">
        <is>
          <t>Quaterly</t>
        </is>
      </c>
      <c r="I179" s="209" t="n"/>
      <c r="J179" s="208" t="n"/>
    </row>
    <row r="180" outlineLevel="1" ht="13.2" customHeight="1" s="156">
      <c r="B180" s="159" t="inlineStr">
        <is>
          <t>10.5.3</t>
        </is>
      </c>
      <c r="C180" s="162" t="n"/>
      <c r="D180" s="214" t="inlineStr">
        <is>
          <t>2IM - Managing the project portfolio</t>
        </is>
      </c>
      <c r="E180" s="162" t="n">
        <v>10</v>
      </c>
      <c r="F180" s="208" t="n">
        <v>0.9</v>
      </c>
      <c r="G180" s="208" t="n">
        <v>0.8</v>
      </c>
      <c r="H180" s="208" t="inlineStr">
        <is>
          <t>Quaterly</t>
        </is>
      </c>
      <c r="I180" s="209" t="n"/>
      <c r="J180" s="208" t="n"/>
    </row>
    <row r="181" outlineLevel="1" ht="13.2" customHeight="1" s="156">
      <c r="B181" s="159" t="inlineStr">
        <is>
          <t>10.5.4</t>
        </is>
      </c>
      <c r="C181" s="162" t="n"/>
      <c r="D181" s="214" t="inlineStr">
        <is>
          <t>2IM - Demand volume alert</t>
        </is>
      </c>
      <c r="E181" s="162" t="n">
        <v>10</v>
      </c>
      <c r="F181" s="208" t="n">
        <v>0.9</v>
      </c>
      <c r="G181" s="208" t="n">
        <v>0.8</v>
      </c>
      <c r="H181" s="208" t="inlineStr">
        <is>
          <t>Quaterly</t>
        </is>
      </c>
      <c r="I181" s="209" t="n"/>
      <c r="J181" s="208" t="n"/>
    </row>
    <row r="182" ht="13.2" customHeight="1" s="156">
      <c r="B182" s="159" t="inlineStr">
        <is>
          <t>10.6</t>
        </is>
      </c>
      <c r="C182" s="199" t="inlineStr">
        <is>
          <t>Reporting Service - Performance (e.g. SLA, finance, post-mortem, security/audit, changes)</t>
        </is>
      </c>
      <c r="E182" s="200">
        <f>MAX(E183:E189)</f>
        <v/>
      </c>
      <c r="F182" s="201">
        <f>AVERAGE(F183:F189)</f>
        <v/>
      </c>
      <c r="G182" s="201">
        <f>AVERAGE(G183:G189)</f>
        <v/>
      </c>
      <c r="H182" s="202" t="inlineStr">
        <is>
          <t>3 month rolling</t>
        </is>
      </c>
      <c r="I182" s="203" t="n">
        <v>0.2</v>
      </c>
      <c r="J182" s="204">
        <f>$J$3*$F$154*I182</f>
        <v/>
      </c>
    </row>
    <row r="183" outlineLevel="1" ht="13.2" customHeight="1" s="156">
      <c r="B183" s="159" t="inlineStr">
        <is>
          <t>10.6.1</t>
        </is>
      </c>
      <c r="C183" s="162" t="n"/>
      <c r="D183" s="206" t="inlineStr">
        <is>
          <t>2IM - Order management and Accounts payable</t>
        </is>
      </c>
      <c r="E183" s="162" t="n">
        <v>10</v>
      </c>
      <c r="F183" s="208" t="n">
        <v>0.9</v>
      </c>
      <c r="G183" s="208" t="n">
        <v>0.8</v>
      </c>
      <c r="H183" s="208" t="inlineStr">
        <is>
          <t>3 month rolling</t>
        </is>
      </c>
      <c r="I183" s="209" t="n"/>
      <c r="J183" s="208" t="n"/>
    </row>
    <row r="184" outlineLevel="1" ht="13.2" customHeight="1" s="156">
      <c r="B184" s="159" t="inlineStr">
        <is>
          <t>10.6.2</t>
        </is>
      </c>
      <c r="C184" s="162" t="n"/>
      <c r="D184" s="206" t="inlineStr">
        <is>
          <t>2IM - SLA reporting</t>
        </is>
      </c>
      <c r="E184" s="162" t="n">
        <v>10</v>
      </c>
      <c r="F184" s="208" t="n">
        <v>0.9</v>
      </c>
      <c r="G184" s="208" t="n">
        <v>0.8</v>
      </c>
      <c r="H184" s="208" t="inlineStr">
        <is>
          <t>3 month rolling</t>
        </is>
      </c>
      <c r="I184" s="209" t="n"/>
      <c r="J184" s="208" t="n"/>
    </row>
    <row r="185" outlineLevel="1" ht="13.2" customHeight="1" s="156">
      <c r="B185" s="159" t="inlineStr">
        <is>
          <t>10.6.3</t>
        </is>
      </c>
      <c r="C185" s="162" t="n"/>
      <c r="D185" s="206" t="inlineStr">
        <is>
          <t>2IM - Capacity monitoring</t>
        </is>
      </c>
      <c r="E185" s="162" t="n">
        <v>10</v>
      </c>
      <c r="F185" s="208" t="n">
        <v>0.9</v>
      </c>
      <c r="G185" s="208" t="n">
        <v>0.8</v>
      </c>
      <c r="H185" s="208" t="inlineStr">
        <is>
          <t>3 month rolling</t>
        </is>
      </c>
      <c r="I185" s="209" t="n"/>
      <c r="J185" s="208" t="n"/>
    </row>
    <row r="186" outlineLevel="1" ht="13.2" customHeight="1" s="156">
      <c r="B186" s="159" t="inlineStr">
        <is>
          <t>10.6.4</t>
        </is>
      </c>
      <c r="C186" s="162" t="n"/>
      <c r="D186" s="240" t="inlineStr">
        <is>
          <t>2IM - Capacity Modelling and trending</t>
        </is>
      </c>
      <c r="E186" s="162" t="n">
        <v>10</v>
      </c>
      <c r="F186" s="208" t="n">
        <v>0.9</v>
      </c>
      <c r="G186" s="208" t="n">
        <v>0.8</v>
      </c>
      <c r="H186" s="208" t="inlineStr">
        <is>
          <t>3 month rolling</t>
        </is>
      </c>
      <c r="I186" s="209" t="n"/>
      <c r="J186" s="208" t="n"/>
    </row>
    <row r="187" outlineLevel="1" ht="13.2" customHeight="1" s="156">
      <c r="B187" s="159" t="inlineStr">
        <is>
          <t>10.6.5</t>
        </is>
      </c>
      <c r="C187" s="205" t="n"/>
      <c r="D187" s="240" t="inlineStr">
        <is>
          <t>2IM - Availability monitoring and reporting</t>
        </is>
      </c>
      <c r="E187" s="162" t="n">
        <v>10</v>
      </c>
      <c r="F187" s="208" t="n">
        <v>0.9</v>
      </c>
      <c r="G187" s="208" t="n">
        <v>0.8</v>
      </c>
      <c r="H187" s="208" t="inlineStr">
        <is>
          <t>3 month rolling</t>
        </is>
      </c>
    </row>
    <row r="188" outlineLevel="1" ht="13.2" customHeight="1" s="156">
      <c r="B188" s="159" t="inlineStr">
        <is>
          <t>10.6.6</t>
        </is>
      </c>
      <c r="C188" s="205" t="n"/>
      <c r="D188" s="214" t="inlineStr">
        <is>
          <t>2IM - Performance report received in agreed format on agreed timeframe</t>
        </is>
      </c>
      <c r="E188" s="162" t="n">
        <v>10</v>
      </c>
      <c r="F188" s="208" t="n">
        <v>0.9</v>
      </c>
      <c r="G188" s="208" t="n">
        <v>0.8</v>
      </c>
      <c r="H188" s="208" t="inlineStr">
        <is>
          <t>3 month rolling</t>
        </is>
      </c>
      <c r="I188" s="209" t="n"/>
      <c r="J188" s="208" t="n"/>
    </row>
    <row r="189" outlineLevel="1" ht="13.2" customHeight="1" s="156">
      <c r="B189" s="159" t="inlineStr">
        <is>
          <t>10.6.7</t>
        </is>
      </c>
      <c r="C189" s="205" t="n"/>
      <c r="D189" s="214" t="inlineStr">
        <is>
          <t>2IM - Security report received in agreed format on agreed timeframe</t>
        </is>
      </c>
      <c r="E189" s="162" t="n">
        <v>10</v>
      </c>
      <c r="F189" s="208" t="n">
        <v>0.9</v>
      </c>
      <c r="G189" s="208" t="n">
        <v>0.8</v>
      </c>
      <c r="H189" s="208" t="inlineStr">
        <is>
          <t>3 month rolling</t>
        </is>
      </c>
      <c r="I189" s="209" t="n"/>
      <c r="J189" s="208" t="n"/>
    </row>
    <row r="190" ht="13.2" customHeight="1" s="156">
      <c r="C190" s="160" t="n"/>
      <c r="D190" s="161" t="n"/>
      <c r="E190" s="159" t="n"/>
      <c r="F190" s="207" t="n"/>
      <c r="G190" s="207" t="n"/>
      <c r="H190" s="208" t="n"/>
      <c r="I190" s="209" t="n"/>
      <c r="J190" s="208" t="n"/>
    </row>
    <row r="191" ht="13.2" customHeight="1" s="156">
      <c r="B191" s="160" t="n"/>
      <c r="C191" s="160" t="n"/>
      <c r="D191" s="241" t="inlineStr">
        <is>
          <t xml:space="preserve">Note - These attended service windows  must be incorporated, namely: </t>
        </is>
      </c>
      <c r="E191" s="159" t="n"/>
      <c r="F191" s="159" t="n"/>
      <c r="G191" s="159" t="n"/>
      <c r="H191" s="162" t="n"/>
      <c r="I191" s="159" t="n"/>
      <c r="J191" s="159" t="n"/>
      <c r="K191" s="160" t="n"/>
    </row>
    <row r="192" ht="13.2" customHeight="1" s="156">
      <c r="B192" s="160" t="n"/>
      <c r="D192" s="242" t="inlineStr">
        <is>
          <t>Silver     06:00 - 22:00 (Monday to Friday) and 07:00 - 17:00 (Saterday) Including target dates</t>
        </is>
      </c>
      <c r="E192" s="159" t="n"/>
      <c r="F192" s="159" t="n"/>
      <c r="G192" s="159" t="n"/>
      <c r="H192" s="162" t="n"/>
      <c r="I192" s="159" t="n"/>
      <c r="J192" s="159" t="n"/>
      <c r="K192" s="160" t="n"/>
    </row>
    <row r="193" ht="13.2" customHeight="1" s="156">
      <c r="B193" s="160" t="n"/>
      <c r="C193" s="160" t="n"/>
      <c r="D193" s="242" t="inlineStr">
        <is>
          <t>Bronze   07:00 - 19:00 (Monday to Friday) Including target dates</t>
        </is>
      </c>
      <c r="E193" s="159" t="n"/>
      <c r="F193" s="159" t="n"/>
      <c r="G193" s="159" t="n"/>
      <c r="H193" s="162" t="n"/>
      <c r="I193" s="159" t="n"/>
      <c r="J193" s="159" t="n"/>
      <c r="K193" s="160" t="n"/>
    </row>
    <row r="194" ht="13.2" customHeight="1" s="156">
      <c r="B194" s="160" t="n"/>
      <c r="C194" s="160" t="n"/>
      <c r="D194" s="242" t="inlineStr">
        <is>
          <t>Extended opening hours must be available on request of EuroBank</t>
        </is>
      </c>
      <c r="E194" s="159" t="n"/>
      <c r="F194" s="159" t="n"/>
      <c r="G194" s="159" t="n"/>
      <c r="H194" s="159" t="n"/>
      <c r="I194" s="159" t="n"/>
      <c r="J194" s="159" t="n"/>
      <c r="K194" s="160" t="n"/>
    </row>
    <row r="195" ht="13.2" customHeight="1" s="156">
      <c r="B195" s="160" t="n"/>
      <c r="C195" s="160" t="n"/>
      <c r="D195" s="243" t="inlineStr">
        <is>
          <t>Service support outside the attended service window will be based on reasonable endeavours only, with call handling by retained organisation</t>
        </is>
      </c>
      <c r="E195" s="159" t="n"/>
      <c r="F195" s="159" t="n"/>
      <c r="G195" s="159" t="n"/>
      <c r="H195" s="159" t="n"/>
      <c r="I195" s="159" t="n"/>
      <c r="J195" s="159" t="n"/>
      <c r="K195" s="160" t="n"/>
    </row>
    <row r="196" ht="13.2" customHeight="1" s="156">
      <c r="B196" s="160" t="n"/>
      <c r="D196" s="244" t="n"/>
      <c r="E196" s="159" t="n"/>
      <c r="F196" s="159" t="n"/>
      <c r="G196" s="159" t="n"/>
      <c r="H196" s="159" t="n"/>
      <c r="I196" s="159" t="n"/>
      <c r="J196" s="159" t="n"/>
      <c r="K196" s="160" t="n"/>
    </row>
    <row r="197" ht="13.2" customHeight="1" s="156">
      <c r="B197" s="160" t="n"/>
      <c r="D197" s="245" t="inlineStr">
        <is>
          <t xml:space="preserve">Note - Three levels of service must be incorporated for certain services, namely: </t>
        </is>
      </c>
      <c r="E197" s="159" t="n"/>
      <c r="F197" s="159" t="n"/>
      <c r="G197" s="159" t="n"/>
      <c r="H197" s="159" t="n"/>
      <c r="I197" s="159" t="n"/>
      <c r="J197" s="159" t="n"/>
      <c r="K197" s="160" t="n"/>
    </row>
    <row r="198" ht="13.2" customHeight="1" s="156">
      <c r="B198" s="160" t="n"/>
      <c r="D198" s="246" t="inlineStr">
        <is>
          <t>"Bronze" - Business can choose optinal upgrade of incidents to priority level 2</t>
        </is>
      </c>
      <c r="E198" s="159" t="n"/>
      <c r="F198" s="159" t="n"/>
      <c r="G198" s="159" t="n"/>
      <c r="H198" s="159" t="n"/>
      <c r="I198" s="159" t="n"/>
      <c r="J198" s="159" t="n"/>
      <c r="K198" s="160" t="n"/>
    </row>
    <row r="199" ht="13.2" customHeight="1" s="156">
      <c r="B199" s="160" t="n"/>
      <c r="D199" s="246" t="inlineStr">
        <is>
          <t>"Silver" - Business can choose optinal upgrade of incidents to priority level 1 or 2</t>
        </is>
      </c>
      <c r="E199" s="159" t="n"/>
      <c r="F199" s="159" t="n"/>
      <c r="G199" s="159" t="n"/>
      <c r="H199" s="159" t="n"/>
      <c r="I199" s="159" t="n"/>
      <c r="J199" s="159" t="n"/>
      <c r="K199" s="160" t="n"/>
    </row>
    <row r="200" ht="13.2" customHeight="1" s="156">
      <c r="B200" s="160" t="n"/>
      <c r="D200" s="246" t="inlineStr">
        <is>
          <t>Named Locations - Business can choose optinal upgrade of incidents to priority level 1 and/or local UIS Services</t>
        </is>
      </c>
      <c r="E200" s="159" t="n"/>
      <c r="F200" s="159" t="n"/>
      <c r="G200" s="159" t="n"/>
      <c r="H200" s="159" t="n"/>
      <c r="I200" s="159" t="n"/>
      <c r="J200" s="159" t="n"/>
      <c r="K200" s="160" t="n"/>
    </row>
    <row r="201" ht="13.2" customHeight="1" s="156">
      <c r="B201" s="160" t="n"/>
      <c r="D201" s="243" t="n"/>
      <c r="E201" s="159" t="n"/>
      <c r="F201" s="159" t="n"/>
      <c r="G201" s="159" t="n"/>
      <c r="H201" s="159" t="n"/>
      <c r="I201" s="159" t="n"/>
      <c r="J201" s="159" t="n"/>
      <c r="K201" s="160" t="n"/>
    </row>
    <row r="202" ht="13.2" customHeight="1" s="156">
      <c r="B202" s="160" t="n"/>
      <c r="D202" s="247" t="inlineStr">
        <is>
          <t>Note:</t>
        </is>
      </c>
      <c r="E202" s="159" t="n"/>
      <c r="F202" s="159" t="n"/>
      <c r="H202" s="159" t="n"/>
      <c r="I202" s="159" t="n"/>
      <c r="J202" s="159" t="n"/>
      <c r="K202" s="160" t="n"/>
    </row>
    <row r="203" ht="13.2" customHeight="1" s="156">
      <c r="B203" s="160" t="n"/>
      <c r="D203" s="246" t="inlineStr">
        <is>
          <t>The upgraded priority levels only have impact on the response and resolution timing, not on other areas such as problem management</t>
        </is>
      </c>
      <c r="E203" s="159" t="n"/>
      <c r="F203" s="159" t="n"/>
      <c r="H203" s="159" t="n"/>
      <c r="I203" s="159" t="n"/>
      <c r="J203" s="159" t="n"/>
      <c r="K203" s="160" t="n"/>
    </row>
    <row r="204" ht="13.2" customHeight="1" s="156">
      <c r="B204" s="160" t="n"/>
      <c r="E204" s="159" t="n"/>
      <c r="F204" s="159" t="n"/>
      <c r="G204" s="159" t="n"/>
      <c r="H204" s="159" t="n"/>
      <c r="I204" s="159" t="n"/>
      <c r="J204" s="159" t="n"/>
      <c r="K204" s="160" t="n"/>
    </row>
    <row r="205" ht="13.2" customHeight="1" s="156">
      <c r="B205" s="160" t="n"/>
      <c r="D205" s="222" t="inlineStr">
        <is>
          <t>Additional Notes:</t>
        </is>
      </c>
      <c r="E205" s="159" t="n"/>
      <c r="F205" s="159" t="n"/>
      <c r="G205" s="159" t="n"/>
      <c r="H205" s="159" t="n"/>
      <c r="I205" s="159" t="n"/>
      <c r="J205" s="159" t="n"/>
      <c r="K205" s="160" t="n"/>
    </row>
    <row r="206" ht="13.2" customHeight="1" s="156">
      <c r="B206" s="160" t="n"/>
      <c r="D206" s="223" t="inlineStr">
        <is>
          <t>* Service Level Credit Allocation Percentage</t>
        </is>
      </c>
      <c r="E206" s="159" t="n"/>
      <c r="F206" s="159" t="n"/>
      <c r="G206" s="159" t="n"/>
      <c r="H206" s="159" t="n"/>
      <c r="I206" s="159" t="n"/>
      <c r="J206" s="159" t="n"/>
      <c r="K206" s="160" t="n"/>
    </row>
    <row r="207" ht="13.2" customHeight="1" s="156">
      <c r="B207" s="160" t="n"/>
      <c r="D207" s="223" t="inlineStr">
        <is>
          <t>**  Number of Months after Effective Date when the Supplier is responsible for Service Level</t>
        </is>
      </c>
      <c r="E207" s="159" t="n"/>
      <c r="F207" s="159" t="n"/>
      <c r="G207" s="159" t="n"/>
      <c r="H207" s="159" t="n"/>
      <c r="I207" s="159" t="n"/>
      <c r="J207" s="159" t="n"/>
      <c r="K207" s="160" t="n"/>
    </row>
    <row r="208" ht="13.2" customHeight="1" s="156">
      <c r="B208" s="160" t="n"/>
      <c r="C208" s="160" t="n"/>
      <c r="D208" s="223" t="inlineStr">
        <is>
          <t xml:space="preserve">     performance and Performance Credits due for Service Level Default</t>
        </is>
      </c>
      <c r="E208" s="159" t="n"/>
      <c r="F208" s="207" t="n"/>
      <c r="G208" s="207" t="n"/>
      <c r="H208" s="207" t="n"/>
      <c r="I208" s="209" t="n"/>
      <c r="J208" s="207" t="n"/>
      <c r="K208" s="160" t="n"/>
    </row>
    <row r="209" ht="13.2" customHeight="1" s="156">
      <c r="B209" s="160" t="n"/>
      <c r="C209" s="160" t="n"/>
      <c r="D209" s="160" t="n"/>
      <c r="E209" s="160" t="n"/>
      <c r="F209" s="160" t="n"/>
      <c r="G209" s="160" t="n"/>
      <c r="H209" s="160" t="n"/>
      <c r="I209" s="160" t="n"/>
      <c r="J209" s="160" t="n"/>
      <c r="K209" s="160" t="n"/>
    </row>
    <row r="210" ht="13.2" customHeight="1" s="156">
      <c r="C210" s="160" t="n"/>
      <c r="E210" s="159" t="n"/>
      <c r="F210" s="159" t="n"/>
      <c r="G210" s="159" t="n"/>
      <c r="H210" s="159" t="n"/>
      <c r="I210" s="159" t="n"/>
      <c r="J210" s="159" t="n"/>
    </row>
    <row r="211" ht="13.2" customHeight="1" s="156">
      <c r="C211" s="160" t="n"/>
      <c r="E211" s="159" t="n"/>
      <c r="F211" s="159" t="n"/>
      <c r="G211" s="159" t="n"/>
      <c r="H211" s="159" t="n"/>
      <c r="I211" s="159" t="n"/>
      <c r="J211" s="159" t="n"/>
    </row>
    <row r="212" ht="13.2" customHeight="1" s="156">
      <c r="C212" s="160" t="n"/>
      <c r="E212" s="159" t="n"/>
      <c r="F212" s="159" t="n"/>
      <c r="G212" s="159" t="n"/>
      <c r="H212" s="159" t="n"/>
      <c r="I212" s="159" t="n"/>
      <c r="J212" s="159" t="n"/>
    </row>
    <row r="213" ht="13.2" customHeight="1" s="156">
      <c r="C213" s="160" t="n"/>
      <c r="E213" s="159" t="n"/>
      <c r="F213" s="159" t="n"/>
      <c r="G213" s="159" t="n"/>
      <c r="H213" s="159" t="n"/>
      <c r="I213" s="159" t="n"/>
      <c r="J213" s="159" t="n"/>
    </row>
    <row r="214" ht="13.2" customHeight="1" s="156">
      <c r="D214" s="158" t="n"/>
      <c r="H214" s="159" t="n"/>
    </row>
    <row r="215" ht="13.2" customHeight="1" s="156">
      <c r="D215" s="158" t="n"/>
      <c r="H215" s="159" t="n"/>
    </row>
    <row r="216" ht="13.2" customHeight="1" s="156">
      <c r="D216" s="158" t="n"/>
      <c r="H216" s="159" t="n"/>
    </row>
    <row r="217" ht="13.2" customHeight="1" s="156">
      <c r="D217" s="158" t="n"/>
      <c r="H217" s="159" t="n"/>
    </row>
    <row r="218" ht="13.2" customHeight="1" s="156">
      <c r="D218" s="158" t="n"/>
      <c r="H218" s="159" t="n"/>
    </row>
    <row r="219" ht="13.2" customHeight="1" s="156">
      <c r="D219" s="158" t="n"/>
      <c r="H219" s="159" t="n"/>
    </row>
    <row r="220" ht="13.2" customHeight="1" s="156">
      <c r="D220" s="158" t="n"/>
      <c r="H220" s="159" t="n"/>
    </row>
    <row r="221" ht="13.2" customHeight="1" s="156">
      <c r="D221" s="158" t="n"/>
      <c r="H221" s="159" t="n"/>
    </row>
    <row r="222" ht="13.2" customHeight="1" s="156">
      <c r="D222" s="158" t="n"/>
      <c r="H222" s="159" t="n"/>
    </row>
  </sheetData>
  <mergeCells count="46">
    <mergeCell ref="C83:D83"/>
    <mergeCell ref="C101:D101"/>
    <mergeCell ref="C92:D92"/>
    <mergeCell ref="C5:D5"/>
    <mergeCell ref="C58:D58"/>
    <mergeCell ref="C156:D156"/>
    <mergeCell ref="C45:D45"/>
    <mergeCell ref="C172:D172"/>
    <mergeCell ref="C26:D26"/>
    <mergeCell ref="C79:D79"/>
    <mergeCell ref="C73:D73"/>
    <mergeCell ref="C35:D35"/>
    <mergeCell ref="C4:D4"/>
    <mergeCell ref="C16:D16"/>
    <mergeCell ref="C100:D100"/>
    <mergeCell ref="C63:D63"/>
    <mergeCell ref="C177:D177"/>
    <mergeCell ref="C93:D93"/>
    <mergeCell ref="C99:D99"/>
    <mergeCell ref="C44:D44"/>
    <mergeCell ref="C84:D84"/>
    <mergeCell ref="C9:D9"/>
    <mergeCell ref="C124:D124"/>
    <mergeCell ref="C31:D31"/>
    <mergeCell ref="C59:D59"/>
    <mergeCell ref="C43:D43"/>
    <mergeCell ref="C21:D21"/>
    <mergeCell ref="C11:D11"/>
    <mergeCell ref="C182:D182"/>
    <mergeCell ref="C76:D76"/>
    <mergeCell ref="C71:D71"/>
    <mergeCell ref="C123:D123"/>
    <mergeCell ref="C8:D8"/>
    <mergeCell ref="C159:D159"/>
    <mergeCell ref="C91:D91"/>
    <mergeCell ref="C125:D125"/>
    <mergeCell ref="C7:D7"/>
    <mergeCell ref="C82:D82"/>
    <mergeCell ref="C72:D72"/>
    <mergeCell ref="C67:D67"/>
    <mergeCell ref="C174:D174"/>
    <mergeCell ref="C57:D57"/>
    <mergeCell ref="C155:D155"/>
    <mergeCell ref="C3:D3"/>
    <mergeCell ref="C154:D154"/>
    <mergeCell ref="C49:D49"/>
  </mergeCells>
  <conditionalFormatting sqref="I80:J80 J10 J12:J15 J17:J20 J22:J25 J27:J30 J32:J34 J36:J41 J46:J48 J50:J56 J60:J62 J64:J66 J68:J69 J74:J75 J77:J78 J85:J90 J94:J98 J102:J122 J126:J148 J150:J153 J157:J158 J161:J164 J166 J168:J171 J173 J175:J176 J178:J181 J183:J186 J188:J190 J208">
    <cfRule type="expression" rank="0" priority="2" equalAverage="0" aboveAverage="0" dxfId="0" text="" percent="0" bottom="0">
      <formula>ISERROR(J208)</formula>
    </cfRule>
  </conditionalFormatting>
  <printOptions horizontalCentered="0" verticalCentered="0" headings="0" gridLines="0" gridLinesSet="1"/>
  <pageMargins left="0.196527777777778" right="0.196527777777778" top="0.747916666666667" bottom="0.551388888888889" header="0.39375" footer="0.315277777777778"/>
  <pageSetup orientation="landscape" paperSize="9" scale="70"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3-A:  &amp;A   &amp;P&amp;R&amp;"Times New Roman,Regular"&amp;8 30/11/06</oddFooter>
    <evenHeader/>
    <evenFooter/>
    <firstHeader/>
    <firstFooter/>
  </headerFooter>
  <rowBreaks count="4" manualBreakCount="4">
    <brk id="41" min="0" max="16383" man="1"/>
    <brk id="69" min="0" max="16383" man="1"/>
    <brk id="97" min="0" max="16383" man="1"/>
    <brk id="152" min="0" max="16383" man="1"/>
  </rowBreaks>
</worksheet>
</file>

<file path=xl/worksheets/sheet4.xml><?xml version="1.0" encoding="utf-8"?>
<worksheet xmlns="http://schemas.openxmlformats.org/spreadsheetml/2006/main">
  <sheetPr filterMode="0">
    <outlinePr summaryBelow="1" summaryRight="1"/>
    <pageSetUpPr fitToPage="0"/>
  </sheetPr>
  <dimension ref="A1:K132"/>
  <sheetViews>
    <sheetView showFormulas="0" showGridLines="1" showRowColHeaders="1" showZeros="1" rightToLeft="0" tabSelected="0" showOutlineSymbols="1" defaultGridColor="1" view="pageBreakPreview" topLeftCell="C1" colorId="64" zoomScale="85" zoomScaleNormal="85" zoomScalePageLayoutView="85" workbookViewId="0">
      <selection pane="topLeft" activeCell="D9" activeCellId="0" sqref="D9"/>
    </sheetView>
  </sheetViews>
  <sheetFormatPr baseColWidth="8" defaultColWidth="9.1015625" defaultRowHeight="13.2" customHeight="1" zeroHeight="0" outlineLevelRow="1"/>
  <cols>
    <col width="2.43" customWidth="1" style="161" min="1" max="1"/>
    <col width="17.55" customWidth="1" style="162" min="2" max="2"/>
    <col width="8.99" customWidth="1" style="162" min="3" max="3"/>
    <col width="112.1" customWidth="1" style="161" min="4" max="4"/>
    <col width="9.43" customWidth="1" style="162" min="5" max="5"/>
    <col width="8.1" customWidth="1" style="162" min="6" max="6"/>
    <col width="15.32" customWidth="1" style="162" min="7" max="7"/>
    <col width="3.32" customWidth="1" style="161" min="8" max="8"/>
    <col width="9.1" customWidth="1" style="161" min="9" max="257"/>
  </cols>
  <sheetData>
    <row r="1" ht="13.2" customHeight="1" s="156">
      <c r="B1" s="178" t="inlineStr">
        <is>
          <t>Attach. 3-B</t>
        </is>
      </c>
      <c r="C1" s="178" t="n"/>
      <c r="D1" s="161" t="n"/>
      <c r="E1" s="248" t="n"/>
    </row>
    <row r="2" ht="13.2" customHeight="1" s="156">
      <c r="B2" s="178" t="inlineStr">
        <is>
          <t>Section Reference</t>
        </is>
      </c>
      <c r="C2" s="178" t="n"/>
      <c r="D2" s="161" t="n"/>
      <c r="E2" s="248" t="n"/>
    </row>
    <row r="3" ht="13.2" customHeight="1" s="156">
      <c r="B3" s="162" t="inlineStr">
        <is>
          <t>11.0</t>
        </is>
      </c>
      <c r="E3" s="248" t="n"/>
    </row>
    <row r="4" ht="12.75" customHeight="1" s="156">
      <c r="D4" s="249" t="n"/>
      <c r="E4" s="250" t="n"/>
      <c r="F4" s="251" t="n"/>
      <c r="G4" s="252" t="inlineStr">
        <is>
          <t>Measurement</t>
        </is>
      </c>
    </row>
    <row r="5" ht="15.6" customHeight="1" s="156">
      <c r="D5" s="253" t="inlineStr">
        <is>
          <t>Base Workplace Service - Performance Category</t>
        </is>
      </c>
      <c r="E5" s="254" t="inlineStr">
        <is>
          <t>Expected</t>
        </is>
      </c>
      <c r="F5" s="254" t="inlineStr">
        <is>
          <t>Minimum</t>
        </is>
      </c>
      <c r="G5" s="255" t="inlineStr">
        <is>
          <t>Window</t>
        </is>
      </c>
    </row>
    <row r="6" outlineLevel="1" ht="13.2" customHeight="1" s="156">
      <c r="B6" s="162" t="n"/>
      <c r="C6" s="162" t="n"/>
      <c r="D6" s="161" t="inlineStr">
        <is>
          <t>Availability of GRAS</t>
        </is>
      </c>
      <c r="E6" s="208" t="inlineStr">
        <is>
          <t>xx.xx%</t>
        </is>
      </c>
      <c r="F6" s="208" t="inlineStr">
        <is>
          <t>xx.xx%</t>
        </is>
      </c>
      <c r="G6" s="208" t="inlineStr">
        <is>
          <t>monthly</t>
        </is>
      </c>
    </row>
    <row r="7" outlineLevel="1" ht="13.2" customHeight="1" s="156">
      <c r="D7" s="161" t="inlineStr">
        <is>
          <t>Accuracy of standard hardware (desktop, laptop, peripherals) according to service catalogue</t>
        </is>
      </c>
      <c r="E7" s="208" t="n">
        <v>0.98</v>
      </c>
      <c r="F7" s="208" t="n">
        <v>0.95</v>
      </c>
      <c r="G7" s="208" t="inlineStr">
        <is>
          <t>monthly</t>
        </is>
      </c>
    </row>
    <row r="8" outlineLevel="1" ht="13.2" customHeight="1" s="156">
      <c r="D8" s="161" t="inlineStr">
        <is>
          <t>Accuracy of standard software (CSL, ROSL, COSL) according to service catalogue</t>
        </is>
      </c>
      <c r="E8" s="208" t="n">
        <v>0.98</v>
      </c>
      <c r="F8" s="208" t="n">
        <v>0.95</v>
      </c>
      <c r="G8" s="208" t="inlineStr">
        <is>
          <t>monthly</t>
        </is>
      </c>
    </row>
    <row r="9" outlineLevel="1" ht="13.2" customHeight="1" s="156">
      <c r="B9" s="256" t="n"/>
      <c r="C9" s="256" t="n"/>
      <c r="D9" s="257" t="inlineStr">
        <is>
          <t>Functional RFC assesments done within 1 week measured on monthly basis.</t>
        </is>
      </c>
      <c r="E9" s="208" t="inlineStr">
        <is>
          <t>xx.xx%</t>
        </is>
      </c>
      <c r="F9" s="208" t="inlineStr">
        <is>
          <t>xx.xx%</t>
        </is>
      </c>
      <c r="G9" s="208" t="inlineStr">
        <is>
          <t>monthly</t>
        </is>
      </c>
    </row>
    <row r="10" outlineLevel="1" ht="13.2" customHeight="1" s="156">
      <c r="B10" s="256" t="n"/>
      <c r="C10" s="256" t="n"/>
      <c r="D10" s="257" t="inlineStr">
        <is>
          <t>Planning of outcome of RFC's is done within 15 days upon entry of the RFC measured on a monthly basis.</t>
        </is>
      </c>
      <c r="E10" s="208" t="inlineStr">
        <is>
          <t>xx.xx%</t>
        </is>
      </c>
      <c r="F10" s="208" t="inlineStr">
        <is>
          <t>xx.xx%</t>
        </is>
      </c>
      <c r="G10" s="208" t="inlineStr">
        <is>
          <t>monthly</t>
        </is>
      </c>
    </row>
    <row r="11" outlineLevel="1" ht="13.2" customHeight="1" s="156">
      <c r="E11" s="248" t="n"/>
    </row>
    <row r="12" ht="12.75" customHeight="1" s="156">
      <c r="D12" s="249" t="n"/>
      <c r="E12" s="250" t="n"/>
      <c r="F12" s="251" t="n"/>
      <c r="G12" s="252" t="inlineStr">
        <is>
          <t>Measurement</t>
        </is>
      </c>
    </row>
    <row r="13" ht="15.6" customHeight="1" s="156">
      <c r="D13" s="253" t="inlineStr">
        <is>
          <t>File &amp; Print Service - Performance Category</t>
        </is>
      </c>
      <c r="E13" s="254" t="inlineStr">
        <is>
          <t>Expected</t>
        </is>
      </c>
      <c r="F13" s="254" t="inlineStr">
        <is>
          <t>Minimum</t>
        </is>
      </c>
      <c r="G13" s="255" t="inlineStr">
        <is>
          <t>Window</t>
        </is>
      </c>
    </row>
    <row r="14" outlineLevel="1" ht="13.2" customHeight="1" s="156">
      <c r="B14" s="162" t="n"/>
      <c r="C14" s="162" t="n"/>
      <c r="D14" s="161" t="inlineStr">
        <is>
          <t>On site dedicated printers for named locations MTTR 1 day</t>
        </is>
      </c>
      <c r="E14" s="208" t="n">
        <v>0.9</v>
      </c>
      <c r="F14" s="208" t="n">
        <v>0.8</v>
      </c>
      <c r="G14" s="208" t="inlineStr">
        <is>
          <t>monthly</t>
        </is>
      </c>
    </row>
    <row r="15" outlineLevel="1" ht="13.2" customHeight="1" s="156">
      <c r="B15" s="162" t="n"/>
      <c r="C15" s="162" t="n"/>
      <c r="E15" s="248" t="n"/>
      <c r="F15" s="162" t="n"/>
      <c r="G15" s="162" t="n"/>
    </row>
    <row r="16" ht="12.75" customHeight="1" s="156">
      <c r="D16" s="249" t="n"/>
      <c r="E16" s="250" t="n"/>
      <c r="F16" s="251" t="n"/>
      <c r="G16" s="252" t="inlineStr">
        <is>
          <t>Measurement</t>
        </is>
      </c>
    </row>
    <row r="17" ht="15.6" customHeight="1" s="156">
      <c r="D17" s="253" t="inlineStr">
        <is>
          <t>Mail &amp; Agenda Service - Performance Category</t>
        </is>
      </c>
      <c r="E17" s="254" t="inlineStr">
        <is>
          <t>Expected</t>
        </is>
      </c>
      <c r="F17" s="254" t="inlineStr">
        <is>
          <t>Minimum</t>
        </is>
      </c>
      <c r="G17" s="255" t="inlineStr">
        <is>
          <t>Window</t>
        </is>
      </c>
    </row>
    <row r="18" outlineLevel="1" ht="13.2" customHeight="1" s="156">
      <c r="B18" s="256" t="n"/>
      <c r="C18" s="256" t="n"/>
      <c r="D18" s="258" t="inlineStr">
        <is>
          <t>Restore of mail server within 4 hours, including disaster recovery</t>
        </is>
      </c>
      <c r="E18" s="208" t="inlineStr">
        <is>
          <t>xx.xx%</t>
        </is>
      </c>
      <c r="F18" s="208" t="inlineStr">
        <is>
          <t>xx.xx%</t>
        </is>
      </c>
      <c r="G18" s="208" t="inlineStr">
        <is>
          <t>3 months</t>
        </is>
      </c>
    </row>
    <row r="19" outlineLevel="1" ht="26.4" customHeight="1" s="156">
      <c r="B19" s="256" t="n"/>
      <c r="C19" s="256" t="n"/>
      <c r="D19" s="258" t="inlineStr">
        <is>
          <t>Delivery of patches and fixes to the Global regions in accordance with CIRT impact levels, Impact High within 24 hours, impact Medium within 72 hours, impact Low within 120 hours. Regular updates are made available within 2 weeks and virus scanner updates</t>
        </is>
      </c>
      <c r="E19" s="208" t="inlineStr">
        <is>
          <t>xx.xx%</t>
        </is>
      </c>
      <c r="F19" s="208" t="inlineStr">
        <is>
          <t>xx.xx%</t>
        </is>
      </c>
      <c r="G19" s="208" t="inlineStr">
        <is>
          <t>monthly</t>
        </is>
      </c>
    </row>
    <row r="20" outlineLevel="1" ht="16.5" customHeight="1" s="156">
      <c r="B20" s="256" t="n"/>
      <c r="C20" s="256" t="n"/>
      <c r="D20" s="258" t="inlineStr">
        <is>
          <t>Address books replication throughout the backbone and offered at the junction where the region is connected within 24 hours.</t>
        </is>
      </c>
      <c r="E20" s="208" t="inlineStr">
        <is>
          <t>xx.xx%</t>
        </is>
      </c>
      <c r="F20" s="208" t="inlineStr">
        <is>
          <t>xx.xx%</t>
        </is>
      </c>
      <c r="G20" s="208" t="inlineStr">
        <is>
          <t>monthly</t>
        </is>
      </c>
    </row>
    <row r="21" outlineLevel="1" ht="13.2" customHeight="1" s="156">
      <c r="E21" s="248" t="n"/>
    </row>
    <row r="22" ht="12.75" customHeight="1" s="156">
      <c r="D22" s="249" t="n"/>
      <c r="E22" s="250" t="n"/>
      <c r="F22" s="251" t="n"/>
      <c r="G22" s="252" t="inlineStr">
        <is>
          <t>Measurement</t>
        </is>
      </c>
    </row>
    <row r="23" ht="15.6" customHeight="1" s="156">
      <c r="D23" s="253" t="inlineStr">
        <is>
          <t>Application Integration Service - Performance Category</t>
        </is>
      </c>
      <c r="E23" s="254" t="inlineStr">
        <is>
          <t>Expected</t>
        </is>
      </c>
      <c r="F23" s="254" t="inlineStr">
        <is>
          <t>Minimum</t>
        </is>
      </c>
      <c r="G23" s="255" t="inlineStr">
        <is>
          <t>Window</t>
        </is>
      </c>
    </row>
    <row r="24" outlineLevel="1" ht="13.2" customHeight="1" s="156">
      <c r="D24" s="258" t="inlineStr">
        <is>
          <t>Changes for BSL applicaiton executed within 8 weeks (CHEKC ASW DOC + REQ)</t>
        </is>
      </c>
      <c r="E24" s="208" t="n">
        <v>0.9</v>
      </c>
      <c r="F24" s="208" t="n">
        <v>0.8</v>
      </c>
      <c r="G24" s="208" t="inlineStr">
        <is>
          <t>monthly</t>
        </is>
      </c>
    </row>
    <row r="25" outlineLevel="1" ht="13.5" customHeight="1" s="156">
      <c r="D25" s="258" t="inlineStr">
        <is>
          <t>Time to inform customer on resolution time after submitting a change stay within allowed timeframes (3 hours to 6 workdays)</t>
        </is>
      </c>
      <c r="E25" s="208" t="n">
        <v>0.9</v>
      </c>
      <c r="F25" s="208" t="n">
        <v>0.8</v>
      </c>
      <c r="G25" s="208" t="inlineStr">
        <is>
          <t>monthly</t>
        </is>
      </c>
    </row>
    <row r="26" outlineLevel="1" ht="13.5" customHeight="1" s="156">
      <c r="D26" s="258" t="inlineStr">
        <is>
          <t>Customer will be informed on content of release 7 days upfront</t>
        </is>
      </c>
      <c r="E26" s="208" t="n">
        <v>0.9</v>
      </c>
      <c r="F26" s="208" t="n">
        <v>0.8</v>
      </c>
      <c r="G26" s="208" t="inlineStr">
        <is>
          <t>monthly</t>
        </is>
      </c>
    </row>
    <row r="27" outlineLevel="1" ht="13.2" customHeight="1" s="156">
      <c r="B27" s="162" t="n"/>
      <c r="C27" s="162" t="n"/>
      <c r="D27" s="258" t="inlineStr">
        <is>
          <t>Deploy releases according to schedule</t>
        </is>
      </c>
      <c r="E27" s="208" t="n">
        <v>0.9</v>
      </c>
      <c r="F27" s="208" t="n">
        <v>0.8</v>
      </c>
      <c r="G27" s="208" t="inlineStr">
        <is>
          <t>monthly</t>
        </is>
      </c>
    </row>
    <row r="28" outlineLevel="1" ht="13.2" customHeight="1" s="156">
      <c r="B28" s="162" t="n"/>
      <c r="C28" s="162" t="n"/>
      <c r="D28" s="258" t="n"/>
      <c r="E28" s="208" t="n"/>
      <c r="F28" s="208" t="n"/>
      <c r="G28" s="208" t="n"/>
    </row>
    <row r="29" outlineLevel="1" ht="13.2" customHeight="1" s="156">
      <c r="E29" s="208" t="n"/>
      <c r="F29" s="208" t="n"/>
    </row>
    <row r="30" ht="12.75" customHeight="1" s="156">
      <c r="D30" s="249" t="n"/>
      <c r="E30" s="250" t="n"/>
      <c r="F30" s="251" t="n"/>
      <c r="G30" s="252" t="inlineStr">
        <is>
          <t>Measurement</t>
        </is>
      </c>
    </row>
    <row r="31" ht="15.6" customHeight="1" s="156">
      <c r="D31" s="253" t="inlineStr">
        <is>
          <t>Access Service - Performance Category</t>
        </is>
      </c>
      <c r="E31" s="254" t="inlineStr">
        <is>
          <t>Expected</t>
        </is>
      </c>
      <c r="F31" s="254" t="inlineStr">
        <is>
          <t>Minimum</t>
        </is>
      </c>
      <c r="G31" s="255" t="inlineStr">
        <is>
          <t>Window</t>
        </is>
      </c>
    </row>
    <row r="32" outlineLevel="1" ht="13.2" customHeight="1" s="156">
      <c r="B32" s="162" t="inlineStr">
        <is>
          <t>see remarks below</t>
        </is>
      </c>
      <c r="C32" s="162" t="n"/>
      <c r="D32" s="258" t="inlineStr">
        <is>
          <t>Emergency creation of mailbox within 4 hours</t>
        </is>
      </c>
      <c r="E32" s="208" t="n">
        <v>0.9</v>
      </c>
      <c r="F32" s="208" t="n">
        <v>0.8</v>
      </c>
      <c r="G32" s="208" t="inlineStr">
        <is>
          <t>monthly</t>
        </is>
      </c>
    </row>
    <row r="33" outlineLevel="1" ht="13.2" customHeight="1" s="156">
      <c r="B33" s="162" t="inlineStr">
        <is>
          <t>see remarks below</t>
        </is>
      </c>
      <c r="C33" s="162" t="n"/>
      <c r="D33" s="258" t="inlineStr">
        <is>
          <t>Creation of mailbox and user-profile within 1 workday</t>
        </is>
      </c>
      <c r="E33" s="208" t="n">
        <v>0.9</v>
      </c>
      <c r="F33" s="208" t="n">
        <v>0.8</v>
      </c>
      <c r="G33" s="208" t="inlineStr">
        <is>
          <t>monthly</t>
        </is>
      </c>
    </row>
    <row r="34" outlineLevel="1" ht="13.2" customHeight="1" s="156">
      <c r="B34" s="162" t="inlineStr">
        <is>
          <t>see remarks below</t>
        </is>
      </c>
      <c r="C34" s="162" t="n"/>
      <c r="D34" s="258" t="inlineStr">
        <is>
          <t>Creation of group calander within 1 workday</t>
        </is>
      </c>
      <c r="E34" s="208" t="n">
        <v>0.9</v>
      </c>
      <c r="F34" s="208" t="n">
        <v>0.8</v>
      </c>
      <c r="G34" s="208" t="inlineStr">
        <is>
          <t>monthly</t>
        </is>
      </c>
    </row>
    <row r="35" outlineLevel="1" ht="13.2" customHeight="1" s="156">
      <c r="B35" s="162" t="inlineStr">
        <is>
          <t>see remarks below</t>
        </is>
      </c>
      <c r="C35" s="162" t="n"/>
      <c r="D35" s="258" t="inlineStr">
        <is>
          <t>Enabling of mailbox and user-profile within 4 hours</t>
        </is>
      </c>
      <c r="E35" s="208" t="n">
        <v>0.9</v>
      </c>
      <c r="F35" s="208" t="n">
        <v>0.8</v>
      </c>
      <c r="G35" s="208" t="inlineStr">
        <is>
          <t>monthly</t>
        </is>
      </c>
    </row>
    <row r="36" outlineLevel="1" ht="13.2" customHeight="1" s="156">
      <c r="B36" s="162" t="inlineStr">
        <is>
          <t>see remarks below</t>
        </is>
      </c>
      <c r="C36" s="162" t="n"/>
      <c r="D36" s="258" t="inlineStr">
        <is>
          <t>Disabling of mailbox and user profile within 4 hours</t>
        </is>
      </c>
      <c r="E36" s="208" t="n">
        <v>0.9</v>
      </c>
      <c r="F36" s="208" t="n">
        <v>0.8</v>
      </c>
      <c r="G36" s="208" t="inlineStr">
        <is>
          <t>monthly</t>
        </is>
      </c>
    </row>
    <row r="37" outlineLevel="1" ht="13.2" customHeight="1" s="156">
      <c r="B37" s="162" t="inlineStr">
        <is>
          <t>see remarks below</t>
        </is>
      </c>
      <c r="C37" s="162" t="n"/>
      <c r="D37" s="258" t="inlineStr">
        <is>
          <t>Delete mailbox and user profile within 2 workdays</t>
        </is>
      </c>
      <c r="E37" s="208" t="n">
        <v>0.9</v>
      </c>
      <c r="F37" s="208" t="n">
        <v>0.8</v>
      </c>
      <c r="G37" s="208" t="inlineStr">
        <is>
          <t>monthly</t>
        </is>
      </c>
    </row>
    <row r="38" outlineLevel="1" ht="13.2" customHeight="1" s="156">
      <c r="B38" s="162" t="inlineStr">
        <is>
          <t>see remarks below</t>
        </is>
      </c>
      <c r="C38" s="162" t="n"/>
      <c r="D38" s="258" t="inlineStr">
        <is>
          <t>Create public folder for e-mail within 2 workdays</t>
        </is>
      </c>
      <c r="E38" s="208" t="n">
        <v>0.9</v>
      </c>
      <c r="F38" s="208" t="n">
        <v>0.8</v>
      </c>
      <c r="G38" s="208" t="inlineStr">
        <is>
          <t>monthly</t>
        </is>
      </c>
    </row>
    <row r="39" outlineLevel="1" ht="13.2" customHeight="1" s="156">
      <c r="B39" s="162" t="inlineStr">
        <is>
          <t>see remarks below</t>
        </is>
      </c>
      <c r="C39" s="162" t="n"/>
      <c r="D39" s="258" t="inlineStr">
        <is>
          <t>Delete public folder for e-mail within 2 workdays</t>
        </is>
      </c>
      <c r="E39" s="208" t="n">
        <v>0.9</v>
      </c>
      <c r="F39" s="208" t="n">
        <v>0.8</v>
      </c>
      <c r="G39" s="208" t="inlineStr">
        <is>
          <t>monthly</t>
        </is>
      </c>
    </row>
    <row r="40" outlineLevel="1" ht="13.2" customHeight="1" s="156">
      <c r="B40" s="162" t="inlineStr">
        <is>
          <t>see remarks below</t>
        </is>
      </c>
      <c r="C40" s="162" t="n"/>
      <c r="D40" s="258" t="inlineStr">
        <is>
          <t>Create distribution list for e-mail within 2 workdays</t>
        </is>
      </c>
      <c r="E40" s="208" t="n">
        <v>0.9</v>
      </c>
      <c r="F40" s="208" t="n">
        <v>0.8</v>
      </c>
      <c r="G40" s="208" t="inlineStr">
        <is>
          <t>monthly</t>
        </is>
      </c>
    </row>
    <row r="41" outlineLevel="1" ht="13.2" customHeight="1" s="156">
      <c r="B41" s="162" t="inlineStr">
        <is>
          <t>see remarks below</t>
        </is>
      </c>
      <c r="C41" s="162" t="n"/>
      <c r="D41" s="258" t="inlineStr">
        <is>
          <t>Delete distribution list for e-mail within 2 workdays</t>
        </is>
      </c>
      <c r="E41" s="208" t="n">
        <v>0.9</v>
      </c>
      <c r="F41" s="208" t="n">
        <v>0.8</v>
      </c>
      <c r="G41" s="208" t="inlineStr">
        <is>
          <t>monthly</t>
        </is>
      </c>
    </row>
    <row r="42" outlineLevel="1" ht="13.2" customHeight="1" s="156">
      <c r="B42" s="162" t="inlineStr">
        <is>
          <t>see remarks below</t>
        </is>
      </c>
      <c r="C42" s="162" t="n"/>
      <c r="D42" s="258" t="inlineStr">
        <is>
          <t>Creation of new Blackberry user within 1 workday</t>
        </is>
      </c>
      <c r="E42" s="208" t="n">
        <v>0.9</v>
      </c>
      <c r="F42" s="208" t="n">
        <v>0.8</v>
      </c>
      <c r="G42" s="208" t="inlineStr">
        <is>
          <t>monthly</t>
        </is>
      </c>
    </row>
    <row r="43" outlineLevel="1" ht="13.2" customHeight="1" s="156">
      <c r="B43" s="162" t="inlineStr">
        <is>
          <t>see remarks below</t>
        </is>
      </c>
      <c r="C43" s="162" t="n"/>
      <c r="D43" s="258" t="inlineStr">
        <is>
          <t>Modification of Blackberry user within 3 workdays</t>
        </is>
      </c>
      <c r="E43" s="208" t="n">
        <v>0.9</v>
      </c>
      <c r="F43" s="208" t="n">
        <v>0.8</v>
      </c>
      <c r="G43" s="208" t="inlineStr">
        <is>
          <t>monthly</t>
        </is>
      </c>
    </row>
    <row r="44" outlineLevel="1" ht="13.2" customHeight="1" s="156">
      <c r="B44" s="162" t="inlineStr">
        <is>
          <t>see remarks below</t>
        </is>
      </c>
      <c r="C44" s="162" t="n"/>
      <c r="D44" s="258" t="inlineStr">
        <is>
          <t>Deletion of  Blackberry user within 1 workday (leaqver)</t>
        </is>
      </c>
      <c r="E44" s="208" t="n">
        <v>0.9</v>
      </c>
      <c r="F44" s="208" t="n">
        <v>0.8</v>
      </c>
      <c r="G44" s="208" t="inlineStr">
        <is>
          <t>monthly</t>
        </is>
      </c>
    </row>
    <row r="45" outlineLevel="1" ht="13.2" customHeight="1" s="156">
      <c r="B45" s="162" t="inlineStr">
        <is>
          <t>see remarks below</t>
        </is>
      </c>
      <c r="C45" s="162" t="n"/>
      <c r="D45" s="258" t="inlineStr">
        <is>
          <t>Disabling of  Blackberry device within 30 minutes (lost of stolen device or at request of IRM) 24x7 service</t>
        </is>
      </c>
      <c r="E45" s="208" t="inlineStr">
        <is>
          <t>xx.xx%</t>
        </is>
      </c>
      <c r="F45" s="208" t="inlineStr">
        <is>
          <t>xx.xx%</t>
        </is>
      </c>
      <c r="G45" s="208" t="inlineStr">
        <is>
          <t>3 months</t>
        </is>
      </c>
    </row>
    <row r="46" outlineLevel="1" ht="13.2" customHeight="1" s="156">
      <c r="B46" s="162" t="inlineStr">
        <is>
          <t>see remarks below</t>
        </is>
      </c>
      <c r="C46" s="162" t="n"/>
      <c r="D46" s="258" t="inlineStr">
        <is>
          <t>Modifications to user profile for mobile voice executed within allow timeframe</t>
        </is>
      </c>
      <c r="E46" s="208" t="n">
        <v>0.9</v>
      </c>
      <c r="F46" s="208" t="n">
        <v>0.8</v>
      </c>
      <c r="G46" s="208" t="inlineStr">
        <is>
          <t>monthly</t>
        </is>
      </c>
    </row>
    <row r="47" outlineLevel="1" ht="13.2" customHeight="1" s="156">
      <c r="A47" s="161" t="n"/>
      <c r="B47" s="162" t="n"/>
      <c r="C47" s="162" t="n"/>
      <c r="D47" s="161" t="inlineStr">
        <is>
          <t>Percentage of Emergency deletion requests of User accounts completed in time (varies by end user)</t>
        </is>
      </c>
      <c r="E47" s="208" t="n">
        <v>0.9</v>
      </c>
      <c r="F47" s="208" t="n">
        <v>0.8</v>
      </c>
      <c r="G47" s="208" t="inlineStr">
        <is>
          <t>monthly</t>
        </is>
      </c>
      <c r="H47" s="161" t="n"/>
      <c r="I47" s="161" t="n"/>
      <c r="J47" s="161" t="n"/>
    </row>
    <row r="48" outlineLevel="1" ht="13.2" customHeight="1" s="156">
      <c r="A48" s="161" t="n"/>
      <c r="B48" s="162" t="n"/>
      <c r="C48" s="162" t="n"/>
      <c r="D48" s="161" t="inlineStr">
        <is>
          <t>Percentage of  Emergency additions or Emergency changes to User accounts completed in time</t>
        </is>
      </c>
      <c r="E48" s="208" t="n">
        <v>0.9</v>
      </c>
      <c r="F48" s="208" t="n">
        <v>0.8</v>
      </c>
      <c r="G48" s="208" t="inlineStr">
        <is>
          <t>monthly</t>
        </is>
      </c>
      <c r="H48" s="161" t="n"/>
      <c r="I48" s="161" t="n"/>
      <c r="J48" s="161" t="n"/>
    </row>
    <row r="49" outlineLevel="1" ht="13.2" customHeight="1" s="156">
      <c r="A49" s="161" t="n"/>
      <c r="B49" s="162" t="n"/>
      <c r="C49" s="162" t="n"/>
      <c r="D49" s="161" t="inlineStr">
        <is>
          <t>Percentage of additions or deletions of VIP User accounts completed in time</t>
        </is>
      </c>
      <c r="E49" s="208" t="n">
        <v>0.9</v>
      </c>
      <c r="F49" s="208" t="n">
        <v>0.8</v>
      </c>
      <c r="G49" s="208" t="inlineStr">
        <is>
          <t>monthly</t>
        </is>
      </c>
      <c r="H49" s="161" t="n"/>
      <c r="I49" s="161" t="n"/>
      <c r="J49" s="161" t="n"/>
    </row>
    <row r="50" outlineLevel="1" ht="13.2" customHeight="1" s="156">
      <c r="B50" s="162" t="inlineStr">
        <is>
          <t>see remarks below</t>
        </is>
      </c>
      <c r="C50" s="162" t="n"/>
      <c r="D50" s="258" t="inlineStr">
        <is>
          <t>emergency access 90% within 10 minutes, during office, 90% within 1 hour after office</t>
        </is>
      </c>
      <c r="E50" s="208" t="inlineStr">
        <is>
          <t>xx.xx%</t>
        </is>
      </c>
      <c r="F50" s="208" t="inlineStr">
        <is>
          <t>xx.xx%</t>
        </is>
      </c>
      <c r="G50" s="208" t="inlineStr">
        <is>
          <t>3 months</t>
        </is>
      </c>
    </row>
    <row r="51" outlineLevel="1" ht="13.2" customHeight="1" s="156">
      <c r="B51" s="162" t="inlineStr">
        <is>
          <t>see remarks below</t>
        </is>
      </c>
      <c r="C51" s="162" t="n"/>
      <c r="D51" s="258" t="inlineStr">
        <is>
          <t>Password resets and unlock workstation within 1 hour outside office hours</t>
        </is>
      </c>
      <c r="E51" s="208" t="inlineStr">
        <is>
          <t>xx.xx%</t>
        </is>
      </c>
      <c r="F51" s="208" t="inlineStr">
        <is>
          <t>xx.xx%</t>
        </is>
      </c>
      <c r="G51" s="208" t="inlineStr">
        <is>
          <t>3 months</t>
        </is>
      </c>
    </row>
    <row r="52" outlineLevel="1" ht="13.2" customHeight="1" s="156">
      <c r="B52" s="162" t="n"/>
      <c r="C52" s="162" t="n"/>
      <c r="D52" s="258" t="inlineStr">
        <is>
          <t>Delete user-id within 10 minutes within office hours, and  within 1 hour after office hours</t>
        </is>
      </c>
      <c r="E52" s="208" t="inlineStr">
        <is>
          <t>xx.xx%</t>
        </is>
      </c>
      <c r="F52" s="208" t="inlineStr">
        <is>
          <t>xx.xx%</t>
        </is>
      </c>
      <c r="G52" s="208" t="inlineStr">
        <is>
          <t>6 months</t>
        </is>
      </c>
    </row>
    <row r="53" outlineLevel="1" ht="13.2" customHeight="1" s="156">
      <c r="B53" s="162" t="n"/>
      <c r="C53" s="162" t="n"/>
      <c r="D53" s="258" t="inlineStr">
        <is>
          <t>Disable user-id within 1 day</t>
        </is>
      </c>
      <c r="E53" s="208" t="n">
        <v>0.9</v>
      </c>
      <c r="F53" s="208" t="n">
        <v>0.9</v>
      </c>
      <c r="G53" s="208" t="inlineStr">
        <is>
          <t>monthly</t>
        </is>
      </c>
    </row>
    <row r="54" outlineLevel="1" ht="13.2" customHeight="1" s="156">
      <c r="B54" s="162" t="n"/>
      <c r="C54" s="162" t="n"/>
      <c r="D54" s="258" t="n"/>
      <c r="E54" s="208" t="n"/>
      <c r="F54" s="208" t="n"/>
      <c r="G54" s="208" t="n"/>
    </row>
    <row r="55" outlineLevel="1" ht="13.2" customHeight="1" s="156">
      <c r="B55" s="162" t="n"/>
      <c r="C55" s="162" t="n"/>
      <c r="D55" s="258" t="n"/>
      <c r="E55" s="208" t="n"/>
      <c r="F55" s="208" t="n"/>
      <c r="G55" s="208" t="n"/>
    </row>
    <row r="56" ht="12.75" customHeight="1" s="156">
      <c r="D56" s="249" t="n"/>
      <c r="E56" s="250" t="n"/>
      <c r="F56" s="251" t="n"/>
      <c r="G56" s="252" t="inlineStr">
        <is>
          <t>Measurement</t>
        </is>
      </c>
    </row>
    <row r="57" ht="15.6" customHeight="1" s="156">
      <c r="D57" s="253" t="inlineStr">
        <is>
          <t>Call Centre Voice Service - Performance Category</t>
        </is>
      </c>
      <c r="E57" s="254" t="inlineStr">
        <is>
          <t>Expected</t>
        </is>
      </c>
      <c r="F57" s="254" t="inlineStr">
        <is>
          <t>Minimum</t>
        </is>
      </c>
      <c r="G57" s="255" t="inlineStr">
        <is>
          <t>Window</t>
        </is>
      </c>
    </row>
    <row r="58" outlineLevel="1" ht="13.2" customHeight="1" s="156">
      <c r="B58" s="162" t="inlineStr">
        <is>
          <t>see remarks below</t>
        </is>
      </c>
      <c r="D58" s="258" t="inlineStr">
        <is>
          <t>Simple software mutation executed within 5 workdays, including spoken sentences</t>
        </is>
      </c>
      <c r="E58" s="208" t="n">
        <v>0.9</v>
      </c>
      <c r="F58" s="208" t="n">
        <v>0.8</v>
      </c>
      <c r="G58" s="208" t="inlineStr">
        <is>
          <t>monthly</t>
        </is>
      </c>
    </row>
    <row r="59" outlineLevel="1" ht="13.2" customHeight="1" s="156">
      <c r="B59" s="162" t="inlineStr">
        <is>
          <t>see remarks below</t>
        </is>
      </c>
      <c r="D59" s="258" t="inlineStr">
        <is>
          <t>complex software mutation executed within 10 workdays</t>
        </is>
      </c>
      <c r="E59" s="208" t="n">
        <v>0.9</v>
      </c>
      <c r="F59" s="208" t="n">
        <v>0.8</v>
      </c>
      <c r="G59" s="208" t="inlineStr">
        <is>
          <t>monthly</t>
        </is>
      </c>
    </row>
    <row r="60" outlineLevel="1" ht="13.2" customHeight="1" s="156">
      <c r="B60" s="162" t="inlineStr">
        <is>
          <t>see remarks below</t>
        </is>
      </c>
      <c r="D60" s="161" t="inlineStr">
        <is>
          <t>Request for emergency change to the CC functionality, testing, approval and  implemented within 2 work days</t>
        </is>
      </c>
      <c r="E60" s="208" t="n">
        <v>0.95</v>
      </c>
      <c r="F60" s="208" t="n">
        <v>0.8</v>
      </c>
      <c r="G60" s="208" t="inlineStr">
        <is>
          <t>monthly</t>
        </is>
      </c>
      <c r="H60" s="161" t="n"/>
      <c r="I60" s="161" t="n"/>
      <c r="J60" s="161" t="n"/>
    </row>
    <row r="61" outlineLevel="1" ht="13.2" customHeight="1" s="156">
      <c r="E61" s="248" t="n"/>
    </row>
    <row r="62" ht="12.75" customHeight="1" s="156">
      <c r="D62" s="249" t="n"/>
      <c r="E62" s="250" t="n"/>
      <c r="F62" s="251" t="n"/>
      <c r="G62" s="252" t="inlineStr">
        <is>
          <t>Measurement</t>
        </is>
      </c>
    </row>
    <row r="63" ht="15.6" customHeight="1" s="156">
      <c r="A63" s="161" t="n"/>
      <c r="D63" s="253" t="inlineStr">
        <is>
          <t>Base Service Desk Service - Performance Category</t>
        </is>
      </c>
      <c r="E63" s="254" t="inlineStr">
        <is>
          <t>Expected</t>
        </is>
      </c>
      <c r="F63" s="254" t="inlineStr">
        <is>
          <t>Minimum</t>
        </is>
      </c>
      <c r="G63" s="255" t="inlineStr">
        <is>
          <t>Window</t>
        </is>
      </c>
    </row>
    <row r="64" outlineLevel="1" ht="13.2" customHeight="1" s="156">
      <c r="B64" s="162" t="n"/>
      <c r="C64" s="162" t="n"/>
      <c r="D64" s="161" t="inlineStr">
        <is>
          <t>CMDB accuracy (of all CI's) based on Service Requestes and agreed Change Control Notes</t>
        </is>
      </c>
      <c r="E64" s="208" t="n">
        <v>0.99</v>
      </c>
      <c r="F64" s="208" t="n">
        <v>0.975</v>
      </c>
      <c r="G64" s="259" t="inlineStr">
        <is>
          <t>Quaterly</t>
        </is>
      </c>
    </row>
    <row r="65" outlineLevel="1" ht="13.2" customHeight="1" s="156">
      <c r="B65" s="162" t="n"/>
      <c r="C65" s="162" t="n"/>
      <c r="D65" s="260" t="inlineStr">
        <is>
          <t>Email / fax / portal: questions &amp; complaint - response time</t>
        </is>
      </c>
      <c r="E65" s="208" t="n">
        <v>0.9</v>
      </c>
      <c r="F65" s="208" t="n">
        <v>0.8</v>
      </c>
      <c r="G65" s="208" t="inlineStr">
        <is>
          <t>monthly</t>
        </is>
      </c>
    </row>
    <row r="66" outlineLevel="1" ht="13.2" customHeight="1" s="156">
      <c r="B66" s="261" t="n"/>
      <c r="C66" s="261" t="n"/>
      <c r="D66" s="262" t="inlineStr">
        <is>
          <t>Question resolution time</t>
        </is>
      </c>
      <c r="E66" s="208" t="n">
        <v>0.9</v>
      </c>
      <c r="F66" s="208" t="n">
        <v>0.8</v>
      </c>
      <c r="G66" s="208" t="inlineStr">
        <is>
          <t>monthly</t>
        </is>
      </c>
    </row>
    <row r="67" outlineLevel="1" ht="13.2" customHeight="1" s="156">
      <c r="B67" s="261" t="n"/>
      <c r="C67" s="261" t="n"/>
      <c r="D67" s="262" t="inlineStr">
        <is>
          <t>Complaint resolution time</t>
        </is>
      </c>
      <c r="E67" s="208" t="n">
        <v>0.9</v>
      </c>
      <c r="F67" s="208" t="n">
        <v>0.8</v>
      </c>
      <c r="G67" s="208" t="inlineStr">
        <is>
          <t>monthly</t>
        </is>
      </c>
    </row>
    <row r="68" outlineLevel="1" ht="13.2" customHeight="1" s="156">
      <c r="B68" s="261" t="n"/>
      <c r="C68" s="261" t="n"/>
      <c r="E68" s="208" t="n"/>
      <c r="F68" s="208" t="n"/>
      <c r="G68" s="208" t="n"/>
    </row>
    <row r="69" outlineLevel="1" ht="13.2" customHeight="1" s="156">
      <c r="D69" s="258" t="n"/>
      <c r="E69" s="208" t="n"/>
      <c r="F69" s="208" t="n"/>
      <c r="G69" s="208" t="n"/>
    </row>
    <row r="70" ht="12.75" customHeight="1" s="156">
      <c r="D70" s="249" t="n"/>
      <c r="E70" s="250" t="n"/>
      <c r="F70" s="251" t="n"/>
      <c r="G70" s="252" t="inlineStr">
        <is>
          <t>Measurement</t>
        </is>
      </c>
    </row>
    <row r="71" ht="15.6" customHeight="1" s="156">
      <c r="A71" s="262" t="n"/>
      <c r="D71" s="253" t="inlineStr">
        <is>
          <t>IMAC Response &amp; Management Service - Performance Category</t>
        </is>
      </c>
      <c r="E71" s="254" t="inlineStr">
        <is>
          <t>Expected</t>
        </is>
      </c>
      <c r="F71" s="254" t="inlineStr">
        <is>
          <t>Minimum</t>
        </is>
      </c>
      <c r="G71" s="255" t="inlineStr">
        <is>
          <t>Window</t>
        </is>
      </c>
    </row>
    <row r="72" outlineLevel="1" ht="13.2" customHeight="1" s="156">
      <c r="A72" s="262" t="n"/>
      <c r="B72" s="162" t="inlineStr">
        <is>
          <t>see remarks below</t>
        </is>
      </c>
      <c r="C72" s="162" t="n"/>
      <c r="D72" s="258" t="inlineStr">
        <is>
          <t>Service requests other then specified handled within 7 workdays</t>
        </is>
      </c>
      <c r="E72" s="208" t="n">
        <v>0.9</v>
      </c>
      <c r="F72" s="208" t="n">
        <v>0.8</v>
      </c>
      <c r="G72" s="207" t="inlineStr">
        <is>
          <t>monthly</t>
        </is>
      </c>
    </row>
    <row r="73" outlineLevel="1" ht="13.2" customHeight="1" s="156">
      <c r="A73" s="262" t="n"/>
      <c r="B73" s="162" t="inlineStr">
        <is>
          <t>see remarks below</t>
        </is>
      </c>
      <c r="C73" s="162" t="n"/>
      <c r="D73" s="258" t="inlineStr">
        <is>
          <t>A move of less then 10 people and less then xx.xx00 Euro will be executed within 10 days</t>
        </is>
      </c>
      <c r="E73" s="208" t="n">
        <v>0.9</v>
      </c>
      <c r="F73" s="208" t="n">
        <v>0.8</v>
      </c>
      <c r="G73" s="207" t="inlineStr">
        <is>
          <t>monthly</t>
        </is>
      </c>
    </row>
    <row r="74" outlineLevel="1" ht="13.2" customHeight="1" s="156">
      <c r="A74" s="262" t="n"/>
      <c r="B74" s="162" t="inlineStr">
        <is>
          <t>see remarks below</t>
        </is>
      </c>
      <c r="C74" s="162" t="n"/>
      <c r="D74" s="258" t="inlineStr">
        <is>
          <t>New workstation will be delivered within 5 workdays</t>
        </is>
      </c>
      <c r="E74" s="208" t="n">
        <v>0.9</v>
      </c>
      <c r="F74" s="208" t="n">
        <v>0.8</v>
      </c>
      <c r="G74" s="207" t="inlineStr">
        <is>
          <t>monthly</t>
        </is>
      </c>
    </row>
    <row r="75" outlineLevel="1" ht="13.2" customHeight="1" s="156">
      <c r="A75" s="262" t="n"/>
      <c r="B75" s="162" t="inlineStr">
        <is>
          <t>see remarks below</t>
        </is>
      </c>
      <c r="C75" s="162" t="n"/>
      <c r="D75" s="258" t="inlineStr">
        <is>
          <t>New workstation will be installed within 1 workday</t>
        </is>
      </c>
      <c r="E75" s="208" t="n">
        <v>0.9</v>
      </c>
      <c r="F75" s="208" t="n">
        <v>0.8</v>
      </c>
      <c r="G75" s="207" t="inlineStr">
        <is>
          <t>monthly</t>
        </is>
      </c>
    </row>
    <row r="76" outlineLevel="1" ht="13.2" customHeight="1" s="156">
      <c r="A76" s="262" t="n"/>
      <c r="B76" s="162" t="inlineStr">
        <is>
          <t>see remarks below</t>
        </is>
      </c>
      <c r="C76" s="162" t="n"/>
      <c r="D76" s="258" t="inlineStr">
        <is>
          <t>New workstation will be delivered within 5 workday</t>
        </is>
      </c>
      <c r="E76" s="208" t="n">
        <v>0.9</v>
      </c>
      <c r="F76" s="208" t="n">
        <v>0.8</v>
      </c>
      <c r="G76" s="207" t="inlineStr">
        <is>
          <t>monthly</t>
        </is>
      </c>
    </row>
    <row r="77" outlineLevel="1" ht="13.2" customHeight="1" s="156">
      <c r="A77" s="262" t="n"/>
      <c r="B77" s="162" t="inlineStr">
        <is>
          <t>see remarks below</t>
        </is>
      </c>
      <c r="C77" s="162" t="n"/>
      <c r="D77" s="258" t="inlineStr">
        <is>
          <t>New workplace (workstation, screen, mouse, etc.) will be delivered within 8 weeks</t>
        </is>
      </c>
      <c r="E77" s="208" t="n">
        <v>0.9</v>
      </c>
      <c r="F77" s="208" t="n">
        <v>0.8</v>
      </c>
      <c r="G77" s="207" t="inlineStr">
        <is>
          <t>monthly</t>
        </is>
      </c>
    </row>
    <row r="78" outlineLevel="1" ht="13.2" customHeight="1" s="156">
      <c r="A78" s="262" t="n"/>
      <c r="B78" s="162" t="inlineStr">
        <is>
          <t>see remarks below</t>
        </is>
      </c>
      <c r="C78" s="162" t="n"/>
      <c r="D78" s="258" t="inlineStr">
        <is>
          <t>Additional certified softtware installed within 5 workdays</t>
        </is>
      </c>
      <c r="E78" s="208" t="n">
        <v>0.9</v>
      </c>
      <c r="F78" s="208" t="n">
        <v>0.8</v>
      </c>
      <c r="G78" s="207" t="inlineStr">
        <is>
          <t>monthly</t>
        </is>
      </c>
    </row>
    <row r="79" outlineLevel="1" ht="13.2" customHeight="1" s="156">
      <c r="A79" s="262" t="n"/>
      <c r="B79" s="162" t="inlineStr">
        <is>
          <t>see remarks below</t>
        </is>
      </c>
      <c r="C79" s="162" t="n"/>
      <c r="D79" s="258" t="inlineStr">
        <is>
          <t>New laptops including accesoires and applicaitons will be deliverd within 10 workdays (98% within 10 workdays, 100% within 4 weeks)</t>
        </is>
      </c>
      <c r="E79" s="208" t="n">
        <v>0.9</v>
      </c>
      <c r="F79" s="208" t="n">
        <v>0.8</v>
      </c>
      <c r="G79" s="207" t="inlineStr">
        <is>
          <t>monthly</t>
        </is>
      </c>
    </row>
    <row r="80" outlineLevel="1" ht="13.2" customHeight="1" s="156">
      <c r="A80" s="262" t="n"/>
      <c r="B80" s="162" t="inlineStr">
        <is>
          <t>see remarks below</t>
        </is>
      </c>
      <c r="C80" s="162" t="n"/>
      <c r="D80" s="258" t="inlineStr">
        <is>
          <t>Retrieval of laptop including accesoires will be executed within 3 workdays</t>
        </is>
      </c>
      <c r="E80" s="208" t="n">
        <v>0.9</v>
      </c>
      <c r="F80" s="208" t="n">
        <v>0.8</v>
      </c>
      <c r="G80" s="207" t="inlineStr">
        <is>
          <t>monthly</t>
        </is>
      </c>
    </row>
    <row r="81" outlineLevel="1" ht="13.2" customHeight="1" s="156">
      <c r="A81" s="262" t="n"/>
      <c r="B81" s="162" t="inlineStr">
        <is>
          <t>see remarks below</t>
        </is>
      </c>
      <c r="C81" s="162" t="n"/>
      <c r="D81" s="258" t="inlineStr">
        <is>
          <t>Installation of monitor, graphical card within 1 workday</t>
        </is>
      </c>
      <c r="E81" s="208" t="n">
        <v>0.9</v>
      </c>
      <c r="F81" s="208" t="n">
        <v>0.8</v>
      </c>
      <c r="G81" s="207" t="inlineStr">
        <is>
          <t>monthly</t>
        </is>
      </c>
    </row>
    <row r="82" outlineLevel="1" ht="13.2" customHeight="1" s="156">
      <c r="A82" s="262" t="n"/>
      <c r="B82" s="162" t="inlineStr">
        <is>
          <t>see remarks below</t>
        </is>
      </c>
      <c r="C82" s="162" t="n"/>
      <c r="D82" s="258" t="inlineStr">
        <is>
          <t>Installation of UTP, Fibre optic component, other service elements within 1 workday</t>
        </is>
      </c>
      <c r="E82" s="208" t="n">
        <v>0.9</v>
      </c>
      <c r="F82" s="208" t="n">
        <v>0.8</v>
      </c>
      <c r="G82" s="207" t="inlineStr">
        <is>
          <t>monthly</t>
        </is>
      </c>
    </row>
    <row r="83" outlineLevel="1" ht="13.2" customHeight="1" s="156">
      <c r="A83" s="262" t="n"/>
      <c r="B83" s="162" t="inlineStr">
        <is>
          <t>see remarks below</t>
        </is>
      </c>
      <c r="C83" s="162" t="n"/>
      <c r="D83" s="258" t="inlineStr">
        <is>
          <t>Relocation of workstations within allowed timeframes (1-&gt;1day, 2-5-&gt;1week,)</t>
        </is>
      </c>
      <c r="E83" s="208" t="n">
        <v>0.9</v>
      </c>
      <c r="F83" s="208" t="n">
        <v>0.8</v>
      </c>
      <c r="G83" s="207" t="inlineStr">
        <is>
          <t>monthly</t>
        </is>
      </c>
    </row>
    <row r="84" outlineLevel="1" ht="13.2" customHeight="1" s="156">
      <c r="A84" s="262" t="n"/>
      <c r="B84" s="162" t="inlineStr">
        <is>
          <t>see remarks below</t>
        </is>
      </c>
      <c r="C84" s="162" t="n"/>
      <c r="D84" s="258" t="inlineStr">
        <is>
          <t>Relocation of workstations within allowed timeframes (99,9 % w&gt;5-&gt;3weeks)</t>
        </is>
      </c>
      <c r="E84" s="208" t="n">
        <v>0.9</v>
      </c>
      <c r="F84" s="208" t="n">
        <v>0.8</v>
      </c>
      <c r="G84" s="207" t="inlineStr">
        <is>
          <t>monthly</t>
        </is>
      </c>
    </row>
    <row r="85" outlineLevel="1" ht="13.2" customHeight="1" s="156">
      <c r="A85" s="262" t="n"/>
      <c r="B85" s="162" t="inlineStr">
        <is>
          <t>see remarks below</t>
        </is>
      </c>
      <c r="C85" s="162" t="n"/>
      <c r="D85" s="258" t="inlineStr">
        <is>
          <t>Establish physical network connection within 1 hour</t>
        </is>
      </c>
      <c r="E85" s="208" t="n">
        <v>0.9</v>
      </c>
      <c r="F85" s="208" t="n">
        <v>0.8</v>
      </c>
      <c r="G85" s="207" t="inlineStr">
        <is>
          <t>monthly</t>
        </is>
      </c>
    </row>
    <row r="86" outlineLevel="1" ht="13.2" customHeight="1" s="156">
      <c r="A86" s="262" t="n"/>
      <c r="B86" s="162" t="inlineStr">
        <is>
          <t>see remarks below</t>
        </is>
      </c>
      <c r="C86" s="162" t="n"/>
      <c r="D86" s="258" t="inlineStr">
        <is>
          <t>Scanners, disks &amp; USB devices delivered within 1 workday</t>
        </is>
      </c>
      <c r="E86" s="208" t="n">
        <v>0.9</v>
      </c>
      <c r="F86" s="208" t="n">
        <v>0.8</v>
      </c>
      <c r="G86" s="207" t="inlineStr">
        <is>
          <t>monthly</t>
        </is>
      </c>
    </row>
    <row r="87" outlineLevel="1" ht="13.2" customHeight="1" s="156">
      <c r="A87" s="262" t="n"/>
      <c r="B87" s="162" t="n"/>
      <c r="C87" s="162" t="n"/>
      <c r="D87" s="258" t="inlineStr">
        <is>
          <t>IMAC Changes will not result into incidents</t>
        </is>
      </c>
      <c r="E87" s="208" t="n">
        <v>0.9</v>
      </c>
      <c r="F87" s="208" t="n">
        <v>0.8</v>
      </c>
      <c r="G87" s="207" t="inlineStr">
        <is>
          <t>monthly</t>
        </is>
      </c>
    </row>
    <row r="88" outlineLevel="1" ht="13.2" customHeight="1" s="156">
      <c r="A88" s="262" t="n"/>
      <c r="B88" s="162" t="inlineStr">
        <is>
          <t>see remarks below</t>
        </is>
      </c>
      <c r="C88" s="162" t="n"/>
      <c r="D88" s="258" t="inlineStr">
        <is>
          <t>Relocation of workstations within allowed timeframes (1-5-&gt;1week, &gt;5-&gt;3week</t>
        </is>
      </c>
      <c r="E88" s="208" t="n">
        <v>0.9</v>
      </c>
      <c r="F88" s="208" t="n">
        <v>0.8</v>
      </c>
      <c r="G88" s="207" t="inlineStr">
        <is>
          <t>monthly</t>
        </is>
      </c>
    </row>
    <row r="89" outlineLevel="1" ht="13.2" customHeight="1" s="156">
      <c r="A89" s="262" t="n"/>
      <c r="B89" s="162" t="n"/>
      <c r="C89" s="162" t="n"/>
      <c r="D89" s="258" t="inlineStr">
        <is>
          <t>CMDB will be updated after IMACs within 8 hours</t>
        </is>
      </c>
      <c r="E89" s="208" t="n">
        <v>0.9</v>
      </c>
      <c r="F89" s="208" t="n">
        <v>0.8</v>
      </c>
      <c r="G89" s="207" t="inlineStr">
        <is>
          <t>monthly</t>
        </is>
      </c>
    </row>
    <row r="90" outlineLevel="1" ht="13.2" customHeight="1" s="156">
      <c r="A90" s="262" t="n"/>
      <c r="B90" s="162" t="inlineStr">
        <is>
          <t>see remarks below</t>
        </is>
      </c>
      <c r="C90" s="162" t="n"/>
      <c r="D90" s="258" t="inlineStr">
        <is>
          <t>(Service request Phones)New,  (Re)move phones, changes (&lt;5 within 10 workdays, 5-25 within 15 workdays, &gt;25 within 20 workdays)</t>
        </is>
      </c>
      <c r="E90" s="208" t="n">
        <v>0.9</v>
      </c>
      <c r="F90" s="208" t="n">
        <v>0.8</v>
      </c>
      <c r="G90" s="207" t="inlineStr">
        <is>
          <t>monthly</t>
        </is>
      </c>
    </row>
    <row r="91" outlineLevel="1" ht="13.2" customHeight="1" s="156">
      <c r="A91" s="262" t="n"/>
      <c r="B91" s="162" t="inlineStr">
        <is>
          <t>see remarks below</t>
        </is>
      </c>
      <c r="C91" s="162" t="n"/>
      <c r="D91" s="258" t="inlineStr">
        <is>
          <t>New or changed mobile hardware delivered within given timeframes (1 day with pickup or 6 days with delivery)</t>
        </is>
      </c>
      <c r="E91" s="208" t="n">
        <v>0.9</v>
      </c>
      <c r="F91" s="208" t="n">
        <v>0.8</v>
      </c>
      <c r="G91" s="207" t="inlineStr">
        <is>
          <t>monthly</t>
        </is>
      </c>
    </row>
    <row r="92" outlineLevel="1" ht="13.2" customHeight="1" s="156">
      <c r="A92" s="262" t="n"/>
      <c r="B92" s="162" t="n"/>
      <c r="C92" s="162" t="n"/>
      <c r="D92" s="258" t="inlineStr">
        <is>
          <t>Accuracy of IMAC completion in comparison to agreed request</t>
        </is>
      </c>
      <c r="E92" s="208" t="n">
        <v>0.9</v>
      </c>
      <c r="F92" s="208" t="n">
        <v>0.8</v>
      </c>
      <c r="G92" s="207" t="inlineStr">
        <is>
          <t>monthly</t>
        </is>
      </c>
    </row>
    <row r="93" outlineLevel="1" ht="26.4" customHeight="1" s="156">
      <c r="A93" s="262" t="n"/>
      <c r="B93" s="162" t="inlineStr">
        <is>
          <t>see remarks below</t>
        </is>
      </c>
      <c r="C93" s="162" t="n"/>
      <c r="D93" s="161" t="inlineStr">
        <is>
          <t>Duration from time the web portal initial service request is sent and the SD acknowledges to have all required information and request is put into the workflow</t>
        </is>
      </c>
      <c r="E93" s="208" t="n">
        <v>0.9</v>
      </c>
      <c r="F93" s="208" t="n">
        <v>0.8</v>
      </c>
      <c r="G93" s="207" t="inlineStr">
        <is>
          <t>monthly</t>
        </is>
      </c>
      <c r="H93" s="161" t="n"/>
      <c r="I93" s="161" t="n"/>
      <c r="J93" s="161" t="n"/>
    </row>
    <row r="94" outlineLevel="1" ht="13.2" customHeight="1" s="156">
      <c r="A94" s="262" t="n"/>
      <c r="B94" s="162" t="n"/>
      <c r="C94" s="162" t="n"/>
      <c r="D94" s="161" t="inlineStr">
        <is>
          <t>Execution of IMAC (for all levels of users ) on agreed date/time with end user</t>
        </is>
      </c>
      <c r="E94" s="208" t="n">
        <v>0.9</v>
      </c>
      <c r="F94" s="208" t="n">
        <v>0.8</v>
      </c>
      <c r="G94" s="207" t="inlineStr">
        <is>
          <t>monthly</t>
        </is>
      </c>
      <c r="H94" s="161" t="n"/>
      <c r="I94" s="161" t="n"/>
      <c r="J94" s="161" t="n"/>
    </row>
    <row r="95" outlineLevel="1" ht="13.2" customHeight="1" s="156">
      <c r="B95" s="162" t="inlineStr">
        <is>
          <t>see remarks below</t>
        </is>
      </c>
      <c r="C95" s="162" t="n"/>
      <c r="D95" s="161" t="inlineStr">
        <is>
          <t>RSA account maintenance Move Add and Change is performed within 2 working days</t>
        </is>
      </c>
      <c r="E95" s="208" t="n">
        <v>0.9</v>
      </c>
      <c r="F95" s="208" t="n">
        <v>0.8</v>
      </c>
      <c r="G95" s="207" t="inlineStr">
        <is>
          <t>yearly</t>
        </is>
      </c>
    </row>
    <row r="96" outlineLevel="1" ht="13.2" customHeight="1" s="156">
      <c r="B96" s="162" t="inlineStr">
        <is>
          <t>see remarks below</t>
        </is>
      </c>
      <c r="C96" s="162" t="n"/>
      <c r="D96" s="161" t="inlineStr">
        <is>
          <t>Regional GPO change Move Add and Change is performed within  2 weeks after approval</t>
        </is>
      </c>
      <c r="E96" s="208" t="inlineStr">
        <is>
          <t>xx.xx%</t>
        </is>
      </c>
      <c r="F96" s="208" t="inlineStr">
        <is>
          <t>xx.xx%</t>
        </is>
      </c>
      <c r="G96" s="208" t="inlineStr">
        <is>
          <t>monthly</t>
        </is>
      </c>
    </row>
    <row r="97" outlineLevel="1" ht="13.2" customHeight="1" s="156">
      <c r="B97" s="162" t="inlineStr">
        <is>
          <t>see remarks below</t>
        </is>
      </c>
      <c r="C97" s="162" t="n"/>
      <c r="D97" s="161" t="inlineStr">
        <is>
          <t>OU maintenance Move Add and Change is performed within 2 weeks after approval</t>
        </is>
      </c>
      <c r="E97" s="208" t="inlineStr">
        <is>
          <t>xx.xx%</t>
        </is>
      </c>
      <c r="F97" s="208" t="inlineStr">
        <is>
          <t>xx.xx%</t>
        </is>
      </c>
      <c r="G97" s="208" t="inlineStr">
        <is>
          <t>yearly</t>
        </is>
      </c>
    </row>
    <row r="98" outlineLevel="1" ht="118.8" customHeight="1" s="156">
      <c r="A98" s="158" t="n"/>
      <c r="D98" s="260" t="inlineStr">
        <is>
          <t xml:space="preserve">Prevention of unauthorized use of EuroBank systems (No. of unauthorized accesses)
Compliance is define in Exhibit 17 and attachments.
Percentage of audits performed as a result of an unauthorised access and resulting initiatives identified 
Providing all the bundle suppliers have maintained there services in accordance within the industry best practices and the original equipment manufacturers security maintenance guidelines then responsibilities for access control will rest with the bundle suppliers responsible for access control. Providing access control is cared out in accordance with an agreed procedure (that meets the EuroBank security policies), then a unauthorised application (under PST responsibility)  access attempted from outside the EuroBank organisation will be treated as a level 1 incident and the same SLA will apply.
If PST Suppliers are not fully compliant. PST Suppliers will have the responsability of the unauthorized access. </t>
        </is>
      </c>
      <c r="E98" s="208" t="n">
        <v>0.95</v>
      </c>
      <c r="F98" s="208" t="n">
        <v>0.9</v>
      </c>
      <c r="G98" s="162" t="n">
        <v>9</v>
      </c>
      <c r="H98" s="208" t="n"/>
      <c r="I98" s="208" t="n"/>
      <c r="J98" s="209" t="n"/>
      <c r="K98" s="208" t="n"/>
    </row>
    <row r="99" outlineLevel="1" ht="13.2" customHeight="1" s="156">
      <c r="A99" s="158" t="n"/>
      <c r="D99" s="260" t="n"/>
      <c r="E99" s="208" t="n"/>
      <c r="F99" s="208" t="n"/>
      <c r="G99" s="162" t="n"/>
      <c r="H99" s="208" t="n"/>
      <c r="I99" s="208" t="n"/>
      <c r="J99" s="209" t="n"/>
      <c r="K99" s="208" t="n"/>
    </row>
    <row r="100" outlineLevel="1" ht="13.2" customHeight="1" s="156">
      <c r="D100" s="258" t="n"/>
      <c r="E100" s="208" t="n"/>
      <c r="F100" s="208" t="n"/>
      <c r="G100" s="208" t="n"/>
    </row>
    <row r="101" ht="12.75" customHeight="1" s="156">
      <c r="D101" s="249" t="n"/>
      <c r="E101" s="250" t="n"/>
      <c r="F101" s="251" t="n"/>
      <c r="G101" s="252" t="inlineStr">
        <is>
          <t>Measurement</t>
        </is>
      </c>
    </row>
    <row r="102" ht="15.6" customHeight="1" s="156">
      <c r="A102" s="262" t="n"/>
      <c r="D102" s="253" t="inlineStr">
        <is>
          <t>Incident Response &amp; Management Service - Performance Category</t>
        </is>
      </c>
      <c r="E102" s="254" t="inlineStr">
        <is>
          <t>Expected</t>
        </is>
      </c>
      <c r="F102" s="254" t="inlineStr">
        <is>
          <t>Minimum</t>
        </is>
      </c>
      <c r="G102" s="255" t="inlineStr">
        <is>
          <t>Window</t>
        </is>
      </c>
    </row>
    <row r="103" outlineLevel="1" ht="13.2" customHeight="1" s="156">
      <c r="A103" s="262" t="n"/>
      <c r="B103" s="162" t="n"/>
      <c r="C103" s="162" t="n"/>
      <c r="D103" s="206" t="inlineStr">
        <is>
          <t>UIS - Incident priority 2 response time &lt; 2 hours</t>
        </is>
      </c>
      <c r="E103" s="208" t="n">
        <v>0.9</v>
      </c>
      <c r="F103" s="208" t="n">
        <v>0.75</v>
      </c>
      <c r="G103" s="208" t="inlineStr">
        <is>
          <t>monthly</t>
        </is>
      </c>
    </row>
    <row r="104" outlineLevel="1" ht="13.2" customHeight="1" s="156">
      <c r="A104" s="262" t="n"/>
      <c r="B104" s="162" t="n"/>
      <c r="C104" s="162" t="n"/>
      <c r="D104" s="206" t="inlineStr">
        <is>
          <t>UIS - Incident priority 3 response time &lt; 8 hours</t>
        </is>
      </c>
      <c r="E104" s="208" t="n">
        <v>0.9</v>
      </c>
      <c r="F104" s="208" t="n">
        <v>0.75</v>
      </c>
      <c r="G104" s="208" t="inlineStr">
        <is>
          <t>monthly</t>
        </is>
      </c>
    </row>
    <row r="105" outlineLevel="1" ht="13.2" customHeight="1" s="156">
      <c r="A105" s="262" t="n"/>
      <c r="B105" s="162" t="n"/>
      <c r="C105" s="162" t="n"/>
      <c r="D105" s="206" t="inlineStr">
        <is>
          <t>UIS - Incident priority 4 response time &lt; 24 hours</t>
        </is>
      </c>
      <c r="E105" s="208" t="n">
        <v>0.9</v>
      </c>
      <c r="F105" s="208" t="n">
        <v>0.75</v>
      </c>
      <c r="G105" s="208" t="inlineStr">
        <is>
          <t>monthly</t>
        </is>
      </c>
    </row>
    <row r="106" outlineLevel="1" ht="13.2" customHeight="1" s="156">
      <c r="A106" s="262" t="n"/>
      <c r="B106" s="162" t="n"/>
      <c r="C106" s="162" t="n"/>
      <c r="D106" s="206" t="inlineStr">
        <is>
          <t>SM &amp; EUC (-UIS) - Incident priority 2 response time &lt; 2 hours</t>
        </is>
      </c>
      <c r="E106" s="208" t="n">
        <v>0.9</v>
      </c>
      <c r="F106" s="208" t="n">
        <v>0.8</v>
      </c>
      <c r="G106" s="208" t="inlineStr">
        <is>
          <t>monthly</t>
        </is>
      </c>
    </row>
    <row r="107" outlineLevel="1" ht="13.2" customHeight="1" s="156">
      <c r="A107" s="262" t="n"/>
      <c r="B107" s="162" t="n"/>
      <c r="C107" s="162" t="n"/>
      <c r="D107" s="206" t="inlineStr">
        <is>
          <t>SM &amp; EUC (-UIS) - Incident priority 3 response time &lt; 8 hours</t>
        </is>
      </c>
      <c r="E107" s="208" t="n">
        <v>0.9</v>
      </c>
      <c r="F107" s="208" t="n">
        <v>0.8</v>
      </c>
      <c r="G107" s="208" t="inlineStr">
        <is>
          <t>monthly</t>
        </is>
      </c>
    </row>
    <row r="108" outlineLevel="1" ht="13.2" customHeight="1" s="156">
      <c r="A108" s="262" t="n"/>
      <c r="B108" s="162" t="n"/>
      <c r="C108" s="162" t="n"/>
      <c r="D108" s="206" t="inlineStr">
        <is>
          <t>SM &amp; EUC (-UIS) - Incident priority 4 response time &lt; 24 hours</t>
        </is>
      </c>
      <c r="E108" s="208" t="n">
        <v>0.9</v>
      </c>
      <c r="F108" s="208" t="n">
        <v>0.8</v>
      </c>
      <c r="G108" s="208" t="inlineStr">
        <is>
          <t>monthly</t>
        </is>
      </c>
    </row>
    <row r="109" outlineLevel="1" ht="13.2" customHeight="1" s="156">
      <c r="A109" s="262" t="n"/>
      <c r="B109" s="162" t="n"/>
      <c r="C109" s="162" t="n"/>
      <c r="D109" s="206" t="inlineStr">
        <is>
          <t>LAN - LAN Incidents</t>
        </is>
      </c>
      <c r="E109" s="208" t="n">
        <v>0.9</v>
      </c>
      <c r="F109" s="208" t="n">
        <v>0.8</v>
      </c>
      <c r="G109" s="208" t="inlineStr">
        <is>
          <t>monthly</t>
        </is>
      </c>
    </row>
    <row r="110" outlineLevel="1" ht="13.2" customHeight="1" s="156">
      <c r="A110" s="262" t="n"/>
      <c r="B110" s="162" t="n"/>
      <c r="C110" s="162" t="n"/>
      <c r="D110" s="206" t="inlineStr">
        <is>
          <t>Voice - Voice Incidents</t>
        </is>
      </c>
      <c r="E110" s="208" t="n">
        <v>0.9</v>
      </c>
      <c r="F110" s="208" t="n">
        <v>0.8</v>
      </c>
      <c r="G110" s="208" t="inlineStr">
        <is>
          <t>monthly</t>
        </is>
      </c>
    </row>
    <row r="111" outlineLevel="1" ht="13.2" customHeight="1" s="156">
      <c r="B111" s="162" t="n"/>
      <c r="C111" s="162" t="n"/>
      <c r="D111" s="258" t="inlineStr">
        <is>
          <t>All incidents closed with correct CMDB reference</t>
        </is>
      </c>
      <c r="E111" s="208" t="n">
        <v>0.9</v>
      </c>
      <c r="F111" s="208" t="n">
        <v>0.8</v>
      </c>
      <c r="G111" s="259" t="inlineStr">
        <is>
          <t>monthly</t>
        </is>
      </c>
    </row>
    <row r="112" outlineLevel="1" ht="13.2" customHeight="1" s="156">
      <c r="B112" s="162" t="n"/>
      <c r="C112" s="162" t="n"/>
      <c r="D112" s="258" t="inlineStr">
        <is>
          <t>Replacemetn of defective workstation, graphical card, monitor within 1 hour</t>
        </is>
      </c>
      <c r="E112" s="208" t="n">
        <v>0.9</v>
      </c>
      <c r="F112" s="208" t="n">
        <v>0.8</v>
      </c>
      <c r="G112" s="259" t="inlineStr">
        <is>
          <t>monthly</t>
        </is>
      </c>
    </row>
    <row r="113" outlineLevel="1" ht="13.2" customHeight="1" s="156">
      <c r="B113" s="162" t="n"/>
      <c r="C113" s="162" t="n"/>
      <c r="D113" s="258" t="inlineStr">
        <is>
          <t>Replacement of defective mouse, keyboard within 1 hour</t>
        </is>
      </c>
      <c r="E113" s="208" t="n">
        <v>0.9</v>
      </c>
      <c r="F113" s="208" t="n">
        <v>0.8</v>
      </c>
      <c r="G113" s="259" t="inlineStr">
        <is>
          <t>monthly</t>
        </is>
      </c>
    </row>
    <row r="114" outlineLevel="1" ht="13.2" customHeight="1" s="156">
      <c r="B114" s="162" t="n"/>
      <c r="C114" s="162" t="n"/>
      <c r="D114" s="258" t="inlineStr">
        <is>
          <t>replacement of UTP or Fibre optic component within 1 hour</t>
        </is>
      </c>
      <c r="E114" s="208" t="n">
        <v>0.9</v>
      </c>
      <c r="F114" s="208" t="n">
        <v>0.8</v>
      </c>
      <c r="G114" s="259" t="inlineStr">
        <is>
          <t>monthly</t>
        </is>
      </c>
    </row>
    <row r="115" outlineLevel="1" ht="13.2" customHeight="1" s="156">
      <c r="B115" s="162" t="n"/>
      <c r="C115" s="162" t="n"/>
      <c r="D115" s="258" t="inlineStr">
        <is>
          <t>Replace defective printer within 1 workday</t>
        </is>
      </c>
      <c r="E115" s="208" t="n">
        <v>0.9</v>
      </c>
      <c r="F115" s="208" t="n">
        <v>0.8</v>
      </c>
      <c r="G115" s="259" t="inlineStr">
        <is>
          <t>monthly</t>
        </is>
      </c>
    </row>
    <row r="116" outlineLevel="1" ht="13.2" customHeight="1" s="156">
      <c r="B116" s="162" t="n"/>
      <c r="C116" s="162" t="n"/>
      <c r="D116" s="263" t="inlineStr">
        <is>
          <t>Single touch resolution for on-site issues</t>
        </is>
      </c>
      <c r="E116" s="208" t="n">
        <v>0.9</v>
      </c>
      <c r="F116" s="208" t="n">
        <v>0.8</v>
      </c>
      <c r="G116" s="259" t="inlineStr">
        <is>
          <t>monthly</t>
        </is>
      </c>
      <c r="H116" s="161" t="n"/>
      <c r="I116" s="161" t="n"/>
      <c r="J116" s="161" t="n"/>
    </row>
    <row r="117" outlineLevel="1" ht="13.2" customHeight="1" s="156">
      <c r="B117" s="162" t="n"/>
      <c r="C117" s="162" t="n"/>
      <c r="D117" s="264" t="inlineStr">
        <is>
          <t>Isolate, Remove and Disinfect Virus from Writable Devices within 4 hrs</t>
        </is>
      </c>
      <c r="E117" s="208" t="n">
        <v>0.9</v>
      </c>
      <c r="F117" s="208" t="n">
        <v>0.8</v>
      </c>
      <c r="G117" s="259" t="inlineStr">
        <is>
          <t>monthly</t>
        </is>
      </c>
      <c r="H117" s="161" t="n"/>
      <c r="I117" s="161" t="n"/>
      <c r="J117" s="161" t="n"/>
    </row>
    <row r="118" outlineLevel="1" ht="13.2" customHeight="1" s="156">
      <c r="B118" s="162" t="n"/>
      <c r="C118" s="162" t="n"/>
      <c r="D118" s="258" t="n"/>
      <c r="E118" s="208" t="n"/>
      <c r="F118" s="208" t="n"/>
      <c r="G118" s="208" t="n"/>
    </row>
    <row r="119" ht="12.75" customHeight="1" s="156">
      <c r="D119" s="249" t="n"/>
      <c r="E119" s="250" t="n"/>
      <c r="F119" s="251" t="n"/>
      <c r="G119" s="252" t="inlineStr">
        <is>
          <t>Measurement</t>
        </is>
      </c>
    </row>
    <row r="120" ht="15.6" customHeight="1" s="156">
      <c r="D120" s="253" t="inlineStr">
        <is>
          <t>Integrator Service - Performance Category</t>
        </is>
      </c>
      <c r="E120" s="254" t="inlineStr">
        <is>
          <t>Expected</t>
        </is>
      </c>
      <c r="F120" s="254" t="inlineStr">
        <is>
          <t>Minimum</t>
        </is>
      </c>
      <c r="G120" s="255" t="inlineStr">
        <is>
          <t>Window</t>
        </is>
      </c>
    </row>
    <row r="121" outlineLevel="1" ht="26.4" customHeight="1" s="156">
      <c r="B121" s="261" t="n"/>
      <c r="C121" s="261" t="n"/>
      <c r="D121" s="265" t="inlineStr">
        <is>
          <t>Root cause analysis for piority 1 Incidents result deliverd in 5 workdays, including porposed timelines to solve the Problem (deviation in timelines only in mutual agreement)</t>
        </is>
      </c>
      <c r="E121" s="208" t="n">
        <v>0.9</v>
      </c>
      <c r="F121" s="208" t="n">
        <v>0.8</v>
      </c>
      <c r="G121" s="259" t="inlineStr">
        <is>
          <t>monthly</t>
        </is>
      </c>
    </row>
    <row r="122" outlineLevel="1" ht="13.2" customHeight="1" s="156">
      <c r="B122" s="261" t="n"/>
      <c r="C122" s="261" t="n"/>
      <c r="D122" s="258" t="inlineStr">
        <is>
          <t>Response on Change Controle Note to EuroBank within upfront agreed timelines</t>
        </is>
      </c>
      <c r="E122" s="208" t="n">
        <v>0.9</v>
      </c>
      <c r="F122" s="208" t="n">
        <v>0.8</v>
      </c>
      <c r="G122" s="259" t="inlineStr">
        <is>
          <t>Smesterly</t>
        </is>
      </c>
    </row>
    <row r="123" outlineLevel="1" ht="13.2" customHeight="1" s="156">
      <c r="B123" s="162" t="n"/>
      <c r="C123" s="162" t="n"/>
      <c r="D123" s="161" t="inlineStr">
        <is>
          <t>planning to solve security audit defects within mutual agreement timelines</t>
        </is>
      </c>
      <c r="E123" s="208" t="n">
        <v>0.9</v>
      </c>
      <c r="F123" s="208" t="n">
        <v>0.8</v>
      </c>
      <c r="G123" s="259" t="inlineStr">
        <is>
          <t>Smesterly</t>
        </is>
      </c>
    </row>
    <row r="124" ht="13.2" customHeight="1" s="156">
      <c r="B124" s="162" t="n"/>
      <c r="C124" s="162" t="n"/>
      <c r="D124" s="161" t="n"/>
      <c r="E124" s="208" t="n"/>
      <c r="F124" s="208" t="n"/>
      <c r="G124" s="208" t="n"/>
    </row>
    <row r="125" ht="13.2" customHeight="1" s="156">
      <c r="B125" s="162" t="n"/>
      <c r="C125" s="162" t="n"/>
      <c r="D125" s="161" t="n"/>
      <c r="E125" s="208" t="n"/>
      <c r="F125" s="208" t="n"/>
      <c r="G125" s="208" t="n"/>
    </row>
    <row r="126" ht="13.2" customHeight="1" s="156">
      <c r="B126" s="162" t="n"/>
      <c r="C126" s="162" t="n"/>
      <c r="D126" s="206" t="inlineStr">
        <is>
          <t>Remarks:</t>
        </is>
      </c>
      <c r="E126" s="208" t="n"/>
      <c r="F126" s="208" t="n"/>
      <c r="G126" s="208" t="n"/>
    </row>
    <row r="127" ht="26.4" customHeight="1" s="156">
      <c r="B127" s="162" t="n"/>
      <c r="C127" s="162" t="n"/>
      <c r="D127" s="161" t="inlineStr">
        <is>
          <t>Proposed and agreed categories of key measurements of service requests will be translated into an optimized set of standard categories</t>
        </is>
      </c>
      <c r="E127" s="208" t="n"/>
      <c r="F127" s="208" t="n"/>
      <c r="G127" s="208" t="n"/>
    </row>
    <row r="128" ht="13.2" customHeight="1" s="156">
      <c r="B128" s="162" t="n"/>
      <c r="C128" s="162" t="n"/>
      <c r="D128" s="161" t="n"/>
      <c r="E128" s="208" t="n"/>
      <c r="F128" s="208" t="n"/>
      <c r="G128" s="208" t="n"/>
    </row>
    <row r="129" ht="13.2" customHeight="1" s="156">
      <c r="B129" s="162" t="n"/>
      <c r="C129" s="162" t="n"/>
      <c r="D129" s="161" t="n"/>
      <c r="E129" s="208" t="n"/>
      <c r="F129" s="208" t="n"/>
      <c r="G129" s="208" t="n"/>
    </row>
    <row r="130" ht="13.2" customHeight="1" s="156">
      <c r="B130" s="162" t="n"/>
      <c r="C130" s="162" t="n"/>
      <c r="E130" s="208" t="n"/>
      <c r="F130" s="208" t="n"/>
      <c r="G130" s="208" t="n"/>
    </row>
    <row r="131" ht="13.2" customHeight="1" s="156">
      <c r="B131" s="162" t="n"/>
      <c r="C131" s="162" t="n"/>
      <c r="D131" s="258" t="n"/>
      <c r="E131" s="208" t="n"/>
      <c r="F131" s="208" t="n"/>
      <c r="G131" s="208" t="n"/>
    </row>
    <row r="132" ht="13.2" customHeight="1" s="156">
      <c r="B132" s="162" t="n"/>
      <c r="C132" s="162" t="n"/>
      <c r="D132" s="258" t="n"/>
      <c r="E132" s="208" t="n"/>
      <c r="F132" s="208" t="n"/>
      <c r="G132" s="208" t="n"/>
    </row>
  </sheetData>
  <conditionalFormatting sqref="K98:K99">
    <cfRule type="expression" rank="0" priority="2" equalAverage="0" aboveAverage="0" dxfId="0" text="" percent="0" bottom="0">
      <formula>ISERROR(K98)</formula>
    </cfRule>
  </conditionalFormatting>
  <printOptions horizontalCentered="0" verticalCentered="0" headings="0" gridLines="0" gridLinesSet="1"/>
  <pageMargins left="0.196527777777778" right="0.196527777777778" top="0.747916666666667" bottom="0.551388888888889" header="0.39375" footer="0.511805555555556"/>
  <pageSetup orientation="landscape" paperSize="9" scale="91"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3-A:  &amp;A  &amp;P&amp;R&amp;"Times New Roman,Regular"&amp;8 30/11/06</oddFooter>
    <evenHeader/>
    <evenFooter/>
    <firstHeader/>
    <firstFooter/>
  </headerFooter>
  <rowBreaks count="3" manualBreakCount="3">
    <brk id="28" min="0" max="16383" man="1"/>
    <brk id="68" min="0" max="16383" man="1"/>
    <brk id="99" min="0" max="16383" man="1"/>
  </rowBreaks>
</worksheet>
</file>

<file path=xl/worksheets/sheet5.xml><?xml version="1.0" encoding="utf-8"?>
<worksheet xmlns="http://schemas.openxmlformats.org/spreadsheetml/2006/main">
  <sheetPr filterMode="0">
    <outlinePr summaryBelow="1" summaryRight="1"/>
    <pageSetUpPr fitToPage="1"/>
  </sheetPr>
  <dimension ref="A1:H32"/>
  <sheetViews>
    <sheetView showFormulas="0" showGridLines="1" showRowColHeaders="1" showZeros="1" rightToLeft="0" tabSelected="0" showOutlineSymbols="1" defaultGridColor="1" view="pageBreakPreview" topLeftCell="A1" colorId="64" zoomScale="80" zoomScaleNormal="85" zoomScalePageLayoutView="80" workbookViewId="0">
      <selection pane="topLeft" activeCell="E11" activeCellId="0" sqref="E11"/>
    </sheetView>
  </sheetViews>
  <sheetFormatPr baseColWidth="8" defaultColWidth="9.1015625" defaultRowHeight="13.2" customHeight="1" zeroHeight="0" outlineLevelRow="0"/>
  <cols>
    <col width="8.869999999999999" customWidth="1" style="266" min="1" max="1"/>
    <col width="14.87" customWidth="1" style="266" min="2" max="2"/>
    <col width="58.87" customWidth="1" style="267" min="3" max="3"/>
    <col width="3.55" customWidth="1" style="268" min="4" max="4"/>
    <col width="21.88" customWidth="1" style="268" min="5" max="5"/>
    <col hidden="1" width="9.66" customWidth="1" style="266" min="6" max="6"/>
    <col hidden="1" width="16.88" customWidth="1" style="266" min="7" max="7"/>
    <col width="3.87" customWidth="1" style="266" min="8" max="8"/>
    <col width="6.87" customWidth="1" style="266" min="9" max="9"/>
    <col width="70.66" customWidth="1" style="266" min="10" max="10"/>
    <col width="8.66" customWidth="1" style="268" min="11" max="11"/>
    <col width="7.66" customWidth="1" style="268" min="12" max="13"/>
    <col width="9.66" customWidth="1" style="266" min="14" max="14"/>
    <col width="9.33" customWidth="1" style="266" min="15" max="15"/>
    <col width="7.55" customWidth="1" style="266" min="16" max="16"/>
    <col width="9.1" customWidth="1" style="266" min="17" max="257"/>
  </cols>
  <sheetData>
    <row r="1" ht="45.6" customHeight="1" s="156">
      <c r="B1" s="223" t="n"/>
      <c r="C1" s="269" t="n"/>
      <c r="D1" s="270" t="n"/>
      <c r="E1" s="270" t="n"/>
      <c r="F1" s="271" t="n"/>
      <c r="G1" s="223" t="n"/>
      <c r="H1" s="272" t="n"/>
    </row>
    <row r="2" ht="17.4" customHeight="1" s="156">
      <c r="B2" s="273" t="inlineStr">
        <is>
          <t>Attach. 3-C</t>
        </is>
      </c>
      <c r="C2" s="274" t="n"/>
      <c r="D2" s="275" t="n"/>
      <c r="E2" s="276" t="n"/>
      <c r="F2" s="271" t="inlineStr">
        <is>
          <t>Deliverable</t>
        </is>
      </c>
      <c r="G2" s="223" t="n"/>
    </row>
    <row r="3" ht="40.8" customHeight="1" s="156">
      <c r="B3" s="273" t="inlineStr">
        <is>
          <t>Section Reference</t>
        </is>
      </c>
      <c r="C3" s="277" t="n"/>
      <c r="D3" s="278" t="n"/>
      <c r="E3" s="279" t="inlineStr">
        <is>
          <t>Number of Months after MOU or Commencement  Date before 2IM and PST Suppliers are responsible for Critical Deliverables</t>
        </is>
      </c>
      <c r="F3" s="271" t="inlineStr">
        <is>
          <t>Credit ($s)</t>
        </is>
      </c>
      <c r="G3" s="223" t="n"/>
    </row>
    <row r="4" ht="18" customHeight="1" s="156">
      <c r="B4" s="273" t="n"/>
      <c r="C4" s="280" t="n"/>
      <c r="D4" s="278" t="n"/>
      <c r="E4" s="281" t="n"/>
      <c r="F4" s="271" t="n"/>
      <c r="G4" s="223" t="n"/>
    </row>
    <row r="5" ht="24.9" customHeight="1" s="156">
      <c r="B5" s="273" t="inlineStr">
        <is>
          <t>2.1</t>
        </is>
      </c>
      <c r="C5" s="245" t="inlineStr">
        <is>
          <t>Transition &amp; Transformation Plan</t>
        </is>
      </c>
      <c r="D5" s="275" t="n"/>
      <c r="E5" s="282" t="inlineStr">
        <is>
          <t>2 months after MOU</t>
        </is>
      </c>
      <c r="F5" s="283" t="inlineStr">
        <is>
          <t>See below</t>
        </is>
      </c>
      <c r="G5" s="284" t="n"/>
    </row>
    <row r="6" ht="24.9" customHeight="1" s="156">
      <c r="B6" s="273" t="inlineStr">
        <is>
          <t>2.2</t>
        </is>
      </c>
      <c r="C6" s="245" t="inlineStr">
        <is>
          <t>HR transfer Plan</t>
        </is>
      </c>
      <c r="D6" s="278" t="n"/>
      <c r="E6" s="282" t="inlineStr">
        <is>
          <t>2 months after MOU</t>
        </is>
      </c>
      <c r="F6" s="283" t="inlineStr">
        <is>
          <t>See below</t>
        </is>
      </c>
      <c r="G6" s="284" t="n"/>
    </row>
    <row r="7" ht="24.9" customHeight="1" s="156">
      <c r="B7" s="273" t="inlineStr">
        <is>
          <t>2.3</t>
        </is>
      </c>
      <c r="C7" s="245" t="inlineStr">
        <is>
          <t>Policies &amp; Procedures Including Security</t>
        </is>
      </c>
      <c r="D7" s="275" t="n"/>
      <c r="E7" s="282" t="inlineStr">
        <is>
          <t>7 months after Commencement date</t>
        </is>
      </c>
      <c r="F7" s="283" t="inlineStr">
        <is>
          <t>See below</t>
        </is>
      </c>
      <c r="G7" s="284" t="n"/>
    </row>
    <row r="8" ht="24.9" customHeight="1" s="156">
      <c r="B8" s="273" t="inlineStr">
        <is>
          <t>2.4</t>
        </is>
      </c>
      <c r="C8" s="245" t="inlineStr">
        <is>
          <t>First set of critical report (CSL Reporting)</t>
        </is>
      </c>
      <c r="D8" s="275" t="n"/>
      <c r="E8" s="282" t="inlineStr">
        <is>
          <t>5 months after Commencement date</t>
        </is>
      </c>
      <c r="F8" s="283" t="inlineStr">
        <is>
          <t>See below</t>
        </is>
      </c>
      <c r="G8" s="284" t="n"/>
    </row>
    <row r="9" ht="24.9" customHeight="1" s="156">
      <c r="B9" s="273" t="inlineStr">
        <is>
          <t xml:space="preserve">2.5 </t>
        </is>
      </c>
      <c r="C9" s="245" t="inlineStr">
        <is>
          <t>Service Catalogue</t>
        </is>
      </c>
      <c r="D9" s="275" t="n"/>
      <c r="E9" s="282" t="inlineStr">
        <is>
          <t>3 months after Commencement Date</t>
        </is>
      </c>
      <c r="F9" s="283" t="inlineStr">
        <is>
          <t>See below</t>
        </is>
      </c>
      <c r="G9" s="284" t="n"/>
    </row>
    <row r="10" ht="24.9" customHeight="1" s="156">
      <c r="B10" s="273" t="inlineStr">
        <is>
          <t>2.6</t>
        </is>
      </c>
      <c r="C10" s="245" t="inlineStr">
        <is>
          <t>Exit Plan Framework</t>
        </is>
      </c>
      <c r="D10" s="275" t="n"/>
      <c r="E10" s="282" t="inlineStr">
        <is>
          <t>7 months after Commencement date</t>
        </is>
      </c>
      <c r="F10" s="283" t="inlineStr">
        <is>
          <t>See below</t>
        </is>
      </c>
      <c r="G10" s="284" t="n"/>
    </row>
    <row r="11" ht="13.5" customHeight="1" s="156"/>
    <row r="12" ht="13.5" customHeight="1" s="156">
      <c r="B12" s="273" t="n"/>
      <c r="C12" s="269" t="n"/>
      <c r="D12" s="278" t="n"/>
      <c r="E12" s="278" t="n"/>
      <c r="F12" s="285" t="n"/>
      <c r="G12" s="284" t="n"/>
    </row>
    <row r="13" ht="13.8" customHeight="1" s="156">
      <c r="B13" s="273" t="n"/>
      <c r="C13" s="286" t="n"/>
      <c r="D13" s="278" t="n"/>
      <c r="E13" s="278" t="n"/>
      <c r="F13" s="285" t="n"/>
      <c r="G13" s="284" t="n"/>
    </row>
    <row r="14" ht="13.8" customHeight="1" s="156">
      <c r="B14" s="273" t="n"/>
      <c r="C14" s="287" t="inlineStr">
        <is>
          <t>Leading details on this are laid down in Attachment 3C</t>
        </is>
      </c>
      <c r="D14" s="278" t="n"/>
      <c r="E14" s="278" t="n"/>
      <c r="F14" s="223" t="n"/>
      <c r="G14" s="223" t="n"/>
    </row>
    <row r="15" ht="13.8" customHeight="1" s="156">
      <c r="B15" s="273" t="n"/>
      <c r="C15" s="287" t="n"/>
      <c r="D15" s="278" t="n"/>
      <c r="E15" s="278" t="n"/>
      <c r="F15" s="223" t="n"/>
      <c r="G15" s="223" t="n"/>
    </row>
    <row r="16" ht="13.8" customHeight="1" s="156">
      <c r="B16" s="273" t="n"/>
      <c r="C16" s="287" t="n"/>
      <c r="D16" s="278" t="n"/>
      <c r="E16" s="278" t="n"/>
      <c r="F16" s="223" t="n"/>
      <c r="G16" s="223" t="n"/>
    </row>
    <row r="17" ht="13.8" customHeight="1" s="156">
      <c r="B17" s="273" t="n"/>
      <c r="C17" s="287" t="n"/>
      <c r="D17" s="278" t="n"/>
      <c r="E17" s="278" t="n"/>
      <c r="F17" s="223" t="n"/>
      <c r="G17" s="223" t="n"/>
    </row>
    <row r="18" ht="13.8" customHeight="1" s="156">
      <c r="B18" s="288" t="n"/>
      <c r="C18" s="289" t="n"/>
    </row>
    <row r="19" ht="13.8" customHeight="1" s="156">
      <c r="B19" s="288" t="n"/>
      <c r="C19" s="287" t="n"/>
    </row>
    <row r="20" ht="13.8" customHeight="1" s="156">
      <c r="B20" s="288" t="n"/>
      <c r="C20" s="289" t="n"/>
    </row>
    <row r="21" ht="13.2" customHeight="1" s="156">
      <c r="B21" s="288" t="n"/>
    </row>
    <row r="22" ht="13.2" customHeight="1" s="156">
      <c r="B22" s="288" t="n"/>
    </row>
    <row r="23" ht="13.2" customHeight="1" s="156">
      <c r="B23" s="288" t="n"/>
    </row>
    <row r="24" ht="13.2" customHeight="1" s="156">
      <c r="B24" s="288" t="n"/>
    </row>
    <row r="25" ht="13.2" customHeight="1" s="156">
      <c r="B25" s="288" t="n"/>
    </row>
    <row r="26" ht="13.2" customHeight="1" s="156">
      <c r="B26" s="288" t="n"/>
    </row>
    <row r="27" ht="13.2" customHeight="1" s="156">
      <c r="B27" s="288" t="n"/>
    </row>
    <row r="28" ht="13.2" customHeight="1" s="156">
      <c r="B28" s="288" t="n"/>
    </row>
    <row r="29" ht="13.2" customHeight="1" s="156">
      <c r="B29" s="288" t="n"/>
    </row>
    <row r="30" ht="13.2" customHeight="1" s="156">
      <c r="B30" s="288" t="n"/>
    </row>
    <row r="31" ht="13.2" customHeight="1" s="156">
      <c r="B31" s="288" t="n"/>
    </row>
    <row r="32" ht="13.2" customHeight="1" s="156">
      <c r="B32" s="288" t="n"/>
    </row>
  </sheetData>
  <printOptions horizontalCentered="0" verticalCentered="0" headings="0" gridLines="0" gridLinesSet="1"/>
  <pageMargins left="0.196527777777778" right="0.196527777777778" top="0.354166666666667" bottom="0.551388888888889" header="0.196527777777778" footer="0.511805555555556"/>
  <pageSetup orientation="landscape"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3-A:  &amp;A&amp;R&amp;"Times New Roman,Regular"&amp;8 30/11/06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 </dc:title>
  <dc:language xmlns:dc="http://purl.org/dc/elements/1.1/">en-US</dc:language>
  <dcterms:created xmlns:dcterms="http://purl.org/dc/terms/" xmlns:xsi="http://www.w3.org/2001/XMLSchema-instance" xsi:type="dcterms:W3CDTF">1980-01-01T03:30:00Z</dcterms:created>
  <dcterms:modified xmlns:dcterms="http://purl.org/dc/terms/" xmlns:xsi="http://www.w3.org/2001/XMLSchema-instance" xsi:type="dcterms:W3CDTF">2026-02-11T03:34:26Z</dcterms:modified>
  <cp:lastModifiedBy>Stuart Johnson</cp:lastModifiedBy>
  <cp:revision>0</cp:revision>
  <cp:lastPrinted>2006-12-10T20:55:01Z</cp:lastPrinted>
</cp:coreProperties>
</file>

<file path=docProps/custom.xml><?xml version="1.0" encoding="utf-8"?>
<Properties xmlns="http://schemas.openxmlformats.org/officeDocument/2006/custom-properties">
  <property name="_AdHocReviewCycleID" fmtid="{D5CDD505-2E9C-101B-9397-08002B2CF9AE}" pid="2">
    <vt:r8 xmlns:vt="http://schemas.openxmlformats.org/officeDocument/2006/docPropsVTypes">2037100893</vt:r8>
  </property>
  <property name="_AuthorEmail" fmtid="{D5CDD505-2E9C-101B-9397-08002B2CF9AE}" pid="3">
    <vt:lpwstr xmlns:vt="http://schemas.openxmlformats.org/officeDocument/2006/docPropsVTypes">Albert.Jans@mail.ing.nl</vt:lpwstr>
  </property>
  <property name="_AuthorEmailDisplayName" fmtid="{D5CDD505-2E9C-101B-9397-08002B2CF9AE}" pid="4">
    <vt:lpwstr xmlns:vt="http://schemas.openxmlformats.org/officeDocument/2006/docPropsVTypes">Jans, A.H.A. (Albert)</vt:lpwstr>
  </property>
  <property name="_EmailSubject" fmtid="{D5CDD505-2E9C-101B-9397-08002B2CF9AE}" pid="5">
    <vt:lpwstr xmlns:vt="http://schemas.openxmlformats.org/officeDocument/2006/docPropsVTypes">Attachment 3-A (Service Level Matrix) AJ v1.7.xls</vt:lpwstr>
  </property>
  <property name="_NewReviewCycle" fmtid="{D5CDD505-2E9C-101B-9397-08002B2CF9AE}" pid="6">
    <vt:lpwstr xmlns:vt="http://schemas.openxmlformats.org/officeDocument/2006/docPropsVTypes"/>
  </property>
  <property name="_ReviewingToolsShownOnce" fmtid="{D5CDD505-2E9C-101B-9397-08002B2CF9AE}" pid="7">
    <vt:lpwstr xmlns:vt="http://schemas.openxmlformats.org/officeDocument/2006/docPropsVTypes"/>
  </property>
</Properties>
</file>
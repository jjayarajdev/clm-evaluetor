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even-Laptop\Dropbox\2026 Evaluetor AI Team Site\2026 draft website\"/>
    </mc:Choice>
  </mc:AlternateContent>
  <xr:revisionPtr revIDLastSave="0" documentId="13_ncr:1_{F1A585E3-F588-477D-AF63-2A0C6E4BE01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alue Calculator" sheetId="1" r:id="rId1"/>
    <sheet name="Assumptions" sheetId="2" r:id="rId2"/>
    <sheet name="Pricing Examp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F4" i="3"/>
  <c r="G4" i="3" s="1"/>
  <c r="E4" i="3"/>
  <c r="F3" i="3"/>
  <c r="G3" i="3" s="1"/>
  <c r="E3" i="3"/>
  <c r="F2" i="3"/>
  <c r="G2" i="3" s="1"/>
  <c r="E2" i="3"/>
  <c r="D27" i="1"/>
  <c r="D26" i="1"/>
  <c r="D25" i="1"/>
  <c r="B18" i="1"/>
  <c r="E25" i="1" s="1"/>
  <c r="F25" i="1" s="1"/>
  <c r="E5" i="1" l="1"/>
  <c r="G25" i="1"/>
  <c r="E26" i="1"/>
  <c r="F26" i="1" s="1"/>
  <c r="B16" i="1"/>
  <c r="B17" i="1" s="1"/>
  <c r="E27" i="1"/>
  <c r="G27" i="1" s="1"/>
  <c r="F27" i="1"/>
  <c r="B20" i="1" l="1"/>
  <c r="B19" i="1"/>
  <c r="B21" i="1" s="1"/>
  <c r="G26" i="1"/>
</calcChain>
</file>

<file path=xl/sharedStrings.xml><?xml version="1.0" encoding="utf-8"?>
<sst xmlns="http://schemas.openxmlformats.org/spreadsheetml/2006/main" count="57" uniqueCount="46">
  <si>
    <t>Evaluetor – Excel-style Pricing and Value Model</t>
  </si>
  <si>
    <t>Use the yellow cells for inputs. The model calculates leakage, recoverable value, year-1 investment, net value, ROI and payback.</t>
  </si>
  <si>
    <t>1. Core inputs</t>
  </si>
  <si>
    <t>Meeting Interpretation</t>
  </si>
  <si>
    <t>Annual contract value under management (€)</t>
  </si>
  <si>
    <t>Recoverable value shortcut</t>
  </si>
  <si>
    <t>Leakage scenario</t>
  </si>
  <si>
    <t>Base</t>
  </si>
  <si>
    <t>Base-case rule of thumb</t>
  </si>
  <si>
    <t>Recoverable value ≈ Contract value × leakage % × recoverable %</t>
  </si>
  <si>
    <t>Leakage %</t>
  </si>
  <si>
    <t>If ROI &gt; 10x</t>
  </si>
  <si>
    <t>Strong CFO case</t>
  </si>
  <si>
    <t>Recoverable %</t>
  </si>
  <si>
    <t>If ROI 5x–10x</t>
  </si>
  <si>
    <t>Viable case; reinforce speed and risk reduction</t>
  </si>
  <si>
    <t>If ROI &lt; 5x</t>
  </si>
  <si>
    <t>Reduce implementation scope or expand portfolio in scope</t>
  </si>
  <si>
    <t>2. Commercial inputs</t>
  </si>
  <si>
    <t>Annual platform fee (€)</t>
  </si>
  <si>
    <t>Implementation fee – year 1 only (€)</t>
  </si>
  <si>
    <t>Connector / integration fees – year 1 (€)</t>
  </si>
  <si>
    <t>3. Calculations</t>
  </si>
  <si>
    <t>Estimated leakage value (€)</t>
  </si>
  <si>
    <t>Estimated recoverable value (€)</t>
  </si>
  <si>
    <t>Year 1 investment (€)</t>
  </si>
  <si>
    <t>Net year 1 value (€)</t>
  </si>
  <si>
    <t>ROI multiple (recoverable ÷ investment)</t>
  </si>
  <si>
    <t>Payback % of recoverable value retained after cost</t>
  </si>
  <si>
    <t>4. Three-case sensitivity</t>
  </si>
  <si>
    <t>Scenario</t>
  </si>
  <si>
    <t>Recoverable value (€)</t>
  </si>
  <si>
    <t>Net value (€)</t>
  </si>
  <si>
    <t>ROI multiple</t>
  </si>
  <si>
    <t>Conservative</t>
  </si>
  <si>
    <t>Upside</t>
  </si>
  <si>
    <t>Source note</t>
  </si>
  <si>
    <t>8% leakage and 30% recoverable</t>
  </si>
  <si>
    <t>9% leakage and 35% recoverable</t>
  </si>
  <si>
    <t>11% leakage and 40% recoverable</t>
  </si>
  <si>
    <t>Portfolio (€)</t>
  </si>
  <si>
    <t>Platform fee (€)</t>
  </si>
  <si>
    <t>Implementation (€)</t>
  </si>
  <si>
    <t>Connectors (€)</t>
  </si>
  <si>
    <t>Year 1 total (€)</t>
  </si>
  <si>
    <t>Recoverable value – base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</si>
</sst>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"/>
    <numFmt numFmtId="165" formatCode="0.0%"/>
    <numFmt numFmtId="166" formatCode="0.0\x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3" fillId="0" borderId="1" xfId="0" applyFont="1" applyBorder="1"/>
    <xf numFmtId="164" fontId="0" fillId="4" borderId="1" xfId="0" applyNumberFormat="1" applyFill="1" applyBorder="1"/>
    <xf numFmtId="10" fontId="0" fillId="5" borderId="1" xfId="0" applyNumberFormat="1" applyFill="1" applyBorder="1"/>
    <xf numFmtId="0" fontId="0" fillId="4" borderId="1" xfId="0" applyFill="1" applyBorder="1"/>
    <xf numFmtId="0" fontId="0" fillId="0" borderId="1" xfId="0" applyBorder="1"/>
    <xf numFmtId="165" fontId="0" fillId="5" borderId="1" xfId="0" applyNumberFormat="1" applyFill="1" applyBorder="1"/>
    <xf numFmtId="164" fontId="0" fillId="5" borderId="1" xfId="0" applyNumberFormat="1" applyFill="1" applyBorder="1"/>
    <xf numFmtId="166" fontId="0" fillId="5" borderId="1" xfId="0" applyNumberFormat="1" applyFill="1" applyBorder="1"/>
    <xf numFmtId="0" fontId="3" fillId="3" borderId="1" xfId="0" applyFont="1" applyFill="1" applyBorder="1"/>
    <xf numFmtId="165" fontId="0" fillId="0" borderId="1" xfId="0" applyNumberFormat="1" applyBorder="1"/>
    <xf numFmtId="164" fontId="0" fillId="0" borderId="1" xfId="0" applyNumberFormat="1" applyBorder="1"/>
    <xf numFmtId="166" fontId="0" fillId="0" borderId="1" xfId="0" applyNumberFormat="1" applyBorder="1"/>
    <xf numFmtId="0" fontId="2" fillId="2" borderId="1" xfId="0" applyFont="1" applyFill="1" applyBorder="1"/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pane ySplit="3" topLeftCell="A4" activePane="bottomLeft" state="frozen"/>
      <selection pane="bottomLeft" activeCell="P23" sqref="P23"/>
    </sheetView>
  </sheetViews>
  <sheetFormatPr defaultRowHeight="15" x14ac:dyDescent="0.25"/>
  <cols>
    <col min="1" max="1" width="36" customWidth="1"/>
    <col min="2" max="2" width="18" customWidth="1"/>
    <col min="3" max="3" width="16" customWidth="1"/>
    <col min="4" max="4" width="25.5703125" bestFit="1" customWidth="1"/>
    <col min="5" max="7" width="22" customWidth="1"/>
  </cols>
  <sheetData>
    <row r="1" spans="1:7" ht="18.75" x14ac:dyDescent="0.3">
      <c r="A1" s="16" t="s">
        <v>0</v>
      </c>
      <c r="B1" s="15"/>
      <c r="C1" s="15"/>
      <c r="D1" s="15"/>
      <c r="E1" s="15"/>
      <c r="F1" s="15"/>
      <c r="G1" s="15"/>
    </row>
    <row r="2" spans="1:7" x14ac:dyDescent="0.25">
      <c r="A2" s="20" t="s">
        <v>1</v>
      </c>
      <c r="B2" s="15"/>
      <c r="C2" s="15"/>
      <c r="D2" s="15"/>
      <c r="E2" s="15"/>
      <c r="F2" s="15"/>
      <c r="G2" s="15"/>
    </row>
    <row r="4" spans="1:7" x14ac:dyDescent="0.25">
      <c r="A4" s="14" t="s">
        <v>2</v>
      </c>
      <c r="B4" s="15"/>
      <c r="D4" s="21" t="s">
        <v>3</v>
      </c>
      <c r="E4" s="15"/>
      <c r="F4" s="15"/>
      <c r="G4" s="15"/>
    </row>
    <row r="5" spans="1:7" x14ac:dyDescent="0.25">
      <c r="A5" s="2" t="s">
        <v>4</v>
      </c>
      <c r="B5" s="3">
        <v>50000000</v>
      </c>
      <c r="D5" s="2" t="s">
        <v>5</v>
      </c>
      <c r="E5" s="4">
        <f>B7*B8</f>
        <v>2.4E-2</v>
      </c>
    </row>
    <row r="6" spans="1:7" x14ac:dyDescent="0.25">
      <c r="A6" s="2" t="s">
        <v>6</v>
      </c>
      <c r="B6" s="5" t="s">
        <v>34</v>
      </c>
      <c r="D6" s="2" t="s">
        <v>8</v>
      </c>
      <c r="E6" s="17" t="s">
        <v>9</v>
      </c>
      <c r="F6" s="18"/>
      <c r="G6" s="19"/>
    </row>
    <row r="7" spans="1:7" x14ac:dyDescent="0.25">
      <c r="A7" s="2" t="s">
        <v>10</v>
      </c>
      <c r="B7" s="7">
        <f>_xlfn.XLOOKUP(B6,Assumptions!A2:A4,Assumptions!B2:B4)</f>
        <v>0.08</v>
      </c>
      <c r="D7" s="2" t="s">
        <v>11</v>
      </c>
      <c r="E7" s="17" t="s">
        <v>12</v>
      </c>
      <c r="F7" s="18"/>
      <c r="G7" s="19"/>
    </row>
    <row r="8" spans="1:7" x14ac:dyDescent="0.25">
      <c r="A8" s="2" t="s">
        <v>13</v>
      </c>
      <c r="B8" s="7">
        <f>_xlfn.XLOOKUP(B6,Assumptions!A2:A4,Assumptions!C2:C4)</f>
        <v>0.3</v>
      </c>
      <c r="D8" s="2" t="s">
        <v>14</v>
      </c>
      <c r="E8" s="17" t="s">
        <v>15</v>
      </c>
      <c r="F8" s="18"/>
      <c r="G8" s="19"/>
    </row>
    <row r="9" spans="1:7" x14ac:dyDescent="0.25">
      <c r="D9" s="2" t="s">
        <v>16</v>
      </c>
      <c r="E9" s="17" t="s">
        <v>17</v>
      </c>
      <c r="F9" s="18"/>
      <c r="G9" s="19"/>
    </row>
    <row r="10" spans="1:7" x14ac:dyDescent="0.25">
      <c r="A10" s="14" t="s">
        <v>18</v>
      </c>
      <c r="B10" s="15"/>
    </row>
    <row r="11" spans="1:7" x14ac:dyDescent="0.25">
      <c r="A11" s="2" t="s">
        <v>19</v>
      </c>
      <c r="B11" s="3">
        <v>80000</v>
      </c>
    </row>
    <row r="12" spans="1:7" x14ac:dyDescent="0.25">
      <c r="A12" s="2" t="s">
        <v>20</v>
      </c>
      <c r="B12" s="3">
        <v>40000</v>
      </c>
    </row>
    <row r="13" spans="1:7" x14ac:dyDescent="0.25">
      <c r="A13" s="2" t="s">
        <v>21</v>
      </c>
      <c r="B13" s="3">
        <v>30000</v>
      </c>
    </row>
    <row r="15" spans="1:7" x14ac:dyDescent="0.25">
      <c r="A15" s="14" t="s">
        <v>22</v>
      </c>
      <c r="B15" s="15"/>
    </row>
    <row r="16" spans="1:7" x14ac:dyDescent="0.25">
      <c r="A16" s="2" t="s">
        <v>23</v>
      </c>
      <c r="B16" s="8">
        <f>B5*B7</f>
        <v>4000000</v>
      </c>
    </row>
    <row r="17" spans="1:7" x14ac:dyDescent="0.25">
      <c r="A17" s="2" t="s">
        <v>24</v>
      </c>
      <c r="B17" s="8">
        <f>B16*B8</f>
        <v>1200000</v>
      </c>
    </row>
    <row r="18" spans="1:7" x14ac:dyDescent="0.25">
      <c r="A18" s="2" t="s">
        <v>25</v>
      </c>
      <c r="B18" s="8">
        <f>SUM(B11:B13)</f>
        <v>150000</v>
      </c>
    </row>
    <row r="19" spans="1:7" x14ac:dyDescent="0.25">
      <c r="A19" s="2" t="s">
        <v>26</v>
      </c>
      <c r="B19" s="8">
        <f>B17-B18</f>
        <v>1050000</v>
      </c>
    </row>
    <row r="20" spans="1:7" x14ac:dyDescent="0.25">
      <c r="A20" s="2" t="s">
        <v>27</v>
      </c>
      <c r="B20" s="9">
        <f>IFERROR(B17/B18,0)</f>
        <v>8</v>
      </c>
    </row>
    <row r="21" spans="1:7" x14ac:dyDescent="0.25">
      <c r="A21" s="2" t="s">
        <v>28</v>
      </c>
      <c r="B21" s="7">
        <f>IFERROR(B19/B17,0)</f>
        <v>0.875</v>
      </c>
    </row>
    <row r="23" spans="1:7" x14ac:dyDescent="0.25">
      <c r="A23" s="21" t="s">
        <v>29</v>
      </c>
      <c r="B23" s="15"/>
      <c r="C23" s="15"/>
      <c r="D23" s="15"/>
      <c r="E23" s="15"/>
      <c r="F23" s="15"/>
      <c r="G23" s="15"/>
    </row>
    <row r="24" spans="1:7" x14ac:dyDescent="0.25">
      <c r="A24" s="10" t="s">
        <v>30</v>
      </c>
      <c r="B24" s="10" t="s">
        <v>10</v>
      </c>
      <c r="C24" s="10" t="s">
        <v>13</v>
      </c>
      <c r="D24" s="10" t="s">
        <v>31</v>
      </c>
      <c r="E24" s="10" t="s">
        <v>25</v>
      </c>
      <c r="F24" s="10" t="s">
        <v>32</v>
      </c>
      <c r="G24" s="10" t="s">
        <v>33</v>
      </c>
    </row>
    <row r="25" spans="1:7" x14ac:dyDescent="0.25">
      <c r="A25" s="6" t="s">
        <v>34</v>
      </c>
      <c r="B25" s="11">
        <v>0.08</v>
      </c>
      <c r="C25" s="11">
        <v>0.3</v>
      </c>
      <c r="D25" s="12">
        <f>B5*B25*C25</f>
        <v>1200000</v>
      </c>
      <c r="E25" s="12">
        <f>B18</f>
        <v>150000</v>
      </c>
      <c r="F25" s="12">
        <f>D25-E25</f>
        <v>1050000</v>
      </c>
      <c r="G25" s="13">
        <f>IFERROR(D25/E25,0)</f>
        <v>8</v>
      </c>
    </row>
    <row r="26" spans="1:7" x14ac:dyDescent="0.25">
      <c r="A26" s="6" t="s">
        <v>7</v>
      </c>
      <c r="B26" s="11">
        <v>0.09</v>
      </c>
      <c r="C26" s="11">
        <v>0.35</v>
      </c>
      <c r="D26" s="12">
        <f>B5*B26*C26</f>
        <v>1575000</v>
      </c>
      <c r="E26" s="12">
        <f>B18</f>
        <v>150000</v>
      </c>
      <c r="F26" s="12">
        <f>D26-E26</f>
        <v>1425000</v>
      </c>
      <c r="G26" s="13">
        <f>IFERROR(D26/E26,0)</f>
        <v>10.5</v>
      </c>
    </row>
    <row r="27" spans="1:7" x14ac:dyDescent="0.25">
      <c r="A27" s="6" t="s">
        <v>35</v>
      </c>
      <c r="B27" s="11">
        <v>0.11</v>
      </c>
      <c r="C27" s="11">
        <v>0.4</v>
      </c>
      <c r="D27" s="12">
        <f>B5*B27*C27</f>
        <v>2200000</v>
      </c>
      <c r="E27" s="12">
        <f>B18</f>
        <v>150000</v>
      </c>
      <c r="F27" s="12">
        <f>D27-E27</f>
        <v>2050000</v>
      </c>
      <c r="G27" s="13">
        <f>IFERROR(D27/E27,0)</f>
        <v>14.666666666666666</v>
      </c>
    </row>
  </sheetData>
  <mergeCells count="11">
    <mergeCell ref="A23:G23"/>
    <mergeCell ref="E7:G7"/>
    <mergeCell ref="E6:G6"/>
    <mergeCell ref="D4:G4"/>
    <mergeCell ref="A4:B4"/>
    <mergeCell ref="A1:G1"/>
    <mergeCell ref="A15:B15"/>
    <mergeCell ref="A10:B10"/>
    <mergeCell ref="E8:G8"/>
    <mergeCell ref="A2:G2"/>
    <mergeCell ref="E9:G9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Assumptions!$A$2:$A$4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2.5703125" bestFit="1" customWidth="1"/>
    <col min="2" max="2" width="10.140625" bestFit="1" customWidth="1"/>
    <col min="4" max="4" width="31.28515625" bestFit="1" customWidth="1"/>
    <col min="5" max="5" width="20" customWidth="1"/>
  </cols>
  <sheetData>
    <row r="1" spans="1:4" x14ac:dyDescent="0.25">
      <c r="A1" s="1" t="s">
        <v>30</v>
      </c>
      <c r="B1" s="1" t="s">
        <v>10</v>
      </c>
      <c r="C1" s="1" t="s">
        <v>13</v>
      </c>
      <c r="D1" s="1" t="s">
        <v>36</v>
      </c>
    </row>
    <row r="2" spans="1:4" x14ac:dyDescent="0.25">
      <c r="A2" s="6" t="s">
        <v>34</v>
      </c>
      <c r="B2" s="11">
        <v>0.08</v>
      </c>
      <c r="C2" s="11">
        <v>0.3</v>
      </c>
      <c r="D2" s="6" t="s">
        <v>37</v>
      </c>
    </row>
    <row r="3" spans="1:4" x14ac:dyDescent="0.25">
      <c r="A3" s="6" t="s">
        <v>7</v>
      </c>
      <c r="B3" s="11">
        <v>0.09</v>
      </c>
      <c r="C3" s="11">
        <v>0.35</v>
      </c>
      <c r="D3" s="6" t="s">
        <v>38</v>
      </c>
    </row>
    <row r="4" spans="1:4" x14ac:dyDescent="0.25">
      <c r="A4" s="6" t="s">
        <v>35</v>
      </c>
      <c r="B4" s="11">
        <v>0.11</v>
      </c>
      <c r="C4" s="11">
        <v>0.4</v>
      </c>
      <c r="D4" s="6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pane ySplit="1" topLeftCell="A2" activePane="bottomLeft" state="frozen"/>
      <selection pane="bottomLeft" activeCell="C47" sqref="C47"/>
    </sheetView>
  </sheetViews>
  <sheetFormatPr defaultRowHeight="15" x14ac:dyDescent="0.25"/>
  <cols>
    <col min="1" max="1" width="41.5703125" customWidth="1"/>
    <col min="2" max="2" width="17.85546875" customWidth="1"/>
    <col min="3" max="3" width="19.28515625" customWidth="1"/>
    <col min="4" max="4" width="17.5703125" customWidth="1"/>
    <col min="5" max="5" width="24.5703125" customWidth="1"/>
    <col min="6" max="6" width="32.28515625" customWidth="1"/>
  </cols>
  <sheetData>
    <row r="1" spans="1:7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33</v>
      </c>
    </row>
    <row r="2" spans="1:7" x14ac:dyDescent="0.25">
      <c r="A2" s="12">
        <v>20000000</v>
      </c>
      <c r="B2" s="12">
        <v>60000</v>
      </c>
      <c r="C2" s="12">
        <v>20000</v>
      </c>
      <c r="D2" s="12">
        <v>20000</v>
      </c>
      <c r="E2" s="12">
        <f>SUM(B2:D2)</f>
        <v>100000</v>
      </c>
      <c r="F2" s="12">
        <f>A2*0.09*0.35</f>
        <v>630000</v>
      </c>
      <c r="G2" s="13">
        <f>IFERROR(F2/E2,0)</f>
        <v>6.3</v>
      </c>
    </row>
    <row r="3" spans="1:7" x14ac:dyDescent="0.25">
      <c r="A3" s="12">
        <v>50000000</v>
      </c>
      <c r="B3" s="12">
        <v>80000</v>
      </c>
      <c r="C3" s="12">
        <v>40000</v>
      </c>
      <c r="D3" s="12">
        <v>30000</v>
      </c>
      <c r="E3" s="12">
        <f>SUM(B3:D3)</f>
        <v>150000</v>
      </c>
      <c r="F3" s="12">
        <f>A3*0.09*0.35</f>
        <v>1575000</v>
      </c>
      <c r="G3" s="13">
        <f>IFERROR(F3/E3,0)</f>
        <v>10.5</v>
      </c>
    </row>
    <row r="4" spans="1:7" x14ac:dyDescent="0.25">
      <c r="A4" s="12">
        <v>150000000</v>
      </c>
      <c r="B4" s="12">
        <v>220000</v>
      </c>
      <c r="C4" s="12">
        <v>80000</v>
      </c>
      <c r="D4" s="12">
        <v>50000</v>
      </c>
      <c r="E4" s="12">
        <f>SUM(B4:D4)</f>
        <v>350000</v>
      </c>
      <c r="F4" s="12">
        <f>A4*0.09*0.35</f>
        <v>4725000</v>
      </c>
      <c r="G4" s="13">
        <f>IFERROR(F4/E4,0)</f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 Calculator</vt:lpstr>
      <vt:lpstr>Assumptions</vt:lpstr>
      <vt:lpstr>Pricing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Steven-Laptop</cp:lastModifiedBy>
  <dcterms:created xsi:type="dcterms:W3CDTF">2026-05-29T13:37:44Z</dcterms:created>
  <dcterms:modified xsi:type="dcterms:W3CDTF">2026-05-29T14:07:11Z</dcterms:modified>
</cp:coreProperties>
</file>
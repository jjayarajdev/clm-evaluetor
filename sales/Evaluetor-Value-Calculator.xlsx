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ation Script" sheetId="1" state="visible" r:id="rId1"/>
    <sheet xmlns:r="http://schemas.openxmlformats.org/officeDocument/2006/relationships" name="Value Calculator" sheetId="2" state="visible" r:id="rId2"/>
    <sheet xmlns:r="http://schemas.openxmlformats.org/officeDocument/2006/relationships" name="Pricing Examples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Gloss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x&quot;"/>
  </numFmts>
  <fonts count="28">
    <font>
      <name val="Calibri"/>
      <family val="2"/>
      <color theme="1"/>
      <sz val="11"/>
      <scheme val="minor"/>
    </font>
    <font>
      <name val="Calibri"/>
      <b val="1"/>
      <color rgb="000E0E10"/>
      <sz val="22"/>
    </font>
    <font>
      <name val="Calibri"/>
      <i val="1"/>
      <color rgb="005B5F66"/>
      <sz val="11"/>
    </font>
    <font>
      <name val="Calibri"/>
      <b val="1"/>
      <color rgb="00C73E0F"/>
      <sz val="9"/>
    </font>
    <font>
      <name val="Calibri"/>
      <b val="1"/>
      <color rgb="002D2F36"/>
      <sz val="12"/>
    </font>
    <font>
      <name val="Calibri"/>
      <b val="1"/>
      <color rgb="00C73E0F"/>
      <sz val="10"/>
    </font>
    <font>
      <name val="Calibri"/>
      <color rgb="005B5F66"/>
      <sz val="10"/>
    </font>
    <font>
      <name val="Calibri"/>
      <b val="1"/>
      <color rgb="000E0E10"/>
      <sz val="15"/>
    </font>
    <font>
      <name val="Calibri"/>
      <color rgb="002D2F36"/>
      <sz val="11"/>
    </font>
    <font>
      <name val="Calibri"/>
      <b val="1"/>
      <color rgb="005B5F66"/>
      <sz val="9"/>
    </font>
    <font>
      <name val="Calibri"/>
      <i val="1"/>
      <color rgb="000E0E10"/>
      <sz val="11"/>
    </font>
    <font>
      <name val="Calibri"/>
      <b val="1"/>
      <color rgb="00C73E0F"/>
      <sz val="12"/>
    </font>
    <font>
      <name val="Calibri"/>
      <b val="1"/>
      <color rgb="000E0E10"/>
      <sz val="10"/>
    </font>
    <font>
      <name val="Calibri"/>
      <color rgb="002D2F36"/>
      <sz val="12"/>
    </font>
    <font>
      <name val="Calibri"/>
      <color rgb="005B5F66"/>
      <sz val="11"/>
    </font>
    <font>
      <name val="Calibri"/>
      <color rgb="000E0E10"/>
      <sz val="12"/>
    </font>
    <font>
      <name val="Calibri"/>
      <b val="1"/>
      <color rgb="00C73E0F"/>
      <sz val="14"/>
    </font>
    <font>
      <name val="Calibri"/>
      <b val="1"/>
      <color rgb="00C73E0F"/>
      <sz val="13"/>
    </font>
    <font>
      <name val="Calibri"/>
      <i val="1"/>
      <color rgb="002D2F36"/>
      <sz val="11"/>
    </font>
    <font>
      <name val="Calibri"/>
      <b val="1"/>
      <color rgb="000E0E10"/>
      <sz val="13"/>
    </font>
    <font>
      <name val="Calibri"/>
      <b val="1"/>
      <color rgb="005B5F66"/>
      <sz val="13"/>
    </font>
    <font>
      <name val="Calibri"/>
      <i val="1"/>
      <color rgb="000E0E10"/>
      <sz val="12"/>
    </font>
    <font>
      <name val="Calibri"/>
      <b val="1"/>
      <i val="1"/>
      <color rgb="000E0E10"/>
      <sz val="13"/>
    </font>
    <font>
      <name val="Calibri"/>
      <b val="1"/>
      <color rgb="000E0E10"/>
      <sz val="9"/>
    </font>
    <font>
      <name val="Calibri"/>
      <b val="1"/>
      <color rgb="005B5F66"/>
      <sz val="12"/>
    </font>
    <font>
      <name val="Calibri"/>
      <b val="1"/>
      <color rgb="000E0E10"/>
      <sz val="12"/>
    </font>
    <font>
      <name val="Calibri"/>
      <b val="1"/>
      <color rgb="002D2F36"/>
      <sz val="13"/>
    </font>
    <font>
      <name val="Calibri"/>
      <b val="1"/>
      <color rgb="000E0E10"/>
      <sz val="11"/>
    </font>
  </fonts>
  <fills count="4">
    <fill>
      <patternFill/>
    </fill>
    <fill>
      <patternFill patternType="gray125"/>
    </fill>
    <fill>
      <patternFill patternType="solid">
        <fgColor rgb="00EFEDE8"/>
      </patternFill>
    </fill>
    <fill>
      <patternFill patternType="solid">
        <fgColor rgb="00FFF4D9"/>
      </patternFill>
    </fill>
  </fills>
  <borders count="3">
    <border>
      <left/>
      <right/>
      <top/>
      <bottom/>
      <diagonal/>
    </border>
    <border>
      <bottom style="thin">
        <color rgb="00DDDBD5"/>
      </bottom>
    </border>
    <border>
      <bottom style="medium">
        <color rgb="000E0E1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center" wrapText="1"/>
    </xf>
    <xf numFmtId="164" fontId="14" fillId="0" borderId="1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center" wrapText="1"/>
    </xf>
    <xf numFmtId="3" fontId="15" fillId="0" borderId="1" applyAlignment="1" pivotButton="0" quotePrefix="0" xfId="0">
      <alignment horizontal="right" vertical="center"/>
    </xf>
    <xf numFmtId="0" fontId="22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 wrapText="1"/>
    </xf>
    <xf numFmtId="165" fontId="16" fillId="0" borderId="1" applyAlignment="1" pivotButton="0" quotePrefix="0" xfId="0">
      <alignment horizontal="right" vertical="center"/>
    </xf>
    <xf numFmtId="3" fontId="16" fillId="0" borderId="1" applyAlignment="1" pivotButton="0" quotePrefix="0" xfId="0">
      <alignment horizontal="right" vertical="center"/>
    </xf>
    <xf numFmtId="0" fontId="23" fillId="0" borderId="2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right" vertical="center"/>
    </xf>
    <xf numFmtId="3" fontId="24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165" fontId="24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center" wrapText="1"/>
    </xf>
    <xf numFmtId="3" fontId="11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0" fontId="25" fillId="0" borderId="1" applyAlignment="1" pivotButton="0" quotePrefix="0" xfId="0">
      <alignment horizontal="left" vertical="center" wrapText="1"/>
    </xf>
    <xf numFmtId="3" fontId="25" fillId="0" borderId="1" applyAlignment="1" pivotButton="0" quotePrefix="0" xfId="0">
      <alignment horizontal="right" vertical="center"/>
    </xf>
    <xf numFmtId="165" fontId="25" fillId="0" borderId="1" applyAlignment="1" pivotButton="0" quotePrefix="0" xfId="0">
      <alignment horizontal="right" vertical="center"/>
    </xf>
    <xf numFmtId="3" fontId="26" fillId="0" borderId="1" applyAlignment="1" pivotButton="0" quotePrefix="0" xfId="0">
      <alignment horizontal="right" vertical="center"/>
    </xf>
    <xf numFmtId="3" fontId="13" fillId="0" borderId="1" applyAlignment="1" pivotButton="0" quotePrefix="0" xfId="0">
      <alignment horizontal="right" vertical="center"/>
    </xf>
    <xf numFmtId="3" fontId="19" fillId="0" borderId="1" applyAlignment="1" pivotButton="0" quotePrefix="0" xfId="0">
      <alignment horizontal="right" vertical="center"/>
    </xf>
    <xf numFmtId="3" fontId="17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7" fillId="0" borderId="1" applyAlignment="1" pivotButton="0" quotePrefix="0" xfId="0">
      <alignment horizontal="right" vertical="center"/>
    </xf>
    <xf numFmtId="0" fontId="23" fillId="0" borderId="2" applyAlignment="1" pivotButton="0" quotePrefix="0" xfId="0">
      <alignment horizontal="right" vertical="center"/>
    </xf>
    <xf numFmtId="9" fontId="13" fillId="0" borderId="1" applyAlignment="1" pivotButton="0" quotePrefix="0" xfId="0">
      <alignment horizontal="right" vertical="center"/>
    </xf>
    <xf numFmtId="0" fontId="18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42" customWidth="1" min="3" max="3"/>
    <col width="4" customWidth="1" min="4" max="4"/>
  </cols>
  <sheetData>
    <row r="2" ht="32" customHeight="1">
      <c r="B2" s="1" t="inlineStr">
        <is>
          <t>Evaluetor — Discovery Call Script</t>
        </is>
      </c>
    </row>
    <row r="3" ht="22" customHeight="1">
      <c r="B3" s="2" t="inlineStr">
        <is>
          <t>Use the Value Calculator (sheet 2) live in the call. This script is your scaffold.</t>
        </is>
      </c>
    </row>
    <row r="5" ht="22" customHeight="1">
      <c r="B5" s="3" t="inlineStr">
        <is>
          <t>DURATION</t>
        </is>
      </c>
      <c r="C5" s="3" t="inlineStr">
        <is>
          <t>WHO YOU NEED</t>
        </is>
      </c>
    </row>
    <row r="6">
      <c r="B6" s="4" t="inlineStr">
        <is>
          <t>30 minutes</t>
        </is>
      </c>
      <c r="C6" s="4" t="inlineStr">
        <is>
          <t>Procurement + Finance lead</t>
        </is>
      </c>
    </row>
    <row r="9" ht="22" customHeight="1">
      <c r="B9" s="5" t="inlineStr">
        <is>
          <t>PHASE 01</t>
        </is>
      </c>
      <c r="C9" s="6" t="inlineStr">
        <is>
          <t>0–5 min</t>
        </is>
      </c>
    </row>
    <row r="10" ht="28" customHeight="1">
      <c r="B10" s="7" t="inlineStr">
        <is>
          <t>Anchor — establish portfolio scale</t>
        </is>
      </c>
    </row>
    <row r="11" ht="38" customHeight="1">
      <c r="B11" s="8" t="inlineStr">
        <is>
          <t>Q1.</t>
        </is>
      </c>
      <c r="C11" s="9" t="inlineStr">
        <is>
          <t>What's the annual value of the supplier (or customer) contracts you want visibility on?</t>
        </is>
      </c>
    </row>
    <row r="12" ht="38" customHeight="1">
      <c r="B12" s="8" t="inlineStr">
        <is>
          <t>Q2.</t>
        </is>
      </c>
      <c r="C12" s="9" t="inlineStr">
        <is>
          <t>Roughly how many vendors / counterparties does that span?</t>
        </is>
      </c>
    </row>
    <row r="13" ht="38" customHeight="1">
      <c r="B13" s="8" t="inlineStr">
        <is>
          <t>Q3.</t>
        </is>
      </c>
      <c r="C13" s="9" t="inlineStr">
        <is>
          <t>Have you had a known leakage event in the last 12 months — missed credit, surprise auto-renewal, unbilled scope?</t>
        </is>
      </c>
    </row>
    <row r="14" ht="42" customHeight="1">
      <c r="B14" s="10" t="inlineStr">
        <is>
          <t>PRESENTER NOTE</t>
        </is>
      </c>
      <c r="C14" s="11" t="inlineStr">
        <is>
          <t>Plug their ACV number into sheet 2 (Value Calculator, cell C6). Watch their face when the recoverable euro appears.</t>
        </is>
      </c>
    </row>
    <row r="16" ht="22" customHeight="1">
      <c r="B16" s="5" t="inlineStr">
        <is>
          <t>PHASE 02</t>
        </is>
      </c>
      <c r="C16" s="6" t="inlineStr">
        <is>
          <t>5–12 min</t>
        </is>
      </c>
    </row>
    <row r="17" ht="28" customHeight="1">
      <c r="B17" s="7" t="inlineStr">
        <is>
          <t>Calibrate — leakage assumption</t>
        </is>
      </c>
    </row>
    <row r="18" ht="38" customHeight="1">
      <c r="B18" s="8" t="inlineStr">
        <is>
          <t>Q1.</t>
        </is>
      </c>
      <c r="C18" s="9" t="inlineStr">
        <is>
          <t>How much of your contract value would you say leaks post-signature today? Industry research puts it at 8–11%.</t>
        </is>
      </c>
    </row>
    <row r="19" ht="38" customHeight="1">
      <c r="B19" s="8" t="inlineStr">
        <is>
          <t>Q2.</t>
        </is>
      </c>
      <c r="C19" s="9" t="inlineStr">
        <is>
          <t>What % of that do you think your current process catches?</t>
        </is>
      </c>
    </row>
    <row r="20" ht="38" customHeight="1">
      <c r="B20" s="8" t="inlineStr">
        <is>
          <t>Q3.</t>
        </is>
      </c>
      <c r="C20" s="9" t="inlineStr">
        <is>
          <t>If you knew the leakage was X%, what would you spend to recover 30–40% of it?</t>
        </is>
      </c>
    </row>
    <row r="21" ht="42" customHeight="1">
      <c r="B21" s="10" t="inlineStr">
        <is>
          <t>PRESENTER NOTE</t>
        </is>
      </c>
      <c r="C21" s="11" t="inlineStr">
        <is>
          <t>Toggle the Leakage scenario in sheet 2 (cell C7: Conservative / Base / Upside). Show all three live so they cannot argue 'best case.'</t>
        </is>
      </c>
    </row>
    <row r="23" ht="22" customHeight="1">
      <c r="B23" s="5" t="inlineStr">
        <is>
          <t>PHASE 03</t>
        </is>
      </c>
      <c r="C23" s="6" t="inlineStr">
        <is>
          <t>12–18 min</t>
        </is>
      </c>
    </row>
    <row r="24" ht="28" customHeight="1">
      <c r="B24" s="7" t="inlineStr">
        <is>
          <t>Reframe — cost of inaction</t>
        </is>
      </c>
    </row>
    <row r="25" ht="38" customHeight="1">
      <c r="B25" s="8" t="inlineStr">
        <is>
          <t>Q1.</t>
        </is>
      </c>
      <c r="C25" s="9" t="inlineStr">
        <is>
          <t>Over 36 months, with no changes, what is the cumulative leakage on this portfolio?</t>
        </is>
      </c>
    </row>
    <row r="26" ht="38" customHeight="1">
      <c r="B26" s="8" t="inlineStr">
        <is>
          <t>Q2.</t>
        </is>
      </c>
      <c r="C26" s="9" t="inlineStr">
        <is>
          <t>What does ONE missed SLA credit on your largest vendor typically cost you?</t>
        </is>
      </c>
    </row>
    <row r="27" ht="38" customHeight="1">
      <c r="B27" s="8" t="inlineStr">
        <is>
          <t>Q3.</t>
        </is>
      </c>
      <c r="C27" s="9" t="inlineStr">
        <is>
          <t>Who in the business currently owns the recovery of that money?</t>
        </is>
      </c>
    </row>
    <row r="28" ht="42" customHeight="1">
      <c r="B28" s="10" t="inlineStr">
        <is>
          <t>PRESENTER NOTE</t>
        </is>
      </c>
      <c r="C28" s="11" t="inlineStr">
        <is>
          <t>Use the cumulative figure (recoverable x 3 years) to anchor the cost of doing nothing. This is the highest-impact moment in the call.</t>
        </is>
      </c>
    </row>
    <row r="30" ht="22" customHeight="1">
      <c r="B30" s="5" t="inlineStr">
        <is>
          <t>PHASE 04</t>
        </is>
      </c>
      <c r="C30" s="6" t="inlineStr">
        <is>
          <t>18–24 min</t>
        </is>
      </c>
    </row>
    <row r="31" ht="28" customHeight="1">
      <c r="B31" s="7" t="inlineStr">
        <is>
          <t>Propose — investment vs recovery</t>
        </is>
      </c>
    </row>
    <row r="32" ht="38" customHeight="1">
      <c r="B32" s="8" t="inlineStr">
        <is>
          <t>Q1.</t>
        </is>
      </c>
      <c r="C32" s="9" t="inlineStr">
        <is>
          <t>Our typical year-one investment for a portfolio of your size is around €Y. That returns €X.</t>
        </is>
      </c>
    </row>
    <row r="33" ht="38" customHeight="1">
      <c r="B33" s="8" t="inlineStr">
        <is>
          <t>Q2.</t>
        </is>
      </c>
      <c r="C33" s="9" t="inlineStr">
        <is>
          <t>Which would feel like the right pilot scope — 5 contracts, 20 contracts, or one business unit?</t>
        </is>
      </c>
    </row>
    <row r="34" ht="38" customHeight="1">
      <c r="B34" s="8" t="inlineStr">
        <is>
          <t>Q3.</t>
        </is>
      </c>
      <c r="C34" s="9" t="inlineStr">
        <is>
          <t>Who else on your side needs to be in the room when we walk through the findings?</t>
        </is>
      </c>
    </row>
    <row r="35" ht="42" customHeight="1">
      <c r="B35" s="10" t="inlineStr">
        <is>
          <t>PRESENTER NOTE</t>
        </is>
      </c>
      <c r="C35" s="11" t="inlineStr">
        <is>
          <t>Cite sheet 3 (Pricing Examples). Show 'Year 1 total' alongside 'recoverable value' so the ROI multiple is unmissable. Never quote price without the recoverable euro next to it.</t>
        </is>
      </c>
    </row>
    <row r="37" ht="22" customHeight="1">
      <c r="B37" s="5" t="inlineStr">
        <is>
          <t>PHASE 05</t>
        </is>
      </c>
      <c r="C37" s="6" t="inlineStr">
        <is>
          <t>24–30 min</t>
        </is>
      </c>
    </row>
    <row r="38" ht="28" customHeight="1">
      <c r="B38" s="7" t="inlineStr">
        <is>
          <t>Close — remove the risk</t>
        </is>
      </c>
    </row>
    <row r="39" ht="38" customHeight="1">
      <c r="B39" s="8" t="inlineStr">
        <is>
          <t>Q1.</t>
        </is>
      </c>
      <c r="C39" s="9" t="inlineStr">
        <is>
          <t>If we did a 30-minute review on 5 of your live contracts next week, what would we need to bring?</t>
        </is>
      </c>
    </row>
    <row r="40" ht="38" customHeight="1">
      <c r="B40" s="8" t="inlineStr">
        <is>
          <t>Q2.</t>
        </is>
      </c>
      <c r="C40" s="9" t="inlineStr">
        <is>
          <t>Who on your side decides whether we proceed after the review?</t>
        </is>
      </c>
    </row>
    <row r="41" ht="38" customHeight="1">
      <c r="B41" s="8" t="inlineStr">
        <is>
          <t>Q3.</t>
        </is>
      </c>
      <c r="C41" s="9" t="inlineStr">
        <is>
          <t>What would prevent us moving forward after we show the findings?</t>
        </is>
      </c>
    </row>
    <row r="42" ht="42" customHeight="1">
      <c r="B42" s="10" t="inlineStr">
        <is>
          <t>PRESENTER NOTE</t>
        </is>
      </c>
      <c r="C42" s="11" t="inlineStr">
        <is>
          <t>Use the closing line: 'If we don't find value, you don't proceed.' Removes 80% of buyer hesitation.</t>
        </is>
      </c>
    </row>
    <row r="44" ht="22" customHeight="1">
      <c r="B44" s="5" t="inlineStr">
        <is>
          <t>GOLDEN RULES</t>
        </is>
      </c>
    </row>
    <row r="45" ht="28" customHeight="1">
      <c r="B45" s="12" t="inlineStr">
        <is>
          <t>v</t>
        </is>
      </c>
      <c r="C45" s="9" t="inlineStr">
        <is>
          <t>Never lead with features. Lead with their portfolio value, your recoverable euro figure, and the ROI multiple.</t>
        </is>
      </c>
    </row>
    <row r="46" ht="28" customHeight="1">
      <c r="B46" s="12" t="inlineStr">
        <is>
          <t>v</t>
        </is>
      </c>
      <c r="C46" s="9" t="inlineStr">
        <is>
          <t>Never quote price without the recoverable euro figure in the same breath. Price-in-isolation always feels expensive.</t>
        </is>
      </c>
    </row>
    <row r="47" ht="28" customHeight="1">
      <c r="B47" s="12" t="inlineStr">
        <is>
          <t>v</t>
        </is>
      </c>
      <c r="C47" s="9" t="inlineStr">
        <is>
          <t>Never defend price by discounting. Trade: lower price for longer term, named reference, or faster decision.</t>
        </is>
      </c>
    </row>
    <row r="48" ht="28" customHeight="1">
      <c r="B48" s="12" t="inlineStr">
        <is>
          <t>v</t>
        </is>
      </c>
      <c r="C48" s="9" t="inlineStr">
        <is>
          <t>Always end by removing risk: 'If we don't find value, you don't proceed.'</t>
        </is>
      </c>
    </row>
    <row r="49" ht="28" customHeight="1">
      <c r="B49" s="12" t="inlineStr">
        <is>
          <t>v</t>
        </is>
      </c>
      <c r="C49" s="9" t="inlineStr">
        <is>
          <t>If the call wanders into 'AI agents' or 'features,' redirect: 'And what would that be worth to you on your portfolio?'</t>
        </is>
      </c>
    </row>
  </sheetData>
  <mergeCells count="8">
    <mergeCell ref="B24:C24"/>
    <mergeCell ref="B2:C2"/>
    <mergeCell ref="B38:C38"/>
    <mergeCell ref="B44:C44"/>
    <mergeCell ref="B3:C3"/>
    <mergeCell ref="B10:C10"/>
    <mergeCell ref="B31:C31"/>
    <mergeCell ref="B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22" customWidth="1" min="3" max="3"/>
    <col width="4" customWidth="1" min="4" max="4"/>
    <col width="42" customWidth="1" min="5" max="5"/>
    <col width="22" customWidth="1" min="6" max="6"/>
    <col width="14" customWidth="1" min="7" max="7"/>
    <col width="14" customWidth="1" min="8" max="8"/>
  </cols>
  <sheetData>
    <row r="2" ht="32" customHeight="1">
      <c r="B2" s="1" t="inlineStr">
        <is>
          <t>Value Calculator</t>
        </is>
      </c>
    </row>
    <row r="3" ht="22" customHeight="1">
      <c r="B3" s="2" t="inlineStr">
        <is>
          <t>Yellow cells are inputs. Everything else calculates automatically.</t>
        </is>
      </c>
    </row>
    <row r="5" ht="22" customHeight="1">
      <c r="B5" s="13" t="inlineStr">
        <is>
          <t>1.  CORE INPUTS</t>
        </is>
      </c>
      <c r="E5" s="13" t="inlineStr">
        <is>
          <t>MEETING INTERPRETATION GUIDE</t>
        </is>
      </c>
    </row>
    <row r="6">
      <c r="B6" s="14" t="inlineStr">
        <is>
          <t>Annual contract value under management (€)</t>
        </is>
      </c>
      <c r="C6" s="15" t="n">
        <v>50000000</v>
      </c>
      <c r="E6" s="16" t="inlineStr">
        <is>
          <t>If ROI &gt; 10x</t>
        </is>
      </c>
    </row>
    <row r="7">
      <c r="B7" s="14" t="inlineStr">
        <is>
          <t>Leakage scenario (Conservative / Base / Upside)</t>
        </is>
      </c>
      <c r="C7" s="17" t="inlineStr">
        <is>
          <t>Base</t>
        </is>
      </c>
      <c r="E7" s="18" t="inlineStr">
        <is>
          <t>Strong CFO case — proceed to scoping.</t>
        </is>
      </c>
    </row>
    <row r="8">
      <c r="B8" s="19" t="inlineStr">
        <is>
          <t>Leakage %</t>
        </is>
      </c>
      <c r="C8" s="20">
        <f>IFERROR(VLOOKUP(C7,Assumptions!A2:C4,2,FALSE),0)</f>
        <v/>
      </c>
      <c r="E8" s="21" t="inlineStr">
        <is>
          <t>If ROI 5–10x</t>
        </is>
      </c>
    </row>
    <row r="9">
      <c r="B9" s="19" t="inlineStr">
        <is>
          <t>Recoverable share</t>
        </is>
      </c>
      <c r="C9" s="20">
        <f>IFERROR(VLOOKUP(C7,Assumptions!A2:C4,3,FALSE),0)</f>
        <v/>
      </c>
      <c r="E9" s="18" t="inlineStr">
        <is>
          <t>Viable. Reinforce speed-to-value and risk reduction.</t>
        </is>
      </c>
    </row>
    <row r="10">
      <c r="E10" s="22" t="inlineStr">
        <is>
          <t>If ROI &lt; 5x</t>
        </is>
      </c>
    </row>
    <row r="11" ht="22" customHeight="1">
      <c r="B11" s="13" t="inlineStr">
        <is>
          <t>2.  COMMERCIAL INPUTS</t>
        </is>
      </c>
      <c r="E11" s="18" t="inlineStr">
        <is>
          <t>Reduce implementation scope OR expand portfolio in scope.</t>
        </is>
      </c>
    </row>
    <row r="12">
      <c r="B12" s="14" t="inlineStr">
        <is>
          <t>Annual platform fee (€)</t>
        </is>
      </c>
      <c r="C12" s="15" t="n">
        <v>80000</v>
      </c>
    </row>
    <row r="13">
      <c r="B13" s="14" t="inlineStr">
        <is>
          <t>Implementation fee, year 1 only (€)</t>
        </is>
      </c>
      <c r="C13" s="15" t="n">
        <v>40000</v>
      </c>
    </row>
    <row r="14" ht="22" customHeight="1">
      <c r="B14" s="14" t="inlineStr">
        <is>
          <t>Connector / integration fees, year 1 (€)</t>
        </is>
      </c>
      <c r="C14" s="15" t="n">
        <v>30000</v>
      </c>
      <c r="E14" s="13" t="inlineStr">
        <is>
          <t>RULE OF THUMB FOR THE ROOM</t>
        </is>
      </c>
    </row>
    <row r="15" ht="38" customHeight="1">
      <c r="E15" s="23" t="inlineStr">
        <is>
          <t>Recoverable value ≈ 3.15% of annual contract value (base case = 9% leakage x 35% recovery).</t>
        </is>
      </c>
    </row>
    <row r="16" ht="22" customHeight="1">
      <c r="B16" s="13" t="inlineStr">
        <is>
          <t>3.  CALCULATIONS</t>
        </is>
      </c>
    </row>
    <row r="17">
      <c r="B17" s="24" t="inlineStr">
        <is>
          <t>Estimated leakage value (€)</t>
        </is>
      </c>
      <c r="C17" s="25">
        <f>C6*C8</f>
        <v/>
      </c>
    </row>
    <row r="18" ht="22" customHeight="1">
      <c r="B18" s="24" t="inlineStr">
        <is>
          <t>Estimated recoverable value (€)</t>
        </is>
      </c>
      <c r="C18" s="25">
        <f>C17*C9</f>
        <v/>
      </c>
      <c r="E18" s="5" t="inlineStr">
        <is>
          <t>THE OPENING LINE TO USE</t>
        </is>
      </c>
    </row>
    <row r="19">
      <c r="B19" s="24" t="inlineStr">
        <is>
          <t>Year 1 investment (€)</t>
        </is>
      </c>
      <c r="C19" s="25">
        <f>SUM(C12:C14)</f>
        <v/>
      </c>
      <c r="E19" s="26" t="inlineStr">
        <is>
          <t>"We typically identify €1–2M of recoverable value per €50M of contract volume. Our fee is a fraction of that."</t>
        </is>
      </c>
    </row>
    <row r="20">
      <c r="B20" s="24" t="inlineStr">
        <is>
          <t>Net year 1 value (€)</t>
        </is>
      </c>
      <c r="C20" s="25">
        <f>C18-C19</f>
        <v/>
      </c>
    </row>
    <row r="21">
      <c r="B21" s="27" t="inlineStr">
        <is>
          <t>ROI multiple (recoverable / investment)</t>
        </is>
      </c>
      <c r="C21" s="28">
        <f>IFERROR(C18/C19,0)</f>
        <v/>
      </c>
    </row>
    <row r="22">
      <c r="B22" s="27" t="inlineStr">
        <is>
          <t>Cost of doing nothing — 3 years (€)</t>
        </is>
      </c>
      <c r="C22" s="29">
        <f>C17*3</f>
        <v/>
      </c>
    </row>
    <row r="24" ht="22" customHeight="1">
      <c r="B24" s="13" t="inlineStr">
        <is>
          <t>4.  THREE-CASE SENSITIVITY</t>
        </is>
      </c>
    </row>
    <row r="25" ht="22" customHeight="1">
      <c r="B25" s="30" t="inlineStr">
        <is>
          <t>Scenario</t>
        </is>
      </c>
      <c r="C25" s="30" t="inlineStr">
        <is>
          <t>Leakage %</t>
        </is>
      </c>
      <c r="D25" s="30" t="inlineStr">
        <is>
          <t>Recoverable %</t>
        </is>
      </c>
      <c r="E25" s="30" t="inlineStr">
        <is>
          <t>Recoverable value (€)</t>
        </is>
      </c>
      <c r="F25" s="30" t="inlineStr">
        <is>
          <t>Year 1 investment (€)</t>
        </is>
      </c>
      <c r="G25" s="30" t="inlineStr">
        <is>
          <t>Net value (€)</t>
        </is>
      </c>
      <c r="H25" s="30" t="inlineStr">
        <is>
          <t>ROI multiple</t>
        </is>
      </c>
    </row>
    <row r="26">
      <c r="B26" s="31" t="inlineStr">
        <is>
          <t>Conservative</t>
        </is>
      </c>
      <c r="C26" s="32" t="n">
        <v>0.08</v>
      </c>
      <c r="D26" s="32" t="n">
        <v>0.3</v>
      </c>
      <c r="E26" s="33">
        <f>C6*C26*D26</f>
        <v/>
      </c>
      <c r="F26" s="34">
        <f>C19</f>
        <v/>
      </c>
      <c r="G26" s="34">
        <f>E26-F26</f>
        <v/>
      </c>
      <c r="H26" s="35">
        <f>IFERROR(E26/F26,0)</f>
        <v/>
      </c>
    </row>
    <row r="27">
      <c r="B27" s="36" t="inlineStr">
        <is>
          <t>Base</t>
        </is>
      </c>
      <c r="C27" s="32" t="n">
        <v>0.09</v>
      </c>
      <c r="D27" s="32" t="n">
        <v>0.35</v>
      </c>
      <c r="E27" s="37">
        <f>C6*C27*D27</f>
        <v/>
      </c>
      <c r="F27" s="34">
        <f>C19</f>
        <v/>
      </c>
      <c r="G27" s="34">
        <f>E27-F27</f>
        <v/>
      </c>
      <c r="H27" s="38">
        <f>IFERROR(E27/F27,0)</f>
        <v/>
      </c>
    </row>
    <row r="28">
      <c r="B28" s="39" t="inlineStr">
        <is>
          <t>Upside</t>
        </is>
      </c>
      <c r="C28" s="32" t="n">
        <v>0.11</v>
      </c>
      <c r="D28" s="32" t="n">
        <v>0.4</v>
      </c>
      <c r="E28" s="40">
        <f>C6*C28*D28</f>
        <v/>
      </c>
      <c r="F28" s="34">
        <f>C19</f>
        <v/>
      </c>
      <c r="G28" s="34">
        <f>E28-F28</f>
        <v/>
      </c>
      <c r="H28" s="41">
        <f>IFERROR(E28/F28,0)</f>
        <v/>
      </c>
    </row>
  </sheetData>
  <mergeCells count="11">
    <mergeCell ref="B16:C16"/>
    <mergeCell ref="B2:C2"/>
    <mergeCell ref="B11:C11"/>
    <mergeCell ref="E15:F15"/>
    <mergeCell ref="B3:C3"/>
    <mergeCell ref="B5:C5"/>
    <mergeCell ref="E5:F5"/>
    <mergeCell ref="B24:H24"/>
    <mergeCell ref="E14:F14"/>
    <mergeCell ref="E19:F22"/>
    <mergeCell ref="E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22" customWidth="1" min="4" max="4"/>
    <col width="18" customWidth="1" min="5" max="5"/>
    <col width="20" customWidth="1" min="6" max="6"/>
    <col width="22" customWidth="1" min="7" max="7"/>
    <col width="14" customWidth="1" min="8" max="8"/>
  </cols>
  <sheetData>
    <row r="2" ht="32" customHeight="1">
      <c r="B2" s="1" t="inlineStr">
        <is>
          <t>Pricing Examples — by portfolio size</t>
        </is>
      </c>
    </row>
    <row r="3" ht="22" customHeight="1">
      <c r="B3" s="2" t="inlineStr">
        <is>
          <t>Three reference deal shapes. Use these to anchor pricing in conversation.</t>
        </is>
      </c>
    </row>
    <row r="5" ht="22" customHeight="1">
      <c r="B5" s="30" t="inlineStr">
        <is>
          <t>Portfolio (€)</t>
        </is>
      </c>
      <c r="C5" s="30" t="inlineStr">
        <is>
          <t>Platform fee (€)</t>
        </is>
      </c>
      <c r="D5" s="30" t="inlineStr">
        <is>
          <t>Implementation (€)</t>
        </is>
      </c>
      <c r="E5" s="30" t="inlineStr">
        <is>
          <t>Connectors (€)</t>
        </is>
      </c>
      <c r="F5" s="30" t="inlineStr">
        <is>
          <t>Year 1 total (€)</t>
        </is>
      </c>
      <c r="G5" s="30" t="inlineStr">
        <is>
          <t>Recoverable — base (€)</t>
        </is>
      </c>
      <c r="H5" s="30" t="inlineStr">
        <is>
          <t>ROI</t>
        </is>
      </c>
    </row>
    <row r="6" ht="26" customHeight="1">
      <c r="B6" s="42" t="n">
        <v>20000000</v>
      </c>
      <c r="C6" s="43" t="n">
        <v>60000</v>
      </c>
      <c r="D6" s="43" t="n">
        <v>20000</v>
      </c>
      <c r="E6" s="43" t="n">
        <v>20000</v>
      </c>
      <c r="F6" s="44">
        <f>SUM(C6:E6)</f>
        <v/>
      </c>
      <c r="G6" s="45">
        <f>B6*0.09*0.35</f>
        <v/>
      </c>
      <c r="H6" s="28">
        <f>IFERROR(G6/F6,0)</f>
        <v/>
      </c>
    </row>
    <row r="7" ht="26" customHeight="1">
      <c r="B7" s="42" t="n">
        <v>50000000</v>
      </c>
      <c r="C7" s="43" t="n">
        <v>80000</v>
      </c>
      <c r="D7" s="43" t="n">
        <v>40000</v>
      </c>
      <c r="E7" s="43" t="n">
        <v>30000</v>
      </c>
      <c r="F7" s="44">
        <f>SUM(C7:E7)</f>
        <v/>
      </c>
      <c r="G7" s="45">
        <f>B7*0.09*0.35</f>
        <v/>
      </c>
      <c r="H7" s="28">
        <f>IFERROR(G7/F7,0)</f>
        <v/>
      </c>
    </row>
    <row r="8" ht="26" customHeight="1">
      <c r="B8" s="42" t="n">
        <v>150000000</v>
      </c>
      <c r="C8" s="43" t="n">
        <v>220000</v>
      </c>
      <c r="D8" s="43" t="n">
        <v>80000</v>
      </c>
      <c r="E8" s="43" t="n">
        <v>50000</v>
      </c>
      <c r="F8" s="44">
        <f>SUM(C8:E8)</f>
        <v/>
      </c>
      <c r="G8" s="45">
        <f>B8*0.09*0.35</f>
        <v/>
      </c>
      <c r="H8" s="28">
        <f>IFERROR(G8/F8,0)</f>
        <v/>
      </c>
    </row>
    <row r="11" ht="22" customHeight="1">
      <c r="B11" s="13" t="inlineStr">
        <is>
          <t>PRICING TIERS — WHAT YOU ACTUALLY SELL</t>
        </is>
      </c>
    </row>
    <row r="12" ht="22" customHeight="1">
      <c r="B12" s="46" t="inlineStr">
        <is>
          <t>Tier</t>
        </is>
      </c>
      <c r="C12" s="46" t="inlineStr">
        <is>
          <t>Range</t>
        </is>
      </c>
      <c r="D12" s="46" t="inlineStr">
        <is>
          <t>What's included</t>
        </is>
      </c>
      <c r="G12" s="46" t="inlineStr">
        <is>
          <t>Sell to</t>
        </is>
      </c>
    </row>
    <row r="13" ht="36" customHeight="1">
      <c r="B13" s="39" t="inlineStr">
        <is>
          <t>Tier 01 · Monitoring</t>
        </is>
      </c>
      <c r="C13" s="14" t="inlineStr">
        <is>
          <t>€40–60k</t>
        </is>
      </c>
      <c r="D13" s="9" t="inlineStr">
        <is>
          <t>Ingestion, extraction, risk scoring, renewal alerts, basic dashboard</t>
        </is>
      </c>
      <c r="G13" s="47" t="inlineStr">
        <is>
          <t>Procurement / Ops</t>
        </is>
      </c>
    </row>
    <row r="14" ht="36" customHeight="1">
      <c r="B14" s="36" t="inlineStr">
        <is>
          <t>Tier 02 · Recovery</t>
        </is>
      </c>
      <c r="C14" s="14" t="inlineStr">
        <is>
          <t>€60–120k</t>
        </is>
      </c>
      <c r="D14" s="9" t="inlineStr">
        <is>
          <t>+ SLA monitoring, obligation tracking, credit calculation, breach alerts</t>
        </is>
      </c>
      <c r="G14" s="47" t="inlineStr">
        <is>
          <t>Procurement + Finance</t>
        </is>
      </c>
    </row>
    <row r="15" ht="36" customHeight="1">
      <c r="B15" s="39" t="inlineStr">
        <is>
          <t>Tier 03 · Optimisation</t>
        </is>
      </c>
      <c r="C15" s="14" t="inlineStr">
        <is>
          <t>€120–250k+</t>
        </is>
      </c>
      <c r="D15" s="9" t="inlineStr">
        <is>
          <t>+ Relationship governance, vendor scoring, forecasting, AI recommendations</t>
        </is>
      </c>
      <c r="G15" s="47" t="inlineStr">
        <is>
          <t>CFO / COO</t>
        </is>
      </c>
    </row>
    <row r="17" ht="22" customHeight="1">
      <c r="B17" s="13" t="inlineStr">
        <is>
          <t>ADD-ONS &amp; FLOORS</t>
        </is>
      </c>
    </row>
    <row r="18" ht="22" customHeight="1">
      <c r="B18" s="24" t="inlineStr">
        <is>
          <t>Connector — ERP (SAP, Oracle, NetSuite)</t>
        </is>
      </c>
      <c r="C18" s="48" t="n"/>
      <c r="D18" s="48" t="n"/>
      <c r="E18" s="48" t="n"/>
      <c r="F18" s="48" t="n"/>
      <c r="G18" s="49" t="inlineStr">
        <is>
          <t>€20k / year</t>
        </is>
      </c>
      <c r="H18" s="48" t="n"/>
    </row>
    <row r="19" ht="22" customHeight="1">
      <c r="B19" s="24" t="inlineStr">
        <is>
          <t>Connector — ITSM (ServiceNow)</t>
        </is>
      </c>
      <c r="C19" s="48" t="n"/>
      <c r="D19" s="48" t="n"/>
      <c r="E19" s="48" t="n"/>
      <c r="F19" s="48" t="n"/>
      <c r="G19" s="49" t="inlineStr">
        <is>
          <t>€15k / year</t>
        </is>
      </c>
      <c r="H19" s="48" t="n"/>
    </row>
    <row r="20" ht="22" customHeight="1">
      <c r="B20" s="24" t="inlineStr">
        <is>
          <t>Connector — Finance / FX</t>
        </is>
      </c>
      <c r="C20" s="48" t="n"/>
      <c r="D20" s="48" t="n"/>
      <c r="E20" s="48" t="n"/>
      <c r="F20" s="48" t="n"/>
      <c r="G20" s="49" t="inlineStr">
        <is>
          <t>€10k / year</t>
        </is>
      </c>
      <c r="H20" s="48" t="n"/>
    </row>
    <row r="21" ht="22" customHeight="1">
      <c r="B21" s="24" t="inlineStr">
        <is>
          <t>Implementation — Lite (&lt;= 50 contracts)</t>
        </is>
      </c>
      <c r="C21" s="48" t="n"/>
      <c r="D21" s="48" t="n"/>
      <c r="E21" s="48" t="n"/>
      <c r="F21" s="48" t="n"/>
      <c r="G21" s="49" t="inlineStr">
        <is>
          <t>€15k one-off</t>
        </is>
      </c>
      <c r="H21" s="48" t="n"/>
    </row>
    <row r="22" ht="22" customHeight="1">
      <c r="B22" s="24" t="inlineStr">
        <is>
          <t>Implementation — Standard</t>
        </is>
      </c>
      <c r="C22" s="48" t="n"/>
      <c r="D22" s="48" t="n"/>
      <c r="E22" s="48" t="n"/>
      <c r="F22" s="48" t="n"/>
      <c r="G22" s="49" t="inlineStr">
        <is>
          <t>€25–50k one-off</t>
        </is>
      </c>
      <c r="H22" s="48" t="n"/>
    </row>
    <row r="23" ht="22" customHeight="1">
      <c r="B23" s="24" t="inlineStr">
        <is>
          <t>Implementation — Enterprise</t>
        </is>
      </c>
      <c r="C23" s="48" t="n"/>
      <c r="D23" s="48" t="n"/>
      <c r="E23" s="48" t="n"/>
      <c r="F23" s="48" t="n"/>
      <c r="G23" s="49" t="inlineStr">
        <is>
          <t>€50–120k one-off</t>
        </is>
      </c>
      <c r="H23" s="48" t="n"/>
    </row>
    <row r="24" ht="22" customHeight="1">
      <c r="B24" s="24" t="inlineStr">
        <is>
          <t>Platform floor — Mid-market minimum</t>
        </is>
      </c>
      <c r="C24" s="48" t="n"/>
      <c r="D24" s="48" t="n"/>
      <c r="E24" s="48" t="n"/>
      <c r="F24" s="48" t="n"/>
      <c r="G24" s="49" t="inlineStr">
        <is>
          <t>€40k / year</t>
        </is>
      </c>
      <c r="H24" s="48" t="n"/>
    </row>
    <row r="25" ht="22" customHeight="1">
      <c r="B25" s="24" t="inlineStr">
        <is>
          <t>Platform floor — Enterprise minimum</t>
        </is>
      </c>
      <c r="C25" s="48" t="n"/>
      <c r="D25" s="48" t="n"/>
      <c r="E25" s="48" t="n"/>
      <c r="F25" s="48" t="n"/>
      <c r="G25" s="49" t="inlineStr">
        <is>
          <t>€80k / year</t>
        </is>
      </c>
      <c r="H25" s="48" t="n"/>
    </row>
  </sheetData>
  <mergeCells count="23">
    <mergeCell ref="G21:H21"/>
    <mergeCell ref="D13:F13"/>
    <mergeCell ref="B25:F25"/>
    <mergeCell ref="B3:F3"/>
    <mergeCell ref="G23:H23"/>
    <mergeCell ref="B22:F22"/>
    <mergeCell ref="B18:F18"/>
    <mergeCell ref="B21:F21"/>
    <mergeCell ref="B2:F2"/>
    <mergeCell ref="G19:H19"/>
    <mergeCell ref="B23:F23"/>
    <mergeCell ref="G18:H18"/>
    <mergeCell ref="D15:F15"/>
    <mergeCell ref="D14:F14"/>
    <mergeCell ref="G24:H24"/>
    <mergeCell ref="B19:F19"/>
    <mergeCell ref="B11:H11"/>
    <mergeCell ref="G20:H20"/>
    <mergeCell ref="B17:H17"/>
    <mergeCell ref="B24:F24"/>
    <mergeCell ref="B20:F20"/>
    <mergeCell ref="G25:H25"/>
    <mergeCell ref="G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60" customWidth="1" min="4" max="4"/>
  </cols>
  <sheetData>
    <row r="1">
      <c r="A1" s="30" t="inlineStr">
        <is>
          <t>Scenario</t>
        </is>
      </c>
      <c r="B1" s="50" t="inlineStr">
        <is>
          <t>Leakage %</t>
        </is>
      </c>
      <c r="C1" s="50" t="inlineStr">
        <is>
          <t>Recoverable %</t>
        </is>
      </c>
      <c r="D1" s="30" t="inlineStr">
        <is>
          <t>Source note</t>
        </is>
      </c>
    </row>
    <row r="2" ht="42" customHeight="1">
      <c r="A2" s="27" t="inlineStr">
        <is>
          <t>Conservative</t>
        </is>
      </c>
      <c r="B2" s="51" t="n">
        <v>0.08</v>
      </c>
      <c r="C2" s="51" t="n">
        <v>0.3</v>
      </c>
      <c r="D2" s="52" t="inlineStr">
        <is>
          <t>Conservative end of industry range — used when buyer is sceptical or portfolio is well-managed already.</t>
        </is>
      </c>
    </row>
    <row r="3" ht="42" customHeight="1">
      <c r="A3" s="27" t="inlineStr">
        <is>
          <t>Base</t>
        </is>
      </c>
      <c r="B3" s="51" t="n">
        <v>0.09</v>
      </c>
      <c r="C3" s="51" t="n">
        <v>0.35</v>
      </c>
      <c r="D3" s="52" t="inlineStr">
        <is>
          <t>Base case — typical post-signature leakage across European mid-market portfolios with active management uplift.</t>
        </is>
      </c>
    </row>
    <row r="4" ht="42" customHeight="1">
      <c r="A4" s="27" t="inlineStr">
        <is>
          <t>Upside</t>
        </is>
      </c>
      <c r="B4" s="51" t="n">
        <v>0.11</v>
      </c>
      <c r="C4" s="51" t="n">
        <v>0.4</v>
      </c>
      <c r="D4" s="52" t="inlineStr">
        <is>
          <t>Upside case — applies to portfolios with high SLA spend, indexed pricing, multi-vendor complexity, no active execution programme today.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70" customWidth="1" min="3" max="3"/>
  </cols>
  <sheetData>
    <row r="2" ht="32" customHeight="1">
      <c r="B2" s="1" t="inlineStr">
        <is>
          <t>Glossary</t>
        </is>
      </c>
    </row>
    <row r="3" ht="22" customHeight="1">
      <c r="B3" s="2" t="inlineStr">
        <is>
          <t>What each term means — defensibly. Use these definitions in conversation.</t>
        </is>
      </c>
    </row>
    <row r="5" ht="56" customHeight="1">
      <c r="B5" s="53" t="inlineStr">
        <is>
          <t>Annual contract value (ACVUM)</t>
        </is>
      </c>
      <c r="C5" s="54" t="inlineStr">
        <is>
          <t>Total annual euro value of the supplier or customer contracts in scope for visibility. Not lifetime contract value, not enterprise revenue — only the portfolio under management.</t>
        </is>
      </c>
    </row>
    <row r="6" ht="56" customHeight="1">
      <c r="B6" s="53" t="inlineStr">
        <is>
          <t>Leakage</t>
        </is>
      </c>
      <c r="C6" s="54" t="inlineStr">
        <is>
          <t>The gap between the value a contract was signed for and the value the buyer (or seller) actually realises. Sources: missed obligations, unenforced SLAs, accidental renewals, off-contract spend, scope creep, missed rebates.</t>
        </is>
      </c>
    </row>
    <row r="7" ht="56" customHeight="1">
      <c r="B7" s="53" t="inlineStr">
        <is>
          <t>Recoverable share</t>
        </is>
      </c>
      <c r="C7" s="54" t="inlineStr">
        <is>
          <t>Portion of identified leakage that can be closed under active management. 30–40% is the published industry benchmark; we use 35% in the base case.</t>
        </is>
      </c>
    </row>
    <row r="8" ht="56" customHeight="1">
      <c r="B8" s="53" t="inlineStr">
        <is>
          <t>Year 1 investment</t>
        </is>
      </c>
      <c r="C8" s="54" t="inlineStr">
        <is>
          <t>Platform fee + implementation + connector / integration fees. After year 1, only the platform fee plus connector fees recur.</t>
        </is>
      </c>
    </row>
    <row r="9" ht="56" customHeight="1">
      <c r="B9" s="53" t="inlineStr">
        <is>
          <t>ROI multiple</t>
        </is>
      </c>
      <c r="C9" s="54" t="inlineStr">
        <is>
          <t>Recoverable value / year 1 investment. CFO mental model: &lt; 3x reject · 5–10x consider · &gt; 10x approve.</t>
        </is>
      </c>
    </row>
    <row r="10" ht="56" customHeight="1">
      <c r="B10" s="53" t="inlineStr">
        <is>
          <t>Cost of doing nothing</t>
        </is>
      </c>
      <c r="C10" s="54" t="inlineStr">
        <is>
          <t>Leakage value x number of years the gap persists. Used to anchor the urgency of acting now vs deferring.</t>
        </is>
      </c>
    </row>
    <row r="11" ht="56" customHeight="1">
      <c r="B11" s="53" t="inlineStr">
        <is>
          <t>Tier 01 · Monitoring</t>
        </is>
      </c>
      <c r="C11" s="54" t="inlineStr">
        <is>
          <t>Entry product. Contract ingestion, extraction, risk scoring, renewal alerts, basic dashboard. The land deal.</t>
        </is>
      </c>
    </row>
    <row r="12" ht="56" customHeight="1">
      <c r="B12" s="53" t="inlineStr">
        <is>
          <t>Tier 02 · Recovery</t>
        </is>
      </c>
      <c r="C12" s="54" t="inlineStr">
        <is>
          <t>Core revenue tier. Adds SLA monitoring, obligation tracking, credit calculation, breach alerts. Where the credit math closes the ROI gap.</t>
        </is>
      </c>
    </row>
    <row r="13" ht="56" customHeight="1">
      <c r="B13" s="53" t="inlineStr">
        <is>
          <t>Tier 03 · Optimisation</t>
        </is>
      </c>
      <c r="C13" s="54" t="inlineStr">
        <is>
          <t>Strategic tier. Adds relationship governance, vendor scoring, forecasting, AI recommendations. CFO/COO level.</t>
        </is>
      </c>
    </row>
    <row r="14" ht="56" customHeight="1">
      <c r="B14" s="53" t="inlineStr">
        <is>
          <t>Connector</t>
        </is>
      </c>
      <c r="C14" s="54" t="inlineStr">
        <is>
          <t>An integration with an operational system (ServiceNow, SAP, Oracle, central bank FX feed). Priced separately because it requires scoped engineering work.</t>
        </is>
      </c>
    </row>
    <row r="15" ht="56" customHeight="1">
      <c r="B15" s="53" t="inlineStr">
        <is>
          <t>Perception gap</t>
        </is>
      </c>
      <c r="C15" s="54" t="inlineStr">
        <is>
          <t>The numerical difference between how the buyer scores a vendor relationship and how the vendor scores the same relationship — measured along the same KPI definitions. Closes the loop on relationship governance.</t>
        </is>
      </c>
    </row>
  </sheetData>
  <mergeCells count="2">
    <mergeCell ref="B3:C3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2026-05-31T13:58:06Z</dcterms:created>
  <dcterms:modified xmlns:dcterms="http://purl.org/dc/terms/" xmlns:xsi="http://www.w3.org/2001/XMLSchema-instance" xsi:type="dcterms:W3CDTF">2026-05-31T13:58:06Z</dcterms:modified>
</cp:coreProperties>
</file>
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1" activeTab="1" autoFilterDateGrouping="1"/>
  </bookViews>
  <sheets>
    <sheet xmlns:r="http://schemas.openxmlformats.org/officeDocument/2006/relationships" name="BExRepositorySheet" sheetId="1" state="hidden" r:id="rId1"/>
    <sheet xmlns:r="http://schemas.openxmlformats.org/officeDocument/2006/relationships" name="Cover Page" sheetId="2" state="visible" r:id="rId2"/>
    <sheet xmlns:r="http://schemas.openxmlformats.org/officeDocument/2006/relationships" name="CD" sheetId="3" state="visible" r:id="rId3"/>
    <sheet xmlns:r="http://schemas.openxmlformats.org/officeDocument/2006/relationships" name="CSL" sheetId="4" state="visible" r:id="rId4"/>
    <sheet xmlns:r="http://schemas.openxmlformats.org/officeDocument/2006/relationships" name="KM" sheetId="5" state="visible" r:id="rId5"/>
  </sheets>
  <externalReferences>
    <externalReference xmlns:r="http://schemas.openxmlformats.org/officeDocument/2006/relationships" r:id="rId6"/>
  </externalReferences>
  <definedNames>
    <definedName name="Baseline" hidden="0" function="0" vbProcedure="0">#REF!</definedName>
    <definedName name="Check" hidden="0" function="0" vbProcedure="0">[1]Save!$B$9</definedName>
    <definedName name="Frequency" hidden="0" function="0" vbProcedure="0">[1]Save!$B$1:$B$6</definedName>
    <definedName name="_xlnm.Print_Area" localSheetId="3">'CSL'!$B$2:$H$62</definedName>
    <definedName name="_xlnm.Print_Area" localSheetId="4">'KM'!$A$5:$H$59</definedName>
  </definedNames>
  <calcPr calcId="124519" fullCalcOnLoad="1" refMode="A1" iterate="0" iterateCount="100" iterateDelta="0.001"/>
</workbook>
</file>

<file path=xl/styles.xml><?xml version="1.0" encoding="utf-8"?>
<styleSheet xmlns="http://schemas.openxmlformats.org/spreadsheetml/2006/main">
  <numFmts count="4">
    <numFmt numFmtId="164" formatCode="[$-409]d\-mmm\-yy;@"/>
    <numFmt numFmtId="165" formatCode="0.0%"/>
    <numFmt numFmtId="166" formatCode="\$#,##0_);[RED]&quot;($&quot;#,##0\)"/>
    <numFmt numFmtId="167" formatCode="[$-409]d\-mmm"/>
  </numFmts>
  <fonts count="25">
    <font>
      <name val="Arial"/>
      <family val="0"/>
      <sz val="10"/>
    </font>
    <font>
      <name val="Arial"/>
      <family val="0"/>
      <sz val="10"/>
    </font>
    <font>
      <name val="Arial"/>
      <family val="0"/>
      <sz val="10"/>
    </font>
    <font>
      <name val="Arial"/>
      <family val="0"/>
      <sz val="10"/>
    </font>
    <font>
      <name val="Times New Roman"/>
      <family val="1"/>
      <sz val="10"/>
    </font>
    <font>
      <name val="Times New Roman"/>
      <family val="1"/>
      <b val="1"/>
      <sz val="16"/>
    </font>
    <font>
      <name val="Times New Roman"/>
      <family val="1"/>
      <sz val="11"/>
    </font>
    <font>
      <name val="Arial"/>
      <family val="0"/>
      <sz val="11"/>
    </font>
    <font>
      <name val="Times New Roman"/>
      <family val="1"/>
      <sz val="8"/>
    </font>
    <font>
      <name val="Times New Roman"/>
      <family val="1"/>
      <b val="1"/>
      <sz val="11"/>
    </font>
    <font>
      <name val="Times New Roman"/>
      <family val="1"/>
      <b val="1"/>
      <sz val="14"/>
    </font>
    <font>
      <name val="Times New Roman"/>
      <family val="1"/>
      <b val="1"/>
      <sz val="10"/>
    </font>
    <font>
      <name val="Times New Roman"/>
      <family val="1"/>
      <strike val="1"/>
      <sz val="11"/>
    </font>
    <font>
      <name val="Times New Roman"/>
      <family val="1"/>
      <b val="1"/>
      <i val="1"/>
      <sz val="11"/>
    </font>
    <font>
      <name val="Times New Roman"/>
      <family val="1"/>
      <b val="1"/>
      <i val="1"/>
      <sz val="10"/>
    </font>
    <font>
      <name val="Times New Roman"/>
      <family val="1"/>
      <b val="1"/>
      <sz val="9"/>
    </font>
    <font>
      <name val="Arial"/>
      <family val="2"/>
      <sz val="10"/>
    </font>
    <font>
      <name val="Arial"/>
      <family val="2"/>
      <sz val="11"/>
    </font>
    <font>
      <name val="Times New Roman"/>
      <family val="1"/>
      <sz val="9"/>
    </font>
    <font>
      <name val="Times New Roman"/>
      <family val="1"/>
      <b val="1"/>
      <sz val="12"/>
    </font>
    <font>
      <name val="Arial"/>
      <family val="2"/>
      <b val="1"/>
      <sz val="11"/>
    </font>
    <font>
      <name val="Arial"/>
      <family val="2"/>
      <b val="1"/>
      <sz val="10"/>
    </font>
    <font>
      <name val="Times New Roman"/>
      <family val="1"/>
      <color rgb="FF000000"/>
      <sz val="11"/>
    </font>
    <font>
      <name val="Times New Roman"/>
      <family val="1"/>
      <color rgb="FF000000"/>
      <sz val="10"/>
    </font>
    <font>
      <name val="Times New Roman"/>
      <family val="1"/>
      <i val="1"/>
      <sz val="11"/>
    </font>
  </fonts>
  <fills count="4">
    <fill>
      <patternFill/>
    </fill>
    <fill>
      <patternFill patternType="gray125"/>
    </fill>
    <fill>
      <patternFill patternType="solid">
        <fgColor rgb="FFCCFFCC"/>
        <bgColor rgb="FFCCFFFF"/>
      </patternFill>
    </fill>
    <fill>
      <patternFill patternType="solid">
        <fgColor rgb="FFFFFF99"/>
        <bgColor rgb="FFFFFFCC"/>
      </patternFill>
    </fill>
  </fills>
  <borders count="25">
    <border>
      <left/>
      <right/>
      <top/>
      <bottom/>
      <diagonal/>
    </border>
    <border>
      <left style="thin"/>
      <right style="thin"/>
      <top style="thin"/>
      <bottom/>
      <diagonal/>
    </border>
    <border>
      <left style="thin"/>
      <right style="thin"/>
      <top/>
      <bottom/>
      <diagonal/>
    </border>
    <border>
      <left style="thin"/>
      <right style="thin"/>
      <top/>
      <bottom style="thin"/>
      <diagonal/>
    </border>
    <border>
      <left style="thin"/>
      <right style="thin"/>
      <top style="thin"/>
      <bottom style="thin"/>
      <diagonal/>
    </border>
    <border>
      <left style="double"/>
      <right/>
      <top style="double"/>
      <bottom/>
      <diagonal/>
    </border>
    <border>
      <left/>
      <right/>
      <top style="double"/>
      <bottom/>
      <diagonal/>
    </border>
    <border>
      <left/>
      <right style="thin"/>
      <top style="double"/>
      <bottom/>
      <diagonal/>
    </border>
    <border>
      <left/>
      <right style="double"/>
      <top style="double"/>
      <bottom/>
      <diagonal/>
    </border>
    <border>
      <left style="double"/>
      <right/>
      <top/>
      <bottom/>
      <diagonal/>
    </border>
    <border>
      <left/>
      <right style="thin"/>
      <top/>
      <bottom/>
      <diagonal/>
    </border>
    <border>
      <left/>
      <right style="double"/>
      <top/>
      <bottom/>
      <diagonal/>
    </border>
    <border>
      <left style="double"/>
      <right/>
      <top/>
      <bottom style="double"/>
      <diagonal/>
    </border>
    <border>
      <left/>
      <right/>
      <top/>
      <bottom style="double"/>
      <diagonal/>
    </border>
    <border>
      <left/>
      <right style="thin"/>
      <top/>
      <bottom style="double"/>
      <diagonal/>
    </border>
    <border>
      <left/>
      <right style="double"/>
      <top/>
      <bottom style="double"/>
      <diagonal/>
    </border>
    <border>
      <left style="thin"/>
      <right/>
      <top style="thin"/>
      <bottom style="thin"/>
      <diagonal/>
    </border>
    <border>
      <left/>
      <right/>
      <top style="thin"/>
      <bottom style="thin"/>
      <diagonal/>
    </border>
    <border>
      <left/>
      <right style="thin"/>
      <top style="thin"/>
      <bottom/>
      <diagonal/>
    </border>
    <border>
      <left style="thin"/>
      <right/>
      <top/>
      <bottom style="thin"/>
      <diagonal/>
    </border>
    <border>
      <left/>
      <right style="thin"/>
      <top/>
      <bottom style="thin"/>
      <diagonal/>
    </border>
    <border>
      <left/>
      <right/>
      <top/>
      <bottom style="thin"/>
      <diagonal/>
    </border>
    <border>
      <left style="thin"/>
      <right/>
      <top/>
      <bottom/>
      <diagonal/>
    </border>
    <border>
      <left/>
      <right style="thin"/>
      <top style="thin"/>
      <bottom style="thin"/>
      <diagonal/>
    </border>
    <border>
      <left style="thin"/>
      <right/>
      <top style="thin"/>
      <bottom/>
      <diagonal/>
    </border>
  </borders>
  <cellStyleXfs count="8">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applyAlignment="1">
      <alignment horizontal="general" vertical="bottom"/>
    </xf>
    <xf numFmtId="0" fontId="3" fillId="0" borderId="0" applyAlignment="1">
      <alignment horizontal="general" vertical="bottom"/>
    </xf>
    <xf numFmtId="0" fontId="4" fillId="0" borderId="0" applyAlignment="1">
      <alignment horizontal="general" vertical="bottom"/>
    </xf>
  </cellStyleXfs>
  <cellXfs count="32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21">
      <alignment horizontal="general" vertical="bottom"/>
    </xf>
    <xf numFmtId="0" fontId="5" fillId="0" borderId="0" applyAlignment="1" pivotButton="0" quotePrefix="0" xfId="21">
      <alignment horizontal="center" vertical="bottom"/>
    </xf>
    <xf numFmtId="0" fontId="5" fillId="0" borderId="0" applyAlignment="1" pivotButton="0" quotePrefix="0" xfId="0">
      <alignment horizontal="center" vertical="bottom"/>
    </xf>
    <xf numFmtId="164" fontId="5" fillId="0" borderId="0" applyAlignment="1" pivotButton="0" quotePrefix="0" xfId="21">
      <alignment horizontal="center" vertical="bottom"/>
    </xf>
    <xf numFmtId="0" fontId="6" fillId="0" borderId="1" applyAlignment="1" pivotButton="0" quotePrefix="0" xfId="21">
      <alignment horizontal="center" vertical="bottom" wrapText="1"/>
    </xf>
    <xf numFmtId="0" fontId="6" fillId="0" borderId="2" applyAlignment="1" pivotButton="0" quotePrefix="0" xfId="21">
      <alignment horizontal="center" vertical="bottom" wrapText="1"/>
    </xf>
    <xf numFmtId="0" fontId="6" fillId="0" borderId="3" applyAlignment="1" pivotButton="0" quotePrefix="0" xfId="21">
      <alignment horizontal="center" vertical="bottom" wrapText="1"/>
    </xf>
    <xf numFmtId="0" fontId="6" fillId="0" borderId="0" applyAlignment="1" pivotButton="0" quotePrefix="0" xfId="21">
      <alignment horizontal="general" vertical="bottom"/>
    </xf>
    <xf numFmtId="0" fontId="7"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wrapText="1"/>
    </xf>
    <xf numFmtId="0" fontId="4" fillId="0" borderId="0" applyAlignment="1" pivotButton="0" quotePrefix="0" xfId="0">
      <alignment horizontal="general" vertical="bottom"/>
    </xf>
    <xf numFmtId="165" fontId="4" fillId="0" borderId="0" applyAlignment="1" pivotButton="0" quotePrefix="0" xfId="0">
      <alignment horizontal="center" vertical="bottom"/>
    </xf>
    <xf numFmtId="0" fontId="8" fillId="0" borderId="0" applyAlignment="1" pivotButton="0" quotePrefix="0" xfId="0">
      <alignment horizontal="center" vertical="bottom"/>
    </xf>
    <xf numFmtId="10" fontId="0" fillId="0" borderId="0" applyAlignment="1" pivotButton="0" quotePrefix="0" xfId="0">
      <alignment horizontal="general" vertical="bottom"/>
    </xf>
    <xf numFmtId="0" fontId="8" fillId="0" borderId="0" applyAlignment="1" pivotButton="0" quotePrefix="0" xfId="0">
      <alignment horizontal="left" vertical="bottom"/>
    </xf>
    <xf numFmtId="0" fontId="9" fillId="0" borderId="0" applyAlignment="1" pivotButton="0" quotePrefix="0" xfId="0">
      <alignment horizontal="general" vertical="bottom" wrapText="1"/>
    </xf>
    <xf numFmtId="0" fontId="10" fillId="0" borderId="0" applyAlignment="1" pivotButton="0" quotePrefix="0" xfId="0">
      <alignment horizontal="general" vertical="bottom"/>
    </xf>
    <xf numFmtId="0" fontId="11" fillId="0" borderId="0" applyAlignment="1" pivotButton="0" quotePrefix="0" xfId="0">
      <alignment horizontal="center" vertical="bottom"/>
    </xf>
    <xf numFmtId="0" fontId="6" fillId="2" borderId="4" applyAlignment="1" pivotButton="0" quotePrefix="0" xfId="0">
      <alignment horizontal="center" vertical="top" wrapText="1"/>
    </xf>
    <xf numFmtId="0" fontId="9" fillId="2" borderId="4" applyAlignment="1" pivotButton="0" quotePrefix="0" xfId="0">
      <alignment horizontal="center" vertical="top" wrapText="1"/>
    </xf>
    <xf numFmtId="0" fontId="10" fillId="2" borderId="4" applyAlignment="1" pivotButton="0" quotePrefix="0" xfId="0">
      <alignment horizontal="center" vertical="top"/>
    </xf>
    <xf numFmtId="0" fontId="8" fillId="2" borderId="4" applyAlignment="1" pivotButton="0" quotePrefix="0" xfId="0">
      <alignment horizontal="center" vertical="top"/>
    </xf>
    <xf numFmtId="0" fontId="8" fillId="2" borderId="4" applyAlignment="1" pivotButton="0" quotePrefix="0" xfId="0">
      <alignment horizontal="center" vertical="top" wrapText="1"/>
    </xf>
    <xf numFmtId="10" fontId="4" fillId="0" borderId="0" applyAlignment="1" pivotButton="0" quotePrefix="0" xfId="0">
      <alignment horizontal="general" vertical="bottom"/>
    </xf>
    <xf numFmtId="0" fontId="6" fillId="0" borderId="4" applyAlignment="1" pivotButton="0" quotePrefix="0" xfId="0">
      <alignment horizontal="center" vertical="top"/>
    </xf>
    <xf numFmtId="0" fontId="9" fillId="0" borderId="4" applyAlignment="1" pivotButton="0" quotePrefix="0" xfId="0">
      <alignment horizontal="general" vertical="top" wrapText="1"/>
    </xf>
    <xf numFmtId="0" fontId="6" fillId="0" borderId="4" applyAlignment="1" pivotButton="0" quotePrefix="0" xfId="0">
      <alignment horizontal="justify" vertical="top" wrapText="1"/>
    </xf>
    <xf numFmtId="10" fontId="6" fillId="0" borderId="4" applyAlignment="1" pivotButton="0" quotePrefix="0" xfId="0">
      <alignment horizontal="center" vertical="top" wrapText="1"/>
    </xf>
    <xf numFmtId="166" fontId="6" fillId="0" borderId="4" applyAlignment="1" pivotButton="0" quotePrefix="0" xfId="0">
      <alignment horizontal="center" vertical="top" wrapText="1"/>
    </xf>
    <xf numFmtId="0" fontId="6" fillId="0" borderId="4" applyAlignment="1" pivotButton="0" quotePrefix="0" xfId="0">
      <alignment horizontal="general" vertical="top" wrapText="1"/>
    </xf>
    <xf numFmtId="0" fontId="13" fillId="0" borderId="0" applyAlignment="1" pivotButton="0" quotePrefix="0" xfId="0">
      <alignment horizontal="general" vertical="bottom" wrapText="1"/>
    </xf>
    <xf numFmtId="0" fontId="14" fillId="0" borderId="0" applyAlignment="1" pivotButton="0" quotePrefix="0" xfId="0">
      <alignment horizontal="general" vertical="bottom"/>
    </xf>
    <xf numFmtId="0" fontId="4" fillId="0" borderId="0" applyAlignment="1" pivotButton="0" quotePrefix="0" xfId="0">
      <alignment horizontal="center" vertical="bottom"/>
    </xf>
    <xf numFmtId="166" fontId="4" fillId="0" borderId="0" applyAlignment="1" pivotButton="0" quotePrefix="0" xfId="0">
      <alignment horizontal="center" vertical="bottom"/>
    </xf>
    <xf numFmtId="0" fontId="4" fillId="0" borderId="0" applyAlignment="1" pivotButton="0" quotePrefix="0" xfId="0">
      <alignment horizontal="general" vertical="bottom"/>
    </xf>
    <xf numFmtId="0" fontId="9" fillId="0" borderId="0" applyAlignment="1" pivotButton="0" quotePrefix="0" xfId="0">
      <alignment horizontal="general" vertical="bottom" wrapText="1"/>
    </xf>
    <xf numFmtId="0" fontId="9" fillId="0" borderId="0" applyAlignment="1" pivotButton="0" quotePrefix="0" xfId="0">
      <alignment horizontal="general" vertical="bottom"/>
    </xf>
    <xf numFmtId="0" fontId="6" fillId="0" borderId="0" applyAlignment="1" pivotButton="0" quotePrefix="0" xfId="0">
      <alignment horizontal="center" vertical="center"/>
    </xf>
    <xf numFmtId="0" fontId="0" fillId="0" borderId="0" applyAlignment="1" pivotButton="0" quotePrefix="0" xfId="0">
      <alignment horizontal="left" vertical="bottom"/>
    </xf>
    <xf numFmtId="0" fontId="6" fillId="0" borderId="0" applyAlignment="1" pivotButton="0" quotePrefix="0" xfId="0">
      <alignment horizontal="center" vertical="bottom"/>
    </xf>
    <xf numFmtId="0" fontId="4" fillId="0" borderId="0" applyAlignment="1" pivotButton="0" quotePrefix="0" xfId="0">
      <alignment horizontal="left" vertical="bottom"/>
    </xf>
    <xf numFmtId="0" fontId="9" fillId="0" borderId="0" applyAlignment="1" pivotButton="0" quotePrefix="0" xfId="0">
      <alignment horizontal="center" vertical="bottom"/>
    </xf>
    <xf numFmtId="0" fontId="9" fillId="2" borderId="5" applyAlignment="1" pivotButton="0" quotePrefix="0" xfId="0">
      <alignment horizontal="left" vertical="bottom"/>
    </xf>
    <xf numFmtId="0" fontId="6" fillId="2" borderId="6" applyAlignment="1" pivotButton="0" quotePrefix="0" xfId="0">
      <alignment horizontal="general" vertical="bottom"/>
    </xf>
    <xf numFmtId="0" fontId="15" fillId="2" borderId="6" applyAlignment="1" pivotButton="0" quotePrefix="0" xfId="0">
      <alignment horizontal="center" vertical="bottom"/>
    </xf>
    <xf numFmtId="0" fontId="11" fillId="2" borderId="6" applyAlignment="1" pivotButton="0" quotePrefix="0" xfId="0">
      <alignment horizontal="center" vertical="bottom"/>
    </xf>
    <xf numFmtId="9" fontId="11" fillId="2" borderId="7" applyAlignment="1" pivotButton="0" quotePrefix="0" xfId="0">
      <alignment horizontal="center" vertical="bottom"/>
    </xf>
    <xf numFmtId="0" fontId="11" fillId="2" borderId="6" applyAlignment="1" pivotButton="0" quotePrefix="0" xfId="0">
      <alignment horizontal="general" vertical="bottom"/>
    </xf>
    <xf numFmtId="9" fontId="11" fillId="2" borderId="8" applyAlignment="1" pivotButton="0" quotePrefix="0" xfId="0">
      <alignment horizontal="right" vertical="bottom"/>
    </xf>
    <xf numFmtId="9" fontId="11" fillId="2" borderId="0" applyAlignment="1" pivotButton="0" quotePrefix="0" xfId="0">
      <alignment horizontal="right" vertical="bottom"/>
    </xf>
    <xf numFmtId="0" fontId="9" fillId="2" borderId="9" applyAlignment="1" pivotButton="0" quotePrefix="0" xfId="0">
      <alignment horizontal="left" vertical="bottom"/>
    </xf>
    <xf numFmtId="0" fontId="9" fillId="2" borderId="0" applyAlignment="1" pivotButton="0" quotePrefix="0" xfId="0">
      <alignment horizontal="general" vertical="bottom"/>
    </xf>
    <xf numFmtId="0" fontId="11" fillId="2" borderId="0" applyAlignment="1" pivotButton="0" quotePrefix="0" xfId="0">
      <alignment horizontal="center" vertical="bottom"/>
    </xf>
    <xf numFmtId="9" fontId="11" fillId="2" borderId="10" applyAlignment="1" pivotButton="0" quotePrefix="0" xfId="0">
      <alignment horizontal="center" vertical="bottom"/>
    </xf>
    <xf numFmtId="0" fontId="11" fillId="2" borderId="0" applyAlignment="1" pivotButton="0" quotePrefix="0" xfId="0">
      <alignment horizontal="general" vertical="bottom"/>
    </xf>
    <xf numFmtId="9" fontId="11" fillId="2" borderId="11" applyAlignment="1" pivotButton="0" quotePrefix="0" xfId="0">
      <alignment horizontal="right" vertical="bottom"/>
    </xf>
    <xf numFmtId="0" fontId="9" fillId="2" borderId="12" applyAlignment="1" pivotButton="0" quotePrefix="0" xfId="0">
      <alignment horizontal="left" vertical="bottom"/>
    </xf>
    <xf numFmtId="0" fontId="9" fillId="2" borderId="13" applyAlignment="1" pivotButton="0" quotePrefix="0" xfId="0">
      <alignment horizontal="general" vertical="bottom"/>
    </xf>
    <xf numFmtId="0" fontId="11" fillId="2" borderId="13" applyAlignment="1" pivotButton="0" quotePrefix="0" xfId="0">
      <alignment horizontal="center" vertical="bottom"/>
    </xf>
    <xf numFmtId="9" fontId="11" fillId="2" borderId="14" applyAlignment="1" pivotButton="0" quotePrefix="0" xfId="0">
      <alignment horizontal="center" vertical="bottom"/>
    </xf>
    <xf numFmtId="0" fontId="11" fillId="2" borderId="13" applyAlignment="1" pivotButton="0" quotePrefix="0" xfId="0">
      <alignment horizontal="general" vertical="bottom"/>
    </xf>
    <xf numFmtId="9" fontId="11" fillId="2" borderId="15" applyAlignment="1" pivotButton="0" quotePrefix="0" xfId="0">
      <alignment horizontal="right" vertical="bottom"/>
    </xf>
    <xf numFmtId="0" fontId="16" fillId="0" borderId="0" applyAlignment="1" pivotButton="0" quotePrefix="0" xfId="0">
      <alignment horizontal="center" vertical="bottom" wrapText="1"/>
    </xf>
    <xf numFmtId="3" fontId="11" fillId="2" borderId="15" applyAlignment="1" pivotButton="0" quotePrefix="0" xfId="0">
      <alignment horizontal="center" vertical="bottom"/>
    </xf>
    <xf numFmtId="3" fontId="11" fillId="2" borderId="0" applyAlignment="1" pivotButton="0" quotePrefix="0" xfId="0">
      <alignment horizontal="center" vertical="bottom"/>
    </xf>
    <xf numFmtId="0" fontId="0" fillId="0" borderId="0" applyAlignment="1" pivotButton="0" quotePrefix="0" xfId="0">
      <alignment horizontal="left" vertical="bottom"/>
    </xf>
    <xf numFmtId="0" fontId="4" fillId="0" borderId="0" applyAlignment="1" pivotButton="0" quotePrefix="0" xfId="0">
      <alignment horizontal="center" vertical="bottom"/>
    </xf>
    <xf numFmtId="0" fontId="4" fillId="0" borderId="0" applyAlignment="1" pivotButton="0" quotePrefix="0" xfId="0">
      <alignment horizontal="general" vertical="bottom"/>
    </xf>
    <xf numFmtId="9" fontId="4" fillId="0" borderId="0" applyAlignment="1" pivotButton="0" quotePrefix="0" xfId="0">
      <alignment horizontal="left" vertical="bottom"/>
    </xf>
    <xf numFmtId="0" fontId="6" fillId="0" borderId="0" applyAlignment="1" pivotButton="0" quotePrefix="0" xfId="0">
      <alignment horizontal="left" vertical="bottom"/>
    </xf>
    <xf numFmtId="0" fontId="6" fillId="0" borderId="0" applyAlignment="1" pivotButton="0" quotePrefix="0" xfId="0">
      <alignment horizontal="general" vertical="bottom"/>
    </xf>
    <xf numFmtId="0" fontId="17" fillId="3" borderId="16" applyAlignment="1" pivotButton="0" quotePrefix="0" xfId="0">
      <alignment horizontal="left" vertical="bottom"/>
    </xf>
    <xf numFmtId="0" fontId="17" fillId="3" borderId="17" applyAlignment="1" pivotButton="0" quotePrefix="0" xfId="0">
      <alignment horizontal="right" vertical="bottom"/>
    </xf>
    <xf numFmtId="9" fontId="16" fillId="3" borderId="17" applyAlignment="1" pivotButton="0" quotePrefix="0" xfId="0">
      <alignment horizontal="center" vertical="bottom"/>
    </xf>
    <xf numFmtId="0" fontId="4" fillId="2" borderId="1" applyAlignment="1" pivotButton="0" quotePrefix="0" xfId="0">
      <alignment horizontal="center" vertical="bottom"/>
    </xf>
    <xf numFmtId="165" fontId="4" fillId="2" borderId="1" applyAlignment="1" pivotButton="0" quotePrefix="0" xfId="0">
      <alignment horizontal="center" vertical="bottom"/>
    </xf>
    <xf numFmtId="0" fontId="4" fillId="2" borderId="18" applyAlignment="1" pivotButton="0" quotePrefix="0" xfId="0">
      <alignment horizontal="center" vertical="bottom"/>
    </xf>
    <xf numFmtId="0" fontId="6" fillId="0" borderId="0" applyAlignment="1" pivotButton="0" quotePrefix="0" xfId="0">
      <alignment horizontal="center" vertical="center" wrapText="1"/>
    </xf>
    <xf numFmtId="0" fontId="9" fillId="2" borderId="19" applyAlignment="1" pivotButton="0" quotePrefix="0" xfId="0">
      <alignment horizontal="left" vertical="bottom"/>
    </xf>
    <xf numFmtId="0" fontId="9" fillId="2" borderId="19" applyAlignment="1" pivotButton="0" quotePrefix="0" xfId="0">
      <alignment horizontal="center" vertical="bottom"/>
    </xf>
    <xf numFmtId="0" fontId="8" fillId="2" borderId="4" applyAlignment="1" pivotButton="0" quotePrefix="0" xfId="0">
      <alignment horizontal="center" vertical="bottom"/>
    </xf>
    <xf numFmtId="0" fontId="8" fillId="2" borderId="3" applyAlignment="1" pivotButton="0" quotePrefix="0" xfId="0">
      <alignment horizontal="center" vertical="bottom"/>
    </xf>
    <xf numFmtId="0" fontId="4" fillId="2" borderId="3" applyAlignment="1" pivotButton="0" quotePrefix="0" xfId="0">
      <alignment horizontal="center" vertical="bottom"/>
    </xf>
    <xf numFmtId="0" fontId="18" fillId="2" borderId="3" applyAlignment="1" pivotButton="0" quotePrefix="0" xfId="0">
      <alignment horizontal="general" vertical="bottom"/>
    </xf>
    <xf numFmtId="0" fontId="4" fillId="2" borderId="20" applyAlignment="1" pivotButton="0" quotePrefix="0" xfId="0">
      <alignment horizontal="center" vertical="bottom"/>
    </xf>
    <xf numFmtId="0" fontId="4" fillId="0" borderId="4" applyAlignment="1" pivotButton="0" quotePrefix="0" xfId="0">
      <alignment horizontal="left" vertical="top" wrapText="1"/>
    </xf>
    <xf numFmtId="0" fontId="4" fillId="0" borderId="4" applyAlignment="1" pivotButton="0" quotePrefix="0" xfId="0">
      <alignment horizontal="general" vertical="top" wrapText="1"/>
    </xf>
    <xf numFmtId="0" fontId="4" fillId="0" borderId="4" applyAlignment="1" pivotButton="0" quotePrefix="0" xfId="0">
      <alignment horizontal="center" vertical="bottom"/>
    </xf>
    <xf numFmtId="10" fontId="4" fillId="0" borderId="4" applyAlignment="1" pivotButton="0" quotePrefix="0" xfId="0">
      <alignment horizontal="center" vertical="bottom"/>
    </xf>
    <xf numFmtId="165" fontId="4" fillId="0" borderId="4" applyAlignment="1" pivotButton="0" quotePrefix="0" xfId="0">
      <alignment horizontal="center" vertical="bottom"/>
    </xf>
    <xf numFmtId="1" fontId="4" fillId="0" borderId="4" applyAlignment="1" pivotButton="0" quotePrefix="0" xfId="0">
      <alignment horizontal="center" vertical="bottom"/>
    </xf>
    <xf numFmtId="0" fontId="0" fillId="0" borderId="4" applyAlignment="1" pivotButton="0" quotePrefix="0" xfId="0">
      <alignment horizontal="general" vertical="bottom"/>
    </xf>
    <xf numFmtId="167" fontId="6" fillId="0" borderId="0" applyAlignment="1" pivotButton="0" quotePrefix="0" xfId="0">
      <alignment horizontal="center" vertical="center"/>
    </xf>
    <xf numFmtId="0" fontId="16" fillId="3" borderId="16" applyAlignment="1" pivotButton="0" quotePrefix="0" xfId="0">
      <alignment horizontal="left" vertical="bottom"/>
    </xf>
    <xf numFmtId="0" fontId="16" fillId="3" borderId="17" applyAlignment="1" pivotButton="0" quotePrefix="0" xfId="0">
      <alignment horizontal="right" vertical="bottom"/>
    </xf>
    <xf numFmtId="9" fontId="16" fillId="3" borderId="17" applyAlignment="1" pivotButton="0" quotePrefix="0" xfId="19">
      <alignment horizontal="center" vertical="bottom"/>
    </xf>
    <xf numFmtId="0" fontId="19" fillId="2" borderId="19" applyAlignment="1" pivotButton="0" quotePrefix="0" xfId="0">
      <alignment horizontal="left" vertical="bottom"/>
    </xf>
    <xf numFmtId="0" fontId="19" fillId="2" borderId="19" applyAlignment="1" pivotButton="0" quotePrefix="0" xfId="0">
      <alignment horizontal="center" vertical="bottom"/>
    </xf>
    <xf numFmtId="9" fontId="4" fillId="0" borderId="4" applyAlignment="1" pivotButton="0" quotePrefix="0" xfId="0">
      <alignment horizontal="left" vertical="top" wrapText="1"/>
    </xf>
    <xf numFmtId="10" fontId="4" fillId="0" borderId="4" applyAlignment="1" pivotButton="0" quotePrefix="0" xfId="0">
      <alignment horizontal="center" vertical="bottom"/>
    </xf>
    <xf numFmtId="165" fontId="4" fillId="0" borderId="4" applyAlignment="1" pivotButton="0" quotePrefix="0" xfId="0">
      <alignment horizontal="center" vertical="bottom"/>
    </xf>
    <xf numFmtId="0" fontId="17" fillId="0" borderId="21" applyAlignment="1" pivotButton="0" quotePrefix="0" xfId="0">
      <alignment horizontal="left" vertical="top" wrapText="1"/>
    </xf>
    <xf numFmtId="9" fontId="17" fillId="0" borderId="21" applyAlignment="1" pivotButton="0" quotePrefix="0" xfId="0">
      <alignment horizontal="left" vertical="top" wrapText="1"/>
    </xf>
    <xf numFmtId="0" fontId="4" fillId="0" borderId="21" applyAlignment="1" pivotButton="0" quotePrefix="0" xfId="0">
      <alignment horizontal="center" vertical="bottom"/>
    </xf>
    <xf numFmtId="10" fontId="4" fillId="0" borderId="21" applyAlignment="1" pivotButton="0" quotePrefix="0" xfId="0">
      <alignment horizontal="center" vertical="bottom"/>
    </xf>
    <xf numFmtId="10" fontId="4" fillId="0" borderId="0" applyAlignment="1" pivotButton="0" quotePrefix="0" xfId="0">
      <alignment horizontal="center" vertical="bottom"/>
    </xf>
    <xf numFmtId="0" fontId="8" fillId="2" borderId="4" applyAlignment="1" pivotButton="0" quotePrefix="0" xfId="0">
      <alignment horizontal="general" vertical="bottom"/>
    </xf>
    <xf numFmtId="1" fontId="4" fillId="0" borderId="4" applyAlignment="1" pivotButton="0" quotePrefix="0" xfId="0">
      <alignment horizontal="center" vertical="bottom"/>
    </xf>
    <xf numFmtId="0" fontId="6" fillId="0" borderId="0" applyAlignment="1" pivotButton="0" quotePrefix="0" xfId="0">
      <alignment horizontal="center" vertical="center"/>
    </xf>
    <xf numFmtId="0" fontId="4" fillId="0" borderId="21" applyAlignment="1" pivotButton="0" quotePrefix="0" xfId="0">
      <alignment horizontal="left" vertical="top" wrapText="1"/>
    </xf>
    <xf numFmtId="0" fontId="4" fillId="0" borderId="21" applyAlignment="1" pivotButton="0" quotePrefix="0" xfId="0">
      <alignment horizontal="general" vertical="top" wrapText="1"/>
    </xf>
    <xf numFmtId="0" fontId="6" fillId="0" borderId="2" applyAlignment="1" pivotButton="0" quotePrefix="0" xfId="0">
      <alignment horizontal="center" vertical="center" wrapText="1"/>
    </xf>
    <xf numFmtId="0" fontId="6" fillId="0" borderId="0" applyAlignment="1" pivotButton="0" quotePrefix="0" xfId="0">
      <alignment horizontal="center" vertical="center"/>
    </xf>
    <xf numFmtId="0" fontId="6" fillId="0" borderId="0" applyAlignment="1" pivotButton="0" quotePrefix="0" xfId="0">
      <alignment horizontal="center" vertical="center"/>
    </xf>
    <xf numFmtId="167" fontId="6" fillId="0" borderId="0" applyAlignment="1" pivotButton="0" quotePrefix="0" xfId="0">
      <alignment horizontal="center" vertical="center"/>
    </xf>
    <xf numFmtId="0" fontId="9" fillId="2" borderId="22" applyAlignment="1" pivotButton="0" quotePrefix="0" xfId="0">
      <alignment horizontal="left" vertical="bottom"/>
    </xf>
    <xf numFmtId="0" fontId="9" fillId="2" borderId="22" applyAlignment="1" pivotButton="0" quotePrefix="0" xfId="0">
      <alignment horizontal="center" vertical="bottom"/>
    </xf>
    <xf numFmtId="0" fontId="8" fillId="2" borderId="1" applyAlignment="1" pivotButton="0" quotePrefix="0" xfId="0">
      <alignment horizontal="center" vertical="bottom"/>
    </xf>
    <xf numFmtId="0" fontId="8" fillId="2" borderId="2" applyAlignment="1" pivotButton="0" quotePrefix="0" xfId="0">
      <alignment horizontal="center" vertical="bottom"/>
    </xf>
    <xf numFmtId="0" fontId="4" fillId="2" borderId="2" applyAlignment="1" pivotButton="0" quotePrefix="0" xfId="0">
      <alignment horizontal="center" vertical="bottom"/>
    </xf>
    <xf numFmtId="0" fontId="18" fillId="2" borderId="2" applyAlignment="1" pivotButton="0" quotePrefix="0" xfId="0">
      <alignment horizontal="general" vertical="bottom"/>
    </xf>
    <xf numFmtId="0" fontId="4" fillId="2" borderId="10" applyAlignment="1" pivotButton="0" quotePrefix="0" xfId="0">
      <alignment horizontal="center" vertical="bottom"/>
    </xf>
    <xf numFmtId="0" fontId="17" fillId="0" borderId="21" applyAlignment="1" pivotButton="0" quotePrefix="0" xfId="0">
      <alignment horizontal="general" vertical="top" wrapText="1"/>
    </xf>
    <xf numFmtId="0" fontId="4" fillId="0" borderId="4" applyAlignment="1" pivotButton="0" quotePrefix="0" xfId="0">
      <alignment horizontal="center" vertical="bottom"/>
    </xf>
    <xf numFmtId="9" fontId="17" fillId="0" borderId="0" applyAlignment="1" pivotButton="0" quotePrefix="0" xfId="0">
      <alignment horizontal="left" vertical="top" wrapText="1"/>
    </xf>
    <xf numFmtId="9" fontId="8" fillId="2" borderId="4" applyAlignment="1" pivotButton="0" quotePrefix="0" xfId="19">
      <alignment horizontal="center" vertical="bottom"/>
    </xf>
    <xf numFmtId="10" fontId="4" fillId="0" borderId="17" applyAlignment="1" pivotButton="0" quotePrefix="0" xfId="0">
      <alignment horizontal="center" vertical="bottom"/>
    </xf>
    <xf numFmtId="0" fontId="17" fillId="3" borderId="16" applyAlignment="1" pivotButton="0" quotePrefix="0" xfId="0">
      <alignment horizontal="left" vertical="top" wrapText="1"/>
    </xf>
    <xf numFmtId="10" fontId="20" fillId="3" borderId="17" applyAlignment="1" pivotButton="0" quotePrefix="0" xfId="0">
      <alignment horizontal="center" vertical="top" wrapText="1"/>
    </xf>
    <xf numFmtId="0" fontId="4" fillId="3" borderId="17" applyAlignment="1" pivotButton="0" quotePrefix="0" xfId="0">
      <alignment horizontal="center" vertical="bottom"/>
    </xf>
    <xf numFmtId="10" fontId="4" fillId="3" borderId="17" applyAlignment="1" pivotButton="0" quotePrefix="0" xfId="0">
      <alignment horizontal="center" vertical="bottom"/>
    </xf>
    <xf numFmtId="165" fontId="4" fillId="3" borderId="17" applyAlignment="1" pivotButton="0" quotePrefix="0" xfId="0">
      <alignment horizontal="center" vertical="bottom"/>
    </xf>
    <xf numFmtId="10" fontId="4" fillId="3" borderId="23" applyAlignment="1" pivotButton="0" quotePrefix="0" xfId="0">
      <alignment horizontal="center" vertical="bottom"/>
    </xf>
    <xf numFmtId="0" fontId="4" fillId="0" borderId="4" applyAlignment="1" pivotButton="0" quotePrefix="0" xfId="0">
      <alignment horizontal="center" vertical="bottom"/>
    </xf>
    <xf numFmtId="0" fontId="6" fillId="0" borderId="21" applyAlignment="1" pivotButton="0" quotePrefix="0" xfId="0">
      <alignment horizontal="left" vertical="top"/>
    </xf>
    <xf numFmtId="0" fontId="6" fillId="0" borderId="0" applyAlignment="1" pivotButton="0" quotePrefix="0" xfId="0">
      <alignment horizontal="general" vertical="top" wrapText="1" shrinkToFit="1"/>
    </xf>
    <xf numFmtId="0" fontId="20" fillId="2" borderId="16" applyAlignment="1" pivotButton="0" quotePrefix="0" xfId="0">
      <alignment horizontal="left" vertical="top" wrapText="1"/>
    </xf>
    <xf numFmtId="0" fontId="11" fillId="0" borderId="4" applyAlignment="1" pivotButton="0" quotePrefix="0" xfId="0">
      <alignment horizontal="left" vertical="top" wrapText="1"/>
    </xf>
    <xf numFmtId="0" fontId="9" fillId="0" borderId="0" applyAlignment="1" pivotButton="0" quotePrefix="0" xfId="0">
      <alignment horizontal="left" vertical="bottom"/>
    </xf>
    <xf numFmtId="0" fontId="9" fillId="0" borderId="0" applyAlignment="1" pivotButton="0" quotePrefix="0" xfId="0">
      <alignment horizontal="general" vertical="bottom"/>
    </xf>
    <xf numFmtId="166" fontId="4" fillId="0" borderId="0" applyAlignment="1" pivotButton="0" quotePrefix="0" xfId="0">
      <alignment horizontal="general" vertical="bottom"/>
    </xf>
    <xf numFmtId="0" fontId="11" fillId="0" borderId="0" applyAlignment="1" pivotButton="0" quotePrefix="0" xfId="0">
      <alignment horizontal="left" vertical="bottom"/>
    </xf>
    <xf numFmtId="0" fontId="7" fillId="0" borderId="0" applyAlignment="1" pivotButton="0" quotePrefix="0" xfId="0">
      <alignment horizontal="general" vertical="bottom"/>
    </xf>
    <xf numFmtId="0" fontId="0" fillId="0" borderId="0" applyAlignment="1" pivotButton="0" quotePrefix="0" xfId="0">
      <alignment horizontal="center" vertical="top"/>
    </xf>
    <xf numFmtId="0" fontId="0" fillId="0" borderId="0" applyAlignment="1" pivotButton="0" quotePrefix="0" xfId="0">
      <alignment horizontal="center" vertical="bottom"/>
    </xf>
    <xf numFmtId="0" fontId="21" fillId="0" borderId="0" applyAlignment="1" pivotButton="0" quotePrefix="0" xfId="0">
      <alignment horizontal="center" vertical="top"/>
    </xf>
    <xf numFmtId="0" fontId="4" fillId="2" borderId="24" applyAlignment="1" pivotButton="0" quotePrefix="0" xfId="0">
      <alignment horizontal="general" vertical="bottom"/>
    </xf>
    <xf numFmtId="0" fontId="4" fillId="2" borderId="24" applyAlignment="1" pivotButton="0" quotePrefix="0" xfId="0">
      <alignment horizontal="center" vertical="bottom"/>
    </xf>
    <xf numFmtId="9" fontId="4" fillId="2" borderId="1" applyAlignment="1" pivotButton="0" quotePrefix="0" xfId="0">
      <alignment horizontal="center" vertical="bottom"/>
    </xf>
    <xf numFmtId="0" fontId="6" fillId="0" borderId="4" applyAlignment="1" pivotButton="0" quotePrefix="0" xfId="0">
      <alignment horizontal="general" vertical="top" wrapText="1"/>
    </xf>
    <xf numFmtId="0" fontId="6" fillId="0" borderId="4" applyAlignment="1" pivotButton="0" quotePrefix="0" xfId="0">
      <alignment horizontal="left" vertical="top" wrapText="1"/>
    </xf>
    <xf numFmtId="0" fontId="6" fillId="0" borderId="4" applyAlignment="1" pivotButton="0" quotePrefix="0" xfId="0">
      <alignment horizontal="center" vertical="top" wrapText="1"/>
    </xf>
    <xf numFmtId="0" fontId="8" fillId="0" borderId="0" applyAlignment="1" pivotButton="0" quotePrefix="0" xfId="0">
      <alignment horizontal="center" vertical="top"/>
    </xf>
    <xf numFmtId="0" fontId="4" fillId="0" borderId="0" applyAlignment="1" pivotButton="0" quotePrefix="0" xfId="0">
      <alignment horizontal="center" vertical="bottom"/>
    </xf>
    <xf numFmtId="9" fontId="4" fillId="0" borderId="0" applyAlignment="1" pivotButton="0" quotePrefix="0" xfId="0">
      <alignment horizontal="left" vertical="bottom"/>
    </xf>
    <xf numFmtId="0" fontId="11" fillId="2" borderId="24" applyAlignment="1" pivotButton="0" quotePrefix="0" xfId="0">
      <alignment horizontal="center" vertical="bottom"/>
    </xf>
    <xf numFmtId="0" fontId="11" fillId="2" borderId="19" applyAlignment="1" pivotButton="0" quotePrefix="0" xfId="0">
      <alignment horizontal="center" vertical="bottom"/>
    </xf>
    <xf numFmtId="0" fontId="4" fillId="0" borderId="0" applyAlignment="1" pivotButton="0" quotePrefix="0" xfId="0">
      <alignment horizontal="center" vertical="top"/>
    </xf>
    <xf numFmtId="10" fontId="22" fillId="0" borderId="4" applyAlignment="1" pivotButton="0" quotePrefix="0" xfId="0">
      <alignment horizontal="left" vertical="top" wrapText="1"/>
    </xf>
    <xf numFmtId="10" fontId="22" fillId="0" borderId="4" applyAlignment="1" pivotButton="0" quotePrefix="0" xfId="0">
      <alignment horizontal="center" vertical="top" wrapText="1"/>
    </xf>
    <xf numFmtId="0" fontId="6" fillId="0" borderId="4" applyAlignment="1" pivotButton="0" quotePrefix="0" xfId="0">
      <alignment horizontal="center" vertical="bottom"/>
    </xf>
    <xf numFmtId="10" fontId="6" fillId="0" borderId="4" applyAlignment="1" pivotButton="0" quotePrefix="0" xfId="0">
      <alignment horizontal="center" vertical="bottom"/>
    </xf>
    <xf numFmtId="9" fontId="23" fillId="0" borderId="4" applyAlignment="1" pivotButton="0" quotePrefix="0" xfId="0">
      <alignment horizontal="center" vertical="top" wrapText="1"/>
    </xf>
    <xf numFmtId="0" fontId="4" fillId="0" borderId="4" applyAlignment="1" pivotButton="0" quotePrefix="0" xfId="0">
      <alignment horizontal="center" vertical="top" wrapText="1"/>
    </xf>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19" fillId="2" borderId="4" applyAlignment="1" pivotButton="0" quotePrefix="0" xfId="0">
      <alignment horizontal="center" vertical="bottom"/>
    </xf>
    <xf numFmtId="0" fontId="4" fillId="2" borderId="4" applyAlignment="1" pivotButton="0" quotePrefix="0" xfId="0">
      <alignment horizontal="center" vertical="bottom"/>
    </xf>
    <xf numFmtId="10" fontId="6" fillId="0" borderId="4" applyAlignment="1" pivotButton="0" quotePrefix="0" xfId="0">
      <alignment horizontal="left" vertical="top" wrapText="1"/>
    </xf>
    <xf numFmtId="10" fontId="6" fillId="0" borderId="4" applyAlignment="1" pivotButton="0" quotePrefix="0" xfId="0">
      <alignment horizontal="center" vertical="top" wrapText="1"/>
    </xf>
    <xf numFmtId="0" fontId="0" fillId="0" borderId="0" applyAlignment="1" pivotButton="0" quotePrefix="0" xfId="0">
      <alignment horizontal="general" vertical="bottom"/>
    </xf>
    <xf numFmtId="0" fontId="4" fillId="0" borderId="0" applyAlignment="1" pivotButton="0" quotePrefix="0" xfId="21">
      <alignment horizontal="general" vertical="bottom"/>
    </xf>
    <xf numFmtId="0" fontId="0" fillId="0" borderId="0" pivotButton="0" quotePrefix="0" xfId="0"/>
    <xf numFmtId="0" fontId="5" fillId="0" borderId="0" applyAlignment="1" pivotButton="0" quotePrefix="0" xfId="21">
      <alignment horizontal="center" vertical="bottom"/>
    </xf>
    <xf numFmtId="0" fontId="5" fillId="0" borderId="0" applyAlignment="1" pivotButton="0" quotePrefix="0" xfId="0">
      <alignment horizontal="center" vertical="bottom"/>
    </xf>
    <xf numFmtId="164" fontId="5" fillId="0" borderId="0" applyAlignment="1" pivotButton="0" quotePrefix="0" xfId="21">
      <alignment horizontal="center" vertical="bottom"/>
    </xf>
    <xf numFmtId="0" fontId="6" fillId="0" borderId="1" applyAlignment="1" pivotButton="0" quotePrefix="0" xfId="21">
      <alignment horizontal="center" vertical="bottom" wrapText="1"/>
    </xf>
    <xf numFmtId="0" fontId="6" fillId="0" borderId="2" applyAlignment="1" pivotButton="0" quotePrefix="0" xfId="21">
      <alignment horizontal="center" vertical="bottom" wrapText="1"/>
    </xf>
    <xf numFmtId="0" fontId="6" fillId="0" borderId="3" applyAlignment="1" pivotButton="0" quotePrefix="0" xfId="21">
      <alignment horizontal="center" vertical="bottom" wrapText="1"/>
    </xf>
    <xf numFmtId="0" fontId="6" fillId="0" borderId="0" applyAlignment="1" pivotButton="0" quotePrefix="0" xfId="21">
      <alignment horizontal="general" vertical="bottom"/>
    </xf>
    <xf numFmtId="0" fontId="7" fillId="0" borderId="0" applyAlignment="1" pivotButton="0" quotePrefix="0" xfId="0">
      <alignment horizontal="general" vertical="bottom" wrapText="1"/>
    </xf>
    <xf numFmtId="0" fontId="0" fillId="0" borderId="0" applyAlignment="1" pivotButton="0" quotePrefix="0" xfId="0">
      <alignment horizontal="center"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wrapText="1"/>
    </xf>
    <xf numFmtId="165" fontId="4" fillId="0" borderId="0" applyAlignment="1" pivotButton="0" quotePrefix="0" xfId="0">
      <alignment horizontal="center" vertical="bottom"/>
    </xf>
    <xf numFmtId="0" fontId="8" fillId="0" borderId="0" applyAlignment="1" pivotButton="0" quotePrefix="0" xfId="0">
      <alignment horizontal="center" vertical="bottom"/>
    </xf>
    <xf numFmtId="10" fontId="0" fillId="0" borderId="0" applyAlignment="1" pivotButton="0" quotePrefix="0" xfId="0">
      <alignment horizontal="general" vertical="bottom"/>
    </xf>
    <xf numFmtId="0" fontId="8" fillId="0" borderId="0" applyAlignment="1" pivotButton="0" quotePrefix="0" xfId="0">
      <alignment horizontal="left" vertical="bottom"/>
    </xf>
    <xf numFmtId="0" fontId="9" fillId="0" borderId="0" applyAlignment="1" pivotButton="0" quotePrefix="0" xfId="0">
      <alignment horizontal="general" vertical="bottom" wrapText="1"/>
    </xf>
    <xf numFmtId="0" fontId="10" fillId="0" borderId="0" applyAlignment="1" pivotButton="0" quotePrefix="0" xfId="0">
      <alignment horizontal="general" vertical="bottom"/>
    </xf>
    <xf numFmtId="0" fontId="11" fillId="0" borderId="0" applyAlignment="1" pivotButton="0" quotePrefix="0" xfId="0">
      <alignment horizontal="center" vertical="bottom"/>
    </xf>
    <xf numFmtId="0" fontId="6" fillId="2" borderId="4" applyAlignment="1" pivotButton="0" quotePrefix="0" xfId="0">
      <alignment horizontal="center" vertical="top" wrapText="1"/>
    </xf>
    <xf numFmtId="0" fontId="9" fillId="2" borderId="4" applyAlignment="1" pivotButton="0" quotePrefix="0" xfId="0">
      <alignment horizontal="center" vertical="top" wrapText="1"/>
    </xf>
    <xf numFmtId="0" fontId="10" fillId="2" borderId="4" applyAlignment="1" pivotButton="0" quotePrefix="0" xfId="0">
      <alignment horizontal="center" vertical="top"/>
    </xf>
    <xf numFmtId="0" fontId="8" fillId="2" borderId="4" applyAlignment="1" pivotButton="0" quotePrefix="0" xfId="0">
      <alignment horizontal="center" vertical="top"/>
    </xf>
    <xf numFmtId="0" fontId="8" fillId="2" borderId="4" applyAlignment="1" pivotButton="0" quotePrefix="0" xfId="0">
      <alignment horizontal="center" vertical="top" wrapText="1"/>
    </xf>
    <xf numFmtId="10" fontId="4" fillId="0" borderId="0" applyAlignment="1" pivotButton="0" quotePrefix="0" xfId="0">
      <alignment horizontal="general" vertical="bottom"/>
    </xf>
    <xf numFmtId="0" fontId="6" fillId="0" borderId="4" applyAlignment="1" pivotButton="0" quotePrefix="0" xfId="0">
      <alignment horizontal="center" vertical="top"/>
    </xf>
    <xf numFmtId="0" fontId="9" fillId="0" borderId="4" applyAlignment="1" pivotButton="0" quotePrefix="0" xfId="0">
      <alignment horizontal="general" vertical="top" wrapText="1"/>
    </xf>
    <xf numFmtId="0" fontId="6" fillId="0" borderId="4" applyAlignment="1" pivotButton="0" quotePrefix="0" xfId="0">
      <alignment horizontal="justify" vertical="top" wrapText="1"/>
    </xf>
    <xf numFmtId="10" fontId="6" fillId="0" borderId="4" applyAlignment="1" pivotButton="0" quotePrefix="0" xfId="0">
      <alignment horizontal="center" vertical="top" wrapText="1"/>
    </xf>
    <xf numFmtId="166" fontId="6" fillId="0" borderId="4" applyAlignment="1" pivotButton="0" quotePrefix="0" xfId="0">
      <alignment horizontal="center" vertical="top" wrapText="1"/>
    </xf>
    <xf numFmtId="0" fontId="6" fillId="0" borderId="4" applyAlignment="1" pivotButton="0" quotePrefix="0" xfId="0">
      <alignment horizontal="general" vertical="top" wrapText="1"/>
    </xf>
    <xf numFmtId="0" fontId="13" fillId="0" borderId="0" applyAlignment="1" pivotButton="0" quotePrefix="0" xfId="0">
      <alignment horizontal="general" vertical="bottom" wrapText="1"/>
    </xf>
    <xf numFmtId="0" fontId="14" fillId="0" borderId="0" applyAlignment="1" pivotButton="0" quotePrefix="0" xfId="0">
      <alignment horizontal="general" vertical="bottom"/>
    </xf>
    <xf numFmtId="0" fontId="4" fillId="0" borderId="0" applyAlignment="1" pivotButton="0" quotePrefix="0" xfId="0">
      <alignment horizontal="center" vertical="bottom"/>
    </xf>
    <xf numFmtId="166" fontId="4" fillId="0" borderId="0" applyAlignment="1" pivotButton="0" quotePrefix="0" xfId="0">
      <alignment horizontal="center" vertical="bottom"/>
    </xf>
    <xf numFmtId="0" fontId="9" fillId="0" borderId="0" applyAlignment="1" pivotButton="0" quotePrefix="0" xfId="0">
      <alignment horizontal="general" vertical="bottom"/>
    </xf>
    <xf numFmtId="0" fontId="6" fillId="0" borderId="0" applyAlignment="1" pivotButton="0" quotePrefix="0" xfId="0">
      <alignment horizontal="center" vertical="center"/>
    </xf>
    <xf numFmtId="0" fontId="0" fillId="0" borderId="0" applyAlignment="1" pivotButton="0" quotePrefix="0" xfId="0">
      <alignment horizontal="left" vertical="bottom"/>
    </xf>
    <xf numFmtId="0" fontId="6" fillId="0" borderId="0" applyAlignment="1" pivotButton="0" quotePrefix="0" xfId="0">
      <alignment horizontal="center" vertical="bottom"/>
    </xf>
    <xf numFmtId="0" fontId="4" fillId="0" borderId="0" applyAlignment="1" pivotButton="0" quotePrefix="0" xfId="0">
      <alignment horizontal="left" vertical="bottom"/>
    </xf>
    <xf numFmtId="0" fontId="9" fillId="0" borderId="0" applyAlignment="1" pivotButton="0" quotePrefix="0" xfId="0">
      <alignment horizontal="center" vertical="bottom"/>
    </xf>
    <xf numFmtId="0" fontId="9" fillId="2" borderId="5" applyAlignment="1" pivotButton="0" quotePrefix="0" xfId="0">
      <alignment horizontal="left" vertical="bottom"/>
    </xf>
    <xf numFmtId="0" fontId="6" fillId="2" borderId="6" applyAlignment="1" pivotButton="0" quotePrefix="0" xfId="0">
      <alignment horizontal="general" vertical="bottom"/>
    </xf>
    <xf numFmtId="0" fontId="15" fillId="2" borderId="6" applyAlignment="1" pivotButton="0" quotePrefix="0" xfId="0">
      <alignment horizontal="center" vertical="bottom"/>
    </xf>
    <xf numFmtId="0" fontId="11" fillId="2" borderId="6" applyAlignment="1" pivotButton="0" quotePrefix="0" xfId="0">
      <alignment horizontal="center" vertical="bottom"/>
    </xf>
    <xf numFmtId="9" fontId="11" fillId="2" borderId="7" applyAlignment="1" pivotButton="0" quotePrefix="0" xfId="0">
      <alignment horizontal="center" vertical="bottom"/>
    </xf>
    <xf numFmtId="0" fontId="11" fillId="2" borderId="6" applyAlignment="1" pivotButton="0" quotePrefix="0" xfId="0">
      <alignment horizontal="general" vertical="bottom"/>
    </xf>
    <xf numFmtId="9" fontId="11" fillId="2" borderId="8" applyAlignment="1" pivotButton="0" quotePrefix="0" xfId="0">
      <alignment horizontal="right" vertical="bottom"/>
    </xf>
    <xf numFmtId="9" fontId="11" fillId="2" borderId="0" applyAlignment="1" pivotButton="0" quotePrefix="0" xfId="0">
      <alignment horizontal="right" vertical="bottom"/>
    </xf>
    <xf numFmtId="0" fontId="9" fillId="2" borderId="9" applyAlignment="1" pivotButton="0" quotePrefix="0" xfId="0">
      <alignment horizontal="left" vertical="bottom"/>
    </xf>
    <xf numFmtId="0" fontId="9" fillId="2" borderId="0" applyAlignment="1" pivotButton="0" quotePrefix="0" xfId="0">
      <alignment horizontal="general" vertical="bottom"/>
    </xf>
    <xf numFmtId="0" fontId="11" fillId="2" borderId="0" applyAlignment="1" pivotButton="0" quotePrefix="0" xfId="0">
      <alignment horizontal="center" vertical="bottom"/>
    </xf>
    <xf numFmtId="9" fontId="11" fillId="2" borderId="10" applyAlignment="1" pivotButton="0" quotePrefix="0" xfId="0">
      <alignment horizontal="center" vertical="bottom"/>
    </xf>
    <xf numFmtId="0" fontId="11" fillId="2" borderId="0" applyAlignment="1" pivotButton="0" quotePrefix="0" xfId="0">
      <alignment horizontal="general" vertical="bottom"/>
    </xf>
    <xf numFmtId="9" fontId="11" fillId="2" borderId="11" applyAlignment="1" pivotButton="0" quotePrefix="0" xfId="0">
      <alignment horizontal="right" vertical="bottom"/>
    </xf>
    <xf numFmtId="0" fontId="9" fillId="2" borderId="12" applyAlignment="1" pivotButton="0" quotePrefix="0" xfId="0">
      <alignment horizontal="left" vertical="bottom"/>
    </xf>
    <xf numFmtId="0" fontId="9" fillId="2" borderId="13" applyAlignment="1" pivotButton="0" quotePrefix="0" xfId="0">
      <alignment horizontal="general" vertical="bottom"/>
    </xf>
    <xf numFmtId="0" fontId="11" fillId="2" borderId="13" applyAlignment="1" pivotButton="0" quotePrefix="0" xfId="0">
      <alignment horizontal="center" vertical="bottom"/>
    </xf>
    <xf numFmtId="9" fontId="11" fillId="2" borderId="14" applyAlignment="1" pivotButton="0" quotePrefix="0" xfId="0">
      <alignment horizontal="center" vertical="bottom"/>
    </xf>
    <xf numFmtId="0" fontId="11" fillId="2" borderId="13" applyAlignment="1" pivotButton="0" quotePrefix="0" xfId="0">
      <alignment horizontal="general" vertical="bottom"/>
    </xf>
    <xf numFmtId="9" fontId="11" fillId="2" borderId="15" applyAlignment="1" pivotButton="0" quotePrefix="0" xfId="0">
      <alignment horizontal="right" vertical="bottom"/>
    </xf>
    <xf numFmtId="0" fontId="16" fillId="0" borderId="0" applyAlignment="1" pivotButton="0" quotePrefix="0" xfId="0">
      <alignment horizontal="center" vertical="bottom" wrapText="1"/>
    </xf>
    <xf numFmtId="3" fontId="11" fillId="2" borderId="15" applyAlignment="1" pivotButton="0" quotePrefix="0" xfId="0">
      <alignment horizontal="center" vertical="bottom"/>
    </xf>
    <xf numFmtId="3" fontId="11" fillId="2" borderId="0" applyAlignment="1" pivotButton="0" quotePrefix="0" xfId="0">
      <alignment horizontal="center" vertical="bottom"/>
    </xf>
    <xf numFmtId="9" fontId="4" fillId="0" borderId="0" applyAlignment="1" pivotButton="0" quotePrefix="0" xfId="0">
      <alignment horizontal="left" vertical="bottom"/>
    </xf>
    <xf numFmtId="0" fontId="6" fillId="0" borderId="0" applyAlignment="1" pivotButton="0" quotePrefix="0" xfId="0">
      <alignment horizontal="left" vertical="bottom"/>
    </xf>
    <xf numFmtId="0" fontId="6" fillId="0" borderId="0" applyAlignment="1" pivotButton="0" quotePrefix="0" xfId="0">
      <alignment horizontal="general" vertical="bottom"/>
    </xf>
    <xf numFmtId="0" fontId="17" fillId="3" borderId="16" applyAlignment="1" pivotButton="0" quotePrefix="0" xfId="0">
      <alignment horizontal="left" vertical="bottom"/>
    </xf>
    <xf numFmtId="0" fontId="17" fillId="3" borderId="17" applyAlignment="1" pivotButton="0" quotePrefix="0" xfId="0">
      <alignment horizontal="right" vertical="bottom"/>
    </xf>
    <xf numFmtId="9" fontId="16" fillId="3" borderId="17" applyAlignment="1" pivotButton="0" quotePrefix="0" xfId="0">
      <alignment horizontal="center" vertical="bottom"/>
    </xf>
    <xf numFmtId="0" fontId="4" fillId="2" borderId="1" applyAlignment="1" pivotButton="0" quotePrefix="0" xfId="0">
      <alignment horizontal="center" vertical="bottom"/>
    </xf>
    <xf numFmtId="165" fontId="4" fillId="2" borderId="1" applyAlignment="1" pivotButton="0" quotePrefix="0" xfId="0">
      <alignment horizontal="center" vertical="bottom"/>
    </xf>
    <xf numFmtId="0" fontId="4" fillId="2" borderId="18" applyAlignment="1" pivotButton="0" quotePrefix="0" xfId="0">
      <alignment horizontal="center" vertical="bottom"/>
    </xf>
    <xf numFmtId="0" fontId="6" fillId="0" borderId="0" applyAlignment="1" pivotButton="0" quotePrefix="0" xfId="0">
      <alignment horizontal="center" vertical="center" wrapText="1"/>
    </xf>
    <xf numFmtId="0" fontId="9" fillId="2" borderId="19" applyAlignment="1" pivotButton="0" quotePrefix="0" xfId="0">
      <alignment horizontal="left" vertical="bottom"/>
    </xf>
    <xf numFmtId="0" fontId="9" fillId="2" borderId="19" applyAlignment="1" pivotButton="0" quotePrefix="0" xfId="0">
      <alignment horizontal="center" vertical="bottom"/>
    </xf>
    <xf numFmtId="0" fontId="8" fillId="2" borderId="4" applyAlignment="1" pivotButton="0" quotePrefix="0" xfId="0">
      <alignment horizontal="center" vertical="bottom"/>
    </xf>
    <xf numFmtId="0" fontId="8" fillId="2" borderId="3" applyAlignment="1" pivotButton="0" quotePrefix="0" xfId="0">
      <alignment horizontal="center" vertical="bottom"/>
    </xf>
    <xf numFmtId="0" fontId="4" fillId="2" borderId="3" applyAlignment="1" pivotButton="0" quotePrefix="0" xfId="0">
      <alignment horizontal="center" vertical="bottom"/>
    </xf>
    <xf numFmtId="0" fontId="18" fillId="2" borderId="3" applyAlignment="1" pivotButton="0" quotePrefix="0" xfId="0">
      <alignment horizontal="general" vertical="bottom"/>
    </xf>
    <xf numFmtId="0" fontId="4" fillId="2" borderId="20" applyAlignment="1" pivotButton="0" quotePrefix="0" xfId="0">
      <alignment horizontal="center" vertical="bottom"/>
    </xf>
    <xf numFmtId="0" fontId="4" fillId="0" borderId="4" applyAlignment="1" pivotButton="0" quotePrefix="0" xfId="0">
      <alignment horizontal="left" vertical="top" wrapText="1"/>
    </xf>
    <xf numFmtId="0" fontId="4" fillId="0" borderId="4" applyAlignment="1" pivotButton="0" quotePrefix="0" xfId="0">
      <alignment horizontal="general" vertical="top" wrapText="1"/>
    </xf>
    <xf numFmtId="0" fontId="4" fillId="0" borderId="4" applyAlignment="1" pivotButton="0" quotePrefix="0" xfId="0">
      <alignment horizontal="center" vertical="bottom"/>
    </xf>
    <xf numFmtId="10" fontId="4" fillId="0" borderId="4" applyAlignment="1" pivotButton="0" quotePrefix="0" xfId="0">
      <alignment horizontal="center" vertical="bottom"/>
    </xf>
    <xf numFmtId="165" fontId="4" fillId="0" borderId="4" applyAlignment="1" pivotButton="0" quotePrefix="0" xfId="0">
      <alignment horizontal="center" vertical="bottom"/>
    </xf>
    <xf numFmtId="1" fontId="4" fillId="0" borderId="4" applyAlignment="1" pivotButton="0" quotePrefix="0" xfId="0">
      <alignment horizontal="center" vertical="bottom"/>
    </xf>
    <xf numFmtId="0" fontId="0" fillId="0" borderId="4" applyAlignment="1" pivotButton="0" quotePrefix="0" xfId="0">
      <alignment horizontal="general" vertical="bottom"/>
    </xf>
    <xf numFmtId="167" fontId="6" fillId="0" borderId="0" applyAlignment="1" pivotButton="0" quotePrefix="0" xfId="0">
      <alignment horizontal="center" vertical="center"/>
    </xf>
    <xf numFmtId="0" fontId="16" fillId="3" borderId="16" applyAlignment="1" pivotButton="0" quotePrefix="0" xfId="0">
      <alignment horizontal="left" vertical="bottom"/>
    </xf>
    <xf numFmtId="0" fontId="16" fillId="3" borderId="17" applyAlignment="1" pivotButton="0" quotePrefix="0" xfId="0">
      <alignment horizontal="right" vertical="bottom"/>
    </xf>
    <xf numFmtId="9" fontId="16" fillId="3" borderId="17" applyAlignment="1" pivotButton="0" quotePrefix="0" xfId="19">
      <alignment horizontal="center" vertical="bottom"/>
    </xf>
    <xf numFmtId="0" fontId="19" fillId="2" borderId="19" applyAlignment="1" pivotButton="0" quotePrefix="0" xfId="0">
      <alignment horizontal="left" vertical="bottom"/>
    </xf>
    <xf numFmtId="0" fontId="19" fillId="2" borderId="19" applyAlignment="1" pivotButton="0" quotePrefix="0" xfId="0">
      <alignment horizontal="center" vertical="bottom"/>
    </xf>
    <xf numFmtId="9" fontId="4" fillId="0" borderId="4" applyAlignment="1" pivotButton="0" quotePrefix="0" xfId="0">
      <alignment horizontal="left" vertical="top" wrapText="1"/>
    </xf>
    <xf numFmtId="0" fontId="17" fillId="0" borderId="21" applyAlignment="1" pivotButton="0" quotePrefix="0" xfId="0">
      <alignment horizontal="left" vertical="top" wrapText="1"/>
    </xf>
    <xf numFmtId="9" fontId="17" fillId="0" borderId="21" applyAlignment="1" pivotButton="0" quotePrefix="0" xfId="0">
      <alignment horizontal="left" vertical="top" wrapText="1"/>
    </xf>
    <xf numFmtId="0" fontId="4" fillId="0" borderId="21" applyAlignment="1" pivotButton="0" quotePrefix="0" xfId="0">
      <alignment horizontal="center" vertical="bottom"/>
    </xf>
    <xf numFmtId="10" fontId="4" fillId="0" borderId="21" applyAlignment="1" pivotButton="0" quotePrefix="0" xfId="0">
      <alignment horizontal="center" vertical="bottom"/>
    </xf>
    <xf numFmtId="10" fontId="4" fillId="0" borderId="0" applyAlignment="1" pivotButton="0" quotePrefix="0" xfId="0">
      <alignment horizontal="center" vertical="bottom"/>
    </xf>
    <xf numFmtId="0" fontId="8" fillId="2" borderId="4" applyAlignment="1" pivotButton="0" quotePrefix="0" xfId="0">
      <alignment horizontal="general" vertical="bottom"/>
    </xf>
    <xf numFmtId="0" fontId="4" fillId="0" borderId="21" applyAlignment="1" pivotButton="0" quotePrefix="0" xfId="0">
      <alignment horizontal="left" vertical="top" wrapText="1"/>
    </xf>
    <xf numFmtId="0" fontId="4" fillId="0" borderId="21" applyAlignment="1" pivotButton="0" quotePrefix="0" xfId="0">
      <alignment horizontal="general" vertical="top" wrapText="1"/>
    </xf>
    <xf numFmtId="0" fontId="6" fillId="0" borderId="2" applyAlignment="1" pivotButton="0" quotePrefix="0" xfId="0">
      <alignment horizontal="center" vertical="center" wrapText="1"/>
    </xf>
    <xf numFmtId="0" fontId="9" fillId="2" borderId="22" applyAlignment="1" pivotButton="0" quotePrefix="0" xfId="0">
      <alignment horizontal="left" vertical="bottom"/>
    </xf>
    <xf numFmtId="0" fontId="9" fillId="2" borderId="22" applyAlignment="1" pivotButton="0" quotePrefix="0" xfId="0">
      <alignment horizontal="center" vertical="bottom"/>
    </xf>
    <xf numFmtId="0" fontId="8" fillId="2" borderId="1" applyAlignment="1" pivotButton="0" quotePrefix="0" xfId="0">
      <alignment horizontal="center" vertical="bottom"/>
    </xf>
    <xf numFmtId="0" fontId="8" fillId="2" borderId="2" applyAlignment="1" pivotButton="0" quotePrefix="0" xfId="0">
      <alignment horizontal="center" vertical="bottom"/>
    </xf>
    <xf numFmtId="0" fontId="4" fillId="2" borderId="2" applyAlignment="1" pivotButton="0" quotePrefix="0" xfId="0">
      <alignment horizontal="center" vertical="bottom"/>
    </xf>
    <xf numFmtId="0" fontId="18" fillId="2" borderId="2" applyAlignment="1" pivotButton="0" quotePrefix="0" xfId="0">
      <alignment horizontal="general" vertical="bottom"/>
    </xf>
    <xf numFmtId="0" fontId="4" fillId="2" borderId="10" applyAlignment="1" pivotButton="0" quotePrefix="0" xfId="0">
      <alignment horizontal="center" vertical="bottom"/>
    </xf>
    <xf numFmtId="0" fontId="17" fillId="0" borderId="21" applyAlignment="1" pivotButton="0" quotePrefix="0" xfId="0">
      <alignment horizontal="general" vertical="top" wrapText="1"/>
    </xf>
    <xf numFmtId="9" fontId="17" fillId="0" borderId="0" applyAlignment="1" pivotButton="0" quotePrefix="0" xfId="0">
      <alignment horizontal="left" vertical="top" wrapText="1"/>
    </xf>
    <xf numFmtId="9" fontId="8" fillId="2" borderId="4" applyAlignment="1" pivotButton="0" quotePrefix="0" xfId="19">
      <alignment horizontal="center" vertical="bottom"/>
    </xf>
    <xf numFmtId="10" fontId="4" fillId="0" borderId="17" applyAlignment="1" pivotButton="0" quotePrefix="0" xfId="0">
      <alignment horizontal="center" vertical="bottom"/>
    </xf>
    <xf numFmtId="0" fontId="17" fillId="3" borderId="16" applyAlignment="1" pivotButton="0" quotePrefix="0" xfId="0">
      <alignment horizontal="left" vertical="top" wrapText="1"/>
    </xf>
    <xf numFmtId="10" fontId="20" fillId="3" borderId="17" applyAlignment="1" pivotButton="0" quotePrefix="0" xfId="0">
      <alignment horizontal="center" vertical="top" wrapText="1"/>
    </xf>
    <xf numFmtId="0" fontId="4" fillId="3" borderId="17" applyAlignment="1" pivotButton="0" quotePrefix="0" xfId="0">
      <alignment horizontal="center" vertical="bottom"/>
    </xf>
    <xf numFmtId="10" fontId="4" fillId="3" borderId="17" applyAlignment="1" pivotButton="0" quotePrefix="0" xfId="0">
      <alignment horizontal="center" vertical="bottom"/>
    </xf>
    <xf numFmtId="165" fontId="4" fillId="3" borderId="17" applyAlignment="1" pivotButton="0" quotePrefix="0" xfId="0">
      <alignment horizontal="center" vertical="bottom"/>
    </xf>
    <xf numFmtId="10" fontId="4" fillId="3" borderId="23" applyAlignment="1" pivotButton="0" quotePrefix="0" xfId="0">
      <alignment horizontal="center" vertical="bottom"/>
    </xf>
    <xf numFmtId="0" fontId="6" fillId="0" borderId="21" applyAlignment="1" pivotButton="0" quotePrefix="0" xfId="0">
      <alignment horizontal="left" vertical="top"/>
    </xf>
    <xf numFmtId="0" fontId="6" fillId="0" borderId="0" applyAlignment="1" pivotButton="0" quotePrefix="0" xfId="0">
      <alignment horizontal="general" vertical="top" wrapText="1" shrinkToFit="1"/>
    </xf>
    <xf numFmtId="0" fontId="20" fillId="2" borderId="16" applyAlignment="1" pivotButton="0" quotePrefix="0" xfId="0">
      <alignment horizontal="left" vertical="top" wrapText="1"/>
    </xf>
    <xf numFmtId="0" fontId="11" fillId="0" borderId="4" applyAlignment="1" pivotButton="0" quotePrefix="0" xfId="0">
      <alignment horizontal="left" vertical="top" wrapText="1"/>
    </xf>
    <xf numFmtId="0" fontId="9" fillId="0" borderId="0" applyAlignment="1" pivotButton="0" quotePrefix="0" xfId="0">
      <alignment horizontal="left" vertical="bottom"/>
    </xf>
    <xf numFmtId="166" fontId="4" fillId="0" borderId="0" applyAlignment="1" pivotButton="0" quotePrefix="0" xfId="0">
      <alignment horizontal="general" vertical="bottom"/>
    </xf>
    <xf numFmtId="0" fontId="11" fillId="0" borderId="0" applyAlignment="1" pivotButton="0" quotePrefix="0" xfId="0">
      <alignment horizontal="left" vertical="bottom"/>
    </xf>
    <xf numFmtId="0" fontId="7" fillId="0" borderId="0" applyAlignment="1" pivotButton="0" quotePrefix="0" xfId="0">
      <alignment horizontal="general" vertical="bottom"/>
    </xf>
    <xf numFmtId="0" fontId="0" fillId="0" borderId="0" applyAlignment="1" pivotButton="0" quotePrefix="0" xfId="0">
      <alignment horizontal="center" vertical="top"/>
    </xf>
    <xf numFmtId="0" fontId="21" fillId="0" borderId="0" applyAlignment="1" pivotButton="0" quotePrefix="0" xfId="0">
      <alignment horizontal="center" vertical="top"/>
    </xf>
    <xf numFmtId="0" fontId="4" fillId="2" borderId="24" applyAlignment="1" pivotButton="0" quotePrefix="0" xfId="0">
      <alignment horizontal="general" vertical="bottom"/>
    </xf>
    <xf numFmtId="0" fontId="4" fillId="2" borderId="24" applyAlignment="1" pivotButton="0" quotePrefix="0" xfId="0">
      <alignment horizontal="center" vertical="bottom"/>
    </xf>
    <xf numFmtId="9" fontId="4" fillId="2" borderId="1" applyAlignment="1" pivotButton="0" quotePrefix="0" xfId="0">
      <alignment horizontal="center" vertical="bottom"/>
    </xf>
    <xf numFmtId="0" fontId="6" fillId="0" borderId="4" applyAlignment="1" pivotButton="0" quotePrefix="0" xfId="0">
      <alignment horizontal="left" vertical="top" wrapText="1"/>
    </xf>
    <xf numFmtId="0" fontId="6" fillId="0" borderId="4" applyAlignment="1" pivotButton="0" quotePrefix="0" xfId="0">
      <alignment horizontal="center" vertical="top" wrapText="1"/>
    </xf>
    <xf numFmtId="0" fontId="8" fillId="0" borderId="0" applyAlignment="1" pivotButton="0" quotePrefix="0" xfId="0">
      <alignment horizontal="center" vertical="top"/>
    </xf>
    <xf numFmtId="0" fontId="11" fillId="2" borderId="24" applyAlignment="1" pivotButton="0" quotePrefix="0" xfId="0">
      <alignment horizontal="center" vertical="bottom"/>
    </xf>
    <xf numFmtId="0" fontId="11" fillId="2" borderId="19" applyAlignment="1" pivotButton="0" quotePrefix="0" xfId="0">
      <alignment horizontal="center" vertical="bottom"/>
    </xf>
    <xf numFmtId="0" fontId="4" fillId="0" borderId="0" applyAlignment="1" pivotButton="0" quotePrefix="0" xfId="0">
      <alignment horizontal="center" vertical="top"/>
    </xf>
    <xf numFmtId="10" fontId="22" fillId="0" borderId="4" applyAlignment="1" pivotButton="0" quotePrefix="0" xfId="0">
      <alignment horizontal="left" vertical="top" wrapText="1"/>
    </xf>
    <xf numFmtId="10" fontId="22" fillId="0" borderId="4" applyAlignment="1" pivotButton="0" quotePrefix="0" xfId="0">
      <alignment horizontal="center" vertical="top" wrapText="1"/>
    </xf>
    <xf numFmtId="0" fontId="6" fillId="0" borderId="4" applyAlignment="1" pivotButton="0" quotePrefix="0" xfId="0">
      <alignment horizontal="center" vertical="bottom"/>
    </xf>
    <xf numFmtId="10" fontId="6" fillId="0" borderId="4" applyAlignment="1" pivotButton="0" quotePrefix="0" xfId="0">
      <alignment horizontal="center" vertical="bottom"/>
    </xf>
    <xf numFmtId="9" fontId="23" fillId="0" borderId="4" applyAlignment="1" pivotButton="0" quotePrefix="0" xfId="0">
      <alignment horizontal="center" vertical="top" wrapText="1"/>
    </xf>
    <xf numFmtId="0" fontId="4" fillId="0" borderId="4" applyAlignment="1" pivotButton="0" quotePrefix="0" xfId="0">
      <alignment horizontal="center" vertical="top" wrapText="1"/>
    </xf>
    <xf numFmtId="0" fontId="19" fillId="2" borderId="4" applyAlignment="1" pivotButton="0" quotePrefix="0" xfId="0">
      <alignment horizontal="center" vertical="bottom"/>
    </xf>
    <xf numFmtId="0" fontId="4" fillId="2" borderId="4" applyAlignment="1" pivotButton="0" quotePrefix="0" xfId="0">
      <alignment horizontal="center" vertical="bottom"/>
    </xf>
    <xf numFmtId="10" fontId="6" fillId="0" borderId="4" applyAlignment="1" pivotButton="0" quotePrefix="0" xfId="0">
      <alignment horizontal="left" vertical="top" wrapText="1"/>
    </xf>
  </cellXfs>
  <cellStyles count="8">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 name="Normal_Updated 4-D Cover Page RR 10 29 04"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absolute">
    <from>
      <col>1</col>
      <colOff>0</colOff>
      <row>10</row>
      <rowOff>0</rowOff>
    </from>
    <to>
      <col>1</col>
      <colOff>201600</colOff>
      <row>10</row>
      <rowOff>142920</rowOff>
    </to>
    <pic>
      <nvPicPr>
        <cNvPr id="0" name="BExApplication"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44040" y="1619280"/>
          <a:ext cx="201600" cy="1429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1</col>
      <colOff>0</colOff>
      <row>0</row>
      <rowOff>182160</rowOff>
    </from>
    <to>
      <col>1</col>
      <colOff>2239560</colOff>
      <row>0</row>
      <rowOff>667800</rowOff>
    </to>
    <pic>
      <nvPicPr>
        <cNvPr id="1" name="Picture 2"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2160" y="182160"/>
          <a:ext cx="2239560" cy="4856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Documents%20and%20Settings/koutross/My%20Documents/Data/01%20Novartis/03%20WS%20-%20Solution/SLA/Procurement%20BPO%20SLAs%20v1.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ervice Levels"/>
      <sheetName val="Deliverables"/>
      <sheetName val="Save"/>
    </sheetNames>
    <sheetDataSet>
      <sheetData sheetId="0"/>
      <sheetData sheetId="1"/>
      <sheetData sheetId="2"/>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9.140000000000001" customWidth="1" style="175" min="1" max="257"/>
  </cols>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1"/>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7.9921875" defaultRowHeight="12.75" customHeight="1" zeroHeight="0" outlineLevelRow="0"/>
  <cols>
    <col width="6.41" customWidth="1" style="176" min="1" max="1"/>
    <col width="114.56" customWidth="1" style="176" min="2" max="2"/>
    <col width="7.99" customWidth="1" style="176" min="3" max="257"/>
  </cols>
  <sheetData>
    <row r="1" ht="72" customHeight="1" s="177"/>
    <row r="2" ht="21.75" customHeight="1" s="177">
      <c r="B2" s="178" t="inlineStr">
        <is>
          <t>GlobalPharma</t>
        </is>
      </c>
    </row>
    <row r="3" ht="20.25" customHeight="1" s="177">
      <c r="B3" s="178" t="n"/>
    </row>
    <row r="4" ht="36" customHeight="1" s="177">
      <c r="B4" s="178" t="n"/>
    </row>
    <row r="5" ht="20.25" customHeight="1" s="177">
      <c r="B5" s="179" t="inlineStr">
        <is>
          <t>ATTACHMENT 3-A</t>
        </is>
      </c>
    </row>
    <row r="6" ht="20.25" customHeight="1" s="177">
      <c r="B6" s="179" t="n"/>
    </row>
    <row r="7" ht="20.25" customHeight="1" s="177">
      <c r="B7" s="179" t="inlineStr">
        <is>
          <t>SERVICE LEVELS MATRIX</t>
        </is>
      </c>
    </row>
    <row r="8" ht="20.25" customHeight="1" s="177">
      <c r="B8" s="179" t="inlineStr">
        <is>
          <t>Attachment to Exhibit 3 (Service Levels)</t>
        </is>
      </c>
    </row>
    <row r="9"/>
    <row r="10" ht="20.25" customHeight="1" s="177">
      <c r="B10" s="180" t="n"/>
    </row>
    <row r="11" ht="36.75" customHeight="1" s="177">
      <c r="B11" s="178" t="n"/>
    </row>
    <row r="12" ht="0.75" customHeight="1" s="177">
      <c r="B12" s="178" t="n"/>
    </row>
    <row r="13" hidden="1" ht="20.25" customHeight="1" s="177">
      <c r="B13" s="178" t="n"/>
    </row>
    <row r="14" ht="15" customHeight="1" s="177">
      <c r="B14" s="181" t="n"/>
    </row>
    <row r="15" ht="56.25" customHeight="1" s="177">
      <c r="B15" s="182" t="inlineStr">
        <is>
          <t>This document contains confidential and proprietary information of GlobalPharma. It is furnished for the performance of The Agreements only. Except with the express prior written permission of GlobalPharma, this document and the information contained herein may not be published, disclosed, or used for any other purpose.</t>
        </is>
      </c>
    </row>
    <row r="16" ht="15" customHeight="1" s="177">
      <c r="B16" s="183" t="n"/>
    </row>
    <row r="17" ht="15" customHeight="1" s="177">
      <c r="B17" s="184" t="n"/>
    </row>
  </sheetData>
  <printOptions horizontalCentered="1" verticalCentered="0" headings="0" gridLines="0" gridLinesSet="1"/>
  <pageMargins left="1" right="1" top="0.872916666666667" bottom="0.25" header="0.25" footer="0.25"/>
  <pageSetup orientation="landscape" paperSize="9" scale="100" fitToHeight="1" fitToWidth="1" pageOrder="downThenOver" blackAndWhite="0" draft="0" horizontalDpi="300" verticalDpi="300" copies="1"/>
  <headerFooter differentOddEven="0" differentFirst="0">
    <oddHeader>&amp;L&amp;"Times New Roman,Regular"&amp;9 COMPANY XYZ CONFIDENTIAL&amp;C&amp;"Times New Roman,Bold"&amp;14 CRITICAL SERVICE LEVELS&amp;R&amp;"Times New Roman,Regular"&amp;9 &amp;F</oddHeader>
    <oddFooter>&amp;L&amp;"Times New Roman,Italic"&amp;8 Copyright © 2005, Technology Partners International, Inc. All Rights Reserved/_x000a_COMPANY XYZ CONFIDENTIAL&amp;C&amp;"Times New Roman,Regular"&amp;9 Attach 3-A  &amp;A  Page &amp;P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1"/>
  </sheetPr>
  <dimension ref="A1:H28"/>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13" activeCellId="0" sqref="D13"/>
    </sheetView>
  </sheetViews>
  <sheetFormatPr baseColWidth="8" defaultColWidth="9.13671875" defaultRowHeight="14.25" customHeight="1" zeroHeight="0" outlineLevelRow="0"/>
  <cols>
    <col width="1.85" customWidth="1" style="175" min="1" max="1"/>
    <col width="5.41" customWidth="1" style="175" min="2" max="2"/>
    <col width="28.41" customWidth="1" style="185" min="3" max="3"/>
    <col width="52.56" customWidth="1" style="175" min="4" max="4"/>
    <col width="21.7" customWidth="1" style="186" min="5" max="5"/>
    <col width="28.99" customWidth="1" style="186" min="6" max="6"/>
    <col width="16.84" customWidth="1" style="175" min="7" max="7"/>
    <col width="9.140000000000001" customWidth="1" style="175" min="8" max="8"/>
    <col width="6.85" customWidth="1" style="175" min="9" max="9"/>
    <col width="70.7" customWidth="1" style="175" min="10" max="10"/>
    <col width="8.699999999999999" customWidth="1" style="186" min="11" max="11"/>
    <col width="7.7" customWidth="1" style="186" min="12" max="13"/>
    <col width="9.699999999999999" customWidth="1" style="175" min="14" max="14"/>
    <col width="9.279999999999999" customWidth="1" style="175" min="15" max="15"/>
    <col width="7.56" customWidth="1" style="175" min="16" max="16"/>
    <col width="9.140000000000001" customWidth="1" style="175" min="17" max="257"/>
  </cols>
  <sheetData>
    <row r="1" ht="15" customHeight="1" s="177">
      <c r="B1" s="187" t="n"/>
      <c r="C1" s="188" t="n"/>
      <c r="D1" s="187" t="n"/>
      <c r="E1" s="189" t="n"/>
      <c r="F1" s="190" t="n"/>
      <c r="G1" s="187" t="n"/>
      <c r="H1" s="191" t="n"/>
    </row>
    <row r="2" ht="18.75" customHeight="1" s="177">
      <c r="B2" s="192" t="n"/>
      <c r="C2" s="193" t="n"/>
      <c r="D2" s="194" t="n"/>
      <c r="E2" s="195" t="n"/>
      <c r="F2" s="190" t="n"/>
      <c r="G2" s="187" t="n"/>
    </row>
    <row r="3" ht="14.25" customHeight="1" s="177">
      <c r="B3" s="192" t="n"/>
      <c r="G3" s="187" t="n"/>
    </row>
    <row r="4" ht="18.75" customHeight="1" s="177">
      <c r="B4" s="196" t="inlineStr">
        <is>
          <t>#</t>
        </is>
      </c>
      <c r="C4" s="197" t="inlineStr">
        <is>
          <t>Titel</t>
        </is>
      </c>
      <c r="D4" s="198" t="inlineStr">
        <is>
          <t>Definition</t>
        </is>
      </c>
      <c r="E4" s="199" t="inlineStr">
        <is>
          <t>Eff + mos***</t>
        </is>
      </c>
      <c r="F4" s="200" t="inlineStr">
        <is>
          <t>Deliverable Credit ($s)</t>
        </is>
      </c>
      <c r="G4" s="201" t="n"/>
    </row>
    <row r="5" ht="255" customHeight="1" s="177">
      <c r="B5" s="202" t="n">
        <v>1</v>
      </c>
      <c r="C5" s="203" t="inlineStr">
        <is>
          <t>Intial Monthly Service Level Reports</t>
        </is>
      </c>
      <c r="D5" s="204" t="inlineStr">
        <is>
          <t xml:space="preserve">The Service Provider will provide the first Service Level report 1 month after each process Go-Live date, in accordance with this Service Level Attachment, which will indicate the Service Provider’s performance with respect to the Service Levels (Critical Service Levels, Critical Deliverables, and Key Measurements) for which the Service Provider is responsible as described in Attachment 3-A.
The measurement results of Key Measures will follow later as described in Exhibit 3.
Once the Service Provider has implemented their service level reporting tool Cognos, 3 month after Commencement Date, the Service Provider will be responsible for uploading service level data for all live processes into service level reporting tool Cognos for all systems controlled by service provider and the systems controlled by GlobalPharma where source from GlobalPharma data is available in agreed format. </t>
        </is>
      </c>
      <c r="E5" s="205" t="inlineStr">
        <is>
          <t>1 month after each process Go Live date</t>
        </is>
      </c>
      <c r="F5" s="206" t="inlineStr">
        <is>
          <t>For each wave : 2 weeks grace, then $10000 per week</t>
        </is>
      </c>
      <c r="G5" s="201" t="n"/>
    </row>
    <row r="6" ht="90" customHeight="1" s="177">
      <c r="B6" s="202">
        <f>B5+1</f>
        <v/>
      </c>
      <c r="C6" s="203" t="inlineStr">
        <is>
          <t>Implementation of Service Level Measurement Tools and Service Level Dashboard</t>
        </is>
      </c>
      <c r="D6" s="204" t="inlineStr">
        <is>
          <t>Service Provider will provide and implement the GlobalPharma approved Service Level Measurement Tools in accordance with this Service Level Attachment, which will deliver the information required to indicate Service Levels (Critical Service Levels, Critical Deliverables, and Key Measurements)</t>
        </is>
      </c>
      <c r="E6" s="205" t="inlineStr">
        <is>
          <t>3 months after Commencement Date</t>
        </is>
      </c>
      <c r="F6" s="206" t="inlineStr">
        <is>
          <t>For each wave : 2 weeks grace, then $10000 per week</t>
        </is>
      </c>
      <c r="G6" s="201" t="n"/>
    </row>
    <row r="7" ht="45" customHeight="1" s="177">
      <c r="B7" s="202">
        <f>B6+1</f>
        <v/>
      </c>
      <c r="C7" s="203" t="inlineStr">
        <is>
          <t>Internal Controls Matrix</t>
        </is>
      </c>
      <c r="D7" s="207" t="inlineStr">
        <is>
          <t>Service Provider will provide an internal control matrix in accordance with GlobalPharma requirements.</t>
        </is>
      </c>
      <c r="E7" s="205" t="inlineStr">
        <is>
          <t>not later than 1 month before year end close</t>
        </is>
      </c>
      <c r="F7" s="206" t="inlineStr">
        <is>
          <t>$5000 per day late - dependent on overall transition happening on time</t>
        </is>
      </c>
      <c r="G7" s="201" t="n"/>
    </row>
    <row r="8" ht="45" customHeight="1" s="177">
      <c r="B8" s="202">
        <f>B7+1</f>
        <v/>
      </c>
      <c r="C8" s="203" t="inlineStr">
        <is>
          <t>Transition Plan and Key Transition Milestones</t>
        </is>
      </c>
      <c r="D8" s="204" t="inlineStr">
        <is>
          <t xml:space="preserve">Service Provider will provide a Transition Plan for the Services, including Key Milestones, as agreed to by GlobalPharma.  </t>
        </is>
      </c>
      <c r="E8" s="205" t="inlineStr">
        <is>
          <t>30 days after contract signing</t>
        </is>
      </c>
      <c r="F8" s="206" t="inlineStr">
        <is>
          <t>$5000 per day late</t>
        </is>
      </c>
      <c r="G8" s="201" t="n"/>
    </row>
    <row r="9" ht="75" customHeight="1" s="177">
      <c r="B9" s="202">
        <f>B8+1</f>
        <v/>
      </c>
      <c r="C9" s="203" t="inlineStr">
        <is>
          <t>Completion of the 1st Disaster Recovery and Business Continuity Test</t>
        </is>
      </c>
      <c r="D9" s="207" t="inlineStr">
        <is>
          <t>Service Provider will complete a successful Disaster Recovery/ Business Continuity test  for each delivery location 6 months after all processes are transitioned to the delivery location. . The test will be completed on time, and signed off by GlobalPharma as such.</t>
        </is>
      </c>
      <c r="E9" s="205" t="inlineStr">
        <is>
          <t>within 6 months after go-live of all processes (per delivery center)</t>
        </is>
      </c>
      <c r="F9" s="206" t="inlineStr">
        <is>
          <t>$10,000 per day late</t>
        </is>
      </c>
      <c r="G9" s="201" t="n"/>
    </row>
    <row r="10" ht="15" customHeight="1" s="177">
      <c r="B10" s="190" t="n"/>
      <c r="C10" s="208" t="n"/>
      <c r="D10" s="209" t="n"/>
      <c r="E10" s="210" t="n"/>
      <c r="F10" s="211" t="n"/>
      <c r="G10" s="201" t="n"/>
    </row>
    <row r="11" ht="15" customHeight="1" s="177">
      <c r="B11" s="190" t="n"/>
      <c r="C11" s="188" t="n"/>
      <c r="D11" s="187" t="n"/>
      <c r="E11" s="210" t="n"/>
      <c r="F11" s="211" t="n"/>
      <c r="G11" s="201" t="n"/>
    </row>
    <row r="12" ht="14.25" customHeight="1" s="177">
      <c r="B12" s="190" t="n"/>
      <c r="C12" s="193" t="inlineStr">
        <is>
          <t>Notes:</t>
        </is>
      </c>
      <c r="D12" s="212" t="n"/>
      <c r="E12" s="210" t="n"/>
      <c r="F12" s="211" t="n"/>
      <c r="G12" s="187" t="n"/>
    </row>
    <row r="13" ht="105" customHeight="1" s="177">
      <c r="B13" s="190" t="n"/>
      <c r="C13" s="188" t="inlineStr">
        <is>
          <t>***  Number of Months after Commencement Date before Supplier is responsible for Service-Level performance and Performance Credits due for Service-Level Default, unless specifed</t>
        </is>
      </c>
      <c r="D13" s="187" t="n"/>
      <c r="E13" s="210" t="n"/>
      <c r="F13" s="210" t="n"/>
      <c r="G13" s="187" t="n"/>
    </row>
    <row r="14" ht="15" customHeight="1" s="177">
      <c r="B14" s="190" t="n"/>
      <c r="C14" s="188" t="inlineStr">
        <is>
          <t xml:space="preserve">     </t>
        </is>
      </c>
      <c r="D14" s="187" t="n"/>
      <c r="E14" s="210" t="n"/>
      <c r="F14" s="210" t="n"/>
    </row>
    <row r="15" ht="14.25" customHeight="1" s="177">
      <c r="B15" s="190" t="n"/>
    </row>
    <row r="16" ht="14.25" customHeight="1" s="177">
      <c r="B16" s="190" t="n"/>
    </row>
    <row r="17" ht="14.25" customHeight="1" s="177">
      <c r="B17" s="190" t="n"/>
    </row>
    <row r="18" ht="14.25" customHeight="1" s="177">
      <c r="B18" s="190" t="n"/>
    </row>
    <row r="19" ht="14.25" customHeight="1" s="177">
      <c r="B19" s="190" t="n"/>
    </row>
    <row r="20" ht="14.25" customHeight="1" s="177">
      <c r="B20" s="190" t="n"/>
    </row>
    <row r="21" ht="14.25" customHeight="1" s="177">
      <c r="B21" s="190" t="n"/>
    </row>
    <row r="22" ht="14.25" customHeight="1" s="177">
      <c r="B22" s="190" t="n"/>
    </row>
    <row r="23" ht="14.25" customHeight="1" s="177">
      <c r="B23" s="190" t="n"/>
    </row>
    <row r="24" ht="14.25" customHeight="1" s="177">
      <c r="B24" s="190" t="n"/>
    </row>
    <row r="25" ht="14.25" customHeight="1" s="177">
      <c r="B25" s="190" t="n"/>
    </row>
    <row r="26" ht="14.25" customHeight="1" s="177">
      <c r="B26" s="190" t="n"/>
    </row>
    <row r="27" ht="14.25" customHeight="1" s="177">
      <c r="B27" s="190" t="n"/>
    </row>
    <row r="28" ht="14.25" customHeight="1" s="177">
      <c r="B28" s="190" t="n"/>
    </row>
  </sheetData>
  <printOptions horizontalCentered="1" verticalCentered="0" headings="0" gridLines="0" gridLinesSet="1"/>
  <pageMargins left="1" right="1" top="0.872916666666667" bottom="0.25" header="0.25" footer="0.25"/>
  <pageSetup orientation="landscape" paperSize="9" scale="100" fitToHeight="1" fitToWidth="1" pageOrder="downThenOver" blackAndWhite="0" draft="0" horizontalDpi="300" verticalDpi="300" copies="1"/>
  <headerFooter differentOddEven="0" differentFirst="0">
    <oddHeader>&amp;L&amp;"Times New Roman,Regular"&amp;9 NOVARTIS PHARMA  CONFIDENTIAL&amp;C&amp;"Times New Roman,Bold"&amp;14 CRITICAL SERVICE LEVELS&amp;R&amp;"Times New Roman,Regular"&amp;9 &amp;F</oddHeader>
    <oddFooter>&amp;L&amp;"Times New Roman,Italic"&amp;8 Novartis Pharma CONFIDENTIAL&amp;C&amp;"Times New Roman,Regular"&amp;9 Attach 3-A  &amp;A  Page &amp;P</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K70"/>
  <sheetViews>
    <sheetView showFormulas="0" showGridLines="0" showRowColHeaders="1" showZeros="1" rightToLeft="0" tabSelected="1" showOutlineSymbols="1" defaultGridColor="1" view="normal" topLeftCell="A1" colorId="64" zoomScale="70" zoomScaleNormal="70" zoomScalePageLayoutView="100" workbookViewId="0">
      <selection pane="topLeft" activeCell="A46" activeCellId="0" sqref="A46"/>
    </sheetView>
  </sheetViews>
  <sheetFormatPr baseColWidth="8" defaultColWidth="9.13671875" defaultRowHeight="15" customHeight="1" zeroHeight="0" outlineLevelRow="0"/>
  <cols>
    <col width="11.56" customWidth="1" style="213" min="1" max="1"/>
    <col width="30.28" customWidth="1" style="214" min="2" max="2"/>
    <col width="74.28" customWidth="1" style="175" min="3" max="3"/>
    <col width="8.699999999999999" customWidth="1" style="186" min="4" max="4"/>
    <col width="7.7" customWidth="1" style="186" min="5" max="6"/>
    <col width="13.41" customWidth="1" style="175" min="7" max="7"/>
    <col width="9.279999999999999" customWidth="1" style="175" min="8" max="8"/>
    <col width="9.85" customWidth="1" style="175" min="9" max="10"/>
    <col width="10.41" customWidth="1" style="175" min="11" max="11"/>
    <col width="9.699999999999999" customWidth="1" style="175" min="12" max="12"/>
    <col width="9.279999999999999" customWidth="1" style="175" min="13" max="13"/>
    <col width="7.56" customWidth="1" style="175" min="14" max="14"/>
    <col width="9.140000000000001" customWidth="1" style="175" min="15" max="257"/>
  </cols>
  <sheetData>
    <row r="1" ht="15.75" customHeight="1" s="177">
      <c r="A1" s="215" t="n"/>
      <c r="B1" s="216" t="n"/>
      <c r="C1" s="187" t="n"/>
      <c r="D1" s="210" t="n"/>
      <c r="E1" s="210" t="n"/>
      <c r="F1" s="210" t="n"/>
      <c r="G1" s="187" t="n"/>
      <c r="H1" s="187" t="n"/>
      <c r="I1" s="187" t="n"/>
      <c r="J1" s="187" t="n"/>
    </row>
    <row r="2" ht="15.75" customHeight="1" s="177">
      <c r="A2" s="217">
        <f>COUNTA(A5:A83)-10</f>
        <v/>
      </c>
      <c r="B2" s="218" t="inlineStr">
        <is>
          <t>Total Service Provider At Risk - Expressed in term of percentage of the Monthly Charge</t>
        </is>
      </c>
      <c r="C2" s="219" t="n"/>
      <c r="D2" s="220" t="n"/>
      <c r="E2" s="221" t="n"/>
      <c r="F2" s="222" t="n"/>
      <c r="G2" s="223" t="n"/>
      <c r="H2" s="223" t="n"/>
      <c r="I2" s="224" t="n">
        <v>0.12</v>
      </c>
      <c r="J2" s="225" t="n"/>
    </row>
    <row r="3" ht="15" customHeight="1" s="177">
      <c r="B3" s="226" t="inlineStr">
        <is>
          <t xml:space="preserve">At-Risk Pool Percentage Available For Allocation - Expressed as a % of the "At Risk" amount </t>
        </is>
      </c>
      <c r="C3" s="227" t="n"/>
      <c r="D3" s="228" t="n"/>
      <c r="E3" s="228" t="n"/>
      <c r="F3" s="229" t="n"/>
      <c r="G3" s="230" t="n"/>
      <c r="H3" s="230" t="n"/>
      <c r="I3" s="231" t="n">
        <v>3.5</v>
      </c>
      <c r="J3" s="225" t="n"/>
    </row>
    <row r="4" ht="15.75" customHeight="1" s="177">
      <c r="B4" s="232" t="inlineStr">
        <is>
          <t>At-Risk Pool Available Unallocated -- Expressed as % of the Pool not Allocated</t>
        </is>
      </c>
      <c r="C4" s="233" t="n"/>
      <c r="D4" s="234" t="n"/>
      <c r="E4" s="234" t="n"/>
      <c r="F4" s="235" t="n"/>
      <c r="G4" s="236" t="n"/>
      <c r="H4" s="236" t="n"/>
      <c r="I4" s="237">
        <f>I3-E8-E14-E22-E26-E34-E42-E49-E59</f>
        <v/>
      </c>
      <c r="J4" s="225" t="n"/>
    </row>
    <row r="5" ht="15.75" customHeight="1" s="177">
      <c r="A5" s="238" t="inlineStr">
        <is>
          <t>Attach. 3-B</t>
        </is>
      </c>
      <c r="B5" s="232" t="inlineStr">
        <is>
          <t>Monthly Charge</t>
        </is>
      </c>
      <c r="C5" s="233" t="n"/>
      <c r="D5" s="234" t="n"/>
      <c r="E5" s="234" t="n"/>
      <c r="F5" s="235" t="n"/>
      <c r="G5" s="236" t="n"/>
      <c r="H5" s="236" t="inlineStr">
        <is>
          <t>US$</t>
        </is>
      </c>
      <c r="I5" s="239" t="n"/>
      <c r="J5" s="240" t="n"/>
    </row>
    <row r="6" ht="26.25" customHeight="1" s="177">
      <c r="A6" s="238" t="inlineStr">
        <is>
          <t>Section Reference</t>
        </is>
      </c>
      <c r="B6" s="214" t="n"/>
      <c r="C6" s="175" t="n"/>
      <c r="D6" s="210" t="n"/>
      <c r="E6" s="210" t="n"/>
      <c r="F6" s="210" t="n"/>
      <c r="G6" s="187" t="n"/>
      <c r="H6" s="187" t="n"/>
      <c r="I6" s="241" t="n"/>
      <c r="J6" s="241" t="n"/>
    </row>
    <row r="7" ht="15" customHeight="1" s="177">
      <c r="B7" s="242" t="n"/>
      <c r="C7" s="243" t="n"/>
      <c r="D7" s="210" t="n"/>
      <c r="E7" s="210" t="n"/>
      <c r="F7" s="210" t="n"/>
      <c r="G7" s="187" t="n"/>
      <c r="H7" s="187" t="n"/>
      <c r="I7" s="187" t="n"/>
      <c r="J7" s="187" t="n"/>
    </row>
    <row r="8" ht="15" customHeight="1" s="177">
      <c r="B8" s="244" t="inlineStr">
        <is>
          <t xml:space="preserve">Allocation of Pool Percentage </t>
        </is>
      </c>
      <c r="C8" s="245" t="n"/>
      <c r="D8" s="246" t="n"/>
      <c r="E8" s="246" t="n">
        <v>0.4</v>
      </c>
      <c r="F8" s="247" t="n"/>
      <c r="G8" s="247" t="inlineStr">
        <is>
          <t>Measurement</t>
        </is>
      </c>
      <c r="H8" s="248">
        <f>SUM(H10:H12)</f>
        <v/>
      </c>
      <c r="I8" s="249" t="inlineStr">
        <is>
          <t>% of</t>
        </is>
      </c>
      <c r="J8" s="249" t="inlineStr">
        <is>
          <t>US$</t>
        </is>
      </c>
      <c r="K8" s="249" t="inlineStr">
        <is>
          <t>CIP</t>
        </is>
      </c>
    </row>
    <row r="9" ht="15" customHeight="1" s="177">
      <c r="A9" s="250" t="inlineStr">
        <is>
          <t>2.1</t>
        </is>
      </c>
      <c r="B9" s="251" t="inlineStr">
        <is>
          <t>Cross Functional</t>
        </is>
      </c>
      <c r="C9" s="252" t="inlineStr">
        <is>
          <t>Definition</t>
        </is>
      </c>
      <c r="D9" s="253" t="inlineStr">
        <is>
          <t>Eff + mos**</t>
        </is>
      </c>
      <c r="E9" s="253" t="inlineStr">
        <is>
          <t>Expected</t>
        </is>
      </c>
      <c r="F9" s="254" t="inlineStr">
        <is>
          <t>Minimum</t>
        </is>
      </c>
      <c r="G9" s="255" t="inlineStr">
        <is>
          <t>Window</t>
        </is>
      </c>
      <c r="H9" s="256" t="inlineStr">
        <is>
          <t>Allocation*</t>
        </is>
      </c>
      <c r="I9" s="257" t="inlineStr">
        <is>
          <t>Invoice</t>
        </is>
      </c>
      <c r="J9" s="257" t="inlineStr">
        <is>
          <t>Amount</t>
        </is>
      </c>
      <c r="K9" s="257" t="inlineStr">
        <is>
          <t>Potential</t>
        </is>
      </c>
    </row>
    <row r="10" ht="48.75" customHeight="1" s="177">
      <c r="A10" s="250" t="inlineStr">
        <is>
          <t>2.1.1</t>
        </is>
      </c>
      <c r="B10" s="258" t="inlineStr">
        <is>
          <t>Percentage of satisfactory Customer Satisfaction Surveys</t>
        </is>
      </c>
      <c r="C10" s="259" t="inlineStr">
        <is>
          <t>Number of internal Customer Satisfaction Surveys with a rating of satisfactory or higher divided by the total number of Customer Satisfaction surveys, expressed as a percentage (structured along the processes in scope).</t>
        </is>
      </c>
      <c r="D10" s="260" t="n">
        <v>6</v>
      </c>
      <c r="E10" s="261" t="inlineStr">
        <is>
          <t>xx.xx %</t>
        </is>
      </c>
      <c r="F10" s="261" t="inlineStr">
        <is>
          <t>xx.xx %</t>
        </is>
      </c>
      <c r="G10" s="261" t="inlineStr">
        <is>
          <t>monthly</t>
        </is>
      </c>
      <c r="H10" s="262" t="n">
        <v>0.4</v>
      </c>
      <c r="I10" s="261">
        <f>$I$2*$E$8*H10</f>
        <v/>
      </c>
      <c r="J10" s="263">
        <f>I10*$I$5</f>
        <v/>
      </c>
      <c r="K10" s="264" t="inlineStr">
        <is>
          <t>Medium</t>
        </is>
      </c>
    </row>
    <row r="11" ht="40.5" customHeight="1" s="177">
      <c r="A11" s="250" t="inlineStr">
        <is>
          <t>2.1.2</t>
        </is>
      </c>
      <c r="B11" s="258" t="inlineStr">
        <is>
          <t>Percentage of Standard Reports Issued On-Time</t>
        </is>
      </c>
      <c r="C11" s="259" t="inlineStr">
        <is>
          <t>The number of standard reports issued on-time divided by the total number of standard reports expected to be issued.</t>
        </is>
      </c>
      <c r="D11" s="260" t="n">
        <v>6</v>
      </c>
      <c r="E11" s="261" t="inlineStr">
        <is>
          <t>xx.xx %</t>
        </is>
      </c>
      <c r="F11" s="261" t="inlineStr">
        <is>
          <t>xx.xx %</t>
        </is>
      </c>
      <c r="G11" s="261" t="inlineStr">
        <is>
          <t>monthly</t>
        </is>
      </c>
      <c r="H11" s="262" t="n">
        <v>0.3</v>
      </c>
      <c r="I11" s="261">
        <f>$I$2*$E$8*H11</f>
        <v/>
      </c>
      <c r="J11" s="263">
        <f>I11*$I$5</f>
        <v/>
      </c>
      <c r="K11" s="264" t="inlineStr">
        <is>
          <t>Low</t>
        </is>
      </c>
    </row>
    <row r="12" ht="36" customHeight="1" s="177">
      <c r="A12" s="250" t="inlineStr">
        <is>
          <t>2.1.3</t>
        </is>
      </c>
      <c r="B12" s="258" t="inlineStr">
        <is>
          <t>Percentage of Performance and Service Level Reports Issued On-Time</t>
        </is>
      </c>
      <c r="C12" s="259" t="inlineStr">
        <is>
          <t>The number of performance reports issued on-time divided by the total number of standard reports expected to be issued.</t>
        </is>
      </c>
      <c r="D12" s="260" t="n">
        <v>6</v>
      </c>
      <c r="E12" s="261" t="inlineStr">
        <is>
          <t>xx.xx %</t>
        </is>
      </c>
      <c r="F12" s="261" t="inlineStr">
        <is>
          <t>xx.xx %</t>
        </is>
      </c>
      <c r="G12" s="261" t="inlineStr">
        <is>
          <t>monthly</t>
        </is>
      </c>
      <c r="H12" s="262" t="n">
        <v>0.3</v>
      </c>
      <c r="I12" s="261">
        <f>$I$2*$E$8*H12</f>
        <v/>
      </c>
      <c r="J12" s="263">
        <f>I12*$I$5</f>
        <v/>
      </c>
      <c r="K12" s="264" t="inlineStr">
        <is>
          <t>Low</t>
        </is>
      </c>
    </row>
    <row r="13" ht="15" customHeight="1" s="177">
      <c r="B13" s="214" t="n"/>
      <c r="C13" s="175" t="n"/>
      <c r="D13" s="175" t="n"/>
      <c r="E13" s="175" t="n"/>
      <c r="F13" s="175" t="n"/>
    </row>
    <row r="14" ht="15" customHeight="1" s="177">
      <c r="A14" s="265" t="n"/>
      <c r="B14" s="266" t="inlineStr">
        <is>
          <t xml:space="preserve">Allocation of Pool Percentage </t>
        </is>
      </c>
      <c r="C14" s="267" t="n"/>
      <c r="D14" s="268" t="n"/>
      <c r="E14" s="246" t="n">
        <v>0.8</v>
      </c>
      <c r="F14" s="247" t="n"/>
      <c r="G14" s="247" t="inlineStr">
        <is>
          <t>Measurement</t>
        </is>
      </c>
      <c r="H14" s="248">
        <f>SUM(H16:H20)</f>
        <v/>
      </c>
      <c r="I14" s="249" t="inlineStr">
        <is>
          <t>% of</t>
        </is>
      </c>
      <c r="J14" s="249" t="inlineStr">
        <is>
          <t>US$</t>
        </is>
      </c>
      <c r="K14" s="249" t="inlineStr">
        <is>
          <t>CIP</t>
        </is>
      </c>
    </row>
    <row r="15" ht="15.75" customHeight="1" s="177">
      <c r="A15" s="265" t="inlineStr">
        <is>
          <t>2.2</t>
        </is>
      </c>
      <c r="B15" s="269" t="inlineStr">
        <is>
          <t>General Accounting</t>
        </is>
      </c>
      <c r="C15" s="270" t="inlineStr">
        <is>
          <t>Definition</t>
        </is>
      </c>
      <c r="D15" s="253" t="inlineStr">
        <is>
          <t>Eff + mos**</t>
        </is>
      </c>
      <c r="E15" s="253" t="inlineStr">
        <is>
          <t>Expected</t>
        </is>
      </c>
      <c r="F15" s="254" t="inlineStr">
        <is>
          <t>Minimum</t>
        </is>
      </c>
      <c r="G15" s="255" t="inlineStr">
        <is>
          <t>Window</t>
        </is>
      </c>
      <c r="H15" s="256" t="inlineStr">
        <is>
          <t>Allocation*</t>
        </is>
      </c>
      <c r="I15" s="257" t="inlineStr">
        <is>
          <t>Invoice</t>
        </is>
      </c>
      <c r="J15" s="257" t="inlineStr">
        <is>
          <t>Amount</t>
        </is>
      </c>
      <c r="K15" s="257" t="inlineStr">
        <is>
          <t>Potential</t>
        </is>
      </c>
    </row>
    <row r="16" ht="60.75" customHeight="1" s="177">
      <c r="A16" s="213" t="inlineStr">
        <is>
          <t>2.2.1</t>
        </is>
      </c>
      <c r="B16" s="258" t="inlineStr">
        <is>
          <t xml:space="preserve">Timely completion of account reconciliations for both cash and other key GlobalPharma general ledger accounts 
</t>
        </is>
      </c>
      <c r="C16" s="271" t="inlineStr">
        <is>
          <t>Number of key accounts reconciled without exception and on time within the measurement window divided by the total number of key accounts requiring reconciliation during the measurement window. Expressed as a percentage.</t>
        </is>
      </c>
      <c r="D16" s="260" t="n">
        <v>6</v>
      </c>
      <c r="E16" s="261" t="inlineStr">
        <is>
          <t>xxx</t>
        </is>
      </c>
      <c r="F16" s="261" t="inlineStr">
        <is>
          <t>xxx</t>
        </is>
      </c>
      <c r="G16" s="261" t="inlineStr">
        <is>
          <t>monthly</t>
        </is>
      </c>
      <c r="H16" s="262" t="n">
        <v>0.2</v>
      </c>
      <c r="I16" s="261">
        <f>$I$2*$E$14*H16</f>
        <v/>
      </c>
      <c r="J16" s="263">
        <f>I16*$I$5</f>
        <v/>
      </c>
      <c r="K16" s="264" t="inlineStr">
        <is>
          <t>Low</t>
        </is>
      </c>
    </row>
    <row r="17" ht="60.75" customHeight="1" s="177">
      <c r="A17" s="213" t="inlineStr">
        <is>
          <t>2.2.2</t>
        </is>
      </c>
      <c r="B17" s="258" t="inlineStr">
        <is>
          <t xml:space="preserve">Accurate completion of account reconciliations for both cash and other key GlobalPharma general ledger accounts 
</t>
        </is>
      </c>
      <c r="C17" s="271" t="inlineStr">
        <is>
          <t>Number of accurately reconciled key accounts without exception within the measurement window divided by the total number of key accounts requiring reconciliation during the measurement window. Expressed as a percentage.</t>
        </is>
      </c>
      <c r="D17" s="260" t="n">
        <v>6</v>
      </c>
      <c r="E17" s="261" t="inlineStr">
        <is>
          <t>xxx</t>
        </is>
      </c>
      <c r="F17" s="261" t="inlineStr">
        <is>
          <t>xxx</t>
        </is>
      </c>
      <c r="G17" s="261" t="inlineStr">
        <is>
          <t>monthly</t>
        </is>
      </c>
      <c r="H17" s="262" t="n">
        <v>0.2</v>
      </c>
      <c r="I17" s="261">
        <f>$I$2*$E$14*H17</f>
        <v/>
      </c>
      <c r="J17" s="263">
        <f>I17*$I$5</f>
        <v/>
      </c>
      <c r="K17" s="264" t="inlineStr">
        <is>
          <t>Low</t>
        </is>
      </c>
    </row>
    <row r="18" ht="93" customHeight="1" s="177">
      <c r="A18" s="213" t="inlineStr">
        <is>
          <t>2.2.3</t>
        </is>
      </c>
      <c r="B18" s="258" t="inlineStr">
        <is>
          <t>Percent of scheduled close tasks completed within agreed month-end close timing calendar (including quarter and year-ends)</t>
        </is>
      </c>
      <c r="C18" s="271" t="inlineStr">
        <is>
          <t>Number of scheduled tasks completed on time within the reporting month divided by the total number of scheduled tasks. All monthly/quarterly tasks, e.g. booking of journals, GL master updates and any other tasks which are listed in GlobalPharma policies and procedures are included. Expressed as a percentage. GlobalPharma with assistance from the Service Provider will define and publish a list and calendar of required month-end, quarter-end and year-end close related tasks based on GlobalPharma policy and operational requirements and based on local statutory/tax rules.</t>
        </is>
      </c>
      <c r="D18" s="260" t="n">
        <v>6</v>
      </c>
      <c r="E18" s="261" t="inlineStr">
        <is>
          <t>xxx</t>
        </is>
      </c>
      <c r="F18" s="261" t="inlineStr">
        <is>
          <t>xxx</t>
        </is>
      </c>
      <c r="G18" s="261" t="inlineStr">
        <is>
          <t>monthly</t>
        </is>
      </c>
      <c r="H18" s="262" t="n">
        <v>0.2</v>
      </c>
      <c r="I18" s="261">
        <f>$I$2*$E$14*H18</f>
        <v/>
      </c>
      <c r="J18" s="263">
        <f>I18*$I$5</f>
        <v/>
      </c>
      <c r="K18" s="264" t="inlineStr">
        <is>
          <t>Low</t>
        </is>
      </c>
    </row>
    <row r="19" ht="78" customHeight="1" s="177">
      <c r="A19" s="213" t="inlineStr">
        <is>
          <t>2.2.4</t>
        </is>
      </c>
      <c r="B19" s="258" t="inlineStr">
        <is>
          <t>Percent of scheduled close tasks completed accurately in the agreed month-end close timing calendar (including quarter and year-ends)</t>
        </is>
      </c>
      <c r="C19" s="271" t="inlineStr">
        <is>
          <t>Number of scheduled tasks accurately within the reporting month divided by the total number of scheduled tasks. All monthly/quarterly tasks, e.g. booking of journals, GL master updates and any other tasks which are listed in GlobalPharma policies and procedures are included. Expressed as a percentage. GlobalPharma with assistance from the Service Provider will define and publish a list and calendar of required month-end, quarter-end and year-end close related tasks based on GlobalPharma policy and operational requirements and based on local statutory/tax rules.</t>
        </is>
      </c>
      <c r="D19" s="260" t="n">
        <v>6</v>
      </c>
      <c r="E19" s="261" t="inlineStr">
        <is>
          <t>xxx</t>
        </is>
      </c>
      <c r="F19" s="261" t="inlineStr">
        <is>
          <t>xxx</t>
        </is>
      </c>
      <c r="G19" s="261" t="inlineStr">
        <is>
          <t>monthly</t>
        </is>
      </c>
      <c r="H19" s="262" t="n">
        <v>0.2</v>
      </c>
      <c r="I19" s="261">
        <f>$I$2*$E$14*H19</f>
        <v/>
      </c>
      <c r="J19" s="263">
        <f>I19*$I$5</f>
        <v/>
      </c>
      <c r="K19" s="264" t="inlineStr">
        <is>
          <t>Low</t>
        </is>
      </c>
    </row>
    <row r="20" ht="89.25" customHeight="1" s="177">
      <c r="A20" s="213" t="inlineStr">
        <is>
          <t>2.2.5</t>
        </is>
      </c>
      <c r="B20" s="258" t="inlineStr">
        <is>
          <t>Number of material out-of-period adjustments</t>
        </is>
      </c>
      <c r="C20" s="271" t="inlineStr">
        <is>
          <t>Number of adjustments over business unit-specific materiality levels to process after period-end close resulting from errors made by the Service Provider or resulting from errors made by GlobalPharma that should have been detected and corrected by the Service Provider, as defined by GlobalPharma processes and procedures, prior to closing. Expressed as an integer. Business unit materiality levels are defined as $200,000 for the critical business units, and $100,000 for all other GlobalPharma business units. Adjustments related to reserve accounts and forecasted amounts to be excluded.</t>
        </is>
      </c>
      <c r="D20" s="260" t="n">
        <v>6</v>
      </c>
      <c r="E20" s="261" t="inlineStr">
        <is>
          <t>xxx</t>
        </is>
      </c>
      <c r="F20" s="261" t="inlineStr">
        <is>
          <t>xxx</t>
        </is>
      </c>
      <c r="G20" s="261" t="inlineStr">
        <is>
          <t>monthly</t>
        </is>
      </c>
      <c r="H20" s="262" t="n">
        <v>0.2</v>
      </c>
      <c r="I20" s="261">
        <f>$I$2*$E$14*H20</f>
        <v/>
      </c>
      <c r="J20" s="263">
        <f>I20*$I$5</f>
        <v/>
      </c>
      <c r="K20" s="264" t="inlineStr">
        <is>
          <t>Low</t>
        </is>
      </c>
    </row>
    <row r="21" ht="15" customHeight="1" s="177">
      <c r="B21" s="272" t="n"/>
      <c r="C21" s="273" t="n"/>
      <c r="D21" s="274" t="n"/>
      <c r="E21" s="275" t="n"/>
      <c r="F21" s="276" t="n"/>
      <c r="G21" s="276" t="n"/>
      <c r="H21" s="189" t="n"/>
      <c r="I21" s="276" t="n"/>
      <c r="J21" s="276" t="n"/>
    </row>
    <row r="22" ht="15" customHeight="1" s="177">
      <c r="A22" s="265" t="inlineStr">
        <is>
          <t>2.3</t>
        </is>
      </c>
      <c r="B22" s="244" t="inlineStr">
        <is>
          <t xml:space="preserve">Allocation of Pool Percentage </t>
        </is>
      </c>
      <c r="C22" s="245" t="n"/>
      <c r="D22" s="268" t="n"/>
      <c r="E22" s="246" t="n">
        <v>0.1</v>
      </c>
      <c r="F22" s="247" t="n"/>
      <c r="G22" s="247" t="inlineStr">
        <is>
          <t>Measurement</t>
        </is>
      </c>
      <c r="H22" s="248">
        <f>SUM(H24)</f>
        <v/>
      </c>
      <c r="I22" s="249" t="inlineStr">
        <is>
          <t>% of</t>
        </is>
      </c>
      <c r="J22" s="249" t="inlineStr">
        <is>
          <t>US$</t>
        </is>
      </c>
      <c r="K22" s="249" t="inlineStr">
        <is>
          <t>CIP</t>
        </is>
      </c>
    </row>
    <row r="23" ht="14.25" customHeight="1" s="177">
      <c r="A23" s="175" t="n"/>
      <c r="B23" s="251" t="inlineStr">
        <is>
          <t>Fixed Assets</t>
        </is>
      </c>
      <c r="C23" s="252" t="inlineStr">
        <is>
          <t>Definition</t>
        </is>
      </c>
      <c r="D23" s="277" t="inlineStr">
        <is>
          <t>Eff + mos**</t>
        </is>
      </c>
      <c r="E23" s="253" t="inlineStr">
        <is>
          <t>Expected</t>
        </is>
      </c>
      <c r="F23" s="254" t="inlineStr">
        <is>
          <t>Minimum</t>
        </is>
      </c>
      <c r="G23" s="255" t="inlineStr">
        <is>
          <t>Window</t>
        </is>
      </c>
      <c r="H23" s="256" t="inlineStr">
        <is>
          <t>Allocation*</t>
        </is>
      </c>
      <c r="I23" s="257" t="inlineStr">
        <is>
          <t>Invoice</t>
        </is>
      </c>
      <c r="J23" s="257" t="inlineStr">
        <is>
          <t>Amount</t>
        </is>
      </c>
      <c r="K23" s="257" t="inlineStr">
        <is>
          <t>Potential</t>
        </is>
      </c>
    </row>
    <row r="24" ht="44.25" customHeight="1" s="177">
      <c r="A24" s="213" t="inlineStr">
        <is>
          <t>2.3.1</t>
        </is>
      </c>
      <c r="B24" s="258" t="inlineStr">
        <is>
          <t>Accurate Processing of Fixed Asset items</t>
        </is>
      </c>
      <c r="C24" s="271" t="inlineStr">
        <is>
          <t>Fixed asset transactions (addition, disposal, transfer, etc.) not processed properly in the fixed asset register in the correct period (month end) not to exceed [X%] of total fixed assets book value</t>
        </is>
      </c>
      <c r="D24" s="260" t="n">
        <v>6</v>
      </c>
      <c r="E24" s="261" t="inlineStr">
        <is>
          <t>xxx</t>
        </is>
      </c>
      <c r="F24" s="261" t="inlineStr">
        <is>
          <t>xxx</t>
        </is>
      </c>
      <c r="G24" s="261" t="inlineStr">
        <is>
          <t>monthly</t>
        </is>
      </c>
      <c r="H24" s="262" t="n">
        <v>1</v>
      </c>
      <c r="I24" s="261">
        <f>$I$2*$E$22*H24</f>
        <v/>
      </c>
      <c r="J24" s="263">
        <f>I24*$I$5</f>
        <v/>
      </c>
      <c r="K24" s="175" t="inlineStr">
        <is>
          <t>Low</t>
        </is>
      </c>
    </row>
    <row r="25" ht="15" customHeight="1" s="177">
      <c r="A25" s="213" t="n"/>
      <c r="B25" s="278" t="n"/>
      <c r="C25" s="279" t="n"/>
      <c r="D25" s="210" t="n"/>
      <c r="E25" s="276" t="n"/>
      <c r="F25" s="276" t="n"/>
      <c r="G25" s="276" t="n"/>
      <c r="H25" s="189" t="n"/>
      <c r="I25" s="276" t="n"/>
      <c r="J25" s="276" t="n"/>
    </row>
    <row r="26" ht="15" customHeight="1" s="177">
      <c r="A26" s="280" t="n"/>
      <c r="B26" s="244" t="inlineStr">
        <is>
          <t xml:space="preserve">Allocation of Pool Percentage </t>
        </is>
      </c>
      <c r="C26" s="245" t="n"/>
      <c r="D26" s="268" t="n"/>
      <c r="E26" s="246" t="n">
        <v>0.5</v>
      </c>
      <c r="F26" s="247" t="n"/>
      <c r="G26" s="247" t="inlineStr">
        <is>
          <t>Measurement</t>
        </is>
      </c>
      <c r="H26" s="248">
        <f>SUM(H28:H32)</f>
        <v/>
      </c>
      <c r="I26" s="249" t="inlineStr">
        <is>
          <t>% of</t>
        </is>
      </c>
      <c r="J26" s="249" t="inlineStr">
        <is>
          <t>US$</t>
        </is>
      </c>
      <c r="K26" s="249" t="inlineStr">
        <is>
          <t>CIP</t>
        </is>
      </c>
    </row>
    <row r="27" ht="15" customHeight="1" s="177">
      <c r="A27" s="280" t="inlineStr">
        <is>
          <t>2.4</t>
        </is>
      </c>
      <c r="B27" s="251" t="inlineStr">
        <is>
          <t>Requisition to Pay (R2P)</t>
        </is>
      </c>
      <c r="C27" s="252" t="inlineStr">
        <is>
          <t>Definition</t>
        </is>
      </c>
      <c r="D27" s="253" t="inlineStr">
        <is>
          <t>Eff + mos**</t>
        </is>
      </c>
      <c r="E27" s="253" t="inlineStr">
        <is>
          <t>Expected</t>
        </is>
      </c>
      <c r="F27" s="254" t="inlineStr">
        <is>
          <t>Minimum</t>
        </is>
      </c>
      <c r="G27" s="255" t="inlineStr">
        <is>
          <t>Window</t>
        </is>
      </c>
      <c r="H27" s="256" t="inlineStr">
        <is>
          <t>Allocation*</t>
        </is>
      </c>
      <c r="I27" s="257" t="inlineStr">
        <is>
          <t>Invoice</t>
        </is>
      </c>
      <c r="J27" s="257" t="inlineStr">
        <is>
          <t>Amount</t>
        </is>
      </c>
      <c r="K27" s="257" t="inlineStr">
        <is>
          <t>Potential</t>
        </is>
      </c>
    </row>
    <row r="28" ht="107.25" customHeight="1" s="177">
      <c r="A28" s="213" t="inlineStr">
        <is>
          <t>2.4.1</t>
        </is>
      </c>
      <c r="B28" s="258" t="inlineStr">
        <is>
          <t>eSourcing Hotline operation</t>
        </is>
      </c>
      <c r="C28" s="259" t="inlineStr">
        <is>
          <t>The sum of the customer satisfaction rating of each question with regard to the e-Sourcing Hotline within the measurement window divided by all questions with regard to the e-Sourcing Hotline within the measurement window, expressed in percentage. For the purpose of this exhibit "e-Sourcing Hotline operation" means that SP would monitor e-Sourcing events and resolution of supplier problems in reasonable time or offer help in order to place surrogated bids. This would also mean that the SP would do the master data management and the set up of e-RFX within agreed timeline between support and internal Customer.</t>
        </is>
      </c>
      <c r="D28" s="260" t="n">
        <v>6</v>
      </c>
      <c r="E28" s="261" t="inlineStr">
        <is>
          <t>xx.xx %</t>
        </is>
      </c>
      <c r="F28" s="261" t="n">
        <v>0</v>
      </c>
      <c r="G28" s="261" t="inlineStr">
        <is>
          <t>monthly</t>
        </is>
      </c>
      <c r="H28" s="262" t="n">
        <v>0.2</v>
      </c>
      <c r="I28" s="261">
        <f>$I$2*$E$26*H28</f>
        <v/>
      </c>
      <c r="J28" s="263">
        <f>I28*$I$5</f>
        <v/>
      </c>
      <c r="K28" s="264" t="inlineStr">
        <is>
          <t>High</t>
        </is>
      </c>
    </row>
    <row r="29" ht="181.5" customHeight="1" s="177">
      <c r="A29" s="213" t="inlineStr">
        <is>
          <t>2.4.2</t>
        </is>
      </c>
      <c r="B29" s="258" t="inlineStr">
        <is>
          <t>Provide 1.st level ePro Business support</t>
        </is>
      </c>
      <c r="C29" s="259" t="inlineStr">
        <is>
          <t>The sum of the customer satisfaction rating of each question with regard to the Ariba Hotline within the measurement window divided by all questions with regard to the Ariba Hotline within the measurement window, expressed in percentage. For the purpose of this exhibit "Provide 1.st level e-Pro Business support" means that the SP would respond to and resolve general GlobalPharma enquiries and issues of vendors and GlobalPharma end users relating to suppliers and purchase orders, e.g. request adjustments in master data done by the Business HR, FI, CO, MM, and CSV Files in ePro, according hotline issues, maintain/change SAP Orders according SOX and Audit guidelines. Manage US first level of Support for Ariba/Elance US, ranging from basic end-user guidance/training regarding system functionality to resolving and/or escalating all invoice related issues, and system/process issues. For Ariba/Elance US the SP would provide 2nd level support, means process issues including data maintenance, permission access and transaction related errors.</t>
        </is>
      </c>
      <c r="D29" s="260" t="n">
        <v>6</v>
      </c>
      <c r="E29" s="261" t="inlineStr">
        <is>
          <t>xx.xx %</t>
        </is>
      </c>
      <c r="F29" s="261" t="n">
        <v>0</v>
      </c>
      <c r="G29" s="261" t="inlineStr">
        <is>
          <t>monthly</t>
        </is>
      </c>
      <c r="H29" s="262" t="n">
        <v>0.2</v>
      </c>
      <c r="I29" s="261">
        <f>$I$2*$E$26*H29</f>
        <v/>
      </c>
      <c r="J29" s="263">
        <f>I29*$I$5</f>
        <v/>
      </c>
      <c r="K29" s="264" t="inlineStr">
        <is>
          <t>High</t>
        </is>
      </c>
    </row>
    <row r="30" ht="102" customHeight="1" s="177">
      <c r="A30" s="213" t="inlineStr">
        <is>
          <t>2.4.3</t>
        </is>
      </c>
      <c r="B30" s="258" t="inlineStr">
        <is>
          <t>RTP Month End closing support (merged in 1st line ePro Support)</t>
        </is>
      </c>
      <c r="C30" s="259" t="inlineStr">
        <is>
          <t>The sum of goods receipt error messages related to month end close generated in Ariba or any other systems resolved or escalated according to policies and procedures within the measurement window divided by all goods receipt error messages related to month end close generated in Ariba or any other systems received within the measurement window, expressed as a percentage. There is only a minimum level of 100%. No earn back possible. ServicePro understands this expectation and will validate during solution identification. Any changes to the expected level have to be brought to GlobalPharma attention and will be mutually agreed.</t>
        </is>
      </c>
      <c r="D30" s="260" t="n">
        <v>6</v>
      </c>
      <c r="E30" s="261" t="inlineStr">
        <is>
          <t>xx.xx %</t>
        </is>
      </c>
      <c r="F30" s="261" t="n">
        <v>0</v>
      </c>
      <c r="G30" s="261" t="inlineStr">
        <is>
          <t>monthly</t>
        </is>
      </c>
      <c r="H30" s="262" t="n">
        <v>0.2</v>
      </c>
      <c r="I30" s="261">
        <f>$I$2*$E$26*H30</f>
        <v/>
      </c>
      <c r="J30" s="263">
        <f>I30*$I$5</f>
        <v/>
      </c>
      <c r="K30" s="264" t="inlineStr">
        <is>
          <t>Low</t>
        </is>
      </c>
    </row>
    <row r="31" ht="77.25" customHeight="1" s="177">
      <c r="A31" s="213" t="inlineStr">
        <is>
          <t>2.4.4</t>
        </is>
      </c>
      <c r="B31" s="258" t="inlineStr">
        <is>
          <t>Complete documentation in all Purchase Requisitions</t>
        </is>
      </c>
      <c r="C31" s="259" t="inlineStr">
        <is>
          <t>The sum of the orders with documentation completed and approved or escalated within X Business Days according to GlobalPharma policies and procedures within the measurement window divided by all orders with documentation completed plus the escalated orders within the measurement window, expressed as a percentage.</t>
        </is>
      </c>
      <c r="D31" s="260" t="n">
        <v>6</v>
      </c>
      <c r="E31" s="261" t="inlineStr">
        <is>
          <t>xx.xx %</t>
        </is>
      </c>
      <c r="F31" s="261" t="n">
        <v>0</v>
      </c>
      <c r="G31" s="261" t="inlineStr">
        <is>
          <t>monthly</t>
        </is>
      </c>
      <c r="H31" s="262" t="n">
        <v>0.2</v>
      </c>
      <c r="I31" s="261">
        <f>$I$2*$E$26*H31</f>
        <v/>
      </c>
      <c r="J31" s="263">
        <f>I31*$I$5</f>
        <v/>
      </c>
      <c r="K31" s="264" t="inlineStr">
        <is>
          <t>Low</t>
        </is>
      </c>
    </row>
    <row r="32" ht="129" customHeight="1" s="177">
      <c r="A32" s="213" t="inlineStr">
        <is>
          <t>2.4.5</t>
        </is>
      </c>
      <c r="B32" s="258" t="inlineStr">
        <is>
          <t>Book goods receipt</t>
        </is>
      </c>
      <c r="C32" s="259" t="inlineStr">
        <is>
          <t xml:space="preserve">For the purpose of this exhibit "Book goods receipt" means that the SP ensure that the booking of Good Receipts (good receipts, delivery date changes, partly or full GR's) is done within 1 Business Day from GRN forms received from requisitioners according to policies and procedures of GlobalPharma
The number of Goods Receipt (sent to ServicePro with complete information from Requestor for update) in 1 Business day booked in the system divided by the number of total Goods receipt received in 1 Business day (excluding escalated incomplete Goods Receipt Notes)
</t>
        </is>
      </c>
      <c r="D32" s="260" t="n">
        <v>6</v>
      </c>
      <c r="E32" s="261" t="inlineStr">
        <is>
          <t>xx.xx %</t>
        </is>
      </c>
      <c r="F32" s="261" t="n">
        <v>0</v>
      </c>
      <c r="G32" s="261" t="inlineStr">
        <is>
          <t>monthly</t>
        </is>
      </c>
      <c r="H32" s="262" t="n">
        <v>0.2</v>
      </c>
      <c r="I32" s="261">
        <f>$I$2*$E$26*H32</f>
        <v/>
      </c>
      <c r="J32" s="263">
        <f>I32*$I$5</f>
        <v/>
      </c>
      <c r="K32" s="264" t="inlineStr">
        <is>
          <t>Low</t>
        </is>
      </c>
    </row>
    <row r="33" ht="12.75" customHeight="1" s="177">
      <c r="A33" s="175" t="n"/>
      <c r="B33" s="214" t="n"/>
      <c r="C33" s="175" t="n"/>
      <c r="D33" s="175" t="n"/>
      <c r="E33" s="175" t="n"/>
      <c r="F33" s="175" t="n"/>
    </row>
    <row r="34" ht="15" customHeight="1" s="177">
      <c r="A34" s="265" t="n"/>
      <c r="B34" s="244" t="inlineStr">
        <is>
          <t xml:space="preserve">Allocation of Pool Percentage </t>
        </is>
      </c>
      <c r="C34" s="245" t="n"/>
      <c r="D34" s="268" t="n"/>
      <c r="E34" s="246" t="n">
        <v>0.7</v>
      </c>
      <c r="F34" s="247" t="n"/>
      <c r="G34" s="247" t="inlineStr">
        <is>
          <t>Measurement</t>
        </is>
      </c>
      <c r="H34" s="248">
        <f>SUM(H36:H40)</f>
        <v/>
      </c>
      <c r="I34" s="249" t="inlineStr">
        <is>
          <t>% of</t>
        </is>
      </c>
      <c r="J34" s="249" t="inlineStr">
        <is>
          <t>US$</t>
        </is>
      </c>
      <c r="K34" s="249" t="inlineStr">
        <is>
          <t>CIP</t>
        </is>
      </c>
    </row>
    <row r="35" ht="15" customHeight="1" s="177">
      <c r="A35" s="265" t="inlineStr">
        <is>
          <t>2.5</t>
        </is>
      </c>
      <c r="B35" s="281" t="inlineStr">
        <is>
          <t>Accounts Payable</t>
        </is>
      </c>
      <c r="C35" s="282" t="inlineStr">
        <is>
          <t>Definition</t>
        </is>
      </c>
      <c r="D35" s="283" t="inlineStr">
        <is>
          <t>Eff + mos**</t>
        </is>
      </c>
      <c r="E35" s="283" t="inlineStr">
        <is>
          <t>Expected</t>
        </is>
      </c>
      <c r="F35" s="284" t="inlineStr">
        <is>
          <t>Minimum</t>
        </is>
      </c>
      <c r="G35" s="285" t="inlineStr">
        <is>
          <t>Window</t>
        </is>
      </c>
      <c r="H35" s="286" t="inlineStr">
        <is>
          <t>Allocation*</t>
        </is>
      </c>
      <c r="I35" s="287" t="inlineStr">
        <is>
          <t>Invoice</t>
        </is>
      </c>
      <c r="J35" s="257" t="inlineStr">
        <is>
          <t>Amount</t>
        </is>
      </c>
      <c r="K35" s="257" t="inlineStr">
        <is>
          <t>Potential</t>
        </is>
      </c>
    </row>
    <row r="36" ht="114.75" customHeight="1" s="177">
      <c r="A36" s="280" t="inlineStr">
        <is>
          <t>2.5.1</t>
        </is>
      </c>
      <c r="B36" s="258" t="inlineStr">
        <is>
          <t>% of supplier invoices processed within timeframe of receipt (electronical image)</t>
        </is>
      </c>
      <c r="C36" s="259" t="inlineStr">
        <is>
          <t>The number of invoices recorded into Accounts Payable system or rejected including invoice discrepancy resolution or escalation in accordance with GlobalPharma procedures within 3 business days (exception month end - down to 1 business days) of receipt during the measurement window divided by all invoices received during the measurement window.
Expressed as a percentage. For purposes of this exhibit, processing discrepancies and exceptions include: unmatched items (quantity, price, standard cost, etc.), missing receiver or purchase order, missing approvals, etc. Resolved or escalated as defined per GlobalPharma policy. For the purpose of this exhibit escalated means that ServicePro can demonstrate that it has taken appropriate action according to the documented procedures.</t>
        </is>
      </c>
      <c r="D36" s="260" t="n">
        <v>6</v>
      </c>
      <c r="E36" s="261" t="inlineStr">
        <is>
          <t>xx.xx %</t>
        </is>
      </c>
      <c r="F36" s="261" t="n">
        <v>0</v>
      </c>
      <c r="G36" s="261" t="inlineStr">
        <is>
          <t>monthly</t>
        </is>
      </c>
      <c r="H36" s="262" t="n">
        <v>0.25</v>
      </c>
      <c r="I36" s="261">
        <f>$I$2*$E$34*H36</f>
        <v/>
      </c>
      <c r="J36" s="263">
        <f>I36*$I$5</f>
        <v/>
      </c>
      <c r="K36" s="264" t="inlineStr">
        <is>
          <t>High</t>
        </is>
      </c>
    </row>
    <row r="37" ht="95.25" customHeight="1" s="177">
      <c r="A37" s="280" t="inlineStr">
        <is>
          <t>2.5.2</t>
        </is>
      </c>
      <c r="B37" s="258" t="inlineStr">
        <is>
          <t>% of accurately processed invoices</t>
        </is>
      </c>
      <c r="C37" s="259" t="inlineStr">
        <is>
          <t>The number of manual invoices and check requests processed during the measurement window less total number of manual invoices and check requests with errors found during the measurement window divided by the total number of manual invoices and check requests processed during the measurement window. The accuracy check will be done daily on a random sampling, minimum 10% of processed documents. Only critical fields will be considered. Expressed as a percentage to two decimal places (e.g., 60.50%).</t>
        </is>
      </c>
      <c r="D37" s="260" t="n">
        <v>6</v>
      </c>
      <c r="E37" s="261" t="inlineStr">
        <is>
          <t>xx.xx %</t>
        </is>
      </c>
      <c r="F37" s="261" t="n">
        <v>0</v>
      </c>
      <c r="G37" s="261" t="inlineStr">
        <is>
          <t>monthly</t>
        </is>
      </c>
      <c r="H37" s="262" t="n">
        <v>0.25</v>
      </c>
      <c r="I37" s="261">
        <f>$I$2*$E$34*H37</f>
        <v/>
      </c>
      <c r="J37" s="263">
        <f>I37*$I$5</f>
        <v/>
      </c>
      <c r="K37" s="264" t="inlineStr">
        <is>
          <t>Low</t>
        </is>
      </c>
    </row>
    <row r="38" ht="48" customHeight="1" s="177">
      <c r="A38" s="280" t="inlineStr">
        <is>
          <t>2.5.4</t>
        </is>
      </c>
      <c r="B38" s="258" t="inlineStr">
        <is>
          <t>% of correct and timely vendor master file updates (incl. employee vendors for T&amp;E)</t>
        </is>
      </c>
      <c r="C38" s="259" t="inlineStr">
        <is>
          <t>The number of vendor master updates applied correctly within one (1) day expressed as a percentage of total vendor master updates. Vendor master files in all legacy systems are for these workplaces updated</t>
        </is>
      </c>
      <c r="D38" s="260" t="n">
        <v>6</v>
      </c>
      <c r="E38" s="261" t="inlineStr">
        <is>
          <t>xx.xx %</t>
        </is>
      </c>
      <c r="F38" s="261" t="n">
        <v>0</v>
      </c>
      <c r="G38" s="261" t="inlineStr">
        <is>
          <t>monthly</t>
        </is>
      </c>
      <c r="H38" s="262" t="n">
        <v>0.15</v>
      </c>
      <c r="I38" s="261">
        <f>$I$2*$E$34*H38</f>
        <v/>
      </c>
      <c r="J38" s="263">
        <f>I38*$I$5</f>
        <v/>
      </c>
      <c r="K38" s="264" t="inlineStr">
        <is>
          <t>Low</t>
        </is>
      </c>
    </row>
    <row r="39" ht="39" customHeight="1" s="177">
      <c r="A39" s="280" t="inlineStr">
        <is>
          <t>2.5.5</t>
        </is>
      </c>
      <c r="B39" s="258" t="inlineStr">
        <is>
          <t>% of enquires resolved or escalated within 3 days</t>
        </is>
      </c>
      <c r="C39" s="259" t="inlineStr">
        <is>
          <t>Number of  A/P related enquiries (internal and external) resolved or escalated to GlobalPharma within 3 days divided by the total number of enquires</t>
        </is>
      </c>
      <c r="D39" s="260" t="n">
        <v>6</v>
      </c>
      <c r="E39" s="261" t="inlineStr">
        <is>
          <t>xx.xx %</t>
        </is>
      </c>
      <c r="F39" s="261" t="n">
        <v>1</v>
      </c>
      <c r="G39" s="261" t="inlineStr">
        <is>
          <t>monthly</t>
        </is>
      </c>
      <c r="H39" s="262" t="n">
        <v>0.15</v>
      </c>
      <c r="I39" s="261">
        <f>$I$2*$E$34*H39</f>
        <v/>
      </c>
      <c r="J39" s="263">
        <f>I39*$I$5</f>
        <v/>
      </c>
      <c r="K39" s="264" t="inlineStr">
        <is>
          <t>Low</t>
        </is>
      </c>
    </row>
    <row r="40" ht="51" customHeight="1" s="177">
      <c r="A40" s="280" t="inlineStr">
        <is>
          <t>2.5.6</t>
        </is>
      </c>
      <c r="B40" s="258" t="inlineStr">
        <is>
          <t>% of timely payment runs (proposals to treasury)</t>
        </is>
      </c>
      <c r="C40" s="259" t="inlineStr">
        <is>
          <t>The total number of payment runs incl. T&amp;E payments (proposals to treasury) completed on schedule as per designated GlobalPharma payment run schedule during the measurement window divided by the total number payment runs scheduled during the measurement window. Expressed as a percentage.</t>
        </is>
      </c>
      <c r="D40" s="260" t="n">
        <v>6</v>
      </c>
      <c r="E40" s="261" t="inlineStr">
        <is>
          <t>xx.xx %</t>
        </is>
      </c>
      <c r="F40" s="261" t="n">
        <v>0</v>
      </c>
      <c r="G40" s="261" t="inlineStr">
        <is>
          <t>monthly</t>
        </is>
      </c>
      <c r="H40" s="262" t="n">
        <v>0.2</v>
      </c>
      <c r="I40" s="261">
        <f>$I$2*$E$34*H40</f>
        <v/>
      </c>
      <c r="J40" s="263">
        <f>I40*$I$5</f>
        <v/>
      </c>
      <c r="K40" s="264" t="inlineStr">
        <is>
          <t>Low</t>
        </is>
      </c>
    </row>
    <row r="41" ht="15" customHeight="1" s="177">
      <c r="A41" s="213" t="n"/>
      <c r="B41" s="272" t="n"/>
      <c r="C41" s="288" t="n"/>
      <c r="D41" s="210" t="n"/>
      <c r="E41" s="276" t="n"/>
      <c r="F41" s="276" t="n"/>
      <c r="G41" s="276" t="n"/>
      <c r="H41" s="189" t="n"/>
      <c r="I41" s="276" t="n"/>
      <c r="J41" s="276" t="n"/>
    </row>
    <row r="42" ht="15" customHeight="1" s="177">
      <c r="A42" s="265" t="n"/>
      <c r="B42" s="244" t="inlineStr">
        <is>
          <t xml:space="preserve">Allocation of Pool Percentage </t>
        </is>
      </c>
      <c r="C42" s="245" t="n"/>
      <c r="D42" s="268" t="n"/>
      <c r="E42" s="246" t="n">
        <v>0.3</v>
      </c>
      <c r="F42" s="247" t="n"/>
      <c r="G42" s="247" t="inlineStr">
        <is>
          <t>Measurement</t>
        </is>
      </c>
      <c r="H42" s="248">
        <f>SUM(H44:H47)</f>
        <v/>
      </c>
      <c r="I42" s="249" t="inlineStr">
        <is>
          <t>% of</t>
        </is>
      </c>
      <c r="J42" s="249" t="inlineStr">
        <is>
          <t>US$</t>
        </is>
      </c>
      <c r="K42" s="249" t="inlineStr">
        <is>
          <t>CIP</t>
        </is>
      </c>
    </row>
    <row r="43" ht="15" customHeight="1" s="177">
      <c r="A43" s="213" t="inlineStr">
        <is>
          <t>2.6</t>
        </is>
      </c>
      <c r="B43" s="281" t="inlineStr">
        <is>
          <t>Travel &amp; Entertainment (T&amp;E)</t>
        </is>
      </c>
      <c r="C43" s="282" t="inlineStr">
        <is>
          <t>Definition</t>
        </is>
      </c>
      <c r="D43" s="283" t="inlineStr">
        <is>
          <t>Eff + mos**</t>
        </is>
      </c>
      <c r="E43" s="283" t="inlineStr">
        <is>
          <t>Expected</t>
        </is>
      </c>
      <c r="F43" s="284" t="inlineStr">
        <is>
          <t>Minimum</t>
        </is>
      </c>
      <c r="G43" s="285" t="inlineStr">
        <is>
          <t>Window</t>
        </is>
      </c>
      <c r="H43" s="286" t="inlineStr">
        <is>
          <t>Allocation*</t>
        </is>
      </c>
      <c r="I43" s="287" t="inlineStr">
        <is>
          <t>Invoice</t>
        </is>
      </c>
      <c r="J43" s="257" t="inlineStr">
        <is>
          <t>Amount</t>
        </is>
      </c>
      <c r="K43" s="257" t="inlineStr">
        <is>
          <t>Potential</t>
        </is>
      </c>
    </row>
    <row r="44" ht="60" customHeight="1" s="177">
      <c r="A44" s="213" t="inlineStr">
        <is>
          <t>2.6.1</t>
        </is>
      </c>
      <c r="B44" s="258" t="inlineStr">
        <is>
          <t>% of expense reports processed within timeframe</t>
        </is>
      </c>
      <c r="C44" s="259" t="inlineStr">
        <is>
          <t>Number of expense reports processed in accordance with GlobalPharma instructions including discrepancy resolution or escalation by 3 Business Days of receipt (paper, electronic or upload from other applications) during the measurement window divided by the total number of expense reports received.</t>
        </is>
      </c>
      <c r="D44" s="260" t="n">
        <v>6</v>
      </c>
      <c r="E44" s="261" t="inlineStr">
        <is>
          <t>xx.xx %</t>
        </is>
      </c>
      <c r="F44" s="261" t="inlineStr">
        <is>
          <t>xx.xx %</t>
        </is>
      </c>
      <c r="G44" s="261" t="inlineStr">
        <is>
          <t>monthly</t>
        </is>
      </c>
      <c r="H44" s="262" t="n">
        <v>0.25</v>
      </c>
      <c r="I44" s="260">
        <f>$I$2*$E$42*H44</f>
        <v/>
      </c>
      <c r="J44" s="263">
        <f>I44*$I$5</f>
        <v/>
      </c>
      <c r="K44" s="264" t="inlineStr">
        <is>
          <t>High</t>
        </is>
      </c>
    </row>
    <row r="45" ht="129.75" customHeight="1" s="177">
      <c r="A45" s="213" t="inlineStr">
        <is>
          <t>2.6.2</t>
        </is>
      </c>
      <c r="B45" s="258" t="inlineStr">
        <is>
          <t>% of expense report audits successfully completed within timeframe</t>
        </is>
      </c>
      <c r="C45" s="259" t="inlineStr">
        <is>
          <t>Number of expense reports requiring a pre-payment audit, that are accurately audited as defined in GlobalPharma procedures, within 3 Business Days of receipt during the measurement window divided by the total number of expense reports requiring a pre-payment audit. Expressed as a percentage. Pre-payment is prior to reimbursement to the employee or payment to the credit card. Expense reports requiring a pre-booking audit to be defined by business units.
Number of expense reports requiring a post payment audit, that are accurately audited as defined in the GlobalPharma procedures within 10 days divided by the total number of expense reports requiring a post payment audit expressed as a percentage. Expense reports requiring a post-payment audit to be defined by business units.</t>
        </is>
      </c>
      <c r="D45" s="260" t="n">
        <v>6</v>
      </c>
      <c r="E45" s="261" t="inlineStr">
        <is>
          <t>xx.xx %</t>
        </is>
      </c>
      <c r="F45" s="261" t="inlineStr">
        <is>
          <t>xx.xx %</t>
        </is>
      </c>
      <c r="G45" s="261" t="inlineStr">
        <is>
          <t>monthly</t>
        </is>
      </c>
      <c r="H45" s="262" t="n">
        <v>0.25</v>
      </c>
      <c r="I45" s="261">
        <f>$I$2*$E$42*H45</f>
        <v/>
      </c>
      <c r="J45" s="263">
        <f>I45*$I$5</f>
        <v/>
      </c>
      <c r="K45" s="264" t="inlineStr">
        <is>
          <t>High</t>
        </is>
      </c>
    </row>
    <row r="46" ht="48" customHeight="1" s="177">
      <c r="A46" s="213" t="inlineStr">
        <is>
          <t>2.6.5</t>
        </is>
      </c>
      <c r="B46" s="258" t="inlineStr">
        <is>
          <t xml:space="preserve">% of timely response to Travel inquiries </t>
        </is>
      </c>
      <c r="C46" s="259" t="inlineStr">
        <is>
          <t xml:space="preserve">The number of inquiries actioned within 24 hours of receipt during a steady state month divided by the total number of inquiries received in a steady state month. Expressed as a percentage. </t>
        </is>
      </c>
      <c r="D46" s="260" t="n">
        <v>6</v>
      </c>
      <c r="E46" s="261" t="inlineStr">
        <is>
          <t>xx.xx %</t>
        </is>
      </c>
      <c r="F46" s="261" t="inlineStr">
        <is>
          <t>xx.xx %</t>
        </is>
      </c>
      <c r="G46" s="261" t="inlineStr">
        <is>
          <t>monthly</t>
        </is>
      </c>
      <c r="H46" s="262" t="n">
        <v>0.25</v>
      </c>
      <c r="I46" s="261">
        <f>$I$2*$E$42*H46</f>
        <v/>
      </c>
      <c r="J46" s="263">
        <f>I46*$I$5</f>
        <v/>
      </c>
      <c r="K46" s="264" t="inlineStr">
        <is>
          <t>Medium</t>
        </is>
      </c>
    </row>
    <row r="47" ht="59.25" customHeight="1" s="177">
      <c r="A47" s="213" t="inlineStr">
        <is>
          <t>2.6.6</t>
        </is>
      </c>
      <c r="B47" s="258" t="inlineStr">
        <is>
          <t>100% of timely upload to SAP and reconciliation between T&amp;E and SAP system</t>
        </is>
      </c>
      <c r="C47" s="259" t="inlineStr">
        <is>
          <t>The total number of uploads of T&amp;E data to SAP completed on GlobalPharma schedule on time during the measurement window divided by the total number of uploads scheduled during the measurement window. Expressed as a percentage.</t>
        </is>
      </c>
      <c r="D47" s="260" t="n">
        <v>6</v>
      </c>
      <c r="E47" s="261" t="inlineStr">
        <is>
          <t>xx.xx %</t>
        </is>
      </c>
      <c r="F47" s="261" t="inlineStr">
        <is>
          <t>xx.xx %</t>
        </is>
      </c>
      <c r="G47" s="261" t="inlineStr">
        <is>
          <t>monthly</t>
        </is>
      </c>
      <c r="H47" s="262" t="n">
        <v>0.25</v>
      </c>
      <c r="I47" s="261">
        <f>$I$2*$E$42*H47</f>
        <v/>
      </c>
      <c r="J47" s="263">
        <f>I47*$I$5</f>
        <v/>
      </c>
      <c r="K47" s="264" t="inlineStr">
        <is>
          <t>Low</t>
        </is>
      </c>
    </row>
    <row r="48" ht="15" customHeight="1" s="177">
      <c r="B48" s="272" t="n"/>
      <c r="C48" s="289" t="n"/>
      <c r="D48" s="210" t="n"/>
      <c r="E48" s="276" t="n"/>
      <c r="F48" s="276" t="n"/>
      <c r="G48" s="276" t="n"/>
      <c r="H48" s="189" t="n"/>
      <c r="I48" s="276" t="n"/>
      <c r="J48" s="276" t="n"/>
    </row>
    <row r="49" ht="15" customHeight="1" s="177">
      <c r="B49" s="244" t="inlineStr">
        <is>
          <t xml:space="preserve">Allocation of Pool Percentage </t>
        </is>
      </c>
      <c r="C49" s="245" t="n"/>
      <c r="D49" s="268" t="n"/>
      <c r="E49" s="246" t="n">
        <v>0.4</v>
      </c>
      <c r="F49" s="247" t="n"/>
      <c r="G49" s="247" t="inlineStr">
        <is>
          <t>Measurement</t>
        </is>
      </c>
      <c r="H49" s="248">
        <f>SUM(H51:H57)</f>
        <v/>
      </c>
      <c r="I49" s="249" t="inlineStr">
        <is>
          <t>% of</t>
        </is>
      </c>
      <c r="J49" s="249" t="inlineStr">
        <is>
          <t>US$</t>
        </is>
      </c>
      <c r="K49" s="249" t="inlineStr">
        <is>
          <t>CIP</t>
        </is>
      </c>
    </row>
    <row r="50" ht="15" customHeight="1" s="177">
      <c r="A50" s="213" t="inlineStr">
        <is>
          <t>2.7</t>
        </is>
      </c>
      <c r="B50" s="251" t="inlineStr">
        <is>
          <t>Order to Cash (OTC)</t>
        </is>
      </c>
      <c r="C50" s="252" t="inlineStr">
        <is>
          <t>Definition</t>
        </is>
      </c>
      <c r="D50" s="290" t="inlineStr">
        <is>
          <t>Eff + mos**</t>
        </is>
      </c>
      <c r="E50" s="253" t="inlineStr">
        <is>
          <t>Expected</t>
        </is>
      </c>
      <c r="F50" s="254" t="inlineStr">
        <is>
          <t>Minimum</t>
        </is>
      </c>
      <c r="G50" s="255" t="inlineStr">
        <is>
          <t>Window</t>
        </is>
      </c>
      <c r="H50" s="256" t="inlineStr">
        <is>
          <t>Allocation*</t>
        </is>
      </c>
      <c r="I50" s="257" t="inlineStr">
        <is>
          <t>Invoice</t>
        </is>
      </c>
      <c r="J50" s="257" t="inlineStr">
        <is>
          <t>Amount</t>
        </is>
      </c>
      <c r="K50" s="257" t="inlineStr">
        <is>
          <t>Potential</t>
        </is>
      </c>
    </row>
    <row r="51" ht="25.5" customHeight="1" s="177">
      <c r="A51" s="213" t="inlineStr">
        <is>
          <t>2.7.1</t>
        </is>
      </c>
      <c r="B51" s="258" t="inlineStr">
        <is>
          <t xml:space="preserve">% of correct and timely customer master file updates </t>
        </is>
      </c>
      <c r="C51" s="259" t="inlineStr">
        <is>
          <t>The number of customer master update requests updated correctly within X day(s) expressed as a percentage of total Customer Master update requests received within the month.</t>
        </is>
      </c>
      <c r="D51" s="260" t="n">
        <v>6</v>
      </c>
      <c r="E51" s="261" t="inlineStr">
        <is>
          <t>xx.xx %</t>
        </is>
      </c>
      <c r="F51" s="291" t="n">
        <v>0</v>
      </c>
      <c r="G51" s="261" t="inlineStr">
        <is>
          <t>monthly</t>
        </is>
      </c>
      <c r="H51" s="262" t="n">
        <v>0.2</v>
      </c>
      <c r="I51" s="262">
        <f>$I$2*$E$49*H51</f>
        <v/>
      </c>
      <c r="J51" s="263">
        <f>I51*$I$5</f>
        <v/>
      </c>
      <c r="K51" s="264" t="inlineStr">
        <is>
          <t>Low</t>
        </is>
      </c>
    </row>
    <row r="52" ht="15" customHeight="1" s="177">
      <c r="B52" s="292" t="inlineStr">
        <is>
          <t>Cash Application</t>
        </is>
      </c>
      <c r="C52" s="293" t="n"/>
      <c r="D52" s="294" t="n"/>
      <c r="E52" s="295" t="n"/>
      <c r="F52" s="295" t="n"/>
      <c r="G52" s="295" t="n"/>
      <c r="H52" s="296" t="n"/>
      <c r="I52" s="297" t="n"/>
      <c r="J52" s="297" t="n"/>
      <c r="K52" s="264" t="n"/>
    </row>
    <row r="53" ht="117.75" customHeight="1" s="177">
      <c r="A53" s="213" t="inlineStr">
        <is>
          <t>2.7.2</t>
        </is>
      </c>
      <c r="B53" s="258" t="inlineStr">
        <is>
          <t>% of timely processing of received payment files</t>
        </is>
      </c>
      <c r="C53" s="259" t="inlineStr">
        <is>
          <t>Number of payments received that are posted to correct account or escalated for clarification in X day(s), divided by the total payments received in a month. Expressed as a percentage.</t>
        </is>
      </c>
      <c r="D53" s="260" t="n">
        <v>6</v>
      </c>
      <c r="E53" s="261" t="inlineStr">
        <is>
          <t>xx.xx %</t>
        </is>
      </c>
      <c r="F53" s="261" t="inlineStr">
        <is>
          <t>xx.xx %</t>
        </is>
      </c>
      <c r="G53" s="261" t="inlineStr">
        <is>
          <t>monthly</t>
        </is>
      </c>
      <c r="H53" s="262" t="n">
        <v>0.2</v>
      </c>
      <c r="I53" s="262">
        <f>$I$2*$E$49*H53</f>
        <v/>
      </c>
      <c r="J53" s="263">
        <f>I53*$I$5</f>
        <v/>
      </c>
      <c r="K53" s="264" t="inlineStr">
        <is>
          <t>Low</t>
        </is>
      </c>
    </row>
    <row r="54" ht="74.25" customHeight="1" s="177">
      <c r="A54" s="213" t="inlineStr">
        <is>
          <t>2.7.4</t>
        </is>
      </c>
      <c r="B54" s="258" t="inlineStr">
        <is>
          <t>% of payments applied to correct customer account</t>
        </is>
      </c>
      <c r="C54" s="259" t="inlineStr">
        <is>
          <t xml:space="preserve">Number of customer payments processed correctly during the month divided by the total number of customer payments processed during the month, expressed as a percentage. For purposes of this exhibit, correct application shall mean, including but not limited to: proper keying of customer account, amount, receipt date. </t>
        </is>
      </c>
      <c r="D54" s="260" t="n">
        <v>6</v>
      </c>
      <c r="E54" s="261" t="inlineStr">
        <is>
          <t>xx.xx %</t>
        </is>
      </c>
      <c r="F54" s="261" t="inlineStr">
        <is>
          <t>xx.xx %</t>
        </is>
      </c>
      <c r="G54" s="261" t="inlineStr">
        <is>
          <t>monthly</t>
        </is>
      </c>
      <c r="H54" s="262" t="n">
        <v>0.2</v>
      </c>
      <c r="I54" s="262">
        <f>$I$2*$E$49*H54</f>
        <v/>
      </c>
      <c r="J54" s="263">
        <f>I54*$I$5</f>
        <v/>
      </c>
      <c r="K54" s="264" t="inlineStr">
        <is>
          <t>Low</t>
        </is>
      </c>
    </row>
    <row r="55" ht="15" customHeight="1" s="177">
      <c r="B55" s="292" t="inlineStr">
        <is>
          <t>Billing</t>
        </is>
      </c>
      <c r="C55" s="293" t="n"/>
      <c r="D55" s="294" t="n"/>
      <c r="E55" s="295" t="n"/>
      <c r="F55" s="295" t="n"/>
      <c r="G55" s="295" t="n"/>
      <c r="H55" s="296" t="n"/>
      <c r="I55" s="297" t="n"/>
      <c r="J55" s="297" t="n"/>
      <c r="K55" s="264" t="n"/>
    </row>
    <row r="56" ht="116.25" customHeight="1" s="177">
      <c r="A56" s="213" t="inlineStr">
        <is>
          <t>2.7.5</t>
        </is>
      </c>
      <c r="B56" s="258" t="inlineStr">
        <is>
          <t>Percentage of manual and credit invoices completed and issued to customers within timeframe specified by GlobalPharma policy for each business unit</t>
        </is>
      </c>
      <c r="C56" s="259" t="inlineStr">
        <is>
          <t>Manual invoices (inc credit notes) completed and processed within timeframe specified by GlobalPharma policy for each business unit. Number of manual invoices issued within the X business days divided by the total number of manual and credit invoices for the measurement window. Expressed as a percentage.</t>
        </is>
      </c>
      <c r="D56" s="260" t="n">
        <v>6</v>
      </c>
      <c r="E56" s="261" t="inlineStr">
        <is>
          <t>xx.xx %</t>
        </is>
      </c>
      <c r="F56" s="261" t="inlineStr">
        <is>
          <t>xx.xx %</t>
        </is>
      </c>
      <c r="G56" s="261" t="inlineStr">
        <is>
          <t>monthly</t>
        </is>
      </c>
      <c r="H56" s="262" t="n">
        <v>0.2</v>
      </c>
      <c r="I56" s="262">
        <f>$I$2*$E$49*H56</f>
        <v/>
      </c>
      <c r="J56" s="263">
        <f>I56*$I$5</f>
        <v/>
      </c>
      <c r="K56" s="264" t="inlineStr">
        <is>
          <t>Medium</t>
        </is>
      </c>
    </row>
    <row r="57" ht="61.5" customHeight="1" s="177">
      <c r="A57" s="213" t="inlineStr">
        <is>
          <t>2.7.6</t>
        </is>
      </c>
      <c r="B57" s="258" t="inlineStr">
        <is>
          <t>Percentage of invoices processed accurately</t>
        </is>
      </c>
      <c r="C57" s="259" t="inlineStr">
        <is>
          <t>Number of invoices that do not require adjustments divided by the total number of invoices processed for the measurement window. Expressed as a percentage. Only invoices that require adjustments for errors within Service Provider's control will be included in the calculation. Controllable errors will be defined and agreed upon.</t>
        </is>
      </c>
      <c r="D57" s="260" t="n">
        <v>6</v>
      </c>
      <c r="E57" s="261" t="inlineStr">
        <is>
          <t>xx.xx %</t>
        </is>
      </c>
      <c r="F57" s="261" t="inlineStr">
        <is>
          <t>xx.xx %</t>
        </is>
      </c>
      <c r="G57" s="261" t="inlineStr">
        <is>
          <t>monthly</t>
        </is>
      </c>
      <c r="H57" s="262" t="n">
        <v>0.2</v>
      </c>
      <c r="I57" s="262">
        <f>$I$2*$E$49*H57</f>
        <v/>
      </c>
      <c r="J57" s="263">
        <f>I57*$I$5</f>
        <v/>
      </c>
      <c r="K57" s="264" t="inlineStr">
        <is>
          <t>Low</t>
        </is>
      </c>
    </row>
    <row r="58" ht="15" customHeight="1" s="177">
      <c r="B58" s="298" t="n"/>
      <c r="C58" s="299" t="n"/>
      <c r="D58" s="210" t="n"/>
      <c r="E58" s="276" t="n"/>
      <c r="F58" s="276" t="n"/>
      <c r="G58" s="276" t="n"/>
      <c r="H58" s="189" t="n"/>
      <c r="I58" s="276" t="n"/>
      <c r="J58" s="276" t="n"/>
    </row>
    <row r="59" ht="15" customHeight="1" s="177">
      <c r="B59" s="244" t="inlineStr">
        <is>
          <t xml:space="preserve">Allocation of Pool Percentage </t>
        </is>
      </c>
      <c r="C59" s="245" t="n"/>
      <c r="D59" s="268" t="n"/>
      <c r="E59" s="246" t="n">
        <v>0.3</v>
      </c>
      <c r="F59" s="247" t="n"/>
      <c r="G59" s="247" t="inlineStr">
        <is>
          <t>Measurement</t>
        </is>
      </c>
      <c r="H59" s="248">
        <f>SUM(H61:H62)</f>
        <v/>
      </c>
      <c r="I59" s="249" t="inlineStr">
        <is>
          <t>% of</t>
        </is>
      </c>
      <c r="J59" s="249" t="inlineStr">
        <is>
          <t>US$</t>
        </is>
      </c>
      <c r="K59" s="249" t="inlineStr">
        <is>
          <t>CIP</t>
        </is>
      </c>
    </row>
    <row r="60" ht="15" customHeight="1" s="177">
      <c r="A60" s="213" t="inlineStr">
        <is>
          <t>2.8</t>
        </is>
      </c>
      <c r="B60" s="300" t="inlineStr">
        <is>
          <t>SOX</t>
        </is>
      </c>
      <c r="C60" s="252" t="inlineStr">
        <is>
          <t>Definition</t>
        </is>
      </c>
      <c r="D60" s="253" t="inlineStr">
        <is>
          <t>Eff + mos**</t>
        </is>
      </c>
      <c r="E60" s="253" t="inlineStr">
        <is>
          <t>Expected</t>
        </is>
      </c>
      <c r="F60" s="254" t="inlineStr">
        <is>
          <t>Minimum</t>
        </is>
      </c>
      <c r="G60" s="255" t="inlineStr">
        <is>
          <t>Window</t>
        </is>
      </c>
      <c r="H60" s="256" t="inlineStr">
        <is>
          <t>Allocation*</t>
        </is>
      </c>
      <c r="I60" s="257" t="inlineStr">
        <is>
          <t>Invoice</t>
        </is>
      </c>
      <c r="J60" s="257" t="inlineStr">
        <is>
          <t>Amount</t>
        </is>
      </c>
      <c r="K60" s="257" t="inlineStr">
        <is>
          <t>Potential</t>
        </is>
      </c>
    </row>
    <row r="61" ht="117" customHeight="1" s="177">
      <c r="A61" s="250" t="inlineStr">
        <is>
          <t>2.8.1</t>
        </is>
      </c>
      <c r="B61" s="301" t="inlineStr">
        <is>
          <t>Timely remediation of significant control weaknesses</t>
        </is>
      </c>
      <c r="C61" s="259" t="inlineStr">
        <is>
          <t xml:space="preserve">Service Provider shall remediate all significant control weaknesses within a timeframe that meets requirements (at a minimum intraquarter), including but not limited to: 1) Sarbanes-Oxley key control testing exceptions (both self-identified and through SAS 70 Type II reviews); 2) Third party audit exceptions (e.g. external auditors, Internal Audit, etc.). No significant control weaknesses shall be outstanding at quarter-end to ensure no impact to external audit's summary of accumulated deficiencies nor overall audit opinion. Total number of significant weaknesses that have been corrected divided by the total number of significant control weaknesses requiring correction. Expressed as a percentage. </t>
        </is>
      </c>
      <c r="D61" s="260" t="n">
        <v>6</v>
      </c>
      <c r="E61" s="261" t="inlineStr">
        <is>
          <t>xx.xx %</t>
        </is>
      </c>
      <c r="F61" s="261" t="inlineStr">
        <is>
          <t>xx.xx %</t>
        </is>
      </c>
      <c r="G61" s="261" t="inlineStr">
        <is>
          <t>monthly</t>
        </is>
      </c>
      <c r="H61" s="262" t="n">
        <v>0.5</v>
      </c>
      <c r="I61" s="260">
        <f>$I$2*$E$59*H61</f>
        <v/>
      </c>
      <c r="J61" s="263">
        <f>I61*$I$5</f>
        <v/>
      </c>
      <c r="K61" s="264" t="inlineStr">
        <is>
          <t>Low</t>
        </is>
      </c>
    </row>
    <row r="62" ht="245.25" customHeight="1" s="177">
      <c r="A62" s="250" t="inlineStr">
        <is>
          <t>2.8.2</t>
        </is>
      </c>
      <c r="B62" s="258" t="inlineStr">
        <is>
          <t xml:space="preserve">Sarbanes-Oxley compliance passed independent audit without any significant deficiencies or material weaknesses </t>
        </is>
      </c>
      <c r="C62" s="259" t="inlineStr">
        <is>
          <t>Sarbanes-Oxley compliance passes independent audit without any significant deficiencies or material weaknesses. SOX compliance of GlobalPharma is measured annually by an independent auditing firm appointed by GlobalPharma including the processes under control of the service provider. This CSL has a high severity, is crucial to GlobalPharma and is expected to be met on every occurrence. This Service Level shall have only a Minimum Service Level. The Continuous Improvement provisions of the Service Level Exhibit shall not apply to this Service Level. No Earnback will apply.
A “Pass” will be earned if there are no internal significant deficiencies, or material weaknesses identified in an audit. An internal control deficiency exists when the design or operation of a control does not allow management or employees, in the normal course of performing their assigned functions, to prevent or detect misstatements on a timely basis.
A significant deficiency is an internal control deficiency that adversely affects the company's ability to initiate, authorize, record, process or report external financial data reliably in accordance with generally accepted accounting principles. A significant deficiency could be a single deficiency, or a combination of deficiencies, that result in more than a remote likelihood that a misstatement of the annual or interim financial statements that is more than inconsequential in amount will not be prevented or detected. 
A material weakness is a significant deficiency that, by itself, or in combination with other significant deficiencies, result in more than a remote likelihood that a material misstatement of the annual or interim financial statements will not be prevented or detected</t>
        </is>
      </c>
      <c r="D62" s="260" t="n">
        <v>6</v>
      </c>
      <c r="E62" s="261" t="n">
        <v>1</v>
      </c>
      <c r="F62" s="261" t="n">
        <v>1</v>
      </c>
      <c r="G62" s="261" t="inlineStr">
        <is>
          <t>annually</t>
        </is>
      </c>
      <c r="H62" s="262" t="n">
        <v>0.5</v>
      </c>
      <c r="I62" s="261">
        <f>$I$2*$E$59*H62</f>
        <v/>
      </c>
      <c r="J62" s="263">
        <f>I62*$I$5</f>
        <v/>
      </c>
      <c r="K62" s="264" t="inlineStr">
        <is>
          <t>Low</t>
        </is>
      </c>
    </row>
    <row r="63" ht="15" customHeight="1" s="177">
      <c r="B63" s="302" t="n"/>
      <c r="C63" s="212" t="n"/>
      <c r="D63" s="187" t="n"/>
      <c r="E63" s="210" t="n"/>
      <c r="F63" s="210" t="n"/>
      <c r="G63" s="303" t="n"/>
      <c r="H63" s="201" t="n"/>
      <c r="I63" s="187" t="n"/>
      <c r="J63" s="187" t="n"/>
    </row>
    <row r="64" ht="15" customHeight="1" s="177">
      <c r="B64" s="242" t="n"/>
      <c r="C64" s="243" t="n"/>
      <c r="D64" s="210" t="n"/>
      <c r="E64" s="210" t="n"/>
      <c r="F64" s="210" t="n"/>
      <c r="G64" s="187" t="n"/>
      <c r="I64" s="187" t="n"/>
      <c r="J64" s="187" t="n"/>
    </row>
    <row r="65" ht="15" customHeight="1" s="177">
      <c r="B65" s="242" t="n"/>
      <c r="C65" s="243" t="n"/>
      <c r="D65" s="210" t="n"/>
      <c r="E65" s="210" t="n"/>
      <c r="F65" s="210" t="n"/>
      <c r="G65" s="187" t="n"/>
      <c r="H65" s="187" t="n"/>
      <c r="I65" s="187" t="n"/>
      <c r="J65" s="187" t="n"/>
    </row>
    <row r="66" ht="15" customHeight="1" s="177">
      <c r="B66" s="304" t="inlineStr">
        <is>
          <t>Additional Notes:</t>
        </is>
      </c>
      <c r="C66" s="243" t="n"/>
      <c r="D66" s="210" t="n"/>
      <c r="E66" s="210" t="n"/>
      <c r="F66" s="210" t="n"/>
      <c r="G66" s="187" t="n"/>
      <c r="H66" s="187" t="n"/>
      <c r="I66" s="187" t="n"/>
      <c r="J66" s="187" t="n"/>
    </row>
    <row r="67" ht="15" customHeight="1" s="177">
      <c r="B67" s="216" t="inlineStr">
        <is>
          <t>* Service Level Credit Allocation Percentage</t>
        </is>
      </c>
      <c r="C67" s="305" t="n"/>
    </row>
    <row r="68" ht="15" customHeight="1" s="177">
      <c r="B68" s="216" t="inlineStr">
        <is>
          <t>**  Number of Months after Commencement Date when the Service Provider is responsible for Service Level</t>
        </is>
      </c>
      <c r="C68" s="305" t="n"/>
    </row>
    <row r="69" ht="15" customHeight="1" s="177">
      <c r="B69" s="216" t="inlineStr">
        <is>
          <t xml:space="preserve">     performance and Performance Credits due for Service Level Default</t>
        </is>
      </c>
      <c r="C69" s="305" t="n"/>
    </row>
    <row r="70" ht="15" customHeight="1" s="177">
      <c r="B70" s="216" t="n"/>
    </row>
  </sheetData>
  <printOptions horizontalCentered="1" verticalCentered="0" headings="0" gridLines="0" gridLinesSet="1"/>
  <pageMargins left="0.315277777777778" right="0.196527777777778" top="0.754861111111111" bottom="0.770138888888889" header="0.157638888888889" footer="0.236111111111111"/>
  <pageSetup orientation="landscape" paperSize="9" scale="82" fitToHeight="1" fitToWidth="1" pageOrder="downThenOver" blackAndWhite="0" draft="0" horizontalDpi="300" verticalDpi="300" copies="1"/>
  <headerFooter differentOddEven="0" differentFirst="0">
    <oddHeader>&amp;C&amp;"Times New Roman,Bold"&amp;14 CRITICAL SERVICE LEVELS&amp;R&amp;"Times New Roman,Regular"&amp;9 &amp;F</oddHeader>
    <oddFooter>&amp;L&amp;"Times New Roman,Italic"&amp;8 Copyright © 2005, Technology Partners International, Inc. All Rights Reserved/_x000a_COMPANY XYZ CONFIDENTIAL</oddFooter>
    <evenHeader/>
    <evenFooter/>
    <firstHeader/>
    <firstFooter/>
  </headerFooter>
  <rowBreaks count="4" manualBreakCount="4">
    <brk id="20" min="0" max="16383" man="1"/>
    <brk id="33" min="0" max="16383" man="1"/>
    <brk id="41" min="0" max="16383" man="1"/>
    <brk id="48" min="0" max="16383" man="1"/>
  </rowBreaks>
</worksheet>
</file>

<file path=xl/worksheets/sheet5.xml><?xml version="1.0" encoding="utf-8"?>
<worksheet xmlns="http://schemas.openxmlformats.org/spreadsheetml/2006/main">
  <sheetPr filterMode="0">
    <outlinePr summaryBelow="1" summaryRight="1"/>
    <pageSetUpPr fitToPage="1"/>
  </sheetPr>
  <dimension ref="A1:I62"/>
  <sheetViews>
    <sheetView showFormulas="0" showGridLines="0" showRowColHeaders="1" showZeros="1" rightToLeft="0" tabSelected="0" showOutlineSymbols="1" defaultGridColor="1" view="normal" topLeftCell="A1" colorId="64" zoomScale="75" zoomScaleNormal="75" zoomScalePageLayoutView="100" workbookViewId="0">
      <selection pane="topLeft" activeCell="C36" activeCellId="0" sqref="C36"/>
    </sheetView>
  </sheetViews>
  <sheetFormatPr baseColWidth="8" defaultColWidth="9.13671875" defaultRowHeight="12.75" customHeight="1" zeroHeight="0" outlineLevelRow="0"/>
  <cols>
    <col width="6.28" customWidth="1" style="306" min="1" max="1"/>
    <col width="36.56" customWidth="1" style="175" min="2" max="2"/>
    <col width="70.7" customWidth="1" style="175" min="3" max="3"/>
    <col width="25.41" customWidth="1" style="186" min="4" max="4"/>
    <col width="8.699999999999999" customWidth="1" style="186" min="5" max="5"/>
    <col width="11.56" customWidth="1" style="175" min="6" max="6"/>
    <col width="8.699999999999999" customWidth="1" style="186" min="7" max="7"/>
    <col width="29.71" customWidth="1" style="175" min="8" max="8"/>
    <col width="9.140000000000001" customWidth="1" style="175" min="9" max="257"/>
  </cols>
  <sheetData>
    <row r="1" ht="12.75" customHeight="1" s="177">
      <c r="A1" s="307">
        <f>COUNTA(A2:A83)-7</f>
        <v/>
      </c>
    </row>
    <row r="2" ht="12.75" customHeight="1" s="177">
      <c r="B2" s="308" t="n"/>
      <c r="C2" s="308" t="n"/>
      <c r="D2" s="309" t="n"/>
      <c r="E2" s="247" t="n"/>
      <c r="F2" s="310" t="n"/>
      <c r="G2" s="247" t="n"/>
      <c r="H2" s="249" t="inlineStr">
        <is>
          <t>Measurement</t>
        </is>
      </c>
    </row>
    <row r="3" ht="15.75" customHeight="1" s="177">
      <c r="A3" s="306" t="inlineStr">
        <is>
          <t>2.1</t>
        </is>
      </c>
      <c r="B3" s="270" t="inlineStr">
        <is>
          <t>Cross Functional</t>
        </is>
      </c>
      <c r="C3" s="270" t="inlineStr">
        <is>
          <t>Definition</t>
        </is>
      </c>
      <c r="D3" s="270" t="n"/>
      <c r="E3" s="254" t="inlineStr">
        <is>
          <t>Eff + mos**</t>
        </is>
      </c>
      <c r="F3" s="254" t="inlineStr">
        <is>
          <t>Expected</t>
        </is>
      </c>
      <c r="G3" s="254" t="inlineStr">
        <is>
          <t>Minimum</t>
        </is>
      </c>
      <c r="H3" s="257" t="inlineStr">
        <is>
          <t>Window</t>
        </is>
      </c>
    </row>
    <row r="4" ht="15" customHeight="1" s="177">
      <c r="B4" s="207" t="n"/>
      <c r="C4" s="311" t="n"/>
      <c r="D4" s="312" t="n"/>
      <c r="E4" s="260" t="n"/>
      <c r="F4" s="261" t="n"/>
      <c r="G4" s="261" t="n"/>
      <c r="H4" s="261" t="n"/>
    </row>
    <row r="5" ht="12.75" customHeight="1" s="177">
      <c r="A5" s="313" t="n"/>
      <c r="B5" s="187" t="n"/>
      <c r="C5" s="187" t="n"/>
      <c r="D5" s="210" t="n"/>
      <c r="E5" s="210" t="n"/>
      <c r="F5" s="241" t="n"/>
      <c r="G5" s="210" t="n"/>
      <c r="H5" s="187" t="n"/>
    </row>
    <row r="6" ht="12.75" customHeight="1" s="177">
      <c r="A6" s="313" t="n"/>
      <c r="B6" s="308" t="n"/>
      <c r="C6" s="308" t="n"/>
      <c r="D6" s="314" t="inlineStr">
        <is>
          <t>Moveable to CSL</t>
        </is>
      </c>
      <c r="E6" s="247" t="n"/>
      <c r="F6" s="310" t="n"/>
      <c r="G6" s="247" t="n"/>
      <c r="H6" s="249" t="inlineStr">
        <is>
          <t>Measurement</t>
        </is>
      </c>
    </row>
    <row r="7" ht="15.75" customHeight="1" s="177">
      <c r="A7" s="313" t="inlineStr">
        <is>
          <t>2.2</t>
        </is>
      </c>
      <c r="B7" s="270" t="inlineStr">
        <is>
          <t>General Accounting</t>
        </is>
      </c>
      <c r="C7" s="270" t="inlineStr">
        <is>
          <t>Definition</t>
        </is>
      </c>
      <c r="D7" s="315" t="inlineStr">
        <is>
          <t>Y/N</t>
        </is>
      </c>
      <c r="E7" s="254" t="inlineStr">
        <is>
          <t>Eff + mos**</t>
        </is>
      </c>
      <c r="F7" s="254" t="inlineStr">
        <is>
          <t>Expected</t>
        </is>
      </c>
      <c r="G7" s="254" t="inlineStr">
        <is>
          <t>Minimum</t>
        </is>
      </c>
      <c r="H7" s="257" t="inlineStr">
        <is>
          <t>Window</t>
        </is>
      </c>
    </row>
    <row r="8" ht="60" customHeight="1" s="177">
      <c r="A8" s="316" t="inlineStr">
        <is>
          <t>2.2.1</t>
        </is>
      </c>
      <c r="B8" s="207" t="inlineStr">
        <is>
          <t xml:space="preserve">% of non-key account reconciliations completed by their scheduled due date </t>
        </is>
      </c>
      <c r="C8" s="317" t="inlineStr">
        <is>
          <t xml:space="preserve">Number of non-key account reconciliations that are prepared and approved according to scheduled due dates and GlobalPharma policies and procedures during the measurement window divided by the total number of non-key account reconciliations scheduled to be completed. Expressed as a percentage. </t>
        </is>
      </c>
      <c r="D8" s="318" t="inlineStr">
        <is>
          <t>Y</t>
        </is>
      </c>
      <c r="E8" s="319" t="inlineStr">
        <is>
          <t>xxx</t>
        </is>
      </c>
      <c r="F8" s="319" t="inlineStr">
        <is>
          <t>xxx</t>
        </is>
      </c>
      <c r="G8" s="319" t="inlineStr">
        <is>
          <t>xxx</t>
        </is>
      </c>
      <c r="H8" s="320" t="inlineStr">
        <is>
          <t>monthly</t>
        </is>
      </c>
    </row>
    <row r="9" ht="90" customHeight="1" s="177">
      <c r="A9" s="316" t="inlineStr">
        <is>
          <t>2.2.2</t>
        </is>
      </c>
      <c r="B9" s="207" t="inlineStr">
        <is>
          <t>% of required AP and Travel accruals recorded at month-end</t>
        </is>
      </c>
      <c r="C9" s="317" t="inlineStr">
        <is>
          <t xml:space="preserve">Unprocessed AP invoices and unprocessed Travel expense reports manually accrued at each month-end for each business unit divided by the total number of unprocessed AP invoices and Travel expense reports required to be accrued. Expressed as a percentage. The GlobalPharma Governance Team will consult with the GlobalPharma business units to establish a dollar threshold under which accruals will not be required. </t>
        </is>
      </c>
      <c r="D9" s="318" t="inlineStr">
        <is>
          <t>Y</t>
        </is>
      </c>
      <c r="E9" s="319" t="inlineStr">
        <is>
          <t>xxx</t>
        </is>
      </c>
      <c r="F9" s="319" t="inlineStr">
        <is>
          <t>xxx</t>
        </is>
      </c>
      <c r="G9" s="319" t="inlineStr">
        <is>
          <t>xxx</t>
        </is>
      </c>
      <c r="H9" s="320" t="inlineStr">
        <is>
          <t>monthly</t>
        </is>
      </c>
    </row>
    <row r="10" ht="45" customHeight="1" s="177">
      <c r="A10" s="316" t="inlineStr">
        <is>
          <t>2.2.3</t>
        </is>
      </c>
      <c r="B10" s="207" t="inlineStr">
        <is>
          <t>Month End account balance accuracy</t>
        </is>
      </c>
      <c r="C10" s="317" t="inlineStr">
        <is>
          <t>Number of accounts with error(s) exceeding [X%] of the total balance sheet amount or exceeding $XXX made by the Service Service Provider requiring an adjustment after close</t>
        </is>
      </c>
      <c r="D10" s="318" t="inlineStr">
        <is>
          <t>Y</t>
        </is>
      </c>
      <c r="E10" s="319" t="inlineStr">
        <is>
          <t>xxx</t>
        </is>
      </c>
      <c r="F10" s="319" t="inlineStr">
        <is>
          <t>xxx</t>
        </is>
      </c>
      <c r="G10" s="319" t="inlineStr">
        <is>
          <t>xxx</t>
        </is>
      </c>
      <c r="H10" s="320" t="inlineStr">
        <is>
          <t>monthly</t>
        </is>
      </c>
    </row>
    <row r="11" ht="12.75" customHeight="1" s="177">
      <c r="A11" s="313" t="n"/>
      <c r="B11" s="187" t="n"/>
      <c r="C11" s="187" t="n"/>
      <c r="D11" s="210" t="n"/>
      <c r="F11" s="201" t="n"/>
      <c r="G11" s="201" t="n"/>
      <c r="H11" s="210" t="n"/>
    </row>
    <row r="12" ht="12.75" customHeight="1" s="177">
      <c r="A12" s="316" t="n"/>
      <c r="B12" s="308" t="n"/>
      <c r="C12" s="308" t="n"/>
      <c r="D12" s="309" t="n"/>
      <c r="E12" s="247" t="n"/>
      <c r="F12" s="310" t="n"/>
      <c r="G12" s="247" t="n"/>
      <c r="H12" s="249" t="inlineStr">
        <is>
          <t>Measurement</t>
        </is>
      </c>
    </row>
    <row r="13" ht="15.75" customHeight="1" s="177">
      <c r="A13" s="316" t="inlineStr">
        <is>
          <t>2.3</t>
        </is>
      </c>
      <c r="B13" s="270" t="inlineStr">
        <is>
          <t>Fixed Assets</t>
        </is>
      </c>
      <c r="C13" s="270" t="inlineStr">
        <is>
          <t>Definition</t>
        </is>
      </c>
      <c r="D13" s="270" t="n"/>
      <c r="E13" s="254" t="inlineStr">
        <is>
          <t>Eff + mos**</t>
        </is>
      </c>
      <c r="F13" s="254" t="inlineStr">
        <is>
          <t>Expected</t>
        </is>
      </c>
      <c r="G13" s="254" t="inlineStr">
        <is>
          <t>Minimum</t>
        </is>
      </c>
      <c r="H13" s="257" t="inlineStr">
        <is>
          <t>Window</t>
        </is>
      </c>
    </row>
    <row r="14" ht="60" customHeight="1" s="177">
      <c r="A14" s="316" t="inlineStr">
        <is>
          <t>2.3.1</t>
        </is>
      </c>
      <c r="B14" s="207" t="inlineStr">
        <is>
          <t>% fixed asset activities completed successfully within timeframe</t>
        </is>
      </c>
      <c r="C14" s="317" t="inlineStr">
        <is>
          <t>The number of Fixed Asset activities processed successfully within 3 business days divided by the total number of fixed asset activity requests, expressed as a percentage. For purposes of this measure a Fixed Asset activity shall be defined as, but is not limited to, an asset addition, change, deletion, or transfer.</t>
        </is>
      </c>
      <c r="D14" s="318" t="inlineStr">
        <is>
          <t>Y</t>
        </is>
      </c>
      <c r="E14" s="260" t="inlineStr">
        <is>
          <t>xxx</t>
        </is>
      </c>
      <c r="F14" s="260" t="inlineStr">
        <is>
          <t>xxx</t>
        </is>
      </c>
      <c r="G14" s="260" t="inlineStr">
        <is>
          <t>xxx</t>
        </is>
      </c>
      <c r="H14" s="320" t="inlineStr">
        <is>
          <t>monthly</t>
        </is>
      </c>
    </row>
    <row r="15" ht="60" customHeight="1" s="177">
      <c r="A15" s="316" t="inlineStr">
        <is>
          <t>2.3.2</t>
        </is>
      </c>
      <c r="B15" s="207" t="inlineStr">
        <is>
          <t>% invoices allocated to Asset Under Construction within timeframe</t>
        </is>
      </c>
      <c r="C15" s="207" t="inlineStr">
        <is>
          <t>Number supplier invoices allocated successfully to an Asset Under Construction (or rejected in accordance with GlobalPharma instructions) within the defined timeframe, divided by all Asset Under Construction invoices received, expressed as a percentage.</t>
        </is>
      </c>
      <c r="D15" s="312" t="inlineStr">
        <is>
          <t>Y</t>
        </is>
      </c>
      <c r="E15" s="260" t="inlineStr">
        <is>
          <t>xxx</t>
        </is>
      </c>
      <c r="F15" s="260" t="inlineStr">
        <is>
          <t>xxx</t>
        </is>
      </c>
      <c r="G15" s="260" t="inlineStr">
        <is>
          <t>xxx</t>
        </is>
      </c>
      <c r="H15" s="320" t="inlineStr">
        <is>
          <t>monthly</t>
        </is>
      </c>
    </row>
    <row r="16" ht="45" customHeight="1" s="177">
      <c r="A16" s="316" t="inlineStr">
        <is>
          <t>2.3.3</t>
        </is>
      </c>
      <c r="B16" s="207" t="inlineStr">
        <is>
          <t>Timely response to ad-hoc requests</t>
        </is>
      </c>
      <c r="C16" s="207" t="inlineStr">
        <is>
          <t>The number of completed requests for corporate schedules or analysis completed within agreed upon time frames at time of project assignment divided by the total number of requests completed, expressed as a percentage.</t>
        </is>
      </c>
      <c r="D16" s="321" t="inlineStr">
        <is>
          <t>N</t>
        </is>
      </c>
      <c r="E16" s="260" t="inlineStr">
        <is>
          <t>xxx</t>
        </is>
      </c>
      <c r="F16" s="260" t="inlineStr">
        <is>
          <t>xxx</t>
        </is>
      </c>
      <c r="G16" s="260" t="inlineStr">
        <is>
          <t>xxx</t>
        </is>
      </c>
      <c r="H16" s="320" t="inlineStr">
        <is>
          <t>monthly</t>
        </is>
      </c>
      <c r="I16" s="175" t="n"/>
    </row>
    <row r="17" ht="60" customHeight="1" s="177">
      <c r="A17" s="316" t="inlineStr">
        <is>
          <t>2.3.4</t>
        </is>
      </c>
      <c r="B17" s="207" t="inlineStr">
        <is>
          <t>Review of CIP asset status within GlobalPharma month end time schedule</t>
        </is>
      </c>
      <c r="C17" s="207" t="inlineStr">
        <is>
          <t>Report printed and status of internal order for assets under construction checked according to GlobalPharma policy and time schedule: check for completeness, accuracy, proper capitalization. - min: quarterly above value of 100.000US$, exp: quarterly</t>
        </is>
      </c>
      <c r="D17" s="322" t="inlineStr">
        <is>
          <t>Y</t>
        </is>
      </c>
      <c r="E17" s="260" t="inlineStr">
        <is>
          <t>xxx</t>
        </is>
      </c>
      <c r="F17" s="260" t="inlineStr">
        <is>
          <t>xxx</t>
        </is>
      </c>
      <c r="G17" s="260" t="inlineStr">
        <is>
          <t>xxx</t>
        </is>
      </c>
      <c r="H17" s="320" t="inlineStr">
        <is>
          <t>monthly</t>
        </is>
      </c>
      <c r="I17" s="175" t="n"/>
    </row>
    <row r="18" ht="12.75" customHeight="1" s="177">
      <c r="A18" s="316" t="n"/>
      <c r="B18" s="187" t="n"/>
      <c r="C18" s="187" t="n"/>
      <c r="D18" s="210" t="n"/>
      <c r="E18" s="210" t="n"/>
      <c r="F18" s="201" t="n"/>
      <c r="G18" s="276" t="n"/>
      <c r="H18" s="210" t="n"/>
    </row>
    <row r="19" ht="12.75" customHeight="1" s="177">
      <c r="A19" s="210" t="n"/>
      <c r="B19" s="308" t="n"/>
      <c r="C19" s="308" t="n"/>
      <c r="D19" s="314" t="inlineStr">
        <is>
          <t>Moveable to CSL</t>
        </is>
      </c>
      <c r="E19" s="247" t="n"/>
      <c r="F19" s="310" t="n"/>
      <c r="G19" s="247" t="n"/>
      <c r="H19" s="249" t="inlineStr">
        <is>
          <t>Measurement</t>
        </is>
      </c>
    </row>
    <row r="20" ht="51.75" customHeight="1" s="177">
      <c r="A20" s="316" t="inlineStr">
        <is>
          <t>2.4</t>
        </is>
      </c>
      <c r="B20" s="270" t="inlineStr">
        <is>
          <t>RTP</t>
        </is>
      </c>
      <c r="C20" s="270" t="inlineStr">
        <is>
          <t>Definition</t>
        </is>
      </c>
      <c r="D20" s="315" t="inlineStr">
        <is>
          <t>Y/N</t>
        </is>
      </c>
      <c r="E20" s="254" t="inlineStr">
        <is>
          <t>Eff + mos**</t>
        </is>
      </c>
      <c r="F20" s="254" t="inlineStr">
        <is>
          <t>Expected</t>
        </is>
      </c>
      <c r="G20" s="254" t="inlineStr">
        <is>
          <t>Minimum</t>
        </is>
      </c>
      <c r="H20" s="257" t="inlineStr">
        <is>
          <t>Window</t>
        </is>
      </c>
    </row>
    <row r="21" ht="65.25" customHeight="1" s="177">
      <c r="A21" s="316" t="inlineStr">
        <is>
          <t>2.4.1</t>
        </is>
      </c>
      <c r="B21" s="207" t="inlineStr">
        <is>
          <t>Catalog management
NA in 2007</t>
        </is>
      </c>
      <c r="C21" s="207" t="inlineStr">
        <is>
          <t>For the purpose of this exhibit "catalog management" means that the SP would implement new,updated catalogs within x Business days (internal lead time). 
All new catalogs uploads requested by GlobalPharma will be processed within x Business days. Key figure: Key figure: completed requests within x Business days/total number of requests*100 = %</t>
        </is>
      </c>
      <c r="D21" s="318" t="inlineStr">
        <is>
          <t>Y</t>
        </is>
      </c>
      <c r="E21" s="260" t="inlineStr">
        <is>
          <t>xxx</t>
        </is>
      </c>
      <c r="F21" s="261" t="inlineStr">
        <is>
          <t>xx.xx %</t>
        </is>
      </c>
      <c r="G21" s="261" t="inlineStr">
        <is>
          <t>xx.xx %</t>
        </is>
      </c>
      <c r="H21" s="261" t="inlineStr">
        <is>
          <t>monthly</t>
        </is>
      </c>
    </row>
    <row r="22" ht="75.75" customHeight="1" s="177">
      <c r="A22" s="316" t="inlineStr">
        <is>
          <t>2.4.2</t>
        </is>
      </c>
      <c r="B22" s="207" t="inlineStr">
        <is>
          <t>Hotline call Acceptance 1</t>
        </is>
      </c>
      <c r="C22" s="207" t="inlineStr">
        <is>
          <t>For the purpose of this exhibit "Hotline call Acceptance 1" means that the SP would ensure that the Hotline is picked up: x % of calls are picked up. 
Key figure: number of picked up calls / number of calls *100 = %</t>
        </is>
      </c>
      <c r="D22" s="318" t="inlineStr">
        <is>
          <t>Y</t>
        </is>
      </c>
      <c r="E22" s="260" t="inlineStr">
        <is>
          <t>xxx</t>
        </is>
      </c>
      <c r="F22" s="261" t="inlineStr">
        <is>
          <t>xx.xx %</t>
        </is>
      </c>
      <c r="G22" s="261" t="inlineStr">
        <is>
          <t>xx.xx %</t>
        </is>
      </c>
      <c r="H22" s="261" t="inlineStr">
        <is>
          <t>monthly</t>
        </is>
      </c>
    </row>
    <row r="23" ht="78.75" customHeight="1" s="177">
      <c r="A23" s="316" t="inlineStr">
        <is>
          <t>2.4.3</t>
        </is>
      </c>
      <c r="B23" s="207" t="inlineStr">
        <is>
          <t>Hotline call Acceptance 2</t>
        </is>
      </c>
      <c r="C23" s="207" t="inlineStr">
        <is>
          <t>For the purpose of this exhibit "Hotline call Acceptance 2" means that the SP would ensure that issues are solved during the fist call. 
Key figure: number soved issues during first call / number of calls *100 = %</t>
        </is>
      </c>
      <c r="D23" s="318" t="inlineStr">
        <is>
          <t>Y</t>
        </is>
      </c>
      <c r="E23" s="260" t="inlineStr">
        <is>
          <t>xxx</t>
        </is>
      </c>
      <c r="F23" s="261" t="inlineStr">
        <is>
          <t>xx.xx %</t>
        </is>
      </c>
      <c r="G23" s="261" t="inlineStr">
        <is>
          <t>xx.xx %</t>
        </is>
      </c>
      <c r="H23" s="261" t="inlineStr">
        <is>
          <t>monthly</t>
        </is>
      </c>
    </row>
    <row r="24" ht="53.25" customHeight="1" s="177">
      <c r="A24" s="316" t="inlineStr">
        <is>
          <t>2.4.4</t>
        </is>
      </c>
      <c r="B24" s="207" t="inlineStr">
        <is>
          <t>Hotline call Acceptance 3</t>
        </is>
      </c>
      <c r="C24" s="207" t="inlineStr">
        <is>
          <t>For the purpose of this exhibit "Hotline call Acceptance 3" means that the SP would ensure that issues are solved n days after the fist call. 
Key figure: number soved issues after n days / number of issues  *100 = %</t>
        </is>
      </c>
      <c r="D24" s="318" t="inlineStr">
        <is>
          <t>Y</t>
        </is>
      </c>
      <c r="E24" s="260" t="inlineStr">
        <is>
          <t>xxx</t>
        </is>
      </c>
      <c r="F24" s="261" t="inlineStr">
        <is>
          <t>xx.xx %</t>
        </is>
      </c>
      <c r="G24" s="261" t="inlineStr">
        <is>
          <t>xx.xx %</t>
        </is>
      </c>
      <c r="H24" s="261" t="inlineStr">
        <is>
          <t>monthly</t>
        </is>
      </c>
    </row>
    <row r="25" ht="50.25" customHeight="1" s="177">
      <c r="A25" s="316" t="inlineStr">
        <is>
          <t>2.4.5</t>
        </is>
      </c>
      <c r="B25" s="207" t="inlineStr">
        <is>
          <t>Audit relevant changes documented</t>
        </is>
      </c>
      <c r="C25" s="207" t="inlineStr">
        <is>
          <t>For the purpose of this exhibit "Audit relevant changes documented" means that the SP would ensure to document all audit relevant changes and exceptions according audit and Sox guidlines. GlobalPharma wants to have no Audit-/SOX-Issues cause of inappropriate, undocumented changing procedure in the system or anywhere else.
Key figure: Total number of claims because of undocumented changing procedures / total number of tests * 100 = %</t>
        </is>
      </c>
      <c r="D25" s="318" t="inlineStr">
        <is>
          <t>Y</t>
        </is>
      </c>
      <c r="E25" s="260" t="inlineStr">
        <is>
          <t>xxx</t>
        </is>
      </c>
      <c r="F25" s="261" t="inlineStr">
        <is>
          <t>xx.xx %</t>
        </is>
      </c>
      <c r="G25" s="261" t="inlineStr">
        <is>
          <t>xx.xx %</t>
        </is>
      </c>
      <c r="H25" s="261" t="inlineStr">
        <is>
          <t>ad hoc</t>
        </is>
      </c>
    </row>
    <row r="26" ht="59.25" customHeight="1" s="177">
      <c r="A26" s="316" t="inlineStr">
        <is>
          <t>2.4.6</t>
        </is>
      </c>
      <c r="B26" s="207" t="inlineStr">
        <is>
          <t>System error maintained</t>
        </is>
      </c>
      <c r="C26" s="207" t="inlineStr">
        <is>
          <t>For the purpose of this exhibit "System Errors Maintained" means that the SP would ensure to maintain and resolve system error messages (i.e. RC) for all systems related to the Procurement process.  
This would also mean that the SP monitors the Ariba-ePro-SAP Interface: proper master data load must be ensured daily. Take action in case of failures. (1 time / day in the morning).
No backlog &gt; x days.
Key figure: Total number of system errors resolved / total number of system errors * 100 = %</t>
        </is>
      </c>
      <c r="D26" s="318" t="inlineStr">
        <is>
          <t>Y</t>
        </is>
      </c>
      <c r="E26" s="260" t="inlineStr">
        <is>
          <t>xxx</t>
        </is>
      </c>
      <c r="F26" s="261" t="inlineStr">
        <is>
          <t>xx.xx %</t>
        </is>
      </c>
      <c r="G26" s="261" t="inlineStr">
        <is>
          <t>xx.xx %</t>
        </is>
      </c>
      <c r="H26" s="261" t="inlineStr">
        <is>
          <t>monthly</t>
        </is>
      </c>
    </row>
    <row r="27" ht="60" customHeight="1" s="177">
      <c r="A27" s="316" t="inlineStr">
        <is>
          <t>2.4.7</t>
        </is>
      </c>
      <c r="B27" s="207" t="inlineStr">
        <is>
          <t>Ad Hoc Reporting</t>
        </is>
      </c>
      <c r="C27" s="207" t="inlineStr">
        <is>
          <t>For the purpose of this exhibit "ad hoc reporting" means that the SP provides ad hoc reporting within agreed timelines
Key figure: number of reports delivered on time/ number of reports requested * 100 = %</t>
        </is>
      </c>
      <c r="D27" s="318" t="inlineStr">
        <is>
          <t>Y</t>
        </is>
      </c>
      <c r="E27" s="260" t="inlineStr">
        <is>
          <t>xxx</t>
        </is>
      </c>
      <c r="F27" s="261" t="inlineStr">
        <is>
          <t>xx.xx %</t>
        </is>
      </c>
      <c r="G27" s="261" t="inlineStr">
        <is>
          <t>xx.xx %</t>
        </is>
      </c>
      <c r="H27" s="261" t="inlineStr">
        <is>
          <t>monthly</t>
        </is>
      </c>
    </row>
    <row r="28" ht="123" customHeight="1" s="177">
      <c r="A28" s="316" t="inlineStr">
        <is>
          <t>2.4.8</t>
        </is>
      </c>
      <c r="B28" s="207" t="inlineStr">
        <is>
          <t xml:space="preserve">Maintain overdue orders </t>
        </is>
      </c>
      <c r="C28" s="207" t="inlineStr">
        <is>
          <t>For the purpose of this exhibit "Maintain Overdue Orders" means that the SP maintains orders which are overdue at year end. (done/not done)
Key figure: Orders maintained by end year / 1 *100 = %</t>
        </is>
      </c>
      <c r="D28" s="318" t="inlineStr">
        <is>
          <t>Y</t>
        </is>
      </c>
      <c r="E28" s="260" t="inlineStr">
        <is>
          <t>xxx</t>
        </is>
      </c>
      <c r="F28" s="261" t="inlineStr">
        <is>
          <t>xx.xx %</t>
        </is>
      </c>
      <c r="G28" s="261" t="inlineStr">
        <is>
          <t>xx.xx %</t>
        </is>
      </c>
      <c r="H28" s="261" t="inlineStr">
        <is>
          <t>annually</t>
        </is>
      </c>
    </row>
    <row r="29" ht="123" customHeight="1" s="177">
      <c r="A29" s="316" t="inlineStr">
        <is>
          <t>2.4.9</t>
        </is>
      </c>
      <c r="B29" s="207" t="inlineStr">
        <is>
          <t>Deliver complete supplier qualification according to CC5 Guidelines on time.</t>
        </is>
      </c>
      <c r="C29" s="207" t="inlineStr">
        <is>
          <t>The number of completed CC5 reports delivered at time within the measurement window divided by the total number of CC5 reports within the measurement window, expressed as a percentage.
For the purpose of this exhibit "supplier qualification" means that the SP would send out of letters and questionnaires, receive questionnaires, track incoming answers, take corrective actions in case of misunderstandings and communicate to GlobalPharma in case of Non-compliance.</t>
        </is>
      </c>
      <c r="D29" s="318" t="inlineStr">
        <is>
          <t>Y</t>
        </is>
      </c>
      <c r="E29" s="260" t="inlineStr">
        <is>
          <t>xxx</t>
        </is>
      </c>
      <c r="F29" s="261" t="inlineStr">
        <is>
          <t>xx.xx %</t>
        </is>
      </c>
      <c r="G29" s="261" t="inlineStr">
        <is>
          <t>xx.xx %</t>
        </is>
      </c>
      <c r="H29" s="261" t="inlineStr">
        <is>
          <t>monthly</t>
        </is>
      </c>
    </row>
    <row r="30" ht="180" customHeight="1" s="177">
      <c r="A30" s="316" t="inlineStr">
        <is>
          <t>2.4.10</t>
        </is>
      </c>
      <c r="B30" s="207" t="inlineStr">
        <is>
          <t>Processing Supplier Requests</t>
        </is>
      </c>
      <c r="C30" s="207" t="inlineStr">
        <is>
          <t>The number of supplier requests in the system or completion of Supplier maintenance form x days after request within the measurement windows divided by total number of supplier requests in the system within the measurement window, expressed as a percentage.
For the purpose of this exhibit "Processing Supplier Requests" means that the SP would complete and approve supplier requests, DUNS numbering of supplier requests and enter Supplier Master data in SAP (around 20 Requests daily, Zurich). In the  
US the supplier would activate and perform due diligence of new vendors and enter supplier master data in SAP (average around 2,000 new suppliers annually). Supplier set up processes in the countries have to be completed according local guidlines.</t>
        </is>
      </c>
      <c r="D30" s="318" t="inlineStr">
        <is>
          <t>Y</t>
        </is>
      </c>
      <c r="E30" s="260" t="inlineStr">
        <is>
          <t>xxx</t>
        </is>
      </c>
      <c r="F30" s="261" t="inlineStr">
        <is>
          <t>xx.xx %</t>
        </is>
      </c>
      <c r="G30" s="261" t="inlineStr">
        <is>
          <t>xx.xx %</t>
        </is>
      </c>
      <c r="H30" s="261" t="inlineStr">
        <is>
          <t>monthly</t>
        </is>
      </c>
    </row>
    <row r="31" ht="120" customHeight="1" s="177">
      <c r="A31" s="316" t="inlineStr">
        <is>
          <t>2.4.11</t>
        </is>
      </c>
      <c r="B31" s="207" t="inlineStr">
        <is>
          <t xml:space="preserve">Initiate Change Requests
</t>
        </is>
      </c>
      <c r="C31" s="207" t="inlineStr">
        <is>
          <t>For the purpose of this exhibit "Initiate Change Requests" means that the SP would initiate Change Requests based on Tickets, bugs, Hotline issues, user requests. Ensure monitoring and review is performed on a monthly basis with GlobalPharma. Manage change requests with Ariba CC and Sisnet, Test change requests. x Changes / year implemented (Zurich). 
Key figure: GlobalPharma has to define it.
It is absolute number.</t>
        </is>
      </c>
      <c r="D31" s="318" t="inlineStr">
        <is>
          <t>Y</t>
        </is>
      </c>
      <c r="E31" s="260" t="inlineStr">
        <is>
          <t>xxx</t>
        </is>
      </c>
      <c r="F31" s="261" t="inlineStr">
        <is>
          <t>xx.xx %</t>
        </is>
      </c>
      <c r="G31" s="261" t="inlineStr">
        <is>
          <t>xx.xx %</t>
        </is>
      </c>
      <c r="H31" s="261" t="inlineStr">
        <is>
          <t>monthly</t>
        </is>
      </c>
    </row>
    <row r="32" ht="180" customHeight="1" s="177">
      <c r="A32" s="316" t="inlineStr">
        <is>
          <t>2.4.13</t>
        </is>
      </c>
      <c r="B32" s="207" t="inlineStr">
        <is>
          <t xml:space="preserve">Manage Change Requests
</t>
        </is>
      </c>
      <c r="C32" s="207" t="inlineStr">
        <is>
          <t>For the purpose of this exhibit "Manage Change Requests" means that the SP would project manages all Change requests on behalf of Business within agreed timelines (agreed timeline means first estimate after evaluation phase).
This includes the enablement and training of GlobalPharma Supplier to receive GlobalPharma PO's in electronic Dataformat (xml etc.). The SP has to manage the integration of the external vendor. 
This includes the  the management of the implementation of brand new catalogs from scratch and punch out catalogs requested by GlobalPharma.
Key figure: Implemented Change requests / created change requests * 100 = % (agreed implementaton date must be in the same reporting periode as the RFC was created. RFC's which implementation date are into the next reporting periode are subject to be considered in the following reporting periode)</t>
        </is>
      </c>
      <c r="D32" s="318" t="inlineStr">
        <is>
          <t>Y</t>
        </is>
      </c>
      <c r="E32" s="260" t="inlineStr">
        <is>
          <t>xxx</t>
        </is>
      </c>
      <c r="F32" s="261" t="inlineStr">
        <is>
          <t>xx.xx %</t>
        </is>
      </c>
      <c r="G32" s="261" t="inlineStr">
        <is>
          <t>xx.xx %</t>
        </is>
      </c>
      <c r="H32" s="261" t="inlineStr">
        <is>
          <t>monthly</t>
        </is>
      </c>
    </row>
    <row r="33" ht="12.75" customHeight="1" s="177">
      <c r="A33" s="175" t="n"/>
      <c r="B33" s="175" t="n"/>
      <c r="C33" s="175" t="n"/>
      <c r="D33" s="175" t="n"/>
      <c r="E33" s="175" t="n"/>
      <c r="G33" s="175" t="n"/>
    </row>
    <row r="34" ht="12.75" customHeight="1" s="177">
      <c r="A34" s="316" t="n"/>
      <c r="B34" s="308" t="n"/>
      <c r="C34" s="308" t="n"/>
      <c r="D34" s="309" t="n"/>
      <c r="E34" s="247" t="n"/>
      <c r="F34" s="310" t="n"/>
      <c r="G34" s="247" t="n"/>
      <c r="H34" s="249" t="inlineStr">
        <is>
          <t>Measurement</t>
        </is>
      </c>
    </row>
    <row r="35" ht="15.75" customHeight="1" s="177">
      <c r="A35" s="316" t="inlineStr">
        <is>
          <t>2.5</t>
        </is>
      </c>
      <c r="B35" s="270" t="inlineStr">
        <is>
          <t>Accounts Payables</t>
        </is>
      </c>
      <c r="C35" s="270" t="inlineStr">
        <is>
          <t>Definition</t>
        </is>
      </c>
      <c r="D35" s="270" t="n"/>
      <c r="E35" s="254" t="inlineStr">
        <is>
          <t>Eff + mos**</t>
        </is>
      </c>
      <c r="F35" s="254" t="inlineStr">
        <is>
          <t>Expected</t>
        </is>
      </c>
      <c r="G35" s="254" t="inlineStr">
        <is>
          <t>Minimum</t>
        </is>
      </c>
      <c r="H35" s="257" t="inlineStr">
        <is>
          <t>Window</t>
        </is>
      </c>
    </row>
    <row r="36" ht="156" customHeight="1" s="177">
      <c r="A36" s="316" t="inlineStr">
        <is>
          <t>2.5.1</t>
        </is>
      </c>
      <c r="B36" s="259" t="inlineStr">
        <is>
          <t>% of received invoices scanned within two days of receipt</t>
        </is>
      </c>
      <c r="C36" s="259" t="inlineStr">
        <is>
          <t>Number of invoices received in mail room and scanned within 24 (exp), 48 (min) hours divided by the total number of invoices received during the measurement window. Expressed as a percent.</t>
        </is>
      </c>
      <c r="D36" s="322" t="inlineStr">
        <is>
          <t>Y</t>
        </is>
      </c>
      <c r="E36" s="260" t="inlineStr">
        <is>
          <t>xxx</t>
        </is>
      </c>
      <c r="F36" s="261" t="inlineStr">
        <is>
          <t>xx.xx %</t>
        </is>
      </c>
      <c r="G36" s="261" t="n">
        <v>0</v>
      </c>
      <c r="H36" s="261" t="inlineStr">
        <is>
          <t>xxx</t>
        </is>
      </c>
    </row>
    <row r="37" ht="119.25" customHeight="1" s="177">
      <c r="A37" s="316" t="inlineStr">
        <is>
          <t>2.5.2</t>
        </is>
      </c>
      <c r="B37" s="207" t="inlineStr">
        <is>
          <t>Timely and accurate payments to vendors on "Critical Payment List" per attachment E to this exhibit</t>
        </is>
      </c>
      <c r="C37" s="207" t="inlineStr">
        <is>
          <t>Number of invoices for Critical Payments during the measurement window less total number of invoices for critical payments with errors or not processed in the time directed during the measurement window divided by the total number of invoices processed for Critical Payments during the measurement window. Expressed as a percentage. An initial list of all AP invoices pertaining to vendors or payment types on Critical Payment List is included in Attachment E, which may be amended from time to time or at any time by GlobalPharma. For purposes of this exhibit, accuracy shall mean proper keying of all critical fields on documents, and ensuring appropriate authorization and supporting documentation according to GlobalPharma policies.</t>
        </is>
      </c>
      <c r="D37" s="312" t="inlineStr">
        <is>
          <t>Y</t>
        </is>
      </c>
      <c r="E37" s="319" t="inlineStr">
        <is>
          <t>xxx</t>
        </is>
      </c>
      <c r="F37" s="320" t="inlineStr">
        <is>
          <t>xx.xx %</t>
        </is>
      </c>
      <c r="G37" s="320" t="inlineStr">
        <is>
          <t>xx.xx %</t>
        </is>
      </c>
      <c r="H37" s="320" t="inlineStr">
        <is>
          <t>xxx</t>
        </is>
      </c>
    </row>
    <row r="38" ht="109.5" customHeight="1" s="177">
      <c r="A38" s="316" t="inlineStr">
        <is>
          <t>2.5.3</t>
        </is>
      </c>
      <c r="B38" s="207" t="inlineStr">
        <is>
          <t>% of timely special request payments</t>
        </is>
      </c>
      <c r="C38" s="207" t="inlineStr">
        <is>
          <t xml:space="preserve">Number of special payment requests processed within timeframe as directed by GlobalPharma at time of request during the measurement window divided by the total number of special requests directed by GlobalPharma. Expressed as a percentage. </t>
        </is>
      </c>
      <c r="D38" s="312" t="inlineStr">
        <is>
          <t>Y</t>
        </is>
      </c>
      <c r="E38" s="319" t="inlineStr">
        <is>
          <t>xxx</t>
        </is>
      </c>
      <c r="F38" s="320" t="inlineStr">
        <is>
          <t>xx.xx %</t>
        </is>
      </c>
      <c r="G38" s="320" t="inlineStr">
        <is>
          <t>xx.xx %</t>
        </is>
      </c>
      <c r="H38" s="320" t="inlineStr">
        <is>
          <t>xxx</t>
        </is>
      </c>
    </row>
    <row r="39" ht="75" customHeight="1" s="177">
      <c r="A39" s="316" t="inlineStr">
        <is>
          <t>2.5.5</t>
        </is>
      </c>
      <c r="B39" s="207" t="inlineStr">
        <is>
          <t>% of Accounts Payable inquiries. Expressed as a percentage of total invoices processed</t>
        </is>
      </c>
      <c r="C39" s="207" t="inlineStr">
        <is>
          <t>The total number of Accts Payable inquiries received during the month divided by the total number of invoices processed during the month. Expressed as a percentage.
Excludes inquiries pertaining to non-steady state activities 
(e.g. new system implementations)</t>
        </is>
      </c>
      <c r="D39" s="312" t="inlineStr">
        <is>
          <t>N</t>
        </is>
      </c>
      <c r="E39" s="319" t="inlineStr">
        <is>
          <t>xxx</t>
        </is>
      </c>
      <c r="F39" s="320" t="inlineStr">
        <is>
          <t>xx.xx %</t>
        </is>
      </c>
      <c r="G39" s="320" t="inlineStr">
        <is>
          <t>xx.xx %</t>
        </is>
      </c>
      <c r="H39" s="320" t="inlineStr">
        <is>
          <t>xxx</t>
        </is>
      </c>
    </row>
    <row r="40" ht="142.5" customHeight="1" s="177">
      <c r="A40" s="316" t="inlineStr">
        <is>
          <t>2.5.6</t>
        </is>
      </c>
      <c r="B40" s="207" t="inlineStr">
        <is>
          <t>Percentage of vendors with critical header and site information complete in the vendor master file (incl. employee vendors for T&amp;E)</t>
        </is>
      </c>
      <c r="C40" s="207" t="inlineStr">
        <is>
          <t>Number of vendors with correct and complete critical header and site information complete in the vendor master file divided by total number of vendors at the end of the measurement window. Expressed as a percentage. Critical header and site information is defined as the vendor's tax identification number, organization type, vendor type, full address, purchase/pay flag, Service Service Provider source, and rebill company.</t>
        </is>
      </c>
      <c r="D40" s="312" t="inlineStr">
        <is>
          <t>Y</t>
        </is>
      </c>
      <c r="E40" s="319" t="inlineStr">
        <is>
          <t>xxx</t>
        </is>
      </c>
      <c r="F40" s="320" t="inlineStr">
        <is>
          <t>xx.xx %</t>
        </is>
      </c>
      <c r="G40" s="320" t="inlineStr">
        <is>
          <t>xx.xx %</t>
        </is>
      </c>
      <c r="H40" s="320" t="inlineStr">
        <is>
          <t>xxx</t>
        </is>
      </c>
    </row>
    <row r="41" ht="135" customHeight="1" s="177">
      <c r="A41" s="316" t="inlineStr">
        <is>
          <t>2.5.7</t>
        </is>
      </c>
      <c r="B41" s="207" t="inlineStr">
        <is>
          <t>Percentage of invoices paid within GlobalPharma terms (incl. T&amp;E claims)</t>
        </is>
      </c>
      <c r="C41" s="207" t="inlineStr">
        <is>
          <t xml:space="preserve">Payment to terms shall be calculated as the number of payments that meet the terms of payment as provided in GlobalPharma payment instructions or defaulted to vendor or PO level if no GlobalPharma payment instructions provided divided by the total number of payments for the measurement window. Expressed as a percentage. The measurement will be generated by comparing the invoice due date vs. payment file date. Exclusions will include those invoices or Vendors that GlobalPharma has determined to specifically hold or delay payment upon, and invoice approvals from GlobalPharma not completed one day prior to target payment date. </t>
        </is>
      </c>
      <c r="D41" s="312" t="inlineStr">
        <is>
          <t>?</t>
        </is>
      </c>
      <c r="E41" s="319" t="inlineStr">
        <is>
          <t>xxx</t>
        </is>
      </c>
      <c r="F41" s="320" t="inlineStr">
        <is>
          <t>xx.xx %</t>
        </is>
      </c>
      <c r="G41" s="320" t="inlineStr">
        <is>
          <t>xx.xx %</t>
        </is>
      </c>
      <c r="H41" s="320" t="inlineStr">
        <is>
          <t>xxx</t>
        </is>
      </c>
    </row>
    <row r="42" ht="30" customHeight="1" s="177">
      <c r="A42" s="316" t="inlineStr">
        <is>
          <t>2.5.8</t>
        </is>
      </c>
      <c r="B42" s="207" t="inlineStr">
        <is>
          <t>Returned / Refund checks processes within 3 Business Days of receipt</t>
        </is>
      </c>
      <c r="C42" s="207" t="inlineStr">
        <is>
          <t>Number of returned items handled within the allotted time expresses as a percent.</t>
        </is>
      </c>
      <c r="D42" s="312" t="inlineStr">
        <is>
          <t>Y</t>
        </is>
      </c>
      <c r="E42" s="319" t="inlineStr">
        <is>
          <t>xxx</t>
        </is>
      </c>
      <c r="F42" s="320" t="inlineStr">
        <is>
          <t>xx.xx %</t>
        </is>
      </c>
      <c r="G42" s="320" t="inlineStr">
        <is>
          <t>xx.xx %</t>
        </is>
      </c>
      <c r="H42" s="320" t="inlineStr">
        <is>
          <t>xxx</t>
        </is>
      </c>
    </row>
    <row r="43" ht="75" customHeight="1" s="177">
      <c r="A43" s="316" t="inlineStr">
        <is>
          <t>2.5.9</t>
        </is>
      </c>
      <c r="B43" s="207" t="inlineStr">
        <is>
          <t>Void / Stop Pay requests performed within 3 Business Days of receipt of required information but in any event before the next payment run (incl. T&amp;E payments)</t>
        </is>
      </c>
      <c r="C43" s="207" t="inlineStr">
        <is>
          <t>Number of stop pays and voids handled within the allotted time expresses as a percent.</t>
        </is>
      </c>
      <c r="D43" s="312" t="inlineStr">
        <is>
          <t>Y</t>
        </is>
      </c>
      <c r="E43" s="319" t="inlineStr">
        <is>
          <t>xxx</t>
        </is>
      </c>
      <c r="F43" s="320" t="inlineStr">
        <is>
          <t>xx.xx %</t>
        </is>
      </c>
      <c r="G43" s="320" t="inlineStr">
        <is>
          <t>xx.xx %</t>
        </is>
      </c>
      <c r="H43" s="320" t="inlineStr">
        <is>
          <t>xxx</t>
        </is>
      </c>
    </row>
    <row r="44" ht="12.75" customHeight="1" s="177">
      <c r="A44" s="316" t="n"/>
      <c r="B44" s="187" t="n"/>
      <c r="C44" s="187" t="n"/>
      <c r="D44" s="210" t="n"/>
      <c r="E44" s="210" t="n"/>
      <c r="F44" s="187" t="n"/>
      <c r="G44" s="210" t="n"/>
      <c r="H44" s="210" t="n"/>
    </row>
    <row r="45" ht="12.75" customHeight="1" s="177">
      <c r="A45" s="316" t="n"/>
      <c r="B45" s="308" t="n"/>
      <c r="C45" s="308" t="n"/>
      <c r="D45" s="309" t="n"/>
      <c r="E45" s="247" t="n"/>
      <c r="F45" s="310" t="n"/>
      <c r="G45" s="247" t="n"/>
      <c r="H45" s="249" t="inlineStr">
        <is>
          <t>Measurement</t>
        </is>
      </c>
    </row>
    <row r="46" ht="15.75" customHeight="1" s="177">
      <c r="A46" s="316" t="inlineStr">
        <is>
          <t>2.6</t>
        </is>
      </c>
      <c r="B46" s="270" t="inlineStr">
        <is>
          <t>T&amp;E</t>
        </is>
      </c>
      <c r="C46" s="270" t="inlineStr">
        <is>
          <t>Definition</t>
        </is>
      </c>
      <c r="D46" s="270" t="n"/>
      <c r="E46" s="254" t="inlineStr">
        <is>
          <t>Eff + mos**</t>
        </is>
      </c>
      <c r="F46" s="254" t="inlineStr">
        <is>
          <t>Expected</t>
        </is>
      </c>
      <c r="G46" s="254" t="inlineStr">
        <is>
          <t>Minimum</t>
        </is>
      </c>
      <c r="H46" s="257" t="inlineStr">
        <is>
          <t>Window</t>
        </is>
      </c>
    </row>
    <row r="47" ht="75" customHeight="1" s="177">
      <c r="A47" s="306" t="inlineStr">
        <is>
          <t>2.6.1</t>
        </is>
      </c>
      <c r="B47" s="207" t="inlineStr">
        <is>
          <t>% of Travel inquiries. Expressed as a percentage of total expense reports processed</t>
        </is>
      </c>
      <c r="C47" s="311" t="inlineStr">
        <is>
          <t>The total number of Travel inquiries received during a steady state month divided by the total number of expense reports processed during a steady state month. Expressed as a percentage.
Excludes inquiries pertaining to non-steady state activities 
(e.g. new system implementations)</t>
        </is>
      </c>
      <c r="D47" s="312" t="inlineStr">
        <is>
          <t>N</t>
        </is>
      </c>
      <c r="E47" s="260" t="inlineStr">
        <is>
          <t>xxx</t>
        </is>
      </c>
      <c r="F47" s="261" t="inlineStr">
        <is>
          <t>xx.xx %</t>
        </is>
      </c>
      <c r="G47" s="261" t="inlineStr">
        <is>
          <t>xx.xx %</t>
        </is>
      </c>
      <c r="H47" s="261" t="inlineStr">
        <is>
          <t>xxx</t>
        </is>
      </c>
    </row>
    <row r="48" ht="12.75" customHeight="1" s="177">
      <c r="A48" s="316" t="n"/>
      <c r="B48" s="187" t="n"/>
      <c r="C48" s="187" t="n"/>
      <c r="D48" s="210" t="n"/>
      <c r="E48" s="210" t="n"/>
      <c r="F48" s="187" t="n"/>
      <c r="G48" s="210" t="n"/>
      <c r="H48" s="187" t="n"/>
    </row>
    <row r="49" ht="12.75" customHeight="1" s="177">
      <c r="A49" s="316" t="n"/>
      <c r="B49" s="308" t="n"/>
      <c r="C49" s="308" t="n"/>
      <c r="D49" s="309" t="n"/>
      <c r="E49" s="247" t="n"/>
      <c r="F49" s="310" t="n"/>
      <c r="G49" s="247" t="n"/>
      <c r="H49" s="249" t="inlineStr">
        <is>
          <t>Measurement</t>
        </is>
      </c>
    </row>
    <row r="50" ht="15.75" customHeight="1" s="177">
      <c r="A50" s="306" t="inlineStr">
        <is>
          <t>2.7</t>
        </is>
      </c>
      <c r="B50" s="270" t="inlineStr">
        <is>
          <t>OTC</t>
        </is>
      </c>
      <c r="C50" s="270" t="inlineStr">
        <is>
          <t>Definition</t>
        </is>
      </c>
      <c r="D50" s="270" t="n"/>
      <c r="E50" s="254" t="inlineStr">
        <is>
          <t>Eff + mos**</t>
        </is>
      </c>
      <c r="F50" s="254" t="inlineStr">
        <is>
          <t>Expected</t>
        </is>
      </c>
      <c r="G50" s="254" t="inlineStr">
        <is>
          <t>Minimum</t>
        </is>
      </c>
      <c r="H50" s="257" t="inlineStr">
        <is>
          <t>Window</t>
        </is>
      </c>
    </row>
    <row r="51" ht="15.75" customHeight="1" s="177">
      <c r="B51" s="323" t="inlineStr">
        <is>
          <t>Cash Application</t>
        </is>
      </c>
      <c r="C51" s="323" t="n"/>
      <c r="D51" s="323" t="n"/>
      <c r="E51" s="253" t="n"/>
      <c r="F51" s="253" t="n"/>
      <c r="G51" s="253" t="n"/>
      <c r="H51" s="324" t="n"/>
    </row>
    <row r="52" ht="64.5" customHeight="1" s="177">
      <c r="A52" s="306" t="inlineStr">
        <is>
          <t>2.7.1</t>
        </is>
      </c>
      <c r="B52" s="207" t="inlineStr">
        <is>
          <t>% of credit/debit memos processed within X business day(s)</t>
        </is>
      </c>
      <c r="C52" s="311" t="inlineStr">
        <is>
          <t>The total number of credit/debit memos received and processed within X business day(s) of receipt during the measurement window divided by the total number of credit/debit memos received. Expressed as a percentage.</t>
        </is>
      </c>
      <c r="D52" s="312" t="inlineStr">
        <is>
          <t>Y</t>
        </is>
      </c>
      <c r="E52" s="260" t="inlineStr">
        <is>
          <t>xxx</t>
        </is>
      </c>
      <c r="F52" s="261" t="inlineStr">
        <is>
          <t>xx.xx %</t>
        </is>
      </c>
      <c r="G52" s="261" t="inlineStr">
        <is>
          <t>xx.xx %</t>
        </is>
      </c>
      <c r="H52" s="261" t="inlineStr">
        <is>
          <t>xxx</t>
        </is>
      </c>
    </row>
    <row r="53" ht="15.75" customHeight="1" s="177">
      <c r="B53" s="323" t="inlineStr">
        <is>
          <t>Manual Invoicing</t>
        </is>
      </c>
      <c r="C53" s="323" t="n"/>
      <c r="D53" s="323" t="n"/>
      <c r="E53" s="253" t="n"/>
      <c r="F53" s="253" t="n"/>
      <c r="G53" s="253" t="n"/>
      <c r="H53" s="324" t="n"/>
    </row>
    <row r="54" ht="120" customHeight="1" s="177">
      <c r="A54" s="306" t="inlineStr">
        <is>
          <t>2.7.2</t>
        </is>
      </c>
      <c r="B54" s="207" t="inlineStr">
        <is>
          <t>Processing of Billing/Invoice requests for Recurring Charges</t>
        </is>
      </c>
      <c r="C54" s="311" t="inlineStr">
        <is>
          <t>Number of customer invoices generated and dispatched (to the customer or, if applicable, the mailing house) by the end of the Business Day after the Business Day on which Service Service Provider received the applicable billing instructions divided by the total number of customer invoices covered by billing instructions received by Service Service Provider during the measurement period (provided that, on the Period End Date, such invoices shall be generated and dispatched by the end of the Business Day of receipt of the applicable billing instructions). Expressed as a percentage.</t>
        </is>
      </c>
      <c r="D54" s="312" t="inlineStr">
        <is>
          <t>Y</t>
        </is>
      </c>
      <c r="E54" s="260" t="inlineStr">
        <is>
          <t>xxx</t>
        </is>
      </c>
      <c r="F54" s="261" t="inlineStr">
        <is>
          <t>xx.xx %</t>
        </is>
      </c>
      <c r="G54" s="261" t="inlineStr">
        <is>
          <t>xx.xx %</t>
        </is>
      </c>
      <c r="H54" s="261" t="inlineStr">
        <is>
          <t>xxx</t>
        </is>
      </c>
    </row>
    <row r="55" ht="120" customHeight="1" s="177">
      <c r="A55" s="306" t="inlineStr">
        <is>
          <t>2.7.3</t>
        </is>
      </c>
      <c r="B55" s="207" t="inlineStr">
        <is>
          <t>Processing of Billing/invoice requests for one off Charges</t>
        </is>
      </c>
      <c r="C55" s="311" t="inlineStr">
        <is>
          <t>Number of customer invoices generated and dispatched (to the customer or, if applicable, the mailing house) by the end of the Business Day after the Business Day on which Service Service Provider received the applicable Service Ticket or invoice request divided by the total number of Service Tickets or invoice request received by Service Service Provider during the measurement period (provided that, on the Period End Date, such invoices shall be generated and dispatched by the end of the Business Day of receipt of the applicable Service Ticket or invoice request). Expressed as a percentage.</t>
        </is>
      </c>
      <c r="D55" s="312" t="inlineStr">
        <is>
          <t>Y</t>
        </is>
      </c>
      <c r="E55" s="260" t="inlineStr">
        <is>
          <t>xxx</t>
        </is>
      </c>
      <c r="F55" s="261" t="inlineStr">
        <is>
          <t>xx.xx %</t>
        </is>
      </c>
      <c r="G55" s="261" t="inlineStr">
        <is>
          <t>xx.xx %</t>
        </is>
      </c>
      <c r="H55" s="261" t="inlineStr">
        <is>
          <t>xxx</t>
        </is>
      </c>
    </row>
    <row r="56" ht="15.75" customHeight="1" s="177">
      <c r="B56" s="323" t="inlineStr">
        <is>
          <t>Collections</t>
        </is>
      </c>
      <c r="C56" s="323" t="n"/>
      <c r="D56" s="323" t="n"/>
      <c r="E56" s="253" t="n"/>
      <c r="F56" s="253" t="n"/>
      <c r="G56" s="253" t="n"/>
      <c r="H56" s="324" t="n"/>
    </row>
    <row r="57" ht="65.25" customHeight="1" s="177">
      <c r="A57" s="306" t="inlineStr">
        <is>
          <t>2.7.4</t>
        </is>
      </c>
      <c r="B57" s="207" t="inlineStr">
        <is>
          <t>Value of Accounts Receivable invoices greater than 30 days past due date. Expressed as a % of total AR</t>
        </is>
      </c>
      <c r="C57" s="325" t="inlineStr">
        <is>
          <t xml:space="preserve">Total value of outstanding third party customer invoices older than 30 days from original due date divided by total third party AR at end of the period. Expressed as a percentage. </t>
        </is>
      </c>
      <c r="D57" s="205" t="inlineStr">
        <is>
          <t>N</t>
        </is>
      </c>
      <c r="E57" s="260" t="inlineStr">
        <is>
          <t>xxx</t>
        </is>
      </c>
      <c r="F57" s="261" t="inlineStr">
        <is>
          <t>xx.xx %</t>
        </is>
      </c>
      <c r="G57" s="261" t="inlineStr">
        <is>
          <t>xx.xx %</t>
        </is>
      </c>
      <c r="H57" s="261" t="inlineStr">
        <is>
          <t>xxx</t>
        </is>
      </c>
    </row>
    <row r="58" ht="45" customHeight="1" s="177">
      <c r="A58" s="306" t="inlineStr">
        <is>
          <t>2.7.5</t>
        </is>
      </c>
      <c r="B58" s="207" t="inlineStr">
        <is>
          <t>Customer contacts within GlobalPharma guidelines for collection</t>
        </is>
      </c>
      <c r="C58" s="325" t="inlineStr">
        <is>
          <t>Number of customer contacts actually made during the month divided by the number of customer contacts that should have been made according to GlobalPharma policy, expressed as a percentage.</t>
        </is>
      </c>
      <c r="D58" s="205" t="inlineStr">
        <is>
          <t>Y</t>
        </is>
      </c>
      <c r="E58" s="260" t="inlineStr">
        <is>
          <t>xxx</t>
        </is>
      </c>
      <c r="F58" s="261" t="inlineStr">
        <is>
          <t>xx.xx %</t>
        </is>
      </c>
      <c r="G58" s="261" t="inlineStr">
        <is>
          <t>xx.xx %</t>
        </is>
      </c>
      <c r="H58" s="261" t="inlineStr">
        <is>
          <t>xxx</t>
        </is>
      </c>
    </row>
    <row r="59" ht="66" customHeight="1" s="177">
      <c r="A59" s="306" t="inlineStr">
        <is>
          <t>2.7.6</t>
        </is>
      </c>
      <c r="B59" s="207" t="inlineStr">
        <is>
          <t>Continuous review of credit lines by Customer</t>
        </is>
      </c>
      <c r="C59" s="325" t="inlineStr">
        <is>
          <t>Number of customer credit limit breaches that have been resolved in accordance with GlobalPharma policy within # Business Days divided by the total number of customer credit limit breaches. Expressed as a percentage.</t>
        </is>
      </c>
      <c r="D59" s="205" t="inlineStr">
        <is>
          <t>N</t>
        </is>
      </c>
      <c r="E59" s="260" t="inlineStr">
        <is>
          <t>xxx</t>
        </is>
      </c>
      <c r="F59" s="261" t="inlineStr">
        <is>
          <t>xx.xx %</t>
        </is>
      </c>
      <c r="G59" s="261" t="inlineStr">
        <is>
          <t>xx.xx %</t>
        </is>
      </c>
      <c r="H59" s="261" t="inlineStr">
        <is>
          <t>xxx</t>
        </is>
      </c>
    </row>
    <row r="60" ht="30" customHeight="1" s="177">
      <c r="A60" s="306" t="inlineStr">
        <is>
          <t>2.7.7</t>
        </is>
      </c>
      <c r="B60" s="207" t="inlineStr">
        <is>
          <t>Days Sales Outstanding</t>
        </is>
      </c>
      <c r="C60" s="311" t="inlineStr">
        <is>
          <t>12 month rolling average value of accounts receivable, divided by 12 month rolling sales, multiplied by 360. Expressed in days.</t>
        </is>
      </c>
      <c r="D60" s="312" t="inlineStr">
        <is>
          <t>N</t>
        </is>
      </c>
      <c r="E60" s="260" t="inlineStr">
        <is>
          <t>xxx</t>
        </is>
      </c>
      <c r="F60" s="261" t="inlineStr">
        <is>
          <t>xx.xx %</t>
        </is>
      </c>
      <c r="G60" s="261" t="inlineStr">
        <is>
          <t>xx.xx %</t>
        </is>
      </c>
      <c r="H60" s="261" t="inlineStr">
        <is>
          <t>xxx</t>
        </is>
      </c>
    </row>
    <row r="61" ht="15.75" customHeight="1" s="177">
      <c r="B61" s="323" t="inlineStr">
        <is>
          <t>Credit</t>
        </is>
      </c>
      <c r="C61" s="323" t="n"/>
      <c r="D61" s="323" t="n"/>
      <c r="E61" s="253" t="n"/>
      <c r="F61" s="253" t="n"/>
      <c r="G61" s="253" t="n"/>
      <c r="H61" s="324" t="n"/>
    </row>
    <row r="62" ht="78.75" customHeight="1" s="177">
      <c r="A62" s="306" t="inlineStr">
        <is>
          <t>2.7.8</t>
        </is>
      </c>
      <c r="B62" s="207" t="inlineStr">
        <is>
          <t>Quality of customer credit decisions - bad debt expense as percentage of total accounts receivable</t>
        </is>
      </c>
      <c r="C62" s="325" t="inlineStr">
        <is>
          <t>Total amount of bad debt write-offs for the quarter divided by the average total average accounts receivable for the measurement window. Expressed as a percentage. Exclusions to be agreed. Applies only to bad debt and accounts receivable where the Service Provider performs credit review services.</t>
        </is>
      </c>
      <c r="D62" s="205" t="inlineStr">
        <is>
          <t>N</t>
        </is>
      </c>
      <c r="E62" s="260" t="inlineStr">
        <is>
          <t>xxx</t>
        </is>
      </c>
      <c r="F62" s="261" t="inlineStr">
        <is>
          <t>xx.xx %</t>
        </is>
      </c>
      <c r="G62" s="261" t="inlineStr">
        <is>
          <t>xx.xx %</t>
        </is>
      </c>
      <c r="H62" s="261" t="inlineStr">
        <is>
          <t>xxx</t>
        </is>
      </c>
    </row>
  </sheetData>
  <printOptions horizontalCentered="1" verticalCentered="0" headings="0" gridLines="0" gridLinesSet="1"/>
  <pageMargins left="0.6" right="0.9840277777777779" top="0.833333333333333" bottom="0.615972222222222" header="0.236111111111111" footer="0.236111111111111"/>
  <pageSetup orientation="landscape" paperSize="9" scale="100" fitToHeight="0" fitToWidth="1" pageOrder="downThenOver" blackAndWhite="0" draft="0" horizontalDpi="300" verticalDpi="300" copies="1"/>
  <headerFooter differentOddEven="0" differentFirst="0">
    <oddHeader>&amp;C&amp;"Times New Roman,Bold"&amp;14 CRITICAL SERVICE LEVELS&amp;R&amp;"Times New Roman,Regular"&amp;9 &amp;F</oddHeader>
    <oddFooter>&amp;L&amp;"Times New Roman,Italic"&amp;8 Copyright © 2005, Technology Partners International, Inc. All Rights Reserved/_x000a_COMPANY XYZ CONFIDENTIAL&amp;C&amp;"Times New Roman,Regular"&amp;9 Attach 3-A  &amp;A  Page &amp;P</oddFooter>
    <evenHeader/>
    <evenFooter/>
    <firstHeader/>
    <firstFooter/>
  </headerFooter>
  <rowBreaks count="2" manualBreakCount="2">
    <brk id="45" min="0" max="16383" man="1"/>
    <brk id="53"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TPI</dc:creator>
  <dc:title xmlns:dc="http://purl.org/dc/elements/1.1/">RFP 8 Service Levels Exhibit Attachment A - Service Levels Matrix</dc:title>
  <dc:description xmlns:dc="http://purl.org/dc/elements/1.1/">RFP8 Attachment 3-A to Exhibit 3 (Service Levels).  Contains the Matrix for Critical Service Levels (Attach 3-B), Key Measurements (Attach 3-B) and Critical Deliverables (Attach 3-C).
Version 1 - 100302</dc:description>
  <dc:language xmlns:dc="http://purl.org/dc/elements/1.1/">en-US</dc:language>
  <dcterms:created xmlns:dcterms="http://purl.org/dc/terms/" xmlns:xsi="http://www.w3.org/2001/XMLSchema-instance" xsi:type="dcterms:W3CDTF">1996-11-23T23:40:52Z</dcterms:created>
  <dcterms:modified xmlns:dcterms="http://purl.org/dc/terms/" xmlns:xsi="http://www.w3.org/2001/XMLSchema-instance" xsi:type="dcterms:W3CDTF">2026-02-11T03:52:19Z</dcterms:modified>
  <cp:lastModifiedBy>Wenger Plattner</cp:lastModifiedBy>
  <cp:revision>0</cp:revision>
  <cp:lastPrinted>2006-11-30T19:01:20Z</cp:lastPrinted>
</cp:coreProperties>
</file>

<file path=docProps/custom.xml><?xml version="1.0" encoding="utf-8"?>
<Properties xmlns="http://schemas.openxmlformats.org/officeDocument/2006/custom-properties">
  <property name="BExAnalyzer_OldName" fmtid="{D5CDD505-2E9C-101B-9397-08002B2CF9AE}" pid="2">
    <vt:lpwstr xmlns:vt="http://schemas.openxmlformats.org/officeDocument/2006/docPropsVTypes">Finance - Attachment 3-A Service Levels Matrix V6.xls</vt:lpwstr>
  </property>
  <property name="Editor" fmtid="{D5CDD505-2E9C-101B-9397-08002B2CF9AE}" pid="3">
    <vt:lpwstr xmlns:vt="http://schemas.openxmlformats.org/officeDocument/2006/docPropsVTypes">G Woodstrom</vt:lpwstr>
  </property>
  <property name="Office" fmtid="{D5CDD505-2E9C-101B-9397-08002B2CF9AE}" pid="4">
    <vt:lpwstr xmlns:vt="http://schemas.openxmlformats.org/officeDocument/2006/docPropsVTypes">Houston, TX</vt:lpwstr>
  </property>
  <property name="Project" fmtid="{D5CDD505-2E9C-101B-9397-08002B2CF9AE}" pid="5">
    <vt:lpwstr xmlns:vt="http://schemas.openxmlformats.org/officeDocument/2006/docPropsVTypes">RFP8</vt:lpwstr>
  </property>
  <property name="Status" fmtid="{D5CDD505-2E9C-101B-9397-08002B2CF9AE}" pid="6">
    <vt:lpwstr xmlns:vt="http://schemas.openxmlformats.org/officeDocument/2006/docPropsVTypes">Released</vt:lpwstr>
  </property>
</Properties>
</file>
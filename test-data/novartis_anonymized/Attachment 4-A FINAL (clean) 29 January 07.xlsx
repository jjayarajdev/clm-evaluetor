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Page" sheetId="1" state="visible" r:id="rId1"/>
    <sheet xmlns:r="http://schemas.openxmlformats.org/officeDocument/2006/relationships" name="Summary Charges" sheetId="2" state="visible" r:id="rId2"/>
    <sheet xmlns:r="http://schemas.openxmlformats.org/officeDocument/2006/relationships" name="Consolidated Base Charges" sheetId="3" state="visible" r:id="rId3"/>
    <sheet xmlns:r="http://schemas.openxmlformats.org/officeDocument/2006/relationships" name="Pass-Thro-Charges" sheetId="4" state="visible" r:id="rId4"/>
    <sheet xmlns:r="http://schemas.openxmlformats.org/officeDocument/2006/relationships" name="Transition Charges" sheetId="5" state="visible" r:id="rId5"/>
    <sheet xmlns:r="http://schemas.openxmlformats.org/officeDocument/2006/relationships" name="Service Provider Investments" sheetId="6" state="visible" r:id="rId6"/>
    <sheet xmlns:r="http://schemas.openxmlformats.org/officeDocument/2006/relationships" name="Termination Charges" sheetId="7" state="visible" r:id="rId7"/>
    <sheet xmlns:r="http://schemas.openxmlformats.org/officeDocument/2006/relationships" name="Unit Rates (ARCs &amp; RRCs)" sheetId="8" state="visible" r:id="rId8"/>
    <sheet xmlns:r="http://schemas.openxmlformats.org/officeDocument/2006/relationships" name="Productivity" sheetId="9" state="visible" r:id="rId9"/>
    <sheet xmlns:r="http://schemas.openxmlformats.org/officeDocument/2006/relationships" name="Centre One-BC" sheetId="10" state="visible" r:id="rId10"/>
    <sheet xmlns:r="http://schemas.openxmlformats.org/officeDocument/2006/relationships" name="Switzerland-BC" sheetId="11" state="visible" r:id="rId11"/>
    <sheet xmlns:r="http://schemas.openxmlformats.org/officeDocument/2006/relationships" name="US-BC" sheetId="12" state="visible" r:id="rId12"/>
    <sheet xmlns:r="http://schemas.openxmlformats.org/officeDocument/2006/relationships" name="France-BC" sheetId="13" state="visible" r:id="rId13"/>
    <sheet xmlns:r="http://schemas.openxmlformats.org/officeDocument/2006/relationships" name="Germany-BC" sheetId="14" state="visible" r:id="rId14"/>
    <sheet xmlns:r="http://schemas.openxmlformats.org/officeDocument/2006/relationships" name="Germany Production-BC" sheetId="15" state="visible" r:id="rId15"/>
    <sheet xmlns:r="http://schemas.openxmlformats.org/officeDocument/2006/relationships" name="Spain-BC" sheetId="16" state="visible" r:id="rId16"/>
    <sheet xmlns:r="http://schemas.openxmlformats.org/officeDocument/2006/relationships" name="Italy-BC" sheetId="17" state="visible" r:id="rId17"/>
    <sheet xmlns:r="http://schemas.openxmlformats.org/officeDocument/2006/relationships" name="UK-BC" sheetId="18" state="visible" r:id="rId18"/>
    <sheet xmlns:r="http://schemas.openxmlformats.org/officeDocument/2006/relationships" name="Centre Two-BC" sheetId="19" state="visible" r:id="rId19"/>
    <sheet xmlns:r="http://schemas.openxmlformats.org/officeDocument/2006/relationships" name="Switzerland-BC-2" sheetId="20" state="visible" r:id="rId20"/>
    <sheet xmlns:r="http://schemas.openxmlformats.org/officeDocument/2006/relationships" name="US-BC-2" sheetId="21" state="visible" r:id="rId21"/>
    <sheet xmlns:r="http://schemas.openxmlformats.org/officeDocument/2006/relationships" name="France-BC-2" sheetId="22" state="visible" r:id="rId22"/>
    <sheet xmlns:r="http://schemas.openxmlformats.org/officeDocument/2006/relationships" name="Germany-BC-2" sheetId="23" state="visible" r:id="rId23"/>
    <sheet xmlns:r="http://schemas.openxmlformats.org/officeDocument/2006/relationships" name="Germany Production-BC-2" sheetId="24" state="visible" r:id="rId24"/>
    <sheet xmlns:r="http://schemas.openxmlformats.org/officeDocument/2006/relationships" name="Spain-BC-2" sheetId="25" state="visible" r:id="rId25"/>
    <sheet xmlns:r="http://schemas.openxmlformats.org/officeDocument/2006/relationships" name="Italy-BC-2" sheetId="26" state="visible" r:id="rId26"/>
    <sheet xmlns:r="http://schemas.openxmlformats.org/officeDocument/2006/relationships" name="UK-BC-2" sheetId="27" state="visible" r:id="rId27"/>
    <sheet xmlns:r="http://schemas.openxmlformats.org/officeDocument/2006/relationships" name="Consolidated FTE " sheetId="28" state="visible" r:id="rId28"/>
    <sheet xmlns:r="http://schemas.openxmlformats.org/officeDocument/2006/relationships" name="Centre One-FTE" sheetId="29" state="visible" r:id="rId29"/>
    <sheet xmlns:r="http://schemas.openxmlformats.org/officeDocument/2006/relationships" name="Switzerland-FTE" sheetId="30" state="visible" r:id="rId30"/>
    <sheet xmlns:r="http://schemas.openxmlformats.org/officeDocument/2006/relationships" name="US-FTE" sheetId="31" state="visible" r:id="rId31"/>
    <sheet xmlns:r="http://schemas.openxmlformats.org/officeDocument/2006/relationships" name="France-FTE" sheetId="32" state="visible" r:id="rId32"/>
    <sheet xmlns:r="http://schemas.openxmlformats.org/officeDocument/2006/relationships" name="Germany-FTE" sheetId="33" state="visible" r:id="rId33"/>
    <sheet xmlns:r="http://schemas.openxmlformats.org/officeDocument/2006/relationships" name="Germany Production-FTE" sheetId="34" state="visible" r:id="rId34"/>
    <sheet xmlns:r="http://schemas.openxmlformats.org/officeDocument/2006/relationships" name="Spain-FTE" sheetId="35" state="visible" r:id="rId35"/>
    <sheet xmlns:r="http://schemas.openxmlformats.org/officeDocument/2006/relationships" name="Italy-FTE" sheetId="36" state="visible" r:id="rId36"/>
    <sheet xmlns:r="http://schemas.openxmlformats.org/officeDocument/2006/relationships" name="UK-FTE" sheetId="37" state="visible" r:id="rId37"/>
    <sheet xmlns:r="http://schemas.openxmlformats.org/officeDocument/2006/relationships" name="Centre Two-FTE" sheetId="38" state="visible" r:id="rId38"/>
    <sheet xmlns:r="http://schemas.openxmlformats.org/officeDocument/2006/relationships" name="Switzerland-FTE-2" sheetId="39" state="visible" r:id="rId39"/>
    <sheet xmlns:r="http://schemas.openxmlformats.org/officeDocument/2006/relationships" name="US-FTE-2" sheetId="40" state="visible" r:id="rId40"/>
    <sheet xmlns:r="http://schemas.openxmlformats.org/officeDocument/2006/relationships" name="France-FTE-2" sheetId="41" state="visible" r:id="rId41"/>
    <sheet xmlns:r="http://schemas.openxmlformats.org/officeDocument/2006/relationships" name="Germany-FTE-2" sheetId="42" state="visible" r:id="rId42"/>
    <sheet xmlns:r="http://schemas.openxmlformats.org/officeDocument/2006/relationships" name="Germany Production-FTE-2" sheetId="43" state="visible" r:id="rId43"/>
    <sheet xmlns:r="http://schemas.openxmlformats.org/officeDocument/2006/relationships" name="Spain-FTE-2" sheetId="44" state="visible" r:id="rId44"/>
    <sheet xmlns:r="http://schemas.openxmlformats.org/officeDocument/2006/relationships" name="Italy-FTE-2" sheetId="45" state="visible" r:id="rId45"/>
    <sheet xmlns:r="http://schemas.openxmlformats.org/officeDocument/2006/relationships" name="UK-FTE-2" sheetId="46" state="visible" r:id="rId46"/>
    <sheet xmlns:r="http://schemas.openxmlformats.org/officeDocument/2006/relationships" name="Appendix A - pilot by country" sheetId="47" state="visible" r:id="rId47"/>
    <sheet xmlns:r="http://schemas.openxmlformats.org/officeDocument/2006/relationships" name="Appendix B - prod by country" sheetId="48" state="visible" r:id="rId48"/>
    <sheet xmlns:r="http://schemas.openxmlformats.org/officeDocument/2006/relationships" name="Appendix C - BCP by country" sheetId="49" state="visible" r:id="rId49"/>
    <sheet xmlns:r="http://schemas.openxmlformats.org/officeDocument/2006/relationships" name="Appendix D - Infl. by country" sheetId="50" state="visible" r:id="rId50"/>
    <sheet xmlns:r="http://schemas.openxmlformats.org/officeDocument/2006/relationships" name="Appendix E - pass-th.by country" sheetId="51" state="visible" r:id="rId51"/>
  </sheets>
  <externalReferences>
    <externalReference xmlns:r="http://schemas.openxmlformats.org/officeDocument/2006/relationships" r:id="rId52"/>
  </externalReferences>
  <definedNames>
    <definedName name="Baseline" hidden="0" function="0" vbProcedure="0">'[1]'!$A$1:$N$50</definedName>
    <definedName name="Baseline" localSheetId="5" hidden="0" function="0" vbProcedure="0">#REF!</definedName>
  </definedNames>
  <calcPr calcId="124519" fullCalcOnLoad="1" refMode="A1" iterate="0" iterateCount="100" iterateDelta="0.001"/>
</workbook>
</file>

<file path=xl/styles.xml><?xml version="1.0" encoding="utf-8"?>
<styleSheet xmlns="http://schemas.openxmlformats.org/spreadsheetml/2006/main">
  <numFmts count="15">
    <numFmt numFmtId="164" formatCode="[$-409]d\-mmm\-yy"/>
    <numFmt numFmtId="165" formatCode="0.0%"/>
    <numFmt numFmtId="166" formatCode="_-* #,##0_-;\-* #,##0_-;_-* \-??_-;_-@_-"/>
    <numFmt numFmtId="167" formatCode="[$$-409]#,##0"/>
    <numFmt numFmtId="168" formatCode="[$$-409]#,##0.000"/>
    <numFmt numFmtId="169" formatCode="[$$-409]#,##0.00"/>
    <numFmt numFmtId="170" formatCode="0.0"/>
    <numFmt numFmtId="171" formatCode="[$€-2]\ #,##0.00"/>
    <numFmt numFmtId="172" formatCode="\$#,##0"/>
    <numFmt numFmtId="173" formatCode="_-* #,##0.00_-;\-* #,##0.00_-;_-* \-??_-;_-@_-"/>
    <numFmt numFmtId="174" formatCode="#,##0.0"/>
    <numFmt numFmtId="175" formatCode="[$-409]mmm\-yy"/>
    <numFmt numFmtId="176" formatCode="_(* #,##0_);_(* \(#,##0\);_(* \-??_);_(@_)"/>
    <numFmt numFmtId="177" formatCode="_-* #,##0.0_-;\-* #,##0.0_-;_-* \-??_-;_-@_-"/>
    <numFmt numFmtId="178" formatCode="_-\£* #,##0.00_-;&quot;-£&quot;* #,##0.00_-;_-\£* \-??_-;_-@_-"/>
  </numFmts>
  <fonts count="36">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Times New Roman"/>
      <family val="1"/>
      <sz val="10"/>
    </font>
    <font>
      <name val="Times New Roman"/>
      <family val="1"/>
      <b val="1"/>
      <sz val="10"/>
    </font>
    <font>
      <name val="Times New Roman"/>
      <family val="1"/>
      <b val="1"/>
      <sz val="12"/>
    </font>
    <font>
      <name val="Arial"/>
      <family val="2"/>
      <b val="1"/>
      <sz val="10"/>
    </font>
    <font>
      <name val="Trebuchet MS"/>
      <charset val="238"/>
      <family val="2"/>
      <b val="1"/>
      <i val="1"/>
      <sz val="14"/>
      <u val="single"/>
    </font>
    <font>
      <name val="Trebuchet MS"/>
      <charset val="238"/>
      <family val="2"/>
      <sz val="10"/>
    </font>
    <font>
      <name val="Trebuchet MS"/>
      <charset val="238"/>
      <family val="2"/>
      <b val="1"/>
      <sz val="10"/>
    </font>
    <font>
      <name val="Trebuchet MS"/>
      <charset val="238"/>
      <family val="2"/>
      <b val="1"/>
      <color rgb="FFFF0000"/>
      <sz val="10"/>
    </font>
    <font>
      <name val="Trebuchet MS"/>
      <charset val="238"/>
      <family val="2"/>
      <b val="1"/>
      <i val="1"/>
      <sz val="12"/>
      <u val="single"/>
    </font>
    <font>
      <name val="Arial"/>
      <family val="2"/>
      <b val="1"/>
      <sz val="16"/>
    </font>
    <font>
      <name val="Arial"/>
      <family val="2"/>
      <sz val="16"/>
    </font>
    <font>
      <name val="Arial"/>
      <family val="2"/>
      <b val="1"/>
      <sz val="14"/>
    </font>
    <font>
      <name val="Arial"/>
      <family val="0"/>
      <b val="1"/>
      <color rgb="FFFFFFFF"/>
      <sz val="14"/>
    </font>
    <font>
      <name val="Arial"/>
      <family val="2"/>
      <sz val="11"/>
    </font>
    <font>
      <name val="Arial"/>
      <family val="0"/>
      <b val="1"/>
      <sz val="10"/>
    </font>
    <font>
      <name val="Arial"/>
      <family val="2"/>
      <b val="1"/>
      <color rgb="FFFFFFFF"/>
      <sz val="14"/>
    </font>
    <font>
      <name val="Arial"/>
      <family val="2"/>
      <b val="1"/>
      <sz val="12"/>
    </font>
    <font>
      <name val="Arial"/>
      <family val="2"/>
      <sz val="12"/>
    </font>
    <font>
      <name val="Arial"/>
      <family val="2"/>
      <b val="1"/>
      <sz val="11"/>
    </font>
    <font>
      <name val="Arial"/>
      <family val="0"/>
      <sz val="12"/>
    </font>
    <font>
      <name val="Times New Roman"/>
      <family val="1"/>
      <b val="1"/>
      <sz val="14"/>
    </font>
    <font>
      <name val="Trebuchet MS"/>
      <charset val="238"/>
      <family val="2"/>
      <b val="1"/>
      <sz val="10"/>
      <u val="single"/>
    </font>
    <font>
      <name val="Trebuchet MS"/>
      <charset val="238"/>
      <family val="2"/>
      <b val="1"/>
      <sz val="12"/>
    </font>
    <font>
      <name val="Times New Roman"/>
      <family val="1"/>
      <b val="1"/>
      <i val="1"/>
      <sz val="10"/>
    </font>
    <font>
      <name val="Times New Roman"/>
      <charset val="238"/>
      <family val="1"/>
      <i val="1"/>
      <sz val="10"/>
    </font>
    <font>
      <name val="Times New Roman"/>
      <family val="1"/>
      <i val="1"/>
      <sz val="10"/>
    </font>
    <font>
      <name val="Arial"/>
      <family val="2"/>
      <b val="1"/>
      <sz val="10"/>
      <u val="single"/>
    </font>
    <font>
      <name val="Arial Narrow"/>
      <family val="2"/>
      <sz val="8"/>
    </font>
    <font>
      <name val="Arial Narrow"/>
      <family val="2"/>
      <sz val="10"/>
    </font>
    <font>
      <name val="Arial Narrow"/>
      <family val="2"/>
      <b val="1"/>
      <sz val="8"/>
    </font>
  </fonts>
  <fills count="10">
    <fill>
      <patternFill/>
    </fill>
    <fill>
      <patternFill patternType="gray125"/>
    </fill>
    <fill>
      <patternFill patternType="solid">
        <fgColor rgb="FF99CCFF"/>
        <bgColor rgb="FFCCCCFF"/>
      </patternFill>
    </fill>
    <fill>
      <patternFill patternType="solid">
        <fgColor rgb="FF00FFFF"/>
        <bgColor rgb="FF00FFFF"/>
      </patternFill>
    </fill>
    <fill>
      <patternFill patternType="solid">
        <fgColor rgb="FFCCCCFF"/>
        <bgColor rgb="FFC0C0C0"/>
      </patternFill>
    </fill>
    <fill>
      <patternFill patternType="solid">
        <fgColor rgb="FFFFFFFF"/>
        <bgColor rgb="FFFFFFCC"/>
      </patternFill>
    </fill>
    <fill>
      <patternFill patternType="solid">
        <fgColor rgb="FF0000FF"/>
        <bgColor rgb="FF0000FF"/>
      </patternFill>
    </fill>
    <fill>
      <patternFill patternType="solid">
        <fgColor rgb="FFFFFF00"/>
        <bgColor rgb="FFFFFF00"/>
      </patternFill>
    </fill>
    <fill>
      <patternFill patternType="solid">
        <fgColor rgb="FFC0C0C0"/>
        <bgColor rgb="FFCCCCFF"/>
      </patternFill>
    </fill>
    <fill>
      <patternFill patternType="solid">
        <fgColor rgb="FF808080"/>
        <bgColor rgb="FF969696"/>
      </patternFill>
    </fill>
  </fills>
  <borders count="76">
    <border>
      <left/>
      <right/>
      <top/>
      <bottom/>
      <diagonal/>
    </border>
    <border>
      <left style="thin"/>
      <right style="thin"/>
      <top style="thin"/>
      <bottom/>
      <diagonal/>
    </border>
    <border>
      <left style="thin"/>
      <right style="thin"/>
      <top/>
      <bottom/>
      <diagonal/>
    </border>
    <border>
      <left style="thin"/>
      <right style="thin"/>
      <top/>
      <bottom style="thin"/>
      <diagonal/>
    </border>
    <border>
      <left style="medium"/>
      <right/>
      <top style="medium"/>
      <bottom/>
      <diagonal/>
    </border>
    <border>
      <left/>
      <right style="medium"/>
      <top style="medium"/>
      <bottom/>
      <diagonal/>
    </border>
    <border>
      <left style="medium"/>
      <right style="medium"/>
      <top style="medium"/>
      <bottom style="thin"/>
      <diagonal/>
    </border>
    <border>
      <left style="double"/>
      <right style="medium"/>
      <top style="medium"/>
      <bottom style="thin"/>
      <diagonal/>
    </border>
    <border>
      <left style="medium"/>
      <right style="medium"/>
      <top style="thin"/>
      <bottom style="thin"/>
      <diagonal/>
    </border>
    <border>
      <left style="double"/>
      <right style="medium"/>
      <top style="thin"/>
      <bottom style="thin"/>
      <diagonal/>
    </border>
    <border>
      <left style="medium"/>
      <right/>
      <top style="thin"/>
      <bottom style="thin"/>
      <diagonal/>
    </border>
    <border>
      <left/>
      <right style="medium"/>
      <top style="thin"/>
      <bottom style="thin"/>
      <diagonal/>
    </border>
    <border>
      <left style="medium"/>
      <right/>
      <top/>
      <bottom style="medium"/>
      <diagonal/>
    </border>
    <border>
      <left/>
      <right style="medium"/>
      <top/>
      <bottom style="medium"/>
      <diagonal/>
    </border>
    <border>
      <left style="medium"/>
      <right style="medium"/>
      <top style="thin"/>
      <bottom style="medium"/>
      <diagonal/>
    </border>
    <border>
      <left style="double"/>
      <right style="medium"/>
      <top style="thin"/>
      <bottom style="medium"/>
      <diagonal/>
    </border>
    <border>
      <left style="medium"/>
      <right style="medium"/>
      <top/>
      <bottom style="medium"/>
      <diagonal/>
    </border>
    <border>
      <left style="double"/>
      <right style="medium"/>
      <top style="medium"/>
      <bottom style="medium"/>
      <diagonal/>
    </border>
    <border>
      <left style="medium"/>
      <right/>
      <top/>
      <bottom/>
      <diagonal/>
    </border>
    <border>
      <left style="medium"/>
      <right/>
      <top style="medium"/>
      <bottom style="medium"/>
      <diagonal/>
    </border>
    <border>
      <left/>
      <right/>
      <top style="medium"/>
      <bottom style="medium"/>
      <diagonal/>
    </border>
    <border>
      <left style="medium"/>
      <right style="medium"/>
      <top style="medium"/>
      <bottom style="medium"/>
      <diagonal/>
    </border>
    <border>
      <left/>
      <right/>
      <top style="thick">
        <color rgb="FFFFFFFF"/>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style="thin"/>
      <right/>
      <top/>
      <bottom/>
      <diagonal/>
    </border>
    <border>
      <left style="thin">
        <color rgb="FFFFFFFF"/>
      </left>
      <right/>
      <top/>
      <bottom/>
      <diagonal/>
    </border>
    <border>
      <left/>
      <right style="medium"/>
      <top style="medium"/>
      <bottom style="medium"/>
      <diagonal/>
    </border>
    <border>
      <left/>
      <right style="thin"/>
      <top style="medium"/>
      <bottom style="medium"/>
      <diagonal/>
    </border>
    <border>
      <left style="thin"/>
      <right style="thin"/>
      <top style="medium"/>
      <bottom style="medium"/>
      <diagonal/>
    </border>
    <border>
      <left/>
      <right style="thin"/>
      <top/>
      <bottom/>
      <diagonal/>
    </border>
    <border>
      <left/>
      <right style="thin"/>
      <top style="thin"/>
      <bottom style="thin"/>
      <diagonal/>
    </border>
    <border>
      <left/>
      <right style="medium"/>
      <top style="thin"/>
      <bottom/>
      <diagonal/>
    </border>
    <border>
      <left/>
      <right/>
      <top style="medium"/>
      <bottom/>
      <diagonal/>
    </border>
    <border>
      <left/>
      <right style="medium"/>
      <top/>
      <bottom/>
      <diagonal/>
    </border>
    <border>
      <left style="medium"/>
      <right/>
      <top/>
      <bottom style="thin"/>
      <diagonal/>
    </border>
    <border>
      <left/>
      <right/>
      <top/>
      <bottom style="thin"/>
      <diagonal/>
    </border>
    <border>
      <left style="medium"/>
      <right style="thin"/>
      <top style="thin"/>
      <bottom style="thin"/>
      <diagonal/>
    </border>
    <border>
      <left style="thin"/>
      <right style="thin"/>
      <top style="thin"/>
      <bottom style="thin"/>
      <diagonal/>
    </border>
    <border>
      <left style="medium"/>
      <right style="thin"/>
      <top style="thin"/>
      <bottom style="medium"/>
      <diagonal/>
    </border>
    <border>
      <left style="thin"/>
      <right style="thin"/>
      <top style="thin"/>
      <bottom style="medium"/>
      <diagonal/>
    </border>
    <border>
      <left style="medium"/>
      <right/>
      <top style="medium"/>
      <bottom style="thin"/>
      <diagonal/>
    </border>
    <border>
      <left/>
      <right/>
      <top style="medium"/>
      <bottom style="thin"/>
      <diagonal/>
    </border>
    <border>
      <left style="thin"/>
      <right style="thin"/>
      <top style="medium"/>
      <bottom style="thin"/>
      <diagonal/>
    </border>
    <border>
      <left/>
      <right style="medium"/>
      <top style="medium"/>
      <bottom style="thin"/>
      <diagonal/>
    </border>
    <border>
      <left/>
      <right style="medium"/>
      <top style="thin"/>
      <bottom style="medium"/>
      <diagonal/>
    </border>
    <border>
      <left style="thin"/>
      <right/>
      <top style="thin"/>
      <bottom/>
      <diagonal/>
    </border>
    <border>
      <left/>
      <right/>
      <top style="thin"/>
      <bottom/>
      <diagonal/>
    </border>
    <border>
      <left/>
      <right style="thin"/>
      <top style="thin"/>
      <bottom/>
      <diagonal/>
    </border>
    <border>
      <left style="thin"/>
      <right/>
      <top/>
      <bottom style="thin"/>
      <diagonal/>
    </border>
    <border>
      <left/>
      <right style="thin"/>
      <top/>
      <bottom style="thin"/>
      <diagonal/>
    </border>
    <border>
      <left style="medium"/>
      <right style="medium"/>
      <top style="medium"/>
      <bottom/>
      <diagonal/>
    </border>
    <border>
      <left style="medium"/>
      <right style="thin"/>
      <top style="medium"/>
      <bottom/>
      <diagonal/>
    </border>
    <border>
      <left style="thin"/>
      <right style="thin"/>
      <top style="medium"/>
      <bottom/>
      <diagonal/>
    </border>
    <border>
      <left style="thin"/>
      <right style="medium"/>
      <top style="medium"/>
      <bottom/>
      <diagonal/>
    </border>
    <border>
      <left style="medium"/>
      <right style="medium"/>
      <top/>
      <bottom style="thin"/>
      <diagonal/>
    </border>
    <border>
      <left style="medium"/>
      <right style="thin"/>
      <top/>
      <bottom style="thin"/>
      <diagonal/>
    </border>
    <border>
      <left style="thin"/>
      <right/>
      <top style="thin"/>
      <bottom style="thin"/>
      <diagonal/>
    </border>
    <border>
      <left style="medium"/>
      <right style="thin"/>
      <top style="thin"/>
      <bottom/>
      <diagonal/>
    </border>
    <border>
      <left style="medium"/>
      <right style="thin"/>
      <top style="medium"/>
      <bottom style="medium"/>
      <diagonal/>
    </border>
    <border>
      <left style="thin"/>
      <right/>
      <top style="medium"/>
      <bottom style="medium"/>
      <diagonal/>
    </border>
    <border>
      <left style="thin"/>
      <right style="medium"/>
      <top style="medium"/>
      <bottom style="thin"/>
      <diagonal/>
    </border>
    <border>
      <left style="thin"/>
      <right style="medium"/>
      <top style="thin"/>
      <bottom style="thin"/>
      <diagonal/>
    </border>
    <border>
      <left style="medium"/>
      <right style="thin"/>
      <top/>
      <bottom style="medium"/>
      <diagonal/>
    </border>
    <border>
      <left style="thin"/>
      <right style="medium"/>
      <top style="thin"/>
      <bottom style="medium"/>
      <diagonal/>
    </border>
    <border>
      <left style="thin"/>
      <right style="medium"/>
      <top style="medium"/>
      <bottom style="medium"/>
      <diagonal/>
    </border>
    <border>
      <left style="medium"/>
      <right/>
      <top style="thin"/>
      <bottom style="medium"/>
      <diagonal/>
    </border>
    <border>
      <left/>
      <right/>
      <top/>
      <bottom style="medium"/>
      <diagonal/>
    </border>
    <border>
      <left/>
      <right/>
      <top style="thin"/>
      <bottom style="thin"/>
      <diagonal/>
    </border>
    <border>
      <left style="medium"/>
      <right style="medium"/>
      <top/>
      <bottom/>
      <diagonal/>
    </border>
    <border>
      <left style="medium"/>
      <right style="medium"/>
      <top style="thin"/>
      <bottom/>
      <diagonal/>
    </border>
    <border>
      <left style="medium"/>
      <right style="thin"/>
      <top/>
      <bottom/>
      <diagonal/>
    </border>
    <border>
      <left style="medium"/>
      <right style="medium"/>
      <top style="thin">
        <color rgb="FFFFFFFF"/>
      </top>
      <bottom/>
      <diagonal/>
    </border>
    <border>
      <left style="thin"/>
      <right style="medium"/>
      <top/>
      <bottom/>
      <diagonal/>
    </border>
    <border>
      <left style="thin"/>
      <right style="medium"/>
      <top style="thin"/>
      <bottom/>
      <diagonal/>
    </border>
    <border>
      <left style="thin"/>
      <right/>
      <top/>
      <bottom style="medium"/>
      <diagonal/>
    </border>
  </borders>
  <cellStyleXfs count="8">
    <xf numFmtId="0" fontId="3" fillId="0" borderId="0" applyAlignment="1">
      <alignment horizontal="general" vertical="bottom"/>
    </xf>
    <xf numFmtId="173" fontId="3" fillId="0" borderId="0" applyAlignment="1">
      <alignment horizontal="general" vertical="bottom"/>
    </xf>
    <xf numFmtId="41" fontId="3" fillId="0" borderId="0"/>
    <xf numFmtId="178" fontId="3" fillId="0" borderId="0" applyAlignment="1">
      <alignment horizontal="general" vertical="bottom"/>
    </xf>
    <xf numFmtId="42" fontId="3" fillId="0" borderId="0"/>
    <xf numFmtId="9" fontId="3" fillId="0" borderId="0" applyAlignment="1">
      <alignment horizontal="general" vertical="bottom"/>
    </xf>
    <xf numFmtId="0" fontId="3" fillId="0" borderId="0" applyAlignment="1">
      <alignment horizontal="general" vertical="bottom"/>
    </xf>
    <xf numFmtId="0" fontId="3" fillId="0" borderId="0" applyAlignment="1">
      <alignment horizontal="general" vertical="bottom"/>
    </xf>
  </cellStyleXfs>
  <cellXfs count="711">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21">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3" fontId="6" fillId="0" borderId="0" applyAlignment="1" pivotButton="0" quotePrefix="0" xfId="0">
      <alignment horizontal="general" vertical="bottom"/>
    </xf>
    <xf numFmtId="3" fontId="7" fillId="0" borderId="0" applyAlignment="1" pivotButton="0" quotePrefix="0" xfId="0">
      <alignment horizontal="general" vertical="bottom"/>
    </xf>
    <xf numFmtId="0" fontId="4" fillId="0" borderId="0" applyAlignment="1" pivotButton="0" quotePrefix="0" xfId="0">
      <alignment horizontal="general" vertical="bottom"/>
    </xf>
    <xf numFmtId="3" fontId="7" fillId="0" borderId="0" applyAlignment="1" pivotButton="0" quotePrefix="0" xfId="0">
      <alignment horizontal="center" vertical="bottom"/>
    </xf>
    <xf numFmtId="3" fontId="8" fillId="0" borderId="0" applyAlignment="1" pivotButton="0" quotePrefix="0" xfId="0">
      <alignment horizontal="left" vertical="bottom"/>
    </xf>
    <xf numFmtId="1" fontId="7" fillId="2" borderId="4" applyAlignment="1" pivotButton="0" quotePrefix="0" xfId="0">
      <alignment horizontal="center" vertical="bottom"/>
    </xf>
    <xf numFmtId="1" fontId="7" fillId="2" borderId="5" applyAlignment="1" pivotButton="0" quotePrefix="0" xfId="0">
      <alignment horizontal="left" vertical="bottom"/>
    </xf>
    <xf numFmtId="1" fontId="7" fillId="2" borderId="6" applyAlignment="1" pivotButton="0" quotePrefix="0" xfId="0">
      <alignment horizontal="center" vertical="bottom" wrapText="1"/>
    </xf>
    <xf numFmtId="1" fontId="7" fillId="2" borderId="6" applyAlignment="1" pivotButton="0" quotePrefix="0" xfId="0">
      <alignment horizontal="center" vertical="bottom"/>
    </xf>
    <xf numFmtId="1" fontId="7" fillId="2" borderId="7" applyAlignment="1" pivotButton="0" quotePrefix="0" xfId="0">
      <alignment horizontal="center" vertical="bottom"/>
    </xf>
    <xf numFmtId="1" fontId="7" fillId="0" borderId="4" applyAlignment="1" pivotButton="0" quotePrefix="0" xfId="0">
      <alignment horizontal="general" vertical="bottom"/>
    </xf>
    <xf numFmtId="1" fontId="7" fillId="0" borderId="5" applyAlignment="1" pivotButton="0" quotePrefix="0" xfId="0">
      <alignment horizontal="general" vertical="bottom"/>
    </xf>
    <xf numFmtId="3" fontId="7" fillId="3" borderId="8" applyAlignment="1" pivotButton="0" quotePrefix="0" xfId="0">
      <alignment horizontal="general" vertical="bottom"/>
    </xf>
    <xf numFmtId="3" fontId="7" fillId="3" borderId="9" applyAlignment="1" pivotButton="0" quotePrefix="0" xfId="0">
      <alignment horizontal="general" vertical="bottom"/>
    </xf>
    <xf numFmtId="1" fontId="7" fillId="0" borderId="10" applyAlignment="1" pivotButton="0" quotePrefix="0" xfId="0">
      <alignment horizontal="general" vertical="bottom"/>
    </xf>
    <xf numFmtId="0" fontId="9" fillId="0" borderId="11" applyAlignment="1" pivotButton="0" quotePrefix="0" xfId="0">
      <alignment horizontal="general" vertical="bottom"/>
    </xf>
    <xf numFmtId="3" fontId="7" fillId="3" borderId="8" applyAlignment="1" pivotButton="0" quotePrefix="0" xfId="17">
      <alignment horizontal="general" vertical="bottom"/>
    </xf>
    <xf numFmtId="3" fontId="7" fillId="3" borderId="9" applyAlignment="1" pivotButton="0" quotePrefix="0" xfId="17">
      <alignment horizontal="general" vertical="bottom"/>
    </xf>
    <xf numFmtId="3" fontId="7" fillId="0" borderId="11" applyAlignment="1" pivotButton="0" quotePrefix="0" xfId="0">
      <alignment horizontal="general" vertical="bottom"/>
    </xf>
    <xf numFmtId="1" fontId="6" fillId="0" borderId="12" applyAlignment="1" pivotButton="0" quotePrefix="0" xfId="0">
      <alignment horizontal="general" vertical="bottom"/>
    </xf>
    <xf numFmtId="1" fontId="6" fillId="0" borderId="13" applyAlignment="1" pivotButton="0" quotePrefix="0" xfId="0">
      <alignment horizontal="general" vertical="bottom"/>
    </xf>
    <xf numFmtId="3" fontId="7" fillId="3" borderId="14" applyAlignment="1" pivotButton="0" quotePrefix="0" xfId="0">
      <alignment horizontal="general" vertical="bottom"/>
    </xf>
    <xf numFmtId="3" fontId="7" fillId="3" borderId="15" applyAlignment="1" pivotButton="0" quotePrefix="0" xfId="0">
      <alignment horizontal="general" vertical="bottom"/>
    </xf>
    <xf numFmtId="1" fontId="7" fillId="0" borderId="12" applyAlignment="1" pivotButton="0" quotePrefix="0" xfId="0">
      <alignment horizontal="general" vertical="bottom"/>
    </xf>
    <xf numFmtId="1" fontId="7" fillId="0" borderId="16" applyAlignment="1" pivotButton="0" quotePrefix="0" xfId="0">
      <alignment horizontal="general" vertical="bottom"/>
    </xf>
    <xf numFmtId="3" fontId="7" fillId="0" borderId="16" applyAlignment="1" pivotButton="0" quotePrefix="0" xfId="0">
      <alignment horizontal="general" vertical="bottom"/>
    </xf>
    <xf numFmtId="3" fontId="7" fillId="0" borderId="17" applyAlignment="1" pivotButton="0" quotePrefix="0" xfId="0">
      <alignment horizontal="general" vertical="bottom"/>
    </xf>
    <xf numFmtId="1" fontId="7" fillId="2" borderId="4" applyAlignment="1" pivotButton="0" quotePrefix="0" xfId="0">
      <alignment horizontal="left" vertical="top"/>
    </xf>
    <xf numFmtId="3" fontId="6" fillId="0" borderId="18" applyAlignment="1" pivotButton="0" quotePrefix="0" xfId="0">
      <alignment horizontal="general" vertical="bottom"/>
    </xf>
    <xf numFmtId="3" fontId="6" fillId="0" borderId="0" applyAlignment="1" pivotButton="0" quotePrefix="0" xfId="0">
      <alignment horizontal="general" vertical="bottom"/>
    </xf>
    <xf numFmtId="3" fontId="7" fillId="0" borderId="0" applyAlignment="1" pivotButton="0" quotePrefix="0" xfId="0">
      <alignment horizontal="general" vertical="bottom"/>
    </xf>
    <xf numFmtId="3" fontId="8" fillId="0" borderId="19" applyAlignment="1" pivotButton="0" quotePrefix="0" xfId="0">
      <alignment horizontal="general" vertical="bottom"/>
    </xf>
    <xf numFmtId="3" fontId="8" fillId="0" borderId="20" applyAlignment="1" pivotButton="0" quotePrefix="0" xfId="0">
      <alignment horizontal="general" vertical="bottom"/>
    </xf>
    <xf numFmtId="3" fontId="8" fillId="0" borderId="21" applyAlignment="1" pivotButton="0" quotePrefix="0" xfId="0">
      <alignment horizontal="general" vertical="bottom"/>
    </xf>
    <xf numFmtId="3" fontId="10" fillId="0" borderId="0" applyAlignment="1" pivotButton="0" quotePrefix="0" xfId="0">
      <alignment horizontal="general" vertical="bottom"/>
    </xf>
    <xf numFmtId="3" fontId="11" fillId="0" borderId="0" applyAlignment="1" pivotButton="0" quotePrefix="0" xfId="0">
      <alignment horizontal="general" vertical="bottom"/>
    </xf>
    <xf numFmtId="3" fontId="12" fillId="0" borderId="0" applyAlignment="1" pivotButton="0" quotePrefix="0" xfId="0">
      <alignment horizontal="general" vertical="bottom"/>
    </xf>
    <xf numFmtId="3" fontId="12" fillId="4" borderId="22" applyAlignment="1" pivotButton="0" quotePrefix="0" xfId="0">
      <alignment horizontal="general" vertical="bottom"/>
    </xf>
    <xf numFmtId="3" fontId="12" fillId="4" borderId="23" applyAlignment="1" pivotButton="0" quotePrefix="0" xfId="0">
      <alignment horizontal="general" vertical="bottom"/>
    </xf>
    <xf numFmtId="3" fontId="12" fillId="4" borderId="24" applyAlignment="1" pivotButton="0" quotePrefix="0" xfId="0">
      <alignment horizontal="general" vertical="bottom"/>
    </xf>
    <xf numFmtId="165" fontId="12" fillId="0" borderId="0" applyAlignment="1" pivotButton="0" quotePrefix="0" xfId="19">
      <alignment horizontal="general" vertical="bottom"/>
    </xf>
    <xf numFmtId="3" fontId="13" fillId="4" borderId="22" applyAlignment="1" pivotButton="0" quotePrefix="0" xfId="0">
      <alignment horizontal="general" vertical="bottom"/>
    </xf>
    <xf numFmtId="3" fontId="13" fillId="4" borderId="23" applyAlignment="1" pivotButton="0" quotePrefix="0" xfId="0">
      <alignment horizontal="general" vertical="bottom"/>
    </xf>
    <xf numFmtId="3" fontId="13" fillId="4" borderId="24" applyAlignment="1" pivotButton="0" quotePrefix="0" xfId="0">
      <alignment horizontal="general" vertical="bottom"/>
    </xf>
    <xf numFmtId="3" fontId="14" fillId="0" borderId="0" applyAlignment="1" pivotButton="0" quotePrefix="0" xfId="0">
      <alignment horizontal="general" vertical="bottom"/>
    </xf>
    <xf numFmtId="3" fontId="13" fillId="4" borderId="0" applyAlignment="1" pivotButton="0" quotePrefix="0" xfId="0">
      <alignment horizontal="general" vertical="bottom"/>
    </xf>
    <xf numFmtId="0" fontId="6" fillId="0" borderId="0" applyAlignment="1" pivotButton="0" quotePrefix="0" xfId="0">
      <alignment horizontal="general" vertical="bottom"/>
    </xf>
    <xf numFmtId="0" fontId="15" fillId="0" borderId="25" applyAlignment="1" pivotButton="0" quotePrefix="0" xfId="0">
      <alignment horizontal="general" vertical="bottom"/>
    </xf>
    <xf numFmtId="0" fontId="16" fillId="0" borderId="26" applyAlignment="1" pivotButton="0" quotePrefix="0" xfId="0">
      <alignment horizontal="general" vertical="bottom"/>
    </xf>
    <xf numFmtId="3" fontId="15" fillId="0" borderId="26" applyAlignment="1" pivotButton="0" quotePrefix="0" xfId="0">
      <alignment horizontal="general" vertical="bottom"/>
    </xf>
    <xf numFmtId="0" fontId="17" fillId="5" borderId="21" applyAlignment="1" pivotButton="0" quotePrefix="0" xfId="0">
      <alignment horizontal="center" vertical="top" wrapText="1"/>
    </xf>
    <xf numFmtId="0" fontId="9" fillId="0" borderId="27" applyAlignment="1" pivotButton="0" quotePrefix="0" xfId="0">
      <alignment horizontal="general" vertical="bottom"/>
    </xf>
    <xf numFmtId="3" fontId="9" fillId="0" borderId="28" applyAlignment="1" pivotButton="0" quotePrefix="0" xfId="0">
      <alignment horizontal="center" vertical="bottom" wrapText="1"/>
    </xf>
    <xf numFmtId="3" fontId="9" fillId="0" borderId="29" applyAlignment="1" pivotButton="0" quotePrefix="0" xfId="0">
      <alignment horizontal="center" vertical="bottom" wrapText="1"/>
    </xf>
    <xf numFmtId="0" fontId="18" fillId="6" borderId="5" applyAlignment="1" pivotButton="0" quotePrefix="0" xfId="0">
      <alignment horizontal="general" vertical="bottom"/>
    </xf>
    <xf numFmtId="3" fontId="19" fillId="6" borderId="30" applyAlignment="1" pivotButton="0" quotePrefix="0" xfId="0">
      <alignment horizontal="general" vertical="bottom"/>
    </xf>
    <xf numFmtId="3" fontId="19" fillId="6" borderId="2" applyAlignment="1" pivotButton="0" quotePrefix="0" xfId="0">
      <alignment horizontal="general" vertical="bottom"/>
    </xf>
    <xf numFmtId="0" fontId="20" fillId="0" borderId="11" applyAlignment="1" pivotButton="0" quotePrefix="0" xfId="0">
      <alignment horizontal="general" vertical="bottom"/>
    </xf>
    <xf numFmtId="3" fontId="19" fillId="3" borderId="31" applyAlignment="1" pivotButton="0" quotePrefix="0" xfId="0">
      <alignment horizontal="general" vertical="bottom"/>
    </xf>
    <xf numFmtId="0" fontId="20" fillId="0" borderId="32" applyAlignment="1" pivotButton="0" quotePrefix="0" xfId="0">
      <alignment horizontal="general" vertical="bottom"/>
    </xf>
    <xf numFmtId="0" fontId="17" fillId="0" borderId="27" applyAlignment="1" pivotButton="0" quotePrefix="0" xfId="0">
      <alignment horizontal="general" vertical="bottom"/>
    </xf>
    <xf numFmtId="3" fontId="17" fillId="0" borderId="28" applyAlignment="1" pivotButton="0" quotePrefix="0" xfId="0">
      <alignment horizontal="general" vertical="bottom"/>
    </xf>
    <xf numFmtId="0" fontId="21" fillId="6" borderId="5" applyAlignment="1" pivotButton="0" quotePrefix="0" xfId="0">
      <alignment horizontal="general" vertical="bottom"/>
    </xf>
    <xf numFmtId="3" fontId="19" fillId="6" borderId="4" applyAlignment="1" pivotButton="0" quotePrefix="0" xfId="0">
      <alignment horizontal="general" vertical="bottom"/>
    </xf>
    <xf numFmtId="3" fontId="19" fillId="6" borderId="33" applyAlignment="1" pivotButton="0" quotePrefix="0" xfId="0">
      <alignment horizontal="general" vertical="bottom"/>
    </xf>
    <xf numFmtId="0" fontId="22" fillId="0" borderId="34" applyAlignment="1" pivotButton="0" quotePrefix="0" xfId="0">
      <alignment horizontal="general" vertical="bottom"/>
    </xf>
    <xf numFmtId="3" fontId="23" fillId="3" borderId="35" applyAlignment="1" pivotButton="0" quotePrefix="0" xfId="0">
      <alignment horizontal="general" vertical="bottom"/>
    </xf>
    <xf numFmtId="3" fontId="23" fillId="3" borderId="36" applyAlignment="1" pivotButton="0" quotePrefix="0" xfId="0">
      <alignment horizontal="general" vertical="bottom"/>
    </xf>
    <xf numFmtId="0" fontId="9" fillId="0" borderId="34" applyAlignment="1" pivotButton="0" quotePrefix="0" xfId="0">
      <alignment horizontal="general" vertical="bottom"/>
    </xf>
    <xf numFmtId="3" fontId="19" fillId="3" borderId="37" applyAlignment="1" pivotButton="0" quotePrefix="0" xfId="0">
      <alignment horizontal="general" vertical="bottom"/>
    </xf>
    <xf numFmtId="3" fontId="19" fillId="3" borderId="38" applyAlignment="1" pivotButton="0" quotePrefix="0" xfId="0">
      <alignment horizontal="general" vertical="bottom"/>
    </xf>
    <xf numFmtId="3" fontId="19" fillId="3" borderId="39" applyAlignment="1" pivotButton="0" quotePrefix="0" xfId="0">
      <alignment horizontal="general" vertical="bottom"/>
    </xf>
    <xf numFmtId="3" fontId="19" fillId="3" borderId="40" applyAlignment="1" pivotButton="0" quotePrefix="0" xfId="0">
      <alignment horizontal="general" vertical="bottom"/>
    </xf>
    <xf numFmtId="0" fontId="20" fillId="0" borderId="27" applyAlignment="1" pivotButton="0" quotePrefix="0" xfId="0">
      <alignment horizontal="general" vertical="bottom"/>
    </xf>
    <xf numFmtId="3" fontId="24" fillId="5" borderId="28" applyAlignment="1" pivotButton="0" quotePrefix="0" xfId="0">
      <alignment horizontal="general" vertical="bottom"/>
    </xf>
    <xf numFmtId="0" fontId="22" fillId="0" borderId="32" applyAlignment="1" pivotButton="0" quotePrefix="0" xfId="0">
      <alignment horizontal="general" vertical="bottom"/>
    </xf>
    <xf numFmtId="3" fontId="23" fillId="3" borderId="41" applyAlignment="1" pivotButton="0" quotePrefix="0" xfId="0">
      <alignment horizontal="general" vertical="bottom"/>
    </xf>
    <xf numFmtId="3" fontId="23" fillId="3" borderId="42" applyAlignment="1" pivotButton="0" quotePrefix="0" xfId="0">
      <alignment horizontal="general" vertical="bottom"/>
    </xf>
    <xf numFmtId="0" fontId="25" fillId="0" borderId="0" applyAlignment="1" pivotButton="0" quotePrefix="0" xfId="0">
      <alignment horizontal="general" vertical="bottom"/>
    </xf>
    <xf numFmtId="3" fontId="22" fillId="0" borderId="0" applyAlignment="1" pivotButton="0" quotePrefix="0" xfId="0">
      <alignment horizontal="general" vertical="bottom"/>
    </xf>
    <xf numFmtId="0" fontId="20" fillId="0" borderId="0" applyAlignment="1" pivotButton="0" quotePrefix="0" xfId="0">
      <alignment horizontal="general" vertical="bottom"/>
    </xf>
    <xf numFmtId="1" fontId="6" fillId="0" borderId="0" applyAlignment="1" pivotButton="0" quotePrefix="0" xfId="0">
      <alignment horizontal="general" vertical="bottom"/>
    </xf>
    <xf numFmtId="0" fontId="26" fillId="0" borderId="0" applyAlignment="1" pivotButton="0" quotePrefix="0" xfId="0">
      <alignment horizontal="general" vertical="bottom"/>
    </xf>
    <xf numFmtId="1" fontId="7" fillId="0" borderId="0" applyAlignment="1" pivotButton="0" quotePrefix="0" xfId="0">
      <alignment horizontal="general" vertical="bottom"/>
    </xf>
    <xf numFmtId="1" fontId="6" fillId="0" borderId="0" applyAlignment="1" pivotButton="0" quotePrefix="0" xfId="0">
      <alignment horizontal="general" vertical="bottom"/>
    </xf>
    <xf numFmtId="1" fontId="6" fillId="0" borderId="0" applyAlignment="1" pivotButton="0" quotePrefix="0" xfId="0">
      <alignment horizontal="general" vertical="bottom"/>
    </xf>
    <xf numFmtId="1" fontId="6" fillId="2" borderId="4" applyAlignment="1" pivotButton="0" quotePrefix="0" xfId="0">
      <alignment horizontal="center" vertical="bottom"/>
    </xf>
    <xf numFmtId="1" fontId="7" fillId="2" borderId="33" applyAlignment="1" pivotButton="0" quotePrefix="0" xfId="0">
      <alignment horizontal="center" vertical="bottom"/>
    </xf>
    <xf numFmtId="1" fontId="7" fillId="2" borderId="5" applyAlignment="1" pivotButton="0" quotePrefix="0" xfId="0">
      <alignment horizontal="center" vertical="bottom"/>
    </xf>
    <xf numFmtId="1" fontId="6" fillId="0" borderId="5" applyAlignment="1" pivotButton="0" quotePrefix="0" xfId="0">
      <alignment horizontal="general" vertical="bottom"/>
    </xf>
    <xf numFmtId="3" fontId="6" fillId="7" borderId="43" applyAlignment="1" pivotButton="0" quotePrefix="0" xfId="0">
      <alignment horizontal="general" vertical="bottom"/>
    </xf>
    <xf numFmtId="3" fontId="6" fillId="0" borderId="44" applyAlignment="1" pivotButton="0" quotePrefix="0" xfId="0">
      <alignment horizontal="general" vertical="bottom"/>
    </xf>
    <xf numFmtId="3" fontId="6" fillId="7" borderId="38" applyAlignment="1" pivotButton="0" quotePrefix="0" xfId="17">
      <alignment horizontal="general" vertical="bottom"/>
    </xf>
    <xf numFmtId="3" fontId="6" fillId="0" borderId="11" applyAlignment="1" pivotButton="0" quotePrefix="0" xfId="0">
      <alignment horizontal="general" vertical="bottom"/>
    </xf>
    <xf numFmtId="1" fontId="6" fillId="0" borderId="18" applyAlignment="1" pivotButton="0" quotePrefix="0" xfId="0">
      <alignment horizontal="general" vertical="bottom"/>
    </xf>
    <xf numFmtId="1" fontId="6" fillId="0" borderId="34" applyAlignment="1" pivotButton="0" quotePrefix="0" xfId="0">
      <alignment horizontal="general" vertical="bottom"/>
    </xf>
    <xf numFmtId="3" fontId="6" fillId="0" borderId="45" applyAlignment="1" pivotButton="0" quotePrefix="0" xfId="0">
      <alignment horizontal="general" vertical="bottom"/>
    </xf>
    <xf numFmtId="1" fontId="7" fillId="0" borderId="21" applyAlignment="1" pivotButton="0" quotePrefix="0" xfId="0">
      <alignment horizontal="general" vertical="bottom"/>
    </xf>
    <xf numFmtId="1" fontId="6" fillId="0" borderId="21" applyAlignment="1" pivotButton="0" quotePrefix="0" xfId="0">
      <alignment horizontal="general" vertical="bottom"/>
    </xf>
    <xf numFmtId="3" fontId="7" fillId="0" borderId="29" applyAlignment="1" pivotButton="0" quotePrefix="0" xfId="0">
      <alignment horizontal="general" vertical="bottom"/>
    </xf>
    <xf numFmtId="3" fontId="7" fillId="0" borderId="29" applyAlignment="1" pivotButton="0" quotePrefix="0" xfId="17">
      <alignment horizontal="general" vertical="bottom"/>
    </xf>
    <xf numFmtId="3" fontId="7" fillId="0" borderId="27" applyAlignment="1" pivotButton="0" quotePrefix="0" xfId="17">
      <alignment horizontal="general" vertical="bottom"/>
    </xf>
    <xf numFmtId="1" fontId="12" fillId="0" borderId="0" applyAlignment="1" pivotButton="0" quotePrefix="0" xfId="0">
      <alignment horizontal="center" vertical="bottom"/>
    </xf>
    <xf numFmtId="1" fontId="12" fillId="0" borderId="0" applyAlignment="1" pivotButton="0" quotePrefix="0" xfId="0">
      <alignment horizontal="general" vertical="bottom"/>
    </xf>
    <xf numFmtId="0" fontId="27" fillId="0" borderId="46" applyAlignment="1" pivotButton="0" quotePrefix="0" xfId="0">
      <alignment horizontal="general" vertical="bottom"/>
    </xf>
    <xf numFmtId="3" fontId="27" fillId="0" borderId="47" applyAlignment="1" pivotButton="0" quotePrefix="0" xfId="17">
      <alignment horizontal="general" vertical="bottom"/>
    </xf>
    <xf numFmtId="3" fontId="27" fillId="0" borderId="48" applyAlignment="1" pivotButton="0" quotePrefix="0" xfId="0">
      <alignment horizontal="general" vertical="bottom"/>
    </xf>
    <xf numFmtId="1" fontId="11" fillId="0" borderId="0" applyAlignment="1" pivotButton="0" quotePrefix="0" xfId="0">
      <alignment horizontal="general" vertical="bottom"/>
    </xf>
    <xf numFmtId="1" fontId="12" fillId="8" borderId="25" applyAlignment="1" pivotButton="0" quotePrefix="0" xfId="0">
      <alignment horizontal="general" vertical="bottom"/>
    </xf>
    <xf numFmtId="166" fontId="12" fillId="8" borderId="0" applyAlignment="1" pivotButton="0" quotePrefix="0" xfId="15">
      <alignment horizontal="general" vertical="bottom"/>
    </xf>
    <xf numFmtId="166" fontId="12" fillId="8" borderId="30" applyAlignment="1" pivotButton="0" quotePrefix="0" xfId="15">
      <alignment horizontal="general" vertical="bottom"/>
    </xf>
    <xf numFmtId="1" fontId="11" fillId="0" borderId="25" applyAlignment="1" pivotButton="0" quotePrefix="0" xfId="0">
      <alignment horizontal="general" vertical="bottom"/>
    </xf>
    <xf numFmtId="166" fontId="11" fillId="0" borderId="0" applyAlignment="1" pivotButton="0" quotePrefix="0" xfId="15">
      <alignment horizontal="general" vertical="bottom"/>
    </xf>
    <xf numFmtId="166" fontId="11" fillId="0" borderId="30" applyAlignment="1" pivotButton="0" quotePrefix="0" xfId="15">
      <alignment horizontal="general" vertical="bottom"/>
    </xf>
    <xf numFmtId="1" fontId="11" fillId="0" borderId="49" applyAlignment="1" pivotButton="0" quotePrefix="0" xfId="0">
      <alignment horizontal="general" vertical="bottom"/>
    </xf>
    <xf numFmtId="166" fontId="11" fillId="0" borderId="36" applyAlignment="1" pivotButton="0" quotePrefix="0" xfId="15">
      <alignment horizontal="general" vertical="bottom"/>
    </xf>
    <xf numFmtId="166" fontId="11" fillId="0" borderId="50" applyAlignment="1" pivotButton="0" quotePrefix="0" xfId="15">
      <alignment horizontal="general" vertical="bottom"/>
    </xf>
    <xf numFmtId="0" fontId="11" fillId="0" borderId="0" applyAlignment="1" pivotButton="0" quotePrefix="0" xfId="0">
      <alignment horizontal="general" vertical="bottom"/>
    </xf>
    <xf numFmtId="0" fontId="28" fillId="8" borderId="0" applyAlignment="1" pivotButton="0" quotePrefix="0" xfId="0">
      <alignment horizontal="general" vertical="bottom"/>
    </xf>
    <xf numFmtId="167" fontId="28" fillId="8" borderId="0" applyAlignment="1" pivotButton="0" quotePrefix="0" xfId="0">
      <alignment horizontal="general" vertical="bottom"/>
    </xf>
    <xf numFmtId="167" fontId="11" fillId="0" borderId="0" applyAlignment="1" pivotButton="0" quotePrefix="0" xfId="0">
      <alignment horizontal="general" vertical="bottom"/>
    </xf>
    <xf numFmtId="0" fontId="11" fillId="0" borderId="0" applyAlignment="1" pivotButton="0" quotePrefix="0" xfId="0">
      <alignment horizontal="center" vertical="bottom"/>
    </xf>
    <xf numFmtId="168" fontId="11" fillId="0" borderId="0" applyAlignment="1" pivotButton="0" quotePrefix="0" xfId="0">
      <alignment horizontal="general" vertical="bottom"/>
    </xf>
    <xf numFmtId="169" fontId="11" fillId="0" borderId="0" applyAlignment="1" pivotButton="0" quotePrefix="0" xfId="0">
      <alignment horizontal="general" vertical="bottom"/>
    </xf>
    <xf numFmtId="167" fontId="11" fillId="0" borderId="0" applyAlignment="1" pivotButton="0" quotePrefix="0" xfId="0">
      <alignment horizontal="general" vertical="center" wrapText="1"/>
    </xf>
    <xf numFmtId="170" fontId="11" fillId="0" borderId="0" applyAlignment="1" pivotButton="0" quotePrefix="0" xfId="0">
      <alignment horizontal="general" vertical="bottom"/>
    </xf>
    <xf numFmtId="0" fontId="12" fillId="0" borderId="0" applyAlignment="1" pivotButton="0" quotePrefix="0" xfId="0">
      <alignment horizontal="general" vertical="bottom"/>
    </xf>
    <xf numFmtId="166" fontId="12" fillId="0" borderId="0" applyAlignment="1" pivotButton="0" quotePrefix="0" xfId="15">
      <alignment horizontal="general" vertical="bottom"/>
    </xf>
    <xf numFmtId="167" fontId="12" fillId="0" borderId="0" applyAlignment="1" pivotButton="0" quotePrefix="0" xfId="0">
      <alignment horizontal="general" vertical="bottom"/>
    </xf>
    <xf numFmtId="167" fontId="12" fillId="0" borderId="0" applyAlignment="1" pivotButton="0" quotePrefix="0" xfId="0">
      <alignment horizontal="general" vertical="center" wrapText="1"/>
    </xf>
    <xf numFmtId="1" fontId="11" fillId="0" borderId="0" applyAlignment="1" pivotButton="0" quotePrefix="0" xfId="0">
      <alignment horizontal="general" vertical="bottom"/>
    </xf>
    <xf numFmtId="1" fontId="12" fillId="0" borderId="0" applyAlignment="1" pivotButton="0" quotePrefix="0" xfId="0">
      <alignment horizontal="general" vertical="bottom"/>
    </xf>
    <xf numFmtId="0" fontId="12" fillId="0" borderId="0" applyAlignment="1" pivotButton="0" quotePrefix="0" xfId="0">
      <alignment horizontal="center" vertical="bottom"/>
    </xf>
    <xf numFmtId="166" fontId="11" fillId="0" borderId="0" applyAlignment="1" pivotButton="0" quotePrefix="0" xfId="15">
      <alignment horizontal="general" vertical="center" wrapText="1"/>
    </xf>
    <xf numFmtId="0" fontId="0" fillId="0" borderId="0" applyAlignment="1" pivotButton="0" quotePrefix="0" xfId="0">
      <alignment horizontal="center" vertical="bottom"/>
    </xf>
    <xf numFmtId="171" fontId="0" fillId="0" borderId="0" applyAlignment="1" pivotButton="0" quotePrefix="0" xfId="0">
      <alignment horizontal="general" vertical="bottom"/>
    </xf>
    <xf numFmtId="169" fontId="0" fillId="0" borderId="0" applyAlignment="1" pivotButton="0" quotePrefix="0" xfId="0">
      <alignment horizontal="general" vertical="bottom"/>
    </xf>
    <xf numFmtId="172" fontId="7" fillId="0" borderId="51" applyAlignment="1" pivotButton="0" quotePrefix="0" xfId="0">
      <alignment horizontal="center" vertical="bottom"/>
    </xf>
    <xf numFmtId="172" fontId="7" fillId="5" borderId="52" applyAlignment="1" pivotButton="0" quotePrefix="0" xfId="0">
      <alignment horizontal="center" vertical="bottom"/>
    </xf>
    <xf numFmtId="172" fontId="7" fillId="5" borderId="53" applyAlignment="1" pivotButton="0" quotePrefix="0" xfId="0">
      <alignment horizontal="center" vertical="bottom"/>
    </xf>
    <xf numFmtId="172" fontId="7" fillId="5" borderId="54" applyAlignment="1" pivotButton="0" quotePrefix="0" xfId="0">
      <alignment horizontal="center" vertical="bottom"/>
    </xf>
    <xf numFmtId="172" fontId="7" fillId="0" borderId="54" applyAlignment="1" pivotButton="0" quotePrefix="0" xfId="0">
      <alignment horizontal="center" vertical="bottom"/>
    </xf>
    <xf numFmtId="172" fontId="7" fillId="0" borderId="52" applyAlignment="1" pivotButton="0" quotePrefix="0" xfId="0">
      <alignment horizontal="center" vertical="bottom"/>
    </xf>
    <xf numFmtId="172" fontId="7" fillId="0" borderId="53" applyAlignment="1" pivotButton="0" quotePrefix="0" xfId="0">
      <alignment horizontal="center" vertical="bottom"/>
    </xf>
    <xf numFmtId="172" fontId="7" fillId="2" borderId="21" applyAlignment="1" pivotButton="0" quotePrefix="0" xfId="0">
      <alignment horizontal="center" vertical="bottom"/>
    </xf>
    <xf numFmtId="172" fontId="29" fillId="0" borderId="55" applyAlignment="1" pivotButton="0" quotePrefix="0" xfId="0">
      <alignment horizontal="left" vertical="bottom"/>
    </xf>
    <xf numFmtId="3" fontId="29" fillId="7" borderId="56" applyAlignment="1" pivotButton="0" quotePrefix="0" xfId="0">
      <alignment horizontal="left" vertical="bottom"/>
    </xf>
    <xf numFmtId="3" fontId="29" fillId="7" borderId="3" applyAlignment="1" pivotButton="0" quotePrefix="0" xfId="0">
      <alignment horizontal="right" vertical="bottom"/>
    </xf>
    <xf numFmtId="3" fontId="29" fillId="7" borderId="3" applyAlignment="1" pivotButton="0" quotePrefix="0" xfId="0">
      <alignment horizontal="left" vertical="bottom"/>
    </xf>
    <xf numFmtId="3" fontId="29" fillId="7" borderId="49" applyAlignment="1" pivotButton="0" quotePrefix="0" xfId="0">
      <alignment horizontal="left" vertical="bottom"/>
    </xf>
    <xf numFmtId="3" fontId="7" fillId="5" borderId="6" applyAlignment="1" pivotButton="0" quotePrefix="0" xfId="0">
      <alignment horizontal="general" vertical="bottom"/>
    </xf>
    <xf numFmtId="3" fontId="6" fillId="7" borderId="56" applyAlignment="1" pivotButton="0" quotePrefix="0" xfId="0">
      <alignment horizontal="general" vertical="bottom"/>
    </xf>
    <xf numFmtId="3" fontId="6" fillId="7" borderId="3" applyAlignment="1" pivotButton="0" quotePrefix="0" xfId="0">
      <alignment horizontal="general" vertical="bottom"/>
    </xf>
    <xf numFmtId="3" fontId="6" fillId="7" borderId="49" applyAlignment="1" pivotButton="0" quotePrefix="0" xfId="0">
      <alignment horizontal="general" vertical="bottom"/>
    </xf>
    <xf numFmtId="0" fontId="0" fillId="0" borderId="8" applyAlignment="1" pivotButton="0" quotePrefix="0" xfId="0">
      <alignment horizontal="general" vertical="bottom"/>
    </xf>
    <xf numFmtId="3" fontId="30" fillId="7" borderId="38" applyAlignment="1" pivotButton="0" quotePrefix="0" xfId="0">
      <alignment horizontal="right" vertical="bottom"/>
    </xf>
    <xf numFmtId="3" fontId="7" fillId="5" borderId="55" applyAlignment="1" pivotButton="0" quotePrefix="0" xfId="0">
      <alignment horizontal="general" vertical="bottom"/>
    </xf>
    <xf numFmtId="3" fontId="31" fillId="7" borderId="38" applyAlignment="1" pivotButton="0" quotePrefix="0" xfId="0">
      <alignment horizontal="general" vertical="bottom"/>
    </xf>
    <xf numFmtId="3" fontId="31" fillId="7" borderId="57" applyAlignment="1" pivotButton="0" quotePrefix="0" xfId="0">
      <alignment horizontal="general" vertical="bottom"/>
    </xf>
    <xf numFmtId="3" fontId="6" fillId="7" borderId="38" applyAlignment="1" pivotButton="0" quotePrefix="0" xfId="0">
      <alignment horizontal="general" vertical="bottom"/>
    </xf>
    <xf numFmtId="3" fontId="6" fillId="7" borderId="57" applyAlignment="1" pivotButton="0" quotePrefix="0" xfId="0">
      <alignment horizontal="general" vertical="bottom"/>
    </xf>
    <xf numFmtId="3" fontId="7" fillId="5" borderId="8" applyAlignment="1" pivotButton="0" quotePrefix="0" xfId="0">
      <alignment horizontal="general" vertical="bottom"/>
    </xf>
    <xf numFmtId="0" fontId="0" fillId="0" borderId="8" applyAlignment="1" pivotButton="0" quotePrefix="0" xfId="0">
      <alignment horizontal="left" vertical="bottom"/>
    </xf>
    <xf numFmtId="3" fontId="6" fillId="7" borderId="37" applyAlignment="1" pivotButton="0" quotePrefix="0" xfId="0">
      <alignment horizontal="general" vertical="bottom"/>
    </xf>
    <xf numFmtId="3" fontId="31" fillId="7" borderId="1" applyAlignment="1" pivotButton="0" quotePrefix="0" xfId="0">
      <alignment horizontal="general" vertical="bottom"/>
    </xf>
    <xf numFmtId="3" fontId="31" fillId="7" borderId="46" applyAlignment="1" pivotButton="0" quotePrefix="0" xfId="0">
      <alignment horizontal="general" vertical="bottom"/>
    </xf>
    <xf numFmtId="3" fontId="6" fillId="7" borderId="58" applyAlignment="1" pivotButton="0" quotePrefix="0" xfId="0">
      <alignment horizontal="general" vertical="bottom"/>
    </xf>
    <xf numFmtId="3" fontId="6" fillId="7" borderId="1" applyAlignment="1" pivotButton="0" quotePrefix="0" xfId="0">
      <alignment horizontal="general" vertical="bottom"/>
    </xf>
    <xf numFmtId="3" fontId="6" fillId="7" borderId="46" applyAlignment="1" pivotButton="0" quotePrefix="0" xfId="0">
      <alignment horizontal="general" vertical="bottom"/>
    </xf>
    <xf numFmtId="172" fontId="7" fillId="5" borderId="21" applyAlignment="1" pivotButton="0" quotePrefix="0" xfId="0">
      <alignment horizontal="general" vertical="bottom"/>
    </xf>
    <xf numFmtId="3" fontId="7" fillId="5" borderId="59" applyAlignment="1" pivotButton="0" quotePrefix="0" xfId="0">
      <alignment horizontal="general" vertical="bottom"/>
    </xf>
    <xf numFmtId="3" fontId="7" fillId="5" borderId="29" applyAlignment="1" pivotButton="0" quotePrefix="0" xfId="0">
      <alignment horizontal="general" vertical="bottom"/>
    </xf>
    <xf numFmtId="3" fontId="7" fillId="5" borderId="60" applyAlignment="1" pivotButton="0" quotePrefix="0" xfId="0">
      <alignment horizontal="general" vertical="bottom"/>
    </xf>
    <xf numFmtId="3" fontId="7" fillId="5" borderId="21" applyAlignment="1" pivotButton="0" quotePrefix="0" xfId="0">
      <alignment horizontal="general" vertical="bottom"/>
    </xf>
    <xf numFmtId="3" fontId="7" fillId="0" borderId="59" applyAlignment="1" pivotButton="0" quotePrefix="0" xfId="0">
      <alignment horizontal="general" vertical="bottom"/>
    </xf>
    <xf numFmtId="3" fontId="7" fillId="0" borderId="60" applyAlignment="1" pivotButton="0" quotePrefix="0" xfId="0">
      <alignment horizontal="general" vertical="bottom"/>
    </xf>
    <xf numFmtId="3" fontId="7" fillId="0" borderId="21" applyAlignment="1" pivotButton="0" quotePrefix="0" xfId="0">
      <alignment horizontal="general" vertical="bottom"/>
    </xf>
    <xf numFmtId="172" fontId="8" fillId="2" borderId="19" applyAlignment="1" pivotButton="0" quotePrefix="0" xfId="0">
      <alignment horizontal="general" vertical="bottom" wrapText="1"/>
    </xf>
    <xf numFmtId="3" fontId="8" fillId="5" borderId="29" applyAlignment="1" pivotButton="0" quotePrefix="0" xfId="0">
      <alignment horizontal="general" vertical="bottom"/>
    </xf>
    <xf numFmtId="3" fontId="8" fillId="5" borderId="60" applyAlignment="1" pivotButton="0" quotePrefix="0" xfId="0">
      <alignment horizontal="general" vertical="bottom"/>
    </xf>
    <xf numFmtId="3" fontId="8" fillId="5" borderId="21" applyAlignment="1" pivotButton="0" quotePrefix="0" xfId="0">
      <alignment horizontal="general" vertical="bottom"/>
    </xf>
    <xf numFmtId="3" fontId="8" fillId="5" borderId="28" applyAlignment="1" pivotButton="0" quotePrefix="0" xfId="0">
      <alignment horizontal="general" vertical="bottom"/>
    </xf>
    <xf numFmtId="172" fontId="7" fillId="0" borderId="0" applyAlignment="1" pivotButton="0" quotePrefix="0" xfId="0">
      <alignment horizontal="general" vertical="bottom"/>
    </xf>
    <xf numFmtId="0" fontId="32" fillId="0" borderId="0" applyAlignment="1" pivotButton="0" quotePrefix="0" xfId="0">
      <alignment horizontal="left" vertical="bottom"/>
    </xf>
    <xf numFmtId="0" fontId="0" fillId="0" borderId="0" applyAlignment="1" pivotButton="0" quotePrefix="0" xfId="0">
      <alignment horizontal="left" vertical="top" indent="1"/>
    </xf>
    <xf numFmtId="0" fontId="0" fillId="0" borderId="0" applyAlignment="1" pivotButton="0" quotePrefix="0" xfId="0">
      <alignment horizontal="general" vertical="top"/>
    </xf>
    <xf numFmtId="172" fontId="6" fillId="0" borderId="0" applyAlignment="1" pivotButton="0" quotePrefix="0" xfId="0">
      <alignment horizontal="general" vertical="bottom"/>
    </xf>
    <xf numFmtId="1" fontId="7" fillId="0" borderId="0" applyAlignment="1" pivotButton="0" quotePrefix="0" xfId="0">
      <alignment horizontal="general" vertical="bottom"/>
    </xf>
    <xf numFmtId="1" fontId="7" fillId="2" borderId="33" applyAlignment="1" pivotButton="0" quotePrefix="0" xfId="0">
      <alignment horizontal="center" vertical="bottom" wrapText="1"/>
    </xf>
    <xf numFmtId="3" fontId="6" fillId="7" borderId="52" applyAlignment="1" pivotButton="0" quotePrefix="0" xfId="0">
      <alignment horizontal="general" vertical="bottom"/>
    </xf>
    <xf numFmtId="3" fontId="6" fillId="7" borderId="61" applyAlignment="1" pivotButton="0" quotePrefix="0" xfId="0">
      <alignment horizontal="general" vertical="bottom"/>
    </xf>
    <xf numFmtId="3" fontId="6" fillId="7" borderId="37" applyAlignment="1" pivotButton="0" quotePrefix="0" xfId="17">
      <alignment horizontal="general" vertical="bottom"/>
    </xf>
    <xf numFmtId="3" fontId="6" fillId="7" borderId="62" applyAlignment="1" pivotButton="0" quotePrefix="0" xfId="17">
      <alignment horizontal="general" vertical="bottom"/>
    </xf>
    <xf numFmtId="3" fontId="6" fillId="7" borderId="63" applyAlignment="1" pivotButton="0" quotePrefix="0" xfId="0">
      <alignment horizontal="general" vertical="bottom"/>
    </xf>
    <xf numFmtId="3" fontId="6" fillId="7" borderId="40" applyAlignment="1" pivotButton="0" quotePrefix="0" xfId="0">
      <alignment horizontal="general" vertical="bottom"/>
    </xf>
    <xf numFmtId="3" fontId="6" fillId="7" borderId="64" applyAlignment="1" pivotButton="0" quotePrefix="0" xfId="0">
      <alignment horizontal="general" vertical="bottom"/>
    </xf>
    <xf numFmtId="3" fontId="7" fillId="0" borderId="65" applyAlignment="1" pivotButton="0" quotePrefix="0" xfId="17">
      <alignment horizontal="general" vertical="bottom"/>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7" fillId="0" borderId="0" applyAlignment="1" pivotButton="0" quotePrefix="0" xfId="0">
      <alignment horizontal="center" vertical="bottom"/>
    </xf>
    <xf numFmtId="0" fontId="7" fillId="2" borderId="4" applyAlignment="1" pivotButton="0" quotePrefix="0" xfId="0">
      <alignment horizontal="general" vertical="bottom"/>
    </xf>
    <xf numFmtId="0" fontId="6" fillId="2" borderId="33" applyAlignment="1" pivotButton="0" quotePrefix="0" xfId="0">
      <alignment horizontal="general" vertical="bottom"/>
    </xf>
    <xf numFmtId="0" fontId="6" fillId="0" borderId="4" applyAlignment="1" pivotButton="0" quotePrefix="0" xfId="0">
      <alignment horizontal="general" vertical="bottom"/>
    </xf>
    <xf numFmtId="0" fontId="9" fillId="0" borderId="5" applyAlignment="1" pivotButton="0" quotePrefix="0" xfId="0">
      <alignment horizontal="general" vertical="bottom"/>
    </xf>
    <xf numFmtId="0" fontId="6" fillId="9" borderId="43" applyAlignment="1" pivotButton="0" quotePrefix="0" xfId="0">
      <alignment horizontal="general" vertical="bottom"/>
    </xf>
    <xf numFmtId="0" fontId="6" fillId="0" borderId="10" applyAlignment="1" pivotButton="0" quotePrefix="0" xfId="0">
      <alignment horizontal="general" vertical="bottom"/>
    </xf>
    <xf numFmtId="0" fontId="9" fillId="0" borderId="32" applyAlignment="1" pivotButton="0" quotePrefix="0" xfId="0">
      <alignment horizontal="general" vertical="bottom"/>
    </xf>
    <xf numFmtId="0" fontId="6" fillId="9" borderId="38" applyAlignment="1" pivotButton="0" quotePrefix="0" xfId="0">
      <alignment horizontal="general" vertical="bottom"/>
    </xf>
    <xf numFmtId="0" fontId="6" fillId="0" borderId="66" applyAlignment="1" pivotButton="0" quotePrefix="0" xfId="0">
      <alignment horizontal="general" vertical="bottom"/>
    </xf>
    <xf numFmtId="0" fontId="9" fillId="0" borderId="45" applyAlignment="1" pivotButton="0" quotePrefix="0" xfId="0">
      <alignment horizontal="general" vertical="bottom"/>
    </xf>
    <xf numFmtId="0" fontId="6" fillId="9" borderId="1" applyAlignment="1" pivotButton="0" quotePrefix="0" xfId="0">
      <alignment horizontal="general" vertical="bottom"/>
    </xf>
    <xf numFmtId="0" fontId="7" fillId="0" borderId="19" applyAlignment="1" pivotButton="0" quotePrefix="0" xfId="0">
      <alignment horizontal="general" vertical="bottom"/>
    </xf>
    <xf numFmtId="0" fontId="6" fillId="0" borderId="67" applyAlignment="1" pivotButton="0" quotePrefix="0" xfId="0">
      <alignment horizontal="general" vertical="bottom"/>
    </xf>
    <xf numFmtId="0" fontId="6" fillId="9" borderId="59" applyAlignment="1" pivotButton="0" quotePrefix="0" xfId="0">
      <alignment horizontal="general" vertical="bottom"/>
    </xf>
    <xf numFmtId="0" fontId="6" fillId="9" borderId="29" applyAlignment="1" pivotButton="0" quotePrefix="0" xfId="0">
      <alignment horizontal="general" vertical="bottom"/>
    </xf>
    <xf numFmtId="166" fontId="6" fillId="7" borderId="43" applyAlignment="1" pivotButton="0" quotePrefix="0" xfId="15">
      <alignment horizontal="general" vertical="bottom"/>
    </xf>
    <xf numFmtId="166" fontId="6" fillId="7" borderId="38" applyAlignment="1" pivotButton="0" quotePrefix="0" xfId="15">
      <alignment horizontal="general" vertical="bottom"/>
    </xf>
    <xf numFmtId="166" fontId="6" fillId="7" borderId="1" applyAlignment="1" pivotButton="0" quotePrefix="0" xfId="15">
      <alignment horizontal="general" vertical="bottom"/>
    </xf>
    <xf numFmtId="166" fontId="6" fillId="5" borderId="59" applyAlignment="1" pivotButton="0" quotePrefix="0" xfId="15">
      <alignment horizontal="general" vertical="bottom"/>
    </xf>
    <xf numFmtId="166" fontId="6" fillId="5" borderId="29" applyAlignment="1" pivotButton="0" quotePrefix="0" xfId="15">
      <alignment horizontal="general" vertical="bottom"/>
    </xf>
    <xf numFmtId="166" fontId="6" fillId="0" borderId="0" applyAlignment="1" pivotButton="0" quotePrefix="0" xfId="0">
      <alignment horizontal="general" vertical="bottom"/>
    </xf>
    <xf numFmtId="173" fontId="6"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2" borderId="5" applyAlignment="1" pivotButton="0" quotePrefix="0" xfId="0">
      <alignment horizontal="general" vertical="bottom"/>
    </xf>
    <xf numFmtId="0" fontId="6" fillId="0" borderId="68" applyAlignment="1" pivotButton="0" quotePrefix="0" xfId="0">
      <alignment horizontal="general" vertical="bottom"/>
    </xf>
    <xf numFmtId="0" fontId="6" fillId="9" borderId="57" applyAlignment="1" pivotButton="0" quotePrefix="0" xfId="0">
      <alignment horizontal="general" vertical="bottom"/>
    </xf>
    <xf numFmtId="0" fontId="6" fillId="9" borderId="68" applyAlignment="1" pivotButton="0" quotePrefix="0" xfId="0">
      <alignment horizontal="general" vertical="bottom"/>
    </xf>
    <xf numFmtId="0" fontId="6" fillId="9" borderId="11" applyAlignment="1" pivotButton="0" quotePrefix="0" xfId="0">
      <alignment horizontal="general" vertical="bottom"/>
    </xf>
    <xf numFmtId="0" fontId="6" fillId="0" borderId="35" applyAlignment="1" pivotButton="0" quotePrefix="0" xfId="0">
      <alignment horizontal="general" vertical="bottom"/>
    </xf>
    <xf numFmtId="0" fontId="6" fillId="0" borderId="36" applyAlignment="1" pivotButton="0" quotePrefix="0" xfId="0">
      <alignment horizontal="general" vertical="bottom"/>
    </xf>
    <xf numFmtId="0" fontId="6" fillId="0" borderId="64" applyAlignment="1" pivotButton="0" quotePrefix="0" xfId="0">
      <alignment horizontal="center" vertical="center" wrapText="1"/>
    </xf>
    <xf numFmtId="0" fontId="6" fillId="0" borderId="12" applyAlignment="1" pivotButton="0" quotePrefix="0" xfId="0">
      <alignment horizontal="general" vertical="bottom"/>
    </xf>
    <xf numFmtId="0" fontId="15" fillId="0" borderId="21" applyAlignment="1" pivotButton="0" quotePrefix="0" xfId="0">
      <alignment horizontal="general" vertical="bottom"/>
    </xf>
    <xf numFmtId="0" fontId="18" fillId="6" borderId="51" applyAlignment="1" pivotButton="0" quotePrefix="0" xfId="0">
      <alignment horizontal="general" vertical="bottom"/>
    </xf>
    <xf numFmtId="0" fontId="22" fillId="0" borderId="69" applyAlignment="1" pivotButton="0" quotePrefix="0" xfId="0">
      <alignment horizontal="general" vertical="bottom"/>
    </xf>
    <xf numFmtId="3" fontId="23" fillId="5" borderId="35" applyAlignment="1" pivotButton="0" quotePrefix="0" xfId="0">
      <alignment horizontal="general" vertical="bottom"/>
    </xf>
    <xf numFmtId="3" fontId="23" fillId="5" borderId="36" applyAlignment="1" pivotButton="0" quotePrefix="0" xfId="0">
      <alignment horizontal="general" vertical="bottom"/>
    </xf>
    <xf numFmtId="0" fontId="9" fillId="0" borderId="69" applyAlignment="1" pivotButton="0" quotePrefix="0" xfId="0">
      <alignment horizontal="general" vertical="bottom"/>
    </xf>
    <xf numFmtId="167" fontId="19" fillId="7" borderId="37" applyAlignment="1" pivotButton="0" quotePrefix="0" xfId="0">
      <alignment horizontal="general" vertical="bottom"/>
    </xf>
    <xf numFmtId="167" fontId="19" fillId="7" borderId="38" applyAlignment="1" pivotButton="0" quotePrefix="0" xfId="0">
      <alignment horizontal="general" vertical="bottom"/>
    </xf>
    <xf numFmtId="167" fontId="19" fillId="7" borderId="39" applyAlignment="1" pivotButton="0" quotePrefix="0" xfId="0">
      <alignment horizontal="general" vertical="bottom"/>
    </xf>
    <xf numFmtId="167" fontId="19" fillId="7" borderId="40" applyAlignment="1" pivotButton="0" quotePrefix="0" xfId="0">
      <alignment horizontal="general" vertical="bottom"/>
    </xf>
    <xf numFmtId="0" fontId="20" fillId="0" borderId="19" applyAlignment="1" pivotButton="0" quotePrefix="0" xfId="0">
      <alignment horizontal="general" vertical="bottom"/>
    </xf>
    <xf numFmtId="167" fontId="24" fillId="5" borderId="20" applyAlignment="1" pivotButton="0" quotePrefix="0" xfId="0">
      <alignment horizontal="general" vertical="bottom"/>
    </xf>
    <xf numFmtId="0" fontId="22" fillId="0" borderId="70" applyAlignment="1" pivotButton="0" quotePrefix="0" xfId="0">
      <alignment horizontal="general" vertical="bottom"/>
    </xf>
    <xf numFmtId="167" fontId="23" fillId="5" borderId="35" applyAlignment="1" pivotButton="0" quotePrefix="0" xfId="0">
      <alignment horizontal="general" vertical="bottom"/>
    </xf>
    <xf numFmtId="167" fontId="23" fillId="5" borderId="36" applyAlignment="1" pivotButton="0" quotePrefix="0" xfId="0">
      <alignment horizontal="general" vertical="bottom"/>
    </xf>
    <xf numFmtId="0" fontId="9" fillId="0" borderId="16" applyAlignment="1" pivotButton="0" quotePrefix="0" xfId="0">
      <alignment horizontal="general" vertical="bottom"/>
    </xf>
    <xf numFmtId="10" fontId="19" fillId="7" borderId="37" applyAlignment="1" pivotButton="0" quotePrefix="0" xfId="0">
      <alignment horizontal="general" vertical="bottom"/>
    </xf>
    <xf numFmtId="10" fontId="24" fillId="5" borderId="20" applyAlignment="1" pivotButton="0" quotePrefix="0" xfId="0">
      <alignment horizontal="general" vertical="bottom"/>
    </xf>
    <xf numFmtId="10" fontId="23" fillId="5" borderId="35" applyAlignment="1" pivotButton="0" quotePrefix="0" xfId="0">
      <alignment horizontal="general" vertical="bottom"/>
    </xf>
    <xf numFmtId="10" fontId="23" fillId="5" borderId="36" applyAlignment="1" pivotButton="0" quotePrefix="0" xfId="0">
      <alignment horizontal="general" vertical="bottom"/>
    </xf>
    <xf numFmtId="3" fontId="24" fillId="5" borderId="20" applyAlignment="1" pivotButton="0" quotePrefix="0" xfId="0">
      <alignment horizontal="general" vertical="bottom"/>
    </xf>
    <xf numFmtId="0" fontId="15" fillId="0" borderId="0" applyAlignment="1" pivotButton="0" quotePrefix="0" xfId="0">
      <alignment horizontal="general" vertical="bottom"/>
    </xf>
    <xf numFmtId="3" fontId="16" fillId="0" borderId="0" applyAlignment="1" pivotButton="0" quotePrefix="0" xfId="0">
      <alignment horizontal="general" vertical="bottom"/>
    </xf>
    <xf numFmtId="10" fontId="19" fillId="7" borderId="39" applyAlignment="1" pivotButton="0" quotePrefix="0" xfId="0">
      <alignment horizontal="general" vertical="bottom"/>
    </xf>
    <xf numFmtId="0" fontId="22" fillId="0" borderId="14" applyAlignment="1" pivotButton="0" quotePrefix="0" xfId="0">
      <alignment horizontal="general" vertical="bottom"/>
    </xf>
    <xf numFmtId="0" fontId="15" fillId="0" borderId="51" applyAlignment="1" pivotButton="0" quotePrefix="0" xfId="0">
      <alignment horizontal="general" vertical="bottom"/>
    </xf>
    <xf numFmtId="0" fontId="18" fillId="5" borderId="51" applyAlignment="1" pivotButton="0" quotePrefix="0" xfId="0">
      <alignment horizontal="general" vertical="bottom"/>
    </xf>
    <xf numFmtId="0" fontId="22" fillId="0" borderId="27" applyAlignment="1" pivotButton="0" quotePrefix="0" xfId="0">
      <alignment horizontal="center" vertical="top" wrapText="1"/>
    </xf>
    <xf numFmtId="0" fontId="22" fillId="0" borderId="21" applyAlignment="1" pivotButton="0" quotePrefix="0" xfId="0">
      <alignment horizontal="center" vertical="top" wrapText="1"/>
    </xf>
    <xf numFmtId="3" fontId="24" fillId="5" borderId="27" applyAlignment="1" pivotButton="0" quotePrefix="0" xfId="0">
      <alignment horizontal="center" vertical="bottom"/>
    </xf>
    <xf numFmtId="0" fontId="22" fillId="0" borderId="16" applyAlignment="1" pivotButton="0" quotePrefix="0" xfId="0">
      <alignment horizontal="center" vertical="top" wrapText="1"/>
    </xf>
    <xf numFmtId="10" fontId="19" fillId="5" borderId="56" applyAlignment="1" pivotButton="0" quotePrefix="0" xfId="0">
      <alignment horizontal="general" vertical="bottom" wrapText="1"/>
    </xf>
    <xf numFmtId="10" fontId="19" fillId="5" borderId="3" applyAlignment="1" pivotButton="0" quotePrefix="0" xfId="0">
      <alignment horizontal="general" vertical="bottom" wrapText="1"/>
    </xf>
    <xf numFmtId="173" fontId="19" fillId="5" borderId="38" applyAlignment="1" pivotButton="0" quotePrefix="0" xfId="0">
      <alignment horizontal="general" vertical="bottom"/>
    </xf>
    <xf numFmtId="10" fontId="19" fillId="7" borderId="56" applyAlignment="1" pivotButton="0" quotePrefix="0" xfId="0">
      <alignment horizontal="general" vertical="bottom" wrapText="1"/>
    </xf>
    <xf numFmtId="10" fontId="19" fillId="7" borderId="3" applyAlignment="1" pivotButton="0" quotePrefix="0" xfId="0">
      <alignment horizontal="general" vertical="bottom" wrapText="1"/>
    </xf>
    <xf numFmtId="10" fontId="19" fillId="7" borderId="38" applyAlignment="1" pivotButton="0" quotePrefix="0" xfId="0">
      <alignment horizontal="general" vertical="bottom"/>
    </xf>
    <xf numFmtId="10" fontId="19" fillId="7" borderId="71" applyAlignment="1" pivotButton="0" quotePrefix="0" xfId="0">
      <alignment horizontal="general" vertical="bottom" wrapText="1"/>
    </xf>
    <xf numFmtId="10" fontId="19" fillId="7" borderId="2" applyAlignment="1" pivotButton="0" quotePrefix="0" xfId="0">
      <alignment horizontal="general" vertical="bottom" wrapText="1"/>
    </xf>
    <xf numFmtId="10" fontId="19" fillId="7" borderId="1" applyAlignment="1" pivotButton="0" quotePrefix="0" xfId="0">
      <alignment horizontal="general" vertical="bottom"/>
    </xf>
    <xf numFmtId="10" fontId="19" fillId="7" borderId="58" applyAlignment="1" pivotButton="0" quotePrefix="0" xfId="0">
      <alignment horizontal="general" vertical="bottom" wrapText="1"/>
    </xf>
    <xf numFmtId="10" fontId="19" fillId="7" borderId="1" applyAlignment="1" pivotButton="0" quotePrefix="0" xfId="0">
      <alignment horizontal="general" vertical="bottom" wrapText="1"/>
    </xf>
    <xf numFmtId="0" fontId="22" fillId="0" borderId="51" applyAlignment="1" pivotButton="0" quotePrefix="0" xfId="0">
      <alignment horizontal="general" vertical="bottom"/>
    </xf>
    <xf numFmtId="173" fontId="19" fillId="5" borderId="43" applyAlignment="1" pivotButton="0" quotePrefix="0" xfId="0">
      <alignment horizontal="general" vertical="bottom"/>
    </xf>
    <xf numFmtId="10" fontId="19" fillId="7" borderId="39" applyAlignment="1" pivotButton="0" quotePrefix="0" xfId="0">
      <alignment horizontal="general" vertical="bottom" wrapText="1"/>
    </xf>
    <xf numFmtId="10" fontId="19" fillId="7" borderId="40" applyAlignment="1" pivotButton="0" quotePrefix="0" xfId="0">
      <alignment horizontal="general" vertical="bottom" wrapText="1"/>
    </xf>
    <xf numFmtId="10" fontId="19" fillId="7" borderId="40" applyAlignment="1" pivotButton="0" quotePrefix="0" xfId="0">
      <alignment horizontal="general" vertical="bottom"/>
    </xf>
    <xf numFmtId="4" fontId="6" fillId="0" borderId="0" applyAlignment="1" pivotButton="0" quotePrefix="0" xfId="0">
      <alignment horizontal="general" vertical="bottom"/>
    </xf>
    <xf numFmtId="9" fontId="6" fillId="0" borderId="0" applyAlignment="1" pivotButton="0" quotePrefix="0" xfId="19">
      <alignment horizontal="general" vertical="bottom"/>
    </xf>
    <xf numFmtId="0" fontId="15" fillId="0" borderId="26" applyAlignment="1" pivotButton="0" quotePrefix="0" xfId="0">
      <alignment horizontal="general" vertical="bottom"/>
    </xf>
    <xf numFmtId="0" fontId="9" fillId="0" borderId="28" applyAlignment="1" pivotButton="0" quotePrefix="0" xfId="0">
      <alignment horizontal="center" vertical="bottom" wrapText="1"/>
    </xf>
    <xf numFmtId="0" fontId="9" fillId="0" borderId="29" applyAlignment="1" pivotButton="0" quotePrefix="0" xfId="0">
      <alignment horizontal="center" vertical="bottom" wrapText="1"/>
    </xf>
    <xf numFmtId="170" fontId="19" fillId="6" borderId="30" applyAlignment="1" pivotButton="0" quotePrefix="0" xfId="0">
      <alignment horizontal="general" vertical="bottom"/>
    </xf>
    <xf numFmtId="170" fontId="19" fillId="6" borderId="2" applyAlignment="1" pivotButton="0" quotePrefix="0" xfId="0">
      <alignment horizontal="general" vertical="bottom"/>
    </xf>
    <xf numFmtId="3" fontId="19" fillId="3" borderId="2" applyAlignment="1" pivotButton="0" quotePrefix="0" xfId="0">
      <alignment horizontal="general" vertical="bottom"/>
    </xf>
    <xf numFmtId="3" fontId="19" fillId="3" borderId="48" applyAlignment="1" pivotButton="0" quotePrefix="0" xfId="0">
      <alignment horizontal="general" vertical="bottom"/>
    </xf>
    <xf numFmtId="3" fontId="19" fillId="3" borderId="1" applyAlignment="1" pivotButton="0" quotePrefix="0" xfId="0">
      <alignment horizontal="general" vertical="bottom"/>
    </xf>
    <xf numFmtId="0" fontId="22" fillId="0" borderId="25" applyAlignment="1" pivotButton="0" quotePrefix="0" xfId="0">
      <alignment horizontal="general" vertical="bottom"/>
    </xf>
    <xf numFmtId="0" fontId="0" fillId="0" borderId="26" applyAlignment="1" pivotButton="0" quotePrefix="0" xfId="0">
      <alignment horizontal="general" vertical="bottom"/>
    </xf>
    <xf numFmtId="0" fontId="9" fillId="0" borderId="26" applyAlignment="1" pivotButton="0" quotePrefix="0" xfId="0">
      <alignment horizontal="general" vertical="bottom"/>
    </xf>
    <xf numFmtId="0" fontId="9" fillId="0" borderId="21" applyAlignment="1" pivotButton="0" quotePrefix="0" xfId="0">
      <alignment horizontal="general" vertical="bottom"/>
    </xf>
    <xf numFmtId="0" fontId="9" fillId="0" borderId="65" applyAlignment="1" pivotButton="0" quotePrefix="0" xfId="0">
      <alignment horizontal="center" vertical="bottom" wrapText="1"/>
    </xf>
    <xf numFmtId="0" fontId="17" fillId="5" borderId="69" applyAlignment="1" pivotButton="0" quotePrefix="0" xfId="0">
      <alignment horizontal="left" vertical="bottom" wrapText="1"/>
    </xf>
    <xf numFmtId="0" fontId="0" fillId="0" borderId="69" applyAlignment="1" pivotButton="0" quotePrefix="0" xfId="0">
      <alignment horizontal="general" vertical="bottom"/>
    </xf>
    <xf numFmtId="3" fontId="19" fillId="7" borderId="2" applyAlignment="1" pivotButton="0" quotePrefix="0" xfId="0">
      <alignment horizontal="general" vertical="bottom"/>
    </xf>
    <xf numFmtId="166" fontId="0" fillId="0" borderId="0" applyAlignment="1" pivotButton="0" quotePrefix="0" xfId="15">
      <alignment horizontal="left" vertical="bottom"/>
    </xf>
    <xf numFmtId="0" fontId="20" fillId="5" borderId="72" applyAlignment="1" pivotButton="0" quotePrefix="0" xfId="0">
      <alignment horizontal="center" vertical="bottom" wrapText="1"/>
    </xf>
    <xf numFmtId="0" fontId="0" fillId="0" borderId="70" applyAlignment="1" pivotButton="0" quotePrefix="0" xfId="0">
      <alignment horizontal="general" vertical="bottom"/>
    </xf>
    <xf numFmtId="3" fontId="19" fillId="7" borderId="1" applyAlignment="1" pivotButton="0" quotePrefix="0" xfId="0">
      <alignment horizontal="general" vertical="bottom"/>
    </xf>
    <xf numFmtId="3" fontId="24" fillId="0" borderId="28" applyAlignment="1" pivotButton="0" quotePrefix="0" xfId="0">
      <alignment horizontal="general" vertical="bottom"/>
    </xf>
    <xf numFmtId="3" fontId="24" fillId="0" borderId="27" applyAlignment="1" pivotButton="0" quotePrefix="0" xfId="0">
      <alignment horizontal="general" vertical="bottom"/>
    </xf>
    <xf numFmtId="3" fontId="19" fillId="7" borderId="30" applyAlignment="1" pivotButton="0" quotePrefix="0" xfId="0">
      <alignment horizontal="general" vertical="bottom"/>
    </xf>
    <xf numFmtId="3" fontId="19" fillId="7" borderId="73" applyAlignment="1" pivotButton="0" quotePrefix="0" xfId="0">
      <alignment horizontal="general" vertical="bottom"/>
    </xf>
    <xf numFmtId="3" fontId="19" fillId="7" borderId="48" applyAlignment="1" pivotButton="0" quotePrefix="0" xfId="0">
      <alignment horizontal="general" vertical="bottom"/>
    </xf>
    <xf numFmtId="3" fontId="19" fillId="7" borderId="74" applyAlignment="1" pivotButton="0" quotePrefix="0" xfId="0">
      <alignment horizontal="general" vertical="bottom"/>
    </xf>
    <xf numFmtId="170" fontId="19" fillId="3" borderId="31" applyAlignment="1" pivotButton="0" quotePrefix="0" xfId="0">
      <alignment horizontal="general" vertical="bottom"/>
    </xf>
    <xf numFmtId="174" fontId="17" fillId="0" borderId="28" applyAlignment="1" pivotButton="0" quotePrefix="0" xfId="0">
      <alignment horizontal="general" vertical="bottom"/>
    </xf>
    <xf numFmtId="170" fontId="19" fillId="6" borderId="4" applyAlignment="1" pivotButton="0" quotePrefix="0" xfId="0">
      <alignment horizontal="general" vertical="bottom"/>
    </xf>
    <xf numFmtId="170" fontId="19" fillId="6" borderId="33" applyAlignment="1" pivotButton="0" quotePrefix="0" xfId="0">
      <alignment horizontal="general" vertical="bottom"/>
    </xf>
    <xf numFmtId="170" fontId="23" fillId="3" borderId="35" applyAlignment="1" pivotButton="0" quotePrefix="0" xfId="0">
      <alignment horizontal="general" vertical="bottom"/>
    </xf>
    <xf numFmtId="170" fontId="23" fillId="3" borderId="36" applyAlignment="1" pivotButton="0" quotePrefix="0" xfId="0">
      <alignment horizontal="general" vertical="bottom"/>
    </xf>
    <xf numFmtId="170" fontId="19" fillId="3" borderId="37" applyAlignment="1" pivotButton="0" quotePrefix="0" xfId="0">
      <alignment horizontal="general" vertical="bottom"/>
    </xf>
    <xf numFmtId="170" fontId="19" fillId="3" borderId="38" applyAlignment="1" pivotButton="0" quotePrefix="0" xfId="0">
      <alignment horizontal="general" vertical="bottom"/>
    </xf>
    <xf numFmtId="170" fontId="19" fillId="3" borderId="39" applyAlignment="1" pivotButton="0" quotePrefix="0" xfId="0">
      <alignment horizontal="general" vertical="bottom"/>
    </xf>
    <xf numFmtId="170" fontId="19" fillId="3" borderId="40" applyAlignment="1" pivotButton="0" quotePrefix="0" xfId="0">
      <alignment horizontal="general" vertical="bottom"/>
    </xf>
    <xf numFmtId="170" fontId="24" fillId="5" borderId="28" applyAlignment="1" pivotButton="0" quotePrefix="0" xfId="0">
      <alignment horizontal="general" vertical="bottom"/>
    </xf>
    <xf numFmtId="170" fontId="23" fillId="3" borderId="41" applyAlignment="1" pivotButton="0" quotePrefix="0" xfId="0">
      <alignment horizontal="general" vertical="bottom"/>
    </xf>
    <xf numFmtId="170" fontId="23" fillId="3" borderId="42" applyAlignment="1" pivotButton="0" quotePrefix="0" xfId="0">
      <alignment horizontal="general" vertical="bottom"/>
    </xf>
    <xf numFmtId="170" fontId="19" fillId="3" borderId="2" applyAlignment="1" pivotButton="0" quotePrefix="0" xfId="0">
      <alignment horizontal="general" vertical="bottom"/>
    </xf>
    <xf numFmtId="170" fontId="19" fillId="3" borderId="48" applyAlignment="1" pivotButton="0" quotePrefix="0" xfId="0">
      <alignment horizontal="general" vertical="bottom"/>
    </xf>
    <xf numFmtId="170" fontId="19" fillId="3" borderId="1" applyAlignment="1" pivotButton="0" quotePrefix="0" xfId="0">
      <alignment horizontal="general" vertical="bottom"/>
    </xf>
    <xf numFmtId="170" fontId="19" fillId="7" borderId="2" applyAlignment="1" pivotButton="0" quotePrefix="0" xfId="0">
      <alignment horizontal="general" vertical="bottom"/>
    </xf>
    <xf numFmtId="3" fontId="0" fillId="0" borderId="0" applyAlignment="1" pivotButton="0" quotePrefix="0" xfId="0">
      <alignment horizontal="general" vertical="bottom"/>
    </xf>
    <xf numFmtId="170" fontId="19" fillId="7" borderId="1" applyAlignment="1" pivotButton="0" quotePrefix="0" xfId="0">
      <alignment horizontal="general" vertical="bottom"/>
    </xf>
    <xf numFmtId="174" fontId="24" fillId="0" borderId="28" applyAlignment="1" pivotButton="0" quotePrefix="0" xfId="0">
      <alignment horizontal="general" vertical="bottom"/>
    </xf>
    <xf numFmtId="170" fontId="19" fillId="7" borderId="30" applyAlignment="1" pivotButton="0" quotePrefix="0" xfId="0">
      <alignment horizontal="general" vertical="bottom"/>
    </xf>
    <xf numFmtId="170" fontId="19" fillId="7" borderId="73" applyAlignment="1" pivotButton="0" quotePrefix="0" xfId="0">
      <alignment horizontal="general" vertical="bottom"/>
    </xf>
    <xf numFmtId="170" fontId="19" fillId="7" borderId="48" applyAlignment="1" pivotButton="0" quotePrefix="0" xfId="0">
      <alignment horizontal="general" vertical="bottom"/>
    </xf>
    <xf numFmtId="170" fontId="19" fillId="7" borderId="74" applyAlignment="1" pivotButton="0" quotePrefix="0" xfId="0">
      <alignment horizontal="general" vertical="bottom"/>
    </xf>
    <xf numFmtId="174" fontId="24" fillId="0" borderId="27" applyAlignment="1" pivotButton="0" quotePrefix="0" xfId="0">
      <alignment horizontal="general" vertical="bottom"/>
    </xf>
    <xf numFmtId="0" fontId="33" fillId="0" borderId="0" applyAlignment="1" pivotButton="0" quotePrefix="0" xfId="0">
      <alignment horizontal="general" vertical="bottom"/>
    </xf>
    <xf numFmtId="0" fontId="34" fillId="0" borderId="0" applyAlignment="1" pivotButton="0" quotePrefix="0" xfId="0">
      <alignment horizontal="general" vertical="bottom"/>
    </xf>
    <xf numFmtId="164" fontId="33" fillId="8" borderId="0" applyAlignment="1" pivotButton="0" quotePrefix="0" xfId="0">
      <alignment horizontal="general" vertical="center" wrapText="1"/>
    </xf>
    <xf numFmtId="175" fontId="33" fillId="8" borderId="0" applyAlignment="1" pivotButton="0" quotePrefix="0" xfId="0">
      <alignment horizontal="general" vertical="center" wrapText="1"/>
    </xf>
    <xf numFmtId="3" fontId="34" fillId="0" borderId="0" applyAlignment="1" pivotButton="0" quotePrefix="0" xfId="0">
      <alignment horizontal="center" vertical="center" wrapText="1"/>
    </xf>
    <xf numFmtId="3" fontId="33" fillId="0" borderId="0" applyAlignment="1" pivotButton="0" quotePrefix="0" xfId="0">
      <alignment horizontal="general" vertical="bottom"/>
    </xf>
    <xf numFmtId="176" fontId="33" fillId="0" borderId="0" applyAlignment="1" pivotButton="0" quotePrefix="0" xfId="0">
      <alignment horizontal="general" vertical="bottom"/>
    </xf>
    <xf numFmtId="3" fontId="35" fillId="8" borderId="0" applyAlignment="1" pivotButton="0" quotePrefix="0" xfId="0">
      <alignment horizontal="general" vertical="bottom"/>
    </xf>
    <xf numFmtId="0" fontId="35" fillId="8" borderId="0" applyAlignment="1" pivotButton="0" quotePrefix="0" xfId="0">
      <alignment horizontal="general" vertical="bottom"/>
    </xf>
    <xf numFmtId="176" fontId="35" fillId="8" borderId="0" applyAlignment="1" pivotButton="0" quotePrefix="0" xfId="0">
      <alignment horizontal="general" vertical="bottom"/>
    </xf>
    <xf numFmtId="177" fontId="33" fillId="0" borderId="0" applyAlignment="1" pivotButton="0" quotePrefix="0" xfId="0">
      <alignment horizontal="general" vertical="bottom"/>
    </xf>
    <xf numFmtId="177" fontId="35" fillId="8" borderId="0" applyAlignment="1" pivotButton="0" quotePrefix="0" xfId="0">
      <alignment horizontal="general" vertical="bottom"/>
    </xf>
    <xf numFmtId="166" fontId="6" fillId="0" borderId="0" applyAlignment="1" pivotButton="0" quotePrefix="0" xfId="15">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4" fillId="0" borderId="0" applyAlignment="1" pivotButton="0" quotePrefix="0" xfId="21">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3" fontId="6" fillId="0" borderId="0" applyAlignment="1" pivotButton="0" quotePrefix="0" xfId="0">
      <alignment horizontal="general" vertical="bottom"/>
    </xf>
    <xf numFmtId="3" fontId="7" fillId="0" borderId="0" applyAlignment="1" pivotButton="0" quotePrefix="0" xfId="0">
      <alignment horizontal="general" vertical="bottom"/>
    </xf>
    <xf numFmtId="0" fontId="4" fillId="0" borderId="0" applyAlignment="1" pivotButton="0" quotePrefix="0" xfId="0">
      <alignment horizontal="general" vertical="bottom"/>
    </xf>
    <xf numFmtId="3" fontId="7" fillId="0" borderId="0" applyAlignment="1" pivotButton="0" quotePrefix="0" xfId="0">
      <alignment horizontal="center" vertical="bottom"/>
    </xf>
    <xf numFmtId="3" fontId="8" fillId="0" borderId="0" applyAlignment="1" pivotButton="0" quotePrefix="0" xfId="0">
      <alignment horizontal="left" vertical="bottom"/>
    </xf>
    <xf numFmtId="1" fontId="7" fillId="2" borderId="4" applyAlignment="1" pivotButton="0" quotePrefix="0" xfId="0">
      <alignment horizontal="center" vertical="bottom"/>
    </xf>
    <xf numFmtId="1" fontId="7" fillId="2" borderId="5" applyAlignment="1" pivotButton="0" quotePrefix="0" xfId="0">
      <alignment horizontal="left" vertical="bottom"/>
    </xf>
    <xf numFmtId="1" fontId="7" fillId="2" borderId="6" applyAlignment="1" pivotButton="0" quotePrefix="0" xfId="0">
      <alignment horizontal="center" vertical="bottom" wrapText="1"/>
    </xf>
    <xf numFmtId="1" fontId="7" fillId="2" borderId="6" applyAlignment="1" pivotButton="0" quotePrefix="0" xfId="0">
      <alignment horizontal="center" vertical="bottom"/>
    </xf>
    <xf numFmtId="1" fontId="7" fillId="2" borderId="7" applyAlignment="1" pivotButton="0" quotePrefix="0" xfId="0">
      <alignment horizontal="center" vertical="bottom"/>
    </xf>
    <xf numFmtId="1" fontId="7" fillId="0" borderId="4" applyAlignment="1" pivotButton="0" quotePrefix="0" xfId="0">
      <alignment horizontal="general" vertical="bottom"/>
    </xf>
    <xf numFmtId="1" fontId="7" fillId="0" borderId="5" applyAlignment="1" pivotButton="0" quotePrefix="0" xfId="0">
      <alignment horizontal="general" vertical="bottom"/>
    </xf>
    <xf numFmtId="3" fontId="7" fillId="3" borderId="8" applyAlignment="1" pivotButton="0" quotePrefix="0" xfId="0">
      <alignment horizontal="general" vertical="bottom"/>
    </xf>
    <xf numFmtId="3" fontId="7" fillId="3" borderId="9" applyAlignment="1" pivotButton="0" quotePrefix="0" xfId="0">
      <alignment horizontal="general" vertical="bottom"/>
    </xf>
    <xf numFmtId="1" fontId="7" fillId="0" borderId="10" applyAlignment="1" pivotButton="0" quotePrefix="0" xfId="0">
      <alignment horizontal="general" vertical="bottom"/>
    </xf>
    <xf numFmtId="0" fontId="9" fillId="0" borderId="11" applyAlignment="1" pivotButton="0" quotePrefix="0" xfId="0">
      <alignment horizontal="general" vertical="bottom"/>
    </xf>
    <xf numFmtId="3" fontId="7" fillId="3" borderId="8" applyAlignment="1" pivotButton="0" quotePrefix="0" xfId="17">
      <alignment horizontal="general" vertical="bottom"/>
    </xf>
    <xf numFmtId="3" fontId="7" fillId="3" borderId="9" applyAlignment="1" pivotButton="0" quotePrefix="0" xfId="17">
      <alignment horizontal="general" vertical="bottom"/>
    </xf>
    <xf numFmtId="3" fontId="7" fillId="0" borderId="11" applyAlignment="1" pivotButton="0" quotePrefix="0" xfId="0">
      <alignment horizontal="general" vertical="bottom"/>
    </xf>
    <xf numFmtId="1" fontId="6" fillId="0" borderId="12" applyAlignment="1" pivotButton="0" quotePrefix="0" xfId="0">
      <alignment horizontal="general" vertical="bottom"/>
    </xf>
    <xf numFmtId="1" fontId="6" fillId="0" borderId="13" applyAlignment="1" pivotButton="0" quotePrefix="0" xfId="0">
      <alignment horizontal="general" vertical="bottom"/>
    </xf>
    <xf numFmtId="3" fontId="7" fillId="3" borderId="14" applyAlignment="1" pivotButton="0" quotePrefix="0" xfId="0">
      <alignment horizontal="general" vertical="bottom"/>
    </xf>
    <xf numFmtId="3" fontId="7" fillId="3" borderId="15" applyAlignment="1" pivotButton="0" quotePrefix="0" xfId="0">
      <alignment horizontal="general" vertical="bottom"/>
    </xf>
    <xf numFmtId="1" fontId="7" fillId="0" borderId="12" applyAlignment="1" pivotButton="0" quotePrefix="0" xfId="0">
      <alignment horizontal="general" vertical="bottom"/>
    </xf>
    <xf numFmtId="1" fontId="7" fillId="0" borderId="16" applyAlignment="1" pivotButton="0" quotePrefix="0" xfId="0">
      <alignment horizontal="general" vertical="bottom"/>
    </xf>
    <xf numFmtId="3" fontId="7" fillId="0" borderId="16" applyAlignment="1" pivotButton="0" quotePrefix="0" xfId="0">
      <alignment horizontal="general" vertical="bottom"/>
    </xf>
    <xf numFmtId="3" fontId="7" fillId="0" borderId="17" applyAlignment="1" pivotButton="0" quotePrefix="0" xfId="0">
      <alignment horizontal="general" vertical="bottom"/>
    </xf>
    <xf numFmtId="1" fontId="7" fillId="2" borderId="4" applyAlignment="1" pivotButton="0" quotePrefix="0" xfId="0">
      <alignment horizontal="left" vertical="top"/>
    </xf>
    <xf numFmtId="3" fontId="6" fillId="0" borderId="18" applyAlignment="1" pivotButton="0" quotePrefix="0" xfId="0">
      <alignment horizontal="general" vertical="bottom"/>
    </xf>
    <xf numFmtId="3" fontId="8" fillId="0" borderId="19" applyAlignment="1" pivotButton="0" quotePrefix="0" xfId="0">
      <alignment horizontal="general" vertical="bottom"/>
    </xf>
    <xf numFmtId="3" fontId="8" fillId="0" borderId="20" applyAlignment="1" pivotButton="0" quotePrefix="0" xfId="0">
      <alignment horizontal="general" vertical="bottom"/>
    </xf>
    <xf numFmtId="3" fontId="8" fillId="0" borderId="21" applyAlignment="1" pivotButton="0" quotePrefix="0" xfId="0">
      <alignment horizontal="general" vertical="bottom"/>
    </xf>
    <xf numFmtId="3" fontId="10" fillId="0" borderId="0" applyAlignment="1" pivotButton="0" quotePrefix="0" xfId="0">
      <alignment horizontal="general" vertical="bottom"/>
    </xf>
    <xf numFmtId="3" fontId="11" fillId="0" borderId="0" applyAlignment="1" pivotButton="0" quotePrefix="0" xfId="0">
      <alignment horizontal="general" vertical="bottom"/>
    </xf>
    <xf numFmtId="3" fontId="12" fillId="0" borderId="0" applyAlignment="1" pivotButton="0" quotePrefix="0" xfId="0">
      <alignment horizontal="general" vertical="bottom"/>
    </xf>
    <xf numFmtId="3" fontId="12" fillId="4" borderId="22" applyAlignment="1" pivotButton="0" quotePrefix="0" xfId="0">
      <alignment horizontal="general" vertical="bottom"/>
    </xf>
    <xf numFmtId="3" fontId="12" fillId="4" borderId="23" applyAlignment="1" pivotButton="0" quotePrefix="0" xfId="0">
      <alignment horizontal="general" vertical="bottom"/>
    </xf>
    <xf numFmtId="3" fontId="12" fillId="4" borderId="24" applyAlignment="1" pivotButton="0" quotePrefix="0" xfId="0">
      <alignment horizontal="general" vertical="bottom"/>
    </xf>
    <xf numFmtId="165" fontId="12" fillId="0" borderId="0" applyAlignment="1" pivotButton="0" quotePrefix="0" xfId="19">
      <alignment horizontal="general" vertical="bottom"/>
    </xf>
    <xf numFmtId="3" fontId="13" fillId="4" borderId="22" applyAlignment="1" pivotButton="0" quotePrefix="0" xfId="0">
      <alignment horizontal="general" vertical="bottom"/>
    </xf>
    <xf numFmtId="3" fontId="13" fillId="4" borderId="23" applyAlignment="1" pivotButton="0" quotePrefix="0" xfId="0">
      <alignment horizontal="general" vertical="bottom"/>
    </xf>
    <xf numFmtId="3" fontId="13" fillId="4" borderId="24" applyAlignment="1" pivotButton="0" quotePrefix="0" xfId="0">
      <alignment horizontal="general" vertical="bottom"/>
    </xf>
    <xf numFmtId="3" fontId="14" fillId="0" borderId="0" applyAlignment="1" pivotButton="0" quotePrefix="0" xfId="0">
      <alignment horizontal="general" vertical="bottom"/>
    </xf>
    <xf numFmtId="3" fontId="13" fillId="4" borderId="0" applyAlignment="1" pivotButton="0" quotePrefix="0" xfId="0">
      <alignment horizontal="general" vertical="bottom"/>
    </xf>
    <xf numFmtId="0" fontId="6" fillId="0" borderId="0" applyAlignment="1" pivotButton="0" quotePrefix="0" xfId="0">
      <alignment horizontal="general" vertical="bottom"/>
    </xf>
    <xf numFmtId="0" fontId="15" fillId="0" borderId="25" applyAlignment="1" pivotButton="0" quotePrefix="0" xfId="0">
      <alignment horizontal="general" vertical="bottom"/>
    </xf>
    <xf numFmtId="0" fontId="16" fillId="0" borderId="26" applyAlignment="1" pivotButton="0" quotePrefix="0" xfId="0">
      <alignment horizontal="general" vertical="bottom"/>
    </xf>
    <xf numFmtId="3" fontId="15" fillId="0" borderId="26" applyAlignment="1" pivotButton="0" quotePrefix="0" xfId="0">
      <alignment horizontal="general" vertical="bottom"/>
    </xf>
    <xf numFmtId="0" fontId="17" fillId="5" borderId="21" applyAlignment="1" pivotButton="0" quotePrefix="0" xfId="0">
      <alignment horizontal="center" vertical="top" wrapText="1"/>
    </xf>
    <xf numFmtId="0" fontId="9" fillId="0" borderId="27" applyAlignment="1" pivotButton="0" quotePrefix="0" xfId="0">
      <alignment horizontal="general" vertical="bottom"/>
    </xf>
    <xf numFmtId="3" fontId="9" fillId="0" borderId="28" applyAlignment="1" pivotButton="0" quotePrefix="0" xfId="0">
      <alignment horizontal="center" vertical="bottom" wrapText="1"/>
    </xf>
    <xf numFmtId="3" fontId="9" fillId="0" borderId="29" applyAlignment="1" pivotButton="0" quotePrefix="0" xfId="0">
      <alignment horizontal="center" vertical="bottom" wrapText="1"/>
    </xf>
    <xf numFmtId="0" fontId="0" fillId="0" borderId="69" pivotButton="0" quotePrefix="0" xfId="0"/>
    <xf numFmtId="0" fontId="18" fillId="6" borderId="5" applyAlignment="1" pivotButton="0" quotePrefix="0" xfId="0">
      <alignment horizontal="general" vertical="bottom"/>
    </xf>
    <xf numFmtId="3" fontId="19" fillId="6" borderId="30" applyAlignment="1" pivotButton="0" quotePrefix="0" xfId="0">
      <alignment horizontal="general" vertical="bottom"/>
    </xf>
    <xf numFmtId="3" fontId="19" fillId="6" borderId="2" applyAlignment="1" pivotButton="0" quotePrefix="0" xfId="0">
      <alignment horizontal="general" vertical="bottom"/>
    </xf>
    <xf numFmtId="0" fontId="20" fillId="0" borderId="11" applyAlignment="1" pivotButton="0" quotePrefix="0" xfId="0">
      <alignment horizontal="general" vertical="bottom"/>
    </xf>
    <xf numFmtId="3" fontId="19" fillId="3" borderId="31" applyAlignment="1" pivotButton="0" quotePrefix="0" xfId="0">
      <alignment horizontal="general" vertical="bottom"/>
    </xf>
    <xf numFmtId="0" fontId="20" fillId="0" borderId="32" applyAlignment="1" pivotButton="0" quotePrefix="0" xfId="0">
      <alignment horizontal="general" vertical="bottom"/>
    </xf>
    <xf numFmtId="0" fontId="17" fillId="0" borderId="27" applyAlignment="1" pivotButton="0" quotePrefix="0" xfId="0">
      <alignment horizontal="general" vertical="bottom"/>
    </xf>
    <xf numFmtId="3" fontId="17" fillId="0" borderId="28" applyAlignment="1" pivotButton="0" quotePrefix="0" xfId="0">
      <alignment horizontal="general" vertical="bottom"/>
    </xf>
    <xf numFmtId="0" fontId="21" fillId="6" borderId="5" applyAlignment="1" pivotButton="0" quotePrefix="0" xfId="0">
      <alignment horizontal="general" vertical="bottom"/>
    </xf>
    <xf numFmtId="3" fontId="19" fillId="6" borderId="4" applyAlignment="1" pivotButton="0" quotePrefix="0" xfId="0">
      <alignment horizontal="general" vertical="bottom"/>
    </xf>
    <xf numFmtId="3" fontId="19" fillId="6" borderId="33" applyAlignment="1" pivotButton="0" quotePrefix="0" xfId="0">
      <alignment horizontal="general" vertical="bottom"/>
    </xf>
    <xf numFmtId="0" fontId="22" fillId="0" borderId="34" applyAlignment="1" pivotButton="0" quotePrefix="0" xfId="0">
      <alignment horizontal="general" vertical="bottom"/>
    </xf>
    <xf numFmtId="3" fontId="23" fillId="3" borderId="35" applyAlignment="1" pivotButton="0" quotePrefix="0" xfId="0">
      <alignment horizontal="general" vertical="bottom"/>
    </xf>
    <xf numFmtId="3" fontId="23" fillId="3" borderId="36" applyAlignment="1" pivotButton="0" quotePrefix="0" xfId="0">
      <alignment horizontal="general" vertical="bottom"/>
    </xf>
    <xf numFmtId="0" fontId="9" fillId="0" borderId="34" applyAlignment="1" pivotButton="0" quotePrefix="0" xfId="0">
      <alignment horizontal="general" vertical="bottom"/>
    </xf>
    <xf numFmtId="3" fontId="19" fillId="3" borderId="37" applyAlignment="1" pivotButton="0" quotePrefix="0" xfId="0">
      <alignment horizontal="general" vertical="bottom"/>
    </xf>
    <xf numFmtId="3" fontId="19" fillId="3" borderId="38" applyAlignment="1" pivotButton="0" quotePrefix="0" xfId="0">
      <alignment horizontal="general" vertical="bottom"/>
    </xf>
    <xf numFmtId="3" fontId="19" fillId="3" borderId="39" applyAlignment="1" pivotButton="0" quotePrefix="0" xfId="0">
      <alignment horizontal="general" vertical="bottom"/>
    </xf>
    <xf numFmtId="3" fontId="19" fillId="3" borderId="40" applyAlignment="1" pivotButton="0" quotePrefix="0" xfId="0">
      <alignment horizontal="general" vertical="bottom"/>
    </xf>
    <xf numFmtId="0" fontId="20" fillId="0" borderId="27" applyAlignment="1" pivotButton="0" quotePrefix="0" xfId="0">
      <alignment horizontal="general" vertical="bottom"/>
    </xf>
    <xf numFmtId="3" fontId="24" fillId="5" borderId="28" applyAlignment="1" pivotButton="0" quotePrefix="0" xfId="0">
      <alignment horizontal="general" vertical="bottom"/>
    </xf>
    <xf numFmtId="0" fontId="22" fillId="0" borderId="32" applyAlignment="1" pivotButton="0" quotePrefix="0" xfId="0">
      <alignment horizontal="general" vertical="bottom"/>
    </xf>
    <xf numFmtId="3" fontId="23" fillId="3" borderId="41" applyAlignment="1" pivotButton="0" quotePrefix="0" xfId="0">
      <alignment horizontal="general" vertical="bottom"/>
    </xf>
    <xf numFmtId="3" fontId="23" fillId="3" borderId="42" applyAlignment="1" pivotButton="0" quotePrefix="0" xfId="0">
      <alignment horizontal="general" vertical="bottom"/>
    </xf>
    <xf numFmtId="0" fontId="25" fillId="0" borderId="0" applyAlignment="1" pivotButton="0" quotePrefix="0" xfId="0">
      <alignment horizontal="general" vertical="bottom"/>
    </xf>
    <xf numFmtId="0" fontId="0" fillId="0" borderId="16" pivotButton="0" quotePrefix="0" xfId="0"/>
    <xf numFmtId="3" fontId="22" fillId="0" borderId="0" applyAlignment="1" pivotButton="0" quotePrefix="0" xfId="0">
      <alignment horizontal="general" vertical="bottom"/>
    </xf>
    <xf numFmtId="0" fontId="20" fillId="0" borderId="0" applyAlignment="1" pivotButton="0" quotePrefix="0" xfId="0">
      <alignment horizontal="general" vertical="bottom"/>
    </xf>
    <xf numFmtId="1" fontId="6" fillId="0" borderId="0" applyAlignment="1" pivotButton="0" quotePrefix="0" xfId="0">
      <alignment horizontal="general" vertical="bottom"/>
    </xf>
    <xf numFmtId="0" fontId="26" fillId="0" borderId="0" applyAlignment="1" pivotButton="0" quotePrefix="0" xfId="0">
      <alignment horizontal="general" vertical="bottom"/>
    </xf>
    <xf numFmtId="1" fontId="7" fillId="0" borderId="0" applyAlignment="1" pivotButton="0" quotePrefix="0" xfId="0">
      <alignment horizontal="general" vertical="bottom"/>
    </xf>
    <xf numFmtId="1" fontId="6" fillId="2" borderId="4" applyAlignment="1" pivotButton="0" quotePrefix="0" xfId="0">
      <alignment horizontal="center" vertical="bottom"/>
    </xf>
    <xf numFmtId="1" fontId="7" fillId="2" borderId="33" applyAlignment="1" pivotButton="0" quotePrefix="0" xfId="0">
      <alignment horizontal="center" vertical="bottom"/>
    </xf>
    <xf numFmtId="1" fontId="7" fillId="2" borderId="5" applyAlignment="1" pivotButton="0" quotePrefix="0" xfId="0">
      <alignment horizontal="center" vertical="bottom"/>
    </xf>
    <xf numFmtId="1" fontId="6" fillId="0" borderId="5" applyAlignment="1" pivotButton="0" quotePrefix="0" xfId="0">
      <alignment horizontal="general" vertical="bottom"/>
    </xf>
    <xf numFmtId="3" fontId="6" fillId="7" borderId="43" applyAlignment="1" pivotButton="0" quotePrefix="0" xfId="0">
      <alignment horizontal="general" vertical="bottom"/>
    </xf>
    <xf numFmtId="3" fontId="6" fillId="0" borderId="44" applyAlignment="1" pivotButton="0" quotePrefix="0" xfId="0">
      <alignment horizontal="general" vertical="bottom"/>
    </xf>
    <xf numFmtId="3" fontId="6" fillId="7" borderId="38" applyAlignment="1" pivotButton="0" quotePrefix="0" xfId="17">
      <alignment horizontal="general" vertical="bottom"/>
    </xf>
    <xf numFmtId="3" fontId="6" fillId="0" borderId="11" applyAlignment="1" pivotButton="0" quotePrefix="0" xfId="0">
      <alignment horizontal="general" vertical="bottom"/>
    </xf>
    <xf numFmtId="1" fontId="6" fillId="0" borderId="18" applyAlignment="1" pivotButton="0" quotePrefix="0" xfId="0">
      <alignment horizontal="general" vertical="bottom"/>
    </xf>
    <xf numFmtId="1" fontId="6" fillId="0" borderId="34" applyAlignment="1" pivotButton="0" quotePrefix="0" xfId="0">
      <alignment horizontal="general" vertical="bottom"/>
    </xf>
    <xf numFmtId="3" fontId="6" fillId="0" borderId="45" applyAlignment="1" pivotButton="0" quotePrefix="0" xfId="0">
      <alignment horizontal="general" vertical="bottom"/>
    </xf>
    <xf numFmtId="1" fontId="7" fillId="0" borderId="21" applyAlignment="1" pivotButton="0" quotePrefix="0" xfId="0">
      <alignment horizontal="general" vertical="bottom"/>
    </xf>
    <xf numFmtId="1" fontId="6" fillId="0" borderId="21" applyAlignment="1" pivotButton="0" quotePrefix="0" xfId="0">
      <alignment horizontal="general" vertical="bottom"/>
    </xf>
    <xf numFmtId="3" fontId="7" fillId="0" borderId="29" applyAlignment="1" pivotButton="0" quotePrefix="0" xfId="0">
      <alignment horizontal="general" vertical="bottom"/>
    </xf>
    <xf numFmtId="3" fontId="7" fillId="0" borderId="29" applyAlignment="1" pivotButton="0" quotePrefix="0" xfId="17">
      <alignment horizontal="general" vertical="bottom"/>
    </xf>
    <xf numFmtId="3" fontId="7" fillId="0" borderId="27" applyAlignment="1" pivotButton="0" quotePrefix="0" xfId="17">
      <alignment horizontal="general" vertical="bottom"/>
    </xf>
    <xf numFmtId="1" fontId="12" fillId="0" borderId="0" applyAlignment="1" pivotButton="0" quotePrefix="0" xfId="0">
      <alignment horizontal="center" vertical="bottom"/>
    </xf>
    <xf numFmtId="1" fontId="12" fillId="0" borderId="0" applyAlignment="1" pivotButton="0" quotePrefix="0" xfId="0">
      <alignment horizontal="general" vertical="bottom"/>
    </xf>
    <xf numFmtId="0" fontId="27" fillId="0" borderId="46" applyAlignment="1" pivotButton="0" quotePrefix="0" xfId="0">
      <alignment horizontal="general" vertical="bottom"/>
    </xf>
    <xf numFmtId="3" fontId="27" fillId="0" borderId="47" applyAlignment="1" pivotButton="0" quotePrefix="0" xfId="17">
      <alignment horizontal="general" vertical="bottom"/>
    </xf>
    <xf numFmtId="3" fontId="27" fillId="0" borderId="48" applyAlignment="1" pivotButton="0" quotePrefix="0" xfId="0">
      <alignment horizontal="general" vertical="bottom"/>
    </xf>
    <xf numFmtId="1" fontId="11" fillId="0" borderId="0" applyAlignment="1" pivotButton="0" quotePrefix="0" xfId="0">
      <alignment horizontal="general" vertical="bottom"/>
    </xf>
    <xf numFmtId="1" fontId="12" fillId="8" borderId="25" applyAlignment="1" pivotButton="0" quotePrefix="0" xfId="0">
      <alignment horizontal="general" vertical="bottom"/>
    </xf>
    <xf numFmtId="166" fontId="12" fillId="8" borderId="0" applyAlignment="1" pivotButton="0" quotePrefix="0" xfId="15">
      <alignment horizontal="general" vertical="bottom"/>
    </xf>
    <xf numFmtId="166" fontId="12" fillId="8" borderId="30" applyAlignment="1" pivotButton="0" quotePrefix="0" xfId="15">
      <alignment horizontal="general" vertical="bottom"/>
    </xf>
    <xf numFmtId="1" fontId="11" fillId="0" borderId="25" applyAlignment="1" pivotButton="0" quotePrefix="0" xfId="0">
      <alignment horizontal="general" vertical="bottom"/>
    </xf>
    <xf numFmtId="166" fontId="11" fillId="0" borderId="0" applyAlignment="1" pivotButton="0" quotePrefix="0" xfId="15">
      <alignment horizontal="general" vertical="bottom"/>
    </xf>
    <xf numFmtId="166" fontId="11" fillId="0" borderId="30" applyAlignment="1" pivotButton="0" quotePrefix="0" xfId="15">
      <alignment horizontal="general" vertical="bottom"/>
    </xf>
    <xf numFmtId="1" fontId="11" fillId="0" borderId="49" applyAlignment="1" pivotButton="0" quotePrefix="0" xfId="0">
      <alignment horizontal="general" vertical="bottom"/>
    </xf>
    <xf numFmtId="166" fontId="11" fillId="0" borderId="36" applyAlignment="1" pivotButton="0" quotePrefix="0" xfId="15">
      <alignment horizontal="general" vertical="bottom"/>
    </xf>
    <xf numFmtId="166" fontId="11" fillId="0" borderId="50" applyAlignment="1" pivotButton="0" quotePrefix="0" xfId="15">
      <alignment horizontal="general" vertical="bottom"/>
    </xf>
    <xf numFmtId="0" fontId="11" fillId="0" borderId="0" applyAlignment="1" pivotButton="0" quotePrefix="0" xfId="0">
      <alignment horizontal="general" vertical="bottom"/>
    </xf>
    <xf numFmtId="0" fontId="28" fillId="8" borderId="0" applyAlignment="1" pivotButton="0" quotePrefix="0" xfId="0">
      <alignment horizontal="general" vertical="bottom"/>
    </xf>
    <xf numFmtId="167" fontId="28" fillId="8" borderId="0" applyAlignment="1" pivotButton="0" quotePrefix="0" xfId="0">
      <alignment horizontal="general" vertical="bottom"/>
    </xf>
    <xf numFmtId="167" fontId="11" fillId="0" borderId="0" applyAlignment="1" pivotButton="0" quotePrefix="0" xfId="0">
      <alignment horizontal="general" vertical="bottom"/>
    </xf>
    <xf numFmtId="0" fontId="11" fillId="0" borderId="0" applyAlignment="1" pivotButton="0" quotePrefix="0" xfId="0">
      <alignment horizontal="center" vertical="bottom"/>
    </xf>
    <xf numFmtId="168" fontId="11" fillId="0" borderId="0" applyAlignment="1" pivotButton="0" quotePrefix="0" xfId="0">
      <alignment horizontal="general" vertical="bottom"/>
    </xf>
    <xf numFmtId="169" fontId="11" fillId="0" borderId="0" applyAlignment="1" pivotButton="0" quotePrefix="0" xfId="0">
      <alignment horizontal="general" vertical="bottom"/>
    </xf>
    <xf numFmtId="167" fontId="11" fillId="0" borderId="0" applyAlignment="1" pivotButton="0" quotePrefix="0" xfId="0">
      <alignment horizontal="general" vertical="center" wrapText="1"/>
    </xf>
    <xf numFmtId="170" fontId="11" fillId="0" borderId="0" applyAlignment="1" pivotButton="0" quotePrefix="0" xfId="0">
      <alignment horizontal="general" vertical="bottom"/>
    </xf>
    <xf numFmtId="0" fontId="12" fillId="0" borderId="0" applyAlignment="1" pivotButton="0" quotePrefix="0" xfId="0">
      <alignment horizontal="general" vertical="bottom"/>
    </xf>
    <xf numFmtId="166" fontId="12" fillId="0" borderId="0" applyAlignment="1" pivotButton="0" quotePrefix="0" xfId="15">
      <alignment horizontal="general" vertical="bottom"/>
    </xf>
    <xf numFmtId="167" fontId="12" fillId="0" borderId="0" applyAlignment="1" pivotButton="0" quotePrefix="0" xfId="0">
      <alignment horizontal="general" vertical="bottom"/>
    </xf>
    <xf numFmtId="167" fontId="12" fillId="0" borderId="0" applyAlignment="1" pivotButton="0" quotePrefix="0" xfId="0">
      <alignment horizontal="general" vertical="center" wrapText="1"/>
    </xf>
    <xf numFmtId="0" fontId="12" fillId="0" borderId="0" applyAlignment="1" pivotButton="0" quotePrefix="0" xfId="0">
      <alignment horizontal="center" vertical="bottom"/>
    </xf>
    <xf numFmtId="166" fontId="11" fillId="0" borderId="0" applyAlignment="1" pivotButton="0" quotePrefix="0" xfId="15">
      <alignment horizontal="general" vertical="center" wrapText="1"/>
    </xf>
    <xf numFmtId="0" fontId="0" fillId="0" borderId="0" applyAlignment="1" pivotButton="0" quotePrefix="0" xfId="0">
      <alignment horizontal="center" vertical="bottom"/>
    </xf>
    <xf numFmtId="171" fontId="0" fillId="0" borderId="0" applyAlignment="1" pivotButton="0" quotePrefix="0" xfId="0">
      <alignment horizontal="general" vertical="bottom"/>
    </xf>
    <xf numFmtId="169" fontId="0" fillId="0" borderId="0" applyAlignment="1" pivotButton="0" quotePrefix="0" xfId="0">
      <alignment horizontal="general" vertical="bottom"/>
    </xf>
    <xf numFmtId="172" fontId="7" fillId="0" borderId="51" applyAlignment="1" pivotButton="0" quotePrefix="0" xfId="0">
      <alignment horizontal="center" vertical="bottom"/>
    </xf>
    <xf numFmtId="172" fontId="7" fillId="5" borderId="52" applyAlignment="1" pivotButton="0" quotePrefix="0" xfId="0">
      <alignment horizontal="center" vertical="bottom"/>
    </xf>
    <xf numFmtId="172" fontId="7" fillId="5" borderId="53" applyAlignment="1" pivotButton="0" quotePrefix="0" xfId="0">
      <alignment horizontal="center" vertical="bottom"/>
    </xf>
    <xf numFmtId="172" fontId="7" fillId="5" borderId="54" applyAlignment="1" pivotButton="0" quotePrefix="0" xfId="0">
      <alignment horizontal="center" vertical="bottom"/>
    </xf>
    <xf numFmtId="172" fontId="7" fillId="0" borderId="54" applyAlignment="1" pivotButton="0" quotePrefix="0" xfId="0">
      <alignment horizontal="center" vertical="bottom"/>
    </xf>
    <xf numFmtId="172" fontId="7" fillId="0" borderId="52" applyAlignment="1" pivotButton="0" quotePrefix="0" xfId="0">
      <alignment horizontal="center" vertical="bottom"/>
    </xf>
    <xf numFmtId="172" fontId="7" fillId="0" borderId="53" applyAlignment="1" pivotButton="0" quotePrefix="0" xfId="0">
      <alignment horizontal="center" vertical="bottom"/>
    </xf>
    <xf numFmtId="172" fontId="7" fillId="2" borderId="21" applyAlignment="1" pivotButton="0" quotePrefix="0" xfId="0">
      <alignment horizontal="center" vertical="bottom"/>
    </xf>
    <xf numFmtId="0" fontId="0" fillId="0" borderId="20" pivotButton="0" quotePrefix="0" xfId="0"/>
    <xf numFmtId="0" fontId="0" fillId="0" borderId="27" pivotButton="0" quotePrefix="0" xfId="0"/>
    <xf numFmtId="172" fontId="29" fillId="0" borderId="55" applyAlignment="1" pivotButton="0" quotePrefix="0" xfId="0">
      <alignment horizontal="left" vertical="bottom"/>
    </xf>
    <xf numFmtId="3" fontId="29" fillId="7" borderId="56" applyAlignment="1" pivotButton="0" quotePrefix="0" xfId="0">
      <alignment horizontal="left" vertical="bottom"/>
    </xf>
    <xf numFmtId="3" fontId="29" fillId="7" borderId="3" applyAlignment="1" pivotButton="0" quotePrefix="0" xfId="0">
      <alignment horizontal="right" vertical="bottom"/>
    </xf>
    <xf numFmtId="3" fontId="29" fillId="7" borderId="3" applyAlignment="1" pivotButton="0" quotePrefix="0" xfId="0">
      <alignment horizontal="left" vertical="bottom"/>
    </xf>
    <xf numFmtId="3" fontId="29" fillId="7" borderId="49" applyAlignment="1" pivotButton="0" quotePrefix="0" xfId="0">
      <alignment horizontal="left" vertical="bottom"/>
    </xf>
    <xf numFmtId="3" fontId="7" fillId="5" borderId="6" applyAlignment="1" pivotButton="0" quotePrefix="0" xfId="0">
      <alignment horizontal="general" vertical="bottom"/>
    </xf>
    <xf numFmtId="3" fontId="6" fillId="7" borderId="56" applyAlignment="1" pivotButton="0" quotePrefix="0" xfId="0">
      <alignment horizontal="general" vertical="bottom"/>
    </xf>
    <xf numFmtId="3" fontId="6" fillId="7" borderId="3" applyAlignment="1" pivotButton="0" quotePrefix="0" xfId="0">
      <alignment horizontal="general" vertical="bottom"/>
    </xf>
    <xf numFmtId="3" fontId="6" fillId="7" borderId="49" applyAlignment="1" pivotButton="0" quotePrefix="0" xfId="0">
      <alignment horizontal="general" vertical="bottom"/>
    </xf>
    <xf numFmtId="0" fontId="0" fillId="0" borderId="8" applyAlignment="1" pivotButton="0" quotePrefix="0" xfId="0">
      <alignment horizontal="general" vertical="bottom"/>
    </xf>
    <xf numFmtId="3" fontId="30" fillId="7" borderId="38" applyAlignment="1" pivotButton="0" quotePrefix="0" xfId="0">
      <alignment horizontal="right" vertical="bottom"/>
    </xf>
    <xf numFmtId="3" fontId="7" fillId="5" borderId="55" applyAlignment="1" pivotButton="0" quotePrefix="0" xfId="0">
      <alignment horizontal="general" vertical="bottom"/>
    </xf>
    <xf numFmtId="3" fontId="31" fillId="7" borderId="38" applyAlignment="1" pivotButton="0" quotePrefix="0" xfId="0">
      <alignment horizontal="general" vertical="bottom"/>
    </xf>
    <xf numFmtId="3" fontId="31" fillId="7" borderId="57" applyAlignment="1" pivotButton="0" quotePrefix="0" xfId="0">
      <alignment horizontal="general" vertical="bottom"/>
    </xf>
    <xf numFmtId="3" fontId="6" fillId="7" borderId="38" applyAlignment="1" pivotButton="0" quotePrefix="0" xfId="0">
      <alignment horizontal="general" vertical="bottom"/>
    </xf>
    <xf numFmtId="3" fontId="6" fillId="7" borderId="57" applyAlignment="1" pivotButton="0" quotePrefix="0" xfId="0">
      <alignment horizontal="general" vertical="bottom"/>
    </xf>
    <xf numFmtId="3" fontId="7" fillId="5" borderId="8" applyAlignment="1" pivotButton="0" quotePrefix="0" xfId="0">
      <alignment horizontal="general" vertical="bottom"/>
    </xf>
    <xf numFmtId="0" fontId="0" fillId="0" borderId="8" applyAlignment="1" pivotButton="0" quotePrefix="0" xfId="0">
      <alignment horizontal="left" vertical="bottom"/>
    </xf>
    <xf numFmtId="3" fontId="6" fillId="7" borderId="37" applyAlignment="1" pivotButton="0" quotePrefix="0" xfId="0">
      <alignment horizontal="general" vertical="bottom"/>
    </xf>
    <xf numFmtId="3" fontId="31" fillId="7" borderId="1" applyAlignment="1" pivotButton="0" quotePrefix="0" xfId="0">
      <alignment horizontal="general" vertical="bottom"/>
    </xf>
    <xf numFmtId="3" fontId="31" fillId="7" borderId="46" applyAlignment="1" pivotButton="0" quotePrefix="0" xfId="0">
      <alignment horizontal="general" vertical="bottom"/>
    </xf>
    <xf numFmtId="3" fontId="6" fillId="7" borderId="58" applyAlignment="1" pivotButton="0" quotePrefix="0" xfId="0">
      <alignment horizontal="general" vertical="bottom"/>
    </xf>
    <xf numFmtId="3" fontId="6" fillId="7" borderId="1" applyAlignment="1" pivotButton="0" quotePrefix="0" xfId="0">
      <alignment horizontal="general" vertical="bottom"/>
    </xf>
    <xf numFmtId="3" fontId="6" fillId="7" borderId="46" applyAlignment="1" pivotButton="0" quotePrefix="0" xfId="0">
      <alignment horizontal="general" vertical="bottom"/>
    </xf>
    <xf numFmtId="172" fontId="7" fillId="5" borderId="21" applyAlignment="1" pivotButton="0" quotePrefix="0" xfId="0">
      <alignment horizontal="general" vertical="bottom"/>
    </xf>
    <xf numFmtId="3" fontId="7" fillId="5" borderId="59" applyAlignment="1" pivotButton="0" quotePrefix="0" xfId="0">
      <alignment horizontal="general" vertical="bottom"/>
    </xf>
    <xf numFmtId="3" fontId="7" fillId="5" borderId="29" applyAlignment="1" pivotButton="0" quotePrefix="0" xfId="0">
      <alignment horizontal="general" vertical="bottom"/>
    </xf>
    <xf numFmtId="3" fontId="7" fillId="5" borderId="60" applyAlignment="1" pivotButton="0" quotePrefix="0" xfId="0">
      <alignment horizontal="general" vertical="bottom"/>
    </xf>
    <xf numFmtId="3" fontId="7" fillId="5" borderId="21" applyAlignment="1" pivotButton="0" quotePrefix="0" xfId="0">
      <alignment horizontal="general" vertical="bottom"/>
    </xf>
    <xf numFmtId="3" fontId="7" fillId="0" borderId="59" applyAlignment="1" pivotButton="0" quotePrefix="0" xfId="0">
      <alignment horizontal="general" vertical="bottom"/>
    </xf>
    <xf numFmtId="3" fontId="7" fillId="0" borderId="60" applyAlignment="1" pivotButton="0" quotePrefix="0" xfId="0">
      <alignment horizontal="general" vertical="bottom"/>
    </xf>
    <xf numFmtId="3" fontId="7" fillId="0" borderId="21" applyAlignment="1" pivotButton="0" quotePrefix="0" xfId="0">
      <alignment horizontal="general" vertical="bottom"/>
    </xf>
    <xf numFmtId="172" fontId="8" fillId="2" borderId="19" applyAlignment="1" pivotButton="0" quotePrefix="0" xfId="0">
      <alignment horizontal="general" vertical="bottom" wrapText="1"/>
    </xf>
    <xf numFmtId="3" fontId="8" fillId="5" borderId="29" applyAlignment="1" pivotButton="0" quotePrefix="0" xfId="0">
      <alignment horizontal="general" vertical="bottom"/>
    </xf>
    <xf numFmtId="3" fontId="8" fillId="5" borderId="60" applyAlignment="1" pivotButton="0" quotePrefix="0" xfId="0">
      <alignment horizontal="general" vertical="bottom"/>
    </xf>
    <xf numFmtId="3" fontId="8" fillId="5" borderId="21" applyAlignment="1" pivotButton="0" quotePrefix="0" xfId="0">
      <alignment horizontal="general" vertical="bottom"/>
    </xf>
    <xf numFmtId="3" fontId="8" fillId="5" borderId="28" applyAlignment="1" pivotButton="0" quotePrefix="0" xfId="0">
      <alignment horizontal="general" vertical="bottom"/>
    </xf>
    <xf numFmtId="172" fontId="7" fillId="0" borderId="0" applyAlignment="1" pivotButton="0" quotePrefix="0" xfId="0">
      <alignment horizontal="general" vertical="bottom"/>
    </xf>
    <xf numFmtId="0" fontId="32" fillId="0" borderId="0" applyAlignment="1" pivotButton="0" quotePrefix="0" xfId="0">
      <alignment horizontal="left" vertical="bottom"/>
    </xf>
    <xf numFmtId="0" fontId="0" fillId="0" borderId="0" applyAlignment="1" pivotButton="0" quotePrefix="0" xfId="0">
      <alignment horizontal="left" vertical="top" indent="1"/>
    </xf>
    <xf numFmtId="0" fontId="0" fillId="0" borderId="0" applyAlignment="1" pivotButton="0" quotePrefix="0" xfId="0">
      <alignment horizontal="general" vertical="top"/>
    </xf>
    <xf numFmtId="172" fontId="6" fillId="0" borderId="0" applyAlignment="1" pivotButton="0" quotePrefix="0" xfId="0">
      <alignment horizontal="general" vertical="bottom"/>
    </xf>
    <xf numFmtId="1" fontId="7" fillId="2" borderId="33" applyAlignment="1" pivotButton="0" quotePrefix="0" xfId="0">
      <alignment horizontal="center" vertical="bottom" wrapText="1"/>
    </xf>
    <xf numFmtId="3" fontId="6" fillId="7" borderId="52" applyAlignment="1" pivotButton="0" quotePrefix="0" xfId="0">
      <alignment horizontal="general" vertical="bottom"/>
    </xf>
    <xf numFmtId="3" fontId="6" fillId="7" borderId="61" applyAlignment="1" pivotButton="0" quotePrefix="0" xfId="0">
      <alignment horizontal="general" vertical="bottom"/>
    </xf>
    <xf numFmtId="3" fontId="6" fillId="7" borderId="37" applyAlignment="1" pivotButton="0" quotePrefix="0" xfId="17">
      <alignment horizontal="general" vertical="bottom"/>
    </xf>
    <xf numFmtId="3" fontId="6" fillId="7" borderId="62" applyAlignment="1" pivotButton="0" quotePrefix="0" xfId="17">
      <alignment horizontal="general" vertical="bottom"/>
    </xf>
    <xf numFmtId="3" fontId="6" fillId="7" borderId="63" applyAlignment="1" pivotButton="0" quotePrefix="0" xfId="0">
      <alignment horizontal="general" vertical="bottom"/>
    </xf>
    <xf numFmtId="3" fontId="6" fillId="7" borderId="40" applyAlignment="1" pivotButton="0" quotePrefix="0" xfId="0">
      <alignment horizontal="general" vertical="bottom"/>
    </xf>
    <xf numFmtId="3" fontId="6" fillId="7" borderId="64" applyAlignment="1" pivotButton="0" quotePrefix="0" xfId="0">
      <alignment horizontal="general" vertical="bottom"/>
    </xf>
    <xf numFmtId="3" fontId="7" fillId="0" borderId="65" applyAlignment="1" pivotButton="0" quotePrefix="0" xfId="17">
      <alignment horizontal="general" vertical="bottom"/>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7" fillId="0" borderId="0" applyAlignment="1" pivotButton="0" quotePrefix="0" xfId="0">
      <alignment horizontal="center" vertical="bottom"/>
    </xf>
    <xf numFmtId="0" fontId="7" fillId="2" borderId="4" applyAlignment="1" pivotButton="0" quotePrefix="0" xfId="0">
      <alignment horizontal="general" vertical="bottom"/>
    </xf>
    <xf numFmtId="0" fontId="6" fillId="2" borderId="33" applyAlignment="1" pivotButton="0" quotePrefix="0" xfId="0">
      <alignment horizontal="general" vertical="bottom"/>
    </xf>
    <xf numFmtId="0" fontId="6" fillId="0" borderId="4" applyAlignment="1" pivotButton="0" quotePrefix="0" xfId="0">
      <alignment horizontal="general" vertical="bottom"/>
    </xf>
    <xf numFmtId="0" fontId="9" fillId="0" borderId="5" applyAlignment="1" pivotButton="0" quotePrefix="0" xfId="0">
      <alignment horizontal="general" vertical="bottom"/>
    </xf>
    <xf numFmtId="0" fontId="6" fillId="9" borderId="43" applyAlignment="1" pivotButton="0" quotePrefix="0" xfId="0">
      <alignment horizontal="general" vertical="bottom"/>
    </xf>
    <xf numFmtId="0" fontId="6" fillId="0" borderId="10" applyAlignment="1" pivotButton="0" quotePrefix="0" xfId="0">
      <alignment horizontal="general" vertical="bottom"/>
    </xf>
    <xf numFmtId="0" fontId="9" fillId="0" borderId="32" applyAlignment="1" pivotButton="0" quotePrefix="0" xfId="0">
      <alignment horizontal="general" vertical="bottom"/>
    </xf>
    <xf numFmtId="0" fontId="6" fillId="9" borderId="38" applyAlignment="1" pivotButton="0" quotePrefix="0" xfId="0">
      <alignment horizontal="general" vertical="bottom"/>
    </xf>
    <xf numFmtId="0" fontId="6" fillId="0" borderId="66" applyAlignment="1" pivotButton="0" quotePrefix="0" xfId="0">
      <alignment horizontal="general" vertical="bottom"/>
    </xf>
    <xf numFmtId="0" fontId="9" fillId="0" borderId="45" applyAlignment="1" pivotButton="0" quotePrefix="0" xfId="0">
      <alignment horizontal="general" vertical="bottom"/>
    </xf>
    <xf numFmtId="0" fontId="6" fillId="9" borderId="1" applyAlignment="1" pivotButton="0" quotePrefix="0" xfId="0">
      <alignment horizontal="general" vertical="bottom"/>
    </xf>
    <xf numFmtId="0" fontId="7" fillId="0" borderId="19" applyAlignment="1" pivotButton="0" quotePrefix="0" xfId="0">
      <alignment horizontal="general" vertical="bottom"/>
    </xf>
    <xf numFmtId="0" fontId="6" fillId="0" borderId="67" applyAlignment="1" pivotButton="0" quotePrefix="0" xfId="0">
      <alignment horizontal="general" vertical="bottom"/>
    </xf>
    <xf numFmtId="0" fontId="6" fillId="9" borderId="59" applyAlignment="1" pivotButton="0" quotePrefix="0" xfId="0">
      <alignment horizontal="general" vertical="bottom"/>
    </xf>
    <xf numFmtId="0" fontId="6" fillId="9" borderId="29" applyAlignment="1" pivotButton="0" quotePrefix="0" xfId="0">
      <alignment horizontal="general" vertical="bottom"/>
    </xf>
    <xf numFmtId="166" fontId="6" fillId="7" borderId="43" applyAlignment="1" pivotButton="0" quotePrefix="0" xfId="15">
      <alignment horizontal="general" vertical="bottom"/>
    </xf>
    <xf numFmtId="166" fontId="6" fillId="7" borderId="38" applyAlignment="1" pivotButton="0" quotePrefix="0" xfId="15">
      <alignment horizontal="general" vertical="bottom"/>
    </xf>
    <xf numFmtId="166" fontId="6" fillId="7" borderId="1" applyAlignment="1" pivotButton="0" quotePrefix="0" xfId="15">
      <alignment horizontal="general" vertical="bottom"/>
    </xf>
    <xf numFmtId="166" fontId="6" fillId="5" borderId="59" applyAlignment="1" pivotButton="0" quotePrefix="0" xfId="15">
      <alignment horizontal="general" vertical="bottom"/>
    </xf>
    <xf numFmtId="166" fontId="6" fillId="5" borderId="29" applyAlignment="1" pivotButton="0" quotePrefix="0" xfId="15">
      <alignment horizontal="general" vertical="bottom"/>
    </xf>
    <xf numFmtId="166" fontId="6" fillId="0" borderId="0" applyAlignment="1" pivotButton="0" quotePrefix="0" xfId="0">
      <alignment horizontal="general" vertical="bottom"/>
    </xf>
    <xf numFmtId="173" fontId="6" fillId="0" borderId="0" applyAlignment="1" pivotButton="0" quotePrefix="0" xfId="0">
      <alignment horizontal="general" vertical="bottom"/>
    </xf>
    <xf numFmtId="0" fontId="6" fillId="2" borderId="5" applyAlignment="1" pivotButton="0" quotePrefix="0" xfId="0">
      <alignment horizontal="general" vertical="bottom"/>
    </xf>
    <xf numFmtId="0" fontId="6" fillId="0" borderId="68" applyAlignment="1" pivotButton="0" quotePrefix="0" xfId="0">
      <alignment horizontal="general" vertical="bottom"/>
    </xf>
    <xf numFmtId="0" fontId="6" fillId="9" borderId="57" applyAlignment="1" pivotButton="0" quotePrefix="0" xfId="0">
      <alignment horizontal="general" vertical="bottom"/>
    </xf>
    <xf numFmtId="0" fontId="6" fillId="9" borderId="68" applyAlignment="1" pivotButton="0" quotePrefix="0" xfId="0">
      <alignment horizontal="general" vertical="bottom"/>
    </xf>
    <xf numFmtId="0" fontId="6" fillId="9" borderId="11" applyAlignment="1" pivotButton="0" quotePrefix="0" xfId="0">
      <alignment horizontal="general" vertical="bottom"/>
    </xf>
    <xf numFmtId="0" fontId="6" fillId="0" borderId="35" applyAlignment="1" pivotButton="0" quotePrefix="0" xfId="0">
      <alignment horizontal="general" vertical="bottom"/>
    </xf>
    <xf numFmtId="0" fontId="6" fillId="0" borderId="36" applyAlignment="1" pivotButton="0" quotePrefix="0" xfId="0">
      <alignment horizontal="general" vertical="bottom"/>
    </xf>
    <xf numFmtId="0" fontId="6" fillId="0" borderId="64" applyAlignment="1" pivotButton="0" quotePrefix="0" xfId="0">
      <alignment horizontal="center" vertical="center" wrapText="1"/>
    </xf>
    <xf numFmtId="0" fontId="0" fillId="0" borderId="47" pivotButton="0" quotePrefix="0" xfId="0"/>
    <xf numFmtId="0" fontId="0" fillId="0" borderId="32" pivotButton="0" quotePrefix="0" xfId="0"/>
    <xf numFmtId="0" fontId="6" fillId="0" borderId="12" applyAlignment="1" pivotButton="0" quotePrefix="0" xfId="0">
      <alignment horizontal="general" vertical="bottom"/>
    </xf>
    <xf numFmtId="0" fontId="0" fillId="0" borderId="75" pivotButton="0" quotePrefix="0" xfId="0"/>
    <xf numFmtId="0" fontId="0" fillId="0" borderId="67" pivotButton="0" quotePrefix="0" xfId="0"/>
    <xf numFmtId="0" fontId="0" fillId="0" borderId="13" pivotButton="0" quotePrefix="0" xfId="0"/>
    <xf numFmtId="0" fontId="15" fillId="0" borderId="21" applyAlignment="1" pivotButton="0" quotePrefix="0" xfId="0">
      <alignment horizontal="general" vertical="bottom"/>
    </xf>
    <xf numFmtId="0" fontId="18" fillId="6" borderId="51" applyAlignment="1" pivotButton="0" quotePrefix="0" xfId="0">
      <alignment horizontal="general" vertical="bottom"/>
    </xf>
    <xf numFmtId="0" fontId="22" fillId="0" borderId="69" applyAlignment="1" pivotButton="0" quotePrefix="0" xfId="0">
      <alignment horizontal="general" vertical="bottom"/>
    </xf>
    <xf numFmtId="3" fontId="23" fillId="5" borderId="35" applyAlignment="1" pivotButton="0" quotePrefix="0" xfId="0">
      <alignment horizontal="general" vertical="bottom"/>
    </xf>
    <xf numFmtId="3" fontId="23" fillId="5" borderId="36" applyAlignment="1" pivotButton="0" quotePrefix="0" xfId="0">
      <alignment horizontal="general" vertical="bottom"/>
    </xf>
    <xf numFmtId="0" fontId="9" fillId="0" borderId="69" applyAlignment="1" pivotButton="0" quotePrefix="0" xfId="0">
      <alignment horizontal="general" vertical="bottom"/>
    </xf>
    <xf numFmtId="167" fontId="19" fillId="7" borderId="37" applyAlignment="1" pivotButton="0" quotePrefix="0" xfId="0">
      <alignment horizontal="general" vertical="bottom"/>
    </xf>
    <xf numFmtId="167" fontId="19" fillId="7" borderId="38" applyAlignment="1" pivotButton="0" quotePrefix="0" xfId="0">
      <alignment horizontal="general" vertical="bottom"/>
    </xf>
    <xf numFmtId="167" fontId="19" fillId="7" borderId="39" applyAlignment="1" pivotButton="0" quotePrefix="0" xfId="0">
      <alignment horizontal="general" vertical="bottom"/>
    </xf>
    <xf numFmtId="167" fontId="19" fillId="7" borderId="40" applyAlignment="1" pivotButton="0" quotePrefix="0" xfId="0">
      <alignment horizontal="general" vertical="bottom"/>
    </xf>
    <xf numFmtId="0" fontId="20" fillId="0" borderId="19" applyAlignment="1" pivotButton="0" quotePrefix="0" xfId="0">
      <alignment horizontal="general" vertical="bottom"/>
    </xf>
    <xf numFmtId="167" fontId="24" fillId="5" borderId="20" applyAlignment="1" pivotButton="0" quotePrefix="0" xfId="0">
      <alignment horizontal="general" vertical="bottom"/>
    </xf>
    <xf numFmtId="0" fontId="22" fillId="0" borderId="70" applyAlignment="1" pivotButton="0" quotePrefix="0" xfId="0">
      <alignment horizontal="general" vertical="bottom"/>
    </xf>
    <xf numFmtId="167" fontId="23" fillId="5" borderId="35" applyAlignment="1" pivotButton="0" quotePrefix="0" xfId="0">
      <alignment horizontal="general" vertical="bottom"/>
    </xf>
    <xf numFmtId="167" fontId="23" fillId="5" borderId="36" applyAlignment="1" pivotButton="0" quotePrefix="0" xfId="0">
      <alignment horizontal="general" vertical="bottom"/>
    </xf>
    <xf numFmtId="0" fontId="9" fillId="0" borderId="16" applyAlignment="1" pivotButton="0" quotePrefix="0" xfId="0">
      <alignment horizontal="general" vertical="bottom"/>
    </xf>
    <xf numFmtId="10" fontId="19" fillId="7" borderId="37" applyAlignment="1" pivotButton="0" quotePrefix="0" xfId="0">
      <alignment horizontal="general" vertical="bottom"/>
    </xf>
    <xf numFmtId="10" fontId="24" fillId="5" borderId="20" applyAlignment="1" pivotButton="0" quotePrefix="0" xfId="0">
      <alignment horizontal="general" vertical="bottom"/>
    </xf>
    <xf numFmtId="10" fontId="23" fillId="5" borderId="35" applyAlignment="1" pivotButton="0" quotePrefix="0" xfId="0">
      <alignment horizontal="general" vertical="bottom"/>
    </xf>
    <xf numFmtId="10" fontId="23" fillId="5" borderId="36" applyAlignment="1" pivotButton="0" quotePrefix="0" xfId="0">
      <alignment horizontal="general" vertical="bottom"/>
    </xf>
    <xf numFmtId="3" fontId="24" fillId="5" borderId="20" applyAlignment="1" pivotButton="0" quotePrefix="0" xfId="0">
      <alignment horizontal="general" vertical="bottom"/>
    </xf>
    <xf numFmtId="0" fontId="15" fillId="0" borderId="0" applyAlignment="1" pivotButton="0" quotePrefix="0" xfId="0">
      <alignment horizontal="general" vertical="bottom"/>
    </xf>
    <xf numFmtId="3" fontId="16" fillId="0" borderId="0" applyAlignment="1" pivotButton="0" quotePrefix="0" xfId="0">
      <alignment horizontal="general" vertical="bottom"/>
    </xf>
    <xf numFmtId="10" fontId="19" fillId="7" borderId="39" applyAlignment="1" pivotButton="0" quotePrefix="0" xfId="0">
      <alignment horizontal="general" vertical="bottom"/>
    </xf>
    <xf numFmtId="0" fontId="22" fillId="0" borderId="14" applyAlignment="1" pivotButton="0" quotePrefix="0" xfId="0">
      <alignment horizontal="general" vertical="bottom"/>
    </xf>
    <xf numFmtId="0" fontId="15" fillId="0" borderId="51" applyAlignment="1" pivotButton="0" quotePrefix="0" xfId="0">
      <alignment horizontal="general" vertical="bottom"/>
    </xf>
    <xf numFmtId="0" fontId="0" fillId="0" borderId="33" pivotButton="0" quotePrefix="0" xfId="0"/>
    <xf numFmtId="0" fontId="0" fillId="0" borderId="5" pivotButton="0" quotePrefix="0" xfId="0"/>
    <xf numFmtId="0" fontId="18" fillId="5" borderId="51" applyAlignment="1" pivotButton="0" quotePrefix="0" xfId="0">
      <alignment horizontal="general" vertical="bottom"/>
    </xf>
    <xf numFmtId="0" fontId="22" fillId="0" borderId="27" applyAlignment="1" pivotButton="0" quotePrefix="0" xfId="0">
      <alignment horizontal="center" vertical="top" wrapText="1"/>
    </xf>
    <xf numFmtId="0" fontId="22" fillId="0" borderId="21" applyAlignment="1" pivotButton="0" quotePrefix="0" xfId="0">
      <alignment horizontal="center" vertical="top" wrapText="1"/>
    </xf>
    <xf numFmtId="3" fontId="24" fillId="5" borderId="27" applyAlignment="1" pivotButton="0" quotePrefix="0" xfId="0">
      <alignment horizontal="center" vertical="bottom"/>
    </xf>
    <xf numFmtId="0" fontId="22" fillId="0" borderId="16" applyAlignment="1" pivotButton="0" quotePrefix="0" xfId="0">
      <alignment horizontal="center" vertical="top" wrapText="1"/>
    </xf>
    <xf numFmtId="10" fontId="19" fillId="5" borderId="56" applyAlignment="1" pivotButton="0" quotePrefix="0" xfId="0">
      <alignment horizontal="general" vertical="bottom" wrapText="1"/>
    </xf>
    <xf numFmtId="10" fontId="19" fillId="5" borderId="3" applyAlignment="1" pivotButton="0" quotePrefix="0" xfId="0">
      <alignment horizontal="general" vertical="bottom" wrapText="1"/>
    </xf>
    <xf numFmtId="173" fontId="19" fillId="5" borderId="38" applyAlignment="1" pivotButton="0" quotePrefix="0" xfId="0">
      <alignment horizontal="general" vertical="bottom"/>
    </xf>
    <xf numFmtId="10" fontId="19" fillId="7" borderId="56" applyAlignment="1" pivotButton="0" quotePrefix="0" xfId="0">
      <alignment horizontal="general" vertical="bottom" wrapText="1"/>
    </xf>
    <xf numFmtId="10" fontId="19" fillId="7" borderId="3" applyAlignment="1" pivotButton="0" quotePrefix="0" xfId="0">
      <alignment horizontal="general" vertical="bottom" wrapText="1"/>
    </xf>
    <xf numFmtId="10" fontId="19" fillId="7" borderId="38" applyAlignment="1" pivotButton="0" quotePrefix="0" xfId="0">
      <alignment horizontal="general" vertical="bottom"/>
    </xf>
    <xf numFmtId="10" fontId="19" fillId="7" borderId="71" applyAlignment="1" pivotButton="0" quotePrefix="0" xfId="0">
      <alignment horizontal="general" vertical="bottom" wrapText="1"/>
    </xf>
    <xf numFmtId="10" fontId="19" fillId="7" borderId="2" applyAlignment="1" pivotButton="0" quotePrefix="0" xfId="0">
      <alignment horizontal="general" vertical="bottom" wrapText="1"/>
    </xf>
    <xf numFmtId="10" fontId="19" fillId="7" borderId="1" applyAlignment="1" pivotButton="0" quotePrefix="0" xfId="0">
      <alignment horizontal="general" vertical="bottom"/>
    </xf>
    <xf numFmtId="10" fontId="19" fillId="7" borderId="58" applyAlignment="1" pivotButton="0" quotePrefix="0" xfId="0">
      <alignment horizontal="general" vertical="bottom" wrapText="1"/>
    </xf>
    <xf numFmtId="10" fontId="19" fillId="7" borderId="1" applyAlignment="1" pivotButton="0" quotePrefix="0" xfId="0">
      <alignment horizontal="general" vertical="bottom" wrapText="1"/>
    </xf>
    <xf numFmtId="0" fontId="22" fillId="0" borderId="51" applyAlignment="1" pivotButton="0" quotePrefix="0" xfId="0">
      <alignment horizontal="general" vertical="bottom"/>
    </xf>
    <xf numFmtId="173" fontId="19" fillId="5" borderId="43" applyAlignment="1" pivotButton="0" quotePrefix="0" xfId="0">
      <alignment horizontal="general" vertical="bottom"/>
    </xf>
    <xf numFmtId="10" fontId="19" fillId="7" borderId="39" applyAlignment="1" pivotButton="0" quotePrefix="0" xfId="0">
      <alignment horizontal="general" vertical="bottom" wrapText="1"/>
    </xf>
    <xf numFmtId="10" fontId="19" fillId="7" borderId="40" applyAlignment="1" pivotButton="0" quotePrefix="0" xfId="0">
      <alignment horizontal="general" vertical="bottom" wrapText="1"/>
    </xf>
    <xf numFmtId="10" fontId="19" fillId="7" borderId="40" applyAlignment="1" pivotButton="0" quotePrefix="0" xfId="0">
      <alignment horizontal="general" vertical="bottom"/>
    </xf>
    <xf numFmtId="4" fontId="6" fillId="0" borderId="0" applyAlignment="1" pivotButton="0" quotePrefix="0" xfId="0">
      <alignment horizontal="general" vertical="bottom"/>
    </xf>
    <xf numFmtId="9" fontId="6" fillId="0" borderId="0" applyAlignment="1" pivotButton="0" quotePrefix="0" xfId="19">
      <alignment horizontal="general" vertical="bottom"/>
    </xf>
    <xf numFmtId="0" fontId="15" fillId="0" borderId="26" applyAlignment="1" pivotButton="0" quotePrefix="0" xfId="0">
      <alignment horizontal="general" vertical="bottom"/>
    </xf>
    <xf numFmtId="0" fontId="9" fillId="0" borderId="28" applyAlignment="1" pivotButton="0" quotePrefix="0" xfId="0">
      <alignment horizontal="center" vertical="bottom" wrapText="1"/>
    </xf>
    <xf numFmtId="0" fontId="9" fillId="0" borderId="29" applyAlignment="1" pivotButton="0" quotePrefix="0" xfId="0">
      <alignment horizontal="center" vertical="bottom" wrapText="1"/>
    </xf>
    <xf numFmtId="170" fontId="19" fillId="6" borderId="30" applyAlignment="1" pivotButton="0" quotePrefix="0" xfId="0">
      <alignment horizontal="general" vertical="bottom"/>
    </xf>
    <xf numFmtId="170" fontId="19" fillId="6" borderId="2" applyAlignment="1" pivotButton="0" quotePrefix="0" xfId="0">
      <alignment horizontal="general" vertical="bottom"/>
    </xf>
    <xf numFmtId="3" fontId="19" fillId="3" borderId="2" applyAlignment="1" pivotButton="0" quotePrefix="0" xfId="0">
      <alignment horizontal="general" vertical="bottom"/>
    </xf>
    <xf numFmtId="3" fontId="19" fillId="3" borderId="48" applyAlignment="1" pivotButton="0" quotePrefix="0" xfId="0">
      <alignment horizontal="general" vertical="bottom"/>
    </xf>
    <xf numFmtId="3" fontId="19" fillId="3" borderId="1" applyAlignment="1" pivotButton="0" quotePrefix="0" xfId="0">
      <alignment horizontal="general" vertical="bottom"/>
    </xf>
    <xf numFmtId="0" fontId="22" fillId="0" borderId="25" applyAlignment="1" pivotButton="0" quotePrefix="0" xfId="0">
      <alignment horizontal="general" vertical="bottom"/>
    </xf>
    <xf numFmtId="0" fontId="0" fillId="0" borderId="26" applyAlignment="1" pivotButton="0" quotePrefix="0" xfId="0">
      <alignment horizontal="general" vertical="bottom"/>
    </xf>
    <xf numFmtId="0" fontId="9" fillId="0" borderId="26" applyAlignment="1" pivotButton="0" quotePrefix="0" xfId="0">
      <alignment horizontal="general" vertical="bottom"/>
    </xf>
    <xf numFmtId="0" fontId="9" fillId="0" borderId="21" applyAlignment="1" pivotButton="0" quotePrefix="0" xfId="0">
      <alignment horizontal="general" vertical="bottom"/>
    </xf>
    <xf numFmtId="0" fontId="9" fillId="0" borderId="65" applyAlignment="1" pivotButton="0" quotePrefix="0" xfId="0">
      <alignment horizontal="center" vertical="bottom" wrapText="1"/>
    </xf>
    <xf numFmtId="0" fontId="17" fillId="5" borderId="69" applyAlignment="1" pivotButton="0" quotePrefix="0" xfId="0">
      <alignment horizontal="left" vertical="bottom" wrapText="1"/>
    </xf>
    <xf numFmtId="0" fontId="0" fillId="0" borderId="69" applyAlignment="1" pivotButton="0" quotePrefix="0" xfId="0">
      <alignment horizontal="general" vertical="bottom"/>
    </xf>
    <xf numFmtId="3" fontId="19" fillId="7" borderId="2" applyAlignment="1" pivotButton="0" quotePrefix="0" xfId="0">
      <alignment horizontal="general" vertical="bottom"/>
    </xf>
    <xf numFmtId="166" fontId="0" fillId="0" borderId="0" applyAlignment="1" pivotButton="0" quotePrefix="0" xfId="15">
      <alignment horizontal="left" vertical="bottom"/>
    </xf>
    <xf numFmtId="0" fontId="20" fillId="5" borderId="72" applyAlignment="1" pivotButton="0" quotePrefix="0" xfId="0">
      <alignment horizontal="center" vertical="bottom" wrapText="1"/>
    </xf>
    <xf numFmtId="0" fontId="0" fillId="0" borderId="70" applyAlignment="1" pivotButton="0" quotePrefix="0" xfId="0">
      <alignment horizontal="general" vertical="bottom"/>
    </xf>
    <xf numFmtId="3" fontId="19" fillId="7" borderId="1" applyAlignment="1" pivotButton="0" quotePrefix="0" xfId="0">
      <alignment horizontal="general" vertical="bottom"/>
    </xf>
    <xf numFmtId="3" fontId="24" fillId="0" borderId="28" applyAlignment="1" pivotButton="0" quotePrefix="0" xfId="0">
      <alignment horizontal="general" vertical="bottom"/>
    </xf>
    <xf numFmtId="3" fontId="24" fillId="0" borderId="27" applyAlignment="1" pivotButton="0" quotePrefix="0" xfId="0">
      <alignment horizontal="general" vertical="bottom"/>
    </xf>
    <xf numFmtId="3" fontId="19" fillId="7" borderId="30" applyAlignment="1" pivotButton="0" quotePrefix="0" xfId="0">
      <alignment horizontal="general" vertical="bottom"/>
    </xf>
    <xf numFmtId="3" fontId="19" fillId="7" borderId="73" applyAlignment="1" pivotButton="0" quotePrefix="0" xfId="0">
      <alignment horizontal="general" vertical="bottom"/>
    </xf>
    <xf numFmtId="3" fontId="19" fillId="7" borderId="48" applyAlignment="1" pivotButton="0" quotePrefix="0" xfId="0">
      <alignment horizontal="general" vertical="bottom"/>
    </xf>
    <xf numFmtId="3" fontId="19" fillId="7" borderId="74" applyAlignment="1" pivotButton="0" quotePrefix="0" xfId="0">
      <alignment horizontal="general" vertical="bottom"/>
    </xf>
    <xf numFmtId="170" fontId="19" fillId="3" borderId="31" applyAlignment="1" pivotButton="0" quotePrefix="0" xfId="0">
      <alignment horizontal="general" vertical="bottom"/>
    </xf>
    <xf numFmtId="174" fontId="17" fillId="0" borderId="28" applyAlignment="1" pivotButton="0" quotePrefix="0" xfId="0">
      <alignment horizontal="general" vertical="bottom"/>
    </xf>
    <xf numFmtId="170" fontId="19" fillId="6" borderId="4" applyAlignment="1" pivotButton="0" quotePrefix="0" xfId="0">
      <alignment horizontal="general" vertical="bottom"/>
    </xf>
    <xf numFmtId="170" fontId="19" fillId="6" borderId="33" applyAlignment="1" pivotButton="0" quotePrefix="0" xfId="0">
      <alignment horizontal="general" vertical="bottom"/>
    </xf>
    <xf numFmtId="170" fontId="23" fillId="3" borderId="35" applyAlignment="1" pivotButton="0" quotePrefix="0" xfId="0">
      <alignment horizontal="general" vertical="bottom"/>
    </xf>
    <xf numFmtId="170" fontId="23" fillId="3" borderId="36" applyAlignment="1" pivotButton="0" quotePrefix="0" xfId="0">
      <alignment horizontal="general" vertical="bottom"/>
    </xf>
    <xf numFmtId="170" fontId="19" fillId="3" borderId="37" applyAlignment="1" pivotButton="0" quotePrefix="0" xfId="0">
      <alignment horizontal="general" vertical="bottom"/>
    </xf>
    <xf numFmtId="170" fontId="19" fillId="3" borderId="38" applyAlignment="1" pivotButton="0" quotePrefix="0" xfId="0">
      <alignment horizontal="general" vertical="bottom"/>
    </xf>
    <xf numFmtId="170" fontId="19" fillId="3" borderId="39" applyAlignment="1" pivotButton="0" quotePrefix="0" xfId="0">
      <alignment horizontal="general" vertical="bottom"/>
    </xf>
    <xf numFmtId="170" fontId="19" fillId="3" borderId="40" applyAlignment="1" pivotButton="0" quotePrefix="0" xfId="0">
      <alignment horizontal="general" vertical="bottom"/>
    </xf>
    <xf numFmtId="170" fontId="24" fillId="5" borderId="28" applyAlignment="1" pivotButton="0" quotePrefix="0" xfId="0">
      <alignment horizontal="general" vertical="bottom"/>
    </xf>
    <xf numFmtId="170" fontId="23" fillId="3" borderId="41" applyAlignment="1" pivotButton="0" quotePrefix="0" xfId="0">
      <alignment horizontal="general" vertical="bottom"/>
    </xf>
    <xf numFmtId="170" fontId="23" fillId="3" borderId="42" applyAlignment="1" pivotButton="0" quotePrefix="0" xfId="0">
      <alignment horizontal="general" vertical="bottom"/>
    </xf>
    <xf numFmtId="170" fontId="19" fillId="3" borderId="2" applyAlignment="1" pivotButton="0" quotePrefix="0" xfId="0">
      <alignment horizontal="general" vertical="bottom"/>
    </xf>
    <xf numFmtId="170" fontId="19" fillId="3" borderId="48" applyAlignment="1" pivotButton="0" quotePrefix="0" xfId="0">
      <alignment horizontal="general" vertical="bottom"/>
    </xf>
    <xf numFmtId="170" fontId="19" fillId="3" borderId="1" applyAlignment="1" pivotButton="0" quotePrefix="0" xfId="0">
      <alignment horizontal="general" vertical="bottom"/>
    </xf>
    <xf numFmtId="170" fontId="19" fillId="7" borderId="2" applyAlignment="1" pivotButton="0" quotePrefix="0" xfId="0">
      <alignment horizontal="general" vertical="bottom"/>
    </xf>
    <xf numFmtId="3" fontId="0" fillId="0" borderId="0" applyAlignment="1" pivotButton="0" quotePrefix="0" xfId="0">
      <alignment horizontal="general" vertical="bottom"/>
    </xf>
    <xf numFmtId="170" fontId="19" fillId="7" borderId="1" applyAlignment="1" pivotButton="0" quotePrefix="0" xfId="0">
      <alignment horizontal="general" vertical="bottom"/>
    </xf>
    <xf numFmtId="174" fontId="24" fillId="0" borderId="28" applyAlignment="1" pivotButton="0" quotePrefix="0" xfId="0">
      <alignment horizontal="general" vertical="bottom"/>
    </xf>
    <xf numFmtId="170" fontId="19" fillId="7" borderId="30" applyAlignment="1" pivotButton="0" quotePrefix="0" xfId="0">
      <alignment horizontal="general" vertical="bottom"/>
    </xf>
    <xf numFmtId="170" fontId="19" fillId="7" borderId="73" applyAlignment="1" pivotButton="0" quotePrefix="0" xfId="0">
      <alignment horizontal="general" vertical="bottom"/>
    </xf>
    <xf numFmtId="170" fontId="19" fillId="7" borderId="48" applyAlignment="1" pivotButton="0" quotePrefix="0" xfId="0">
      <alignment horizontal="general" vertical="bottom"/>
    </xf>
    <xf numFmtId="170" fontId="19" fillId="7" borderId="74" applyAlignment="1" pivotButton="0" quotePrefix="0" xfId="0">
      <alignment horizontal="general" vertical="bottom"/>
    </xf>
    <xf numFmtId="174" fontId="24" fillId="0" borderId="27" applyAlignment="1" pivotButton="0" quotePrefix="0" xfId="0">
      <alignment horizontal="general" vertical="bottom"/>
    </xf>
    <xf numFmtId="0" fontId="33" fillId="0" borderId="0" applyAlignment="1" pivotButton="0" quotePrefix="0" xfId="0">
      <alignment horizontal="general" vertical="bottom"/>
    </xf>
    <xf numFmtId="0" fontId="34" fillId="0" borderId="0" applyAlignment="1" pivotButton="0" quotePrefix="0" xfId="0">
      <alignment horizontal="general" vertical="bottom"/>
    </xf>
    <xf numFmtId="164" fontId="33" fillId="8" borderId="0" applyAlignment="1" pivotButton="0" quotePrefix="0" xfId="0">
      <alignment horizontal="general" vertical="center" wrapText="1"/>
    </xf>
    <xf numFmtId="175" fontId="33" fillId="8" borderId="0" applyAlignment="1" pivotButton="0" quotePrefix="0" xfId="0">
      <alignment horizontal="general" vertical="center" wrapText="1"/>
    </xf>
    <xf numFmtId="3" fontId="34" fillId="0" borderId="0" applyAlignment="1" pivotButton="0" quotePrefix="0" xfId="0">
      <alignment horizontal="center" vertical="center" wrapText="1"/>
    </xf>
    <xf numFmtId="3" fontId="33" fillId="0" borderId="0" applyAlignment="1" pivotButton="0" quotePrefix="0" xfId="0">
      <alignment horizontal="general" vertical="bottom"/>
    </xf>
    <xf numFmtId="176" fontId="33" fillId="0" borderId="0" applyAlignment="1" pivotButton="0" quotePrefix="0" xfId="0">
      <alignment horizontal="general" vertical="bottom"/>
    </xf>
    <xf numFmtId="3" fontId="35" fillId="8" borderId="0" applyAlignment="1" pivotButton="0" quotePrefix="0" xfId="0">
      <alignment horizontal="general" vertical="bottom"/>
    </xf>
    <xf numFmtId="0" fontId="35" fillId="8" borderId="0" applyAlignment="1" pivotButton="0" quotePrefix="0" xfId="0">
      <alignment horizontal="general" vertical="bottom"/>
    </xf>
    <xf numFmtId="176" fontId="35" fillId="8" borderId="0" applyAlignment="1" pivotButton="0" quotePrefix="0" xfId="0">
      <alignment horizontal="general" vertical="bottom"/>
    </xf>
    <xf numFmtId="177" fontId="33" fillId="0" borderId="0" applyAlignment="1" pivotButton="0" quotePrefix="0" xfId="0">
      <alignment horizontal="general" vertical="bottom"/>
    </xf>
    <xf numFmtId="177" fontId="35" fillId="8" borderId="0" applyAlignment="1" pivotButton="0" quotePrefix="0" xfId="0">
      <alignment horizontal="general" vertical="bottom"/>
    </xf>
    <xf numFmtId="166" fontId="6" fillId="0" borderId="0" applyAlignment="1" pivotButton="0" quotePrefix="0" xfId="15">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 name="Normal_RFP8 Attachment 4-A Supplier Pricing Forms"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externalLink" Target="/xl/externalLinks/externalLink1.xml" Id="rId52"/><Relationship Type="http://schemas.openxmlformats.org/officeDocument/2006/relationships/styles" Target="styles.xml" Id="rId53"/><Relationship Type="http://schemas.openxmlformats.org/officeDocument/2006/relationships/theme" Target="theme/theme1.xml" Id="rId54"/></Relationships>
</file>

<file path=xl/externalLinks/_rels/externalLink1.xml.rels><Relationships xmlns="http://schemas.openxmlformats.org/package/2006/relationships"><Relationship Type="http://schemas.openxmlformats.org/officeDocument/2006/relationships/externalLinkPath" Target="../../../../../../../../../W:/Corp_Finance/FP&amp;A_2006/Pricing/RFP/Novartis/Unamortized_investment_101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ervice Provider Investments"/>
    </sheetNames>
    <sheetDataSet>
      <sheetData sheetId="0"/>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3984375" defaultRowHeight="12.75" customHeight="1" zeroHeight="0" outlineLevelRow="0"/>
  <cols>
    <col width="128.06" customWidth="1" style="354" min="2" max="2"/>
  </cols>
  <sheetData>
    <row r="1" ht="72" customHeight="1" s="355"/>
    <row r="2" ht="21.75" customHeight="1" s="355">
      <c r="B2" s="356" t="inlineStr">
        <is>
          <t>GlobalPharma AG</t>
        </is>
      </c>
    </row>
    <row r="3" ht="20.25" customHeight="1" s="355">
      <c r="B3" s="356" t="n"/>
    </row>
    <row r="4" ht="45" customHeight="1" s="355">
      <c r="B4" s="356" t="n"/>
    </row>
    <row r="5" ht="20.25" customHeight="1" s="355">
      <c r="B5" s="357" t="inlineStr">
        <is>
          <t>ATTACHMENT 4-A</t>
        </is>
      </c>
    </row>
    <row r="6" ht="20.25" customHeight="1" s="355">
      <c r="B6" s="356" t="n"/>
    </row>
    <row r="7" ht="20.25" customHeight="1" s="355">
      <c r="B7" s="357" t="inlineStr">
        <is>
          <t>SERVICE PROVIDER PRICING FORMS</t>
        </is>
      </c>
    </row>
    <row r="8" ht="20.25" customHeight="1" s="355">
      <c r="B8" s="357" t="inlineStr">
        <is>
          <t>Attachment to Exhibit 4 (Pricing and Financial Provisions)</t>
        </is>
      </c>
    </row>
    <row r="9" ht="20.25" customHeight="1" s="355">
      <c r="B9" s="356" t="n"/>
    </row>
    <row r="10" ht="20.25" customHeight="1" s="355">
      <c r="B10" s="358" t="n"/>
    </row>
    <row r="11" ht="46.5" customHeight="1" s="355">
      <c r="B11" s="356" t="n"/>
    </row>
    <row r="12" ht="0.75" customHeight="1" s="355">
      <c r="B12" s="356" t="n"/>
    </row>
    <row r="13" hidden="1" ht="20.25" customHeight="1" s="355">
      <c r="B13" s="356" t="n"/>
    </row>
    <row r="14" ht="15" customHeight="1" s="355">
      <c r="B14" s="359" t="n"/>
    </row>
    <row r="15" ht="56.25" customHeight="1" s="355">
      <c r="B15" s="360"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355">
      <c r="B16" s="361" t="n"/>
    </row>
    <row r="17" ht="15" customHeight="1" s="355">
      <c r="B17" s="362" t="n"/>
    </row>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xml><?xml version="1.0" encoding="utf-8"?>
<worksheet xmlns="http://schemas.openxmlformats.org/spreadsheetml/2006/main">
  <sheetPr filterMode="0">
    <tabColor rgb="FF00FFFF"/>
    <outlinePr summaryBelow="1" summaryRight="1"/>
    <pageSetUpPr fitToPage="1"/>
  </sheetPr>
  <dimension ref="A1:L103"/>
  <sheetViews>
    <sheetView showFormulas="0" showGridLines="1" showRowColHeaders="1" showZeros="1" rightToLeft="0" tabSelected="0" showOutlineSymbols="1" defaultGridColor="1" view="normal" topLeftCell="A64" colorId="64" zoomScale="50" zoomScaleNormal="50" zoomScalePageLayoutView="100" workbookViewId="0">
      <selection pane="topLeft" activeCell="A1" activeCellId="0" sqref="A1:K104"/>
    </sheetView>
  </sheetViews>
  <sheetFormatPr baseColWidth="8" defaultColWidth="8.3984375" defaultRowHeight="12.75" customHeight="1" zeroHeight="0" outlineLevelRow="0"/>
  <cols>
    <col width="15.15" customWidth="1" style="363" min="1" max="1"/>
    <col width="53.14" customWidth="1" style="363" min="2" max="2"/>
    <col width="15.45" customWidth="1" style="364" min="3" max="10"/>
    <col width="16.8" customWidth="1" style="364" min="11" max="11"/>
    <col width="7.65" customWidth="1" style="363" min="12" max="12"/>
    <col width="11.39" customWidth="1" style="363" min="13" max="13"/>
    <col width="8.4" customWidth="1" style="363" min="14" max="257"/>
  </cols>
  <sheetData>
    <row r="1" ht="20.25" customHeight="1" s="355">
      <c r="A1" s="365" t="inlineStr">
        <is>
          <t>SUMMARY CHARGES (US$)</t>
        </is>
      </c>
    </row>
    <row r="2"/>
    <row r="3" ht="16.5" customHeight="1" s="355">
      <c r="A3" s="366" t="n"/>
      <c r="B3" s="367" t="inlineStr">
        <is>
          <t>Category of Services</t>
        </is>
      </c>
      <c r="C3" s="366" t="n"/>
      <c r="D3" s="366" t="n"/>
      <c r="E3" s="366" t="n"/>
      <c r="F3" s="366" t="n"/>
      <c r="G3" s="366" t="n"/>
      <c r="H3" s="366" t="n"/>
      <c r="I3" s="366" t="n"/>
      <c r="J3" s="366" t="n"/>
      <c r="K3" s="366" t="n"/>
    </row>
    <row r="4" ht="14.25" customHeight="1" s="355">
      <c r="A4" s="368" t="inlineStr">
        <is>
          <t>BASE CHARGES</t>
        </is>
      </c>
      <c r="B4" s="369" t="n"/>
      <c r="C4" s="370" t="inlineStr">
        <is>
          <t>Year 1</t>
        </is>
      </c>
      <c r="D4" s="371" t="inlineStr">
        <is>
          <t>Year 2</t>
        </is>
      </c>
      <c r="E4" s="371" t="inlineStr">
        <is>
          <t>Year 3</t>
        </is>
      </c>
      <c r="F4" s="371" t="inlineStr">
        <is>
          <t>Year 4</t>
        </is>
      </c>
      <c r="G4" s="371" t="inlineStr">
        <is>
          <t>Year 5</t>
        </is>
      </c>
      <c r="H4" s="371" t="inlineStr">
        <is>
          <t>Year 6</t>
        </is>
      </c>
      <c r="I4" s="371" t="inlineStr">
        <is>
          <t>Year 7</t>
        </is>
      </c>
      <c r="J4" s="371" t="inlineStr">
        <is>
          <t>Year 8</t>
        </is>
      </c>
      <c r="K4" s="372" t="inlineStr">
        <is>
          <t>Total</t>
        </is>
      </c>
    </row>
    <row r="5" ht="14.25" customHeight="1" s="355">
      <c r="A5" s="373" t="n"/>
      <c r="B5" s="374" t="inlineStr">
        <is>
          <t>General Accounting &amp; Sox</t>
        </is>
      </c>
      <c r="C5" s="375">
        <f>'Consolidated Base Charges'!C37</f>
        <v/>
      </c>
      <c r="D5" s="375">
        <f>'Consolidated Base Charges'!D37</f>
        <v/>
      </c>
      <c r="E5" s="375">
        <f>'Consolidated Base Charges'!E37</f>
        <v/>
      </c>
      <c r="F5" s="375">
        <f>'Consolidated Base Charges'!F37</f>
        <v/>
      </c>
      <c r="G5" s="375">
        <f>'Consolidated Base Charges'!G37</f>
        <v/>
      </c>
      <c r="H5" s="375">
        <f>'Consolidated Base Charges'!H37</f>
        <v/>
      </c>
      <c r="I5" s="375">
        <f>'Consolidated Base Charges'!I37</f>
        <v/>
      </c>
      <c r="J5" s="375">
        <f>'Consolidated Base Charges'!J37</f>
        <v/>
      </c>
      <c r="K5" s="376">
        <f>SUM(C5:J5)</f>
        <v/>
      </c>
    </row>
    <row r="6" ht="14.25" customHeight="1" s="355">
      <c r="A6" s="377" t="n"/>
      <c r="B6" s="378" t="n"/>
      <c r="C6" s="379" t="n"/>
      <c r="D6" s="379" t="n"/>
      <c r="E6" s="379" t="n"/>
      <c r="F6" s="379" t="n"/>
      <c r="G6" s="379" t="n"/>
      <c r="H6" s="379" t="n"/>
      <c r="I6" s="379" t="n"/>
      <c r="J6" s="379" t="n"/>
      <c r="K6" s="380" t="n"/>
    </row>
    <row r="7" ht="14.25" customHeight="1" s="355">
      <c r="A7" s="377" t="n"/>
      <c r="B7" s="381" t="inlineStr">
        <is>
          <t>Fixed Assets</t>
        </is>
      </c>
      <c r="C7" s="379">
        <f>'Consolidated Base Charges'!C41</f>
        <v/>
      </c>
      <c r="D7" s="379">
        <f>'Consolidated Base Charges'!D41</f>
        <v/>
      </c>
      <c r="E7" s="379">
        <f>'Consolidated Base Charges'!E41</f>
        <v/>
      </c>
      <c r="F7" s="379">
        <f>'Consolidated Base Charges'!F41</f>
        <v/>
      </c>
      <c r="G7" s="379">
        <f>'Consolidated Base Charges'!G41</f>
        <v/>
      </c>
      <c r="H7" s="379">
        <f>'Consolidated Base Charges'!H41</f>
        <v/>
      </c>
      <c r="I7" s="379">
        <f>'Consolidated Base Charges'!I41</f>
        <v/>
      </c>
      <c r="J7" s="379">
        <f>'Consolidated Base Charges'!J41</f>
        <v/>
      </c>
      <c r="K7" s="376">
        <f>SUM(C7:J7)</f>
        <v/>
      </c>
    </row>
    <row r="8" ht="14.25" customHeight="1" s="355">
      <c r="A8" s="377" t="n"/>
      <c r="B8" s="378" t="n"/>
      <c r="C8" s="379" t="n"/>
      <c r="D8" s="379" t="n"/>
      <c r="E8" s="379" t="n"/>
      <c r="F8" s="379" t="n"/>
      <c r="G8" s="379" t="n"/>
      <c r="H8" s="379" t="n"/>
      <c r="I8" s="379" t="n"/>
      <c r="J8" s="379" t="n"/>
      <c r="K8" s="380" t="n"/>
    </row>
    <row r="9" ht="14.25" customHeight="1" s="355">
      <c r="A9" s="377" t="n"/>
      <c r="B9" s="381" t="inlineStr">
        <is>
          <t>Accounts Payable</t>
        </is>
      </c>
      <c r="C9" s="379">
        <f>'Consolidated Base Charges'!C45</f>
        <v/>
      </c>
      <c r="D9" s="379">
        <f>'Consolidated Base Charges'!D45</f>
        <v/>
      </c>
      <c r="E9" s="379">
        <f>'Consolidated Base Charges'!E45</f>
        <v/>
      </c>
      <c r="F9" s="379">
        <f>'Consolidated Base Charges'!F45</f>
        <v/>
      </c>
      <c r="G9" s="379">
        <f>'Consolidated Base Charges'!G45</f>
        <v/>
      </c>
      <c r="H9" s="379">
        <f>'Consolidated Base Charges'!H45</f>
        <v/>
      </c>
      <c r="I9" s="379">
        <f>'Consolidated Base Charges'!I45</f>
        <v/>
      </c>
      <c r="J9" s="379">
        <f>'Consolidated Base Charges'!J45</f>
        <v/>
      </c>
      <c r="K9" s="376">
        <f>SUM(C9:J9)</f>
        <v/>
      </c>
    </row>
    <row r="10" ht="14.25" customHeight="1" s="355">
      <c r="A10" s="377" t="n"/>
      <c r="B10" s="378" t="n"/>
      <c r="C10" s="379" t="n"/>
      <c r="D10" s="379" t="n"/>
      <c r="E10" s="379" t="n"/>
      <c r="F10" s="379" t="n"/>
      <c r="G10" s="379" t="n"/>
      <c r="H10" s="379" t="n"/>
      <c r="I10" s="379" t="n"/>
      <c r="J10" s="379" t="n"/>
      <c r="K10" s="380" t="n"/>
    </row>
    <row r="11" ht="14.25" customHeight="1" s="355">
      <c r="A11" s="377" t="n"/>
      <c r="B11" s="381" t="inlineStr">
        <is>
          <t>T&amp;E</t>
        </is>
      </c>
      <c r="C11" s="379">
        <f>'Consolidated Base Charges'!C49</f>
        <v/>
      </c>
      <c r="D11" s="379">
        <f>'Consolidated Base Charges'!D49</f>
        <v/>
      </c>
      <c r="E11" s="379">
        <f>'Consolidated Base Charges'!E49</f>
        <v/>
      </c>
      <c r="F11" s="379">
        <f>'Consolidated Base Charges'!F49</f>
        <v/>
      </c>
      <c r="G11" s="379">
        <f>'Consolidated Base Charges'!G49</f>
        <v/>
      </c>
      <c r="H11" s="379">
        <f>'Consolidated Base Charges'!H49</f>
        <v/>
      </c>
      <c r="I11" s="379">
        <f>'Consolidated Base Charges'!I49</f>
        <v/>
      </c>
      <c r="J11" s="379">
        <f>'Consolidated Base Charges'!J49</f>
        <v/>
      </c>
      <c r="K11" s="376">
        <f>SUM(C11:J11)</f>
        <v/>
      </c>
    </row>
    <row r="12" ht="14.25" customHeight="1" s="355">
      <c r="A12" s="377" t="n"/>
      <c r="B12" s="378" t="n"/>
      <c r="C12" s="379" t="n"/>
      <c r="D12" s="379" t="n"/>
      <c r="E12" s="379" t="n"/>
      <c r="F12" s="379" t="n"/>
      <c r="G12" s="379" t="n"/>
      <c r="H12" s="379" t="n"/>
      <c r="I12" s="379" t="n"/>
      <c r="J12" s="379" t="n"/>
      <c r="K12" s="380" t="n"/>
    </row>
    <row r="13" ht="14.25" customHeight="1" s="355">
      <c r="A13" s="377" t="n"/>
      <c r="B13" s="381" t="inlineStr">
        <is>
          <t>Order to Cash</t>
        </is>
      </c>
      <c r="C13" s="379">
        <f>'Consolidated Base Charges'!C53</f>
        <v/>
      </c>
      <c r="D13" s="379">
        <f>'Consolidated Base Charges'!D53</f>
        <v/>
      </c>
      <c r="E13" s="379">
        <f>'Consolidated Base Charges'!E53</f>
        <v/>
      </c>
      <c r="F13" s="379">
        <f>'Consolidated Base Charges'!F53</f>
        <v/>
      </c>
      <c r="G13" s="379">
        <f>'Consolidated Base Charges'!G53</f>
        <v/>
      </c>
      <c r="H13" s="379">
        <f>'Consolidated Base Charges'!H53</f>
        <v/>
      </c>
      <c r="I13" s="379">
        <f>'Consolidated Base Charges'!I53</f>
        <v/>
      </c>
      <c r="J13" s="379">
        <f>'Consolidated Base Charges'!J53</f>
        <v/>
      </c>
      <c r="K13" s="376">
        <f>SUM(C13:J13)</f>
        <v/>
      </c>
    </row>
    <row r="14" ht="14.25" customHeight="1" s="355">
      <c r="A14" s="377" t="n"/>
      <c r="B14" s="378" t="n"/>
      <c r="C14" s="379" t="n"/>
      <c r="D14" s="379" t="n"/>
      <c r="E14" s="379" t="n"/>
      <c r="F14" s="379" t="n"/>
      <c r="G14" s="379" t="n"/>
      <c r="H14" s="379" t="n"/>
      <c r="I14" s="379" t="n"/>
      <c r="J14" s="379" t="n"/>
      <c r="K14" s="380" t="n"/>
    </row>
    <row r="15" ht="14.25" customHeight="1" s="355">
      <c r="A15" s="377" t="n"/>
      <c r="B15" s="381" t="inlineStr">
        <is>
          <t>Requistion to Pay</t>
        </is>
      </c>
      <c r="C15" s="379">
        <f>'Consolidated Base Charges'!C57</f>
        <v/>
      </c>
      <c r="D15" s="379">
        <f>'Consolidated Base Charges'!D57</f>
        <v/>
      </c>
      <c r="E15" s="379">
        <f>'Consolidated Base Charges'!E57</f>
        <v/>
      </c>
      <c r="F15" s="379">
        <f>'Consolidated Base Charges'!F57</f>
        <v/>
      </c>
      <c r="G15" s="379">
        <f>'Consolidated Base Charges'!G57</f>
        <v/>
      </c>
      <c r="H15" s="379">
        <f>'Consolidated Base Charges'!H57</f>
        <v/>
      </c>
      <c r="I15" s="379">
        <f>'Consolidated Base Charges'!I57</f>
        <v/>
      </c>
      <c r="J15" s="379">
        <f>'Consolidated Base Charges'!J57</f>
        <v/>
      </c>
      <c r="K15" s="376">
        <f>SUM(C15:J15)</f>
        <v/>
      </c>
    </row>
    <row r="16" ht="14.25" customHeight="1" s="355">
      <c r="A16" s="382" t="n"/>
      <c r="B16" s="383" t="n"/>
      <c r="C16" s="384" t="n"/>
      <c r="D16" s="384" t="n"/>
      <c r="E16" s="384" t="n"/>
      <c r="F16" s="384" t="n"/>
      <c r="G16" s="384" t="n"/>
      <c r="H16" s="384" t="n"/>
      <c r="I16" s="384" t="n"/>
      <c r="J16" s="384" t="n"/>
      <c r="K16" s="385" t="n"/>
    </row>
    <row r="17" ht="14.25" customHeight="1" s="355">
      <c r="A17" s="386" t="inlineStr">
        <is>
          <t>TOTAL BASE CHARGES</t>
        </is>
      </c>
      <c r="B17" s="387" t="n"/>
      <c r="C17" s="388">
        <f>SUM(C5:C16)</f>
        <v/>
      </c>
      <c r="D17" s="388">
        <f>SUM(D5:D16)</f>
        <v/>
      </c>
      <c r="E17" s="388">
        <f>SUM(E5:E16)</f>
        <v/>
      </c>
      <c r="F17" s="388">
        <f>SUM(F5:F16)</f>
        <v/>
      </c>
      <c r="G17" s="388">
        <f>SUM(G5:G16)</f>
        <v/>
      </c>
      <c r="H17" s="388">
        <f>SUM(H5:H16)</f>
        <v/>
      </c>
      <c r="I17" s="388">
        <f>SUM(I5:I16)</f>
        <v/>
      </c>
      <c r="J17" s="388">
        <f>SUM(J5:J16)</f>
        <v/>
      </c>
      <c r="K17" s="389">
        <f>SUM(K5:K16)</f>
        <v/>
      </c>
    </row>
    <row r="18" ht="14.25" customHeight="1" s="355"/>
    <row r="19" ht="14.25" customHeight="1" s="355">
      <c r="A19" s="390" t="inlineStr">
        <is>
          <t>TRANSITION CHARGES</t>
        </is>
      </c>
      <c r="B19" s="369" t="n"/>
      <c r="C19" s="370" t="inlineStr">
        <is>
          <t>Year 1</t>
        </is>
      </c>
      <c r="D19" s="371" t="inlineStr">
        <is>
          <t>Year 2</t>
        </is>
      </c>
      <c r="E19" s="371" t="inlineStr">
        <is>
          <t>Year 3</t>
        </is>
      </c>
      <c r="F19" s="371" t="inlineStr">
        <is>
          <t>Year 4</t>
        </is>
      </c>
      <c r="G19" s="371" t="inlineStr">
        <is>
          <t>Year 5</t>
        </is>
      </c>
      <c r="H19" s="371" t="inlineStr">
        <is>
          <t>Year 6</t>
        </is>
      </c>
      <c r="I19" s="371" t="inlineStr">
        <is>
          <t>Year 7</t>
        </is>
      </c>
      <c r="J19" s="371" t="inlineStr">
        <is>
          <t>Year 8</t>
        </is>
      </c>
      <c r="K19" s="372" t="inlineStr">
        <is>
          <t>Total</t>
        </is>
      </c>
    </row>
    <row r="20" ht="14.25" customHeight="1" s="355">
      <c r="A20" s="373" t="n"/>
      <c r="B20" s="374" t="inlineStr">
        <is>
          <t>General Accounting &amp; Sox</t>
        </is>
      </c>
      <c r="C20" s="375">
        <f>'Transition Charges'!F13</f>
        <v/>
      </c>
      <c r="D20" s="375">
        <f>'Transition Charges'!K13</f>
        <v/>
      </c>
      <c r="E20" s="375">
        <f>'Transition Charges'!L13</f>
        <v/>
      </c>
      <c r="F20" s="375">
        <f>'Transition Charges'!M13</f>
        <v/>
      </c>
      <c r="G20" s="375">
        <f>'Transition Charges'!N13</f>
        <v/>
      </c>
      <c r="H20" s="375">
        <f>'Transition Charges'!O13</f>
        <v/>
      </c>
      <c r="I20" s="375">
        <f>'Transition Charges'!P13</f>
        <v/>
      </c>
      <c r="J20" s="375" t="n"/>
      <c r="K20" s="376">
        <f>SUM(C20:J20)</f>
        <v/>
      </c>
    </row>
    <row r="21" ht="14.25" customHeight="1" s="355">
      <c r="A21" s="377" t="n"/>
      <c r="B21" s="378" t="n"/>
      <c r="C21" s="379" t="n"/>
      <c r="D21" s="379" t="n"/>
      <c r="E21" s="379" t="n"/>
      <c r="F21" s="379" t="n"/>
      <c r="G21" s="379" t="n"/>
      <c r="H21" s="379" t="n"/>
      <c r="I21" s="379" t="n"/>
      <c r="J21" s="379" t="n"/>
      <c r="K21" s="380" t="n"/>
    </row>
    <row r="22" ht="14.25" customHeight="1" s="355">
      <c r="A22" s="377" t="n"/>
      <c r="B22" s="381" t="inlineStr">
        <is>
          <t>Fixed Assets</t>
        </is>
      </c>
      <c r="C22" s="379">
        <f>'Transition Charges'!F24</f>
        <v/>
      </c>
      <c r="D22" s="379">
        <f>'Transition Charges'!K24</f>
        <v/>
      </c>
      <c r="E22" s="379">
        <f>'Transition Charges'!L24</f>
        <v/>
      </c>
      <c r="F22" s="379">
        <f>'Transition Charges'!M24</f>
        <v/>
      </c>
      <c r="G22" s="379">
        <f>'Transition Charges'!N24</f>
        <v/>
      </c>
      <c r="H22" s="379">
        <f>'Transition Charges'!O24</f>
        <v/>
      </c>
      <c r="I22" s="379">
        <f>'Transition Charges'!P24</f>
        <v/>
      </c>
      <c r="J22" s="379" t="n"/>
      <c r="K22" s="376">
        <f>SUM(C22:J22)</f>
        <v/>
      </c>
    </row>
    <row r="23" ht="14.25" customHeight="1" s="355">
      <c r="A23" s="377" t="n"/>
      <c r="B23" s="378" t="n"/>
      <c r="C23" s="379" t="n"/>
      <c r="D23" s="379" t="n"/>
      <c r="E23" s="379" t="n"/>
      <c r="F23" s="379" t="n"/>
      <c r="G23" s="379" t="n"/>
      <c r="H23" s="379" t="n"/>
      <c r="I23" s="379" t="n"/>
      <c r="J23" s="379" t="n"/>
      <c r="K23" s="380" t="n"/>
    </row>
    <row r="24" ht="14.25" customHeight="1" s="355">
      <c r="A24" s="377" t="n"/>
      <c r="B24" s="381" t="inlineStr">
        <is>
          <t>Accounts Payable</t>
        </is>
      </c>
      <c r="C24" s="379">
        <f>'Transition Charges'!F35</f>
        <v/>
      </c>
      <c r="D24" s="379">
        <f>'Transition Charges'!K35</f>
        <v/>
      </c>
      <c r="E24" s="379">
        <f>'Transition Charges'!L35</f>
        <v/>
      </c>
      <c r="F24" s="379">
        <f>'Transition Charges'!M35</f>
        <v/>
      </c>
      <c r="G24" s="379">
        <f>'Transition Charges'!N35</f>
        <v/>
      </c>
      <c r="H24" s="379">
        <f>'Transition Charges'!O35</f>
        <v/>
      </c>
      <c r="I24" s="379">
        <f>'Transition Charges'!P35</f>
        <v/>
      </c>
      <c r="J24" s="379" t="n"/>
      <c r="K24" s="376">
        <f>SUM(C24:J24)</f>
        <v/>
      </c>
    </row>
    <row r="25" ht="14.25" customHeight="1" s="355">
      <c r="A25" s="377" t="n"/>
      <c r="B25" s="378" t="n"/>
      <c r="C25" s="379" t="n"/>
      <c r="D25" s="379" t="n"/>
      <c r="E25" s="379" t="n"/>
      <c r="F25" s="379" t="n"/>
      <c r="G25" s="379" t="n"/>
      <c r="H25" s="379" t="n"/>
      <c r="I25" s="379" t="n"/>
      <c r="J25" s="379" t="n"/>
      <c r="K25" s="380" t="n"/>
    </row>
    <row r="26" ht="14.25" customHeight="1" s="355">
      <c r="A26" s="377" t="n"/>
      <c r="B26" s="381" t="inlineStr">
        <is>
          <t>T&amp;E</t>
        </is>
      </c>
      <c r="C26" s="379">
        <f>'Transition Charges'!F46</f>
        <v/>
      </c>
      <c r="D26" s="379">
        <f>'Transition Charges'!K46</f>
        <v/>
      </c>
      <c r="E26" s="379">
        <f>'Transition Charges'!L46</f>
        <v/>
      </c>
      <c r="F26" s="379">
        <f>'Transition Charges'!M46</f>
        <v/>
      </c>
      <c r="G26" s="379">
        <f>'Transition Charges'!N46</f>
        <v/>
      </c>
      <c r="H26" s="379">
        <f>'Transition Charges'!O46</f>
        <v/>
      </c>
      <c r="I26" s="379">
        <f>'Transition Charges'!P46</f>
        <v/>
      </c>
      <c r="J26" s="379" t="n"/>
      <c r="K26" s="376">
        <f>SUM(C26:J26)</f>
        <v/>
      </c>
    </row>
    <row r="27" ht="14.25" customHeight="1" s="355">
      <c r="A27" s="377" t="n"/>
      <c r="B27" s="378" t="n"/>
      <c r="C27" s="379" t="n"/>
      <c r="D27" s="379" t="n"/>
      <c r="E27" s="379" t="n"/>
      <c r="F27" s="379" t="n"/>
      <c r="G27" s="379" t="n"/>
      <c r="H27" s="379" t="n"/>
      <c r="I27" s="379" t="n"/>
      <c r="J27" s="379" t="n"/>
      <c r="K27" s="380" t="n"/>
    </row>
    <row r="28" ht="14.25" customHeight="1" s="355">
      <c r="A28" s="377" t="n"/>
      <c r="B28" s="381" t="inlineStr">
        <is>
          <t>Order to Cash</t>
        </is>
      </c>
      <c r="C28" s="379">
        <f>'Transition Charges'!F57</f>
        <v/>
      </c>
      <c r="D28" s="379">
        <f>'Transition Charges'!K57</f>
        <v/>
      </c>
      <c r="E28" s="379">
        <f>'Transition Charges'!L57</f>
        <v/>
      </c>
      <c r="F28" s="379">
        <f>'Transition Charges'!M57</f>
        <v/>
      </c>
      <c r="G28" s="379">
        <f>'Transition Charges'!N57</f>
        <v/>
      </c>
      <c r="H28" s="379">
        <f>'Transition Charges'!O57</f>
        <v/>
      </c>
      <c r="I28" s="379">
        <f>'Transition Charges'!P57</f>
        <v/>
      </c>
      <c r="J28" s="379" t="n"/>
      <c r="K28" s="376">
        <f>SUM(C28:J28)</f>
        <v/>
      </c>
    </row>
    <row r="29" ht="14.25" customHeight="1" s="355">
      <c r="A29" s="377" t="n"/>
      <c r="B29" s="378" t="n"/>
      <c r="C29" s="379" t="n"/>
      <c r="D29" s="379" t="n"/>
      <c r="E29" s="379" t="n"/>
      <c r="F29" s="379" t="n"/>
      <c r="G29" s="379" t="n"/>
      <c r="H29" s="379" t="n"/>
      <c r="I29" s="379" t="n"/>
      <c r="J29" s="379" t="n"/>
      <c r="K29" s="380" t="n"/>
    </row>
    <row r="30" ht="14.25" customHeight="1" s="355">
      <c r="A30" s="377" t="n"/>
      <c r="B30" s="381" t="inlineStr">
        <is>
          <t>Requistion to Pay</t>
        </is>
      </c>
      <c r="C30" s="379">
        <f>'Transition Charges'!F68</f>
        <v/>
      </c>
      <c r="D30" s="379">
        <f>'Transition Charges'!K68</f>
        <v/>
      </c>
      <c r="E30" s="379">
        <f>'Transition Charges'!L68</f>
        <v/>
      </c>
      <c r="F30" s="379">
        <f>'Transition Charges'!M68</f>
        <v/>
      </c>
      <c r="G30" s="379">
        <f>'Transition Charges'!N68</f>
        <v/>
      </c>
      <c r="H30" s="379">
        <f>'Transition Charges'!O68</f>
        <v/>
      </c>
      <c r="I30" s="379">
        <f>'Transition Charges'!P68</f>
        <v/>
      </c>
      <c r="J30" s="379" t="n"/>
      <c r="K30" s="376">
        <f>SUM(C30:J30)</f>
        <v/>
      </c>
    </row>
    <row r="31" ht="14.25" customHeight="1" s="355">
      <c r="A31" s="382" t="n"/>
      <c r="B31" s="383" t="inlineStr">
        <is>
          <t xml:space="preserve"> </t>
        </is>
      </c>
      <c r="C31" s="384" t="n"/>
      <c r="D31" s="384" t="n"/>
      <c r="E31" s="384" t="n"/>
      <c r="F31" s="384" t="n"/>
      <c r="G31" s="384" t="n"/>
      <c r="H31" s="384" t="n"/>
      <c r="I31" s="384" t="n"/>
      <c r="J31" s="384" t="n"/>
      <c r="K31" s="385" t="n"/>
    </row>
    <row r="32" ht="14.25" customHeight="1" s="355">
      <c r="A32" s="386" t="inlineStr">
        <is>
          <t>TOTAL  TRANSITION CHARGES</t>
        </is>
      </c>
      <c r="B32" s="387" t="n"/>
      <c r="C32" s="388">
        <f>SUM(C20:C31)</f>
        <v/>
      </c>
      <c r="D32" s="388">
        <f>SUM(D20:D31)</f>
        <v/>
      </c>
      <c r="E32" s="388">
        <f>SUM(E20:E31)</f>
        <v/>
      </c>
      <c r="F32" s="388">
        <f>SUM(F20:F31)</f>
        <v/>
      </c>
      <c r="G32" s="388">
        <f>SUM(G20:G31)</f>
        <v/>
      </c>
      <c r="H32" s="388">
        <f>SUM(H20:H31)</f>
        <v/>
      </c>
      <c r="I32" s="388">
        <f>SUM(I20:I31)</f>
        <v/>
      </c>
      <c r="J32" s="388">
        <f>SUM(J20:J31)</f>
        <v/>
      </c>
      <c r="K32" s="389">
        <f>SUM(K20:K31)</f>
        <v/>
      </c>
    </row>
    <row r="33" ht="14.25" customHeight="1" s="355"/>
    <row r="34" ht="14.25" customHeight="1" s="355">
      <c r="A34" s="390" t="inlineStr">
        <is>
          <t>TRANSFORMATION CHARGES</t>
        </is>
      </c>
      <c r="B34" s="369" t="n"/>
      <c r="C34" s="370" t="inlineStr">
        <is>
          <t>Year 1</t>
        </is>
      </c>
      <c r="D34" s="371" t="inlineStr">
        <is>
          <t>Year 2</t>
        </is>
      </c>
      <c r="E34" s="371" t="inlineStr">
        <is>
          <t>Year 3</t>
        </is>
      </c>
      <c r="F34" s="371" t="inlineStr">
        <is>
          <t>Year 4</t>
        </is>
      </c>
      <c r="G34" s="371" t="inlineStr">
        <is>
          <t>Year 5</t>
        </is>
      </c>
      <c r="H34" s="371" t="inlineStr">
        <is>
          <t>Year 6</t>
        </is>
      </c>
      <c r="I34" s="371" t="inlineStr">
        <is>
          <t>Year 7</t>
        </is>
      </c>
      <c r="J34" s="371" t="inlineStr">
        <is>
          <t>Year 8</t>
        </is>
      </c>
      <c r="K34" s="372" t="inlineStr">
        <is>
          <t>Total</t>
        </is>
      </c>
    </row>
    <row r="35" ht="14.25" customHeight="1" s="355">
      <c r="A35" s="373" t="n"/>
      <c r="B35" s="374" t="inlineStr">
        <is>
          <t>General Accounting &amp; Sox</t>
        </is>
      </c>
      <c r="C35" s="375" t="n"/>
      <c r="D35" s="375" t="n"/>
      <c r="E35" s="375" t="n"/>
      <c r="F35" s="375" t="n"/>
      <c r="G35" s="375" t="n"/>
      <c r="H35" s="375" t="n"/>
      <c r="I35" s="375" t="n"/>
      <c r="J35" s="375" t="n"/>
      <c r="K35" s="376">
        <f>SUM(C35:J35)</f>
        <v/>
      </c>
    </row>
    <row r="36" ht="14.25" customHeight="1" s="355">
      <c r="A36" s="377" t="n"/>
      <c r="B36" s="378" t="n"/>
      <c r="C36" s="379" t="n"/>
      <c r="D36" s="379" t="n"/>
      <c r="E36" s="379" t="n"/>
      <c r="F36" s="379" t="n"/>
      <c r="G36" s="379" t="n"/>
      <c r="H36" s="379" t="n"/>
      <c r="I36" s="379" t="n"/>
      <c r="J36" s="379" t="n"/>
      <c r="K36" s="380" t="n"/>
    </row>
    <row r="37" ht="14.25" customHeight="1" s="355">
      <c r="A37" s="377" t="n"/>
      <c r="B37" s="381" t="inlineStr">
        <is>
          <t>Fixed Assets</t>
        </is>
      </c>
      <c r="C37" s="379" t="n"/>
      <c r="D37" s="379" t="n"/>
      <c r="E37" s="379" t="n"/>
      <c r="F37" s="379" t="n"/>
      <c r="G37" s="379" t="n"/>
      <c r="H37" s="379" t="n"/>
      <c r="I37" s="379" t="n"/>
      <c r="J37" s="379" t="n"/>
      <c r="K37" s="376">
        <f>SUM(C37:J37)</f>
        <v/>
      </c>
    </row>
    <row r="38" ht="14.25" customHeight="1" s="355">
      <c r="A38" s="377" t="n"/>
      <c r="B38" s="378" t="n"/>
      <c r="C38" s="379" t="n"/>
      <c r="D38" s="379" t="n"/>
      <c r="E38" s="379" t="n"/>
      <c r="F38" s="379" t="n"/>
      <c r="G38" s="379" t="n"/>
      <c r="H38" s="379" t="n"/>
      <c r="I38" s="379" t="n"/>
      <c r="J38" s="379" t="n"/>
      <c r="K38" s="380" t="n"/>
    </row>
    <row r="39" ht="14.25" customHeight="1" s="355">
      <c r="A39" s="377" t="n"/>
      <c r="B39" s="381" t="inlineStr">
        <is>
          <t>Accounts Payable</t>
        </is>
      </c>
      <c r="C39" s="379" t="n"/>
      <c r="D39" s="379" t="n"/>
      <c r="E39" s="379" t="n"/>
      <c r="F39" s="379" t="n"/>
      <c r="G39" s="379" t="n"/>
      <c r="H39" s="379" t="n"/>
      <c r="I39" s="379" t="n"/>
      <c r="J39" s="379" t="n"/>
      <c r="K39" s="376">
        <f>SUM(C39:J39)</f>
        <v/>
      </c>
    </row>
    <row r="40" ht="14.25" customHeight="1" s="355">
      <c r="A40" s="377" t="n"/>
      <c r="B40" s="378" t="n"/>
      <c r="C40" s="379" t="n"/>
      <c r="D40" s="379" t="n"/>
      <c r="E40" s="379" t="n"/>
      <c r="F40" s="379" t="n"/>
      <c r="G40" s="379" t="n"/>
      <c r="H40" s="379" t="n"/>
      <c r="I40" s="379" t="n"/>
      <c r="J40" s="379" t="n"/>
      <c r="K40" s="380" t="n"/>
    </row>
    <row r="41" ht="14.25" customHeight="1" s="355">
      <c r="A41" s="377" t="n"/>
      <c r="B41" s="381" t="inlineStr">
        <is>
          <t>T&amp;E</t>
        </is>
      </c>
      <c r="C41" s="379" t="n"/>
      <c r="D41" s="379" t="n"/>
      <c r="E41" s="379" t="n"/>
      <c r="F41" s="379" t="n"/>
      <c r="G41" s="379" t="n"/>
      <c r="H41" s="379" t="n"/>
      <c r="I41" s="379" t="n"/>
      <c r="J41" s="379" t="n"/>
      <c r="K41" s="376">
        <f>SUM(C41:J41)</f>
        <v/>
      </c>
    </row>
    <row r="42" ht="14.25" customHeight="1" s="355">
      <c r="A42" s="377" t="n"/>
      <c r="B42" s="378" t="n"/>
      <c r="C42" s="379" t="n"/>
      <c r="D42" s="379" t="n"/>
      <c r="E42" s="379" t="n"/>
      <c r="F42" s="379" t="n"/>
      <c r="G42" s="379" t="n"/>
      <c r="H42" s="379" t="n"/>
      <c r="I42" s="379" t="n"/>
      <c r="J42" s="379" t="n"/>
      <c r="K42" s="380" t="n"/>
    </row>
    <row r="43" ht="14.25" customHeight="1" s="355">
      <c r="A43" s="377" t="n"/>
      <c r="B43" s="381" t="inlineStr">
        <is>
          <t>Order to Cash</t>
        </is>
      </c>
      <c r="C43" s="379" t="n"/>
      <c r="D43" s="379" t="n"/>
      <c r="E43" s="379" t="n"/>
      <c r="F43" s="379" t="n"/>
      <c r="G43" s="379" t="n"/>
      <c r="H43" s="379" t="n"/>
      <c r="I43" s="379" t="n"/>
      <c r="J43" s="379" t="n"/>
      <c r="K43" s="376">
        <f>SUM(C43:J43)</f>
        <v/>
      </c>
    </row>
    <row r="44" ht="14.25" customHeight="1" s="355">
      <c r="A44" s="377" t="n"/>
      <c r="B44" s="378" t="n"/>
      <c r="C44" s="379" t="n"/>
      <c r="D44" s="379" t="n"/>
      <c r="E44" s="379" t="n"/>
      <c r="F44" s="379" t="n"/>
      <c r="G44" s="379" t="n"/>
      <c r="H44" s="379" t="n"/>
      <c r="I44" s="379" t="n"/>
      <c r="J44" s="379" t="n"/>
      <c r="K44" s="380" t="n"/>
    </row>
    <row r="45" ht="14.25" customHeight="1" s="355">
      <c r="A45" s="377" t="n"/>
      <c r="B45" s="381" t="inlineStr">
        <is>
          <t>Requistion to Pay</t>
        </is>
      </c>
      <c r="C45" s="379" t="n"/>
      <c r="D45" s="379" t="n"/>
      <c r="E45" s="379" t="n"/>
      <c r="F45" s="379" t="n"/>
      <c r="G45" s="379" t="n"/>
      <c r="H45" s="379" t="n"/>
      <c r="I45" s="379" t="n"/>
      <c r="J45" s="379" t="n"/>
      <c r="K45" s="376">
        <f>SUM(C45:J45)</f>
        <v/>
      </c>
    </row>
    <row r="46" ht="14.25" customHeight="1" s="355">
      <c r="A46" s="382" t="n"/>
      <c r="B46" s="383" t="inlineStr">
        <is>
          <t xml:space="preserve"> </t>
        </is>
      </c>
      <c r="C46" s="384" t="n"/>
      <c r="D46" s="384" t="n"/>
      <c r="E46" s="384" t="n"/>
      <c r="F46" s="384" t="n"/>
      <c r="G46" s="384" t="n"/>
      <c r="H46" s="384" t="n"/>
      <c r="I46" s="384" t="n"/>
      <c r="J46" s="384" t="n"/>
      <c r="K46" s="385" t="n"/>
    </row>
    <row r="47" ht="14.25" customHeight="1" s="355">
      <c r="A47" s="386" t="inlineStr">
        <is>
          <t>TOTAL  TRANSFORMATION CHARGES</t>
        </is>
      </c>
      <c r="B47" s="387" t="n"/>
      <c r="C47" s="388">
        <f>SUM(C35:C46)</f>
        <v/>
      </c>
      <c r="D47" s="388">
        <f>SUM(D35:D46)</f>
        <v/>
      </c>
      <c r="E47" s="388">
        <f>SUM(E35:E46)</f>
        <v/>
      </c>
      <c r="F47" s="388">
        <f>SUM(F35:F46)</f>
        <v/>
      </c>
      <c r="G47" s="388">
        <f>SUM(G35:G46)</f>
        <v/>
      </c>
      <c r="H47" s="388">
        <f>SUM(H35:H46)</f>
        <v/>
      </c>
      <c r="I47" s="388">
        <f>SUM(I35:I46)</f>
        <v/>
      </c>
      <c r="J47" s="388">
        <f>SUM(J35:J46)</f>
        <v/>
      </c>
      <c r="K47" s="389">
        <f>SUM(K35:K46)</f>
        <v/>
      </c>
    </row>
    <row r="48" ht="14.25" customHeight="1" s="355">
      <c r="A48" s="391" t="n"/>
      <c r="B48" s="363" t="n"/>
      <c r="C48" s="364" t="n"/>
      <c r="D48" s="364" t="n"/>
      <c r="E48" s="364" t="n"/>
      <c r="F48" s="364" t="n"/>
      <c r="G48" s="364" t="n"/>
      <c r="H48" s="364" t="n"/>
      <c r="I48" s="364" t="n"/>
      <c r="J48" s="364" t="n"/>
      <c r="K48" s="364" t="n"/>
    </row>
    <row r="49" ht="18.75" customHeight="1" s="355">
      <c r="A49" s="392" t="inlineStr">
        <is>
          <t>TOTAL SUPPLIER CHARGES</t>
        </is>
      </c>
      <c r="B49" s="393" t="n"/>
      <c r="C49" s="394">
        <f>C47+C32+C17</f>
        <v/>
      </c>
      <c r="D49" s="394">
        <f>D47+D32+D17</f>
        <v/>
      </c>
      <c r="E49" s="394">
        <f>E47+E32+E17</f>
        <v/>
      </c>
      <c r="F49" s="394">
        <f>F47+F32+F17</f>
        <v/>
      </c>
      <c r="G49" s="394">
        <f>G47+G32+G17</f>
        <v/>
      </c>
      <c r="H49" s="394">
        <f>H47+H32+H17</f>
        <v/>
      </c>
      <c r="I49" s="394">
        <f>I47+I32+I17</f>
        <v/>
      </c>
      <c r="J49" s="394">
        <f>J47+J32+J17</f>
        <v/>
      </c>
      <c r="K49" s="394">
        <f>K47+K32+K17</f>
        <v/>
      </c>
    </row>
    <row r="50" ht="14.25" customHeight="1" s="355"/>
    <row r="51" ht="14.25" customHeight="1" s="355">
      <c r="A51" s="390" t="inlineStr">
        <is>
          <t>PASS  THROUGH CHARGES</t>
        </is>
      </c>
      <c r="B51" s="369" t="n"/>
      <c r="C51" s="370" t="inlineStr">
        <is>
          <t>Year 1</t>
        </is>
      </c>
      <c r="D51" s="371" t="inlineStr">
        <is>
          <t>Year 2</t>
        </is>
      </c>
      <c r="E51" s="371" t="inlineStr">
        <is>
          <t>Year 3</t>
        </is>
      </c>
      <c r="F51" s="371" t="inlineStr">
        <is>
          <t>Year 4</t>
        </is>
      </c>
      <c r="G51" s="371" t="inlineStr">
        <is>
          <t>Year 5</t>
        </is>
      </c>
      <c r="H51" s="371" t="inlineStr">
        <is>
          <t>Year 6</t>
        </is>
      </c>
      <c r="I51" s="371" t="inlineStr">
        <is>
          <t>Year 7</t>
        </is>
      </c>
      <c r="J51" s="371" t="inlineStr">
        <is>
          <t>Year 8</t>
        </is>
      </c>
      <c r="K51" s="372" t="inlineStr">
        <is>
          <t>Total</t>
        </is>
      </c>
    </row>
    <row r="52" ht="14.25" customHeight="1" s="355">
      <c r="A52" s="373" t="n"/>
      <c r="B52" s="374" t="inlineStr">
        <is>
          <t>General Accounting &amp; Sox</t>
        </is>
      </c>
      <c r="C52" s="375">
        <f>'Pass-Thro-Charges'!C5</f>
        <v/>
      </c>
      <c r="D52" s="375">
        <f>'Pass-Thro-Charges'!D5</f>
        <v/>
      </c>
      <c r="E52" s="375">
        <f>'Pass-Thro-Charges'!E5</f>
        <v/>
      </c>
      <c r="F52" s="375">
        <f>'Pass-Thro-Charges'!F5</f>
        <v/>
      </c>
      <c r="G52" s="375">
        <f>'Pass-Thro-Charges'!G5</f>
        <v/>
      </c>
      <c r="H52" s="375">
        <f>'Pass-Thro-Charges'!H5</f>
        <v/>
      </c>
      <c r="I52" s="375">
        <f>'Pass-Thro-Charges'!I5</f>
        <v/>
      </c>
      <c r="J52" s="375">
        <f>'Pass-Thro-Charges'!J5</f>
        <v/>
      </c>
      <c r="K52" s="376">
        <f>SUM(C52:J52)</f>
        <v/>
      </c>
    </row>
    <row r="53" ht="14.25" customHeight="1" s="355">
      <c r="A53" s="377" t="n"/>
      <c r="B53" s="378" t="n"/>
      <c r="C53" s="379" t="n"/>
      <c r="D53" s="379" t="n"/>
      <c r="E53" s="379" t="n"/>
      <c r="F53" s="379" t="n"/>
      <c r="G53" s="379" t="n"/>
      <c r="H53" s="379" t="n"/>
      <c r="I53" s="379" t="n"/>
      <c r="J53" s="379" t="n"/>
      <c r="K53" s="380" t="n"/>
    </row>
    <row r="54" ht="14.25" customHeight="1" s="355">
      <c r="A54" s="377" t="n"/>
      <c r="B54" s="381" t="inlineStr">
        <is>
          <t>Fixed Assets</t>
        </is>
      </c>
      <c r="C54" s="379">
        <f>'Pass-Thro-Charges'!C7</f>
        <v/>
      </c>
      <c r="D54" s="379">
        <f>'Pass-Thro-Charges'!D7</f>
        <v/>
      </c>
      <c r="E54" s="379">
        <f>'Pass-Thro-Charges'!E7</f>
        <v/>
      </c>
      <c r="F54" s="379">
        <f>'Pass-Thro-Charges'!F7</f>
        <v/>
      </c>
      <c r="G54" s="379">
        <f>'Pass-Thro-Charges'!G7</f>
        <v/>
      </c>
      <c r="H54" s="379">
        <f>'Pass-Thro-Charges'!H7</f>
        <v/>
      </c>
      <c r="I54" s="379">
        <f>'Pass-Thro-Charges'!I7</f>
        <v/>
      </c>
      <c r="J54" s="379">
        <f>'Pass-Thro-Charges'!J7</f>
        <v/>
      </c>
      <c r="K54" s="376">
        <f>SUM(C54:J54)</f>
        <v/>
      </c>
    </row>
    <row r="55" ht="14.25" customHeight="1" s="355">
      <c r="A55" s="377" t="n"/>
      <c r="B55" s="378" t="n"/>
      <c r="C55" s="379" t="n"/>
      <c r="D55" s="379" t="n"/>
      <c r="E55" s="379" t="n"/>
      <c r="F55" s="379" t="n"/>
      <c r="G55" s="379" t="n"/>
      <c r="H55" s="379" t="n"/>
      <c r="I55" s="379" t="n"/>
      <c r="J55" s="379" t="n"/>
      <c r="K55" s="380" t="n"/>
    </row>
    <row r="56" ht="14.25" customHeight="1" s="355">
      <c r="A56" s="377" t="n"/>
      <c r="B56" s="381" t="inlineStr">
        <is>
          <t>Accounts Payable</t>
        </is>
      </c>
      <c r="C56" s="379">
        <f>'Pass-Thro-Charges'!C9</f>
        <v/>
      </c>
      <c r="D56" s="379">
        <f>'Pass-Thro-Charges'!D9</f>
        <v/>
      </c>
      <c r="E56" s="379">
        <f>'Pass-Thro-Charges'!E9</f>
        <v/>
      </c>
      <c r="F56" s="379">
        <f>'Pass-Thro-Charges'!F9</f>
        <v/>
      </c>
      <c r="G56" s="379">
        <f>'Pass-Thro-Charges'!G9</f>
        <v/>
      </c>
      <c r="H56" s="379">
        <f>'Pass-Thro-Charges'!H9</f>
        <v/>
      </c>
      <c r="I56" s="379">
        <f>'Pass-Thro-Charges'!I9</f>
        <v/>
      </c>
      <c r="J56" s="379">
        <f>'Pass-Thro-Charges'!J9</f>
        <v/>
      </c>
      <c r="K56" s="376">
        <f>SUM(C56:J56)</f>
        <v/>
      </c>
    </row>
    <row r="57" ht="14.25" customHeight="1" s="355">
      <c r="A57" s="377" t="n"/>
      <c r="B57" s="378" t="n"/>
      <c r="C57" s="379" t="n"/>
      <c r="D57" s="379" t="n"/>
      <c r="E57" s="379" t="n"/>
      <c r="F57" s="379" t="n"/>
      <c r="G57" s="379" t="n"/>
      <c r="H57" s="379" t="n"/>
      <c r="I57" s="379" t="n"/>
      <c r="J57" s="379" t="n"/>
      <c r="K57" s="380" t="n"/>
    </row>
    <row r="58" ht="14.25" customHeight="1" s="355">
      <c r="A58" s="377" t="n"/>
      <c r="B58" s="381" t="inlineStr">
        <is>
          <t>T&amp;E</t>
        </is>
      </c>
      <c r="C58" s="379">
        <f>'Pass-Thro-Charges'!C11</f>
        <v/>
      </c>
      <c r="D58" s="379">
        <f>'Pass-Thro-Charges'!D11</f>
        <v/>
      </c>
      <c r="E58" s="379">
        <f>'Pass-Thro-Charges'!E11</f>
        <v/>
      </c>
      <c r="F58" s="379">
        <f>'Pass-Thro-Charges'!F11</f>
        <v/>
      </c>
      <c r="G58" s="379">
        <f>'Pass-Thro-Charges'!G11</f>
        <v/>
      </c>
      <c r="H58" s="379">
        <f>'Pass-Thro-Charges'!H11</f>
        <v/>
      </c>
      <c r="I58" s="379">
        <f>'Pass-Thro-Charges'!I11</f>
        <v/>
      </c>
      <c r="J58" s="379">
        <f>'Pass-Thro-Charges'!J11</f>
        <v/>
      </c>
      <c r="K58" s="376">
        <f>SUM(C58:J58)</f>
        <v/>
      </c>
    </row>
    <row r="59" ht="14.25" customHeight="1" s="355">
      <c r="A59" s="377" t="n"/>
      <c r="B59" s="378" t="n"/>
      <c r="C59" s="379" t="n"/>
      <c r="D59" s="379" t="n"/>
      <c r="E59" s="379" t="n"/>
      <c r="F59" s="379" t="n"/>
      <c r="G59" s="379" t="n"/>
      <c r="H59" s="379" t="n"/>
      <c r="I59" s="379" t="n"/>
      <c r="J59" s="379" t="n"/>
      <c r="K59" s="380" t="n"/>
    </row>
    <row r="60" ht="14.25" customHeight="1" s="355">
      <c r="A60" s="377" t="n"/>
      <c r="B60" s="381" t="inlineStr">
        <is>
          <t>Order to Cash</t>
        </is>
      </c>
      <c r="C60" s="379">
        <f>'Pass-Thro-Charges'!C13</f>
        <v/>
      </c>
      <c r="D60" s="379">
        <f>'Pass-Thro-Charges'!D13</f>
        <v/>
      </c>
      <c r="E60" s="379">
        <f>'Pass-Thro-Charges'!E13</f>
        <v/>
      </c>
      <c r="F60" s="379">
        <f>'Pass-Thro-Charges'!F13</f>
        <v/>
      </c>
      <c r="G60" s="379">
        <f>'Pass-Thro-Charges'!G13</f>
        <v/>
      </c>
      <c r="H60" s="379">
        <f>'Pass-Thro-Charges'!H13</f>
        <v/>
      </c>
      <c r="I60" s="379">
        <f>'Pass-Thro-Charges'!I13</f>
        <v/>
      </c>
      <c r="J60" s="379">
        <f>'Pass-Thro-Charges'!J13</f>
        <v/>
      </c>
      <c r="K60" s="376">
        <f>SUM(C60:J60)</f>
        <v/>
      </c>
    </row>
    <row r="61" ht="14.25" customHeight="1" s="355">
      <c r="A61" s="377" t="n"/>
      <c r="B61" s="378" t="n"/>
      <c r="C61" s="379" t="n"/>
      <c r="D61" s="379" t="n"/>
      <c r="E61" s="379" t="n"/>
      <c r="F61" s="379" t="n"/>
      <c r="G61" s="379" t="n"/>
      <c r="H61" s="379" t="n"/>
      <c r="I61" s="379" t="n"/>
      <c r="J61" s="379" t="n"/>
      <c r="K61" s="380" t="n"/>
    </row>
    <row r="62" ht="14.25" customHeight="1" s="355">
      <c r="A62" s="377" t="n"/>
      <c r="B62" s="381" t="inlineStr">
        <is>
          <t>Requistion to Pay</t>
        </is>
      </c>
      <c r="C62" s="379">
        <f>'Pass-Thro-Charges'!C15</f>
        <v/>
      </c>
      <c r="D62" s="379">
        <f>'Pass-Thro-Charges'!D15</f>
        <v/>
      </c>
      <c r="E62" s="379">
        <f>'Pass-Thro-Charges'!E15</f>
        <v/>
      </c>
      <c r="F62" s="379">
        <f>'Pass-Thro-Charges'!F15</f>
        <v/>
      </c>
      <c r="G62" s="379">
        <f>'Pass-Thro-Charges'!G15</f>
        <v/>
      </c>
      <c r="H62" s="379">
        <f>'Pass-Thro-Charges'!H15</f>
        <v/>
      </c>
      <c r="I62" s="379">
        <f>'Pass-Thro-Charges'!I15</f>
        <v/>
      </c>
      <c r="J62" s="379">
        <f>'Pass-Thro-Charges'!J15</f>
        <v/>
      </c>
      <c r="K62" s="376">
        <f>SUM(C62:J62)</f>
        <v/>
      </c>
    </row>
    <row r="63" ht="14.25" customHeight="1" s="355">
      <c r="A63" s="382" t="n"/>
      <c r="B63" s="383" t="n"/>
      <c r="C63" s="384" t="n"/>
      <c r="D63" s="384" t="n"/>
      <c r="E63" s="384" t="n"/>
      <c r="F63" s="384" t="n"/>
      <c r="G63" s="384" t="n"/>
      <c r="H63" s="384" t="n"/>
      <c r="I63" s="384" t="n"/>
      <c r="J63" s="384" t="n"/>
      <c r="K63" s="385" t="n"/>
    </row>
    <row r="64" ht="14.25" customHeight="1" s="355">
      <c r="A64" s="386" t="inlineStr">
        <is>
          <t>TOTAL  PASS THROUGH</t>
        </is>
      </c>
      <c r="B64" s="387" t="n"/>
      <c r="C64" s="388">
        <f>SUM(C52:C63)</f>
        <v/>
      </c>
      <c r="D64" s="388">
        <f>SUM(D52:D63)</f>
        <v/>
      </c>
      <c r="E64" s="388">
        <f>SUM(E52:E63)</f>
        <v/>
      </c>
      <c r="F64" s="388">
        <f>SUM(F52:F63)</f>
        <v/>
      </c>
      <c r="G64" s="388">
        <f>SUM(G52:G63)</f>
        <v/>
      </c>
      <c r="H64" s="388">
        <f>SUM(H52:H63)</f>
        <v/>
      </c>
      <c r="I64" s="388">
        <f>SUM(I52:I63)</f>
        <v/>
      </c>
      <c r="J64" s="388">
        <f>SUM(J52:J63)</f>
        <v/>
      </c>
      <c r="K64" s="389">
        <f>SUM(K52:K63)</f>
        <v/>
      </c>
    </row>
    <row r="65" ht="18.75" customHeight="1" s="355"/>
    <row r="66" ht="19.5" customHeight="1" s="355">
      <c r="A66" s="392" t="inlineStr">
        <is>
          <t>GRAND TOTAL CHARGES</t>
        </is>
      </c>
      <c r="B66" s="393" t="n"/>
      <c r="C66" s="394">
        <f>SUM(C64,C49)</f>
        <v/>
      </c>
      <c r="D66" s="394">
        <f>SUM(D64,D49)</f>
        <v/>
      </c>
      <c r="E66" s="394">
        <f>SUM(E64,E49)</f>
        <v/>
      </c>
      <c r="F66" s="394">
        <f>SUM(F64,F49)</f>
        <v/>
      </c>
      <c r="G66" s="394">
        <f>SUM(G64,G49)</f>
        <v/>
      </c>
      <c r="H66" s="394">
        <f>SUM(H64,H49)</f>
        <v/>
      </c>
      <c r="I66" s="394">
        <f>SUM(I64,I49)</f>
        <v/>
      </c>
      <c r="J66" s="394">
        <f>SUM(J64,J49)</f>
        <v/>
      </c>
      <c r="K66" s="394">
        <f>SUM(K64,K49)</f>
        <v/>
      </c>
    </row>
    <row r="67"/>
    <row r="68" ht="18.75" customHeight="1" s="355">
      <c r="A68" s="395" t="inlineStr">
        <is>
          <t>Walk from Nov 21 submission to Jan 17 Submission</t>
        </is>
      </c>
      <c r="B68" s="396" t="n"/>
      <c r="C68" s="397" t="n"/>
      <c r="D68" s="397" t="n"/>
      <c r="E68" s="397" t="n"/>
      <c r="F68" s="397" t="n"/>
      <c r="G68" s="397" t="n"/>
      <c r="H68" s="397" t="n"/>
      <c r="I68" s="397" t="n"/>
      <c r="J68" s="397" t="n"/>
      <c r="K68" s="397" t="n"/>
      <c r="L68" s="396" t="n"/>
    </row>
    <row r="69" ht="15.75" customHeight="1" s="355">
      <c r="A69" s="397" t="inlineStr">
        <is>
          <t>Submission as of Nov 21, 2006</t>
        </is>
      </c>
      <c r="B69" s="396" t="n"/>
      <c r="C69" s="397" t="n">
        <v>6423126.01585614</v>
      </c>
      <c r="D69" s="397" t="n">
        <v>6050465.60579555</v>
      </c>
      <c r="E69" s="397" t="n">
        <v>5673577.26522214</v>
      </c>
      <c r="F69" s="397" t="n">
        <v>5523567.38305754</v>
      </c>
      <c r="G69" s="397" t="n">
        <v>5467631.95825282</v>
      </c>
      <c r="H69" s="397" t="n">
        <v>5289616.04427334</v>
      </c>
      <c r="I69" s="397" t="n">
        <v>5192511.3670461</v>
      </c>
      <c r="J69" s="397" t="n">
        <v>432093.453456466</v>
      </c>
      <c r="K69" s="397">
        <f>SUM(C69:J69)</f>
        <v/>
      </c>
      <c r="L69" s="396" t="n"/>
    </row>
    <row r="70" ht="16.5" customHeight="1" s="355">
      <c r="A70" s="398" t="inlineStr">
        <is>
          <t>Including Cognos reporting tool and customer portal</t>
        </is>
      </c>
      <c r="B70" s="398" t="n"/>
      <c r="C70" s="399" t="n">
        <v>20604.1014869618</v>
      </c>
      <c r="D70" s="399" t="n">
        <v>39473.4720563861</v>
      </c>
      <c r="E70" s="399" t="n">
        <v>37285.6542436499</v>
      </c>
      <c r="F70" s="399" t="n">
        <v>36230.2460763156</v>
      </c>
      <c r="G70" s="399" t="n">
        <v>35568.224481076</v>
      </c>
      <c r="H70" s="399" t="n">
        <v>34642.201879615</v>
      </c>
      <c r="I70" s="399" t="n">
        <v>33969.2582936641</v>
      </c>
      <c r="J70" s="399" t="n">
        <v>2826.27487033582</v>
      </c>
      <c r="K70" s="400">
        <f>SUM(C70:J70)</f>
        <v/>
      </c>
      <c r="L70" s="397" t="n"/>
    </row>
    <row r="71" ht="16.5" customHeight="1" s="355">
      <c r="A71" s="398" t="inlineStr">
        <is>
          <t>Change in workflow solutions</t>
        </is>
      </c>
      <c r="B71" s="398" t="n"/>
      <c r="C71" s="399" t="n">
        <v>-63615.5341666667</v>
      </c>
      <c r="D71" s="399" t="n">
        <v>-157139.731111111</v>
      </c>
      <c r="E71" s="399" t="n">
        <v>-149105.091944444</v>
      </c>
      <c r="F71" s="399" t="n">
        <v>-143393.508611111</v>
      </c>
      <c r="G71" s="399" t="n">
        <v>-143581.225277778</v>
      </c>
      <c r="H71" s="399" t="n">
        <v>-137851.426666667</v>
      </c>
      <c r="I71" s="399" t="n">
        <v>-131535.826666667</v>
      </c>
      <c r="J71" s="399" t="n">
        <v>-10917.4605555556</v>
      </c>
      <c r="K71" s="400">
        <f>SUM(C71:J71)</f>
        <v/>
      </c>
      <c r="L71" s="397" t="n"/>
    </row>
    <row r="72" ht="16.5" customHeight="1" s="355">
      <c r="A72" s="398" t="inlineStr">
        <is>
          <t>Change in PSTN assumptions solutions</t>
        </is>
      </c>
      <c r="B72" s="398" t="n"/>
      <c r="C72" s="399" t="n">
        <v>-30555.250672043</v>
      </c>
      <c r="D72" s="399" t="n">
        <v>-64130.625</v>
      </c>
      <c r="E72" s="399" t="n">
        <v>-58432.9873568702</v>
      </c>
      <c r="F72" s="399" t="n">
        <v>-58354.8136927481</v>
      </c>
      <c r="G72" s="399" t="n">
        <v>-60769.2783874046</v>
      </c>
      <c r="H72" s="399" t="n">
        <v>-58959.1493320611</v>
      </c>
      <c r="I72" s="399" t="n">
        <v>-56629.8234732825</v>
      </c>
      <c r="J72" s="399" t="n">
        <v>-4702.90195610687</v>
      </c>
      <c r="K72" s="400">
        <f>SUM(C72:J72)</f>
        <v/>
      </c>
      <c r="L72" s="397" t="n"/>
    </row>
    <row r="73" ht="16.5" customHeight="1" s="355">
      <c r="A73" s="398" t="inlineStr">
        <is>
          <t>Price drop</t>
        </is>
      </c>
      <c r="B73" s="398" t="n"/>
      <c r="C73" s="399" t="n">
        <v>-169498.368547678</v>
      </c>
      <c r="D73" s="399" t="n">
        <v>-459640.100803622</v>
      </c>
      <c r="E73" s="399" t="n">
        <v>-345558.971111985</v>
      </c>
      <c r="F73" s="399" t="n">
        <v>-413115.103456135</v>
      </c>
      <c r="G73" s="399" t="n">
        <v>-523431.986264324</v>
      </c>
      <c r="H73" s="399" t="n">
        <v>-532231.2020557839</v>
      </c>
      <c r="I73" s="399" t="n">
        <v>-501541.207114151</v>
      </c>
      <c r="J73" s="399" t="n">
        <v>-41563.0302557972</v>
      </c>
      <c r="K73" s="400">
        <f>SUM(C73:J73)</f>
        <v/>
      </c>
      <c r="L73" s="397" t="n"/>
    </row>
    <row r="74" ht="16.5" customHeight="1" s="355">
      <c r="A74" s="398" t="inlineStr">
        <is>
          <t>Impact of awarding phase2 on phase 1 prices</t>
        </is>
      </c>
      <c r="B74" s="398" t="n"/>
      <c r="C74" s="399" t="n">
        <v>-49647.522643772</v>
      </c>
      <c r="D74" s="399" t="n">
        <v>-99186.2436786266</v>
      </c>
      <c r="E74" s="399" t="n">
        <v>-94524.10478689799</v>
      </c>
      <c r="F74" s="399" t="n">
        <v>-90572.9961052453</v>
      </c>
      <c r="G74" s="399" t="n">
        <v>-87433.4655257743</v>
      </c>
      <c r="H74" s="399" t="n">
        <v>-84075.5088481195</v>
      </c>
      <c r="I74" s="399" t="n">
        <v>-82981.887341544</v>
      </c>
      <c r="J74" s="399" t="n">
        <v>-6909.00895950611</v>
      </c>
      <c r="K74" s="400">
        <f>SUM(C74:J74)</f>
        <v/>
      </c>
      <c r="L74" s="397" t="n"/>
    </row>
    <row r="75" ht="16.5" customHeight="1" s="355">
      <c r="A75" s="397" t="inlineStr">
        <is>
          <t>Same scope w/ updated pricing</t>
        </is>
      </c>
      <c r="B75" s="396" t="n"/>
      <c r="C75" s="397">
        <f>SUM(C69:C74)</f>
        <v/>
      </c>
      <c r="D75" s="397">
        <f>SUM(D69:D74)</f>
        <v/>
      </c>
      <c r="E75" s="397">
        <f>SUM(E69:E74)</f>
        <v/>
      </c>
      <c r="F75" s="397">
        <f>SUM(F69:F74)</f>
        <v/>
      </c>
      <c r="G75" s="397">
        <f>SUM(G69:G74)</f>
        <v/>
      </c>
      <c r="H75" s="397">
        <f>SUM(H69:H74)</f>
        <v/>
      </c>
      <c r="I75" s="397">
        <f>SUM(I69:I74)</f>
        <v/>
      </c>
      <c r="J75" s="397">
        <f>SUM(J69:J74)</f>
        <v/>
      </c>
      <c r="K75" s="397">
        <f>SUM(K69:K74)</f>
        <v/>
      </c>
      <c r="L75" s="401" t="n"/>
    </row>
    <row r="76" ht="16.5" customHeight="1" s="355">
      <c r="A76" s="398" t="inlineStr">
        <is>
          <t>Change in transition assumptions</t>
        </is>
      </c>
      <c r="B76" s="398" t="n"/>
      <c r="C76" s="399" t="n">
        <v>-2683735.10364583</v>
      </c>
      <c r="D76" s="399" t="n">
        <v>1161836.68599537</v>
      </c>
      <c r="E76" s="399" t="n">
        <v>1108799.71099537</v>
      </c>
      <c r="F76" s="399" t="n">
        <v>568330.128530093</v>
      </c>
      <c r="G76" s="399" t="n">
        <v>0</v>
      </c>
      <c r="H76" s="399" t="n">
        <v>0</v>
      </c>
      <c r="I76" s="399" t="n">
        <v>0</v>
      </c>
      <c r="J76" s="399" t="n">
        <v>0</v>
      </c>
      <c r="K76" s="400">
        <f>SUM(C76:J76)</f>
        <v/>
      </c>
      <c r="L76" s="397" t="n"/>
    </row>
    <row r="77" ht="16.5" customHeight="1" s="355">
      <c r="A77" s="398" t="inlineStr">
        <is>
          <t>Adding Scanning &amp; Archiving</t>
        </is>
      </c>
      <c r="B77" s="398" t="n"/>
      <c r="C77" s="399" t="n">
        <v>47593.4602204301</v>
      </c>
      <c r="D77" s="399" t="n">
        <v>80988.8075</v>
      </c>
      <c r="E77" s="399" t="n">
        <v>75461.4340625</v>
      </c>
      <c r="F77" s="399" t="n">
        <v>71039.5353125</v>
      </c>
      <c r="G77" s="399" t="n">
        <v>67944.53065972219</v>
      </c>
      <c r="H77" s="399" t="n">
        <v>66369.7717361111</v>
      </c>
      <c r="I77" s="399" t="n">
        <v>64922.2509027778</v>
      </c>
      <c r="J77" s="399" t="n">
        <v>5400.13534722222</v>
      </c>
      <c r="K77" s="400">
        <f>SUM(C77:J77)</f>
        <v/>
      </c>
      <c r="L77" s="397" t="n"/>
    </row>
    <row r="78" ht="16.5" customHeight="1" s="355">
      <c r="A78" s="398" t="inlineStr">
        <is>
          <t>Change in Transformation charges</t>
        </is>
      </c>
      <c r="B78" s="398" t="n"/>
      <c r="C78" s="399" t="n">
        <v>-114500</v>
      </c>
      <c r="D78" s="399" t="n">
        <v>331500</v>
      </c>
      <c r="E78" s="399" t="n">
        <v>194425</v>
      </c>
      <c r="F78" s="399" t="n">
        <v>76229.2</v>
      </c>
      <c r="G78" s="399" t="n">
        <v>76229.2</v>
      </c>
      <c r="H78" s="399" t="n">
        <v>76229.2</v>
      </c>
      <c r="I78" s="399" t="n">
        <v>76229.2</v>
      </c>
      <c r="J78" s="399" t="n">
        <v>84479.2</v>
      </c>
      <c r="K78" s="400">
        <f>SUM(C78:J78)</f>
        <v/>
      </c>
      <c r="L78" s="397" t="n"/>
    </row>
    <row r="79" ht="16.5" customHeight="1" s="355">
      <c r="A79" s="397" t="inlineStr">
        <is>
          <t>Dec 20 Submission</t>
        </is>
      </c>
      <c r="B79" s="396" t="n"/>
      <c r="C79" s="397">
        <f>SUM(C75:C78)</f>
        <v/>
      </c>
      <c r="D79" s="397">
        <f>SUM(D75:D78)</f>
        <v/>
      </c>
      <c r="E79" s="397">
        <f>SUM(E75:E78)</f>
        <v/>
      </c>
      <c r="F79" s="397">
        <f>SUM(F75:F78)</f>
        <v/>
      </c>
      <c r="G79" s="397">
        <f>SUM(G75:G78)</f>
        <v/>
      </c>
      <c r="H79" s="397">
        <f>SUM(H75:H78)</f>
        <v/>
      </c>
      <c r="I79" s="397">
        <f>SUM(I75:I78)</f>
        <v/>
      </c>
      <c r="J79" s="397">
        <f>SUM(J75:J78)</f>
        <v/>
      </c>
      <c r="K79" s="397">
        <f>SUM(K75:K78)</f>
        <v/>
      </c>
      <c r="L79" s="401" t="n"/>
    </row>
    <row r="80" ht="16.5" customHeight="1" s="355">
      <c r="A80" s="402" t="inlineStr">
        <is>
          <t>Remove transformation projects</t>
        </is>
      </c>
      <c r="B80" s="402" t="n"/>
      <c r="C80" s="403" t="n">
        <v>0</v>
      </c>
      <c r="D80" s="403" t="n">
        <v>-340500</v>
      </c>
      <c r="E80" s="403" t="n">
        <v>-203425</v>
      </c>
      <c r="F80" s="403" t="n">
        <v>-85229.2</v>
      </c>
      <c r="G80" s="403" t="n">
        <v>-85229.2</v>
      </c>
      <c r="H80" s="403" t="n">
        <v>-85229.2</v>
      </c>
      <c r="I80" s="403" t="n">
        <v>-85229.2</v>
      </c>
      <c r="J80" s="403" t="n">
        <v>-85229.2</v>
      </c>
      <c r="K80" s="404">
        <f>SUM(C80:J80)</f>
        <v/>
      </c>
      <c r="L80" s="397" t="n"/>
    </row>
    <row r="81" ht="16.5" customHeight="1" s="355">
      <c r="A81" s="402" t="inlineStr">
        <is>
          <t>Change in # Cognos licenses at GlobalPharma (from 10 to 20)</t>
        </is>
      </c>
      <c r="B81" s="402" t="n"/>
      <c r="C81" s="403" t="n">
        <v>2045.16518811882</v>
      </c>
      <c r="D81" s="403" t="n">
        <v>3931.8497648621</v>
      </c>
      <c r="E81" s="403" t="n">
        <v>3743.3055550931</v>
      </c>
      <c r="F81" s="403" t="n">
        <v>3583.94249675889</v>
      </c>
      <c r="G81" s="403" t="n">
        <v>3453.47923289053</v>
      </c>
      <c r="H81" s="403" t="n">
        <v>3326.12173911184</v>
      </c>
      <c r="I81" s="403" t="n">
        <v>3286.61244528927</v>
      </c>
      <c r="J81" s="403" t="n">
        <v>273.665432603972</v>
      </c>
      <c r="K81" s="404">
        <f>SUM(C81:J81)</f>
        <v/>
      </c>
      <c r="L81" s="397" t="n"/>
    </row>
    <row r="82" ht="16.5" customHeight="1" s="355">
      <c r="A82" s="402" t="inlineStr">
        <is>
          <t>BCP impact</t>
        </is>
      </c>
      <c r="B82" s="402" t="n"/>
      <c r="C82" s="403" t="n">
        <v>50784.7613358366</v>
      </c>
      <c r="D82" s="403" t="n">
        <v>97883.5978835979</v>
      </c>
      <c r="E82" s="403" t="n">
        <v>93187.8306878307</v>
      </c>
      <c r="F82" s="403" t="n">
        <v>89219.5767195767</v>
      </c>
      <c r="G82" s="403" t="n">
        <v>85978.835978836</v>
      </c>
      <c r="H82" s="403" t="n">
        <v>82804.2328042328</v>
      </c>
      <c r="I82" s="403" t="n">
        <v>81812.1693121693</v>
      </c>
      <c r="J82" s="403" t="n">
        <v>6812.16931216931</v>
      </c>
      <c r="K82" s="404">
        <f>SUM(C82:J82)</f>
        <v/>
      </c>
      <c r="L82" s="397" t="n"/>
    </row>
    <row r="83" ht="16.5" customHeight="1" s="355">
      <c r="A83" s="402" t="inlineStr">
        <is>
          <t>Changes in transition assumptions</t>
        </is>
      </c>
      <c r="B83" s="402" t="n"/>
      <c r="C83" s="403" t="n">
        <v>-473396.263379792</v>
      </c>
      <c r="D83" s="403" t="n">
        <v>6066.66666666698</v>
      </c>
      <c r="E83" s="403" t="n">
        <v>5789.33333333302</v>
      </c>
      <c r="F83" s="403" t="n">
        <v>2790.66666666698</v>
      </c>
      <c r="G83" s="403" t="n">
        <v>0</v>
      </c>
      <c r="H83" s="403" t="n">
        <v>0</v>
      </c>
      <c r="I83" s="403" t="n">
        <v>0</v>
      </c>
      <c r="J83" s="403" t="n">
        <v>0</v>
      </c>
      <c r="K83" s="404">
        <f>SUM(C83:J83)</f>
        <v/>
      </c>
      <c r="L83" s="397" t="n"/>
    </row>
    <row r="84" ht="16.5" customHeight="1" s="355">
      <c r="A84" s="402" t="inlineStr">
        <is>
          <t>3% inflation impact included</t>
        </is>
      </c>
      <c r="B84" s="402" t="n"/>
      <c r="C84" s="403" t="n">
        <v>0</v>
      </c>
      <c r="D84" s="403" t="n">
        <v>148868.859873647</v>
      </c>
      <c r="E84" s="403" t="n">
        <v>287993.158157011</v>
      </c>
      <c r="F84" s="403" t="n">
        <v>420165.217688779</v>
      </c>
      <c r="G84" s="403" t="n">
        <v>548973.746251306</v>
      </c>
      <c r="H84" s="403" t="n">
        <v>669927.819243585</v>
      </c>
      <c r="I84" s="403" t="n">
        <v>805610.486655061</v>
      </c>
      <c r="J84" s="403" t="n">
        <v>79456.4432450492</v>
      </c>
      <c r="K84" s="404">
        <f>SUM(C84:J84)</f>
        <v/>
      </c>
      <c r="L84" s="397" t="n"/>
    </row>
    <row r="85" ht="15.75" customHeight="1" s="355">
      <c r="A85" s="397" t="inlineStr">
        <is>
          <t>Current Submission</t>
        </is>
      </c>
      <c r="B85" s="396" t="n"/>
      <c r="C85" s="397">
        <f>SUM(C79:C84)</f>
        <v/>
      </c>
      <c r="D85" s="397">
        <f>SUM(D79:D84)</f>
        <v/>
      </c>
      <c r="E85" s="397">
        <f>SUM(E79:E84)</f>
        <v/>
      </c>
      <c r="F85" s="397">
        <f>SUM(F79:F84)</f>
        <v/>
      </c>
      <c r="G85" s="397">
        <f>SUM(G79:G84)</f>
        <v/>
      </c>
      <c r="H85" s="397">
        <f>SUM(H79:H84)</f>
        <v/>
      </c>
      <c r="I85" s="397">
        <f>SUM(I79:I84)</f>
        <v/>
      </c>
      <c r="J85" s="397">
        <f>SUM(J79:J84)</f>
        <v/>
      </c>
      <c r="K85" s="397">
        <f>SUM(K79:K84)</f>
        <v/>
      </c>
      <c r="L85" s="396" t="n"/>
    </row>
    <row r="86"/>
    <row r="87" ht="18" customHeight="1" s="355">
      <c r="A87" s="405" t="n"/>
      <c r="B87" s="405" t="n"/>
      <c r="C87" s="405" t="n"/>
    </row>
    <row r="88"/>
    <row r="89" ht="18.75" customHeight="1" s="355">
      <c r="A89" s="395" t="inlineStr">
        <is>
          <t>Walk from Dec 18 submission to Jan 17 Submission</t>
        </is>
      </c>
    </row>
    <row r="90" ht="15.75" customHeight="1" s="355">
      <c r="A90" s="397" t="inlineStr">
        <is>
          <t>Submission as of Dec 18, 2006</t>
        </is>
      </c>
      <c r="B90" s="396" t="n"/>
      <c r="C90" s="397" t="n">
        <v>3476790.00629354</v>
      </c>
      <c r="D90" s="397" t="n">
        <v>7097413.29825008</v>
      </c>
      <c r="E90" s="397" t="n">
        <v>6603790.8848139</v>
      </c>
      <c r="F90" s="397" t="n">
        <v>5802724.30044837</v>
      </c>
      <c r="G90" s="397" t="n">
        <v>5126028.14986546</v>
      </c>
      <c r="H90" s="397" t="n">
        <v>4988801.67389143</v>
      </c>
      <c r="I90" s="397" t="n">
        <v>4903772.14326975</v>
      </c>
      <c r="J90" s="397" t="n">
        <v>752994.3287697911</v>
      </c>
      <c r="K90" s="397">
        <f>SUM(C90:J90)</f>
        <v/>
      </c>
    </row>
    <row r="91" ht="16.5" customHeight="1" s="355">
      <c r="A91" s="398" t="inlineStr">
        <is>
          <t>Impact of awarding phase2 on phase 1 prices</t>
        </is>
      </c>
      <c r="B91" s="398" t="n"/>
      <c r="C91" s="399" t="n">
        <v>-49652.0873205187</v>
      </c>
      <c r="D91" s="399" t="n">
        <v>-99193.46696884</v>
      </c>
      <c r="E91" s="399" t="n">
        <v>-94531.03178841709</v>
      </c>
      <c r="F91" s="399" t="n">
        <v>-90579.6598358639</v>
      </c>
      <c r="G91" s="399" t="n">
        <v>-87439.8659854922</v>
      </c>
      <c r="H91" s="399" t="n">
        <v>-84081.6711745886</v>
      </c>
      <c r="I91" s="399" t="n">
        <v>-82988.0300140129</v>
      </c>
      <c r="J91" s="399" t="n">
        <v>-6909.52084887854</v>
      </c>
      <c r="K91" s="400">
        <f>SUM(C91:J91)</f>
        <v/>
      </c>
      <c r="L91" s="397" t="n"/>
    </row>
    <row r="92" ht="16.5" customHeight="1" s="355">
      <c r="A92" s="398" t="inlineStr">
        <is>
          <t>Change in unit rates</t>
        </is>
      </c>
      <c r="B92" s="398" t="n"/>
      <c r="C92" s="399" t="n">
        <v>-26657.2216231176</v>
      </c>
      <c r="D92" s="399" t="n">
        <v>-55366.0605272856</v>
      </c>
      <c r="E92" s="399" t="n">
        <v>-52426.0607391689</v>
      </c>
      <c r="F92" s="399" t="n">
        <v>-66683.96410526639</v>
      </c>
      <c r="G92" s="399" t="n">
        <v>-65243.3526771762</v>
      </c>
      <c r="H92" s="399" t="n">
        <v>-63288.8369097221</v>
      </c>
      <c r="I92" s="399" t="n">
        <v>-62470.9050649312</v>
      </c>
      <c r="J92" s="399" t="n">
        <v>-5200.97491921188</v>
      </c>
      <c r="K92" s="400">
        <f>SUM(C92:J92)</f>
        <v/>
      </c>
      <c r="L92" s="397" t="n"/>
    </row>
    <row r="93" ht="16.5" customHeight="1" s="355">
      <c r="A93" s="398" t="inlineStr">
        <is>
          <t>Change in productivity commitment</t>
        </is>
      </c>
      <c r="B93" s="398" t="n"/>
      <c r="C93" s="399" t="n">
        <v>0</v>
      </c>
      <c r="D93" s="399" t="n">
        <v>0</v>
      </c>
      <c r="E93" s="399" t="n">
        <v>40754.7951621534</v>
      </c>
      <c r="F93" s="399" t="n">
        <v>-30150.7147710321</v>
      </c>
      <c r="G93" s="399" t="n">
        <v>-108608.770139448</v>
      </c>
      <c r="H93" s="399" t="n">
        <v>-156173.14107069</v>
      </c>
      <c r="I93" s="399" t="n">
        <v>-132295.8140439</v>
      </c>
      <c r="J93" s="399" t="n">
        <v>-17159.3684325157</v>
      </c>
      <c r="K93" s="400">
        <f>SUM(C93:J93)</f>
        <v/>
      </c>
      <c r="L93" s="397" t="n"/>
    </row>
    <row r="94" ht="16.5" customHeight="1" s="355">
      <c r="A94" s="398" t="inlineStr">
        <is>
          <t>Transition cost saving</t>
        </is>
      </c>
      <c r="B94" s="398" t="n"/>
      <c r="C94" s="399" t="n">
        <v>-8834.79999999981</v>
      </c>
      <c r="D94" s="399" t="n">
        <v>-21018.4000000004</v>
      </c>
      <c r="E94" s="399" t="n">
        <v>-20061.5999999996</v>
      </c>
      <c r="F94" s="399" t="n">
        <v>-11440</v>
      </c>
      <c r="G94" s="399" t="n">
        <v>0</v>
      </c>
      <c r="H94" s="399" t="n">
        <v>0</v>
      </c>
      <c r="I94" s="399" t="n">
        <v>0</v>
      </c>
      <c r="J94" s="399" t="n">
        <v>0</v>
      </c>
      <c r="K94" s="400">
        <f>SUM(C94:J94)</f>
        <v/>
      </c>
      <c r="L94" s="397" t="n"/>
    </row>
    <row r="95" ht="16.5" customHeight="1" s="355">
      <c r="A95" s="398" t="inlineStr">
        <is>
          <t>Modified PSTN assumptions</t>
        </is>
      </c>
      <c r="B95" s="398" t="n"/>
      <c r="C95" s="399" t="n">
        <v>-19874.0994623657</v>
      </c>
      <c r="D95" s="399" t="n">
        <v>-37667.5</v>
      </c>
      <c r="E95" s="399" t="n">
        <v>-35599.078125</v>
      </c>
      <c r="F95" s="399" t="n">
        <v>-33909.890625</v>
      </c>
      <c r="G95" s="399" t="n">
        <v>-32578.203125</v>
      </c>
      <c r="H95" s="399" t="n">
        <v>-31518.09375</v>
      </c>
      <c r="I95" s="399" t="n">
        <v>-31074.0625</v>
      </c>
      <c r="J95" s="399" t="n">
        <v>-2586.796875</v>
      </c>
      <c r="K95" s="400">
        <f>SUM(C95:J95)</f>
        <v/>
      </c>
      <c r="L95" s="397" t="n"/>
    </row>
    <row r="96" ht="16.5" customHeight="1" s="355">
      <c r="A96" s="398" t="inlineStr">
        <is>
          <t>Pass-through corrections</t>
        </is>
      </c>
      <c r="B96" s="398" t="n"/>
      <c r="C96" s="399" t="n">
        <v>8000</v>
      </c>
      <c r="D96" s="399" t="n">
        <v>0</v>
      </c>
      <c r="E96" s="399" t="n">
        <v>0</v>
      </c>
      <c r="F96" s="399" t="n">
        <v>0</v>
      </c>
      <c r="G96" s="399" t="n">
        <v>0</v>
      </c>
      <c r="H96" s="399" t="n">
        <v>0</v>
      </c>
      <c r="I96" s="399" t="n">
        <v>0</v>
      </c>
      <c r="J96" s="399" t="n">
        <v>-260431.005747126</v>
      </c>
      <c r="K96" s="400">
        <f>SUM(C96:J96)</f>
        <v/>
      </c>
      <c r="L96" s="397" t="n"/>
    </row>
    <row r="97" ht="16.5" customHeight="1" s="355">
      <c r="A97" s="397" t="inlineStr">
        <is>
          <t>Dec 20 Submission</t>
        </is>
      </c>
      <c r="B97" s="396" t="n"/>
      <c r="C97" s="397">
        <f>SUM(C90:C96)</f>
        <v/>
      </c>
      <c r="D97" s="397">
        <f>SUM(D90:D96)</f>
        <v/>
      </c>
      <c r="E97" s="397">
        <f>SUM(E90:E96)</f>
        <v/>
      </c>
      <c r="F97" s="397">
        <f>SUM(F90:F96)</f>
        <v/>
      </c>
      <c r="G97" s="397">
        <f>SUM(G90:G96)</f>
        <v/>
      </c>
      <c r="H97" s="397">
        <f>SUM(H90:H96)</f>
        <v/>
      </c>
      <c r="I97" s="397">
        <f>SUM(I90:I96)</f>
        <v/>
      </c>
      <c r="J97" s="397">
        <f>SUM(J90:J96)</f>
        <v/>
      </c>
      <c r="K97" s="397">
        <f>SUM(K90:K96)</f>
        <v/>
      </c>
      <c r="L97" s="396" t="n"/>
    </row>
    <row r="98" ht="16.5" customHeight="1" s="355">
      <c r="A98" s="402" t="inlineStr">
        <is>
          <t>Remove transformation projects</t>
        </is>
      </c>
      <c r="B98" s="402" t="n"/>
      <c r="C98" s="403">
        <f>C80</f>
        <v/>
      </c>
      <c r="D98" s="403">
        <f>D80</f>
        <v/>
      </c>
      <c r="E98" s="403">
        <f>E80</f>
        <v/>
      </c>
      <c r="F98" s="403">
        <f>F80</f>
        <v/>
      </c>
      <c r="G98" s="403">
        <f>G80</f>
        <v/>
      </c>
      <c r="H98" s="403">
        <f>H80</f>
        <v/>
      </c>
      <c r="I98" s="403">
        <f>I80</f>
        <v/>
      </c>
      <c r="J98" s="403">
        <f>J80</f>
        <v/>
      </c>
      <c r="K98" s="404">
        <f>SUM(C98:J98)</f>
        <v/>
      </c>
      <c r="L98" s="397" t="n"/>
    </row>
    <row r="99" ht="16.5" customHeight="1" s="355">
      <c r="A99" s="402" t="inlineStr">
        <is>
          <t>Change in # Cognos licenses at GlobalPharma (from 10 to 20)</t>
        </is>
      </c>
      <c r="B99" s="402" t="n"/>
      <c r="C99" s="403">
        <f>C81</f>
        <v/>
      </c>
      <c r="D99" s="403">
        <f>D81</f>
        <v/>
      </c>
      <c r="E99" s="403">
        <f>E81</f>
        <v/>
      </c>
      <c r="F99" s="403">
        <f>F81</f>
        <v/>
      </c>
      <c r="G99" s="403">
        <f>G81</f>
        <v/>
      </c>
      <c r="H99" s="403">
        <f>H81</f>
        <v/>
      </c>
      <c r="I99" s="403">
        <f>I81</f>
        <v/>
      </c>
      <c r="J99" s="403">
        <f>J81</f>
        <v/>
      </c>
      <c r="K99" s="403">
        <f>SUM(C99:J99)</f>
        <v/>
      </c>
      <c r="L99" s="397" t="n"/>
    </row>
    <row r="100" ht="16.5" customHeight="1" s="355">
      <c r="A100" s="406" t="inlineStr">
        <is>
          <t>BCP impact</t>
        </is>
      </c>
      <c r="B100" s="406" t="n"/>
      <c r="C100" s="403">
        <f>C82</f>
        <v/>
      </c>
      <c r="D100" s="403">
        <f>D82</f>
        <v/>
      </c>
      <c r="E100" s="403">
        <f>E82</f>
        <v/>
      </c>
      <c r="F100" s="403">
        <f>F82</f>
        <v/>
      </c>
      <c r="G100" s="403">
        <f>G82</f>
        <v/>
      </c>
      <c r="H100" s="403">
        <f>H82</f>
        <v/>
      </c>
      <c r="I100" s="403">
        <f>I82</f>
        <v/>
      </c>
      <c r="J100" s="403">
        <f>J82</f>
        <v/>
      </c>
      <c r="K100" s="403">
        <f>SUM(C100:J100)</f>
        <v/>
      </c>
      <c r="L100" s="397" t="n"/>
    </row>
    <row r="101" ht="16.5" customHeight="1" s="355">
      <c r="A101" s="402" t="inlineStr">
        <is>
          <t>Changes in transition assumptions</t>
        </is>
      </c>
      <c r="B101" s="402" t="n"/>
      <c r="C101" s="403">
        <f>C83</f>
        <v/>
      </c>
      <c r="D101" s="403">
        <f>D83</f>
        <v/>
      </c>
      <c r="E101" s="403">
        <f>E83</f>
        <v/>
      </c>
      <c r="F101" s="403">
        <f>F83</f>
        <v/>
      </c>
      <c r="G101" s="403">
        <f>G83</f>
        <v/>
      </c>
      <c r="H101" s="403">
        <f>H83</f>
        <v/>
      </c>
      <c r="I101" s="403">
        <f>I83</f>
        <v/>
      </c>
      <c r="J101" s="403">
        <f>J83</f>
        <v/>
      </c>
      <c r="K101" s="403">
        <f>SUM(C101:J101)</f>
        <v/>
      </c>
      <c r="L101" s="397" t="n"/>
    </row>
    <row r="102" ht="16.5" customHeight="1" s="355">
      <c r="A102" s="402" t="inlineStr">
        <is>
          <t>3% inflation impact included</t>
        </is>
      </c>
      <c r="B102" s="402" t="n"/>
      <c r="C102" s="403">
        <f>C84</f>
        <v/>
      </c>
      <c r="D102" s="403">
        <f>D84</f>
        <v/>
      </c>
      <c r="E102" s="403">
        <f>E84</f>
        <v/>
      </c>
      <c r="F102" s="403">
        <f>F84</f>
        <v/>
      </c>
      <c r="G102" s="403">
        <f>G84</f>
        <v/>
      </c>
      <c r="H102" s="403">
        <f>H84</f>
        <v/>
      </c>
      <c r="I102" s="403">
        <f>I84</f>
        <v/>
      </c>
      <c r="J102" s="403">
        <f>J84</f>
        <v/>
      </c>
      <c r="K102" s="403">
        <f>SUM(C102:J102)</f>
        <v/>
      </c>
      <c r="L102" s="397" t="n"/>
    </row>
    <row r="103" ht="15.75" customHeight="1" s="355">
      <c r="A103" s="397" t="inlineStr">
        <is>
          <t>Current Submission</t>
        </is>
      </c>
      <c r="B103" s="396" t="n"/>
      <c r="C103" s="397">
        <f>SUM(C97:C102)</f>
        <v/>
      </c>
      <c r="D103" s="397">
        <f>SUM(D97:D102)</f>
        <v/>
      </c>
      <c r="E103" s="397">
        <f>SUM(E97:E102)</f>
        <v/>
      </c>
      <c r="F103" s="397">
        <f>SUM(F97:F102)</f>
        <v/>
      </c>
      <c r="G103" s="397">
        <f>SUM(G97:G102)</f>
        <v/>
      </c>
      <c r="H103" s="397">
        <f>SUM(H97:H102)</f>
        <v/>
      </c>
      <c r="I103" s="397">
        <f>SUM(I97:I102)</f>
        <v/>
      </c>
      <c r="J103" s="397">
        <f>SUM(J97:J102)</f>
        <v/>
      </c>
      <c r="K103" s="397">
        <f>SUM(K97:K102)</f>
        <v/>
      </c>
      <c r="L103" s="396" t="n"/>
    </row>
  </sheetData>
  <printOptions horizontalCentered="0" verticalCentered="0" headings="0" gridLines="0" gridLinesSet="1"/>
  <pageMargins left="0.747916666666667" right="0.747916666666667" top="0.9840277777777779" bottom="0.9840277777777779" header="0.5" footer="0.511811023622047"/>
  <pageSetup orientation="landscape" paperSize="1" scale="100" fitToHeight="2" fitToWidth="1" pageOrder="downThenOver" blackAndWhite="0" draft="0" horizontalDpi="300" verticalDpi="300" copies="1"/>
  <headerFooter differentOddEven="0" differentFirst="0">
    <oddHeader>&amp;C&amp;"Times New Roman,Regular"&amp;F</oddHeader>
    <oddFooter/>
    <evenHeader/>
    <evenFooter/>
    <firstHeader/>
    <firstFooter/>
  </headerFooter>
</worksheet>
</file>

<file path=xl/worksheets/sheet3.xml><?xml version="1.0" encoding="utf-8"?>
<worksheet xmlns="http://schemas.openxmlformats.org/spreadsheetml/2006/main">
  <sheetPr filterMode="0">
    <tabColor rgb="FF00FFFF"/>
    <outlinePr summaryBelow="1" summaryRight="1"/>
    <pageSetUpPr fitToPage="1"/>
  </sheetPr>
  <dimension ref="A1:W60"/>
  <sheetViews>
    <sheetView showFormulas="0" showGridLines="1" showRowColHeaders="1" showZeros="1" rightToLeft="0" tabSelected="0" showOutlineSymbols="1" defaultGridColor="1" view="normal" topLeftCell="A37" colorId="64" zoomScale="50" zoomScaleNormal="50" zoomScalePageLayoutView="100" workbookViewId="0">
      <selection pane="topLeft" activeCell="A1" activeCellId="0" sqref="A1:J58"/>
    </sheetView>
  </sheetViews>
  <sheetFormatPr baseColWidth="8" defaultColWidth="8.3984375" defaultRowHeight="12.75" customHeight="1" zeroHeight="0" outlineLevelRow="0"/>
  <cols>
    <col width="33.78" customWidth="1" style="407" min="1" max="1"/>
    <col width="49.84" customWidth="1" style="407" min="2" max="2"/>
    <col width="15.76" customWidth="1" style="363" min="3" max="3"/>
    <col width="14.7" customWidth="1" style="363" min="4" max="4"/>
    <col width="16.35" customWidth="1" style="363" min="5" max="6"/>
    <col width="16.96" customWidth="1" style="363" min="7" max="8"/>
    <col width="16.35" customWidth="1" style="363" min="9" max="9"/>
    <col width="14.55" customWidth="1" style="363" min="10" max="10"/>
    <col width="9.949999999999999" customWidth="1" style="354" min="11" max="11"/>
    <col width="8.4" customWidth="1" style="407" min="12" max="257"/>
  </cols>
  <sheetData>
    <row r="1" ht="22.5" customHeight="1" s="355">
      <c r="A1" s="408" t="inlineStr">
        <is>
          <t>CONSOLIDATED BASE CHARGE SUMMARY (US$)</t>
        </is>
      </c>
      <c r="B1" s="409" t="n"/>
      <c r="C1" s="410" t="n"/>
      <c r="D1" s="410" t="n"/>
      <c r="E1" s="410" t="n"/>
      <c r="F1" s="410" t="n"/>
      <c r="G1" s="410" t="n"/>
      <c r="H1" s="410" t="n"/>
      <c r="I1" s="410" t="n"/>
      <c r="J1" s="410" t="n"/>
    </row>
    <row r="2" ht="22.5" customHeight="1" s="355">
      <c r="A2" s="411" t="inlineStr">
        <is>
          <t xml:space="preserve">Consolidated </t>
        </is>
      </c>
      <c r="B2" s="412" t="n"/>
      <c r="C2" s="413" t="inlineStr">
        <is>
          <t>Year 1</t>
        </is>
      </c>
      <c r="D2" s="414" t="inlineStr">
        <is>
          <t>Year 2</t>
        </is>
      </c>
      <c r="E2" s="414" t="inlineStr">
        <is>
          <t>Year 3</t>
        </is>
      </c>
      <c r="F2" s="414" t="inlineStr">
        <is>
          <t>Year 4</t>
        </is>
      </c>
      <c r="G2" s="414" t="inlineStr">
        <is>
          <t>Year 5</t>
        </is>
      </c>
      <c r="H2" s="414" t="inlineStr">
        <is>
          <t>Year 6</t>
        </is>
      </c>
      <c r="I2" s="414" t="inlineStr">
        <is>
          <t>Year 7</t>
        </is>
      </c>
      <c r="J2" s="414" t="inlineStr">
        <is>
          <t>Year 8</t>
        </is>
      </c>
    </row>
    <row r="3" ht="22.5" customHeight="1" s="355">
      <c r="A3" s="415" t="n"/>
      <c r="B3" s="416" t="inlineStr">
        <is>
          <t>Consolidated Summary</t>
        </is>
      </c>
      <c r="C3" s="417" t="n"/>
      <c r="D3" s="418" t="n"/>
      <c r="E3" s="418" t="n"/>
      <c r="F3" s="418" t="n"/>
      <c r="G3" s="418" t="n"/>
      <c r="H3" s="418" t="n"/>
      <c r="I3" s="418" t="n"/>
      <c r="J3" s="418" t="n"/>
    </row>
    <row r="4" ht="22.5" customHeight="1" s="355">
      <c r="A4" s="415" t="n"/>
      <c r="B4" s="419" t="inlineStr">
        <is>
          <t xml:space="preserve">  Switzerland</t>
        </is>
      </c>
      <c r="C4" s="420">
        <f>C14+C24</f>
        <v/>
      </c>
      <c r="D4" s="420">
        <f>D14+D24</f>
        <v/>
      </c>
      <c r="E4" s="420">
        <f>E14+E24</f>
        <v/>
      </c>
      <c r="F4" s="420">
        <f>F14+F24</f>
        <v/>
      </c>
      <c r="G4" s="420">
        <f>G14+G24</f>
        <v/>
      </c>
      <c r="H4" s="420">
        <f>H14+H24</f>
        <v/>
      </c>
      <c r="I4" s="420">
        <f>I14+I24</f>
        <v/>
      </c>
      <c r="J4" s="420">
        <f>J14+J24</f>
        <v/>
      </c>
    </row>
    <row r="5" ht="22.5" customHeight="1" s="355">
      <c r="A5" s="415" t="n"/>
      <c r="B5" s="419" t="inlineStr">
        <is>
          <t xml:space="preserve">  United States</t>
        </is>
      </c>
      <c r="C5" s="420">
        <f>C15+C25</f>
        <v/>
      </c>
      <c r="D5" s="420">
        <f>D15+D25</f>
        <v/>
      </c>
      <c r="E5" s="420">
        <f>E15+E25</f>
        <v/>
      </c>
      <c r="F5" s="420">
        <f>F15+F25</f>
        <v/>
      </c>
      <c r="G5" s="420">
        <f>G15+G25</f>
        <v/>
      </c>
      <c r="H5" s="420">
        <f>H15+H25</f>
        <v/>
      </c>
      <c r="I5" s="420">
        <f>I15+I25</f>
        <v/>
      </c>
      <c r="J5" s="420">
        <f>J15+J25</f>
        <v/>
      </c>
    </row>
    <row r="6" ht="22.5" customHeight="1" s="355">
      <c r="A6" s="415" t="n"/>
      <c r="B6" s="419" t="inlineStr">
        <is>
          <t xml:space="preserve">  France</t>
        </is>
      </c>
      <c r="C6" s="420">
        <f>C16+C26</f>
        <v/>
      </c>
      <c r="D6" s="420">
        <f>D16+D26</f>
        <v/>
      </c>
      <c r="E6" s="420">
        <f>E16+E26</f>
        <v/>
      </c>
      <c r="F6" s="420">
        <f>F16+F26</f>
        <v/>
      </c>
      <c r="G6" s="420">
        <f>G16+G26</f>
        <v/>
      </c>
      <c r="H6" s="420">
        <f>H16+H26</f>
        <v/>
      </c>
      <c r="I6" s="420">
        <f>I16+I26</f>
        <v/>
      </c>
      <c r="J6" s="420">
        <f>J16+J26</f>
        <v/>
      </c>
    </row>
    <row r="7" ht="22.5" customHeight="1" s="355">
      <c r="A7" s="415" t="n"/>
      <c r="B7" s="419" t="inlineStr">
        <is>
          <t xml:space="preserve">  Germany </t>
        </is>
      </c>
      <c r="C7" s="420">
        <f>C17+C27</f>
        <v/>
      </c>
      <c r="D7" s="420">
        <f>D17+D27</f>
        <v/>
      </c>
      <c r="E7" s="420">
        <f>E17+E27</f>
        <v/>
      </c>
      <c r="F7" s="420">
        <f>F17+F27</f>
        <v/>
      </c>
      <c r="G7" s="420">
        <f>G17+G27</f>
        <v/>
      </c>
      <c r="H7" s="420">
        <f>H17+H27</f>
        <v/>
      </c>
      <c r="I7" s="420">
        <f>I17+I27</f>
        <v/>
      </c>
      <c r="J7" s="420">
        <f>J17+J27</f>
        <v/>
      </c>
    </row>
    <row r="8" ht="22.5" customHeight="1" s="355">
      <c r="A8" s="415" t="n"/>
      <c r="B8" s="419" t="inlineStr">
        <is>
          <t xml:space="preserve">  Germany Production</t>
        </is>
      </c>
      <c r="C8" s="420">
        <f>C18+C28</f>
        <v/>
      </c>
      <c r="D8" s="420">
        <f>D18+D28</f>
        <v/>
      </c>
      <c r="E8" s="420">
        <f>E18+E28</f>
        <v/>
      </c>
      <c r="F8" s="420">
        <f>F18+F28</f>
        <v/>
      </c>
      <c r="G8" s="420">
        <f>G18+G28</f>
        <v/>
      </c>
      <c r="H8" s="420">
        <f>H18+H28</f>
        <v/>
      </c>
      <c r="I8" s="420">
        <f>I18+I28</f>
        <v/>
      </c>
      <c r="J8" s="420">
        <f>J18+J28</f>
        <v/>
      </c>
    </row>
    <row r="9" ht="22.5" customHeight="1" s="355">
      <c r="A9" s="415" t="n"/>
      <c r="B9" s="419" t="inlineStr">
        <is>
          <t xml:space="preserve">  Spain</t>
        </is>
      </c>
      <c r="C9" s="420">
        <f>C19+C29</f>
        <v/>
      </c>
      <c r="D9" s="420">
        <f>D19+D29</f>
        <v/>
      </c>
      <c r="E9" s="420">
        <f>E19+E29</f>
        <v/>
      </c>
      <c r="F9" s="420">
        <f>F19+F29</f>
        <v/>
      </c>
      <c r="G9" s="420">
        <f>G19+G29</f>
        <v/>
      </c>
      <c r="H9" s="420">
        <f>H19+H29</f>
        <v/>
      </c>
      <c r="I9" s="420">
        <f>I19+I29</f>
        <v/>
      </c>
      <c r="J9" s="420">
        <f>J19+J29</f>
        <v/>
      </c>
    </row>
    <row r="10" ht="22.5" customHeight="1" s="355">
      <c r="A10" s="415" t="n"/>
      <c r="B10" s="419" t="inlineStr">
        <is>
          <t xml:space="preserve">  Italy</t>
        </is>
      </c>
      <c r="C10" s="420">
        <f>C20+C30</f>
        <v/>
      </c>
      <c r="D10" s="420">
        <f>D20+D30</f>
        <v/>
      </c>
      <c r="E10" s="420">
        <f>E20+E30</f>
        <v/>
      </c>
      <c r="F10" s="420">
        <f>F20+F30</f>
        <v/>
      </c>
      <c r="G10" s="420">
        <f>G20+G30</f>
        <v/>
      </c>
      <c r="H10" s="420">
        <f>H20+H30</f>
        <v/>
      </c>
      <c r="I10" s="420">
        <f>I20+I30</f>
        <v/>
      </c>
      <c r="J10" s="420">
        <f>J20+J30</f>
        <v/>
      </c>
    </row>
    <row r="11" ht="22.5" customHeight="1" s="355">
      <c r="A11" s="415" t="n"/>
      <c r="B11" s="421" t="inlineStr">
        <is>
          <t xml:space="preserve">  United Kingdom</t>
        </is>
      </c>
      <c r="C11" s="420">
        <f>C21+C31</f>
        <v/>
      </c>
      <c r="D11" s="420">
        <f>D21+D31</f>
        <v/>
      </c>
      <c r="E11" s="420">
        <f>E21+E31</f>
        <v/>
      </c>
      <c r="F11" s="420">
        <f>F21+F31</f>
        <v/>
      </c>
      <c r="G11" s="420">
        <f>G21+G31</f>
        <v/>
      </c>
      <c r="H11" s="420">
        <f>H21+H31</f>
        <v/>
      </c>
      <c r="I11" s="420">
        <f>I21+I31</f>
        <v/>
      </c>
      <c r="J11" s="420">
        <f>J21+J31</f>
        <v/>
      </c>
    </row>
    <row r="12" ht="22.5" customHeight="1" s="355">
      <c r="A12" s="415" t="n"/>
      <c r="B12" s="422" t="inlineStr">
        <is>
          <t>Total Base Charges All Countries</t>
        </is>
      </c>
      <c r="C12" s="423">
        <f>SUM(C4:C11)</f>
        <v/>
      </c>
      <c r="D12" s="423">
        <f>SUM(D4:D11)</f>
        <v/>
      </c>
      <c r="E12" s="423">
        <f>SUM(E4:E11)</f>
        <v/>
      </c>
      <c r="F12" s="423">
        <f>SUM(F4:F11)</f>
        <v/>
      </c>
      <c r="G12" s="423">
        <f>SUM(G4:G11)</f>
        <v/>
      </c>
      <c r="H12" s="423">
        <f>SUM(H4:H11)</f>
        <v/>
      </c>
      <c r="I12" s="423">
        <f>SUM(I4:I11)</f>
        <v/>
      </c>
      <c r="J12" s="423">
        <f>SUM(J4:J11)</f>
        <v/>
      </c>
    </row>
    <row r="13" ht="22.5" customHeight="1" s="355">
      <c r="A13" s="415" t="n"/>
      <c r="B13" s="424" t="inlineStr">
        <is>
          <t>Centre One Summary</t>
        </is>
      </c>
      <c r="C13" s="417" t="n"/>
      <c r="D13" s="418" t="n"/>
      <c r="E13" s="418" t="n"/>
      <c r="F13" s="418" t="n"/>
      <c r="G13" s="418" t="n"/>
      <c r="H13" s="418" t="n"/>
      <c r="I13" s="418" t="n"/>
      <c r="J13" s="418" t="n"/>
    </row>
    <row r="14" ht="22.5" customHeight="1" s="355">
      <c r="A14" s="415" t="n"/>
      <c r="B14" s="419" t="inlineStr">
        <is>
          <t xml:space="preserve">  Switzerland</t>
        </is>
      </c>
      <c r="C14" s="420">
        <f>+'Centre One-BC'!C73</f>
        <v/>
      </c>
      <c r="D14" s="420">
        <f>+'Centre One-BC'!D73</f>
        <v/>
      </c>
      <c r="E14" s="420">
        <f>+'Centre One-BC'!E73</f>
        <v/>
      </c>
      <c r="F14" s="420">
        <f>+'Centre One-BC'!F73</f>
        <v/>
      </c>
      <c r="G14" s="420">
        <f>+'Centre One-BC'!G73</f>
        <v/>
      </c>
      <c r="H14" s="420">
        <f>+'Centre One-BC'!H73</f>
        <v/>
      </c>
      <c r="I14" s="420">
        <f>+'Centre One-BC'!I73</f>
        <v/>
      </c>
      <c r="J14" s="420">
        <f>+'Centre One-BC'!J73</f>
        <v/>
      </c>
    </row>
    <row r="15" ht="22.5" customHeight="1" s="355">
      <c r="A15" s="415" t="n"/>
      <c r="B15" s="419" t="inlineStr">
        <is>
          <t xml:space="preserve">  United States</t>
        </is>
      </c>
      <c r="C15" s="420">
        <f>+'Centre One-BC'!C74</f>
        <v/>
      </c>
      <c r="D15" s="420">
        <f>+'Centre One-BC'!D74</f>
        <v/>
      </c>
      <c r="E15" s="420">
        <f>+'Centre One-BC'!E74</f>
        <v/>
      </c>
      <c r="F15" s="420">
        <f>+'Centre One-BC'!F74</f>
        <v/>
      </c>
      <c r="G15" s="420">
        <f>+'Centre One-BC'!G74</f>
        <v/>
      </c>
      <c r="H15" s="420">
        <f>+'Centre One-BC'!H74</f>
        <v/>
      </c>
      <c r="I15" s="420">
        <f>+'Centre One-BC'!I74</f>
        <v/>
      </c>
      <c r="J15" s="420">
        <f>+'Centre One-BC'!J74</f>
        <v/>
      </c>
    </row>
    <row r="16" ht="22.5" customHeight="1" s="355">
      <c r="A16" s="415" t="n"/>
      <c r="B16" s="419" t="inlineStr">
        <is>
          <t xml:space="preserve">  France</t>
        </is>
      </c>
      <c r="C16" s="420">
        <f>+'Centre One-BC'!C75</f>
        <v/>
      </c>
      <c r="D16" s="420">
        <f>+'Centre One-BC'!D75</f>
        <v/>
      </c>
      <c r="E16" s="420">
        <f>+'Centre One-BC'!E75</f>
        <v/>
      </c>
      <c r="F16" s="420">
        <f>+'Centre One-BC'!F75</f>
        <v/>
      </c>
      <c r="G16" s="420">
        <f>+'Centre One-BC'!G75</f>
        <v/>
      </c>
      <c r="H16" s="420">
        <f>+'Centre One-BC'!H75</f>
        <v/>
      </c>
      <c r="I16" s="420">
        <f>+'Centre One-BC'!I75</f>
        <v/>
      </c>
      <c r="J16" s="420">
        <f>+'Centre One-BC'!J75</f>
        <v/>
      </c>
    </row>
    <row r="17" ht="22.5" customHeight="1" s="355">
      <c r="A17" s="415" t="n"/>
      <c r="B17" s="419" t="inlineStr">
        <is>
          <t xml:space="preserve">  Germany </t>
        </is>
      </c>
      <c r="C17" s="420">
        <f>+'Centre One-BC'!C76</f>
        <v/>
      </c>
      <c r="D17" s="420">
        <f>+'Centre One-BC'!D76</f>
        <v/>
      </c>
      <c r="E17" s="420">
        <f>+'Centre One-BC'!E76</f>
        <v/>
      </c>
      <c r="F17" s="420">
        <f>+'Centre One-BC'!F76</f>
        <v/>
      </c>
      <c r="G17" s="420">
        <f>+'Centre One-BC'!G76</f>
        <v/>
      </c>
      <c r="H17" s="420">
        <f>+'Centre One-BC'!H76</f>
        <v/>
      </c>
      <c r="I17" s="420">
        <f>+'Centre One-BC'!I76</f>
        <v/>
      </c>
      <c r="J17" s="420">
        <f>+'Centre One-BC'!J76</f>
        <v/>
      </c>
    </row>
    <row r="18" ht="22.5" customHeight="1" s="355">
      <c r="A18" s="415" t="n"/>
      <c r="B18" s="419" t="inlineStr">
        <is>
          <t xml:space="preserve">  Germany Production</t>
        </is>
      </c>
      <c r="C18" s="420">
        <f>+'Centre One-BC'!C77</f>
        <v/>
      </c>
      <c r="D18" s="420">
        <f>+'Centre One-BC'!D77</f>
        <v/>
      </c>
      <c r="E18" s="420">
        <f>+'Centre One-BC'!E77</f>
        <v/>
      </c>
      <c r="F18" s="420">
        <f>+'Centre One-BC'!F77</f>
        <v/>
      </c>
      <c r="G18" s="420">
        <f>+'Centre One-BC'!G77</f>
        <v/>
      </c>
      <c r="H18" s="420">
        <f>+'Centre One-BC'!H77</f>
        <v/>
      </c>
      <c r="I18" s="420">
        <f>+'Centre One-BC'!I77</f>
        <v/>
      </c>
      <c r="J18" s="420">
        <f>+'Centre One-BC'!J77</f>
        <v/>
      </c>
    </row>
    <row r="19" ht="22.5" customHeight="1" s="355">
      <c r="A19" s="415" t="n"/>
      <c r="B19" s="419" t="inlineStr">
        <is>
          <t xml:space="preserve">  Spain</t>
        </is>
      </c>
      <c r="C19" s="420">
        <f>+'Centre One-BC'!C78</f>
        <v/>
      </c>
      <c r="D19" s="420">
        <f>+'Centre One-BC'!D78</f>
        <v/>
      </c>
      <c r="E19" s="420">
        <f>+'Centre One-BC'!E78</f>
        <v/>
      </c>
      <c r="F19" s="420">
        <f>+'Centre One-BC'!F78</f>
        <v/>
      </c>
      <c r="G19" s="420">
        <f>+'Centre One-BC'!G78</f>
        <v/>
      </c>
      <c r="H19" s="420">
        <f>+'Centre One-BC'!H78</f>
        <v/>
      </c>
      <c r="I19" s="420">
        <f>+'Centre One-BC'!I78</f>
        <v/>
      </c>
      <c r="J19" s="420">
        <f>+'Centre One-BC'!J78</f>
        <v/>
      </c>
    </row>
    <row r="20" ht="22.5" customHeight="1" s="355">
      <c r="A20" s="415" t="n"/>
      <c r="B20" s="419" t="inlineStr">
        <is>
          <t xml:space="preserve">  Italy</t>
        </is>
      </c>
      <c r="C20" s="420">
        <f>+'Centre One-BC'!C79</f>
        <v/>
      </c>
      <c r="D20" s="420">
        <f>+'Centre One-BC'!D79</f>
        <v/>
      </c>
      <c r="E20" s="420">
        <f>+'Centre One-BC'!E79</f>
        <v/>
      </c>
      <c r="F20" s="420">
        <f>+'Centre One-BC'!F79</f>
        <v/>
      </c>
      <c r="G20" s="420">
        <f>+'Centre One-BC'!G79</f>
        <v/>
      </c>
      <c r="H20" s="420">
        <f>+'Centre One-BC'!H79</f>
        <v/>
      </c>
      <c r="I20" s="420">
        <f>+'Centre One-BC'!I79</f>
        <v/>
      </c>
      <c r="J20" s="420">
        <f>+'Centre One-BC'!J79</f>
        <v/>
      </c>
    </row>
    <row r="21" ht="22.5" customHeight="1" s="355">
      <c r="A21" s="415" t="n"/>
      <c r="B21" s="421" t="inlineStr">
        <is>
          <t xml:space="preserve">  United Kingdom</t>
        </is>
      </c>
      <c r="C21" s="420">
        <f>+'Centre One-BC'!C80</f>
        <v/>
      </c>
      <c r="D21" s="420">
        <f>+'Centre One-BC'!D80</f>
        <v/>
      </c>
      <c r="E21" s="420">
        <f>+'Centre One-BC'!E80</f>
        <v/>
      </c>
      <c r="F21" s="420">
        <f>+'Centre One-BC'!F80</f>
        <v/>
      </c>
      <c r="G21" s="420">
        <f>+'Centre One-BC'!G80</f>
        <v/>
      </c>
      <c r="H21" s="420">
        <f>+'Centre One-BC'!H80</f>
        <v/>
      </c>
      <c r="I21" s="420">
        <f>+'Centre One-BC'!I80</f>
        <v/>
      </c>
      <c r="J21" s="420">
        <f>+'Centre One-BC'!J80</f>
        <v/>
      </c>
    </row>
    <row r="22" ht="22.5" customHeight="1" s="355">
      <c r="A22" s="415" t="n"/>
      <c r="B22" s="422" t="inlineStr">
        <is>
          <t>Total Base Charges - Centre One</t>
        </is>
      </c>
      <c r="C22" s="423">
        <f>SUM(C14:C21)</f>
        <v/>
      </c>
      <c r="D22" s="423">
        <f>SUM(D14:D21)</f>
        <v/>
      </c>
      <c r="E22" s="423">
        <f>SUM(E14:E21)</f>
        <v/>
      </c>
      <c r="F22" s="423">
        <f>SUM(F14:F21)</f>
        <v/>
      </c>
      <c r="G22" s="423">
        <f>SUM(G14:G21)</f>
        <v/>
      </c>
      <c r="H22" s="423">
        <f>SUM(H14:H21)</f>
        <v/>
      </c>
      <c r="I22" s="423">
        <f>SUM(I14:I21)</f>
        <v/>
      </c>
      <c r="J22" s="423">
        <f>SUM(J14:J21)</f>
        <v/>
      </c>
    </row>
    <row r="23" ht="22.5" customHeight="1" s="355">
      <c r="A23" s="415" t="n"/>
      <c r="B23" s="416" t="inlineStr">
        <is>
          <t>Centre Two Summary</t>
        </is>
      </c>
      <c r="C23" s="417" t="n"/>
      <c r="D23" s="418" t="n"/>
      <c r="E23" s="418" t="n"/>
      <c r="F23" s="418" t="n"/>
      <c r="G23" s="418" t="n"/>
      <c r="H23" s="418" t="n"/>
      <c r="I23" s="418" t="n"/>
      <c r="J23" s="418" t="n"/>
    </row>
    <row r="24" ht="22.5" customHeight="1" s="355">
      <c r="A24" s="415" t="n"/>
      <c r="B24" s="419" t="inlineStr">
        <is>
          <t xml:space="preserve">  Switzerland</t>
        </is>
      </c>
      <c r="C24" s="420">
        <f>+'Centre Two-BC'!C73</f>
        <v/>
      </c>
      <c r="D24" s="420">
        <f>+'Centre Two-BC'!D73</f>
        <v/>
      </c>
      <c r="E24" s="420">
        <f>+'Centre Two-BC'!E73</f>
        <v/>
      </c>
      <c r="F24" s="420">
        <f>+'Centre Two-BC'!F73</f>
        <v/>
      </c>
      <c r="G24" s="420">
        <f>+'Centre Two-BC'!G73</f>
        <v/>
      </c>
      <c r="H24" s="420">
        <f>+'Centre Two-BC'!H73</f>
        <v/>
      </c>
      <c r="I24" s="420">
        <f>+'Centre Two-BC'!I73</f>
        <v/>
      </c>
      <c r="J24" s="420">
        <f>+'Centre Two-BC'!J73</f>
        <v/>
      </c>
    </row>
    <row r="25" ht="22.5" customHeight="1" s="355">
      <c r="A25" s="415" t="n"/>
      <c r="B25" s="419" t="inlineStr">
        <is>
          <t xml:space="preserve">  United States</t>
        </is>
      </c>
      <c r="C25" s="420">
        <f>+'Centre Two-BC'!C74</f>
        <v/>
      </c>
      <c r="D25" s="420">
        <f>+'Centre Two-BC'!D74</f>
        <v/>
      </c>
      <c r="E25" s="420">
        <f>+'Centre Two-BC'!E74</f>
        <v/>
      </c>
      <c r="F25" s="420">
        <f>+'Centre Two-BC'!F74</f>
        <v/>
      </c>
      <c r="G25" s="420">
        <f>+'Centre Two-BC'!G74</f>
        <v/>
      </c>
      <c r="H25" s="420">
        <f>+'Centre Two-BC'!H74</f>
        <v/>
      </c>
      <c r="I25" s="420">
        <f>+'Centre Two-BC'!I74</f>
        <v/>
      </c>
      <c r="J25" s="420">
        <f>+'Centre Two-BC'!J74</f>
        <v/>
      </c>
    </row>
    <row r="26" ht="22.5" customHeight="1" s="355">
      <c r="A26" s="415" t="n"/>
      <c r="B26" s="419" t="inlineStr">
        <is>
          <t xml:space="preserve">  France</t>
        </is>
      </c>
      <c r="C26" s="420">
        <f>+'Centre Two-BC'!C75</f>
        <v/>
      </c>
      <c r="D26" s="420">
        <f>+'Centre Two-BC'!D75</f>
        <v/>
      </c>
      <c r="E26" s="420">
        <f>+'Centre Two-BC'!E75</f>
        <v/>
      </c>
      <c r="F26" s="420">
        <f>+'Centre Two-BC'!F75</f>
        <v/>
      </c>
      <c r="G26" s="420">
        <f>+'Centre Two-BC'!G75</f>
        <v/>
      </c>
      <c r="H26" s="420">
        <f>+'Centre Two-BC'!H75</f>
        <v/>
      </c>
      <c r="I26" s="420">
        <f>+'Centre Two-BC'!I75</f>
        <v/>
      </c>
      <c r="J26" s="420">
        <f>+'Centre Two-BC'!J75</f>
        <v/>
      </c>
    </row>
    <row r="27" ht="22.5" customHeight="1" s="355">
      <c r="A27" s="415" t="n"/>
      <c r="B27" s="419" t="inlineStr">
        <is>
          <t xml:space="preserve">  Germany </t>
        </is>
      </c>
      <c r="C27" s="420">
        <f>+'Centre Two-BC'!C76</f>
        <v/>
      </c>
      <c r="D27" s="420">
        <f>+'Centre Two-BC'!D76</f>
        <v/>
      </c>
      <c r="E27" s="420">
        <f>+'Centre Two-BC'!E76</f>
        <v/>
      </c>
      <c r="F27" s="420">
        <f>+'Centre Two-BC'!F76</f>
        <v/>
      </c>
      <c r="G27" s="420">
        <f>+'Centre Two-BC'!G76</f>
        <v/>
      </c>
      <c r="H27" s="420">
        <f>+'Centre Two-BC'!H76</f>
        <v/>
      </c>
      <c r="I27" s="420">
        <f>+'Centre Two-BC'!I76</f>
        <v/>
      </c>
      <c r="J27" s="420">
        <f>+'Centre Two-BC'!J76</f>
        <v/>
      </c>
    </row>
    <row r="28" ht="22.5" customHeight="1" s="355">
      <c r="A28" s="415" t="n"/>
      <c r="B28" s="419" t="inlineStr">
        <is>
          <t xml:space="preserve">  Germany Production</t>
        </is>
      </c>
      <c r="C28" s="420">
        <f>+'Centre Two-BC'!C77</f>
        <v/>
      </c>
      <c r="D28" s="420">
        <f>+'Centre Two-BC'!D77</f>
        <v/>
      </c>
      <c r="E28" s="420">
        <f>+'Centre Two-BC'!E77</f>
        <v/>
      </c>
      <c r="F28" s="420">
        <f>+'Centre Two-BC'!F77</f>
        <v/>
      </c>
      <c r="G28" s="420">
        <f>+'Centre Two-BC'!G77</f>
        <v/>
      </c>
      <c r="H28" s="420">
        <f>+'Centre Two-BC'!H77</f>
        <v/>
      </c>
      <c r="I28" s="420">
        <f>+'Centre Two-BC'!I77</f>
        <v/>
      </c>
      <c r="J28" s="420">
        <f>+'Centre Two-BC'!J77</f>
        <v/>
      </c>
    </row>
    <row r="29" ht="22.5" customHeight="1" s="355">
      <c r="A29" s="415" t="n"/>
      <c r="B29" s="419" t="inlineStr">
        <is>
          <t xml:space="preserve">  Spain</t>
        </is>
      </c>
      <c r="C29" s="420">
        <f>+'Centre Two-BC'!C78</f>
        <v/>
      </c>
      <c r="D29" s="420">
        <f>+'Centre Two-BC'!D78</f>
        <v/>
      </c>
      <c r="E29" s="420">
        <f>+'Centre Two-BC'!E78</f>
        <v/>
      </c>
      <c r="F29" s="420">
        <f>+'Centre Two-BC'!F78</f>
        <v/>
      </c>
      <c r="G29" s="420">
        <f>+'Centre Two-BC'!G78</f>
        <v/>
      </c>
      <c r="H29" s="420">
        <f>+'Centre Two-BC'!H78</f>
        <v/>
      </c>
      <c r="I29" s="420">
        <f>+'Centre Two-BC'!I78</f>
        <v/>
      </c>
      <c r="J29" s="420">
        <f>+'Centre Two-BC'!J78</f>
        <v/>
      </c>
    </row>
    <row r="30" ht="22.5" customHeight="1" s="355">
      <c r="A30" s="415" t="n"/>
      <c r="B30" s="419" t="inlineStr">
        <is>
          <t xml:space="preserve">  Italy</t>
        </is>
      </c>
      <c r="C30" s="420">
        <f>+'Centre Two-BC'!C79</f>
        <v/>
      </c>
      <c r="D30" s="420">
        <f>+'Centre Two-BC'!D79</f>
        <v/>
      </c>
      <c r="E30" s="420">
        <f>+'Centre Two-BC'!E79</f>
        <v/>
      </c>
      <c r="F30" s="420">
        <f>+'Centre Two-BC'!F79</f>
        <v/>
      </c>
      <c r="G30" s="420">
        <f>+'Centre Two-BC'!G79</f>
        <v/>
      </c>
      <c r="H30" s="420">
        <f>+'Centre Two-BC'!H79</f>
        <v/>
      </c>
      <c r="I30" s="420">
        <f>+'Centre Two-BC'!I79</f>
        <v/>
      </c>
      <c r="J30" s="420">
        <f>+'Centre Two-BC'!J79</f>
        <v/>
      </c>
    </row>
    <row r="31" ht="22.5" customHeight="1" s="355">
      <c r="A31" s="415" t="n"/>
      <c r="B31" s="421" t="inlineStr">
        <is>
          <t xml:space="preserve">  United Kingdom</t>
        </is>
      </c>
      <c r="C31" s="420">
        <f>+'Centre Two-BC'!C80</f>
        <v/>
      </c>
      <c r="D31" s="420">
        <f>+'Centre Two-BC'!D80</f>
        <v/>
      </c>
      <c r="E31" s="420">
        <f>+'Centre Two-BC'!E80</f>
        <v/>
      </c>
      <c r="F31" s="420">
        <f>+'Centre Two-BC'!F80</f>
        <v/>
      </c>
      <c r="G31" s="420">
        <f>+'Centre Two-BC'!G80</f>
        <v/>
      </c>
      <c r="H31" s="420">
        <f>+'Centre Two-BC'!H80</f>
        <v/>
      </c>
      <c r="I31" s="420">
        <f>+'Centre Two-BC'!I80</f>
        <v/>
      </c>
      <c r="J31" s="420">
        <f>+'Centre Two-BC'!J80</f>
        <v/>
      </c>
    </row>
    <row r="32" ht="22.5" customHeight="1" s="355">
      <c r="A32" s="415" t="n"/>
      <c r="B32" s="422" t="inlineStr">
        <is>
          <t>Total Base Charges - Centre Two</t>
        </is>
      </c>
      <c r="C32" s="423">
        <f>SUM(C24:C31)</f>
        <v/>
      </c>
      <c r="D32" s="423">
        <f>SUM(D24:D31)</f>
        <v/>
      </c>
      <c r="E32" s="423">
        <f>SUM(E24:E31)</f>
        <v/>
      </c>
      <c r="F32" s="423">
        <f>SUM(F24:F31)</f>
        <v/>
      </c>
      <c r="G32" s="423">
        <f>SUM(G24:G31)</f>
        <v/>
      </c>
      <c r="H32" s="423">
        <f>SUM(H24:H31)</f>
        <v/>
      </c>
      <c r="I32" s="423">
        <f>SUM(I24:I31)</f>
        <v/>
      </c>
      <c r="J32" s="423">
        <f>SUM(J24:J31)</f>
        <v/>
      </c>
    </row>
    <row r="33" ht="22.5" customHeight="1" s="355">
      <c r="A33" s="415" t="n"/>
      <c r="B33" s="416" t="inlineStr">
        <is>
          <t>Process Summary</t>
        </is>
      </c>
      <c r="C33" s="425" t="n"/>
      <c r="D33" s="426" t="n"/>
      <c r="E33" s="426" t="n"/>
      <c r="F33" s="426" t="n"/>
      <c r="G33" s="426" t="n"/>
      <c r="H33" s="426" t="n"/>
      <c r="I33" s="426" t="n"/>
      <c r="J33" s="426" t="n"/>
    </row>
    <row r="34" ht="22.5" customHeight="1" s="355">
      <c r="A34" s="415" t="n"/>
      <c r="B34" s="427" t="inlineStr">
        <is>
          <t>General Accounting &amp; Sox</t>
        </is>
      </c>
      <c r="C34" s="428" t="n"/>
      <c r="D34" s="429" t="n"/>
      <c r="E34" s="429" t="n"/>
      <c r="F34" s="429" t="n"/>
      <c r="G34" s="429" t="n"/>
      <c r="H34" s="429" t="n"/>
      <c r="I34" s="429" t="n"/>
      <c r="J34" s="429" t="n"/>
    </row>
    <row r="35" ht="22.5" customHeight="1" s="355">
      <c r="A35" s="415" t="n"/>
      <c r="B35" s="430" t="inlineStr">
        <is>
          <t xml:space="preserve">   Centre One </t>
        </is>
      </c>
      <c r="C35" s="431">
        <f>'Centre One-BC'!$C$20</f>
        <v/>
      </c>
      <c r="D35" s="432">
        <f>'Centre One-BC'!$D$20</f>
        <v/>
      </c>
      <c r="E35" s="432">
        <f>'Centre One-BC'!$E$20</f>
        <v/>
      </c>
      <c r="F35" s="432">
        <f>'Centre One-BC'!$F$20</f>
        <v/>
      </c>
      <c r="G35" s="432">
        <f>'Centre One-BC'!$G$20</f>
        <v/>
      </c>
      <c r="H35" s="432">
        <f>'Centre One-BC'!$H$20</f>
        <v/>
      </c>
      <c r="I35" s="432">
        <f>'Centre One-BC'!$I$20</f>
        <v/>
      </c>
      <c r="J35" s="432">
        <f>'Centre One-BC'!$J$20</f>
        <v/>
      </c>
    </row>
    <row r="36" ht="22.5" customHeight="1" s="355">
      <c r="A36" s="415" t="n"/>
      <c r="B36" s="430" t="inlineStr">
        <is>
          <t xml:space="preserve">   Centre Two</t>
        </is>
      </c>
      <c r="C36" s="433">
        <f>'Centre Two-BC'!$C$20</f>
        <v/>
      </c>
      <c r="D36" s="434">
        <f>'Centre Two-BC'!$D$20</f>
        <v/>
      </c>
      <c r="E36" s="434">
        <f>'Centre Two-BC'!$E$20</f>
        <v/>
      </c>
      <c r="F36" s="434">
        <f>'Centre Two-BC'!$F$20</f>
        <v/>
      </c>
      <c r="G36" s="434">
        <f>'Centre Two-BC'!$G$20</f>
        <v/>
      </c>
      <c r="H36" s="434">
        <f>'Centre Two-BC'!$H$20</f>
        <v/>
      </c>
      <c r="I36" s="434">
        <f>'Centre Two-BC'!$I$20</f>
        <v/>
      </c>
      <c r="J36" s="434">
        <f>'Centre Two-BC'!$J$20</f>
        <v/>
      </c>
    </row>
    <row r="37" ht="22.5" customHeight="1" s="355">
      <c r="A37" s="415" t="n"/>
      <c r="B37" s="435" t="inlineStr">
        <is>
          <t xml:space="preserve">                Sub Total</t>
        </is>
      </c>
      <c r="C37" s="436">
        <f>SUM(C35:C36)</f>
        <v/>
      </c>
      <c r="D37" s="436">
        <f>SUM(D35:D36)</f>
        <v/>
      </c>
      <c r="E37" s="436">
        <f>SUM(E35:E36)</f>
        <v/>
      </c>
      <c r="F37" s="436">
        <f>SUM(F35:F36)</f>
        <v/>
      </c>
      <c r="G37" s="436">
        <f>SUM(G35:G36)</f>
        <v/>
      </c>
      <c r="H37" s="436">
        <f>SUM(H35:H36)</f>
        <v/>
      </c>
      <c r="I37" s="436">
        <f>SUM(I35:I36)</f>
        <v/>
      </c>
      <c r="J37" s="436">
        <f>SUM(J35:J36)</f>
        <v/>
      </c>
    </row>
    <row r="38" ht="22.5" customHeight="1" s="355">
      <c r="A38" s="415" t="n"/>
      <c r="B38" s="437" t="inlineStr">
        <is>
          <t>Fixed Assets</t>
        </is>
      </c>
      <c r="C38" s="438" t="n"/>
      <c r="D38" s="439" t="n"/>
      <c r="E38" s="439" t="n"/>
      <c r="F38" s="439" t="n"/>
      <c r="G38" s="439" t="n"/>
      <c r="H38" s="439" t="n"/>
      <c r="I38" s="439" t="n"/>
      <c r="J38" s="439" t="n"/>
    </row>
    <row r="39" ht="22.5" customHeight="1" s="355">
      <c r="A39" s="415" t="n"/>
      <c r="B39" s="430" t="inlineStr">
        <is>
          <t xml:space="preserve">   Centre One </t>
        </is>
      </c>
      <c r="C39" s="431">
        <f>'Centre One-BC'!$C$30</f>
        <v/>
      </c>
      <c r="D39" s="432">
        <f>'Centre One-BC'!$D$30</f>
        <v/>
      </c>
      <c r="E39" s="432">
        <f>'Centre One-BC'!$E$30</f>
        <v/>
      </c>
      <c r="F39" s="432">
        <f>'Centre One-BC'!$F$30</f>
        <v/>
      </c>
      <c r="G39" s="432">
        <f>'Centre One-BC'!$G$30</f>
        <v/>
      </c>
      <c r="H39" s="432">
        <f>'Centre One-BC'!$H$30</f>
        <v/>
      </c>
      <c r="I39" s="432">
        <f>'Centre One-BC'!$I$30</f>
        <v/>
      </c>
      <c r="J39" s="432">
        <f>'Centre One-BC'!$J$30</f>
        <v/>
      </c>
    </row>
    <row r="40" ht="22.5" customHeight="1" s="355">
      <c r="A40" s="415" t="n"/>
      <c r="B40" s="430" t="inlineStr">
        <is>
          <t xml:space="preserve">   Centre Two</t>
        </is>
      </c>
      <c r="C40" s="433">
        <f>'Centre Two-BC'!$C$30</f>
        <v/>
      </c>
      <c r="D40" s="434">
        <f>'Centre Two-BC'!$D$30</f>
        <v/>
      </c>
      <c r="E40" s="434">
        <f>'Centre Two-BC'!$E$30</f>
        <v/>
      </c>
      <c r="F40" s="434">
        <f>'Centre Two-BC'!$F$30</f>
        <v/>
      </c>
      <c r="G40" s="434">
        <f>'Centre Two-BC'!$G$30</f>
        <v/>
      </c>
      <c r="H40" s="434">
        <f>'Centre Two-BC'!$H$30</f>
        <v/>
      </c>
      <c r="I40" s="434">
        <f>'Centre Two-BC'!$I$30</f>
        <v/>
      </c>
      <c r="J40" s="434">
        <f>'Centre Two-BC'!$J$30</f>
        <v/>
      </c>
    </row>
    <row r="41" ht="22.5" customHeight="1" s="355">
      <c r="A41" s="415" t="n"/>
      <c r="B41" s="435" t="inlineStr">
        <is>
          <t xml:space="preserve">                Sub Total</t>
        </is>
      </c>
      <c r="C41" s="436">
        <f>SUM(C39:C40)</f>
        <v/>
      </c>
      <c r="D41" s="436">
        <f>SUM(D39:D40)</f>
        <v/>
      </c>
      <c r="E41" s="436">
        <f>SUM(E39:E40)</f>
        <v/>
      </c>
      <c r="F41" s="436">
        <f>SUM(F39:F40)</f>
        <v/>
      </c>
      <c r="G41" s="436">
        <f>SUM(G39:G40)</f>
        <v/>
      </c>
      <c r="H41" s="436">
        <f>SUM(H39:H40)</f>
        <v/>
      </c>
      <c r="I41" s="436">
        <f>SUM(I39:I40)</f>
        <v/>
      </c>
      <c r="J41" s="436">
        <f>SUM(J39:J40)</f>
        <v/>
      </c>
    </row>
    <row r="42" ht="22.5" customHeight="1" s="355">
      <c r="A42" s="415" t="n"/>
      <c r="B42" s="437" t="inlineStr">
        <is>
          <t>Accounts Payable</t>
        </is>
      </c>
      <c r="C42" s="438" t="n"/>
      <c r="D42" s="439" t="n"/>
      <c r="E42" s="439" t="n"/>
      <c r="F42" s="439" t="n"/>
      <c r="G42" s="439" t="n"/>
      <c r="H42" s="439" t="n"/>
      <c r="I42" s="439" t="n"/>
      <c r="J42" s="439" t="n"/>
    </row>
    <row r="43" ht="22.5" customHeight="1" s="355">
      <c r="A43" s="415" t="n"/>
      <c r="B43" s="430" t="inlineStr">
        <is>
          <t xml:space="preserve">   Centre One </t>
        </is>
      </c>
      <c r="C43" s="431">
        <f>'Centre One-BC'!$C$40</f>
        <v/>
      </c>
      <c r="D43" s="432">
        <f>'Centre One-BC'!$D$40</f>
        <v/>
      </c>
      <c r="E43" s="432">
        <f>'Centre One-BC'!$E$40</f>
        <v/>
      </c>
      <c r="F43" s="432">
        <f>'Centre One-BC'!$F$40</f>
        <v/>
      </c>
      <c r="G43" s="432">
        <f>'Centre One-BC'!$G$40</f>
        <v/>
      </c>
      <c r="H43" s="432">
        <f>'Centre One-BC'!$H$40</f>
        <v/>
      </c>
      <c r="I43" s="432">
        <f>'Centre One-BC'!$I$40</f>
        <v/>
      </c>
      <c r="J43" s="432">
        <f>'Centre One-BC'!$J$40</f>
        <v/>
      </c>
    </row>
    <row r="44" ht="22.5" customHeight="1" s="355">
      <c r="A44" s="415" t="n"/>
      <c r="B44" s="430" t="inlineStr">
        <is>
          <t xml:space="preserve">   Centre Two</t>
        </is>
      </c>
      <c r="C44" s="433">
        <f>'Centre Two-BC'!$C$40</f>
        <v/>
      </c>
      <c r="D44" s="434">
        <f>'Centre Two-BC'!$D$40</f>
        <v/>
      </c>
      <c r="E44" s="434">
        <f>'Centre Two-BC'!$E$40</f>
        <v/>
      </c>
      <c r="F44" s="434">
        <f>'Centre Two-BC'!$F$40</f>
        <v/>
      </c>
      <c r="G44" s="434">
        <f>'Centre Two-BC'!$G$40</f>
        <v/>
      </c>
      <c r="H44" s="434">
        <f>'Centre Two-BC'!$H$40</f>
        <v/>
      </c>
      <c r="I44" s="434">
        <f>'Centre Two-BC'!$I$40</f>
        <v/>
      </c>
      <c r="J44" s="434">
        <f>'Centre Two-BC'!$J$40</f>
        <v/>
      </c>
    </row>
    <row r="45" ht="22.5" customHeight="1" s="355">
      <c r="A45" s="415" t="n"/>
      <c r="B45" s="435" t="inlineStr">
        <is>
          <t xml:space="preserve">                Sub Total</t>
        </is>
      </c>
      <c r="C45" s="436">
        <f>SUM(C43:C44)</f>
        <v/>
      </c>
      <c r="D45" s="436">
        <f>SUM(D43:D44)</f>
        <v/>
      </c>
      <c r="E45" s="436">
        <f>SUM(E43:E44)</f>
        <v/>
      </c>
      <c r="F45" s="436">
        <f>SUM(F43:F44)</f>
        <v/>
      </c>
      <c r="G45" s="436">
        <f>SUM(G43:G44)</f>
        <v/>
      </c>
      <c r="H45" s="436">
        <f>SUM(H43:H44)</f>
        <v/>
      </c>
      <c r="I45" s="436">
        <f>SUM(I43:I44)</f>
        <v/>
      </c>
      <c r="J45" s="436">
        <f>SUM(J43:J44)</f>
        <v/>
      </c>
    </row>
    <row r="46" ht="22.5" customHeight="1" s="355">
      <c r="A46" s="415" t="n"/>
      <c r="B46" s="437" t="inlineStr">
        <is>
          <t>T&amp;E</t>
        </is>
      </c>
      <c r="C46" s="438" t="n"/>
      <c r="D46" s="439" t="n"/>
      <c r="E46" s="439" t="n"/>
      <c r="F46" s="439" t="n"/>
      <c r="G46" s="439" t="n"/>
      <c r="H46" s="439" t="n"/>
      <c r="I46" s="439" t="n"/>
      <c r="J46" s="439" t="n"/>
    </row>
    <row r="47" ht="22.5" customHeight="1" s="355">
      <c r="A47" s="415" t="n"/>
      <c r="B47" s="430" t="inlineStr">
        <is>
          <t xml:space="preserve">   Centre One </t>
        </is>
      </c>
      <c r="C47" s="431">
        <f>'Centre One-BC'!$C$50</f>
        <v/>
      </c>
      <c r="D47" s="432">
        <f>'Centre One-BC'!$D$50</f>
        <v/>
      </c>
      <c r="E47" s="432">
        <f>'Centre One-BC'!$E$50</f>
        <v/>
      </c>
      <c r="F47" s="432">
        <f>'Centre One-BC'!$F$50</f>
        <v/>
      </c>
      <c r="G47" s="432">
        <f>'Centre One-BC'!$G$50</f>
        <v/>
      </c>
      <c r="H47" s="432">
        <f>'Centre One-BC'!$H$50</f>
        <v/>
      </c>
      <c r="I47" s="432">
        <f>'Centre One-BC'!$I$50</f>
        <v/>
      </c>
      <c r="J47" s="432">
        <f>'Centre One-BC'!$J$50</f>
        <v/>
      </c>
    </row>
    <row r="48" ht="22.5" customHeight="1" s="355">
      <c r="A48" s="415" t="n"/>
      <c r="B48" s="430" t="inlineStr">
        <is>
          <t xml:space="preserve">   Centre Two</t>
        </is>
      </c>
      <c r="C48" s="433">
        <f>'Centre Two-BC'!$C$50</f>
        <v/>
      </c>
      <c r="D48" s="434">
        <f>'Centre Two-BC'!$D$50</f>
        <v/>
      </c>
      <c r="E48" s="434">
        <f>'Centre Two-BC'!$E$50</f>
        <v/>
      </c>
      <c r="F48" s="434">
        <f>'Centre Two-BC'!$F$50</f>
        <v/>
      </c>
      <c r="G48" s="434">
        <f>'Centre Two-BC'!$G$50</f>
        <v/>
      </c>
      <c r="H48" s="434">
        <f>'Centre Two-BC'!$H$50</f>
        <v/>
      </c>
      <c r="I48" s="434">
        <f>'Centre Two-BC'!$I$50</f>
        <v/>
      </c>
      <c r="J48" s="434">
        <f>'Centre Two-BC'!$J$50</f>
        <v/>
      </c>
    </row>
    <row r="49" ht="22.5" customHeight="1" s="355">
      <c r="A49" s="415" t="n"/>
      <c r="B49" s="435" t="inlineStr">
        <is>
          <t xml:space="preserve">                Sub Total</t>
        </is>
      </c>
      <c r="C49" s="436">
        <f>SUM(C47:C48)</f>
        <v/>
      </c>
      <c r="D49" s="436">
        <f>SUM(D47:D48)</f>
        <v/>
      </c>
      <c r="E49" s="436">
        <f>SUM(E47:E48)</f>
        <v/>
      </c>
      <c r="F49" s="436">
        <f>SUM(F47:F48)</f>
        <v/>
      </c>
      <c r="G49" s="436">
        <f>SUM(G47:G48)</f>
        <v/>
      </c>
      <c r="H49" s="436">
        <f>SUM(H47:H48)</f>
        <v/>
      </c>
      <c r="I49" s="436">
        <f>SUM(I47:I48)</f>
        <v/>
      </c>
      <c r="J49" s="436">
        <f>SUM(J47:J48)</f>
        <v/>
      </c>
    </row>
    <row r="50" ht="22.5" customHeight="1" s="355">
      <c r="A50" s="415" t="n"/>
      <c r="B50" s="437" t="inlineStr">
        <is>
          <t>Order to Cash</t>
        </is>
      </c>
      <c r="C50" s="438" t="n"/>
      <c r="D50" s="439" t="n"/>
      <c r="E50" s="439" t="n"/>
      <c r="F50" s="439" t="n"/>
      <c r="G50" s="439" t="n"/>
      <c r="H50" s="439" t="n"/>
      <c r="I50" s="439" t="n"/>
      <c r="J50" s="439" t="n"/>
      <c r="K50" s="440" t="n"/>
      <c r="L50" s="440" t="n"/>
      <c r="M50" s="440" t="n"/>
      <c r="N50" s="440" t="n"/>
      <c r="O50" s="440" t="n"/>
      <c r="P50" s="440" t="n"/>
      <c r="Q50" s="440" t="n"/>
      <c r="R50" s="440" t="n"/>
      <c r="S50" s="440" t="n"/>
      <c r="T50" s="440" t="n"/>
      <c r="U50" s="440" t="n"/>
      <c r="V50" s="440" t="n"/>
      <c r="W50" s="440" t="n"/>
    </row>
    <row r="51" ht="22.5" customHeight="1" s="355">
      <c r="A51" s="415" t="n"/>
      <c r="B51" s="430" t="inlineStr">
        <is>
          <t xml:space="preserve">   Centre One </t>
        </is>
      </c>
      <c r="C51" s="431">
        <f>'Centre One-BC'!$C$60</f>
        <v/>
      </c>
      <c r="D51" s="432">
        <f>'Centre One-BC'!$D$60</f>
        <v/>
      </c>
      <c r="E51" s="432">
        <f>'Centre One-BC'!$E$60</f>
        <v/>
      </c>
      <c r="F51" s="432">
        <f>'Centre One-BC'!$F$60</f>
        <v/>
      </c>
      <c r="G51" s="432">
        <f>'Centre One-BC'!$G$60</f>
        <v/>
      </c>
      <c r="H51" s="432">
        <f>'Centre One-BC'!$H$60</f>
        <v/>
      </c>
      <c r="I51" s="432">
        <f>'Centre One-BC'!$I$60</f>
        <v/>
      </c>
      <c r="J51" s="432">
        <f>'Centre One-BC'!$J$60</f>
        <v/>
      </c>
      <c r="L51" s="354" t="n"/>
      <c r="M51" s="354" t="n"/>
      <c r="N51" s="354" t="n"/>
      <c r="O51" s="354" t="n"/>
      <c r="P51" s="354" t="n"/>
      <c r="Q51" s="354" t="n"/>
      <c r="R51" s="354" t="n"/>
      <c r="S51" s="354" t="n"/>
      <c r="T51" s="354" t="n"/>
      <c r="U51" s="354" t="n"/>
      <c r="V51" s="354" t="n"/>
      <c r="W51" s="354" t="n"/>
    </row>
    <row r="52" ht="22.5" customHeight="1" s="355">
      <c r="A52" s="415" t="n"/>
      <c r="B52" s="430" t="inlineStr">
        <is>
          <t xml:space="preserve">   Centre Two</t>
        </is>
      </c>
      <c r="C52" s="433">
        <f>'Centre Two-BC'!$C$60</f>
        <v/>
      </c>
      <c r="D52" s="434">
        <f>'Centre Two-BC'!$D$60</f>
        <v/>
      </c>
      <c r="E52" s="434">
        <f>'Centre Two-BC'!$E$60</f>
        <v/>
      </c>
      <c r="F52" s="434">
        <f>'Centre Two-BC'!$F$60</f>
        <v/>
      </c>
      <c r="G52" s="434">
        <f>'Centre Two-BC'!$G$60</f>
        <v/>
      </c>
      <c r="H52" s="434">
        <f>'Centre Two-BC'!$H$60</f>
        <v/>
      </c>
      <c r="I52" s="434">
        <f>'Centre Two-BC'!$I$60</f>
        <v/>
      </c>
      <c r="J52" s="434">
        <f>'Centre Two-BC'!$J$60</f>
        <v/>
      </c>
      <c r="L52" s="354" t="n"/>
      <c r="M52" s="354" t="n"/>
      <c r="N52" s="354" t="n"/>
      <c r="O52" s="354" t="n"/>
      <c r="P52" s="354" t="n"/>
      <c r="Q52" s="354" t="n"/>
      <c r="R52" s="354" t="n"/>
      <c r="S52" s="354" t="n"/>
      <c r="T52" s="354" t="n"/>
      <c r="U52" s="354" t="n"/>
      <c r="V52" s="354" t="n"/>
      <c r="W52" s="354" t="n"/>
    </row>
    <row r="53" ht="22.5" customHeight="1" s="355">
      <c r="A53" s="415" t="n"/>
      <c r="B53" s="435" t="inlineStr">
        <is>
          <t xml:space="preserve">                Sub Total</t>
        </is>
      </c>
      <c r="C53" s="436">
        <f>SUM(C51:C52)</f>
        <v/>
      </c>
      <c r="D53" s="436">
        <f>SUM(D51:D52)</f>
        <v/>
      </c>
      <c r="E53" s="436">
        <f>SUM(E51:E52)</f>
        <v/>
      </c>
      <c r="F53" s="436">
        <f>SUM(F51:F52)</f>
        <v/>
      </c>
      <c r="G53" s="436">
        <f>SUM(G51:G52)</f>
        <v/>
      </c>
      <c r="H53" s="436">
        <f>SUM(H51:H52)</f>
        <v/>
      </c>
      <c r="I53" s="436">
        <f>SUM(I51:I52)</f>
        <v/>
      </c>
      <c r="J53" s="436">
        <f>SUM(J51:J52)</f>
        <v/>
      </c>
    </row>
    <row r="54" ht="22.5" customHeight="1" s="355">
      <c r="A54" s="415" t="n"/>
      <c r="B54" s="437" t="inlineStr">
        <is>
          <t>Requistion to Pay</t>
        </is>
      </c>
      <c r="C54" s="438" t="n"/>
      <c r="D54" s="439" t="n"/>
      <c r="E54" s="439" t="n"/>
      <c r="F54" s="439" t="n"/>
      <c r="G54" s="439" t="n"/>
      <c r="H54" s="439" t="n"/>
      <c r="I54" s="439" t="n"/>
      <c r="J54" s="439" t="n"/>
    </row>
    <row r="55" ht="22.5" customHeight="1" s="355">
      <c r="A55" s="415" t="n"/>
      <c r="B55" s="430" t="inlineStr">
        <is>
          <t xml:space="preserve">   Centre One </t>
        </is>
      </c>
      <c r="C55" s="431">
        <f>'Centre One-BC'!$C$70</f>
        <v/>
      </c>
      <c r="D55" s="432">
        <f>'Centre One-BC'!$D$70</f>
        <v/>
      </c>
      <c r="E55" s="432">
        <f>'Centre One-BC'!$E$70</f>
        <v/>
      </c>
      <c r="F55" s="432">
        <f>'Centre One-BC'!$F$70</f>
        <v/>
      </c>
      <c r="G55" s="432">
        <f>'Centre One-BC'!$G$70</f>
        <v/>
      </c>
      <c r="H55" s="432">
        <f>'Centre One-BC'!$H$70</f>
        <v/>
      </c>
      <c r="I55" s="432">
        <f>'Centre One-BC'!$I$70</f>
        <v/>
      </c>
      <c r="J55" s="432">
        <f>'Centre One-BC'!$J$70</f>
        <v/>
      </c>
    </row>
    <row r="56" ht="22.5" customHeight="1" s="355">
      <c r="A56" s="415" t="n"/>
      <c r="B56" s="430" t="inlineStr">
        <is>
          <t xml:space="preserve">   Centre Two</t>
        </is>
      </c>
      <c r="C56" s="433">
        <f>'Centre Two-BC'!$C$70</f>
        <v/>
      </c>
      <c r="D56" s="434">
        <f>'Centre Two-BC'!$D$70</f>
        <v/>
      </c>
      <c r="E56" s="434">
        <f>'Centre Two-BC'!$E$70</f>
        <v/>
      </c>
      <c r="F56" s="434">
        <f>'Centre Two-BC'!$F$70</f>
        <v/>
      </c>
      <c r="G56" s="434">
        <f>'Centre Two-BC'!$G$70</f>
        <v/>
      </c>
      <c r="H56" s="434">
        <f>'Centre Two-BC'!$H$70</f>
        <v/>
      </c>
      <c r="I56" s="434">
        <f>'Centre Two-BC'!$I$70</f>
        <v/>
      </c>
      <c r="J56" s="434">
        <f>'Centre Two-BC'!$J$70</f>
        <v/>
      </c>
    </row>
    <row r="57" ht="22.5" customHeight="1" s="355">
      <c r="A57" s="415" t="n"/>
      <c r="B57" s="435" t="inlineStr">
        <is>
          <t xml:space="preserve">                Sub Total</t>
        </is>
      </c>
      <c r="C57" s="436">
        <f>SUM(C55:C56)</f>
        <v/>
      </c>
      <c r="D57" s="436">
        <f>SUM(D55:D56)</f>
        <v/>
      </c>
      <c r="E57" s="436">
        <f>SUM(E55:E56)</f>
        <v/>
      </c>
      <c r="F57" s="436">
        <f>SUM(F55:F56)</f>
        <v/>
      </c>
      <c r="G57" s="436">
        <f>SUM(G55:G56)</f>
        <v/>
      </c>
      <c r="H57" s="436">
        <f>SUM(H55:H56)</f>
        <v/>
      </c>
      <c r="I57" s="436">
        <f>SUM(I55:I56)</f>
        <v/>
      </c>
      <c r="J57" s="436">
        <f>SUM(J55:J56)</f>
        <v/>
      </c>
    </row>
    <row r="58" ht="22.5" customHeight="1" s="355">
      <c r="A58" s="441" t="n"/>
      <c r="B58" s="422" t="inlineStr">
        <is>
          <t>Total Base Charges All Countries</t>
        </is>
      </c>
      <c r="C58" s="423">
        <f>C37+C41+C45+C49+C53+C57</f>
        <v/>
      </c>
      <c r="D58" s="423">
        <f>D37+D41+D45+D49+D53+D57</f>
        <v/>
      </c>
      <c r="E58" s="423">
        <f>E37+E41+E45+E49+E53+E57</f>
        <v/>
      </c>
      <c r="F58" s="423">
        <f>F37+F41+F45+F49+F53+F57</f>
        <v/>
      </c>
      <c r="G58" s="423">
        <f>G37+G41+G45+G49+G53+G57</f>
        <v/>
      </c>
      <c r="H58" s="423">
        <f>H37+H41+H45+H49+H53+H57</f>
        <v/>
      </c>
      <c r="I58" s="423">
        <f>I37+I41+I45+I49+I53+I57</f>
        <v/>
      </c>
      <c r="J58" s="423">
        <f>J37+J41+J45+J49+J53+J57</f>
        <v/>
      </c>
      <c r="K58" s="442" t="n"/>
    </row>
    <row r="59" ht="22.5" customHeight="1" s="355"/>
    <row r="60" ht="22.5" customHeight="1" s="355">
      <c r="B60" s="443" t="n"/>
      <c r="K60" s="442" t="n"/>
    </row>
    <row r="61" ht="22.5" customHeight="1" s="355"/>
    <row r="62" ht="22.5" customHeight="1" s="355"/>
    <row r="63" ht="22.5" customHeight="1" s="355"/>
    <row r="64" ht="22.5" customHeight="1" s="355"/>
    <row r="65" ht="22.5" customHeight="1" s="355"/>
    <row r="66" ht="22.5" customHeight="1" s="355"/>
    <row r="67" ht="22.5" customHeight="1" s="355"/>
    <row r="68" ht="22.5" customHeight="1" s="355"/>
    <row r="69" ht="22.5" customHeight="1" s="355"/>
    <row r="70" ht="22.5" customHeight="1" s="355"/>
    <row r="71" ht="22.5" customHeight="1" s="355"/>
    <row r="72" ht="22.5" customHeight="1" s="355"/>
    <row r="73" ht="22.5" customHeight="1" s="355"/>
    <row r="74" ht="22.5" customHeight="1" s="355"/>
    <row r="75" ht="22.5" customHeight="1" s="355"/>
    <row r="76" ht="22.5" customHeight="1" s="355"/>
    <row r="77" ht="22.5" customHeight="1" s="355"/>
    <row r="78" ht="22.5" customHeight="1" s="355"/>
    <row r="79" ht="22.5" customHeight="1" s="355"/>
    <row r="80" ht="22.5" customHeight="1" s="355"/>
    <row r="81" ht="22.5" customHeight="1" s="355"/>
    <row r="82" ht="22.5" customHeight="1" s="355"/>
    <row r="83" ht="22.5" customHeight="1" s="355"/>
    <row r="84" ht="22.5" customHeight="1" s="355"/>
    <row r="85" ht="22.5" customHeight="1" s="355"/>
    <row r="86" ht="22.5" customHeight="1" s="355"/>
    <row r="87" ht="22.5" customHeight="1" s="355"/>
    <row r="88" ht="22.5" customHeight="1" s="355"/>
    <row r="89" ht="22.5" customHeight="1" s="355"/>
    <row r="90" ht="22.5" customHeight="1" s="355"/>
    <row r="91" ht="22.5" customHeight="1" s="355"/>
    <row r="92" ht="22.5" customHeight="1" s="355"/>
    <row r="93" ht="22.5" customHeight="1" s="355"/>
    <row r="94" ht="22.5" customHeight="1" s="355"/>
    <row r="95" ht="22.5" customHeight="1" s="355"/>
    <row r="96" ht="22.5" customHeight="1" s="355"/>
    <row r="97" ht="22.5" customHeight="1" s="355"/>
    <row r="98" ht="22.5" customHeight="1" s="355"/>
    <row r="99" ht="22.5" customHeight="1" s="355"/>
    <row r="100" ht="22.5" customHeight="1" s="355"/>
  </sheetData>
  <mergeCells count="1">
    <mergeCell ref="A2:A58"/>
  </mergeCells>
  <printOptions horizontalCentered="0" verticalCentered="0" headings="0" gridLines="0" gridLinesSet="1"/>
  <pageMargins left="0.747916666666667" right="0.747916666666667" top="0.9840277777777779" bottom="0.9840277777777779" header="0.5" footer="0.5"/>
  <pageSetup orientation="landscape" paperSize="1" scale="100" fitToHeight="3"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xml><?xml version="1.0" encoding="utf-8"?>
<worksheet xmlns="http://schemas.openxmlformats.org/spreadsheetml/2006/main">
  <sheetPr filterMode="0">
    <tabColor rgb="FFFFFF00"/>
    <outlinePr summaryBelow="1" summaryRight="1"/>
    <pageSetUpPr fitToPage="1"/>
  </sheetPr>
  <dimension ref="A1:K184"/>
  <sheetViews>
    <sheetView showFormulas="0" showGridLines="1" showRowColHeaders="1" showZeros="1" rightToLeft="0" tabSelected="0" showOutlineSymbols="1" defaultGridColor="1" view="normal" topLeftCell="A145" colorId="64" zoomScale="50" zoomScaleNormal="50" zoomScalePageLayoutView="100" workbookViewId="0">
      <selection pane="topLeft" activeCell="A1" activeCellId="0" sqref="A1:L185"/>
    </sheetView>
  </sheetViews>
  <sheetFormatPr baseColWidth="8" defaultColWidth="8.3984375" defaultRowHeight="12.75" customHeight="1" zeroHeight="0" outlineLevelRow="0"/>
  <cols>
    <col width="8.4" customWidth="1" style="444" min="1" max="1"/>
    <col width="39.78" customWidth="1" style="444" min="2" max="2"/>
    <col width="12.61" customWidth="1" style="444" min="3" max="11"/>
    <col width="8.4" customWidth="1" style="444" min="12" max="257"/>
  </cols>
  <sheetData>
    <row r="1" ht="18.75" customHeight="1" s="355">
      <c r="A1" s="445" t="inlineStr">
        <is>
          <t>PASS THROUGH CHARGES (US$)</t>
        </is>
      </c>
    </row>
    <row r="2" ht="13.5" customHeight="1" s="355">
      <c r="A2" s="446" t="n"/>
      <c r="B2" s="444" t="n"/>
      <c r="C2" s="444" t="n"/>
      <c r="D2" s="444" t="n"/>
      <c r="E2" s="444" t="n"/>
      <c r="F2" s="444" t="n"/>
      <c r="G2" s="444" t="n"/>
      <c r="H2" s="444" t="n"/>
      <c r="I2" s="444" t="n"/>
      <c r="J2" s="444" t="n"/>
      <c r="K2" s="444" t="n"/>
    </row>
    <row r="3" ht="27" customHeight="1" s="355">
      <c r="A3" s="447" t="n"/>
      <c r="B3" s="369" t="inlineStr">
        <is>
          <t>Category of Service</t>
        </is>
      </c>
      <c r="C3" s="448" t="inlineStr">
        <is>
          <t>Year 1</t>
        </is>
      </c>
      <c r="D3" s="448" t="inlineStr">
        <is>
          <t>Year 2</t>
        </is>
      </c>
      <c r="E3" s="448" t="inlineStr">
        <is>
          <t>Year 3</t>
        </is>
      </c>
      <c r="F3" s="448" t="inlineStr">
        <is>
          <t>Year 4</t>
        </is>
      </c>
      <c r="G3" s="448" t="inlineStr">
        <is>
          <t>Year 5</t>
        </is>
      </c>
      <c r="H3" s="448" t="inlineStr">
        <is>
          <t>Year 6</t>
        </is>
      </c>
      <c r="I3" s="448" t="inlineStr">
        <is>
          <t>Year 7</t>
        </is>
      </c>
      <c r="J3" s="448" t="inlineStr">
        <is>
          <t>Year 8</t>
        </is>
      </c>
      <c r="K3" s="449" t="inlineStr">
        <is>
          <t>Total</t>
        </is>
      </c>
    </row>
    <row r="4" ht="12.75" customHeight="1" s="355">
      <c r="A4" s="373" t="n"/>
      <c r="B4" s="450" t="n"/>
      <c r="C4" s="451" t="n"/>
      <c r="D4" s="451" t="n"/>
      <c r="E4" s="451" t="n"/>
      <c r="F4" s="451" t="n"/>
      <c r="G4" s="451" t="n"/>
      <c r="H4" s="451" t="n"/>
      <c r="I4" s="451" t="n"/>
      <c r="J4" s="451" t="n"/>
      <c r="K4" s="452" t="n"/>
    </row>
    <row r="5" ht="12.75" customHeight="1" s="355">
      <c r="A5" s="377" t="n"/>
      <c r="B5" s="378" t="inlineStr">
        <is>
          <t>General Accounting &amp; Sox</t>
        </is>
      </c>
      <c r="C5" s="453">
        <f>SUM(C23,C41,C59,C77,C95)</f>
        <v/>
      </c>
      <c r="D5" s="453">
        <f>SUM(D23,D41,D59,D77,D95)</f>
        <v/>
      </c>
      <c r="E5" s="453">
        <f>SUM(E23,E41,E59,E77,E95)</f>
        <v/>
      </c>
      <c r="F5" s="453">
        <f>SUM(F23,F41,F59,F77,F95)</f>
        <v/>
      </c>
      <c r="G5" s="453">
        <f>SUM(G23,G41,G59,G77,G95)</f>
        <v/>
      </c>
      <c r="H5" s="453">
        <f>SUM(H23,H41,H59,H77,H95)</f>
        <v/>
      </c>
      <c r="I5" s="453">
        <f>SUM(I23,I41,I59,I77,I95)</f>
        <v/>
      </c>
      <c r="J5" s="453">
        <f>SUM(J23,J41,J59,J77,J95)</f>
        <v/>
      </c>
      <c r="K5" s="454">
        <f>SUM(C5:J5)</f>
        <v/>
      </c>
    </row>
    <row r="6" ht="12.75" customHeight="1" s="355">
      <c r="A6" s="377" t="n"/>
      <c r="B6" s="454" t="n"/>
      <c r="C6" s="453" t="n"/>
      <c r="D6" s="453" t="n"/>
      <c r="E6" s="453" t="n"/>
      <c r="F6" s="453" t="n"/>
      <c r="G6" s="453" t="n"/>
      <c r="H6" s="453" t="n"/>
      <c r="I6" s="453" t="n"/>
      <c r="J6" s="453" t="n"/>
      <c r="K6" s="454" t="n"/>
    </row>
    <row r="7" ht="12.75" customHeight="1" s="355">
      <c r="A7" s="377" t="n"/>
      <c r="B7" s="378" t="inlineStr">
        <is>
          <t>Fixed Assets</t>
        </is>
      </c>
      <c r="C7" s="453">
        <f>SUM(C25,C43,C61,C79,C97)</f>
        <v/>
      </c>
      <c r="D7" s="453">
        <f>SUM(D25,D43,D61,D79,D97)</f>
        <v/>
      </c>
      <c r="E7" s="453">
        <f>SUM(E25,E43,E61,E79,E97)</f>
        <v/>
      </c>
      <c r="F7" s="453">
        <f>SUM(F25,F43,F61,F79,F97)</f>
        <v/>
      </c>
      <c r="G7" s="453">
        <f>SUM(G25,G43,G61,G79,G97)</f>
        <v/>
      </c>
      <c r="H7" s="453">
        <f>SUM(H25,H43,H61,H79,H97)</f>
        <v/>
      </c>
      <c r="I7" s="453">
        <f>SUM(I25,I43,I61,I79,I97)</f>
        <v/>
      </c>
      <c r="J7" s="453">
        <f>SUM(J25,J43,J61,J79,J97)</f>
        <v/>
      </c>
      <c r="K7" s="454">
        <f>SUM(C7:J7)</f>
        <v/>
      </c>
    </row>
    <row r="8" ht="12.75" customHeight="1" s="355">
      <c r="A8" s="377" t="n"/>
      <c r="B8" s="454" t="n"/>
      <c r="C8" s="453" t="n"/>
      <c r="D8" s="453" t="n"/>
      <c r="E8" s="453" t="n"/>
      <c r="F8" s="453" t="n"/>
      <c r="G8" s="453" t="n"/>
      <c r="H8" s="453" t="n"/>
      <c r="I8" s="453" t="n"/>
      <c r="J8" s="453" t="n"/>
      <c r="K8" s="454" t="n"/>
    </row>
    <row r="9" ht="12.75" customHeight="1" s="355">
      <c r="A9" s="377" t="n"/>
      <c r="B9" s="378" t="inlineStr">
        <is>
          <t>Accounts Payable</t>
        </is>
      </c>
      <c r="C9" s="453">
        <f>SUM(C27,C45,C63,C81,C99)</f>
        <v/>
      </c>
      <c r="D9" s="453">
        <f>SUM(D27,D45,D63,D81,D99)</f>
        <v/>
      </c>
      <c r="E9" s="453">
        <f>SUM(E27,E45,E63,E81,E99)</f>
        <v/>
      </c>
      <c r="F9" s="453">
        <f>SUM(F27,F45,F63,F81,F99)</f>
        <v/>
      </c>
      <c r="G9" s="453">
        <f>SUM(G27,G45,G63,G81,G99)</f>
        <v/>
      </c>
      <c r="H9" s="453">
        <f>SUM(H27,H45,H63,H81,H99)</f>
        <v/>
      </c>
      <c r="I9" s="453">
        <f>SUM(I27,I45,I63,I81,I99)</f>
        <v/>
      </c>
      <c r="J9" s="453">
        <f>SUM(J27,J45,J63,J81,J99)</f>
        <v/>
      </c>
      <c r="K9" s="454">
        <f>SUM(C9:J9)</f>
        <v/>
      </c>
    </row>
    <row r="10" ht="12.75" customHeight="1" s="355">
      <c r="A10" s="377" t="n"/>
      <c r="B10" s="454" t="n"/>
      <c r="C10" s="453" t="n"/>
      <c r="D10" s="453" t="n"/>
      <c r="E10" s="453" t="n"/>
      <c r="F10" s="453" t="n"/>
      <c r="G10" s="453" t="n"/>
      <c r="H10" s="453" t="n"/>
      <c r="I10" s="453" t="n"/>
      <c r="J10" s="453" t="n"/>
      <c r="K10" s="454" t="n"/>
    </row>
    <row r="11" ht="12.75" customHeight="1" s="355">
      <c r="A11" s="377" t="n"/>
      <c r="B11" s="378" t="inlineStr">
        <is>
          <t>T&amp;E</t>
        </is>
      </c>
      <c r="C11" s="453">
        <f>SUM(C29,C47,C65,C83,C101)</f>
        <v/>
      </c>
      <c r="D11" s="453">
        <f>SUM(D29,D47,D65,D83,D101)</f>
        <v/>
      </c>
      <c r="E11" s="453">
        <f>SUM(E29,E47,E65,E83,E101)</f>
        <v/>
      </c>
      <c r="F11" s="453">
        <f>SUM(F29,F47,F65,F83,F101)</f>
        <v/>
      </c>
      <c r="G11" s="453">
        <f>SUM(G29,G47,G65,G83,G101)</f>
        <v/>
      </c>
      <c r="H11" s="453">
        <f>SUM(H29,H47,H65,H83,H101)</f>
        <v/>
      </c>
      <c r="I11" s="453">
        <f>SUM(I29,I47,I65,I83,I101)</f>
        <v/>
      </c>
      <c r="J11" s="453">
        <f>SUM(J29,J47,J65,J83,J101)</f>
        <v/>
      </c>
      <c r="K11" s="454">
        <f>SUM(C11:J11)</f>
        <v/>
      </c>
    </row>
    <row r="12" ht="12.75" customHeight="1" s="355">
      <c r="A12" s="377" t="n"/>
      <c r="B12" s="454" t="n"/>
      <c r="C12" s="453" t="n"/>
      <c r="D12" s="453" t="n"/>
      <c r="E12" s="453" t="n"/>
      <c r="F12" s="453" t="n"/>
      <c r="G12" s="453" t="n"/>
      <c r="H12" s="453" t="n"/>
      <c r="I12" s="453" t="n"/>
      <c r="J12" s="453" t="n"/>
      <c r="K12" s="454" t="n"/>
    </row>
    <row r="13" ht="12.75" customHeight="1" s="355">
      <c r="A13" s="377" t="n"/>
      <c r="B13" s="378" t="inlineStr">
        <is>
          <t>Order to Cash</t>
        </is>
      </c>
      <c r="C13" s="453">
        <f>SUM(C31,C49,C67,C85,C103)</f>
        <v/>
      </c>
      <c r="D13" s="453">
        <f>SUM(D31,D49,D67,D85,D103)</f>
        <v/>
      </c>
      <c r="E13" s="453">
        <f>SUM(E31,E49,E67,E85,E103)</f>
        <v/>
      </c>
      <c r="F13" s="453">
        <f>SUM(F31,F49,F67,F85,F103)</f>
        <v/>
      </c>
      <c r="G13" s="453">
        <f>SUM(G31,G49,G67,G85,G103)</f>
        <v/>
      </c>
      <c r="H13" s="453">
        <f>SUM(H31,H49,H67,H85,H103)</f>
        <v/>
      </c>
      <c r="I13" s="453">
        <f>SUM(I31,I49,I67,I85,I103)</f>
        <v/>
      </c>
      <c r="J13" s="453">
        <f>SUM(J31,J49,J67,J85,J103)</f>
        <v/>
      </c>
      <c r="K13" s="454">
        <f>SUM(C13:J13)</f>
        <v/>
      </c>
    </row>
    <row r="14" ht="12.75" customHeight="1" s="355">
      <c r="A14" s="377" t="n"/>
      <c r="B14" s="454" t="n"/>
      <c r="C14" s="453" t="n"/>
      <c r="D14" s="453" t="n"/>
      <c r="E14" s="453" t="n"/>
      <c r="F14" s="453" t="n"/>
      <c r="G14" s="453" t="n"/>
      <c r="H14" s="453" t="n"/>
      <c r="I14" s="453" t="n"/>
      <c r="J14" s="453" t="n"/>
      <c r="K14" s="454" t="n"/>
    </row>
    <row r="15" ht="12.75" customHeight="1" s="355">
      <c r="A15" s="377" t="n"/>
      <c r="B15" s="378" t="inlineStr">
        <is>
          <t>Requistion to Pay</t>
        </is>
      </c>
      <c r="C15" s="453">
        <f>SUM(C33,C51,C69,C87,C105)</f>
        <v/>
      </c>
      <c r="D15" s="453">
        <f>SUM(D33,D51,D69,D87,D105)</f>
        <v/>
      </c>
      <c r="E15" s="453">
        <f>SUM(E33,E51,E69,E87,E105)</f>
        <v/>
      </c>
      <c r="F15" s="453">
        <f>SUM(F33,F51,F69,F87,F105)</f>
        <v/>
      </c>
      <c r="G15" s="453">
        <f>SUM(G33,G51,G69,G87,G105)</f>
        <v/>
      </c>
      <c r="H15" s="453">
        <f>SUM(H33,H51,H69,H87,H105)</f>
        <v/>
      </c>
      <c r="I15" s="453">
        <f>SUM(I33,I51,I69,I87,I105)</f>
        <v/>
      </c>
      <c r="J15" s="453">
        <f>SUM(J33,J51,J69,J87,J105)</f>
        <v/>
      </c>
      <c r="K15" s="454">
        <f>SUM(C15:J15)</f>
        <v/>
      </c>
    </row>
    <row r="16" ht="13.5" customHeight="1" s="355">
      <c r="A16" s="455" t="n"/>
      <c r="B16" s="456" t="n"/>
      <c r="C16" s="453" t="n"/>
      <c r="D16" s="453" t="n"/>
      <c r="E16" s="453" t="n"/>
      <c r="F16" s="453" t="n"/>
      <c r="G16" s="453" t="n"/>
      <c r="H16" s="453" t="n"/>
      <c r="I16" s="453" t="n"/>
      <c r="J16" s="453" t="n"/>
      <c r="K16" s="457" t="n"/>
    </row>
    <row r="17" ht="13.5" customHeight="1" s="355">
      <c r="A17" s="458" t="inlineStr">
        <is>
          <t>TOTAL INVESTMENTS</t>
        </is>
      </c>
      <c r="B17" s="459" t="n"/>
      <c r="C17" s="460">
        <f>SUM(C4:C16)</f>
        <v/>
      </c>
      <c r="D17" s="461">
        <f>SUM(D4:D16)</f>
        <v/>
      </c>
      <c r="E17" s="461">
        <f>SUM(E4:E16)</f>
        <v/>
      </c>
      <c r="F17" s="461">
        <f>SUM(F4:F16)</f>
        <v/>
      </c>
      <c r="G17" s="461">
        <f>SUM(G4:G16)</f>
        <v/>
      </c>
      <c r="H17" s="461">
        <f>SUM(H4:H16)</f>
        <v/>
      </c>
      <c r="I17" s="461">
        <f>SUM(I4:I16)</f>
        <v/>
      </c>
      <c r="J17" s="461">
        <f>SUM(J4:J16)</f>
        <v/>
      </c>
      <c r="K17" s="462">
        <f>SUM(K4:K16)</f>
        <v/>
      </c>
    </row>
    <row r="18"/>
    <row r="19"/>
    <row r="20" ht="19.5" customHeight="1" s="355">
      <c r="A20" s="445" t="inlineStr">
        <is>
          <t>Pass through -PSTN</t>
        </is>
      </c>
    </row>
    <row r="21" ht="13.5" customHeight="1" s="355">
      <c r="A21" s="447" t="n"/>
      <c r="B21" s="369" t="inlineStr">
        <is>
          <t>Category of Service</t>
        </is>
      </c>
      <c r="C21" s="448" t="inlineStr">
        <is>
          <t>Year 1</t>
        </is>
      </c>
      <c r="D21" s="448" t="inlineStr">
        <is>
          <t>Year 2</t>
        </is>
      </c>
      <c r="E21" s="448" t="inlineStr">
        <is>
          <t>Year 3</t>
        </is>
      </c>
      <c r="F21" s="448" t="inlineStr">
        <is>
          <t>Year 4</t>
        </is>
      </c>
      <c r="G21" s="448" t="inlineStr">
        <is>
          <t>Year 5</t>
        </is>
      </c>
      <c r="H21" s="448" t="inlineStr">
        <is>
          <t>Year 6</t>
        </is>
      </c>
      <c r="I21" s="448" t="inlineStr">
        <is>
          <t>Year 7</t>
        </is>
      </c>
      <c r="J21" s="448" t="inlineStr">
        <is>
          <t>Year 8</t>
        </is>
      </c>
      <c r="K21" s="449" t="inlineStr">
        <is>
          <t>Total</t>
        </is>
      </c>
    </row>
    <row r="22" ht="12.75" customHeight="1" s="355">
      <c r="A22" s="373" t="n"/>
      <c r="B22" s="450" t="n"/>
      <c r="C22" s="451" t="n"/>
      <c r="D22" s="451" t="n"/>
      <c r="E22" s="451" t="n"/>
      <c r="F22" s="451" t="n"/>
      <c r="G22" s="451" t="n"/>
      <c r="H22" s="451" t="n"/>
      <c r="I22" s="451" t="n"/>
      <c r="J22" s="451" t="n"/>
      <c r="K22" s="452" t="n"/>
    </row>
    <row r="23" ht="12.75" customHeight="1" s="355">
      <c r="A23" s="377" t="n"/>
      <c r="B23" s="378" t="inlineStr">
        <is>
          <t>General Accounting &amp; Sox</t>
        </is>
      </c>
      <c r="C23" s="453">
        <f>'Pass-Thro-Charges'!$F174*'Consolidated FTE '!C37</f>
        <v/>
      </c>
      <c r="D23" s="453">
        <f>'Pass-Thro-Charges'!$F174*'Consolidated FTE '!D37</f>
        <v/>
      </c>
      <c r="E23" s="453">
        <f>'Pass-Thro-Charges'!$F174*'Consolidated FTE '!E37</f>
        <v/>
      </c>
      <c r="F23" s="453">
        <f>'Pass-Thro-Charges'!$F174*'Consolidated FTE '!F37</f>
        <v/>
      </c>
      <c r="G23" s="453">
        <f>'Pass-Thro-Charges'!$F174*'Consolidated FTE '!G37</f>
        <v/>
      </c>
      <c r="H23" s="453">
        <f>'Pass-Thro-Charges'!$F174*'Consolidated FTE '!H37</f>
        <v/>
      </c>
      <c r="I23" s="453">
        <f>'Pass-Thro-Charges'!$F174*'Consolidated FTE '!I37</f>
        <v/>
      </c>
      <c r="J23" s="453">
        <f>'Pass-Thro-Charges'!$F174*'Consolidated FTE '!J37/12</f>
        <v/>
      </c>
      <c r="K23" s="454">
        <f>SUM(C23:J23)</f>
        <v/>
      </c>
    </row>
    <row r="24" ht="12.75" customHeight="1" s="355">
      <c r="A24" s="377" t="n"/>
      <c r="B24" s="454" t="n"/>
      <c r="C24" s="453" t="n"/>
      <c r="D24" s="453" t="n"/>
      <c r="E24" s="453" t="n"/>
      <c r="F24" s="453" t="n"/>
      <c r="G24" s="453" t="n"/>
      <c r="H24" s="453" t="n"/>
      <c r="I24" s="453" t="n"/>
      <c r="J24" s="453" t="n"/>
      <c r="K24" s="454" t="n"/>
    </row>
    <row r="25" ht="12.75" customHeight="1" s="355">
      <c r="A25" s="377" t="n"/>
      <c r="B25" s="378" t="inlineStr">
        <is>
          <t>Fixed Assets</t>
        </is>
      </c>
      <c r="C25" s="453">
        <f>'Pass-Thro-Charges'!$F176*'Consolidated FTE '!C41</f>
        <v/>
      </c>
      <c r="D25" s="453">
        <f>'Pass-Thro-Charges'!$F176*'Consolidated FTE '!D41</f>
        <v/>
      </c>
      <c r="E25" s="453">
        <f>'Pass-Thro-Charges'!$F176*'Consolidated FTE '!E41</f>
        <v/>
      </c>
      <c r="F25" s="453">
        <f>'Pass-Thro-Charges'!$F176*'Consolidated FTE '!F41</f>
        <v/>
      </c>
      <c r="G25" s="453">
        <f>'Pass-Thro-Charges'!$F176*'Consolidated FTE '!G41</f>
        <v/>
      </c>
      <c r="H25" s="453">
        <f>'Pass-Thro-Charges'!$F176*'Consolidated FTE '!H41</f>
        <v/>
      </c>
      <c r="I25" s="453">
        <f>'Pass-Thro-Charges'!$F176*'Consolidated FTE '!I41</f>
        <v/>
      </c>
      <c r="J25" s="453">
        <f>'Pass-Thro-Charges'!$F176*'Consolidated FTE '!J41/12</f>
        <v/>
      </c>
      <c r="K25" s="454">
        <f>SUM(C25:J25)</f>
        <v/>
      </c>
    </row>
    <row r="26" ht="12.75" customHeight="1" s="355">
      <c r="A26" s="377" t="n"/>
      <c r="B26" s="454" t="n"/>
      <c r="C26" s="453" t="n"/>
      <c r="D26" s="453" t="n"/>
      <c r="E26" s="453" t="n"/>
      <c r="F26" s="453" t="n"/>
      <c r="G26" s="453" t="n"/>
      <c r="H26" s="453" t="n"/>
      <c r="I26" s="453" t="n"/>
      <c r="J26" s="453" t="n"/>
      <c r="K26" s="454" t="n"/>
    </row>
    <row r="27" ht="12.75" customHeight="1" s="355">
      <c r="A27" s="377" t="n"/>
      <c r="B27" s="378" t="inlineStr">
        <is>
          <t>Accounts Payable</t>
        </is>
      </c>
      <c r="C27" s="453">
        <f>'Pass-Thro-Charges'!$F178*'Consolidated FTE '!C45</f>
        <v/>
      </c>
      <c r="D27" s="453">
        <f>'Pass-Thro-Charges'!$F178*'Consolidated FTE '!D45</f>
        <v/>
      </c>
      <c r="E27" s="453">
        <f>'Pass-Thro-Charges'!$F178*'Consolidated FTE '!E45</f>
        <v/>
      </c>
      <c r="F27" s="453">
        <f>'Pass-Thro-Charges'!$F178*'Consolidated FTE '!F45</f>
        <v/>
      </c>
      <c r="G27" s="453">
        <f>'Pass-Thro-Charges'!$F178*'Consolidated FTE '!G45</f>
        <v/>
      </c>
      <c r="H27" s="453">
        <f>'Pass-Thro-Charges'!$F178*'Consolidated FTE '!H45</f>
        <v/>
      </c>
      <c r="I27" s="453">
        <f>'Pass-Thro-Charges'!$F178*'Consolidated FTE '!I45</f>
        <v/>
      </c>
      <c r="J27" s="453">
        <f>'Pass-Thro-Charges'!$F178*'Consolidated FTE '!J45/12</f>
        <v/>
      </c>
      <c r="K27" s="454">
        <f>SUM(C27:J27)</f>
        <v/>
      </c>
    </row>
    <row r="28" ht="12.75" customHeight="1" s="355">
      <c r="A28" s="377" t="n"/>
      <c r="B28" s="454" t="n"/>
      <c r="C28" s="453" t="n"/>
      <c r="D28" s="453" t="n"/>
      <c r="E28" s="453" t="n"/>
      <c r="F28" s="453" t="n"/>
      <c r="G28" s="453" t="n"/>
      <c r="H28" s="453" t="n"/>
      <c r="I28" s="453" t="n"/>
      <c r="J28" s="453" t="n"/>
      <c r="K28" s="454" t="n"/>
    </row>
    <row r="29" ht="12.75" customHeight="1" s="355">
      <c r="A29" s="377" t="n"/>
      <c r="B29" s="378" t="inlineStr">
        <is>
          <t>T&amp;E</t>
        </is>
      </c>
      <c r="C29" s="453">
        <f>'Pass-Thro-Charges'!$F180*'Consolidated FTE '!C49</f>
        <v/>
      </c>
      <c r="D29" s="453">
        <f>'Pass-Thro-Charges'!$F180*'Consolidated FTE '!D49</f>
        <v/>
      </c>
      <c r="E29" s="453">
        <f>'Pass-Thro-Charges'!$F180*'Consolidated FTE '!E49</f>
        <v/>
      </c>
      <c r="F29" s="453">
        <f>'Pass-Thro-Charges'!$F180*'Consolidated FTE '!F49</f>
        <v/>
      </c>
      <c r="G29" s="453">
        <f>'Pass-Thro-Charges'!$F180*'Consolidated FTE '!G49</f>
        <v/>
      </c>
      <c r="H29" s="453">
        <f>'Pass-Thro-Charges'!$F180*'Consolidated FTE '!H49</f>
        <v/>
      </c>
      <c r="I29" s="453">
        <f>'Pass-Thro-Charges'!$F180*'Consolidated FTE '!I49</f>
        <v/>
      </c>
      <c r="J29" s="453">
        <f>'Pass-Thro-Charges'!$F180*'Consolidated FTE '!J49/12</f>
        <v/>
      </c>
      <c r="K29" s="454">
        <f>SUM(C29:J29)</f>
        <v/>
      </c>
    </row>
    <row r="30" ht="12.75" customHeight="1" s="355">
      <c r="A30" s="377" t="n"/>
      <c r="B30" s="454" t="n"/>
      <c r="C30" s="453" t="n"/>
      <c r="D30" s="453" t="n"/>
      <c r="E30" s="453" t="n"/>
      <c r="F30" s="453" t="n"/>
      <c r="G30" s="453" t="n"/>
      <c r="H30" s="453" t="n"/>
      <c r="I30" s="453" t="n"/>
      <c r="J30" s="453" t="n"/>
      <c r="K30" s="454" t="n"/>
    </row>
    <row r="31" ht="12.75" customHeight="1" s="355">
      <c r="A31" s="377" t="n"/>
      <c r="B31" s="378" t="inlineStr">
        <is>
          <t>Order to Cash</t>
        </is>
      </c>
      <c r="C31" s="453">
        <f>'Pass-Thro-Charges'!$F182*'Consolidated FTE '!C53</f>
        <v/>
      </c>
      <c r="D31" s="453">
        <f>'Pass-Thro-Charges'!$F182*'Consolidated FTE '!D53</f>
        <v/>
      </c>
      <c r="E31" s="453">
        <f>'Pass-Thro-Charges'!$F182*'Consolidated FTE '!E53</f>
        <v/>
      </c>
      <c r="F31" s="453">
        <f>'Pass-Thro-Charges'!$F182*'Consolidated FTE '!F53</f>
        <v/>
      </c>
      <c r="G31" s="453">
        <f>'Pass-Thro-Charges'!$F182*'Consolidated FTE '!G53</f>
        <v/>
      </c>
      <c r="H31" s="453">
        <f>'Pass-Thro-Charges'!$F182*'Consolidated FTE '!H53</f>
        <v/>
      </c>
      <c r="I31" s="453">
        <f>'Pass-Thro-Charges'!$F182*'Consolidated FTE '!I53</f>
        <v/>
      </c>
      <c r="J31" s="453">
        <f>'Pass-Thro-Charges'!$F182*'Consolidated FTE '!J53/12</f>
        <v/>
      </c>
      <c r="K31" s="454">
        <f>SUM(C31:J31)</f>
        <v/>
      </c>
    </row>
    <row r="32" ht="12.75" customHeight="1" s="355">
      <c r="A32" s="377" t="n"/>
      <c r="B32" s="454" t="n"/>
      <c r="C32" s="453" t="n"/>
      <c r="D32" s="453" t="n"/>
      <c r="E32" s="453" t="n"/>
      <c r="F32" s="453" t="n"/>
      <c r="G32" s="453" t="n"/>
      <c r="H32" s="453" t="n"/>
      <c r="I32" s="453" t="n"/>
      <c r="J32" s="453" t="n"/>
      <c r="K32" s="454" t="n"/>
    </row>
    <row r="33" ht="12.75" customHeight="1" s="355">
      <c r="A33" s="377" t="n"/>
      <c r="B33" s="378" t="inlineStr">
        <is>
          <t>Requistion to Pay</t>
        </is>
      </c>
      <c r="C33" s="453">
        <f>'Pass-Thro-Charges'!$F184*'Consolidated FTE '!C57</f>
        <v/>
      </c>
      <c r="D33" s="453">
        <f>'Pass-Thro-Charges'!$F184*'Consolidated FTE '!D57</f>
        <v/>
      </c>
      <c r="E33" s="453">
        <f>'Pass-Thro-Charges'!$F184*'Consolidated FTE '!E57</f>
        <v/>
      </c>
      <c r="F33" s="453">
        <f>'Pass-Thro-Charges'!$F184*'Consolidated FTE '!F57</f>
        <v/>
      </c>
      <c r="G33" s="453">
        <f>'Pass-Thro-Charges'!$F184*'Consolidated FTE '!G57</f>
        <v/>
      </c>
      <c r="H33" s="453">
        <f>'Pass-Thro-Charges'!$F184*'Consolidated FTE '!H57</f>
        <v/>
      </c>
      <c r="I33" s="453">
        <f>'Pass-Thro-Charges'!$F184*'Consolidated FTE '!I57</f>
        <v/>
      </c>
      <c r="J33" s="453">
        <f>'Pass-Thro-Charges'!$F184*'Consolidated FTE '!J57/12</f>
        <v/>
      </c>
      <c r="K33" s="454">
        <f>SUM(C33:J33)</f>
        <v/>
      </c>
    </row>
    <row r="34" ht="13.5" customHeight="1" s="355">
      <c r="A34" s="455" t="n"/>
      <c r="B34" s="456" t="n"/>
      <c r="C34" s="453" t="n"/>
      <c r="D34" s="453" t="n"/>
      <c r="E34" s="453" t="n"/>
      <c r="F34" s="453" t="n"/>
      <c r="G34" s="453" t="n"/>
      <c r="H34" s="453" t="n"/>
      <c r="I34" s="453" t="n"/>
      <c r="J34" s="453" t="n"/>
      <c r="K34" s="457" t="n"/>
    </row>
    <row r="35" ht="13.5" customHeight="1" s="355">
      <c r="A35" s="458" t="inlineStr">
        <is>
          <t>TOTAL INVESTMENTS</t>
        </is>
      </c>
      <c r="B35" s="459" t="n"/>
      <c r="C35" s="460">
        <f>SUM(C22:C34)</f>
        <v/>
      </c>
      <c r="D35" s="461">
        <f>SUM(D22:D34)</f>
        <v/>
      </c>
      <c r="E35" s="461">
        <f>SUM(E22:E34)</f>
        <v/>
      </c>
      <c r="F35" s="461">
        <f>SUM(F22:F34)</f>
        <v/>
      </c>
      <c r="G35" s="461">
        <f>SUM(G22:G34)</f>
        <v/>
      </c>
      <c r="H35" s="461">
        <f>SUM(H22:H34)</f>
        <v/>
      </c>
      <c r="I35" s="461">
        <f>SUM(I22:I34)</f>
        <v/>
      </c>
      <c r="J35" s="461">
        <f>SUM(J22:J34)</f>
        <v/>
      </c>
      <c r="K35" s="462">
        <f>SUM(K22:K34)</f>
        <v/>
      </c>
    </row>
    <row r="36"/>
    <row r="37"/>
    <row r="38" ht="19.5" customHeight="1" s="355">
      <c r="A38" s="445" t="inlineStr">
        <is>
          <t>Pass through -Workflow</t>
        </is>
      </c>
    </row>
    <row r="39" ht="13.5" customHeight="1" s="355">
      <c r="A39" s="447" t="n"/>
      <c r="B39" s="369" t="inlineStr">
        <is>
          <t>Category of Service</t>
        </is>
      </c>
      <c r="C39" s="448" t="inlineStr">
        <is>
          <t>Year 1</t>
        </is>
      </c>
      <c r="D39" s="448" t="inlineStr">
        <is>
          <t>Year 2</t>
        </is>
      </c>
      <c r="E39" s="448" t="inlineStr">
        <is>
          <t>Year 3</t>
        </is>
      </c>
      <c r="F39" s="448" t="inlineStr">
        <is>
          <t>Year 4</t>
        </is>
      </c>
      <c r="G39" s="448" t="inlineStr">
        <is>
          <t>Year 5</t>
        </is>
      </c>
      <c r="H39" s="448" t="inlineStr">
        <is>
          <t>Year 6</t>
        </is>
      </c>
      <c r="I39" s="448" t="inlineStr">
        <is>
          <t>Year 7</t>
        </is>
      </c>
      <c r="J39" s="448" t="inlineStr">
        <is>
          <t>Year 8</t>
        </is>
      </c>
      <c r="K39" s="449" t="inlineStr">
        <is>
          <t>Total</t>
        </is>
      </c>
    </row>
    <row r="40" ht="12.75" customHeight="1" s="355">
      <c r="A40" s="373" t="n"/>
      <c r="B40" s="450" t="n"/>
      <c r="C40" s="451" t="n"/>
      <c r="D40" s="451" t="n"/>
      <c r="E40" s="451" t="n"/>
      <c r="F40" s="451" t="n"/>
      <c r="G40" s="451" t="n"/>
      <c r="H40" s="451" t="n"/>
      <c r="I40" s="451" t="n"/>
      <c r="J40" s="451" t="n"/>
      <c r="K40" s="452" t="n"/>
    </row>
    <row r="41" ht="12.75" customHeight="1" s="355">
      <c r="A41" s="377" t="n"/>
      <c r="B41" s="378" t="inlineStr">
        <is>
          <t>General Accounting &amp; Sox</t>
        </is>
      </c>
      <c r="C41" s="453" t="n">
        <v>0</v>
      </c>
      <c r="D41" s="453" t="n">
        <v>0</v>
      </c>
      <c r="E41" s="453" t="n">
        <v>0</v>
      </c>
      <c r="F41" s="453" t="n">
        <v>0</v>
      </c>
      <c r="G41" s="453" t="n">
        <v>0</v>
      </c>
      <c r="H41" s="453" t="n">
        <v>0</v>
      </c>
      <c r="I41" s="453" t="n">
        <v>0</v>
      </c>
      <c r="J41" s="453" t="n">
        <v>0</v>
      </c>
      <c r="K41" s="454">
        <f>SUM(C41:J41)</f>
        <v/>
      </c>
    </row>
    <row r="42" ht="12.75" customHeight="1" s="355">
      <c r="A42" s="377" t="n"/>
      <c r="B42" s="454" t="n"/>
      <c r="C42" s="453" t="n"/>
      <c r="D42" s="453" t="n"/>
      <c r="E42" s="453" t="n"/>
      <c r="F42" s="453" t="n"/>
      <c r="G42" s="453" t="n"/>
      <c r="H42" s="453" t="n"/>
      <c r="I42" s="453" t="n"/>
      <c r="J42" s="453" t="n"/>
      <c r="K42" s="454" t="n"/>
    </row>
    <row r="43" ht="12.75" customHeight="1" s="355">
      <c r="A43" s="377" t="n"/>
      <c r="B43" s="378" t="inlineStr">
        <is>
          <t>Fixed Assets</t>
        </is>
      </c>
      <c r="C43" s="453" t="n">
        <v>0</v>
      </c>
      <c r="D43" s="453" t="n">
        <v>0</v>
      </c>
      <c r="E43" s="453" t="n">
        <v>0</v>
      </c>
      <c r="F43" s="453" t="n">
        <v>0</v>
      </c>
      <c r="G43" s="453" t="n">
        <v>0</v>
      </c>
      <c r="H43" s="453" t="n">
        <v>0</v>
      </c>
      <c r="I43" s="453" t="n">
        <v>0</v>
      </c>
      <c r="J43" s="453" t="n">
        <v>0</v>
      </c>
      <c r="K43" s="454">
        <f>SUM(C43:J43)</f>
        <v/>
      </c>
    </row>
    <row r="44" ht="12.75" customHeight="1" s="355">
      <c r="A44" s="377" t="n"/>
      <c r="B44" s="454" t="n"/>
      <c r="C44" s="453" t="n"/>
      <c r="D44" s="453" t="n"/>
      <c r="E44" s="453" t="n"/>
      <c r="F44" s="453" t="n"/>
      <c r="G44" s="453" t="n"/>
      <c r="H44" s="453" t="n"/>
      <c r="I44" s="453" t="n"/>
      <c r="J44" s="453" t="n"/>
      <c r="K44" s="454" t="n"/>
    </row>
    <row r="45" ht="12.75" customHeight="1" s="355">
      <c r="A45" s="377" t="n"/>
      <c r="B45" s="378" t="inlineStr">
        <is>
          <t>Accounts Payable</t>
        </is>
      </c>
      <c r="C45" s="453">
        <f>C110</f>
        <v/>
      </c>
      <c r="D45" s="453">
        <f>D110</f>
        <v/>
      </c>
      <c r="E45" s="453">
        <f>E110</f>
        <v/>
      </c>
      <c r="F45" s="453">
        <f>F110</f>
        <v/>
      </c>
      <c r="G45" s="453">
        <f>G110</f>
        <v/>
      </c>
      <c r="H45" s="453">
        <f>H110</f>
        <v/>
      </c>
      <c r="I45" s="453">
        <f>I110</f>
        <v/>
      </c>
      <c r="J45" s="453">
        <f>J110</f>
        <v/>
      </c>
      <c r="K45" s="454">
        <f>SUM(C45:J45)</f>
        <v/>
      </c>
    </row>
    <row r="46" ht="12.75" customHeight="1" s="355">
      <c r="A46" s="377" t="n"/>
      <c r="B46" s="454" t="n"/>
      <c r="C46" s="453" t="n"/>
      <c r="D46" s="453" t="n"/>
      <c r="E46" s="453" t="n"/>
      <c r="F46" s="453" t="n"/>
      <c r="G46" s="453" t="n"/>
      <c r="H46" s="453" t="n"/>
      <c r="I46" s="453" t="n"/>
      <c r="J46" s="453" t="n"/>
      <c r="K46" s="454" t="n"/>
    </row>
    <row r="47" ht="12.75" customHeight="1" s="355">
      <c r="A47" s="377" t="n"/>
      <c r="B47" s="378" t="inlineStr">
        <is>
          <t>T&amp;E</t>
        </is>
      </c>
      <c r="C47" s="453" t="n">
        <v>0</v>
      </c>
      <c r="D47" s="453" t="n">
        <v>0</v>
      </c>
      <c r="E47" s="453" t="n">
        <v>0</v>
      </c>
      <c r="F47" s="453" t="n">
        <v>0</v>
      </c>
      <c r="G47" s="453" t="n">
        <v>0</v>
      </c>
      <c r="H47" s="453" t="n">
        <v>0</v>
      </c>
      <c r="I47" s="453" t="n">
        <v>0</v>
      </c>
      <c r="J47" s="453" t="n">
        <v>0</v>
      </c>
      <c r="K47" s="454">
        <f>SUM(C47:J47)</f>
        <v/>
      </c>
    </row>
    <row r="48" ht="12.75" customHeight="1" s="355">
      <c r="A48" s="377" t="n"/>
      <c r="B48" s="454" t="n"/>
      <c r="C48" s="453" t="n"/>
      <c r="D48" s="453" t="n"/>
      <c r="E48" s="453" t="n"/>
      <c r="F48" s="453" t="n"/>
      <c r="G48" s="453" t="n"/>
      <c r="H48" s="453" t="n"/>
      <c r="I48" s="453" t="n"/>
      <c r="J48" s="453" t="n"/>
      <c r="K48" s="454" t="n"/>
    </row>
    <row r="49" ht="12.75" customHeight="1" s="355">
      <c r="A49" s="377" t="n"/>
      <c r="B49" s="378" t="inlineStr">
        <is>
          <t>Order to Cash</t>
        </is>
      </c>
      <c r="C49" s="453" t="n">
        <v>0</v>
      </c>
      <c r="D49" s="453" t="n">
        <v>0</v>
      </c>
      <c r="E49" s="453" t="n">
        <v>0</v>
      </c>
      <c r="F49" s="453" t="n">
        <v>0</v>
      </c>
      <c r="G49" s="453" t="n">
        <v>0</v>
      </c>
      <c r="H49" s="453" t="n">
        <v>0</v>
      </c>
      <c r="I49" s="453" t="n">
        <v>0</v>
      </c>
      <c r="J49" s="453" t="n">
        <v>0</v>
      </c>
      <c r="K49" s="454">
        <f>SUM(C49:J49)</f>
        <v/>
      </c>
    </row>
    <row r="50" ht="12.75" customHeight="1" s="355">
      <c r="A50" s="377" t="n"/>
      <c r="B50" s="454" t="n"/>
      <c r="C50" s="453" t="n"/>
      <c r="D50" s="453" t="n"/>
      <c r="E50" s="453" t="n"/>
      <c r="F50" s="453" t="n"/>
      <c r="G50" s="453" t="n"/>
      <c r="H50" s="453" t="n"/>
      <c r="I50" s="453" t="n"/>
      <c r="J50" s="453" t="n"/>
      <c r="K50" s="454" t="n"/>
    </row>
    <row r="51" ht="12.75" customHeight="1" s="355">
      <c r="A51" s="377" t="n"/>
      <c r="B51" s="378" t="inlineStr">
        <is>
          <t>Requistion to Pay</t>
        </is>
      </c>
      <c r="C51" s="453" t="n">
        <v>0</v>
      </c>
      <c r="D51" s="453" t="n">
        <v>0</v>
      </c>
      <c r="E51" s="453" t="n">
        <v>0</v>
      </c>
      <c r="F51" s="453" t="n">
        <v>0</v>
      </c>
      <c r="G51" s="453" t="n">
        <v>0</v>
      </c>
      <c r="H51" s="453" t="n">
        <v>0</v>
      </c>
      <c r="I51" s="453" t="n">
        <v>0</v>
      </c>
      <c r="J51" s="453" t="n">
        <v>0</v>
      </c>
      <c r="K51" s="454">
        <f>SUM(C51:J51)</f>
        <v/>
      </c>
    </row>
    <row r="52" ht="13.5" customHeight="1" s="355">
      <c r="A52" s="455" t="n"/>
      <c r="B52" s="456" t="n"/>
      <c r="C52" s="453" t="n"/>
      <c r="D52" s="453" t="n"/>
      <c r="E52" s="453" t="n"/>
      <c r="F52" s="453" t="n"/>
      <c r="G52" s="453" t="n"/>
      <c r="H52" s="453" t="n"/>
      <c r="I52" s="453" t="n"/>
      <c r="J52" s="453" t="n"/>
      <c r="K52" s="457" t="n"/>
    </row>
    <row r="53" ht="13.5" customHeight="1" s="355">
      <c r="A53" s="458" t="inlineStr">
        <is>
          <t>TOTAL INVESTMENTS</t>
        </is>
      </c>
      <c r="B53" s="459" t="n"/>
      <c r="C53" s="460">
        <f>SUM(C40:C52)</f>
        <v/>
      </c>
      <c r="D53" s="461">
        <f>SUM(D40:D52)</f>
        <v/>
      </c>
      <c r="E53" s="461">
        <f>SUM(E40:E52)</f>
        <v/>
      </c>
      <c r="F53" s="461">
        <f>SUM(F40:F52)</f>
        <v/>
      </c>
      <c r="G53" s="461">
        <f>SUM(G40:G52)</f>
        <v/>
      </c>
      <c r="H53" s="461">
        <f>SUM(H40:H52)</f>
        <v/>
      </c>
      <c r="I53" s="461">
        <f>SUM(I40:I52)</f>
        <v/>
      </c>
      <c r="J53" s="461">
        <f>SUM(J40:J52)</f>
        <v/>
      </c>
      <c r="K53" s="462">
        <f>SUM(K40:K52)</f>
        <v/>
      </c>
    </row>
    <row r="54"/>
    <row r="55"/>
    <row r="56" ht="19.5" customHeight="1" s="355">
      <c r="A56" s="445" t="inlineStr">
        <is>
          <t>Pass through -Scanning and Archiving</t>
        </is>
      </c>
    </row>
    <row r="57" ht="13.5" customHeight="1" s="355">
      <c r="A57" s="447" t="n"/>
      <c r="B57" s="369" t="inlineStr">
        <is>
          <t>Category of Service</t>
        </is>
      </c>
      <c r="C57" s="448" t="inlineStr">
        <is>
          <t>Year 1</t>
        </is>
      </c>
      <c r="D57" s="448" t="inlineStr">
        <is>
          <t>Year 2</t>
        </is>
      </c>
      <c r="E57" s="448" t="inlineStr">
        <is>
          <t>Year 3</t>
        </is>
      </c>
      <c r="F57" s="448" t="inlineStr">
        <is>
          <t>Year 4</t>
        </is>
      </c>
      <c r="G57" s="448" t="inlineStr">
        <is>
          <t>Year 5</t>
        </is>
      </c>
      <c r="H57" s="448" t="inlineStr">
        <is>
          <t>Year 6</t>
        </is>
      </c>
      <c r="I57" s="448" t="inlineStr">
        <is>
          <t>Year 7</t>
        </is>
      </c>
      <c r="J57" s="448" t="inlineStr">
        <is>
          <t>Year 8</t>
        </is>
      </c>
      <c r="K57" s="449" t="inlineStr">
        <is>
          <t>Total</t>
        </is>
      </c>
    </row>
    <row r="58" ht="12.75" customHeight="1" s="355">
      <c r="A58" s="373" t="n"/>
      <c r="B58" s="450" t="n"/>
      <c r="C58" s="451" t="n"/>
      <c r="D58" s="451" t="n"/>
      <c r="E58" s="451" t="n"/>
      <c r="F58" s="451" t="n"/>
      <c r="G58" s="451" t="n"/>
      <c r="H58" s="451" t="n"/>
      <c r="I58" s="451" t="n"/>
      <c r="J58" s="451" t="n"/>
      <c r="K58" s="452" t="n"/>
    </row>
    <row r="59" ht="12.75" customHeight="1" s="355">
      <c r="A59" s="377" t="n"/>
      <c r="B59" s="378" t="inlineStr">
        <is>
          <t>General Accounting &amp; Sox</t>
        </is>
      </c>
      <c r="C59" s="453" t="n">
        <v>0</v>
      </c>
      <c r="D59" s="453" t="n">
        <v>0</v>
      </c>
      <c r="E59" s="453" t="n">
        <v>0</v>
      </c>
      <c r="F59" s="453" t="n">
        <v>0</v>
      </c>
      <c r="G59" s="453" t="n">
        <v>0</v>
      </c>
      <c r="H59" s="453" t="n">
        <v>0</v>
      </c>
      <c r="I59" s="453" t="n">
        <v>0</v>
      </c>
      <c r="J59" s="453" t="n">
        <v>0</v>
      </c>
      <c r="K59" s="454">
        <f>SUM(C59:J59)</f>
        <v/>
      </c>
    </row>
    <row r="60" ht="12.75" customHeight="1" s="355">
      <c r="A60" s="377" t="n"/>
      <c r="B60" s="454" t="n"/>
      <c r="C60" s="453" t="n"/>
      <c r="D60" s="453" t="n"/>
      <c r="E60" s="453" t="n"/>
      <c r="F60" s="453" t="n"/>
      <c r="G60" s="453" t="n"/>
      <c r="H60" s="453" t="n"/>
      <c r="I60" s="453" t="n"/>
      <c r="J60" s="453" t="n"/>
      <c r="K60" s="454" t="n"/>
    </row>
    <row r="61" ht="12.75" customHeight="1" s="355">
      <c r="A61" s="377" t="n"/>
      <c r="B61" s="378" t="inlineStr">
        <is>
          <t>Fixed Assets</t>
        </is>
      </c>
      <c r="C61" s="453" t="n">
        <v>0</v>
      </c>
      <c r="D61" s="453" t="n">
        <v>0</v>
      </c>
      <c r="E61" s="453" t="n">
        <v>0</v>
      </c>
      <c r="F61" s="453" t="n">
        <v>0</v>
      </c>
      <c r="G61" s="453" t="n">
        <v>0</v>
      </c>
      <c r="H61" s="453" t="n">
        <v>0</v>
      </c>
      <c r="I61" s="453" t="n">
        <v>0</v>
      </c>
      <c r="J61" s="453" t="n">
        <v>0</v>
      </c>
      <c r="K61" s="454">
        <f>SUM(C61:J61)</f>
        <v/>
      </c>
    </row>
    <row r="62" ht="12.75" customHeight="1" s="355">
      <c r="A62" s="377" t="n"/>
      <c r="B62" s="454" t="n"/>
      <c r="C62" s="453" t="n"/>
      <c r="D62" s="453" t="n"/>
      <c r="E62" s="453" t="n"/>
      <c r="F62" s="453" t="n"/>
      <c r="G62" s="453" t="n"/>
      <c r="H62" s="453" t="n"/>
      <c r="I62" s="453" t="n"/>
      <c r="J62" s="453" t="n"/>
      <c r="K62" s="454" t="n"/>
    </row>
    <row r="63" ht="12.75" customHeight="1" s="355">
      <c r="A63" s="377" t="n"/>
      <c r="B63" s="378" t="inlineStr">
        <is>
          <t>Accounts Payable</t>
        </is>
      </c>
      <c r="C63" s="453">
        <f>C143+C152+C126</f>
        <v/>
      </c>
      <c r="D63" s="453">
        <f>D143+D152</f>
        <v/>
      </c>
      <c r="E63" s="453">
        <f>E143+E152</f>
        <v/>
      </c>
      <c r="F63" s="453">
        <f>F143+F152</f>
        <v/>
      </c>
      <c r="G63" s="453">
        <f>G143+G152</f>
        <v/>
      </c>
      <c r="H63" s="453">
        <f>H143+H152</f>
        <v/>
      </c>
      <c r="I63" s="453">
        <f>I143+I152</f>
        <v/>
      </c>
      <c r="J63" s="453">
        <f>J143+J152</f>
        <v/>
      </c>
      <c r="K63" s="454">
        <f>SUM(C63:J63)</f>
        <v/>
      </c>
    </row>
    <row r="64" ht="12.75" customHeight="1" s="355">
      <c r="A64" s="377" t="n"/>
      <c r="B64" s="454" t="n"/>
      <c r="C64" s="453" t="n"/>
      <c r="D64" s="453" t="n"/>
      <c r="E64" s="453" t="n"/>
      <c r="F64" s="453" t="n"/>
      <c r="G64" s="453" t="n"/>
      <c r="H64" s="453" t="n"/>
      <c r="I64" s="453" t="n"/>
      <c r="J64" s="453" t="n"/>
      <c r="K64" s="454" t="n"/>
    </row>
    <row r="65" ht="15" customHeight="1" s="355">
      <c r="A65" s="377" t="n"/>
      <c r="B65" s="378" t="inlineStr">
        <is>
          <t>T&amp;E</t>
        </is>
      </c>
      <c r="C65" s="453">
        <f>C146</f>
        <v/>
      </c>
      <c r="D65" s="453">
        <f>D146</f>
        <v/>
      </c>
      <c r="E65" s="453">
        <f>E146</f>
        <v/>
      </c>
      <c r="F65" s="453">
        <f>F146</f>
        <v/>
      </c>
      <c r="G65" s="453">
        <f>G146</f>
        <v/>
      </c>
      <c r="H65" s="453">
        <f>H146</f>
        <v/>
      </c>
      <c r="I65" s="453">
        <f>I146</f>
        <v/>
      </c>
      <c r="J65" s="453">
        <f>J146</f>
        <v/>
      </c>
      <c r="K65" s="454">
        <f>SUM(C65:J65)</f>
        <v/>
      </c>
    </row>
    <row r="66" ht="15" customHeight="1" s="355">
      <c r="A66" s="377" t="n"/>
      <c r="B66" s="454" t="n"/>
      <c r="C66" s="453" t="n"/>
      <c r="D66" s="453" t="n"/>
      <c r="E66" s="453" t="n"/>
      <c r="F66" s="453" t="n"/>
      <c r="G66" s="453" t="n"/>
      <c r="H66" s="453" t="n"/>
      <c r="I66" s="453" t="n"/>
      <c r="J66" s="453" t="n"/>
      <c r="K66" s="454" t="n"/>
    </row>
    <row r="67" ht="15" customHeight="1" s="355">
      <c r="A67" s="377" t="n"/>
      <c r="B67" s="378" t="inlineStr">
        <is>
          <t>Order to Cash</t>
        </is>
      </c>
      <c r="C67" s="453" t="n">
        <v>0</v>
      </c>
      <c r="D67" s="453" t="n">
        <v>0</v>
      </c>
      <c r="E67" s="453" t="n">
        <v>0</v>
      </c>
      <c r="F67" s="453" t="n">
        <v>0</v>
      </c>
      <c r="G67" s="453" t="n">
        <v>0</v>
      </c>
      <c r="H67" s="453" t="n">
        <v>0</v>
      </c>
      <c r="I67" s="453" t="n">
        <v>0</v>
      </c>
      <c r="J67" s="453" t="n">
        <v>0</v>
      </c>
      <c r="K67" s="454">
        <f>SUM(C67:J67)</f>
        <v/>
      </c>
    </row>
    <row r="68" ht="15" customHeight="1" s="355">
      <c r="A68" s="377" t="n"/>
      <c r="B68" s="454" t="n"/>
      <c r="C68" s="453" t="n"/>
      <c r="D68" s="453" t="n"/>
      <c r="E68" s="453" t="n"/>
      <c r="F68" s="453" t="n"/>
      <c r="G68" s="453" t="n"/>
      <c r="H68" s="453" t="n"/>
      <c r="I68" s="453" t="n"/>
      <c r="J68" s="453" t="n"/>
      <c r="K68" s="454" t="n"/>
    </row>
    <row r="69" ht="15" customHeight="1" s="355">
      <c r="A69" s="377" t="n"/>
      <c r="B69" s="378" t="inlineStr">
        <is>
          <t>Requistion to Pay</t>
        </is>
      </c>
      <c r="C69" s="453" t="n">
        <v>0</v>
      </c>
      <c r="D69" s="453" t="n">
        <v>0</v>
      </c>
      <c r="E69" s="453" t="n">
        <v>0</v>
      </c>
      <c r="F69" s="453" t="n">
        <v>0</v>
      </c>
      <c r="G69" s="453" t="n">
        <v>0</v>
      </c>
      <c r="H69" s="453" t="n">
        <v>0</v>
      </c>
      <c r="I69" s="453" t="n">
        <v>0</v>
      </c>
      <c r="J69" s="453" t="n">
        <v>0</v>
      </c>
      <c r="K69" s="454">
        <f>SUM(C69:J69)</f>
        <v/>
      </c>
    </row>
    <row r="70" ht="15.75" customHeight="1" s="355">
      <c r="A70" s="455" t="n"/>
      <c r="B70" s="456" t="n"/>
      <c r="C70" s="453" t="n"/>
      <c r="D70" s="453" t="n"/>
      <c r="E70" s="453" t="n"/>
      <c r="F70" s="453" t="n"/>
      <c r="G70" s="453" t="n"/>
      <c r="H70" s="453" t="n"/>
      <c r="I70" s="453" t="n"/>
      <c r="J70" s="453" t="n"/>
      <c r="K70" s="457" t="n"/>
    </row>
    <row r="71" ht="15.75" customHeight="1" s="355">
      <c r="A71" s="458" t="inlineStr">
        <is>
          <t>TOTAL INVESTMENTS</t>
        </is>
      </c>
      <c r="B71" s="459" t="n"/>
      <c r="C71" s="460">
        <f>SUM(C58:C70)</f>
        <v/>
      </c>
      <c r="D71" s="461">
        <f>SUM(D58:D70)</f>
        <v/>
      </c>
      <c r="E71" s="461">
        <f>SUM(E58:E70)</f>
        <v/>
      </c>
      <c r="F71" s="461">
        <f>SUM(F58:F70)</f>
        <v/>
      </c>
      <c r="G71" s="461">
        <f>SUM(G58:G70)</f>
        <v/>
      </c>
      <c r="H71" s="461">
        <f>SUM(H58:H70)</f>
        <v/>
      </c>
      <c r="I71" s="461">
        <f>SUM(I58:I70)</f>
        <v/>
      </c>
      <c r="J71" s="461">
        <f>SUM(J58:J70)</f>
        <v/>
      </c>
      <c r="K71" s="462">
        <f>SUM(K58:K70)</f>
        <v/>
      </c>
    </row>
    <row r="72" ht="15" customHeight="1" s="355"/>
    <row r="73" ht="15" customHeight="1" s="355"/>
    <row r="74" ht="19.5" customHeight="1" s="355">
      <c r="A74" s="445" t="inlineStr">
        <is>
          <t>Pass through -MPLS connection</t>
        </is>
      </c>
    </row>
    <row r="75" ht="13.5" customHeight="1" s="355">
      <c r="A75" s="447" t="n"/>
      <c r="B75" s="369" t="inlineStr">
        <is>
          <t>Category of Service</t>
        </is>
      </c>
      <c r="C75" s="448" t="inlineStr">
        <is>
          <t>Year 1</t>
        </is>
      </c>
      <c r="D75" s="448" t="inlineStr">
        <is>
          <t>Year 2</t>
        </is>
      </c>
      <c r="E75" s="448" t="inlineStr">
        <is>
          <t>Year 3</t>
        </is>
      </c>
      <c r="F75" s="448" t="inlineStr">
        <is>
          <t>Year 4</t>
        </is>
      </c>
      <c r="G75" s="448" t="inlineStr">
        <is>
          <t>Year 5</t>
        </is>
      </c>
      <c r="H75" s="448" t="inlineStr">
        <is>
          <t>Year 6</t>
        </is>
      </c>
      <c r="I75" s="448" t="inlineStr">
        <is>
          <t>Year 7</t>
        </is>
      </c>
      <c r="J75" s="448" t="inlineStr">
        <is>
          <t>Year 8</t>
        </is>
      </c>
      <c r="K75" s="449" t="inlineStr">
        <is>
          <t>Total</t>
        </is>
      </c>
    </row>
    <row r="76" ht="12.75" customHeight="1" s="355">
      <c r="A76" s="373" t="n"/>
      <c r="B76" s="450" t="n"/>
      <c r="C76" s="451" t="n"/>
      <c r="D76" s="451" t="n"/>
      <c r="E76" s="451" t="n"/>
      <c r="F76" s="451" t="n"/>
      <c r="G76" s="451" t="n"/>
      <c r="H76" s="451" t="n"/>
      <c r="I76" s="451" t="n"/>
      <c r="J76" s="451" t="n"/>
      <c r="K76" s="452" t="n"/>
    </row>
    <row r="77" ht="12.75" customHeight="1" s="355">
      <c r="A77" s="377" t="n"/>
      <c r="B77" s="378" t="inlineStr">
        <is>
          <t>General Accounting &amp; Sox</t>
        </is>
      </c>
      <c r="C77" s="453">
        <f>$C$156*$C$158*'Centre One-FTE'!C4+'Pass-Thro-Charges'!$C$157*'Pass-Thro-Charges'!$C$158*'Centre Two-FTE'!C4</f>
        <v/>
      </c>
      <c r="D77" s="453">
        <f>$C$156*$C$158*'Centre One-FTE'!D4+'Pass-Thro-Charges'!$C$157*'Pass-Thro-Charges'!$C$158*'Centre Two-FTE'!D4</f>
        <v/>
      </c>
      <c r="E77" s="453">
        <f>$C$156*$C$158*'Centre One-FTE'!E4+'Pass-Thro-Charges'!$C$157*'Pass-Thro-Charges'!$C$158*'Centre Two-FTE'!E4</f>
        <v/>
      </c>
      <c r="F77" s="453">
        <f>$C$156*$C$158*'Centre One-FTE'!F4+'Pass-Thro-Charges'!$C$157*'Pass-Thro-Charges'!$C$158*'Centre Two-FTE'!F4</f>
        <v/>
      </c>
      <c r="G77" s="453">
        <f>$C$156*$C$158*'Centre One-FTE'!G4+'Pass-Thro-Charges'!$C$157*'Pass-Thro-Charges'!$C$158*'Centre Two-FTE'!G4</f>
        <v/>
      </c>
      <c r="H77" s="453">
        <f>$C$156*$C$158*'Centre One-FTE'!H4+'Pass-Thro-Charges'!$C$157*'Pass-Thro-Charges'!$C$158*'Centre Two-FTE'!H4</f>
        <v/>
      </c>
      <c r="I77" s="453">
        <f>$C$156*$C$158*'Centre One-FTE'!I4+'Pass-Thro-Charges'!$C$157*'Pass-Thro-Charges'!$C$158*'Centre Two-FTE'!I4</f>
        <v/>
      </c>
      <c r="J77" s="453">
        <f>($C$156*$C$158*'Centre One-FTE'!J4+'Pass-Thro-Charges'!$C$157*'Pass-Thro-Charges'!$C$158*'Centre Two-FTE'!J4)/12</f>
        <v/>
      </c>
      <c r="K77" s="454">
        <f>SUM(C77:J77)</f>
        <v/>
      </c>
    </row>
    <row r="78" ht="12.75" customHeight="1" s="355">
      <c r="A78" s="377" t="n"/>
      <c r="B78" s="454" t="n"/>
      <c r="C78" s="453" t="n"/>
      <c r="D78" s="453" t="n"/>
      <c r="E78" s="453" t="n"/>
      <c r="F78" s="453" t="n"/>
      <c r="G78" s="453" t="n"/>
      <c r="H78" s="453" t="n"/>
      <c r="I78" s="453" t="n"/>
      <c r="J78" s="453" t="n">
        <v>0</v>
      </c>
      <c r="K78" s="454" t="n"/>
    </row>
    <row r="79" ht="12.75" customHeight="1" s="355">
      <c r="A79" s="377" t="n"/>
      <c r="B79" s="378" t="inlineStr">
        <is>
          <t>Fixed Assets</t>
        </is>
      </c>
      <c r="C79" s="453">
        <f>$C$156*$C$158*'Centre One-FTE'!C5+'Pass-Thro-Charges'!$C$157*'Pass-Thro-Charges'!$C$158*'Centre Two-FTE'!C5</f>
        <v/>
      </c>
      <c r="D79" s="453">
        <f>$C$156*$C$158*'Centre One-FTE'!D5+'Pass-Thro-Charges'!$C$157*'Pass-Thro-Charges'!$C$158*'Centre Two-FTE'!D5</f>
        <v/>
      </c>
      <c r="E79" s="453">
        <f>$C$156*$C$158*'Centre One-FTE'!E5+'Pass-Thro-Charges'!$C$157*'Pass-Thro-Charges'!$C$158*'Centre Two-FTE'!E5</f>
        <v/>
      </c>
      <c r="F79" s="453">
        <f>$C$156*$C$158*'Centre One-FTE'!F5+'Pass-Thro-Charges'!$C$157*'Pass-Thro-Charges'!$C$158*'Centre Two-FTE'!F5</f>
        <v/>
      </c>
      <c r="G79" s="453">
        <f>$C$156*$C$158*'Centre One-FTE'!G5+'Pass-Thro-Charges'!$C$157*'Pass-Thro-Charges'!$C$158*'Centre Two-FTE'!G5</f>
        <v/>
      </c>
      <c r="H79" s="453">
        <f>$C$156*$C$158*'Centre One-FTE'!H5+'Pass-Thro-Charges'!$C$157*'Pass-Thro-Charges'!$C$158*'Centre Two-FTE'!H5</f>
        <v/>
      </c>
      <c r="I79" s="453">
        <f>$C$156*$C$158*'Centre One-FTE'!I5+'Pass-Thro-Charges'!$C$157*'Pass-Thro-Charges'!$C$158*'Centre Two-FTE'!I5</f>
        <v/>
      </c>
      <c r="J79" s="453">
        <f>($C$156*$C$158*'Centre One-FTE'!J5+'Pass-Thro-Charges'!$C$157*'Pass-Thro-Charges'!$C$158*'Centre Two-FTE'!J5)/12</f>
        <v/>
      </c>
      <c r="K79" s="454">
        <f>SUM(C79:J79)</f>
        <v/>
      </c>
    </row>
    <row r="80" ht="12.75" customHeight="1" s="355">
      <c r="A80" s="377" t="n"/>
      <c r="B80" s="454" t="n"/>
      <c r="C80" s="453" t="n"/>
      <c r="D80" s="453" t="n"/>
      <c r="E80" s="453" t="n"/>
      <c r="F80" s="453" t="n"/>
      <c r="G80" s="453" t="n"/>
      <c r="H80" s="453" t="n"/>
      <c r="I80" s="453" t="n"/>
      <c r="J80" s="453" t="n">
        <v>0</v>
      </c>
      <c r="K80" s="454" t="n"/>
    </row>
    <row r="81" ht="12.75" customHeight="1" s="355">
      <c r="A81" s="377" t="n"/>
      <c r="B81" s="378" t="inlineStr">
        <is>
          <t>Accounts Payable</t>
        </is>
      </c>
      <c r="C81" s="453">
        <f>$C$156*$C$158*'Centre One-FTE'!C6+'Pass-Thro-Charges'!$C$157*'Pass-Thro-Charges'!$C$158*'Centre Two-FTE'!C6</f>
        <v/>
      </c>
      <c r="D81" s="453">
        <f>$C$156*$C$158*'Centre One-FTE'!D6+'Pass-Thro-Charges'!$C$157*'Pass-Thro-Charges'!$C$158*'Centre Two-FTE'!D6</f>
        <v/>
      </c>
      <c r="E81" s="453">
        <f>$C$156*$C$158*'Centre One-FTE'!E6+'Pass-Thro-Charges'!$C$157*'Pass-Thro-Charges'!$C$158*'Centre Two-FTE'!E6</f>
        <v/>
      </c>
      <c r="F81" s="453">
        <f>$C$156*$C$158*'Centre One-FTE'!F6+'Pass-Thro-Charges'!$C$157*'Pass-Thro-Charges'!$C$158*'Centre Two-FTE'!F6</f>
        <v/>
      </c>
      <c r="G81" s="453">
        <f>$C$156*$C$158*'Centre One-FTE'!G6+'Pass-Thro-Charges'!$C$157*'Pass-Thro-Charges'!$C$158*'Centre Two-FTE'!G6</f>
        <v/>
      </c>
      <c r="H81" s="453">
        <f>$C$156*$C$158*'Centre One-FTE'!H6+'Pass-Thro-Charges'!$C$157*'Pass-Thro-Charges'!$C$158*'Centre Two-FTE'!H6</f>
        <v/>
      </c>
      <c r="I81" s="453">
        <f>$C$156*$C$158*'Centre One-FTE'!I6+'Pass-Thro-Charges'!$C$157*'Pass-Thro-Charges'!$C$158*'Centre Two-FTE'!I6</f>
        <v/>
      </c>
      <c r="J81" s="453">
        <f>($C$156*$C$158*'Centre One-FTE'!J6+'Pass-Thro-Charges'!$C$157*'Pass-Thro-Charges'!$C$158*'Centre Two-FTE'!J6)/12</f>
        <v/>
      </c>
      <c r="K81" s="454">
        <f>SUM(C81:J81)</f>
        <v/>
      </c>
    </row>
    <row r="82" ht="12.75" customHeight="1" s="355">
      <c r="A82" s="377" t="n"/>
      <c r="B82" s="454" t="n"/>
      <c r="C82" s="453" t="n"/>
      <c r="D82" s="453" t="n"/>
      <c r="E82" s="453" t="n"/>
      <c r="F82" s="453" t="n"/>
      <c r="G82" s="453" t="n"/>
      <c r="H82" s="453" t="n"/>
      <c r="I82" s="453" t="n"/>
      <c r="J82" s="453" t="n">
        <v>0</v>
      </c>
      <c r="K82" s="454" t="n"/>
    </row>
    <row r="83" ht="12.75" customHeight="1" s="355">
      <c r="A83" s="377" t="n"/>
      <c r="B83" s="378" t="inlineStr">
        <is>
          <t>T&amp;E</t>
        </is>
      </c>
      <c r="C83" s="453">
        <f>$C$156*$C$158*'Centre One-FTE'!C7+'Pass-Thro-Charges'!$C$157*'Pass-Thro-Charges'!$C$158*'Centre Two-FTE'!C7</f>
        <v/>
      </c>
      <c r="D83" s="453">
        <f>$C$156*$C$158*'Centre One-FTE'!D7+'Pass-Thro-Charges'!$C$157*'Pass-Thro-Charges'!$C$158*'Centre Two-FTE'!D7</f>
        <v/>
      </c>
      <c r="E83" s="453">
        <f>$C$156*$C$158*'Centre One-FTE'!E7+'Pass-Thro-Charges'!$C$157*'Pass-Thro-Charges'!$C$158*'Centre Two-FTE'!E7</f>
        <v/>
      </c>
      <c r="F83" s="453">
        <f>$C$156*$C$158*'Centre One-FTE'!F7+'Pass-Thro-Charges'!$C$157*'Pass-Thro-Charges'!$C$158*'Centre Two-FTE'!F7</f>
        <v/>
      </c>
      <c r="G83" s="453">
        <f>$C$156*$C$158*'Centre One-FTE'!G7+'Pass-Thro-Charges'!$C$157*'Pass-Thro-Charges'!$C$158*'Centre Two-FTE'!G7</f>
        <v/>
      </c>
      <c r="H83" s="453">
        <f>$C$156*$C$158*'Centre One-FTE'!H7+'Pass-Thro-Charges'!$C$157*'Pass-Thro-Charges'!$C$158*'Centre Two-FTE'!H7</f>
        <v/>
      </c>
      <c r="I83" s="453">
        <f>$C$156*$C$158*'Centre One-FTE'!I7+'Pass-Thro-Charges'!$C$157*'Pass-Thro-Charges'!$C$158*'Centre Two-FTE'!I7</f>
        <v/>
      </c>
      <c r="J83" s="453">
        <f>($C$156*$C$158*'Centre One-FTE'!J7+'Pass-Thro-Charges'!$C$157*'Pass-Thro-Charges'!$C$158*'Centre Two-FTE'!J7)/12</f>
        <v/>
      </c>
      <c r="K83" s="454">
        <f>SUM(C83:J83)</f>
        <v/>
      </c>
    </row>
    <row r="84" ht="12.75" customHeight="1" s="355">
      <c r="A84" s="377" t="n"/>
      <c r="B84" s="454" t="n"/>
      <c r="C84" s="453" t="n"/>
      <c r="D84" s="453" t="n"/>
      <c r="E84" s="453" t="n"/>
      <c r="F84" s="453" t="n"/>
      <c r="G84" s="453" t="n"/>
      <c r="H84" s="453" t="n"/>
      <c r="I84" s="453" t="n"/>
      <c r="J84" s="453" t="n">
        <v>0</v>
      </c>
      <c r="K84" s="454" t="n"/>
    </row>
    <row r="85" ht="12.75" customHeight="1" s="355">
      <c r="A85" s="377" t="n"/>
      <c r="B85" s="378" t="inlineStr">
        <is>
          <t>Order to Cash</t>
        </is>
      </c>
      <c r="C85" s="453">
        <f>$C$156*$C$158*'Centre One-FTE'!C8+'Pass-Thro-Charges'!$C$157*'Pass-Thro-Charges'!$C$158*'Centre Two-FTE'!C8</f>
        <v/>
      </c>
      <c r="D85" s="453">
        <f>$C$156*$C$158*'Centre One-FTE'!D8+'Pass-Thro-Charges'!$C$157*'Pass-Thro-Charges'!$C$158*'Centre Two-FTE'!D8</f>
        <v/>
      </c>
      <c r="E85" s="453">
        <f>$C$156*$C$158*'Centre One-FTE'!E8+'Pass-Thro-Charges'!$C$157*'Pass-Thro-Charges'!$C$158*'Centre Two-FTE'!E8</f>
        <v/>
      </c>
      <c r="F85" s="453">
        <f>$C$156*$C$158*'Centre One-FTE'!F8+'Pass-Thro-Charges'!$C$157*'Pass-Thro-Charges'!$C$158*'Centre Two-FTE'!F8</f>
        <v/>
      </c>
      <c r="G85" s="453">
        <f>$C$156*$C$158*'Centre One-FTE'!G8+'Pass-Thro-Charges'!$C$157*'Pass-Thro-Charges'!$C$158*'Centre Two-FTE'!G8</f>
        <v/>
      </c>
      <c r="H85" s="453">
        <f>$C$156*$C$158*'Centre One-FTE'!H8+'Pass-Thro-Charges'!$C$157*'Pass-Thro-Charges'!$C$158*'Centre Two-FTE'!H8</f>
        <v/>
      </c>
      <c r="I85" s="453">
        <f>$C$156*$C$158*'Centre One-FTE'!I8+'Pass-Thro-Charges'!$C$157*'Pass-Thro-Charges'!$C$158*'Centre Two-FTE'!I8</f>
        <v/>
      </c>
      <c r="J85" s="453">
        <f>($C$156*$C$158*'Centre One-FTE'!J8+'Pass-Thro-Charges'!$C$157*'Pass-Thro-Charges'!$C$158*'Centre Two-FTE'!J8)/12</f>
        <v/>
      </c>
      <c r="K85" s="454">
        <f>SUM(C85:J85)</f>
        <v/>
      </c>
    </row>
    <row r="86" ht="12.75" customHeight="1" s="355">
      <c r="A86" s="377" t="n"/>
      <c r="B86" s="454" t="n"/>
      <c r="C86" s="453" t="n"/>
      <c r="D86" s="453" t="n"/>
      <c r="E86" s="453" t="n"/>
      <c r="F86" s="453" t="n"/>
      <c r="G86" s="453" t="n"/>
      <c r="H86" s="453" t="n"/>
      <c r="I86" s="453" t="n"/>
      <c r="J86" s="453" t="n">
        <v>0</v>
      </c>
      <c r="K86" s="454" t="n"/>
    </row>
    <row r="87" ht="12.75" customHeight="1" s="355">
      <c r="A87" s="377" t="n"/>
      <c r="B87" s="378" t="inlineStr">
        <is>
          <t>Requistion to Pay</t>
        </is>
      </c>
      <c r="C87" s="453">
        <f>$C$156*$C$158*'Centre One-FTE'!C9+'Pass-Thro-Charges'!$C$157*'Pass-Thro-Charges'!$C$158*'Centre Two-FTE'!C9</f>
        <v/>
      </c>
      <c r="D87" s="453">
        <f>$C$156*$C$158*'Centre One-FTE'!D9+'Pass-Thro-Charges'!$C$157*'Pass-Thro-Charges'!$C$158*'Centre Two-FTE'!D9</f>
        <v/>
      </c>
      <c r="E87" s="453">
        <f>$C$156*$C$158*'Centre One-FTE'!E9+'Pass-Thro-Charges'!$C$157*'Pass-Thro-Charges'!$C$158*'Centre Two-FTE'!E9</f>
        <v/>
      </c>
      <c r="F87" s="453">
        <f>$C$156*$C$158*'Centre One-FTE'!F9+'Pass-Thro-Charges'!$C$157*'Pass-Thro-Charges'!$C$158*'Centre Two-FTE'!F9</f>
        <v/>
      </c>
      <c r="G87" s="453">
        <f>$C$156*$C$158*'Centre One-FTE'!G9+'Pass-Thro-Charges'!$C$157*'Pass-Thro-Charges'!$C$158*'Centre Two-FTE'!G9</f>
        <v/>
      </c>
      <c r="H87" s="453">
        <f>$C$156*$C$158*'Centre One-FTE'!H9+'Pass-Thro-Charges'!$C$157*'Pass-Thro-Charges'!$C$158*'Centre Two-FTE'!H9</f>
        <v/>
      </c>
      <c r="I87" s="453">
        <f>$C$156*$C$158*'Centre One-FTE'!I9+'Pass-Thro-Charges'!$C$157*'Pass-Thro-Charges'!$C$158*'Centre Two-FTE'!I9</f>
        <v/>
      </c>
      <c r="J87" s="453">
        <f>($C$156*$C$158*'Centre One-FTE'!J9+'Pass-Thro-Charges'!$C$157*'Pass-Thro-Charges'!$C$158*'Centre Two-FTE'!J9)/12</f>
        <v/>
      </c>
      <c r="K87" s="454">
        <f>SUM(C87:J87)</f>
        <v/>
      </c>
    </row>
    <row r="88" ht="13.5" customHeight="1" s="355">
      <c r="A88" s="455" t="n"/>
      <c r="B88" s="456" t="n"/>
      <c r="C88" s="453" t="n"/>
      <c r="D88" s="453" t="n"/>
      <c r="E88" s="453" t="n"/>
      <c r="F88" s="453" t="n"/>
      <c r="G88" s="453" t="n"/>
      <c r="H88" s="453" t="n"/>
      <c r="I88" s="453" t="n"/>
      <c r="J88" s="453" t="n"/>
      <c r="K88" s="457" t="n"/>
    </row>
    <row r="89" ht="13.5" customHeight="1" s="355">
      <c r="A89" s="458" t="inlineStr">
        <is>
          <t>TOTAL INVESTMENTS</t>
        </is>
      </c>
      <c r="B89" s="459" t="n"/>
      <c r="C89" s="460">
        <f>SUM(C76:C88)</f>
        <v/>
      </c>
      <c r="D89" s="461">
        <f>SUM(D76:D88)</f>
        <v/>
      </c>
      <c r="E89" s="461">
        <f>SUM(E76:E88)</f>
        <v/>
      </c>
      <c r="F89" s="461">
        <f>SUM(F76:F88)</f>
        <v/>
      </c>
      <c r="G89" s="461">
        <f>SUM(G76:G88)</f>
        <v/>
      </c>
      <c r="H89" s="461">
        <f>SUM(H76:H88)</f>
        <v/>
      </c>
      <c r="I89" s="461">
        <f>SUM(I76:I88)</f>
        <v/>
      </c>
      <c r="J89" s="461">
        <f>SUM(J76:J88)</f>
        <v/>
      </c>
      <c r="K89" s="462">
        <f>SUM(K76:K88)</f>
        <v/>
      </c>
    </row>
    <row r="90"/>
    <row r="91"/>
    <row r="92" ht="19.5" customHeight="1" s="355">
      <c r="A92" s="445" t="inlineStr">
        <is>
          <t>Pass through - Leased line from BT to GlobalPharma</t>
        </is>
      </c>
    </row>
    <row r="93" ht="13.5" customHeight="1" s="355">
      <c r="A93" s="447" t="n"/>
      <c r="B93" s="369" t="inlineStr">
        <is>
          <t>Category of Service</t>
        </is>
      </c>
      <c r="C93" s="448" t="inlineStr">
        <is>
          <t>Year 1</t>
        </is>
      </c>
      <c r="D93" s="448" t="inlineStr">
        <is>
          <t>Year 2</t>
        </is>
      </c>
      <c r="E93" s="448" t="inlineStr">
        <is>
          <t>Year 3</t>
        </is>
      </c>
      <c r="F93" s="448" t="inlineStr">
        <is>
          <t>Year 4</t>
        </is>
      </c>
      <c r="G93" s="448" t="inlineStr">
        <is>
          <t>Year 5</t>
        </is>
      </c>
      <c r="H93" s="448" t="inlineStr">
        <is>
          <t>Year 6</t>
        </is>
      </c>
      <c r="I93" s="448" t="inlineStr">
        <is>
          <t>Year 7</t>
        </is>
      </c>
      <c r="J93" s="448" t="inlineStr">
        <is>
          <t>Year 8</t>
        </is>
      </c>
      <c r="K93" s="449" t="inlineStr">
        <is>
          <t>Total</t>
        </is>
      </c>
    </row>
    <row r="94" ht="12.75" customHeight="1" s="355">
      <c r="A94" s="373" t="n"/>
      <c r="B94" s="450" t="n"/>
      <c r="C94" s="451" t="n"/>
      <c r="D94" s="451" t="n"/>
      <c r="E94" s="451" t="n"/>
      <c r="F94" s="451" t="n"/>
      <c r="G94" s="451" t="n"/>
      <c r="H94" s="451" t="n"/>
      <c r="I94" s="451" t="n"/>
      <c r="J94" s="451" t="n"/>
      <c r="K94" s="452" t="n"/>
    </row>
    <row r="95" ht="12.75" customHeight="1" s="355">
      <c r="A95" s="377" t="n"/>
      <c r="B95" s="378" t="inlineStr">
        <is>
          <t>General Accounting &amp; Sox</t>
        </is>
      </c>
      <c r="C95" s="453">
        <f>'Consolidated FTE '!C35*C$164+'Consolidated FTE '!C36*C$169</f>
        <v/>
      </c>
      <c r="D95" s="453">
        <f>'Consolidated FTE '!D35*D$164+'Consolidated FTE '!D36*D$169</f>
        <v/>
      </c>
      <c r="E95" s="453">
        <f>'Consolidated FTE '!E35*E$164+'Consolidated FTE '!E36*E$169</f>
        <v/>
      </c>
      <c r="F95" s="453">
        <f>'Consolidated FTE '!F35*F$164+'Consolidated FTE '!F36*F$169</f>
        <v/>
      </c>
      <c r="G95" s="453">
        <f>'Consolidated FTE '!G35*G$164+'Consolidated FTE '!G36*G$169</f>
        <v/>
      </c>
      <c r="H95" s="453">
        <f>'Consolidated FTE '!H35*H$164+'Consolidated FTE '!H36*H$169</f>
        <v/>
      </c>
      <c r="I95" s="453">
        <f>'Consolidated FTE '!I35*I$164+'Consolidated FTE '!I36*I$169</f>
        <v/>
      </c>
      <c r="J95" s="453">
        <f>('Consolidated FTE '!J35*J$164+'Consolidated FTE '!J36*J$169)/12</f>
        <v/>
      </c>
      <c r="K95" s="454">
        <f>SUM(C95:J95)</f>
        <v/>
      </c>
    </row>
    <row r="96" ht="12.75" customHeight="1" s="355">
      <c r="A96" s="377" t="n"/>
      <c r="B96" s="454" t="n"/>
      <c r="C96" s="453" t="n"/>
      <c r="D96" s="453" t="n"/>
      <c r="E96" s="453" t="n"/>
      <c r="F96" s="453" t="n"/>
      <c r="G96" s="453" t="n"/>
      <c r="H96" s="453" t="n"/>
      <c r="I96" s="453" t="n"/>
      <c r="J96" s="453" t="n">
        <v>0</v>
      </c>
      <c r="K96" s="454" t="n"/>
    </row>
    <row r="97" ht="12.75" customHeight="1" s="355">
      <c r="A97" s="377" t="n"/>
      <c r="B97" s="378" t="inlineStr">
        <is>
          <t>Fixed Assets</t>
        </is>
      </c>
      <c r="C97" s="453">
        <f>'Consolidated FTE '!C39*C$164+'Consolidated FTE '!C40*C$169</f>
        <v/>
      </c>
      <c r="D97" s="453">
        <f>'Consolidated FTE '!D39*D$164+'Consolidated FTE '!D40*D$169</f>
        <v/>
      </c>
      <c r="E97" s="453">
        <f>'Consolidated FTE '!E39*E$164+'Consolidated FTE '!E40*E$169</f>
        <v/>
      </c>
      <c r="F97" s="453">
        <f>'Consolidated FTE '!F39*F$164+'Consolidated FTE '!F40*F$169</f>
        <v/>
      </c>
      <c r="G97" s="453">
        <f>'Consolidated FTE '!G39*G$164+'Consolidated FTE '!G40*G$169</f>
        <v/>
      </c>
      <c r="H97" s="453">
        <f>'Consolidated FTE '!H39*H$164+'Consolidated FTE '!H40*H$169</f>
        <v/>
      </c>
      <c r="I97" s="453">
        <f>'Consolidated FTE '!I39*I$164+'Consolidated FTE '!I40*I$169</f>
        <v/>
      </c>
      <c r="J97" s="453">
        <f>('Consolidated FTE '!J39*J$164+'Consolidated FTE '!J40*J$169)/12</f>
        <v/>
      </c>
      <c r="K97" s="454">
        <f>SUM(C97:J97)</f>
        <v/>
      </c>
    </row>
    <row r="98" ht="12.75" customHeight="1" s="355">
      <c r="A98" s="377" t="n"/>
      <c r="B98" s="454" t="n"/>
      <c r="C98" s="453" t="n"/>
      <c r="D98" s="453" t="n"/>
      <c r="E98" s="453" t="n"/>
      <c r="F98" s="453" t="n"/>
      <c r="G98" s="453" t="n"/>
      <c r="H98" s="453" t="n"/>
      <c r="I98" s="453" t="n"/>
      <c r="J98" s="453" t="n">
        <v>0</v>
      </c>
      <c r="K98" s="454" t="n"/>
    </row>
    <row r="99" ht="12.75" customHeight="1" s="355">
      <c r="A99" s="377" t="n"/>
      <c r="B99" s="378" t="inlineStr">
        <is>
          <t>Accounts Payable</t>
        </is>
      </c>
      <c r="C99" s="453">
        <f>'Consolidated FTE '!C43*C$164+'Consolidated FTE '!C44*C$169</f>
        <v/>
      </c>
      <c r="D99" s="453">
        <f>'Consolidated FTE '!D43*D$164+'Consolidated FTE '!D44*D$169</f>
        <v/>
      </c>
      <c r="E99" s="453">
        <f>'Consolidated FTE '!E43*E$164+'Consolidated FTE '!E44*E$169</f>
        <v/>
      </c>
      <c r="F99" s="453">
        <f>'Consolidated FTE '!F43*F$164+'Consolidated FTE '!F44*F$169</f>
        <v/>
      </c>
      <c r="G99" s="453">
        <f>'Consolidated FTE '!G43*G$164+'Consolidated FTE '!G44*G$169</f>
        <v/>
      </c>
      <c r="H99" s="453">
        <f>'Consolidated FTE '!H43*H$164+'Consolidated FTE '!H44*H$169</f>
        <v/>
      </c>
      <c r="I99" s="453">
        <f>'Consolidated FTE '!I43*I$164+'Consolidated FTE '!I44*I$169</f>
        <v/>
      </c>
      <c r="J99" s="453">
        <f>('Consolidated FTE '!J43*J$164+'Consolidated FTE '!J44*J$169)/12</f>
        <v/>
      </c>
      <c r="K99" s="454">
        <f>SUM(C99:J99)</f>
        <v/>
      </c>
    </row>
    <row r="100" ht="12.75" customHeight="1" s="355">
      <c r="A100" s="377" t="n"/>
      <c r="B100" s="454" t="n"/>
      <c r="C100" s="453" t="n"/>
      <c r="D100" s="453" t="n"/>
      <c r="E100" s="453" t="n"/>
      <c r="F100" s="453" t="n"/>
      <c r="G100" s="453" t="n"/>
      <c r="H100" s="453" t="n"/>
      <c r="I100" s="453" t="n"/>
      <c r="J100" s="453" t="n">
        <v>0</v>
      </c>
      <c r="K100" s="454" t="n"/>
    </row>
    <row r="101" ht="12.75" customHeight="1" s="355">
      <c r="A101" s="377" t="n"/>
      <c r="B101" s="378" t="inlineStr">
        <is>
          <t>T&amp;E</t>
        </is>
      </c>
      <c r="C101" s="453">
        <f>'Consolidated FTE '!C47*C$164+'Consolidated FTE '!C48*C$169</f>
        <v/>
      </c>
      <c r="D101" s="453">
        <f>'Consolidated FTE '!D47*D$164+'Consolidated FTE '!D48*D$169</f>
        <v/>
      </c>
      <c r="E101" s="453">
        <f>'Consolidated FTE '!E47*E$164+'Consolidated FTE '!E48*E$169</f>
        <v/>
      </c>
      <c r="F101" s="453">
        <f>'Consolidated FTE '!F47*F$164+'Consolidated FTE '!F48*F$169</f>
        <v/>
      </c>
      <c r="G101" s="453">
        <f>'Consolidated FTE '!G47*G$164+'Consolidated FTE '!G48*G$169</f>
        <v/>
      </c>
      <c r="H101" s="453">
        <f>'Consolidated FTE '!H47*H$164+'Consolidated FTE '!H48*H$169</f>
        <v/>
      </c>
      <c r="I101" s="453">
        <f>'Consolidated FTE '!I47*I$164+'Consolidated FTE '!I48*I$169</f>
        <v/>
      </c>
      <c r="J101" s="453">
        <f>('Consolidated FTE '!J47*J$164+'Consolidated FTE '!J48*J$169)/12</f>
        <v/>
      </c>
      <c r="K101" s="454">
        <f>SUM(C101:J101)</f>
        <v/>
      </c>
    </row>
    <row r="102" ht="12.75" customHeight="1" s="355">
      <c r="A102" s="377" t="n"/>
      <c r="B102" s="454" t="n"/>
      <c r="C102" s="453" t="n"/>
      <c r="D102" s="453" t="n"/>
      <c r="E102" s="453" t="n"/>
      <c r="F102" s="453" t="n"/>
      <c r="G102" s="453" t="n"/>
      <c r="H102" s="453" t="n"/>
      <c r="I102" s="453" t="n"/>
      <c r="J102" s="453" t="n">
        <v>0</v>
      </c>
      <c r="K102" s="454" t="n"/>
    </row>
    <row r="103" ht="12.75" customHeight="1" s="355">
      <c r="A103" s="377" t="n"/>
      <c r="B103" s="378" t="inlineStr">
        <is>
          <t>Order to Cash</t>
        </is>
      </c>
      <c r="C103" s="453">
        <f>'Consolidated FTE '!C51*C$164+'Consolidated FTE '!C52*C$169</f>
        <v/>
      </c>
      <c r="D103" s="453">
        <f>'Consolidated FTE '!D51*D$164+'Consolidated FTE '!D52*D$169</f>
        <v/>
      </c>
      <c r="E103" s="453">
        <f>'Consolidated FTE '!E51*E$164+'Consolidated FTE '!E52*E$169</f>
        <v/>
      </c>
      <c r="F103" s="453">
        <f>'Consolidated FTE '!F51*F$164+'Consolidated FTE '!F52*F$169</f>
        <v/>
      </c>
      <c r="G103" s="453">
        <f>'Consolidated FTE '!G51*G$164+'Consolidated FTE '!G52*G$169</f>
        <v/>
      </c>
      <c r="H103" s="453">
        <f>'Consolidated FTE '!H51*H$164+'Consolidated FTE '!H52*H$169</f>
        <v/>
      </c>
      <c r="I103" s="453">
        <f>'Consolidated FTE '!I51*I$164+'Consolidated FTE '!I52*I$169</f>
        <v/>
      </c>
      <c r="J103" s="453">
        <f>('Consolidated FTE '!J51*J$164+'Consolidated FTE '!J52*J$169)/12</f>
        <v/>
      </c>
      <c r="K103" s="454">
        <f>SUM(C103:J103)</f>
        <v/>
      </c>
    </row>
    <row r="104" ht="12.75" customHeight="1" s="355">
      <c r="A104" s="377" t="n"/>
      <c r="B104" s="454" t="n"/>
      <c r="C104" s="453" t="n"/>
      <c r="D104" s="453" t="n"/>
      <c r="E104" s="453" t="n"/>
      <c r="F104" s="453" t="n"/>
      <c r="G104" s="453" t="n"/>
      <c r="H104" s="453" t="n"/>
      <c r="I104" s="453" t="n"/>
      <c r="J104" s="453" t="n">
        <v>0</v>
      </c>
      <c r="K104" s="454" t="n"/>
    </row>
    <row r="105" ht="12.75" customHeight="1" s="355">
      <c r="A105" s="377" t="n"/>
      <c r="B105" s="378" t="inlineStr">
        <is>
          <t>Requistion to Pay</t>
        </is>
      </c>
      <c r="C105" s="453">
        <f>'Consolidated FTE '!C55*C$164+'Consolidated FTE '!C56*C$169</f>
        <v/>
      </c>
      <c r="D105" s="453">
        <f>'Consolidated FTE '!D55*D$164+'Consolidated FTE '!D56*D$169</f>
        <v/>
      </c>
      <c r="E105" s="453">
        <f>'Consolidated FTE '!E55*E$164+'Consolidated FTE '!E56*E$169</f>
        <v/>
      </c>
      <c r="F105" s="453">
        <f>'Consolidated FTE '!F55*F$164+'Consolidated FTE '!F56*F$169</f>
        <v/>
      </c>
      <c r="G105" s="453">
        <f>'Consolidated FTE '!G55*G$164+'Consolidated FTE '!G56*G$169</f>
        <v/>
      </c>
      <c r="H105" s="453">
        <f>'Consolidated FTE '!H55*H$164+'Consolidated FTE '!H56*H$169</f>
        <v/>
      </c>
      <c r="I105" s="453">
        <f>'Consolidated FTE '!I55*I$164+'Consolidated FTE '!I56*I$169</f>
        <v/>
      </c>
      <c r="J105" s="453">
        <f>('Consolidated FTE '!J55*J$164+'Consolidated FTE '!J56*J$169)/12</f>
        <v/>
      </c>
      <c r="K105" s="454">
        <f>SUM(C105:J105)</f>
        <v/>
      </c>
    </row>
    <row r="106" ht="13.5" customHeight="1" s="355">
      <c r="A106" s="455" t="n"/>
      <c r="B106" s="456" t="n"/>
      <c r="C106" s="453" t="n"/>
      <c r="D106" s="453" t="n"/>
      <c r="E106" s="453" t="n"/>
      <c r="F106" s="453" t="n"/>
      <c r="G106" s="453" t="n"/>
      <c r="H106" s="453" t="n"/>
      <c r="I106" s="453" t="n"/>
      <c r="J106" s="453" t="n"/>
      <c r="K106" s="457" t="n"/>
    </row>
    <row r="107" ht="13.5" customHeight="1" s="355">
      <c r="A107" s="458" t="inlineStr">
        <is>
          <t>TOTAL INVESTMENTS</t>
        </is>
      </c>
      <c r="B107" s="459" t="n"/>
      <c r="C107" s="460">
        <f>SUM(C94:C106)</f>
        <v/>
      </c>
      <c r="D107" s="461">
        <f>SUM(D94:D106)</f>
        <v/>
      </c>
      <c r="E107" s="461">
        <f>SUM(E94:E106)</f>
        <v/>
      </c>
      <c r="F107" s="461">
        <f>SUM(F94:F106)</f>
        <v/>
      </c>
      <c r="G107" s="461">
        <f>SUM(G94:G106)</f>
        <v/>
      </c>
      <c r="H107" s="461">
        <f>SUM(H94:H106)</f>
        <v/>
      </c>
      <c r="I107" s="461">
        <f>SUM(I94:I106)</f>
        <v/>
      </c>
      <c r="J107" s="461">
        <f>SUM(J94:J106)</f>
        <v/>
      </c>
      <c r="K107" s="462">
        <f>SUM(K94:K106)</f>
        <v/>
      </c>
    </row>
    <row r="108"/>
    <row r="109" ht="18.75" customHeight="1" s="355">
      <c r="A109" s="445" t="inlineStr">
        <is>
          <t>Workflow Details</t>
        </is>
      </c>
      <c r="C109" s="463" t="inlineStr">
        <is>
          <t>Year 1</t>
        </is>
      </c>
      <c r="D109" s="463" t="inlineStr">
        <is>
          <t>Year 2</t>
        </is>
      </c>
      <c r="E109" s="463" t="inlineStr">
        <is>
          <t>Year 3</t>
        </is>
      </c>
      <c r="F109" s="463" t="inlineStr">
        <is>
          <t>Year 4</t>
        </is>
      </c>
      <c r="G109" s="463" t="inlineStr">
        <is>
          <t>Year 5</t>
        </is>
      </c>
      <c r="H109" s="463" t="inlineStr">
        <is>
          <t>Year 6</t>
        </is>
      </c>
      <c r="I109" s="463" t="inlineStr">
        <is>
          <t>Year 7</t>
        </is>
      </c>
      <c r="J109" s="463" t="inlineStr">
        <is>
          <t>Year 8</t>
        </is>
      </c>
      <c r="K109" s="463" t="inlineStr">
        <is>
          <t>Total</t>
        </is>
      </c>
    </row>
    <row r="110" ht="15" customHeight="1" s="355">
      <c r="A110" s="464" t="n"/>
      <c r="B110" s="465" t="inlineStr">
        <is>
          <t>Total Cost for AP (UK)</t>
        </is>
      </c>
      <c r="C110" s="466">
        <f>SUM(C111,C116)</f>
        <v/>
      </c>
      <c r="D110" s="466">
        <f>SUM(D111,D116)</f>
        <v/>
      </c>
      <c r="E110" s="466">
        <f>SUM(E111,E116)</f>
        <v/>
      </c>
      <c r="F110" s="466">
        <f>SUM(F111,F116)</f>
        <v/>
      </c>
      <c r="G110" s="466">
        <f>SUM(G111,G116)</f>
        <v/>
      </c>
      <c r="H110" s="466">
        <f>SUM(H111,H116)</f>
        <v/>
      </c>
      <c r="I110" s="466">
        <f>SUM(I111,I116)</f>
        <v/>
      </c>
      <c r="J110" s="466">
        <f>SUM(J111,J116)</f>
        <v/>
      </c>
      <c r="K110" s="467">
        <f>SUM(C110:J110)</f>
        <v/>
      </c>
    </row>
    <row r="111" ht="15" customHeight="1" s="355">
      <c r="A111" s="468" t="n"/>
      <c r="B111" s="469" t="inlineStr">
        <is>
          <t>One time cost</t>
        </is>
      </c>
      <c r="C111" s="470">
        <f>SUM(C112:C114)</f>
        <v/>
      </c>
      <c r="D111" s="470">
        <f>SUM(D112:D114)</f>
        <v/>
      </c>
      <c r="E111" s="470">
        <f>SUM(E112:E114)</f>
        <v/>
      </c>
      <c r="F111" s="470">
        <f>SUM(F112:F114)</f>
        <v/>
      </c>
      <c r="G111" s="470">
        <f>SUM(G112:G114)</f>
        <v/>
      </c>
      <c r="H111" s="470">
        <f>SUM(H112:H114)</f>
        <v/>
      </c>
      <c r="I111" s="470">
        <f>SUM(I112:I114)</f>
        <v/>
      </c>
      <c r="J111" s="470">
        <f>SUM(J112:J114)</f>
        <v/>
      </c>
      <c r="K111" s="471">
        <f>SUM(C111:J111)</f>
        <v/>
      </c>
    </row>
    <row r="112" ht="15" customHeight="1" s="355">
      <c r="A112" s="468" t="n"/>
      <c r="B112" s="472" t="inlineStr">
        <is>
          <t>Development</t>
        </is>
      </c>
      <c r="C112" s="473" t="n">
        <v>55000</v>
      </c>
      <c r="D112" s="473" t="n">
        <v>0</v>
      </c>
      <c r="E112" s="473" t="n">
        <v>0</v>
      </c>
      <c r="F112" s="473" t="n">
        <v>0</v>
      </c>
      <c r="G112" s="473" t="n">
        <v>0</v>
      </c>
      <c r="H112" s="473" t="n">
        <v>0</v>
      </c>
      <c r="I112" s="473" t="n">
        <v>0</v>
      </c>
      <c r="J112" s="473" t="n">
        <v>0</v>
      </c>
      <c r="K112" s="474">
        <f>SUM(C112:J112)</f>
        <v/>
      </c>
    </row>
    <row r="113" ht="15" customHeight="1" s="355">
      <c r="A113" s="468" t="n"/>
      <c r="B113" s="472" t="inlineStr">
        <is>
          <t xml:space="preserve">T&amp;L </t>
        </is>
      </c>
      <c r="C113" s="473" t="n">
        <v>5000</v>
      </c>
      <c r="D113" s="473" t="n">
        <v>0</v>
      </c>
      <c r="E113" s="473" t="n">
        <v>0</v>
      </c>
      <c r="F113" s="473" t="n">
        <v>0</v>
      </c>
      <c r="G113" s="473" t="n">
        <v>0</v>
      </c>
      <c r="H113" s="473" t="n">
        <v>0</v>
      </c>
      <c r="I113" s="473" t="n">
        <v>0</v>
      </c>
      <c r="J113" s="473" t="n">
        <v>0</v>
      </c>
      <c r="K113" s="474">
        <f>SUM(C113:J113)</f>
        <v/>
      </c>
    </row>
    <row r="114" ht="15" customHeight="1" s="355">
      <c r="A114" s="468" t="n"/>
      <c r="B114" s="472" t="inlineStr">
        <is>
          <t>Performance Testing</t>
        </is>
      </c>
      <c r="C114" s="473" t="n">
        <v>20000</v>
      </c>
      <c r="D114" s="473" t="n">
        <v>0</v>
      </c>
      <c r="E114" s="473" t="n">
        <v>0</v>
      </c>
      <c r="F114" s="473" t="n">
        <v>0</v>
      </c>
      <c r="G114" s="473" t="n">
        <v>0</v>
      </c>
      <c r="H114" s="473" t="n">
        <v>0</v>
      </c>
      <c r="I114" s="473" t="n">
        <v>0</v>
      </c>
      <c r="J114" s="473" t="n">
        <v>0</v>
      </c>
      <c r="K114" s="474">
        <f>SUM(C114:J114)</f>
        <v/>
      </c>
    </row>
    <row r="115" ht="15" customHeight="1" s="355">
      <c r="A115" s="468" t="n"/>
      <c r="B115" s="472" t="n"/>
      <c r="C115" s="473" t="n"/>
      <c r="D115" s="473" t="n"/>
      <c r="E115" s="473" t="n"/>
      <c r="F115" s="473" t="n"/>
      <c r="G115" s="473" t="n"/>
      <c r="H115" s="473" t="n"/>
      <c r="I115" s="473" t="n"/>
      <c r="J115" s="473" t="n"/>
      <c r="K115" s="474" t="n"/>
    </row>
    <row r="116" ht="15" customHeight="1" s="355">
      <c r="A116" s="468" t="n"/>
      <c r="B116" s="469" t="inlineStr">
        <is>
          <t>Running costs</t>
        </is>
      </c>
      <c r="C116" s="470">
        <f>SUM(C117:C120)</f>
        <v/>
      </c>
      <c r="D116" s="470">
        <f>SUM(D117:D120)</f>
        <v/>
      </c>
      <c r="E116" s="470">
        <f>SUM(E117:E120)</f>
        <v/>
      </c>
      <c r="F116" s="470">
        <f>SUM(F117:F120)</f>
        <v/>
      </c>
      <c r="G116" s="470">
        <f>SUM(G117:G120)</f>
        <v/>
      </c>
      <c r="H116" s="470">
        <f>SUM(H117:H120)</f>
        <v/>
      </c>
      <c r="I116" s="470">
        <f>SUM(I117:I120)</f>
        <v/>
      </c>
      <c r="J116" s="470">
        <f>SUM(J117:J120)</f>
        <v/>
      </c>
      <c r="K116" s="471">
        <f>SUM(C116:J116)</f>
        <v/>
      </c>
    </row>
    <row r="117" ht="15" customHeight="1" s="355">
      <c r="A117" s="468" t="n"/>
      <c r="B117" s="472" t="inlineStr">
        <is>
          <t>Licenses at ServicePro</t>
        </is>
      </c>
      <c r="C117" s="473">
        <f>750*('Centre Two-FTE'!C39+1)*(25%+18%)</f>
        <v/>
      </c>
      <c r="D117" s="473">
        <f>750*('Centre Two-FTE'!D39+1)*(25%+18%)</f>
        <v/>
      </c>
      <c r="E117" s="473">
        <f>750*('Centre Two-FTE'!E39+1)*(25%+18%)</f>
        <v/>
      </c>
      <c r="F117" s="473">
        <f>750*('Centre Two-FTE'!F39+1)*(25%+18%)</f>
        <v/>
      </c>
      <c r="G117" s="473">
        <f>750*('Centre Two-FTE'!G39+1)*(25%+18%)</f>
        <v/>
      </c>
      <c r="H117" s="473">
        <f>750*('Centre Two-FTE'!H39+1)*(25%+18%)</f>
        <v/>
      </c>
      <c r="I117" s="473">
        <f>750*('Centre Two-FTE'!I39+1)*(25%+18%)</f>
        <v/>
      </c>
      <c r="J117" s="473">
        <f>(750*('Centre Two-FTE'!J39+1)*(25%+18%))/12</f>
        <v/>
      </c>
      <c r="K117" s="474">
        <f>SUM(C117:J117)</f>
        <v/>
      </c>
    </row>
    <row r="118" ht="15" customHeight="1" s="355">
      <c r="A118" s="468" t="n"/>
      <c r="B118" s="472" t="inlineStr">
        <is>
          <t>Licenses at GlobalPharma</t>
        </is>
      </c>
      <c r="C118" s="473">
        <f>750*7*(25%+18%)</f>
        <v/>
      </c>
      <c r="D118" s="473">
        <f>750*7*(25%+18%)</f>
        <v/>
      </c>
      <c r="E118" s="473">
        <f>750*7*(25%+18%)</f>
        <v/>
      </c>
      <c r="F118" s="473">
        <f>750*7*(25%+18%)</f>
        <v/>
      </c>
      <c r="G118" s="473">
        <f>750*7*(25%+18%)</f>
        <v/>
      </c>
      <c r="H118" s="473">
        <f>750*7*(25%+18%)</f>
        <v/>
      </c>
      <c r="I118" s="473">
        <f>750*7*(25%+18%)</f>
        <v/>
      </c>
      <c r="J118" s="473">
        <f>(750*7*(25%+18%))/12</f>
        <v/>
      </c>
      <c r="K118" s="474">
        <f>SUM(C118:J118)</f>
        <v/>
      </c>
    </row>
    <row r="119" ht="15" customHeight="1" s="355">
      <c r="A119" s="468" t="n"/>
      <c r="B119" s="472" t="inlineStr">
        <is>
          <t>RTS/Maintenance</t>
        </is>
      </c>
      <c r="C119" s="473" t="n">
        <v>2636.4</v>
      </c>
      <c r="D119" s="473" t="n">
        <v>5077.51111111111</v>
      </c>
      <c r="E119" s="473" t="n">
        <v>4711.34444444445</v>
      </c>
      <c r="F119" s="473" t="n">
        <v>4418.41111111111</v>
      </c>
      <c r="G119" s="473" t="n">
        <v>4125.47777777778</v>
      </c>
      <c r="H119" s="473" t="n">
        <v>4101.06666666667</v>
      </c>
      <c r="I119" s="473" t="n">
        <v>4101.06666666667</v>
      </c>
      <c r="J119" s="473" t="n">
        <v>341.755555555556</v>
      </c>
      <c r="K119" s="474">
        <f>SUM(C119:J119)</f>
        <v/>
      </c>
    </row>
    <row r="120" ht="15" customHeight="1" s="355">
      <c r="A120" s="468" t="n"/>
      <c r="B120" s="475" t="inlineStr">
        <is>
          <t>Asset Depreciation</t>
        </is>
      </c>
      <c r="C120" s="476" t="n">
        <v>2822.25</v>
      </c>
      <c r="D120" s="476" t="n">
        <v>5435.44444444444</v>
      </c>
      <c r="E120" s="476" t="n">
        <v>5043.46527777778</v>
      </c>
      <c r="F120" s="476" t="n">
        <v>4729.88194444444</v>
      </c>
      <c r="G120" s="476" t="n">
        <v>4416.29861111111</v>
      </c>
      <c r="H120" s="476" t="n">
        <v>4390.16666666667</v>
      </c>
      <c r="I120" s="476" t="n">
        <v>4390.16666666667</v>
      </c>
      <c r="J120" s="476" t="n">
        <v>365.847222222222</v>
      </c>
      <c r="K120" s="477">
        <f>SUM(C120:J120)</f>
        <v/>
      </c>
    </row>
    <row r="121"/>
    <row r="122"/>
    <row r="123" ht="18.75" customHeight="1" s="355">
      <c r="A123" s="445" t="inlineStr">
        <is>
          <t>Scanning Details</t>
        </is>
      </c>
    </row>
    <row r="124" ht="15" customHeight="1" s="355">
      <c r="B124" s="478" t="inlineStr">
        <is>
          <t>Scope of countries:</t>
        </is>
      </c>
      <c r="C124" s="478" t="inlineStr">
        <is>
          <t>Italy, UK, Spain, Germany and France</t>
        </is>
      </c>
      <c r="D124" s="478" t="n"/>
      <c r="E124" s="478" t="n"/>
      <c r="F124" s="478" t="n"/>
      <c r="G124" s="478" t="n"/>
      <c r="H124" s="478" t="n"/>
      <c r="I124" s="478" t="n"/>
    </row>
    <row r="125" ht="15" customHeight="1" s="355">
      <c r="B125" s="478" t="n"/>
      <c r="C125" s="478" t="n"/>
      <c r="D125" s="478" t="n"/>
      <c r="E125" s="478" t="n"/>
      <c r="F125" s="478" t="n"/>
      <c r="G125" s="478" t="n"/>
      <c r="H125" s="478" t="n"/>
      <c r="I125" s="478" t="n"/>
    </row>
    <row r="126" ht="18" customHeight="1" s="355">
      <c r="B126" s="479" t="inlineStr">
        <is>
          <t>One-time setup costs</t>
        </is>
      </c>
      <c r="C126" s="480" t="n">
        <v>8000</v>
      </c>
      <c r="D126" s="478" t="n"/>
      <c r="E126" s="478" t="n"/>
      <c r="F126" s="478" t="n"/>
      <c r="G126" s="478" t="n"/>
      <c r="H126" s="478" t="n"/>
      <c r="I126" s="478" t="n"/>
    </row>
    <row r="127" ht="15" customHeight="1" s="355">
      <c r="B127" s="478" t="n"/>
      <c r="C127" s="478" t="n"/>
      <c r="D127" s="478" t="n"/>
      <c r="E127" s="478" t="n"/>
      <c r="F127" s="478" t="n"/>
      <c r="G127" s="478" t="n"/>
      <c r="H127" s="478" t="n"/>
      <c r="I127" s="478" t="n"/>
    </row>
    <row r="128" ht="15" customHeight="1" s="355">
      <c r="B128" s="478" t="n"/>
      <c r="C128" s="478" t="n"/>
      <c r="D128" s="478" t="n"/>
      <c r="E128" s="478" t="n"/>
      <c r="F128" s="478" t="n"/>
      <c r="G128" s="478" t="n"/>
      <c r="H128" s="478" t="n"/>
      <c r="I128" s="478" t="n"/>
    </row>
    <row r="129" ht="15" customHeight="1" s="355">
      <c r="B129" s="478" t="n"/>
      <c r="C129" s="478" t="n"/>
      <c r="D129" s="478" t="n"/>
      <c r="E129" s="478" t="n"/>
      <c r="F129" s="478" t="n"/>
      <c r="G129" s="478" t="n"/>
      <c r="H129" s="478" t="n"/>
      <c r="I129" s="478" t="n"/>
    </row>
    <row r="130" ht="18" customHeight="1" s="355">
      <c r="B130" s="479" t="inlineStr">
        <is>
          <t>Running costs/annum</t>
        </is>
      </c>
      <c r="C130" s="480">
        <f>SUM(I135:J135)</f>
        <v/>
      </c>
      <c r="D130" s="478" t="n"/>
      <c r="E130" s="478" t="n"/>
      <c r="F130" s="478" t="n"/>
      <c r="G130" s="478" t="n"/>
      <c r="H130" s="478" t="n"/>
      <c r="I130" s="478" t="n"/>
    </row>
    <row r="131" ht="15" customHeight="1" s="355">
      <c r="B131" s="478" t="n"/>
      <c r="C131" s="481" t="n"/>
      <c r="D131" s="478" t="n"/>
      <c r="E131" s="478" t="n"/>
      <c r="F131" s="478" t="n"/>
      <c r="G131" s="478" t="n"/>
      <c r="H131" s="478" t="n"/>
      <c r="I131" s="478" t="n"/>
    </row>
    <row r="132" ht="15" customHeight="1" s="355">
      <c r="B132" s="478" t="inlineStr">
        <is>
          <t>Running cost details</t>
        </is>
      </c>
      <c r="C132" s="482" t="inlineStr">
        <is>
          <t>Annual Volume (Document)</t>
        </is>
      </c>
      <c r="D132" s="482" t="inlineStr">
        <is>
          <t>Page/Document</t>
        </is>
      </c>
      <c r="E132" s="482" t="inlineStr">
        <is>
          <t>Indexing</t>
        </is>
      </c>
      <c r="F132" s="482" t="inlineStr">
        <is>
          <t>Scanning</t>
        </is>
      </c>
      <c r="G132" s="482" t="inlineStr">
        <is>
          <t>Barcoding</t>
        </is>
      </c>
      <c r="H132" s="482" t="inlineStr">
        <is>
          <t>Postage*</t>
        </is>
      </c>
      <c r="I132" s="482" t="inlineStr">
        <is>
          <t>Total Scanning/Postage</t>
        </is>
      </c>
      <c r="J132" s="482" t="inlineStr">
        <is>
          <t>Storage</t>
        </is>
      </c>
      <c r="K132" s="482" t="inlineStr">
        <is>
          <t>Total</t>
        </is>
      </c>
    </row>
    <row r="133" ht="15" customHeight="1" s="355">
      <c r="B133" s="478" t="inlineStr">
        <is>
          <t>AP</t>
        </is>
      </c>
      <c r="C133" s="473" t="n">
        <v>217000</v>
      </c>
      <c r="D133" s="478" t="n">
        <v>1.5</v>
      </c>
      <c r="E133" s="483">
        <f>0.04*1.3</f>
        <v/>
      </c>
      <c r="F133" s="483">
        <f>0.04*1.3</f>
        <v/>
      </c>
      <c r="G133" s="483">
        <f>0.01*1.3</f>
        <v/>
      </c>
      <c r="H133" s="484">
        <f>170/200</f>
        <v/>
      </c>
      <c r="I133" s="481">
        <f>C133*E133+C133*D133*F133+C133*H133/5+C133*G133</f>
        <v/>
      </c>
      <c r="J133" s="485">
        <f>100*1.3*12</f>
        <v/>
      </c>
      <c r="K133" s="485">
        <f>SUM(I133:J133)</f>
        <v/>
      </c>
    </row>
    <row r="134" ht="15" customHeight="1" s="355">
      <c r="B134" s="478" t="inlineStr">
        <is>
          <t>T&amp;E</t>
        </is>
      </c>
      <c r="C134" s="473" t="n">
        <v>0</v>
      </c>
      <c r="D134" s="486" t="n">
        <v>5</v>
      </c>
      <c r="E134" s="483">
        <f>0.04*1.3</f>
        <v/>
      </c>
      <c r="F134" s="483">
        <f>0.04*1.3</f>
        <v/>
      </c>
      <c r="G134" s="483">
        <f>0.01*1.3</f>
        <v/>
      </c>
      <c r="H134" s="484">
        <f>170/200</f>
        <v/>
      </c>
      <c r="I134" s="481">
        <f>C134*E134+C134*D134*F134+C134*H134/5+C134*G134</f>
        <v/>
      </c>
      <c r="J134" s="485">
        <f>100*1.3*12*0</f>
        <v/>
      </c>
      <c r="K134" s="485">
        <f>SUM(I134:J134)</f>
        <v/>
      </c>
    </row>
    <row r="135" ht="15" customHeight="1" s="355">
      <c r="B135" s="487" t="inlineStr">
        <is>
          <t>Total</t>
        </is>
      </c>
      <c r="C135" s="488">
        <f>SUM(C133:C134)</f>
        <v/>
      </c>
      <c r="D135" s="478" t="n"/>
      <c r="E135" s="478" t="n"/>
      <c r="F135" s="478" t="n"/>
      <c r="H135" s="478" t="n"/>
      <c r="I135" s="489">
        <f>SUM(I133:I134)</f>
        <v/>
      </c>
      <c r="J135" s="489">
        <f>SUM(J133)</f>
        <v/>
      </c>
      <c r="K135" s="490">
        <f>SUM(I135:J135)</f>
        <v/>
      </c>
    </row>
    <row r="136" ht="15" customHeight="1" s="355">
      <c r="B136" s="478" t="n"/>
      <c r="C136" s="478" t="n"/>
      <c r="D136" s="478" t="n"/>
      <c r="E136" s="478" t="n"/>
      <c r="F136" s="478" t="n"/>
      <c r="G136" s="478" t="n"/>
      <c r="H136" s="478" t="n"/>
      <c r="I136" s="478" t="n"/>
    </row>
    <row r="137" ht="15" customHeight="1" s="355">
      <c r="B137" s="478" t="n"/>
      <c r="C137" s="478" t="n"/>
      <c r="D137" s="478" t="n"/>
      <c r="E137" s="478" t="n"/>
      <c r="F137" s="478" t="n"/>
      <c r="G137" s="478" t="n"/>
      <c r="H137" s="478" t="n"/>
      <c r="I137" s="478" t="n"/>
    </row>
    <row r="138" ht="15" customHeight="1" s="355">
      <c r="B138" s="478" t="inlineStr">
        <is>
          <t>*Not registered mail and an avg. 5 document per mail assumed</t>
        </is>
      </c>
      <c r="C138" s="478" t="n"/>
      <c r="D138" s="478" t="n"/>
      <c r="E138" s="478" t="n"/>
      <c r="F138" s="478" t="n"/>
      <c r="G138" s="478" t="n"/>
      <c r="H138" s="478" t="n"/>
      <c r="I138" s="478" t="n"/>
    </row>
    <row r="139"/>
    <row r="140" ht="15" customHeight="1" s="355">
      <c r="C140" s="463" t="inlineStr">
        <is>
          <t>Year 1</t>
        </is>
      </c>
      <c r="D140" s="463" t="inlineStr">
        <is>
          <t>Year 2</t>
        </is>
      </c>
      <c r="E140" s="463" t="inlineStr">
        <is>
          <t>Year 3</t>
        </is>
      </c>
      <c r="F140" s="463" t="inlineStr">
        <is>
          <t>Year 4</t>
        </is>
      </c>
      <c r="G140" s="463" t="inlineStr">
        <is>
          <t>Year 5</t>
        </is>
      </c>
      <c r="H140" s="463" t="inlineStr">
        <is>
          <t>Year 6</t>
        </is>
      </c>
      <c r="I140" s="463" t="inlineStr">
        <is>
          <t>Year 7</t>
        </is>
      </c>
      <c r="J140" s="463" t="inlineStr">
        <is>
          <t>Year 8</t>
        </is>
      </c>
      <c r="K140" s="463" t="inlineStr">
        <is>
          <t>Total</t>
        </is>
      </c>
    </row>
    <row r="141" ht="15" customHeight="1" s="355">
      <c r="B141" s="468" t="inlineStr">
        <is>
          <t># FTE (AP)</t>
        </is>
      </c>
      <c r="C141" s="468">
        <f>SUM('Centre One-FTE'!C34:C39)+SUM('Centre Two-FTE'!C34:C39)</f>
        <v/>
      </c>
      <c r="D141" s="468">
        <f>SUM('Centre One-FTE'!D34:D39)+SUM('Centre Two-FTE'!D34:D39)</f>
        <v/>
      </c>
      <c r="E141" s="468">
        <f>SUM('Centre One-FTE'!E34:E39)+SUM('Centre Two-FTE'!E34:E39)</f>
        <v/>
      </c>
      <c r="F141" s="468">
        <f>SUM('Centre One-FTE'!F34:F39)+SUM('Centre Two-FTE'!F34:F39)</f>
        <v/>
      </c>
      <c r="G141" s="468">
        <f>SUM('Centre One-FTE'!G34:G39)+SUM('Centre Two-FTE'!G34:G39)</f>
        <v/>
      </c>
      <c r="H141" s="468">
        <f>SUM('Centre One-FTE'!H34:H39)+SUM('Centre Two-FTE'!H34:H39)</f>
        <v/>
      </c>
      <c r="I141" s="468">
        <f>SUM('Centre One-FTE'!I34:I39)+SUM('Centre Two-FTE'!I34:I39)</f>
        <v/>
      </c>
      <c r="J141" s="468">
        <f>SUM('Centre One-FTE'!J34:J39)+SUM('Centre Two-FTE'!J34:J39)</f>
        <v/>
      </c>
    </row>
    <row r="142" ht="15" customHeight="1" s="355">
      <c r="B142" s="468" t="inlineStr">
        <is>
          <t>Cost/FTE (AP)</t>
        </is>
      </c>
      <c r="C142" s="485" t="n">
        <v>2171.28125</v>
      </c>
      <c r="D142" s="485" t="n">
        <v>2171.28125</v>
      </c>
      <c r="E142" s="485" t="n">
        <v>2171.28125</v>
      </c>
      <c r="F142" s="485" t="n">
        <v>2171.28125</v>
      </c>
      <c r="G142" s="485" t="n">
        <v>2171.28125</v>
      </c>
      <c r="H142" s="485" t="n">
        <v>2171.28125</v>
      </c>
      <c r="I142" s="485" t="n">
        <v>2171.28125</v>
      </c>
      <c r="J142" s="485" t="n">
        <v>2171.28125</v>
      </c>
    </row>
    <row r="143" ht="15" customHeight="1" s="355">
      <c r="B143" s="464" t="inlineStr">
        <is>
          <t>Annual charge (AP)</t>
        </is>
      </c>
      <c r="C143" s="490">
        <f>C141*C142</f>
        <v/>
      </c>
      <c r="D143" s="490">
        <f>D141*D142</f>
        <v/>
      </c>
      <c r="E143" s="490">
        <f>E141*E142</f>
        <v/>
      </c>
      <c r="F143" s="490">
        <f>F141*F142</f>
        <v/>
      </c>
      <c r="G143" s="490">
        <f>G141*G142</f>
        <v/>
      </c>
      <c r="H143" s="490">
        <f>H141*H142</f>
        <v/>
      </c>
      <c r="I143" s="490">
        <f>I141*I142</f>
        <v/>
      </c>
      <c r="J143" s="490">
        <f>J141*J142/12</f>
        <v/>
      </c>
    </row>
    <row r="144" ht="15" customHeight="1" s="355">
      <c r="B144" s="468" t="inlineStr">
        <is>
          <t># FTE (T&amp;E)</t>
        </is>
      </c>
      <c r="C144" s="468">
        <f>SUM('Centre One-FTE'!C44:C49)+SUM('Centre Two-FTE'!C44:C49)</f>
        <v/>
      </c>
      <c r="D144" s="468">
        <f>SUM('Centre One-FTE'!D44:D49)+SUM('Centre Two-FTE'!D44:D49)</f>
        <v/>
      </c>
      <c r="E144" s="468">
        <f>SUM('Centre One-FTE'!E44:E49)+SUM('Centre Two-FTE'!E44:E49)</f>
        <v/>
      </c>
      <c r="F144" s="468">
        <f>SUM('Centre One-FTE'!F44:F49)+SUM('Centre Two-FTE'!F44:F49)</f>
        <v/>
      </c>
      <c r="G144" s="468">
        <f>SUM('Centre One-FTE'!G44:G49)+SUM('Centre Two-FTE'!G44:G49)</f>
        <v/>
      </c>
      <c r="H144" s="468">
        <f>SUM('Centre One-FTE'!H44:H49)+SUM('Centre Two-FTE'!H44:H49)</f>
        <v/>
      </c>
      <c r="I144" s="468">
        <f>SUM('Centre One-FTE'!I44:I49)+SUM('Centre Two-FTE'!I44:I49)</f>
        <v/>
      </c>
      <c r="J144" s="468">
        <f>SUM('Centre One-FTE'!J44:J49)+SUM('Centre Two-FTE'!J44:J49)</f>
        <v/>
      </c>
    </row>
    <row r="145" ht="15" customHeight="1" s="355">
      <c r="B145" s="468" t="inlineStr">
        <is>
          <t>Cost/FTE (T&amp;E)</t>
        </is>
      </c>
      <c r="C145" s="485" t="n">
        <v>0</v>
      </c>
      <c r="D145" s="485" t="n">
        <v>0</v>
      </c>
      <c r="E145" s="485" t="n">
        <v>0</v>
      </c>
      <c r="F145" s="485" t="n">
        <v>0</v>
      </c>
      <c r="G145" s="485" t="n">
        <v>0</v>
      </c>
      <c r="H145" s="485" t="n">
        <v>0</v>
      </c>
      <c r="I145" s="485" t="n">
        <v>0</v>
      </c>
      <c r="J145" s="485" t="n">
        <v>0</v>
      </c>
    </row>
    <row r="146" ht="15" customHeight="1" s="355">
      <c r="B146" s="464" t="inlineStr">
        <is>
          <t>Annual charge (T&amp;E)</t>
        </is>
      </c>
      <c r="C146" s="490">
        <f>C144*C145</f>
        <v/>
      </c>
      <c r="D146" s="490">
        <f>D144*D145</f>
        <v/>
      </c>
      <c r="E146" s="490">
        <f>E144*E145</f>
        <v/>
      </c>
      <c r="F146" s="490">
        <f>F144*F145</f>
        <v/>
      </c>
      <c r="G146" s="490">
        <f>G144*G145</f>
        <v/>
      </c>
      <c r="H146" s="490">
        <f>H144*H145</f>
        <v/>
      </c>
      <c r="I146" s="490">
        <f>I144*I145</f>
        <v/>
      </c>
      <c r="J146" s="490">
        <f>J144*J145/12</f>
        <v/>
      </c>
    </row>
    <row r="147"/>
    <row r="148"/>
    <row r="149" ht="18.75" customHeight="1" s="355">
      <c r="A149" s="445" t="inlineStr">
        <is>
          <t>Archiving Details</t>
        </is>
      </c>
    </row>
    <row r="150" ht="15" customHeight="1" s="355">
      <c r="C150" s="463" t="inlineStr">
        <is>
          <t>Year 1</t>
        </is>
      </c>
      <c r="D150" s="463" t="inlineStr">
        <is>
          <t>Year 2</t>
        </is>
      </c>
      <c r="E150" s="463" t="inlineStr">
        <is>
          <t>Year 3</t>
        </is>
      </c>
      <c r="F150" s="463" t="inlineStr">
        <is>
          <t>Year 4</t>
        </is>
      </c>
      <c r="G150" s="463" t="inlineStr">
        <is>
          <t>Year 5</t>
        </is>
      </c>
      <c r="H150" s="463" t="inlineStr">
        <is>
          <t>Year 6</t>
        </is>
      </c>
      <c r="I150" s="463" t="inlineStr">
        <is>
          <t>Year 7</t>
        </is>
      </c>
      <c r="J150" s="463" t="inlineStr">
        <is>
          <t>Year 8</t>
        </is>
      </c>
      <c r="K150" s="491" t="inlineStr">
        <is>
          <t>Total</t>
        </is>
      </c>
    </row>
    <row r="151" ht="15" customHeight="1" s="355">
      <c r="B151" s="468" t="inlineStr">
        <is>
          <t>Charge/FTE</t>
        </is>
      </c>
      <c r="C151" s="485" t="n">
        <v>2409.29</v>
      </c>
      <c r="D151" s="485" t="n">
        <v>2409.29</v>
      </c>
      <c r="E151" s="485" t="n">
        <v>2409.29</v>
      </c>
      <c r="F151" s="485" t="n">
        <v>2409.29</v>
      </c>
      <c r="G151" s="485" t="n">
        <v>2409.29</v>
      </c>
      <c r="H151" s="485" t="n">
        <v>2409.29</v>
      </c>
      <c r="I151" s="485" t="n">
        <v>2409.29</v>
      </c>
      <c r="J151" s="485" t="n">
        <v>2409.29</v>
      </c>
      <c r="K151" s="485">
        <f>SUM(C151:J151)</f>
        <v/>
      </c>
    </row>
    <row r="152" ht="15" customHeight="1" s="355">
      <c r="B152" s="468" t="inlineStr">
        <is>
          <t>Total charge</t>
        </is>
      </c>
      <c r="C152" s="485">
        <f>'Centre Two-FTE'!C39*'Pass-Thro-Charges'!C151</f>
        <v/>
      </c>
      <c r="D152" s="485">
        <f>'Centre Two-FTE'!D39*'Pass-Thro-Charges'!D151</f>
        <v/>
      </c>
      <c r="E152" s="485">
        <f>'Centre Two-FTE'!E39*'Pass-Thro-Charges'!E151</f>
        <v/>
      </c>
      <c r="F152" s="485">
        <f>'Centre Two-FTE'!F39*'Pass-Thro-Charges'!F151</f>
        <v/>
      </c>
      <c r="G152" s="485">
        <f>'Centre Two-FTE'!G39*'Pass-Thro-Charges'!G151</f>
        <v/>
      </c>
      <c r="H152" s="485">
        <f>'Centre Two-FTE'!H39*'Pass-Thro-Charges'!H151</f>
        <v/>
      </c>
      <c r="I152" s="485">
        <f>'Centre Two-FTE'!I39*'Pass-Thro-Charges'!I151</f>
        <v/>
      </c>
      <c r="J152" s="485">
        <f>'Centre Two-FTE'!J39*'Pass-Thro-Charges'!J151/12</f>
        <v/>
      </c>
      <c r="K152" s="485">
        <f>SUM(C152:J152)</f>
        <v/>
      </c>
    </row>
    <row r="153"/>
    <row r="154"/>
    <row r="155" ht="18.75" customHeight="1" s="355">
      <c r="A155" s="445" t="inlineStr">
        <is>
          <t>MPLS Details</t>
        </is>
      </c>
    </row>
    <row r="156" ht="15" customHeight="1" s="355">
      <c r="B156" s="468" t="inlineStr">
        <is>
          <t>Cost of 1 kbit bandwidth (Centre One)</t>
        </is>
      </c>
      <c r="C156" s="485" t="n">
        <v>120</v>
      </c>
    </row>
    <row r="157" ht="15" customHeight="1" s="355">
      <c r="B157" s="468" t="inlineStr">
        <is>
          <t>Cost of 1 kbit bandwidth (Centre Two)</t>
        </is>
      </c>
      <c r="C157" s="485" t="n">
        <v>75</v>
      </c>
    </row>
    <row r="158" ht="15" customHeight="1" s="355">
      <c r="B158" s="468" t="inlineStr">
        <is>
          <t>Bandwidth usage per FTE (kbit)</t>
        </is>
      </c>
      <c r="C158" s="492" t="n">
        <v>20</v>
      </c>
    </row>
    <row r="159"/>
    <row r="160" ht="18.75" customHeight="1" s="355">
      <c r="A160" s="445" t="inlineStr">
        <is>
          <t>Leased Line Details</t>
        </is>
      </c>
    </row>
    <row r="161" ht="15" customHeight="1" s="355">
      <c r="B161" s="468" t="inlineStr">
        <is>
          <t>Centre one</t>
        </is>
      </c>
      <c r="C161" s="463" t="inlineStr">
        <is>
          <t>Year 1</t>
        </is>
      </c>
      <c r="D161" s="463" t="inlineStr">
        <is>
          <t>Year 2</t>
        </is>
      </c>
      <c r="E161" s="463" t="inlineStr">
        <is>
          <t>Year 3</t>
        </is>
      </c>
      <c r="F161" s="463" t="inlineStr">
        <is>
          <t>Year 4</t>
        </is>
      </c>
      <c r="G161" s="463" t="inlineStr">
        <is>
          <t>Year 5</t>
        </is>
      </c>
      <c r="H161" s="463" t="inlineStr">
        <is>
          <t>Year 6</t>
        </is>
      </c>
      <c r="I161" s="463" t="inlineStr">
        <is>
          <t>Year 7</t>
        </is>
      </c>
      <c r="J161" s="463" t="inlineStr">
        <is>
          <t>Year 8</t>
        </is>
      </c>
      <c r="K161" s="463" t="inlineStr">
        <is>
          <t>Total</t>
        </is>
      </c>
    </row>
    <row r="162" ht="15" customHeight="1" s="355">
      <c r="B162" s="468" t="inlineStr">
        <is>
          <t>Number of lines</t>
        </is>
      </c>
      <c r="C162" s="492" t="n">
        <v>2</v>
      </c>
      <c r="D162" s="492" t="n">
        <v>2</v>
      </c>
      <c r="E162" s="492" t="n">
        <v>2</v>
      </c>
      <c r="F162" s="492" t="n">
        <v>2</v>
      </c>
      <c r="G162" s="492" t="n">
        <v>2</v>
      </c>
      <c r="H162" s="492" t="n">
        <v>2</v>
      </c>
      <c r="I162" s="492" t="n">
        <v>2</v>
      </c>
      <c r="J162" s="492" t="n">
        <v>2</v>
      </c>
    </row>
    <row r="163" ht="15" customHeight="1" s="355">
      <c r="B163" s="468" t="inlineStr">
        <is>
          <t>Cost/Line/annum</t>
        </is>
      </c>
      <c r="C163" s="485" t="n">
        <v>18000</v>
      </c>
      <c r="D163" s="485" t="n">
        <v>18000</v>
      </c>
      <c r="E163" s="485" t="n">
        <v>18000</v>
      </c>
      <c r="F163" s="485" t="n">
        <v>18000</v>
      </c>
      <c r="G163" s="485" t="n">
        <v>18000</v>
      </c>
      <c r="H163" s="485" t="n">
        <v>18000</v>
      </c>
      <c r="I163" s="485" t="n">
        <v>18000</v>
      </c>
      <c r="J163" s="485" t="n">
        <v>18000</v>
      </c>
      <c r="K163" s="485" t="n"/>
    </row>
    <row r="164" ht="15" customHeight="1" s="355">
      <c r="B164" s="468" t="inlineStr">
        <is>
          <t>Cost/FTE</t>
        </is>
      </c>
      <c r="C164" s="485">
        <f>C162*C163/'Centre One-FTE'!C10</f>
        <v/>
      </c>
      <c r="D164" s="485">
        <f>D162*D163/'Centre One-FTE'!D10</f>
        <v/>
      </c>
      <c r="E164" s="485">
        <f>E162*E163/'Centre One-FTE'!E10</f>
        <v/>
      </c>
      <c r="F164" s="485">
        <f>F162*F163/'Centre One-FTE'!F10</f>
        <v/>
      </c>
      <c r="G164" s="485">
        <f>G162*G163/'Centre One-FTE'!G10</f>
        <v/>
      </c>
      <c r="H164" s="485">
        <f>H162*H163/'Centre One-FTE'!H10</f>
        <v/>
      </c>
      <c r="I164" s="485">
        <f>I162*I163/'Centre One-FTE'!I10</f>
        <v/>
      </c>
      <c r="J164" s="485">
        <f>J162*J163/'Centre One-FTE'!J10</f>
        <v/>
      </c>
    </row>
    <row r="165"/>
    <row r="166" ht="15" customHeight="1" s="355">
      <c r="B166" s="468" t="inlineStr">
        <is>
          <t>Centre two</t>
        </is>
      </c>
      <c r="C166" s="492" t="n"/>
    </row>
    <row r="167" ht="15" customHeight="1" s="355">
      <c r="B167" s="468" t="inlineStr">
        <is>
          <t>Number of lines</t>
        </is>
      </c>
      <c r="C167" s="492" t="n">
        <v>2</v>
      </c>
      <c r="D167" s="492" t="n">
        <v>2</v>
      </c>
      <c r="E167" s="492" t="n">
        <v>2</v>
      </c>
      <c r="F167" s="492" t="n">
        <v>2</v>
      </c>
      <c r="G167" s="492" t="n">
        <v>2</v>
      </c>
      <c r="H167" s="492" t="n">
        <v>2</v>
      </c>
      <c r="I167" s="492" t="n">
        <v>2</v>
      </c>
      <c r="J167" s="492" t="n">
        <v>2</v>
      </c>
    </row>
    <row r="168" ht="15" customHeight="1" s="355">
      <c r="B168" s="468" t="inlineStr">
        <is>
          <t>Cost/Line/annum</t>
        </is>
      </c>
      <c r="C168" s="485" t="n">
        <v>12000</v>
      </c>
      <c r="D168" s="485" t="n">
        <v>12000</v>
      </c>
      <c r="E168" s="485" t="n">
        <v>12000</v>
      </c>
      <c r="F168" s="485" t="n">
        <v>12000</v>
      </c>
      <c r="G168" s="485" t="n">
        <v>12000</v>
      </c>
      <c r="H168" s="485" t="n">
        <v>12000</v>
      </c>
      <c r="I168" s="485" t="n">
        <v>12000</v>
      </c>
      <c r="J168" s="485" t="n">
        <v>12000</v>
      </c>
      <c r="K168" s="485" t="n"/>
    </row>
    <row r="169" ht="15" customHeight="1" s="355">
      <c r="B169" s="468" t="inlineStr">
        <is>
          <t>Cost/FTE</t>
        </is>
      </c>
      <c r="C169" s="485">
        <f>C167*C168/'Centre Two-FTE'!C10</f>
        <v/>
      </c>
      <c r="D169" s="485">
        <f>D167*D168/'Centre Two-FTE'!D10</f>
        <v/>
      </c>
      <c r="E169" s="485">
        <f>E167*E168/'Centre Two-FTE'!E10</f>
        <v/>
      </c>
      <c r="F169" s="485">
        <f>F167*F168/'Centre Two-FTE'!F10</f>
        <v/>
      </c>
      <c r="G169" s="485">
        <f>G167*G168/'Centre Two-FTE'!G10</f>
        <v/>
      </c>
      <c r="H169" s="485">
        <f>H167*H168/'Centre Two-FTE'!H10</f>
        <v/>
      </c>
      <c r="I169" s="485">
        <f>I167*I168/'Centre Two-FTE'!I10</f>
        <v/>
      </c>
      <c r="J169" s="485">
        <f>J167*J168/'Centre Two-FTE'!J10</f>
        <v/>
      </c>
    </row>
    <row r="170"/>
    <row r="171"/>
    <row r="172" ht="18.75" customHeight="1" s="355">
      <c r="A172" s="445" t="inlineStr">
        <is>
          <t>PSTN Line Details</t>
        </is>
      </c>
    </row>
    <row r="173" ht="12.75" customHeight="1" s="355">
      <c r="B173" s="354" t="inlineStr">
        <is>
          <t>PSTN</t>
        </is>
      </c>
      <c r="C173" s="354" t="inlineStr">
        <is>
          <t>minute/day</t>
        </is>
      </c>
      <c r="D173" s="493" t="inlineStr">
        <is>
          <t>cost/call</t>
        </is>
      </c>
      <c r="E173" s="354" t="inlineStr">
        <is>
          <t>total cost/FTE/annum</t>
        </is>
      </c>
      <c r="F173" s="354" t="inlineStr">
        <is>
          <t>total cost/FTE/annum</t>
        </is>
      </c>
    </row>
    <row r="174" ht="12.75" customHeight="1" s="355">
      <c r="B174" s="354" t="inlineStr">
        <is>
          <t>General Accounting &amp; Sox</t>
        </is>
      </c>
      <c r="C174" s="354" t="n">
        <v>10</v>
      </c>
      <c r="D174" s="494" t="n">
        <v>0.12</v>
      </c>
      <c r="E174" s="494">
        <f>D174*C174*250</f>
        <v/>
      </c>
      <c r="F174" s="495">
        <f>E174*1.3</f>
        <v/>
      </c>
    </row>
    <row r="175" ht="12.75" customHeight="1" s="355">
      <c r="B175" s="354" t="n"/>
      <c r="C175" s="354" t="n"/>
      <c r="D175" s="354" t="n"/>
      <c r="E175" s="354" t="n"/>
      <c r="F175" s="495" t="n"/>
    </row>
    <row r="176" ht="12.75" customHeight="1" s="355">
      <c r="B176" s="354" t="inlineStr">
        <is>
          <t>Fixed Assets</t>
        </is>
      </c>
      <c r="C176" s="354" t="n">
        <v>10</v>
      </c>
      <c r="D176" s="494" t="n">
        <v>0.12</v>
      </c>
      <c r="E176" s="494">
        <f>D176*C176*250</f>
        <v/>
      </c>
      <c r="F176" s="495">
        <f>E176*1.3</f>
        <v/>
      </c>
    </row>
    <row r="177" ht="12.75" customHeight="1" s="355">
      <c r="B177" s="354" t="n"/>
      <c r="C177" s="354" t="n"/>
      <c r="D177" s="354" t="n"/>
      <c r="E177" s="354" t="n"/>
      <c r="F177" s="495" t="n"/>
    </row>
    <row r="178" ht="12.75" customHeight="1" s="355">
      <c r="B178" s="354" t="inlineStr">
        <is>
          <t>Accounts Payable</t>
        </is>
      </c>
      <c r="C178" s="354" t="n">
        <v>15</v>
      </c>
      <c r="D178" s="494" t="n">
        <v>0.12</v>
      </c>
      <c r="E178" s="494">
        <f>D178*C178*250</f>
        <v/>
      </c>
      <c r="F178" s="495">
        <f>E178*1.3</f>
        <v/>
      </c>
    </row>
    <row r="179" ht="12.75" customHeight="1" s="355">
      <c r="B179" s="354" t="n"/>
      <c r="C179" s="354" t="n"/>
      <c r="D179" s="354" t="n"/>
      <c r="E179" s="354" t="n"/>
      <c r="F179" s="495" t="n"/>
    </row>
    <row r="180" ht="12.75" customHeight="1" s="355">
      <c r="B180" s="354" t="inlineStr">
        <is>
          <t>T&amp;E</t>
        </is>
      </c>
      <c r="C180" s="354" t="n">
        <v>15</v>
      </c>
      <c r="D180" s="494" t="n">
        <v>0.12</v>
      </c>
      <c r="E180" s="494">
        <f>D180*C180*250</f>
        <v/>
      </c>
      <c r="F180" s="495">
        <f>E180*1.3</f>
        <v/>
      </c>
    </row>
    <row r="181" ht="12.75" customHeight="1" s="355">
      <c r="B181" s="354" t="n"/>
      <c r="C181" s="354" t="n"/>
      <c r="D181" s="354" t="n"/>
      <c r="E181" s="354" t="n"/>
      <c r="F181" s="495" t="n"/>
    </row>
    <row r="182" ht="12.75" customHeight="1" s="355">
      <c r="B182" s="354" t="inlineStr">
        <is>
          <t>Order to Cash</t>
        </is>
      </c>
      <c r="C182" s="354" t="n">
        <v>25</v>
      </c>
      <c r="D182" s="494" t="n">
        <v>0.12</v>
      </c>
      <c r="E182" s="494">
        <f>D182*C182*250</f>
        <v/>
      </c>
      <c r="F182" s="495">
        <f>E182*1.3</f>
        <v/>
      </c>
    </row>
    <row r="183" ht="12.75" customHeight="1" s="355">
      <c r="B183" s="354" t="n"/>
      <c r="C183" s="354" t="n"/>
      <c r="D183" s="354" t="n"/>
      <c r="E183" s="354" t="n"/>
      <c r="F183" s="495" t="n"/>
    </row>
    <row r="184" ht="12.75" customHeight="1" s="355">
      <c r="B184" s="354" t="inlineStr">
        <is>
          <t>Requistion to Pay</t>
        </is>
      </c>
      <c r="C184" s="354" t="n">
        <v>40</v>
      </c>
      <c r="D184" s="494" t="n">
        <v>0.12</v>
      </c>
      <c r="E184" s="494">
        <f>D184*C184*250</f>
        <v/>
      </c>
      <c r="F184" s="495">
        <f>E184*1.3</f>
        <v/>
      </c>
    </row>
  </sheetData>
  <printOptions horizontalCentered="0" verticalCentered="0" headings="0" gridLines="0" gridLinesSet="1"/>
  <pageMargins left="0.747916666666667" right="0.747916666666667" top="0.9840277777777779" bottom="0.9840277777777779" header="0.5" footer="0.5"/>
  <pageSetup orientation="portrait" paperSize="1" scale="100" fitToHeight="3"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5.xml><?xml version="1.0" encoding="utf-8"?>
<worksheet xmlns="http://schemas.openxmlformats.org/spreadsheetml/2006/main">
  <sheetPr filterMode="0">
    <tabColor rgb="FFFFFF00"/>
    <outlinePr summaryBelow="1" summaryRight="1"/>
    <pageSetUpPr fitToPage="1"/>
  </sheetPr>
  <dimension ref="A1:R80"/>
  <sheetViews>
    <sheetView showFormulas="0" showGridLines="1" showRowColHeaders="1" showZeros="1" rightToLeft="0" tabSelected="0" showOutlineSymbols="1" defaultGridColor="1" view="normal" topLeftCell="A34" colorId="64" zoomScale="50" zoomScaleNormal="50" zoomScalePageLayoutView="100" workbookViewId="0">
      <selection pane="topLeft" activeCell="A1" activeCellId="0" sqref="A1:R81"/>
    </sheetView>
  </sheetViews>
  <sheetFormatPr baseColWidth="8" defaultColWidth="8.3984375" defaultRowHeight="12.75" customHeight="1" zeroHeight="0" outlineLevelRow="0"/>
  <cols>
    <col width="30.92" customWidth="1" style="407" min="1" max="1"/>
    <col width="9.9" customWidth="1" style="407" min="2" max="2"/>
    <col width="9.449999999999999" customWidth="1" style="407" min="3" max="3"/>
    <col width="10.95" customWidth="1" style="407" min="4" max="8"/>
    <col width="10.35" customWidth="1" style="407" min="9" max="9"/>
    <col width="10.65" customWidth="1" style="407" min="10" max="10"/>
    <col width="12.15" customWidth="1" style="407" min="11" max="12"/>
    <col width="10.95" customWidth="1" style="407" min="13" max="13"/>
    <col width="8.4" customWidth="1" style="407" min="14" max="17"/>
    <col width="10.65" customWidth="1" style="407" min="18" max="18"/>
    <col width="8.4" customWidth="1" style="407" min="19" max="257"/>
  </cols>
  <sheetData>
    <row r="1" ht="18.75" customHeight="1" s="355">
      <c r="A1" s="445" t="inlineStr">
        <is>
          <t>TRANSITION CHARGES (US$)</t>
        </is>
      </c>
    </row>
    <row r="2" ht="9.75" customHeight="1" s="355"/>
    <row r="3" ht="13.5" customHeight="1" s="355">
      <c r="A3" s="496" t="inlineStr">
        <is>
          <t>Description</t>
        </is>
      </c>
      <c r="B3" s="497" t="inlineStr">
        <is>
          <t>Q1</t>
        </is>
      </c>
      <c r="C3" s="498" t="inlineStr">
        <is>
          <t>Q2</t>
        </is>
      </c>
      <c r="D3" s="498" t="inlineStr">
        <is>
          <t>Q3</t>
        </is>
      </c>
      <c r="E3" s="498" t="inlineStr">
        <is>
          <t>Q4</t>
        </is>
      </c>
      <c r="F3" s="499" t="inlineStr">
        <is>
          <t>Year 1</t>
        </is>
      </c>
      <c r="G3" s="497" t="inlineStr">
        <is>
          <t>Q1</t>
        </is>
      </c>
      <c r="H3" s="498" t="inlineStr">
        <is>
          <t>Q2</t>
        </is>
      </c>
      <c r="I3" s="498" t="inlineStr">
        <is>
          <t>Q3</t>
        </is>
      </c>
      <c r="J3" s="498" t="inlineStr">
        <is>
          <t>Q4</t>
        </is>
      </c>
      <c r="K3" s="500" t="inlineStr">
        <is>
          <t>Year 2</t>
        </is>
      </c>
      <c r="L3" s="501" t="inlineStr">
        <is>
          <t>Year 3</t>
        </is>
      </c>
      <c r="M3" s="502" t="inlineStr">
        <is>
          <t>Year 4</t>
        </is>
      </c>
      <c r="N3" s="502" t="inlineStr">
        <is>
          <t>Year 5</t>
        </is>
      </c>
      <c r="O3" s="502" t="inlineStr">
        <is>
          <t>Year 6</t>
        </is>
      </c>
      <c r="P3" s="502" t="inlineStr">
        <is>
          <t>Year 7</t>
        </is>
      </c>
      <c r="Q3" s="502" t="inlineStr">
        <is>
          <t>Year 8</t>
        </is>
      </c>
      <c r="R3" s="500" t="inlineStr">
        <is>
          <t>Total</t>
        </is>
      </c>
    </row>
    <row r="4" ht="13.5" customHeight="1" s="355">
      <c r="A4" s="503" t="inlineStr">
        <is>
          <t>General Accounting &amp; Sox - TRANSITION ONLY</t>
        </is>
      </c>
      <c r="B4" s="504" t="n"/>
      <c r="C4" s="504" t="n"/>
      <c r="D4" s="504" t="n"/>
      <c r="E4" s="504" t="n"/>
      <c r="F4" s="504" t="n"/>
      <c r="G4" s="504" t="n"/>
      <c r="H4" s="504" t="n"/>
      <c r="I4" s="504" t="n"/>
      <c r="J4" s="504" t="n"/>
      <c r="K4" s="504" t="n"/>
      <c r="L4" s="504" t="n"/>
      <c r="M4" s="504" t="n"/>
      <c r="N4" s="504" t="n"/>
      <c r="O4" s="504" t="n"/>
      <c r="P4" s="504" t="n"/>
      <c r="Q4" s="504" t="n"/>
      <c r="R4" s="505" t="n"/>
    </row>
    <row r="5" ht="13.5" customHeight="1" s="355">
      <c r="A5" s="506" t="inlineStr">
        <is>
          <t>General Accounting &amp; Sox</t>
        </is>
      </c>
      <c r="B5" s="507" t="n"/>
      <c r="C5" s="508" t="n"/>
      <c r="D5" s="509" t="n"/>
      <c r="E5" s="510" t="n"/>
      <c r="F5" s="511" t="n"/>
      <c r="G5" s="512" t="n"/>
      <c r="H5" s="513" t="n"/>
      <c r="I5" s="513" t="n"/>
      <c r="J5" s="514" t="n"/>
      <c r="K5" s="511" t="n"/>
      <c r="L5" s="512" t="n"/>
      <c r="M5" s="513" t="n"/>
      <c r="N5" s="513" t="n"/>
      <c r="O5" s="513" t="n"/>
      <c r="P5" s="514" t="n"/>
      <c r="Q5" s="514" t="n"/>
      <c r="R5" s="511" t="n"/>
    </row>
    <row r="6" ht="12.75" customHeight="1" s="355">
      <c r="A6" s="515" t="inlineStr">
        <is>
          <t>Labor</t>
        </is>
      </c>
      <c r="B6" s="516" t="n">
        <v>0</v>
      </c>
      <c r="C6" s="516" t="n">
        <v>0</v>
      </c>
      <c r="D6" s="516" t="n">
        <v>8505.86689814815</v>
      </c>
      <c r="E6" s="516" t="n">
        <v>12244.8229166667</v>
      </c>
      <c r="F6" s="517" t="n">
        <v>20750.6898148148</v>
      </c>
      <c r="G6" s="516" t="n">
        <v>12109.2372685185</v>
      </c>
      <c r="H6" s="518" t="n">
        <v>11973.6516203704</v>
      </c>
      <c r="I6" s="518" t="n">
        <v>11838.0659722222</v>
      </c>
      <c r="J6" s="519" t="n">
        <v>11702.4803240741</v>
      </c>
      <c r="K6" s="517" t="n">
        <v>47623.4351851852</v>
      </c>
      <c r="L6" s="519" t="n">
        <v>45454.0648148148</v>
      </c>
      <c r="M6" s="519" t="n">
        <v>25282.6851851852</v>
      </c>
      <c r="N6" s="520" t="n"/>
      <c r="O6" s="520" t="n"/>
      <c r="P6" s="521" t="n"/>
      <c r="Q6" s="521" t="n"/>
      <c r="R6" s="522">
        <f>SUM(K6:Q6)+F6</f>
        <v/>
      </c>
    </row>
    <row r="7" ht="12.75" customHeight="1" s="355">
      <c r="A7" s="523" t="inlineStr">
        <is>
          <t>Hardware/Ship</t>
        </is>
      </c>
      <c r="B7" s="516" t="n">
        <v>0</v>
      </c>
      <c r="C7" s="516" t="n">
        <v>0</v>
      </c>
      <c r="D7" s="516" t="n">
        <v>0</v>
      </c>
      <c r="E7" s="516" t="n">
        <v>0</v>
      </c>
      <c r="F7" s="517" t="n">
        <v>0</v>
      </c>
      <c r="G7" s="516" t="n">
        <v>0</v>
      </c>
      <c r="H7" s="518" t="n">
        <v>0</v>
      </c>
      <c r="I7" s="518" t="n">
        <v>0</v>
      </c>
      <c r="J7" s="519" t="n">
        <v>0</v>
      </c>
      <c r="K7" s="517" t="n">
        <v>0</v>
      </c>
      <c r="L7" s="524" t="n">
        <v>0</v>
      </c>
      <c r="M7" s="524" t="n">
        <v>0</v>
      </c>
      <c r="N7" s="520" t="n"/>
      <c r="O7" s="520" t="n"/>
      <c r="P7" s="521" t="n"/>
      <c r="Q7" s="521" t="n"/>
      <c r="R7" s="522">
        <f>SUM(K7:Q7)+F7</f>
        <v/>
      </c>
    </row>
    <row r="8" ht="12.75" customHeight="1" s="355">
      <c r="A8" s="515" t="inlineStr">
        <is>
          <t>Software</t>
        </is>
      </c>
      <c r="B8" s="516" t="n">
        <v>0</v>
      </c>
      <c r="C8" s="516" t="n">
        <v>0</v>
      </c>
      <c r="D8" s="516" t="n">
        <v>0</v>
      </c>
      <c r="E8" s="516" t="n">
        <v>0</v>
      </c>
      <c r="F8" s="517" t="n">
        <v>0</v>
      </c>
      <c r="G8" s="516" t="n">
        <v>0</v>
      </c>
      <c r="H8" s="525" t="n">
        <v>0</v>
      </c>
      <c r="I8" s="525" t="n">
        <v>0</v>
      </c>
      <c r="J8" s="526" t="n">
        <v>0</v>
      </c>
      <c r="K8" s="517" t="n">
        <v>0</v>
      </c>
      <c r="L8" s="527" t="n">
        <v>0</v>
      </c>
      <c r="M8" s="527" t="n">
        <v>0</v>
      </c>
      <c r="N8" s="528" t="n"/>
      <c r="O8" s="528" t="n"/>
      <c r="P8" s="529" t="n"/>
      <c r="Q8" s="529" t="n"/>
      <c r="R8" s="522">
        <f>SUM(K8:Q8)+F8</f>
        <v/>
      </c>
    </row>
    <row r="9" ht="12.75" customHeight="1" s="355">
      <c r="A9" s="523" t="inlineStr">
        <is>
          <t>Travel</t>
        </is>
      </c>
      <c r="B9" s="516" t="n">
        <v>1783.49467592593</v>
      </c>
      <c r="C9" s="516" t="n">
        <v>1763.89583333333</v>
      </c>
      <c r="D9" s="516" t="n">
        <v>16277.0385352366</v>
      </c>
      <c r="E9" s="516" t="n">
        <v>21431.3561985597</v>
      </c>
      <c r="F9" s="517" t="n">
        <v>41255.7852430556</v>
      </c>
      <c r="G9" s="516" t="n">
        <v>21193.4457240226</v>
      </c>
      <c r="H9" s="525" t="n">
        <v>20955.5352494856</v>
      </c>
      <c r="I9" s="525" t="n">
        <v>20717.6247749486</v>
      </c>
      <c r="J9" s="526" t="n">
        <v>20479.7143004115</v>
      </c>
      <c r="K9" s="517" t="n">
        <v>83346.32004886831</v>
      </c>
      <c r="L9" s="519" t="n">
        <v>79539.7524562757</v>
      </c>
      <c r="M9" s="519" t="n">
        <v>39954.2891268004</v>
      </c>
      <c r="N9" s="528" t="n"/>
      <c r="O9" s="528" t="n"/>
      <c r="P9" s="529" t="n"/>
      <c r="Q9" s="529" t="n"/>
      <c r="R9" s="522">
        <f>SUM(K9:Q9)+F9</f>
        <v/>
      </c>
    </row>
    <row r="10" ht="12.75" customHeight="1" s="355">
      <c r="A10" s="523" t="inlineStr">
        <is>
          <t>Hires / M&amp;Ls</t>
        </is>
      </c>
      <c r="B10" s="516" t="n">
        <v>0</v>
      </c>
      <c r="C10" s="516" t="n">
        <v>0</v>
      </c>
      <c r="D10" s="516" t="n">
        <v>0</v>
      </c>
      <c r="E10" s="516" t="n">
        <v>0</v>
      </c>
      <c r="F10" s="517" t="n">
        <v>0</v>
      </c>
      <c r="G10" s="516" t="n">
        <v>0</v>
      </c>
      <c r="H10" s="516" t="n">
        <v>0</v>
      </c>
      <c r="I10" s="516" t="n">
        <v>0</v>
      </c>
      <c r="J10" s="516" t="n">
        <v>0</v>
      </c>
      <c r="K10" s="517" t="n">
        <v>0</v>
      </c>
      <c r="L10" s="527" t="n">
        <v>0</v>
      </c>
      <c r="M10" s="527" t="n">
        <v>0</v>
      </c>
      <c r="N10" s="528" t="n"/>
      <c r="O10" s="528" t="n"/>
      <c r="P10" s="529" t="n"/>
      <c r="Q10" s="529" t="n"/>
      <c r="R10" s="522">
        <f>SUM(K10:Q10)+F10</f>
        <v/>
      </c>
    </row>
    <row r="11" ht="12.75" customHeight="1" s="355">
      <c r="A11" s="523" t="inlineStr">
        <is>
          <t>Consulting</t>
        </is>
      </c>
      <c r="B11" s="516" t="n">
        <v>784.664351851852</v>
      </c>
      <c r="C11" s="516" t="n">
        <v>776.041666666667</v>
      </c>
      <c r="D11" s="516" t="n">
        <v>4886.55574845679</v>
      </c>
      <c r="E11" s="516" t="n">
        <v>6863.66705246914</v>
      </c>
      <c r="F11" s="517" t="n">
        <v>13310.9288194444</v>
      </c>
      <c r="G11" s="516" t="n">
        <v>6787.46045524691</v>
      </c>
      <c r="H11" s="525" t="n">
        <v>6711.25385802469</v>
      </c>
      <c r="I11" s="525" t="n">
        <v>6635.04726080247</v>
      </c>
      <c r="J11" s="526" t="n">
        <v>6558.84066358025</v>
      </c>
      <c r="K11" s="517" t="n">
        <v>26692.6022376543</v>
      </c>
      <c r="L11" s="519" t="n">
        <v>25473.2966820988</v>
      </c>
      <c r="M11" s="519" t="n">
        <v>12711.1410108025</v>
      </c>
      <c r="N11" s="528" t="n"/>
      <c r="O11" s="528" t="n"/>
      <c r="P11" s="529" t="n"/>
      <c r="Q11" s="529" t="n"/>
      <c r="R11" s="522">
        <f>SUM(K11:Q11)+F11</f>
        <v/>
      </c>
    </row>
    <row r="12" ht="13.5" customHeight="1" s="355">
      <c r="A12" s="523" t="inlineStr">
        <is>
          <t>Communications</t>
        </is>
      </c>
      <c r="B12" s="516" t="n">
        <v>0</v>
      </c>
      <c r="C12" s="516" t="n">
        <v>0</v>
      </c>
      <c r="D12" s="516" t="n">
        <v>0</v>
      </c>
      <c r="E12" s="516" t="n">
        <v>0</v>
      </c>
      <c r="F12" s="517" t="n">
        <v>0</v>
      </c>
      <c r="G12" s="516" t="n">
        <v>0</v>
      </c>
      <c r="H12" s="516" t="n">
        <v>0</v>
      </c>
      <c r="I12" s="516" t="n">
        <v>0</v>
      </c>
      <c r="J12" s="516" t="n">
        <v>0</v>
      </c>
      <c r="K12" s="517" t="n">
        <v>0</v>
      </c>
      <c r="L12" s="527" t="n">
        <v>0</v>
      </c>
      <c r="M12" s="527" t="n">
        <v>0</v>
      </c>
      <c r="N12" s="528" t="n"/>
      <c r="O12" s="528" t="n"/>
      <c r="P12" s="529" t="n"/>
      <c r="Q12" s="529" t="n"/>
      <c r="R12" s="522">
        <f>SUM(K12:Q12)+F12</f>
        <v/>
      </c>
    </row>
    <row r="13" ht="13.15" customHeight="1" s="355">
      <c r="A13" s="530" t="inlineStr">
        <is>
          <t>TOTAL General Accounting &amp; Sox</t>
        </is>
      </c>
      <c r="B13" s="531" t="n">
        <v>2568.15902777778</v>
      </c>
      <c r="C13" s="532" t="n">
        <v>2539.9375</v>
      </c>
      <c r="D13" s="532" t="n">
        <v>29669.4611818416</v>
      </c>
      <c r="E13" s="533" t="n">
        <v>40539.8461676955</v>
      </c>
      <c r="F13" s="534" t="n">
        <v>75317.40387731481</v>
      </c>
      <c r="G13" s="533" t="n">
        <v>40090.1434477881</v>
      </c>
      <c r="H13" s="532" t="n">
        <v>39640.4407278807</v>
      </c>
      <c r="I13" s="532" t="n">
        <v>39190.7380079733</v>
      </c>
      <c r="J13" s="533" t="n">
        <v>38741.0352880659</v>
      </c>
      <c r="K13" s="534" t="n">
        <v>157662.357471708</v>
      </c>
      <c r="L13" s="535" t="n">
        <v>150467.113953189</v>
      </c>
      <c r="M13" s="460" t="n">
        <v>77948.1153227881</v>
      </c>
      <c r="N13" s="460">
        <f>SUM(N6:N12)</f>
        <v/>
      </c>
      <c r="O13" s="460">
        <f>SUM(O6:O12)</f>
        <v/>
      </c>
      <c r="P13" s="536">
        <f>SUM(P6:P12)</f>
        <v/>
      </c>
      <c r="Q13" s="536">
        <f>SUM(Q6:Q12)</f>
        <v/>
      </c>
      <c r="R13" s="537">
        <f>SUM(R6:R12)</f>
        <v/>
      </c>
    </row>
    <row r="14" ht="13.5" customHeight="1" s="355">
      <c r="B14" s="363" t="n"/>
      <c r="C14" s="363" t="n"/>
      <c r="D14" s="363" t="n"/>
      <c r="E14" s="363" t="n"/>
      <c r="F14" s="364" t="n"/>
      <c r="G14" s="363" t="n"/>
      <c r="H14" s="363" t="n"/>
      <c r="I14" s="363" t="n"/>
      <c r="J14" s="363" t="n"/>
      <c r="K14" s="364" t="n"/>
      <c r="L14" s="363" t="n"/>
      <c r="M14" s="363" t="n"/>
      <c r="N14" s="363" t="n"/>
      <c r="O14" s="363" t="n"/>
      <c r="P14" s="363" t="n"/>
      <c r="Q14" s="363" t="n"/>
      <c r="R14" s="364" t="n"/>
    </row>
    <row r="15" ht="13.5" customHeight="1" s="355">
      <c r="A15" s="503" t="inlineStr">
        <is>
          <t>Fixed Assets - TRANSITION ONLY</t>
        </is>
      </c>
      <c r="B15" s="504" t="n"/>
      <c r="C15" s="504" t="n"/>
      <c r="D15" s="504" t="n"/>
      <c r="E15" s="504" t="n"/>
      <c r="F15" s="504" t="n"/>
      <c r="G15" s="504" t="n"/>
      <c r="H15" s="504" t="n"/>
      <c r="I15" s="504" t="n"/>
      <c r="J15" s="504" t="n"/>
      <c r="K15" s="504" t="n"/>
      <c r="L15" s="504" t="n"/>
      <c r="M15" s="504" t="n"/>
      <c r="N15" s="504" t="n"/>
      <c r="O15" s="504" t="n"/>
      <c r="P15" s="504" t="n"/>
      <c r="Q15" s="504" t="n"/>
      <c r="R15" s="505" t="n"/>
    </row>
    <row r="16" ht="13.5" customHeight="1" s="355">
      <c r="A16" s="506" t="inlineStr">
        <is>
          <t>Fixed Assets</t>
        </is>
      </c>
      <c r="B16" s="507" t="n"/>
      <c r="C16" s="509" t="n"/>
      <c r="D16" s="509" t="n"/>
      <c r="E16" s="510" t="n"/>
      <c r="F16" s="511" t="n"/>
      <c r="G16" s="512" t="n"/>
      <c r="H16" s="513" t="n"/>
      <c r="I16" s="513" t="n"/>
      <c r="J16" s="514" t="n"/>
      <c r="K16" s="511" t="n"/>
      <c r="L16" s="512" t="n"/>
      <c r="M16" s="513" t="n"/>
      <c r="N16" s="513" t="n"/>
      <c r="O16" s="513" t="n"/>
      <c r="P16" s="514" t="n"/>
      <c r="Q16" s="514" t="n"/>
      <c r="R16" s="511" t="n"/>
    </row>
    <row r="17" ht="12.75" customHeight="1" s="355">
      <c r="A17" s="515" t="inlineStr">
        <is>
          <t>Labor</t>
        </is>
      </c>
      <c r="B17" s="516" t="n">
        <v>0</v>
      </c>
      <c r="C17" s="516" t="n">
        <v>0</v>
      </c>
      <c r="D17" s="516" t="n">
        <v>2175.58159722222</v>
      </c>
      <c r="E17" s="516" t="n">
        <v>2254.65848214286</v>
      </c>
      <c r="F17" s="517" t="n">
        <v>4430.24007936508</v>
      </c>
      <c r="G17" s="516" t="n">
        <v>2229.61929563492</v>
      </c>
      <c r="H17" s="516" t="n">
        <v>2204.58010912698</v>
      </c>
      <c r="I17" s="516" t="n">
        <v>2179.54092261905</v>
      </c>
      <c r="J17" s="516" t="n">
        <v>2154.50173611111</v>
      </c>
      <c r="K17" s="517" t="n">
        <v>8768.24206349206</v>
      </c>
      <c r="L17" s="519" t="n">
        <v>8367.61507936508</v>
      </c>
      <c r="M17" s="519" t="n">
        <v>4124.10813492064</v>
      </c>
      <c r="N17" s="520" t="n"/>
      <c r="O17" s="520" t="n"/>
      <c r="P17" s="521" t="n"/>
      <c r="Q17" s="521" t="n"/>
      <c r="R17" s="522">
        <f>SUM(K17:Q17)+F17</f>
        <v/>
      </c>
    </row>
    <row r="18" ht="12.75" customHeight="1" s="355">
      <c r="A18" s="523" t="inlineStr">
        <is>
          <t>Hardware/Ship</t>
        </is>
      </c>
      <c r="B18" s="516" t="n">
        <v>0</v>
      </c>
      <c r="C18" s="516" t="n">
        <v>0</v>
      </c>
      <c r="D18" s="516" t="n">
        <v>0</v>
      </c>
      <c r="E18" s="516" t="n">
        <v>0</v>
      </c>
      <c r="F18" s="517" t="n">
        <v>0</v>
      </c>
      <c r="G18" s="516" t="n">
        <v>0</v>
      </c>
      <c r="H18" s="516" t="n">
        <v>0</v>
      </c>
      <c r="I18" s="516" t="n">
        <v>0</v>
      </c>
      <c r="J18" s="516" t="n">
        <v>0</v>
      </c>
      <c r="K18" s="517" t="n">
        <v>0</v>
      </c>
      <c r="L18" s="524" t="n">
        <v>0</v>
      </c>
      <c r="M18" s="524" t="n">
        <v>0</v>
      </c>
      <c r="N18" s="520" t="n"/>
      <c r="O18" s="520" t="n"/>
      <c r="P18" s="521" t="n"/>
      <c r="Q18" s="521" t="n"/>
      <c r="R18" s="522">
        <f>SUM(K18:Q18)+F18</f>
        <v/>
      </c>
    </row>
    <row r="19" ht="12.75" customHeight="1" s="355">
      <c r="A19" s="515" t="inlineStr">
        <is>
          <t>Software</t>
        </is>
      </c>
      <c r="B19" s="516" t="n">
        <v>0</v>
      </c>
      <c r="C19" s="516" t="n">
        <v>0</v>
      </c>
      <c r="D19" s="516" t="n">
        <v>0</v>
      </c>
      <c r="E19" s="516" t="n">
        <v>0</v>
      </c>
      <c r="F19" s="517" t="n">
        <v>0</v>
      </c>
      <c r="G19" s="516" t="n">
        <v>0</v>
      </c>
      <c r="H19" s="516" t="n">
        <v>0</v>
      </c>
      <c r="I19" s="516" t="n">
        <v>0</v>
      </c>
      <c r="J19" s="516" t="n">
        <v>0</v>
      </c>
      <c r="K19" s="517" t="n">
        <v>0</v>
      </c>
      <c r="L19" s="527" t="n">
        <v>0</v>
      </c>
      <c r="M19" s="527" t="n">
        <v>0</v>
      </c>
      <c r="N19" s="528" t="n"/>
      <c r="O19" s="528" t="n"/>
      <c r="P19" s="529" t="n"/>
      <c r="Q19" s="529" t="n"/>
      <c r="R19" s="522">
        <f>SUM(K19:Q19)+F19</f>
        <v/>
      </c>
    </row>
    <row r="20" ht="12.75" customHeight="1" s="355">
      <c r="A20" s="523" t="inlineStr">
        <is>
          <t>Travel</t>
        </is>
      </c>
      <c r="B20" s="516" t="n">
        <v>382.177430555556</v>
      </c>
      <c r="C20" s="516" t="n">
        <v>377.977678571429</v>
      </c>
      <c r="D20" s="516" t="n">
        <v>4292.42016231261</v>
      </c>
      <c r="E20" s="516" t="n">
        <v>4426.88882826279</v>
      </c>
      <c r="F20" s="517" t="n">
        <v>9479.46409970238</v>
      </c>
      <c r="G20" s="516" t="n">
        <v>4377.63003610009</v>
      </c>
      <c r="H20" s="516" t="n">
        <v>4328.37124393739</v>
      </c>
      <c r="I20" s="516" t="n">
        <v>4279.11245177469</v>
      </c>
      <c r="J20" s="516" t="n">
        <v>4229.85365961199</v>
      </c>
      <c r="K20" s="517" t="n">
        <v>17214.9673914242</v>
      </c>
      <c r="L20" s="519" t="n">
        <v>16426.826716821</v>
      </c>
      <c r="M20" s="519" t="n">
        <v>7418.26255098104</v>
      </c>
      <c r="N20" s="528" t="n"/>
      <c r="O20" s="528" t="n"/>
      <c r="P20" s="529" t="n"/>
      <c r="Q20" s="529" t="n"/>
      <c r="R20" s="522">
        <f>SUM(K20:Q20)+F20</f>
        <v/>
      </c>
    </row>
    <row r="21" ht="12.75" customHeight="1" s="355">
      <c r="A21" s="523" t="inlineStr">
        <is>
          <t>Hires / M&amp;Ls</t>
        </is>
      </c>
      <c r="B21" s="516" t="n">
        <v>0</v>
      </c>
      <c r="C21" s="516" t="n">
        <v>0</v>
      </c>
      <c r="D21" s="516" t="n">
        <v>0</v>
      </c>
      <c r="E21" s="516" t="n">
        <v>0</v>
      </c>
      <c r="F21" s="517" t="n">
        <v>0</v>
      </c>
      <c r="G21" s="516" t="n">
        <v>0</v>
      </c>
      <c r="H21" s="516" t="n">
        <v>0</v>
      </c>
      <c r="I21" s="516" t="n">
        <v>0</v>
      </c>
      <c r="J21" s="516" t="n">
        <v>0</v>
      </c>
      <c r="K21" s="517" t="n">
        <v>0</v>
      </c>
      <c r="L21" s="527" t="n">
        <v>0</v>
      </c>
      <c r="M21" s="527" t="n">
        <v>0</v>
      </c>
      <c r="N21" s="528" t="n"/>
      <c r="O21" s="528" t="n"/>
      <c r="P21" s="529" t="n"/>
      <c r="Q21" s="529" t="n"/>
      <c r="R21" s="522">
        <f>SUM(K21:Q21)+F21</f>
        <v/>
      </c>
    </row>
    <row r="22" ht="12.75" customHeight="1" s="355">
      <c r="A22" s="523" t="inlineStr">
        <is>
          <t>Consulting</t>
        </is>
      </c>
      <c r="B22" s="516" t="n">
        <v>168.142361111111</v>
      </c>
      <c r="C22" s="516" t="n">
        <v>166.294642857143</v>
      </c>
      <c r="D22" s="516" t="n">
        <v>1047.11908895503</v>
      </c>
      <c r="E22" s="516" t="n">
        <v>1470.78579695767</v>
      </c>
      <c r="F22" s="517" t="n">
        <v>2852.34188988095</v>
      </c>
      <c r="G22" s="516" t="n">
        <v>1454.45581183862</v>
      </c>
      <c r="H22" s="516" t="n">
        <v>1438.12582671958</v>
      </c>
      <c r="I22" s="516" t="n">
        <v>1421.79584160053</v>
      </c>
      <c r="J22" s="516" t="n">
        <v>1405.46585648148</v>
      </c>
      <c r="K22" s="517" t="n">
        <v>5719.84333664021</v>
      </c>
      <c r="L22" s="519" t="n">
        <v>5458.56357473545</v>
      </c>
      <c r="M22" s="519" t="n">
        <v>2723.81593088624</v>
      </c>
      <c r="N22" s="528" t="n"/>
      <c r="O22" s="528" t="n"/>
      <c r="P22" s="529" t="n"/>
      <c r="Q22" s="529" t="n"/>
      <c r="R22" s="522">
        <f>SUM(K22:Q22)+F22</f>
        <v/>
      </c>
    </row>
    <row r="23" ht="13.5" customHeight="1" s="355">
      <c r="A23" s="523" t="inlineStr">
        <is>
          <t>Communications</t>
        </is>
      </c>
      <c r="B23" s="516" t="n">
        <v>0</v>
      </c>
      <c r="C23" s="516" t="n">
        <v>0</v>
      </c>
      <c r="D23" s="516" t="n">
        <v>0</v>
      </c>
      <c r="E23" s="516" t="n">
        <v>0</v>
      </c>
      <c r="F23" s="517" t="n">
        <v>0</v>
      </c>
      <c r="G23" s="516" t="n">
        <v>0</v>
      </c>
      <c r="H23" s="516" t="n">
        <v>0</v>
      </c>
      <c r="I23" s="516" t="n">
        <v>0</v>
      </c>
      <c r="J23" s="516" t="n">
        <v>0</v>
      </c>
      <c r="K23" s="517" t="n">
        <v>0</v>
      </c>
      <c r="L23" s="527" t="n">
        <v>0</v>
      </c>
      <c r="M23" s="527" t="n">
        <v>0</v>
      </c>
      <c r="N23" s="528" t="n"/>
      <c r="O23" s="528" t="n"/>
      <c r="P23" s="529" t="n"/>
      <c r="Q23" s="529" t="n"/>
      <c r="R23" s="522">
        <f>SUM(K23:Q23)+F23</f>
        <v/>
      </c>
    </row>
    <row r="24" ht="13.15" customHeight="1" s="355">
      <c r="A24" s="530" t="inlineStr">
        <is>
          <t>TOTAL Fixed Assets</t>
        </is>
      </c>
      <c r="B24" s="531" t="n">
        <v>550.319791666667</v>
      </c>
      <c r="C24" s="532" t="n">
        <v>544.272321428571</v>
      </c>
      <c r="D24" s="532" t="n">
        <v>7515.12084848986</v>
      </c>
      <c r="E24" s="533" t="n">
        <v>8152.33310736332</v>
      </c>
      <c r="F24" s="534" t="n">
        <v>16762.0460689484</v>
      </c>
      <c r="G24" s="531" t="n">
        <v>8061.70514357363</v>
      </c>
      <c r="H24" s="532" t="n">
        <v>7971.07717978395</v>
      </c>
      <c r="I24" s="532" t="n">
        <v>7880.44921599427</v>
      </c>
      <c r="J24" s="533" t="n">
        <v>7789.82125220459</v>
      </c>
      <c r="K24" s="534" t="n">
        <v>31703.0527915564</v>
      </c>
      <c r="L24" s="535" t="n">
        <v>30253.0053709215</v>
      </c>
      <c r="M24" s="460" t="n">
        <v>14266.1866167879</v>
      </c>
      <c r="N24" s="460">
        <f>SUM(N17:N23)</f>
        <v/>
      </c>
      <c r="O24" s="460">
        <f>SUM(O17:O23)</f>
        <v/>
      </c>
      <c r="P24" s="536">
        <f>SUM(P17:P23)</f>
        <v/>
      </c>
      <c r="Q24" s="536">
        <f>SUM(Q17:Q23)</f>
        <v/>
      </c>
      <c r="R24" s="537">
        <f>SUM(R17:R23)</f>
        <v/>
      </c>
    </row>
    <row r="25" ht="13.5" customHeight="1" s="355">
      <c r="B25" s="363" t="n"/>
      <c r="C25" s="363" t="n"/>
      <c r="D25" s="363" t="n"/>
      <c r="E25" s="363" t="n"/>
      <c r="F25" s="364" t="n"/>
      <c r="G25" s="363" t="n"/>
      <c r="H25" s="363" t="n"/>
      <c r="I25" s="363" t="n"/>
      <c r="J25" s="363" t="n"/>
      <c r="K25" s="364" t="n"/>
      <c r="L25" s="363" t="n"/>
      <c r="M25" s="363" t="n"/>
      <c r="N25" s="363" t="n"/>
      <c r="O25" s="363" t="n"/>
      <c r="P25" s="363" t="n"/>
      <c r="Q25" s="363" t="n"/>
      <c r="R25" s="364" t="n"/>
    </row>
    <row r="26" ht="13.5" customHeight="1" s="355">
      <c r="A26" s="503" t="inlineStr">
        <is>
          <t>Accounts Payable - TRANSITION ONLY</t>
        </is>
      </c>
      <c r="B26" s="504" t="n"/>
      <c r="C26" s="504" t="n"/>
      <c r="D26" s="504" t="n"/>
      <c r="E26" s="504" t="n"/>
      <c r="F26" s="504" t="n"/>
      <c r="G26" s="504" t="n"/>
      <c r="H26" s="504" t="n"/>
      <c r="I26" s="504" t="n"/>
      <c r="J26" s="504" t="n"/>
      <c r="K26" s="504" t="n"/>
      <c r="L26" s="504" t="n"/>
      <c r="M26" s="504" t="n"/>
      <c r="N26" s="504" t="n"/>
      <c r="O26" s="504" t="n"/>
      <c r="P26" s="504" t="n"/>
      <c r="Q26" s="504" t="n"/>
      <c r="R26" s="505" t="n"/>
    </row>
    <row r="27" ht="13.5" customHeight="1" s="355">
      <c r="A27" s="506" t="inlineStr">
        <is>
          <t>Accounts Payable</t>
        </is>
      </c>
      <c r="B27" s="507" t="n"/>
      <c r="C27" s="509" t="n"/>
      <c r="D27" s="509" t="n"/>
      <c r="E27" s="510" t="n"/>
      <c r="F27" s="511" t="n"/>
      <c r="G27" s="512" t="n"/>
      <c r="H27" s="513" t="n"/>
      <c r="I27" s="513" t="n"/>
      <c r="J27" s="514" t="n"/>
      <c r="K27" s="511" t="n"/>
      <c r="L27" s="512" t="n"/>
      <c r="M27" s="513" t="n"/>
      <c r="N27" s="513" t="n"/>
      <c r="O27" s="513" t="n"/>
      <c r="P27" s="514" t="n"/>
      <c r="Q27" s="514" t="n"/>
      <c r="R27" s="511" t="n"/>
    </row>
    <row r="28" ht="12.75" customHeight="1" s="355">
      <c r="A28" s="515" t="inlineStr">
        <is>
          <t>Labor</t>
        </is>
      </c>
      <c r="B28" s="516" t="n">
        <v>0</v>
      </c>
      <c r="C28" s="516" t="n">
        <v>0</v>
      </c>
      <c r="D28" s="516" t="n">
        <v>26911.2488425926</v>
      </c>
      <c r="E28" s="516" t="n">
        <v>37669.1770833333</v>
      </c>
      <c r="F28" s="517" t="n">
        <v>64580.4259259259</v>
      </c>
      <c r="G28" s="516" t="n">
        <v>37251.9803240741</v>
      </c>
      <c r="H28" s="516" t="n">
        <v>36834.7835648148</v>
      </c>
      <c r="I28" s="516" t="n">
        <v>36417.5868055556</v>
      </c>
      <c r="J28" s="516" t="n">
        <v>36000.3900462963</v>
      </c>
      <c r="K28" s="517" t="n">
        <v>146504.740740741</v>
      </c>
      <c r="L28" s="519" t="n">
        <v>139829.592592593</v>
      </c>
      <c r="M28" s="519" t="n">
        <v>77129.1157407407</v>
      </c>
      <c r="N28" s="520" t="n"/>
      <c r="O28" s="520" t="n"/>
      <c r="P28" s="521" t="n"/>
      <c r="Q28" s="521" t="n"/>
      <c r="R28" s="522">
        <f>SUM(K28:Q28)+F28</f>
        <v/>
      </c>
    </row>
    <row r="29" ht="12.75" customHeight="1" s="355">
      <c r="A29" s="523" t="inlineStr">
        <is>
          <t>Hardware/Ship</t>
        </is>
      </c>
      <c r="B29" s="516" t="n">
        <v>0</v>
      </c>
      <c r="C29" s="516" t="n">
        <v>0</v>
      </c>
      <c r="D29" s="516" t="n">
        <v>0</v>
      </c>
      <c r="E29" s="516" t="n">
        <v>0</v>
      </c>
      <c r="F29" s="517" t="n">
        <v>0</v>
      </c>
      <c r="G29" s="516" t="n">
        <v>0</v>
      </c>
      <c r="H29" s="516" t="n">
        <v>0</v>
      </c>
      <c r="I29" s="516" t="n">
        <v>0</v>
      </c>
      <c r="J29" s="516" t="n">
        <v>0</v>
      </c>
      <c r="K29" s="517" t="n">
        <v>0</v>
      </c>
      <c r="L29" s="524" t="n">
        <v>0</v>
      </c>
      <c r="M29" s="524" t="n">
        <v>0</v>
      </c>
      <c r="N29" s="520" t="n"/>
      <c r="O29" s="520" t="n"/>
      <c r="P29" s="521" t="n"/>
      <c r="Q29" s="521" t="n"/>
      <c r="R29" s="522">
        <f>SUM(K29:Q29)+F29</f>
        <v/>
      </c>
    </row>
    <row r="30" ht="12.75" customHeight="1" s="355">
      <c r="A30" s="515" t="inlineStr">
        <is>
          <t>Software</t>
        </is>
      </c>
      <c r="B30" s="516" t="n">
        <v>0</v>
      </c>
      <c r="C30" s="516" t="n">
        <v>0</v>
      </c>
      <c r="D30" s="516" t="n">
        <v>0</v>
      </c>
      <c r="E30" s="516" t="n">
        <v>0</v>
      </c>
      <c r="F30" s="517" t="n">
        <v>0</v>
      </c>
      <c r="G30" s="516" t="n">
        <v>0</v>
      </c>
      <c r="H30" s="516" t="n">
        <v>0</v>
      </c>
      <c r="I30" s="516" t="n">
        <v>0</v>
      </c>
      <c r="J30" s="516" t="n">
        <v>0</v>
      </c>
      <c r="K30" s="517" t="n">
        <v>0</v>
      </c>
      <c r="L30" s="527" t="n">
        <v>0</v>
      </c>
      <c r="M30" s="527" t="n">
        <v>0</v>
      </c>
      <c r="N30" s="528" t="n"/>
      <c r="O30" s="528" t="n"/>
      <c r="P30" s="529" t="n"/>
      <c r="Q30" s="529" t="n"/>
      <c r="R30" s="522">
        <f>SUM(K30:Q30)+F30</f>
        <v/>
      </c>
    </row>
    <row r="31" ht="12.75" customHeight="1" s="355">
      <c r="A31" s="523" t="inlineStr">
        <is>
          <t>Travel</t>
        </is>
      </c>
      <c r="B31" s="516" t="n">
        <v>7133.97870370371</v>
      </c>
      <c r="C31" s="516" t="n">
        <v>7055.58333333333</v>
      </c>
      <c r="D31" s="516" t="n">
        <v>50214.6770576132</v>
      </c>
      <c r="E31" s="516" t="n">
        <v>64267.2997942387</v>
      </c>
      <c r="F31" s="517" t="n">
        <v>128671.538888889</v>
      </c>
      <c r="G31" s="516" t="n">
        <v>63553.2599794239</v>
      </c>
      <c r="H31" s="516" t="n">
        <v>62839.2201646091</v>
      </c>
      <c r="I31" s="516" t="n">
        <v>62125.1803497942</v>
      </c>
      <c r="J31" s="516" t="n">
        <v>61411.1405349794</v>
      </c>
      <c r="K31" s="517" t="n">
        <v>249928.801028807</v>
      </c>
      <c r="L31" s="519" t="n">
        <v>238504.16399177</v>
      </c>
      <c r="M31" s="519" t="n">
        <v>115500.346090535</v>
      </c>
      <c r="N31" s="528" t="n"/>
      <c r="O31" s="528" t="n"/>
      <c r="P31" s="529" t="n"/>
      <c r="Q31" s="529" t="n"/>
      <c r="R31" s="522">
        <f>SUM(K31:Q31)+F31</f>
        <v/>
      </c>
    </row>
    <row r="32" ht="12.75" customHeight="1" s="355">
      <c r="A32" s="523" t="inlineStr">
        <is>
          <t>Hires / M&amp;Ls</t>
        </is>
      </c>
      <c r="B32" s="516" t="n">
        <v>0</v>
      </c>
      <c r="C32" s="516" t="n">
        <v>0</v>
      </c>
      <c r="D32" s="516" t="n">
        <v>0</v>
      </c>
      <c r="E32" s="516" t="n">
        <v>0</v>
      </c>
      <c r="F32" s="517" t="n">
        <v>0</v>
      </c>
      <c r="G32" s="516" t="n">
        <v>0</v>
      </c>
      <c r="H32" s="516" t="n">
        <v>0</v>
      </c>
      <c r="I32" s="516" t="n">
        <v>0</v>
      </c>
      <c r="J32" s="516" t="n">
        <v>0</v>
      </c>
      <c r="K32" s="517" t="n">
        <v>0</v>
      </c>
      <c r="L32" s="527" t="n">
        <v>0</v>
      </c>
      <c r="M32" s="527" t="n">
        <v>0</v>
      </c>
      <c r="N32" s="528" t="n"/>
      <c r="O32" s="528" t="n"/>
      <c r="P32" s="529" t="n"/>
      <c r="Q32" s="529" t="n"/>
      <c r="R32" s="522">
        <f>SUM(K32:Q32)+F32</f>
        <v/>
      </c>
    </row>
    <row r="33" ht="12.75" customHeight="1" s="355">
      <c r="A33" s="523" t="inlineStr">
        <is>
          <t>Consulting</t>
        </is>
      </c>
      <c r="B33" s="516" t="n">
        <v>3138.65740740741</v>
      </c>
      <c r="C33" s="516" t="n">
        <v>3104.16666666667</v>
      </c>
      <c r="D33" s="516" t="n">
        <v>19546.2229938272</v>
      </c>
      <c r="E33" s="516" t="n">
        <v>27454.6682098765</v>
      </c>
      <c r="F33" s="517" t="n">
        <v>53243.7152777778</v>
      </c>
      <c r="G33" s="516" t="n">
        <v>27149.8418209877</v>
      </c>
      <c r="H33" s="516" t="n">
        <v>26845.0154320988</v>
      </c>
      <c r="I33" s="516" t="n">
        <v>26540.1890432099</v>
      </c>
      <c r="J33" s="516" t="n">
        <v>26235.362654321</v>
      </c>
      <c r="K33" s="517" t="n">
        <v>106770.408950617</v>
      </c>
      <c r="L33" s="519" t="n">
        <v>101893.186728395</v>
      </c>
      <c r="M33" s="519" t="n">
        <v>50844.5640432099</v>
      </c>
      <c r="N33" s="528" t="n"/>
      <c r="O33" s="528" t="n"/>
      <c r="P33" s="529" t="n"/>
      <c r="Q33" s="529" t="n"/>
      <c r="R33" s="522">
        <f>SUM(K33:Q33)+F33</f>
        <v/>
      </c>
    </row>
    <row r="34" ht="13.5" customHeight="1" s="355">
      <c r="A34" s="523" t="inlineStr">
        <is>
          <t>Communications</t>
        </is>
      </c>
      <c r="B34" s="516" t="n">
        <v>0</v>
      </c>
      <c r="C34" s="516" t="n">
        <v>0</v>
      </c>
      <c r="D34" s="516" t="n">
        <v>0</v>
      </c>
      <c r="E34" s="516" t="n">
        <v>0</v>
      </c>
      <c r="F34" s="517" t="n">
        <v>0</v>
      </c>
      <c r="G34" s="516" t="n">
        <v>0</v>
      </c>
      <c r="H34" s="516" t="n">
        <v>0</v>
      </c>
      <c r="I34" s="516" t="n">
        <v>0</v>
      </c>
      <c r="J34" s="516" t="n">
        <v>0</v>
      </c>
      <c r="K34" s="517" t="n">
        <v>0</v>
      </c>
      <c r="L34" s="527" t="n">
        <v>0</v>
      </c>
      <c r="M34" s="527" t="n">
        <v>0</v>
      </c>
      <c r="N34" s="528" t="n"/>
      <c r="O34" s="528" t="n"/>
      <c r="P34" s="529" t="n"/>
      <c r="Q34" s="529" t="n"/>
      <c r="R34" s="522">
        <f>SUM(K34:Q34)+F34</f>
        <v/>
      </c>
    </row>
    <row r="35" ht="13.15" customHeight="1" s="355">
      <c r="A35" s="530" t="inlineStr">
        <is>
          <t>TOTAL Accounts Payable</t>
        </is>
      </c>
      <c r="B35" s="531" t="n">
        <v>10272.6361111111</v>
      </c>
      <c r="C35" s="532" t="n">
        <v>10159.75</v>
      </c>
      <c r="D35" s="532" t="n">
        <v>96672.1488940329</v>
      </c>
      <c r="E35" s="533" t="n">
        <v>129391.145087449</v>
      </c>
      <c r="F35" s="534" t="n">
        <v>246495.680092593</v>
      </c>
      <c r="G35" s="531" t="n">
        <v>127955.082124486</v>
      </c>
      <c r="H35" s="532" t="n">
        <v>126519.019161523</v>
      </c>
      <c r="I35" s="532" t="n">
        <v>125082.95619856</v>
      </c>
      <c r="J35" s="533" t="n">
        <v>123646.893235597</v>
      </c>
      <c r="K35" s="534" t="n">
        <v>503203.950720165</v>
      </c>
      <c r="L35" s="535" t="n">
        <v>480226.943312757</v>
      </c>
      <c r="M35" s="460" t="n">
        <v>243474.025874486</v>
      </c>
      <c r="N35" s="460">
        <f>SUM(N28:N34)</f>
        <v/>
      </c>
      <c r="O35" s="460">
        <f>SUM(O28:O34)</f>
        <v/>
      </c>
      <c r="P35" s="536">
        <f>SUM(P28:P34)</f>
        <v/>
      </c>
      <c r="Q35" s="536">
        <f>SUM(Q28:Q34)</f>
        <v/>
      </c>
      <c r="R35" s="537">
        <f>SUM(R28:R34)</f>
        <v/>
      </c>
    </row>
    <row r="36" ht="13.5" customHeight="1" s="355">
      <c r="B36" s="363" t="n"/>
      <c r="C36" s="363" t="n"/>
      <c r="D36" s="363" t="n"/>
      <c r="E36" s="363" t="n"/>
      <c r="F36" s="364" t="n"/>
      <c r="G36" s="363" t="n"/>
      <c r="H36" s="363" t="n"/>
      <c r="I36" s="363" t="n"/>
      <c r="J36" s="363" t="n"/>
      <c r="K36" s="364" t="n"/>
      <c r="L36" s="363" t="n"/>
      <c r="M36" s="363" t="n"/>
      <c r="N36" s="363" t="n"/>
      <c r="O36" s="363" t="n"/>
      <c r="P36" s="363" t="n"/>
      <c r="Q36" s="363" t="n"/>
      <c r="R36" s="364" t="n"/>
    </row>
    <row r="37" ht="13.5" customHeight="1" s="355">
      <c r="A37" s="503" t="inlineStr">
        <is>
          <t>T&amp;E - TRANSITION ONLY</t>
        </is>
      </c>
      <c r="B37" s="504" t="n"/>
      <c r="C37" s="504" t="n"/>
      <c r="D37" s="504" t="n"/>
      <c r="E37" s="504" t="n"/>
      <c r="F37" s="504" t="n"/>
      <c r="G37" s="504" t="n"/>
      <c r="H37" s="504" t="n"/>
      <c r="I37" s="504" t="n"/>
      <c r="J37" s="504" t="n"/>
      <c r="K37" s="504" t="n"/>
      <c r="L37" s="504" t="n"/>
      <c r="M37" s="504" t="n"/>
      <c r="N37" s="504" t="n"/>
      <c r="O37" s="504" t="n"/>
      <c r="P37" s="504" t="n"/>
      <c r="Q37" s="504" t="n"/>
      <c r="R37" s="505" t="n"/>
    </row>
    <row r="38" ht="13.5" customHeight="1" s="355">
      <c r="A38" s="506" t="inlineStr">
        <is>
          <t>T&amp;E</t>
        </is>
      </c>
      <c r="B38" s="507" t="n"/>
      <c r="C38" s="509" t="n"/>
      <c r="D38" s="509" t="n"/>
      <c r="E38" s="510" t="n"/>
      <c r="F38" s="511" t="n"/>
      <c r="G38" s="512" t="n"/>
      <c r="H38" s="513" t="n"/>
      <c r="I38" s="513" t="n"/>
      <c r="J38" s="514" t="n"/>
      <c r="K38" s="511" t="n"/>
      <c r="L38" s="512" t="n"/>
      <c r="M38" s="513" t="n"/>
      <c r="N38" s="513" t="n"/>
      <c r="O38" s="513" t="n"/>
      <c r="P38" s="514" t="n"/>
      <c r="Q38" s="514" t="n"/>
      <c r="R38" s="511" t="n"/>
    </row>
    <row r="39" ht="12.75" customHeight="1" s="355">
      <c r="A39" s="515" t="inlineStr">
        <is>
          <t>Labor</t>
        </is>
      </c>
      <c r="B39" s="516" t="n">
        <v>0</v>
      </c>
      <c r="C39" s="516" t="n">
        <v>0</v>
      </c>
      <c r="D39" s="516" t="n">
        <v>4424.61921296296</v>
      </c>
      <c r="E39" s="516" t="n">
        <v>7528.90327380952</v>
      </c>
      <c r="F39" s="517" t="n">
        <v>11953.5224867725</v>
      </c>
      <c r="G39" s="516" t="n">
        <v>7445.63376322751</v>
      </c>
      <c r="H39" s="516" t="n">
        <v>7362.3642526455</v>
      </c>
      <c r="I39" s="516" t="n">
        <v>7279.09474206349</v>
      </c>
      <c r="J39" s="516" t="n">
        <v>7195.82523148148</v>
      </c>
      <c r="K39" s="517" t="n">
        <v>29282.917989418</v>
      </c>
      <c r="L39" s="519" t="n">
        <v>27950.6058201058</v>
      </c>
      <c r="M39" s="519" t="n">
        <v>16247.4715608466</v>
      </c>
      <c r="N39" s="520" t="n"/>
      <c r="O39" s="520" t="n"/>
      <c r="P39" s="521" t="n"/>
      <c r="Q39" s="521" t="n"/>
      <c r="R39" s="522">
        <f>SUM(K39:Q39)+F39</f>
        <v/>
      </c>
    </row>
    <row r="40" ht="12.75" customHeight="1" s="355">
      <c r="A40" s="523" t="inlineStr">
        <is>
          <t>Hardware/Ship</t>
        </is>
      </c>
      <c r="B40" s="516" t="n">
        <v>0</v>
      </c>
      <c r="C40" s="516" t="n">
        <v>0</v>
      </c>
      <c r="D40" s="516" t="n">
        <v>0</v>
      </c>
      <c r="E40" s="516" t="n">
        <v>0</v>
      </c>
      <c r="F40" s="517" t="n">
        <v>0</v>
      </c>
      <c r="G40" s="516" t="n">
        <v>0</v>
      </c>
      <c r="H40" s="516" t="n">
        <v>0</v>
      </c>
      <c r="I40" s="516" t="n">
        <v>0</v>
      </c>
      <c r="J40" s="516" t="n">
        <v>0</v>
      </c>
      <c r="K40" s="517" t="n">
        <v>0</v>
      </c>
      <c r="L40" s="524" t="n">
        <v>0</v>
      </c>
      <c r="M40" s="524" t="n">
        <v>0</v>
      </c>
      <c r="N40" s="520" t="n"/>
      <c r="O40" s="520" t="n"/>
      <c r="P40" s="521" t="n"/>
      <c r="Q40" s="521" t="n"/>
      <c r="R40" s="522">
        <f>SUM(K40:Q40)+F40</f>
        <v/>
      </c>
    </row>
    <row r="41" ht="12.75" customHeight="1" s="355">
      <c r="A41" s="515" t="inlineStr">
        <is>
          <t>Software</t>
        </is>
      </c>
      <c r="B41" s="516" t="n">
        <v>0</v>
      </c>
      <c r="C41" s="516" t="n">
        <v>0</v>
      </c>
      <c r="D41" s="516" t="n">
        <v>0</v>
      </c>
      <c r="E41" s="516" t="n">
        <v>0</v>
      </c>
      <c r="F41" s="517" t="n">
        <v>0</v>
      </c>
      <c r="G41" s="516" t="n">
        <v>0</v>
      </c>
      <c r="H41" s="516" t="n">
        <v>0</v>
      </c>
      <c r="I41" s="516" t="n">
        <v>0</v>
      </c>
      <c r="J41" s="516" t="n">
        <v>0</v>
      </c>
      <c r="K41" s="517" t="n">
        <v>0</v>
      </c>
      <c r="L41" s="527" t="n">
        <v>0</v>
      </c>
      <c r="M41" s="527" t="n">
        <v>0</v>
      </c>
      <c r="N41" s="528" t="n"/>
      <c r="O41" s="528" t="n"/>
      <c r="P41" s="529" t="n"/>
      <c r="Q41" s="529" t="n"/>
      <c r="R41" s="522">
        <f>SUM(K41:Q41)+F41</f>
        <v/>
      </c>
    </row>
    <row r="42" ht="12.75" customHeight="1" s="355">
      <c r="A42" s="523" t="inlineStr">
        <is>
          <t>Travel</t>
        </is>
      </c>
      <c r="B42" s="516" t="n">
        <v>1273.92476851852</v>
      </c>
      <c r="C42" s="516" t="n">
        <v>1259.9255952381</v>
      </c>
      <c r="D42" s="516" t="n">
        <v>9306.416513264259</v>
      </c>
      <c r="E42" s="516" t="n">
        <v>13260.025260876</v>
      </c>
      <c r="F42" s="517" t="n">
        <v>25100.2921378968</v>
      </c>
      <c r="G42" s="516" t="n">
        <v>13112.8758147781</v>
      </c>
      <c r="H42" s="516" t="n">
        <v>12965.7263686802</v>
      </c>
      <c r="I42" s="516" t="n">
        <v>12818.5769225823</v>
      </c>
      <c r="J42" s="516" t="n">
        <v>12671.4274764844</v>
      </c>
      <c r="K42" s="517" t="n">
        <v>51568.606582525</v>
      </c>
      <c r="L42" s="519" t="n">
        <v>49214.2154449588</v>
      </c>
      <c r="M42" s="519" t="n">
        <v>25092.2175310479</v>
      </c>
      <c r="N42" s="528" t="n"/>
      <c r="O42" s="528" t="n"/>
      <c r="P42" s="529" t="n"/>
      <c r="Q42" s="529" t="n"/>
      <c r="R42" s="522">
        <f>SUM(K42:Q42)+F42</f>
        <v/>
      </c>
    </row>
    <row r="43" ht="12.75" customHeight="1" s="355">
      <c r="A43" s="523" t="inlineStr">
        <is>
          <t>Hires / M&amp;Ls</t>
        </is>
      </c>
      <c r="B43" s="516" t="n">
        <v>0</v>
      </c>
      <c r="C43" s="516" t="n">
        <v>0</v>
      </c>
      <c r="D43" s="516" t="n">
        <v>0</v>
      </c>
      <c r="E43" s="516" t="n">
        <v>0</v>
      </c>
      <c r="F43" s="517" t="n">
        <v>0</v>
      </c>
      <c r="G43" s="516" t="n">
        <v>0</v>
      </c>
      <c r="H43" s="516" t="n">
        <v>0</v>
      </c>
      <c r="I43" s="516" t="n">
        <v>0</v>
      </c>
      <c r="J43" s="516" t="n">
        <v>0</v>
      </c>
      <c r="K43" s="517" t="n">
        <v>0</v>
      </c>
      <c r="L43" s="527" t="n">
        <v>0</v>
      </c>
      <c r="M43" s="527" t="n">
        <v>0</v>
      </c>
      <c r="N43" s="528" t="n"/>
      <c r="O43" s="528" t="n"/>
      <c r="P43" s="529" t="n"/>
      <c r="Q43" s="529" t="n"/>
      <c r="R43" s="522">
        <f>SUM(K43:Q43)+F43</f>
        <v/>
      </c>
    </row>
    <row r="44" ht="12.75" customHeight="1" s="355">
      <c r="A44" s="523" t="inlineStr">
        <is>
          <t>Consulting</t>
        </is>
      </c>
      <c r="B44" s="516" t="n">
        <v>560.474537037037</v>
      </c>
      <c r="C44" s="516" t="n">
        <v>554.315476190476</v>
      </c>
      <c r="D44" s="516" t="n">
        <v>3490.39696318342</v>
      </c>
      <c r="E44" s="516" t="n">
        <v>4902.61932319224</v>
      </c>
      <c r="F44" s="517" t="n">
        <v>9507.80629960318</v>
      </c>
      <c r="G44" s="516" t="n">
        <v>4848.18603946208</v>
      </c>
      <c r="H44" s="516" t="n">
        <v>4793.75275573192</v>
      </c>
      <c r="I44" s="516" t="n">
        <v>4739.31947200176</v>
      </c>
      <c r="J44" s="516" t="n">
        <v>4684.88618827161</v>
      </c>
      <c r="K44" s="517" t="n">
        <v>19066.1444554674</v>
      </c>
      <c r="L44" s="519" t="n">
        <v>18195.2119157848</v>
      </c>
      <c r="M44" s="519" t="n">
        <v>9079.386436287479</v>
      </c>
      <c r="N44" s="528" t="n"/>
      <c r="O44" s="528" t="n"/>
      <c r="P44" s="529" t="n"/>
      <c r="Q44" s="529" t="n"/>
      <c r="R44" s="522">
        <f>SUM(K44:Q44)+F44</f>
        <v/>
      </c>
    </row>
    <row r="45" ht="13.5" customHeight="1" s="355">
      <c r="A45" s="523" t="inlineStr">
        <is>
          <t>Communications</t>
        </is>
      </c>
      <c r="B45" s="516" t="n">
        <v>0</v>
      </c>
      <c r="C45" s="516" t="n">
        <v>0</v>
      </c>
      <c r="D45" s="516" t="n">
        <v>0</v>
      </c>
      <c r="E45" s="516" t="n">
        <v>0</v>
      </c>
      <c r="F45" s="517" t="n">
        <v>0</v>
      </c>
      <c r="G45" s="516" t="n">
        <v>0</v>
      </c>
      <c r="H45" s="516" t="n">
        <v>0</v>
      </c>
      <c r="I45" s="516" t="n">
        <v>0</v>
      </c>
      <c r="J45" s="516" t="n">
        <v>0</v>
      </c>
      <c r="K45" s="517" t="n">
        <v>0</v>
      </c>
      <c r="L45" s="527" t="n">
        <v>0</v>
      </c>
      <c r="M45" s="527" t="n">
        <v>0</v>
      </c>
      <c r="N45" s="528" t="n"/>
      <c r="O45" s="528" t="n"/>
      <c r="P45" s="529" t="n"/>
      <c r="Q45" s="529" t="n"/>
      <c r="R45" s="522">
        <f>SUM(K45:Q45)+F45</f>
        <v/>
      </c>
    </row>
    <row r="46" ht="13.15" customHeight="1" s="355">
      <c r="A46" s="530" t="inlineStr">
        <is>
          <t>TOTAL T&amp;E</t>
        </is>
      </c>
      <c r="B46" s="531" t="n">
        <v>1834.39930555556</v>
      </c>
      <c r="C46" s="532" t="n">
        <v>1814.24107142857</v>
      </c>
      <c r="D46" s="532" t="n">
        <v>17221.4326894106</v>
      </c>
      <c r="E46" s="533" t="n">
        <v>25691.5478578777</v>
      </c>
      <c r="F46" s="534" t="n">
        <v>46561.6209242725</v>
      </c>
      <c r="G46" s="531" t="n">
        <v>25406.6956174677</v>
      </c>
      <c r="H46" s="532" t="n">
        <v>25121.8433770576</v>
      </c>
      <c r="I46" s="532" t="n">
        <v>24836.9911366476</v>
      </c>
      <c r="J46" s="533" t="n">
        <v>24552.1388962375</v>
      </c>
      <c r="K46" s="534" t="n">
        <v>99917.6690274103</v>
      </c>
      <c r="L46" s="535" t="n">
        <v>95360.0331808495</v>
      </c>
      <c r="M46" s="460" t="n">
        <v>50419.0755281819</v>
      </c>
      <c r="N46" s="460">
        <f>SUM(N39:N45)</f>
        <v/>
      </c>
      <c r="O46" s="460">
        <f>SUM(O39:O45)</f>
        <v/>
      </c>
      <c r="P46" s="536">
        <f>SUM(P39:P45)</f>
        <v/>
      </c>
      <c r="Q46" s="536">
        <f>SUM(Q39:Q45)</f>
        <v/>
      </c>
      <c r="R46" s="537">
        <f>SUM(R39:R45)</f>
        <v/>
      </c>
    </row>
    <row r="47" ht="13.5" customHeight="1" s="355">
      <c r="B47" s="363" t="n"/>
      <c r="C47" s="363" t="n"/>
      <c r="D47" s="363" t="n"/>
      <c r="E47" s="363" t="n"/>
      <c r="F47" s="364" t="n"/>
      <c r="G47" s="363" t="n"/>
      <c r="H47" s="363" t="n"/>
      <c r="I47" s="363" t="n"/>
      <c r="J47" s="363" t="n"/>
      <c r="K47" s="364" t="n"/>
      <c r="L47" s="363" t="n"/>
      <c r="M47" s="363" t="n"/>
      <c r="N47" s="363" t="n"/>
      <c r="O47" s="363" t="n"/>
      <c r="P47" s="363" t="n"/>
      <c r="Q47" s="363" t="n"/>
      <c r="R47" s="364" t="n"/>
    </row>
    <row r="48" ht="13.5" customHeight="1" s="355">
      <c r="A48" s="503" t="inlineStr">
        <is>
          <t>Order To Cash - TRANSITION ONLY</t>
        </is>
      </c>
      <c r="B48" s="504" t="n"/>
      <c r="C48" s="504" t="n"/>
      <c r="D48" s="504" t="n"/>
      <c r="E48" s="504" t="n"/>
      <c r="F48" s="504" t="n"/>
      <c r="G48" s="504" t="n"/>
      <c r="H48" s="504" t="n"/>
      <c r="I48" s="504" t="n"/>
      <c r="J48" s="504" t="n"/>
      <c r="K48" s="504" t="n"/>
      <c r="L48" s="504" t="n"/>
      <c r="M48" s="504" t="n"/>
      <c r="N48" s="504" t="n"/>
      <c r="O48" s="504" t="n"/>
      <c r="P48" s="504" t="n"/>
      <c r="Q48" s="504" t="n"/>
      <c r="R48" s="505" t="n"/>
    </row>
    <row r="49" ht="13.5" customHeight="1" s="355">
      <c r="A49" s="506" t="inlineStr">
        <is>
          <t>Order To Cash</t>
        </is>
      </c>
      <c r="B49" s="507" t="n"/>
      <c r="C49" s="509" t="n"/>
      <c r="D49" s="509" t="n"/>
      <c r="E49" s="510" t="n"/>
      <c r="F49" s="511" t="n"/>
      <c r="G49" s="512" t="n"/>
      <c r="H49" s="513" t="n"/>
      <c r="I49" s="513" t="n"/>
      <c r="J49" s="514" t="n"/>
      <c r="K49" s="511" t="n"/>
      <c r="L49" s="512" t="n"/>
      <c r="M49" s="513" t="n"/>
      <c r="N49" s="513" t="n"/>
      <c r="O49" s="513" t="n"/>
      <c r="P49" s="514" t="n"/>
      <c r="Q49" s="514" t="n"/>
      <c r="R49" s="511" t="n"/>
    </row>
    <row r="50" ht="12.75" customHeight="1" s="355">
      <c r="A50" s="515" t="inlineStr">
        <is>
          <t>Labor</t>
        </is>
      </c>
      <c r="B50" s="516" t="n">
        <v>0</v>
      </c>
      <c r="C50" s="516" t="n">
        <v>0</v>
      </c>
      <c r="D50" s="516" t="n">
        <v>5165.40856481482</v>
      </c>
      <c r="E50" s="516" t="n">
        <v>10506.0833333333</v>
      </c>
      <c r="F50" s="517" t="n">
        <v>15671.4918981481</v>
      </c>
      <c r="G50" s="516" t="n">
        <v>10390.0081018519</v>
      </c>
      <c r="H50" s="516" t="n">
        <v>10273.9328703704</v>
      </c>
      <c r="I50" s="516" t="n">
        <v>10157.8576388889</v>
      </c>
      <c r="J50" s="516" t="n">
        <v>10041.7824074074</v>
      </c>
      <c r="K50" s="517" t="n">
        <v>40863.5810185185</v>
      </c>
      <c r="L50" s="519" t="n">
        <v>39006.3773148148</v>
      </c>
      <c r="M50" s="519" t="n">
        <v>23551.7372685185</v>
      </c>
      <c r="N50" s="520" t="n"/>
      <c r="O50" s="520" t="n"/>
      <c r="P50" s="521" t="n"/>
      <c r="Q50" s="521" t="n"/>
      <c r="R50" s="522">
        <f>SUM(K50:Q50)+F50</f>
        <v/>
      </c>
    </row>
    <row r="51" ht="12.75" customHeight="1" s="355">
      <c r="A51" s="523" t="inlineStr">
        <is>
          <t>Hardware/Ship</t>
        </is>
      </c>
      <c r="B51" s="516" t="n">
        <v>0</v>
      </c>
      <c r="C51" s="516" t="n">
        <v>0</v>
      </c>
      <c r="D51" s="516" t="n">
        <v>0</v>
      </c>
      <c r="E51" s="516" t="n">
        <v>0</v>
      </c>
      <c r="F51" s="517" t="n">
        <v>0</v>
      </c>
      <c r="G51" s="516" t="n">
        <v>0</v>
      </c>
      <c r="H51" s="516" t="n">
        <v>0</v>
      </c>
      <c r="I51" s="516" t="n">
        <v>0</v>
      </c>
      <c r="J51" s="516" t="n">
        <v>0</v>
      </c>
      <c r="K51" s="517" t="n">
        <v>0</v>
      </c>
      <c r="L51" s="524" t="n">
        <v>0</v>
      </c>
      <c r="M51" s="524" t="n">
        <v>0</v>
      </c>
      <c r="N51" s="520" t="n"/>
      <c r="O51" s="520" t="n"/>
      <c r="P51" s="521" t="n"/>
      <c r="Q51" s="521" t="n"/>
      <c r="R51" s="522">
        <f>SUM(K51:Q51)+F51</f>
        <v/>
      </c>
    </row>
    <row r="52" ht="12.75" customHeight="1" s="355">
      <c r="A52" s="515" t="inlineStr">
        <is>
          <t>Software</t>
        </is>
      </c>
      <c r="B52" s="516" t="n">
        <v>0</v>
      </c>
      <c r="C52" s="516" t="n">
        <v>0</v>
      </c>
      <c r="D52" s="516" t="n">
        <v>0</v>
      </c>
      <c r="E52" s="516" t="n">
        <v>0</v>
      </c>
      <c r="F52" s="517" t="n">
        <v>0</v>
      </c>
      <c r="G52" s="516" t="n">
        <v>0</v>
      </c>
      <c r="H52" s="516" t="n">
        <v>0</v>
      </c>
      <c r="I52" s="516" t="n">
        <v>0</v>
      </c>
      <c r="J52" s="516" t="n">
        <v>0</v>
      </c>
      <c r="K52" s="517" t="n">
        <v>0</v>
      </c>
      <c r="L52" s="527" t="n">
        <v>0</v>
      </c>
      <c r="M52" s="527" t="n">
        <v>0</v>
      </c>
      <c r="N52" s="528" t="n"/>
      <c r="O52" s="528" t="n"/>
      <c r="P52" s="529" t="n"/>
      <c r="Q52" s="529" t="n"/>
      <c r="R52" s="522">
        <f>SUM(K52:Q52)+F52</f>
        <v/>
      </c>
    </row>
    <row r="53" ht="12.75" customHeight="1" s="355">
      <c r="A53" s="523" t="inlineStr">
        <is>
          <t>Travel</t>
        </is>
      </c>
      <c r="B53" s="516" t="n">
        <v>1783.49467592593</v>
      </c>
      <c r="C53" s="516" t="n">
        <v>1763.89583333333</v>
      </c>
      <c r="D53" s="516" t="n">
        <v>11481.4333269033</v>
      </c>
      <c r="E53" s="516" t="n">
        <v>18241.1374485597</v>
      </c>
      <c r="F53" s="517" t="n">
        <v>33269.9612847222</v>
      </c>
      <c r="G53" s="516" t="n">
        <v>18038.863432356</v>
      </c>
      <c r="H53" s="516" t="n">
        <v>17836.5894161523</v>
      </c>
      <c r="I53" s="516" t="n">
        <v>17634.3153999486</v>
      </c>
      <c r="J53" s="516" t="n">
        <v>17432.0413837449</v>
      </c>
      <c r="K53" s="517" t="n">
        <v>70941.80963220169</v>
      </c>
      <c r="L53" s="519" t="n">
        <v>67705.42537294239</v>
      </c>
      <c r="M53" s="519" t="n">
        <v>35615.9443351338</v>
      </c>
      <c r="N53" s="528" t="n"/>
      <c r="O53" s="528" t="n"/>
      <c r="P53" s="529" t="n"/>
      <c r="Q53" s="529" t="n"/>
      <c r="R53" s="522">
        <f>SUM(K53:Q53)+F53</f>
        <v/>
      </c>
    </row>
    <row r="54" ht="12.75" customHeight="1" s="355">
      <c r="A54" s="523" t="inlineStr">
        <is>
          <t>Hires / M&amp;Ls</t>
        </is>
      </c>
      <c r="B54" s="516" t="n">
        <v>0</v>
      </c>
      <c r="C54" s="516" t="n">
        <v>0</v>
      </c>
      <c r="D54" s="516" t="n">
        <v>0</v>
      </c>
      <c r="E54" s="516" t="n">
        <v>0</v>
      </c>
      <c r="F54" s="517" t="n">
        <v>0</v>
      </c>
      <c r="G54" s="516" t="n">
        <v>0</v>
      </c>
      <c r="H54" s="516" t="n">
        <v>0</v>
      </c>
      <c r="I54" s="516" t="n">
        <v>0</v>
      </c>
      <c r="J54" s="516" t="n">
        <v>0</v>
      </c>
      <c r="K54" s="517" t="n">
        <v>0</v>
      </c>
      <c r="L54" s="527" t="n">
        <v>0</v>
      </c>
      <c r="M54" s="527" t="n">
        <v>0</v>
      </c>
      <c r="N54" s="528" t="n"/>
      <c r="O54" s="528" t="n"/>
      <c r="P54" s="529" t="n"/>
      <c r="Q54" s="529" t="n"/>
      <c r="R54" s="522">
        <f>SUM(K54:Q54)+F54</f>
        <v/>
      </c>
    </row>
    <row r="55" ht="12.75" customHeight="1" s="355">
      <c r="A55" s="523" t="inlineStr">
        <is>
          <t>Consulting</t>
        </is>
      </c>
      <c r="B55" s="516" t="n">
        <v>784.664351851852</v>
      </c>
      <c r="C55" s="516" t="n">
        <v>776.041666666667</v>
      </c>
      <c r="D55" s="516" t="n">
        <v>4886.55574845679</v>
      </c>
      <c r="E55" s="516" t="n">
        <v>6863.66705246914</v>
      </c>
      <c r="F55" s="517" t="n">
        <v>13310.9288194444</v>
      </c>
      <c r="G55" s="516" t="n">
        <v>6787.46045524691</v>
      </c>
      <c r="H55" s="516" t="n">
        <v>6711.25385802469</v>
      </c>
      <c r="I55" s="516" t="n">
        <v>6635.04726080247</v>
      </c>
      <c r="J55" s="516" t="n">
        <v>6558.84066358025</v>
      </c>
      <c r="K55" s="517" t="n">
        <v>26692.6022376543</v>
      </c>
      <c r="L55" s="519" t="n">
        <v>25473.2966820988</v>
      </c>
      <c r="M55" s="519" t="n">
        <v>12711.1410108025</v>
      </c>
      <c r="N55" s="528" t="n"/>
      <c r="O55" s="528" t="n"/>
      <c r="P55" s="529" t="n"/>
      <c r="Q55" s="529" t="n"/>
      <c r="R55" s="522">
        <f>SUM(K55:Q55)+F55</f>
        <v/>
      </c>
    </row>
    <row r="56" ht="13.5" customHeight="1" s="355">
      <c r="A56" s="523" t="inlineStr">
        <is>
          <t>Communications</t>
        </is>
      </c>
      <c r="B56" s="516" t="n">
        <v>0</v>
      </c>
      <c r="C56" s="516" t="n">
        <v>0</v>
      </c>
      <c r="D56" s="516" t="n">
        <v>0</v>
      </c>
      <c r="E56" s="516" t="n">
        <v>0</v>
      </c>
      <c r="F56" s="517" t="n">
        <v>0</v>
      </c>
      <c r="G56" s="516" t="n">
        <v>0</v>
      </c>
      <c r="H56" s="516" t="n">
        <v>0</v>
      </c>
      <c r="I56" s="516" t="n">
        <v>0</v>
      </c>
      <c r="J56" s="516" t="n">
        <v>0</v>
      </c>
      <c r="K56" s="517" t="n">
        <v>0</v>
      </c>
      <c r="L56" s="527" t="n">
        <v>0</v>
      </c>
      <c r="M56" s="527" t="n">
        <v>0</v>
      </c>
      <c r="N56" s="528" t="n"/>
      <c r="O56" s="528" t="n"/>
      <c r="P56" s="529" t="n"/>
      <c r="Q56" s="529" t="n"/>
      <c r="R56" s="522">
        <f>SUM(K56:Q56)+F56</f>
        <v/>
      </c>
    </row>
    <row r="57" ht="13.15" customHeight="1" s="355">
      <c r="A57" s="530" t="inlineStr">
        <is>
          <t>TOTAL Order To Cash</t>
        </is>
      </c>
      <c r="B57" s="531" t="n">
        <v>2568.15902777778</v>
      </c>
      <c r="C57" s="532" t="n">
        <v>2539.9375</v>
      </c>
      <c r="D57" s="532" t="n">
        <v>21533.3976401749</v>
      </c>
      <c r="E57" s="533" t="n">
        <v>35610.8878343621</v>
      </c>
      <c r="F57" s="534" t="n">
        <v>62252.3820023148</v>
      </c>
      <c r="G57" s="531" t="n">
        <v>35216.3319894547</v>
      </c>
      <c r="H57" s="532" t="n">
        <v>34821.7761445473</v>
      </c>
      <c r="I57" s="532" t="n">
        <v>34427.2202996399</v>
      </c>
      <c r="J57" s="533" t="n">
        <v>34032.6644547325</v>
      </c>
      <c r="K57" s="534" t="n">
        <v>138497.992888375</v>
      </c>
      <c r="L57" s="535" t="n">
        <v>132185.099369856</v>
      </c>
      <c r="M57" s="460" t="n">
        <v>71878.82261445469</v>
      </c>
      <c r="N57" s="460">
        <f>SUM(N50:N56)</f>
        <v/>
      </c>
      <c r="O57" s="460">
        <f>SUM(O50:O56)</f>
        <v/>
      </c>
      <c r="P57" s="536">
        <f>SUM(P50:P56)</f>
        <v/>
      </c>
      <c r="Q57" s="536">
        <f>SUM(Q50:Q56)</f>
        <v/>
      </c>
      <c r="R57" s="537">
        <f>SUM(R50:R56)</f>
        <v/>
      </c>
    </row>
    <row r="58" ht="13.5" customHeight="1" s="355">
      <c r="B58" s="363" t="n"/>
      <c r="C58" s="363" t="n"/>
      <c r="D58" s="363" t="n"/>
      <c r="E58" s="363" t="n"/>
      <c r="F58" s="364" t="n"/>
      <c r="G58" s="363" t="n"/>
      <c r="H58" s="363" t="n"/>
      <c r="I58" s="363" t="n"/>
      <c r="J58" s="363" t="n"/>
      <c r="K58" s="364" t="n"/>
      <c r="L58" s="363" t="n"/>
      <c r="M58" s="363" t="n"/>
      <c r="N58" s="363" t="n"/>
      <c r="O58" s="363" t="n"/>
      <c r="P58" s="363" t="n"/>
      <c r="Q58" s="363" t="n"/>
      <c r="R58" s="364" t="n"/>
    </row>
    <row r="59" ht="13.5" customHeight="1" s="355">
      <c r="A59" s="503" t="inlineStr">
        <is>
          <t>Requistion To Pay - TRANSITION ONLY</t>
        </is>
      </c>
      <c r="B59" s="504" t="n"/>
      <c r="C59" s="504" t="n"/>
      <c r="D59" s="504" t="n"/>
      <c r="E59" s="504" t="n"/>
      <c r="F59" s="504" t="n"/>
      <c r="G59" s="504" t="n"/>
      <c r="H59" s="504" t="n"/>
      <c r="I59" s="504" t="n"/>
      <c r="J59" s="504" t="n"/>
      <c r="K59" s="504" t="n"/>
      <c r="L59" s="504" t="n"/>
      <c r="M59" s="504" t="n"/>
      <c r="N59" s="504" t="n"/>
      <c r="O59" s="504" t="n"/>
      <c r="P59" s="504" t="n"/>
      <c r="Q59" s="504" t="n"/>
      <c r="R59" s="505" t="n"/>
    </row>
    <row r="60" ht="13.5" customHeight="1" s="355">
      <c r="A60" s="506" t="inlineStr">
        <is>
          <t>Requistion To Pay</t>
        </is>
      </c>
      <c r="B60" s="507" t="n"/>
      <c r="C60" s="509" t="n"/>
      <c r="D60" s="509" t="n"/>
      <c r="E60" s="510" t="n"/>
      <c r="F60" s="511" t="n"/>
      <c r="G60" s="512" t="n"/>
      <c r="H60" s="513" t="n"/>
      <c r="I60" s="513" t="n"/>
      <c r="J60" s="514" t="n"/>
      <c r="K60" s="511" t="n"/>
      <c r="L60" s="512" t="n"/>
      <c r="M60" s="513" t="n"/>
      <c r="N60" s="513" t="n"/>
      <c r="O60" s="513" t="n"/>
      <c r="P60" s="514" t="n"/>
      <c r="Q60" s="514" t="n"/>
      <c r="R60" s="511" t="n"/>
    </row>
    <row r="61" ht="12.75" customHeight="1" s="355">
      <c r="A61" s="515" t="inlineStr">
        <is>
          <t>Labor</t>
        </is>
      </c>
      <c r="B61" s="516" t="n">
        <v>0</v>
      </c>
      <c r="C61" s="516" t="n">
        <v>0</v>
      </c>
      <c r="D61" s="516" t="n">
        <v>12340.7540509259</v>
      </c>
      <c r="E61" s="516" t="n">
        <v>17168.6361607143</v>
      </c>
      <c r="F61" s="517" t="n">
        <v>29509.3902116402</v>
      </c>
      <c r="G61" s="516" t="n">
        <v>16978.4795800265</v>
      </c>
      <c r="H61" s="516" t="n">
        <v>16788.3229993386</v>
      </c>
      <c r="I61" s="516" t="n">
        <v>16598.1664186508</v>
      </c>
      <c r="J61" s="516" t="n">
        <v>16408.009837963</v>
      </c>
      <c r="K61" s="517" t="n">
        <v>66772.97883597881</v>
      </c>
      <c r="L61" s="519" t="n">
        <v>63730.4735449735</v>
      </c>
      <c r="M61" s="519" t="n">
        <v>35087.8091931217</v>
      </c>
      <c r="N61" s="520" t="n"/>
      <c r="O61" s="520" t="n"/>
      <c r="P61" s="521" t="n"/>
      <c r="Q61" s="521" t="n"/>
      <c r="R61" s="522">
        <f>SUM(K61:Q61)+F61</f>
        <v/>
      </c>
    </row>
    <row r="62" ht="12.75" customHeight="1" s="355">
      <c r="A62" s="523" t="inlineStr">
        <is>
          <t>Hardware/Ship</t>
        </is>
      </c>
      <c r="B62" s="516" t="n">
        <v>0</v>
      </c>
      <c r="C62" s="516" t="n">
        <v>0</v>
      </c>
      <c r="D62" s="516" t="n">
        <v>0</v>
      </c>
      <c r="E62" s="516" t="n">
        <v>0</v>
      </c>
      <c r="F62" s="517" t="n">
        <v>0</v>
      </c>
      <c r="G62" s="516" t="n">
        <v>0</v>
      </c>
      <c r="H62" s="516" t="n">
        <v>0</v>
      </c>
      <c r="I62" s="516" t="n">
        <v>0</v>
      </c>
      <c r="J62" s="516" t="n">
        <v>0</v>
      </c>
      <c r="K62" s="517" t="n">
        <v>0</v>
      </c>
      <c r="L62" s="524" t="n">
        <v>0</v>
      </c>
      <c r="M62" s="524" t="n">
        <v>0</v>
      </c>
      <c r="N62" s="520" t="n"/>
      <c r="O62" s="520" t="n"/>
      <c r="P62" s="521" t="n"/>
      <c r="Q62" s="521" t="n"/>
      <c r="R62" s="522">
        <f>SUM(K62:Q62)+F62</f>
        <v/>
      </c>
    </row>
    <row r="63" ht="12.75" customHeight="1" s="355">
      <c r="A63" s="515" t="inlineStr">
        <is>
          <t>Software</t>
        </is>
      </c>
      <c r="B63" s="516" t="n">
        <v>0</v>
      </c>
      <c r="C63" s="516" t="n">
        <v>0</v>
      </c>
      <c r="D63" s="516" t="n">
        <v>0</v>
      </c>
      <c r="E63" s="516" t="n">
        <v>0</v>
      </c>
      <c r="F63" s="517" t="n">
        <v>0</v>
      </c>
      <c r="G63" s="516" t="n">
        <v>0</v>
      </c>
      <c r="H63" s="516" t="n">
        <v>0</v>
      </c>
      <c r="I63" s="516" t="n">
        <v>0</v>
      </c>
      <c r="J63" s="516" t="n">
        <v>0</v>
      </c>
      <c r="K63" s="517" t="n">
        <v>0</v>
      </c>
      <c r="L63" s="527" t="n">
        <v>0</v>
      </c>
      <c r="M63" s="527" t="n">
        <v>0</v>
      </c>
      <c r="N63" s="528" t="n"/>
      <c r="O63" s="528" t="n"/>
      <c r="P63" s="529" t="n"/>
      <c r="Q63" s="529" t="n"/>
      <c r="R63" s="522">
        <f>SUM(K63:Q63)+F63</f>
        <v/>
      </c>
    </row>
    <row r="64" ht="12.75" customHeight="1" s="355">
      <c r="A64" s="523" t="inlineStr">
        <is>
          <t>Travel</t>
        </is>
      </c>
      <c r="B64" s="516" t="n">
        <v>3694.3818287037</v>
      </c>
      <c r="C64" s="516" t="n">
        <v>3653.78422619048</v>
      </c>
      <c r="D64" s="516" t="n">
        <v>23813.2955967997</v>
      </c>
      <c r="E64" s="516" t="n">
        <v>29534.2065898736</v>
      </c>
      <c r="F64" s="517" t="n">
        <v>60695.6682415675</v>
      </c>
      <c r="G64" s="516" t="n">
        <v>29205.8771545231</v>
      </c>
      <c r="H64" s="516" t="n">
        <v>28877.5477191725</v>
      </c>
      <c r="I64" s="516" t="n">
        <v>28549.218283822</v>
      </c>
      <c r="J64" s="516" t="n">
        <v>28220.8888484715</v>
      </c>
      <c r="K64" s="517" t="n">
        <v>114853.532005989</v>
      </c>
      <c r="L64" s="519" t="n">
        <v>109600.261040381</v>
      </c>
      <c r="M64" s="519" t="n">
        <v>51716.5393817056</v>
      </c>
      <c r="N64" s="528" t="n"/>
      <c r="O64" s="528" t="n"/>
      <c r="P64" s="529" t="n"/>
      <c r="Q64" s="529" t="n"/>
      <c r="R64" s="522">
        <f>SUM(K64:Q64)+F64</f>
        <v/>
      </c>
    </row>
    <row r="65" ht="12.75" customHeight="1" s="355">
      <c r="A65" s="523" t="inlineStr">
        <is>
          <t>Hires / M&amp;Ls</t>
        </is>
      </c>
      <c r="B65" s="516" t="n">
        <v>0</v>
      </c>
      <c r="C65" s="516" t="n">
        <v>0</v>
      </c>
      <c r="D65" s="516" t="n">
        <v>0</v>
      </c>
      <c r="E65" s="516" t="n">
        <v>0</v>
      </c>
      <c r="F65" s="517" t="n">
        <v>0</v>
      </c>
      <c r="G65" s="516" t="n">
        <v>0</v>
      </c>
      <c r="H65" s="516" t="n">
        <v>0</v>
      </c>
      <c r="I65" s="516" t="n">
        <v>0</v>
      </c>
      <c r="J65" s="516" t="n">
        <v>0</v>
      </c>
      <c r="K65" s="517" t="n">
        <v>0</v>
      </c>
      <c r="L65" s="527" t="n">
        <v>0</v>
      </c>
      <c r="M65" s="527" t="n">
        <v>0</v>
      </c>
      <c r="N65" s="528" t="n"/>
      <c r="O65" s="528" t="n"/>
      <c r="P65" s="529" t="n"/>
      <c r="Q65" s="529" t="n"/>
      <c r="R65" s="522">
        <f>SUM(K65:Q65)+F65</f>
        <v/>
      </c>
    </row>
    <row r="66" ht="12.75" customHeight="1" s="355">
      <c r="A66" s="523" t="inlineStr">
        <is>
          <t>Consulting</t>
        </is>
      </c>
      <c r="B66" s="516" t="n">
        <v>1625.37615740741</v>
      </c>
      <c r="C66" s="516" t="n">
        <v>1607.51488095238</v>
      </c>
      <c r="D66" s="516" t="n">
        <v>10122.1511932319</v>
      </c>
      <c r="E66" s="516" t="n">
        <v>14217.5960372575</v>
      </c>
      <c r="F66" s="517" t="n">
        <v>27572.6382688492</v>
      </c>
      <c r="G66" s="516" t="n">
        <v>14059.73951444</v>
      </c>
      <c r="H66" s="516" t="n">
        <v>13901.8829916226</v>
      </c>
      <c r="I66" s="516" t="n">
        <v>13744.0264688051</v>
      </c>
      <c r="J66" s="516" t="n">
        <v>13586.1699459877</v>
      </c>
      <c r="K66" s="517" t="n">
        <v>55291.8189208554</v>
      </c>
      <c r="L66" s="519" t="n">
        <v>52766.114555776</v>
      </c>
      <c r="M66" s="519" t="n">
        <v>26330.2206652337</v>
      </c>
      <c r="N66" s="528" t="n"/>
      <c r="O66" s="528" t="n"/>
      <c r="P66" s="529" t="n"/>
      <c r="Q66" s="529" t="n"/>
      <c r="R66" s="522">
        <f>SUM(K66:Q66)+F66</f>
        <v/>
      </c>
    </row>
    <row r="67" ht="13.5" customHeight="1" s="355">
      <c r="A67" s="523" t="inlineStr">
        <is>
          <t>Communications</t>
        </is>
      </c>
      <c r="B67" s="516" t="n">
        <v>0</v>
      </c>
      <c r="C67" s="516" t="n">
        <v>0</v>
      </c>
      <c r="D67" s="516" t="n">
        <v>0</v>
      </c>
      <c r="E67" s="516" t="n">
        <v>0</v>
      </c>
      <c r="F67" s="517" t="n">
        <v>0</v>
      </c>
      <c r="G67" s="516" t="n">
        <v>0</v>
      </c>
      <c r="H67" s="516" t="n">
        <v>0</v>
      </c>
      <c r="I67" s="516" t="n">
        <v>0</v>
      </c>
      <c r="J67" s="516" t="n">
        <v>0</v>
      </c>
      <c r="K67" s="517" t="n">
        <v>0</v>
      </c>
      <c r="L67" s="527" t="n">
        <v>0</v>
      </c>
      <c r="M67" s="527" t="n">
        <v>0</v>
      </c>
      <c r="N67" s="528" t="n"/>
      <c r="O67" s="528" t="n"/>
      <c r="P67" s="529" t="n"/>
      <c r="Q67" s="529" t="n"/>
      <c r="R67" s="522">
        <f>SUM(K67:Q67)+F67</f>
        <v/>
      </c>
    </row>
    <row r="68" ht="13.15" customHeight="1" s="355">
      <c r="A68" s="530" t="inlineStr">
        <is>
          <t>TOTAL Requistion To Pay</t>
        </is>
      </c>
      <c r="B68" s="531">
        <f>SUM(B61:B67)</f>
        <v/>
      </c>
      <c r="C68" s="532">
        <f>SUM(C61:C67)</f>
        <v/>
      </c>
      <c r="D68" s="532">
        <f>SUM(D61:D67)</f>
        <v/>
      </c>
      <c r="E68" s="533">
        <f>SUM(E61:E67)</f>
        <v/>
      </c>
      <c r="F68" s="534">
        <f>SUM(F61:F67)</f>
        <v/>
      </c>
      <c r="G68" s="531">
        <f>SUM(G61:G67)</f>
        <v/>
      </c>
      <c r="H68" s="532">
        <f>SUM(H61:H67)</f>
        <v/>
      </c>
      <c r="I68" s="532">
        <f>SUM(I61:I67)</f>
        <v/>
      </c>
      <c r="J68" s="533">
        <f>SUM(J61:J67)</f>
        <v/>
      </c>
      <c r="K68" s="534">
        <f>SUM(K61:K67)</f>
        <v/>
      </c>
      <c r="L68" s="535">
        <f>SUM(L61:L67)</f>
        <v/>
      </c>
      <c r="M68" s="460">
        <f>SUM(M61:M67)</f>
        <v/>
      </c>
      <c r="N68" s="460">
        <f>SUM(N61:N67)</f>
        <v/>
      </c>
      <c r="O68" s="460">
        <f>SUM(O61:O67)</f>
        <v/>
      </c>
      <c r="P68" s="536">
        <f>SUM(P61:P67)</f>
        <v/>
      </c>
      <c r="Q68" s="536">
        <f>SUM(Q61:Q67)</f>
        <v/>
      </c>
      <c r="R68" s="537">
        <f>SUM(R61:R67)</f>
        <v/>
      </c>
    </row>
    <row r="69" ht="13.5" customHeight="1" s="355">
      <c r="B69" s="363" t="n"/>
      <c r="C69" s="363" t="n"/>
      <c r="D69" s="363" t="n"/>
      <c r="E69" s="363" t="n"/>
      <c r="F69" s="364" t="n"/>
      <c r="G69" s="363" t="n"/>
      <c r="H69" s="363" t="n"/>
      <c r="I69" s="363" t="n"/>
      <c r="J69" s="363" t="n"/>
      <c r="K69" s="364" t="n"/>
      <c r="L69" s="363" t="n"/>
      <c r="M69" s="363" t="n"/>
      <c r="N69" s="363" t="n"/>
      <c r="O69" s="363" t="n"/>
      <c r="P69" s="363" t="n"/>
      <c r="Q69" s="363" t="n"/>
      <c r="R69" s="363" t="n"/>
    </row>
    <row r="70" ht="32.25" customHeight="1" s="355">
      <c r="A70" s="538" t="inlineStr">
        <is>
          <t>GRAND TOTAL SUPPLIER TRANSITION CHARGES</t>
        </is>
      </c>
      <c r="B70" s="539">
        <f>SUM(B13+B24+B35+B46+B57+B68)</f>
        <v/>
      </c>
      <c r="C70" s="539">
        <f>SUM(C13+C24+C35+C46+C57+C68)</f>
        <v/>
      </c>
      <c r="D70" s="539">
        <f>SUM(D13+D24+D35+D46+D57+D68)</f>
        <v/>
      </c>
      <c r="E70" s="540">
        <f>SUM(E13+E24+E35+E46+E57+E68)</f>
        <v/>
      </c>
      <c r="F70" s="541">
        <f>SUM(F13+F24+F35+F46+F57+F68)</f>
        <v/>
      </c>
      <c r="G70" s="542">
        <f>SUM(G13+G24+G35+G46+G57+G68)</f>
        <v/>
      </c>
      <c r="H70" s="539">
        <f>SUM(H13+H24+H35+H46+H57+H68)</f>
        <v/>
      </c>
      <c r="I70" s="539">
        <f>SUM(I13+I24+I35+I46+I57+I68)</f>
        <v/>
      </c>
      <c r="J70" s="540">
        <f>SUM(J13+J24+J35+J46+J57+J68)</f>
        <v/>
      </c>
      <c r="K70" s="541">
        <f>SUM(K13+K24+K35+K46+K57+K68)</f>
        <v/>
      </c>
      <c r="L70" s="542">
        <f>SUM(L13+L24+L35+L46+L57+L68)</f>
        <v/>
      </c>
      <c r="M70" s="539">
        <f>SUM(M13+M24+M35+M46+M57+M68)</f>
        <v/>
      </c>
      <c r="N70" s="539">
        <f>SUM(N13+N24+N35+N46+N57+N68)</f>
        <v/>
      </c>
      <c r="O70" s="539">
        <f>SUM(O13+O24+O35+O46+O57+O68)</f>
        <v/>
      </c>
      <c r="P70" s="540">
        <f>SUM(P13+P24+P35+P46+P57+P68)</f>
        <v/>
      </c>
      <c r="Q70" s="540">
        <f>SUM(Q13+Q24+Q35+Q46+Q57+Q68)</f>
        <v/>
      </c>
      <c r="R70" s="541">
        <f>SUM(R13+R24+R35+R46+R57+R68)</f>
        <v/>
      </c>
    </row>
    <row r="71" ht="12.75" customHeight="1" s="355">
      <c r="F71" s="543" t="n"/>
      <c r="K71" s="543" t="n"/>
    </row>
    <row r="72" ht="12.75" customHeight="1" s="355">
      <c r="F72" s="543" t="n"/>
      <c r="K72" s="543" t="n"/>
    </row>
    <row r="73" ht="12.75" customHeight="1" s="355">
      <c r="A73" s="544" t="inlineStr">
        <is>
          <t>Category</t>
        </is>
      </c>
      <c r="B73" s="544" t="inlineStr">
        <is>
          <t>Definition</t>
        </is>
      </c>
      <c r="F73" s="543" t="n"/>
      <c r="K73" s="543" t="n"/>
    </row>
    <row r="74" ht="13.9" customHeight="1" s="355">
      <c r="A74" s="545" t="inlineStr">
        <is>
          <t>Labor</t>
        </is>
      </c>
      <c r="B74" s="546" t="inlineStr">
        <is>
          <t>Labor costs of transition team not captured in categories below</t>
        </is>
      </c>
      <c r="C74" s="547" t="n"/>
      <c r="D74" s="547" t="n"/>
      <c r="E74" s="547" t="n"/>
      <c r="F74" s="543" t="n"/>
      <c r="G74" s="547" t="n"/>
      <c r="H74" s="547" t="n"/>
      <c r="I74" s="547" t="n"/>
      <c r="J74" s="547" t="n"/>
      <c r="K74" s="543" t="n"/>
      <c r="L74" s="547" t="n"/>
      <c r="M74" s="547" t="n"/>
      <c r="N74" s="547" t="n"/>
      <c r="O74" s="547" t="n"/>
      <c r="P74" s="547" t="n"/>
      <c r="Q74" s="547" t="n"/>
      <c r="R74" s="547" t="n"/>
    </row>
    <row r="75" ht="12.75" customHeight="1" s="355">
      <c r="A75" s="545" t="inlineStr">
        <is>
          <t>Hardware/Shipping</t>
        </is>
      </c>
      <c r="B75" s="546" t="inlineStr">
        <is>
          <t>Bubble hardware including shipping</t>
        </is>
      </c>
      <c r="F75" s="543" t="n"/>
      <c r="K75" s="543" t="n"/>
    </row>
    <row r="76" ht="12.75" customHeight="1" s="355">
      <c r="A76" s="545" t="inlineStr">
        <is>
          <t>Software</t>
        </is>
      </c>
      <c r="B76" s="546" t="inlineStr">
        <is>
          <t>Includes Access Fees for system software and data movement software</t>
        </is>
      </c>
      <c r="F76" s="543" t="n"/>
      <c r="K76" s="543" t="n"/>
    </row>
    <row r="77" ht="12.75" customHeight="1" s="355">
      <c r="A77" s="545" t="inlineStr">
        <is>
          <t>Travel</t>
        </is>
      </c>
      <c r="B77" s="546" t="inlineStr">
        <is>
          <t>Transition team travel included in the costs</t>
        </is>
      </c>
      <c r="F77" s="543" t="n"/>
      <c r="K77" s="543" t="n"/>
    </row>
    <row r="78" ht="12.75" customHeight="1" s="355">
      <c r="A78" s="545" t="inlineStr">
        <is>
          <t>Hires/M&amp;Ls</t>
        </is>
      </c>
      <c r="B78" s="546" t="inlineStr">
        <is>
          <t>Hiring expenses and Moving and Living for transitioned employees.</t>
        </is>
      </c>
      <c r="F78" s="543" t="n"/>
      <c r="K78" s="543" t="n"/>
    </row>
    <row r="79" ht="12.75" customHeight="1" s="355">
      <c r="A79" s="545" t="inlineStr">
        <is>
          <t>Consulting</t>
        </is>
      </c>
      <c r="B79" s="546" t="inlineStr">
        <is>
          <t>Consolidation studies, Third party consultants (i.e. EMC Consultants), and transition planning</t>
        </is>
      </c>
      <c r="F79" s="543" t="n"/>
      <c r="K79" s="543" t="n"/>
    </row>
    <row r="80" ht="12.75" customHeight="1" s="355">
      <c r="A80" s="545" t="inlineStr">
        <is>
          <t>Communications</t>
        </is>
      </c>
      <c r="B80" s="546" t="inlineStr">
        <is>
          <t>Transition bandwidth for data movement and cost to set-up communications</t>
        </is>
      </c>
      <c r="F80" s="543" t="n"/>
      <c r="K80" s="543" t="n"/>
    </row>
  </sheetData>
  <mergeCells count="6">
    <mergeCell ref="A48:R48"/>
    <mergeCell ref="A26:R26"/>
    <mergeCell ref="A15:R15"/>
    <mergeCell ref="A59:R59"/>
    <mergeCell ref="A37:R37"/>
    <mergeCell ref="A4:R4"/>
  </mergeCells>
  <printOptions horizontalCentered="0" verticalCentered="0" headings="0" gridLines="0" gridLinesSet="1"/>
  <pageMargins left="0.747916666666667" right="0.747916666666667" top="0.9840277777777779" bottom="0.9840277777777779" header="0.5" footer="0.5"/>
  <pageSetup orientation="landscape" paperSize="1" scale="100" fitToHeight="2"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6.xml><?xml version="1.0" encoding="utf-8"?>
<worksheet xmlns="http://schemas.openxmlformats.org/spreadsheetml/2006/main">
  <sheetPr filterMode="0">
    <tabColor rgb="FFFFFF00"/>
    <outlinePr summaryBelow="1" summaryRight="1"/>
    <pageSetUpPr fitToPage="1"/>
  </sheetPr>
  <dimension ref="A1:K17"/>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L18"/>
    </sheetView>
  </sheetViews>
  <sheetFormatPr baseColWidth="8" defaultColWidth="8.3984375" defaultRowHeight="12.75" customHeight="1" zeroHeight="0" outlineLevelRow="0"/>
  <cols>
    <col width="8.4" customWidth="1" style="444" min="1" max="1"/>
    <col width="34.37" customWidth="1" style="444" min="2" max="2"/>
    <col width="10.95" customWidth="1" style="444" min="3" max="11"/>
    <col width="8.4" customWidth="1" style="444" min="12" max="257"/>
  </cols>
  <sheetData>
    <row r="1" ht="18.75" customHeight="1" s="355">
      <c r="A1" s="445" t="inlineStr">
        <is>
          <t>SERVICE PROVIDER INVESTMENTS (US$)</t>
        </is>
      </c>
    </row>
    <row r="2" ht="13.5" customHeight="1" s="355">
      <c r="A2" s="446" t="n"/>
      <c r="B2" s="444" t="n"/>
      <c r="C2" s="444" t="n"/>
      <c r="D2" s="444" t="n"/>
      <c r="E2" s="444" t="n"/>
      <c r="F2" s="444" t="n"/>
      <c r="G2" s="444" t="n"/>
      <c r="H2" s="444" t="n"/>
      <c r="I2" s="444" t="n"/>
      <c r="J2" s="446" t="n"/>
      <c r="K2" s="444" t="n"/>
    </row>
    <row r="3" ht="27" customHeight="1" s="355">
      <c r="A3" s="447" t="n"/>
      <c r="B3" s="369" t="inlineStr">
        <is>
          <t>Category of Service</t>
        </is>
      </c>
      <c r="C3" s="548" t="inlineStr">
        <is>
          <t>Initial Asset Purchase</t>
        </is>
      </c>
      <c r="D3" s="448" t="inlineStr">
        <is>
          <t>Year 1</t>
        </is>
      </c>
      <c r="E3" s="448" t="inlineStr">
        <is>
          <t>Year 2</t>
        </is>
      </c>
      <c r="F3" s="448" t="inlineStr">
        <is>
          <t>Year 3</t>
        </is>
      </c>
      <c r="G3" s="448" t="inlineStr">
        <is>
          <t>Year 4</t>
        </is>
      </c>
      <c r="H3" s="448" t="inlineStr">
        <is>
          <t>Year 5</t>
        </is>
      </c>
      <c r="I3" s="448" t="inlineStr">
        <is>
          <t>Year 6</t>
        </is>
      </c>
      <c r="J3" s="449" t="inlineStr">
        <is>
          <t>Year 7</t>
        </is>
      </c>
      <c r="K3" s="449" t="inlineStr">
        <is>
          <t>Total</t>
        </is>
      </c>
    </row>
    <row r="4" ht="12.75" customHeight="1" s="355">
      <c r="A4" s="373" t="n"/>
      <c r="B4" s="450" t="n"/>
      <c r="C4" s="549" t="n"/>
      <c r="D4" s="451" t="n"/>
      <c r="E4" s="451" t="n"/>
      <c r="F4" s="451" t="n"/>
      <c r="G4" s="451" t="n"/>
      <c r="H4" s="451" t="n"/>
      <c r="I4" s="451" t="n"/>
      <c r="J4" s="550" t="n"/>
      <c r="K4" s="452" t="n"/>
    </row>
    <row r="5" ht="12.75" customHeight="1" s="355">
      <c r="A5" s="377" t="n"/>
      <c r="B5" s="378" t="inlineStr">
        <is>
          <t>General Accounting &amp; Sox</t>
        </is>
      </c>
      <c r="C5" s="551" t="n"/>
      <c r="D5" s="453" t="n"/>
      <c r="E5" s="453" t="n"/>
      <c r="F5" s="453" t="n"/>
      <c r="G5" s="453" t="n"/>
      <c r="H5" s="453" t="n"/>
      <c r="I5" s="453" t="n"/>
      <c r="J5" s="552" t="n"/>
      <c r="K5" s="454">
        <f>SUM(C5:J5)</f>
        <v/>
      </c>
    </row>
    <row r="6" ht="12.75" customHeight="1" s="355">
      <c r="A6" s="377" t="n"/>
      <c r="B6" s="454" t="n"/>
      <c r="C6" s="551" t="n"/>
      <c r="D6" s="453" t="n"/>
      <c r="E6" s="453" t="n"/>
      <c r="F6" s="453" t="n"/>
      <c r="G6" s="453" t="n"/>
      <c r="H6" s="453" t="n"/>
      <c r="I6" s="453" t="n"/>
      <c r="J6" s="552" t="n"/>
      <c r="K6" s="454" t="n"/>
    </row>
    <row r="7" ht="12.75" customHeight="1" s="355">
      <c r="A7" s="377" t="n"/>
      <c r="B7" s="378" t="inlineStr">
        <is>
          <t>Fixed Assets</t>
        </is>
      </c>
      <c r="C7" s="551" t="n"/>
      <c r="D7" s="453" t="n"/>
      <c r="E7" s="453" t="n"/>
      <c r="F7" s="453" t="n"/>
      <c r="G7" s="453" t="n"/>
      <c r="H7" s="453" t="n"/>
      <c r="I7" s="453" t="n"/>
      <c r="J7" s="552" t="n"/>
      <c r="K7" s="454">
        <f>SUM(C7:J7)</f>
        <v/>
      </c>
    </row>
    <row r="8" ht="12.75" customHeight="1" s="355">
      <c r="A8" s="377" t="n"/>
      <c r="B8" s="454" t="n"/>
      <c r="C8" s="551" t="n"/>
      <c r="D8" s="453" t="n"/>
      <c r="E8" s="453" t="n"/>
      <c r="F8" s="453" t="n"/>
      <c r="G8" s="453" t="n"/>
      <c r="H8" s="453" t="n"/>
      <c r="I8" s="453" t="n"/>
      <c r="J8" s="552" t="n"/>
      <c r="K8" s="454" t="n"/>
    </row>
    <row r="9" ht="12.75" customHeight="1" s="355">
      <c r="A9" s="377" t="n"/>
      <c r="B9" s="378" t="inlineStr">
        <is>
          <t>Accounts Payable</t>
        </is>
      </c>
      <c r="C9" s="551" t="n"/>
      <c r="D9" s="453" t="n"/>
      <c r="E9" s="453" t="n"/>
      <c r="F9" s="453" t="n"/>
      <c r="G9" s="453" t="n"/>
      <c r="H9" s="453" t="n"/>
      <c r="I9" s="453" t="n"/>
      <c r="J9" s="552" t="n"/>
      <c r="K9" s="454">
        <f>SUM(C9:J9)</f>
        <v/>
      </c>
    </row>
    <row r="10" ht="12.75" customHeight="1" s="355">
      <c r="A10" s="377" t="n"/>
      <c r="B10" s="454" t="n"/>
      <c r="C10" s="551" t="n"/>
      <c r="D10" s="453" t="n"/>
      <c r="E10" s="453" t="n"/>
      <c r="F10" s="453" t="n"/>
      <c r="G10" s="453" t="n"/>
      <c r="H10" s="453" t="n"/>
      <c r="I10" s="453" t="n"/>
      <c r="J10" s="552" t="n"/>
      <c r="K10" s="454" t="n"/>
    </row>
    <row r="11" ht="12.75" customHeight="1" s="355">
      <c r="A11" s="377" t="n"/>
      <c r="B11" s="378" t="inlineStr">
        <is>
          <t>T&amp;E</t>
        </is>
      </c>
      <c r="C11" s="551" t="n"/>
      <c r="D11" s="453" t="n"/>
      <c r="E11" s="453" t="n"/>
      <c r="F11" s="453" t="n"/>
      <c r="G11" s="453" t="n"/>
      <c r="H11" s="453" t="n"/>
      <c r="I11" s="453" t="n"/>
      <c r="J11" s="552" t="n"/>
      <c r="K11" s="454">
        <f>SUM(C11:J11)</f>
        <v/>
      </c>
    </row>
    <row r="12" ht="12.75" customHeight="1" s="355">
      <c r="A12" s="377" t="n"/>
      <c r="B12" s="454" t="n"/>
      <c r="C12" s="551" t="n"/>
      <c r="D12" s="453" t="n"/>
      <c r="E12" s="453" t="n"/>
      <c r="F12" s="453" t="n"/>
      <c r="G12" s="453" t="n"/>
      <c r="H12" s="453" t="n"/>
      <c r="I12" s="453" t="n"/>
      <c r="J12" s="552" t="n"/>
      <c r="K12" s="454" t="n"/>
    </row>
    <row r="13" ht="12.75" customHeight="1" s="355">
      <c r="A13" s="377" t="n"/>
      <c r="B13" s="378" t="inlineStr">
        <is>
          <t>Order to Cash</t>
        </is>
      </c>
      <c r="C13" s="551" t="n"/>
      <c r="D13" s="453" t="n"/>
      <c r="E13" s="453" t="n"/>
      <c r="F13" s="453" t="n"/>
      <c r="G13" s="453" t="n"/>
      <c r="H13" s="453" t="n"/>
      <c r="I13" s="453" t="n"/>
      <c r="J13" s="552" t="n"/>
      <c r="K13" s="454">
        <f>SUM(C13:J13)</f>
        <v/>
      </c>
    </row>
    <row r="14" ht="12.75" customHeight="1" s="355">
      <c r="A14" s="377" t="n"/>
      <c r="B14" s="454" t="n"/>
      <c r="C14" s="551" t="n"/>
      <c r="D14" s="453" t="n"/>
      <c r="E14" s="453" t="n"/>
      <c r="F14" s="453" t="n"/>
      <c r="G14" s="453" t="n"/>
      <c r="H14" s="453" t="n"/>
      <c r="I14" s="453" t="n"/>
      <c r="J14" s="552" t="n"/>
      <c r="K14" s="454" t="n"/>
    </row>
    <row r="15" ht="12.75" customHeight="1" s="355">
      <c r="A15" s="377" t="n"/>
      <c r="B15" s="378" t="inlineStr">
        <is>
          <t>Requistion to Pay</t>
        </is>
      </c>
      <c r="C15" s="551" t="n"/>
      <c r="D15" s="453" t="n"/>
      <c r="E15" s="453" t="n"/>
      <c r="F15" s="453" t="n"/>
      <c r="G15" s="453" t="n"/>
      <c r="H15" s="453" t="n"/>
      <c r="I15" s="453" t="n"/>
      <c r="J15" s="552" t="n"/>
      <c r="K15" s="454">
        <f>SUM(C15:J15)</f>
        <v/>
      </c>
    </row>
    <row r="16" ht="13.5" customHeight="1" s="355">
      <c r="A16" s="455" t="n"/>
      <c r="B16" s="456" t="n"/>
      <c r="C16" s="553" t="n"/>
      <c r="D16" s="554" t="n"/>
      <c r="E16" s="554" t="n"/>
      <c r="F16" s="554" t="n"/>
      <c r="G16" s="554" t="n"/>
      <c r="H16" s="554" t="n"/>
      <c r="I16" s="554" t="n"/>
      <c r="J16" s="555" t="n"/>
      <c r="K16" s="457" t="n"/>
    </row>
    <row r="17" ht="13.5" customHeight="1" s="355">
      <c r="A17" s="458" t="inlineStr">
        <is>
          <t>TOTAL INVESTMENTS</t>
        </is>
      </c>
      <c r="B17" s="459" t="n"/>
      <c r="C17" s="535">
        <f>SUM(C4:C16)</f>
        <v/>
      </c>
      <c r="D17" s="460">
        <f>SUM(D4:D16)</f>
        <v/>
      </c>
      <c r="E17" s="461">
        <f>SUM(E4:E16)</f>
        <v/>
      </c>
      <c r="F17" s="461">
        <f>SUM(F4:F16)</f>
        <v/>
      </c>
      <c r="G17" s="461">
        <f>SUM(G4:G16)</f>
        <v/>
      </c>
      <c r="H17" s="461">
        <f>SUM(H4:H16)</f>
        <v/>
      </c>
      <c r="I17" s="461">
        <f>SUM(I4:I16)</f>
        <v/>
      </c>
      <c r="J17" s="556">
        <f>SUM(J4:J16)</f>
        <v/>
      </c>
      <c r="K17" s="462">
        <f>SUM(K4:K16)</f>
        <v/>
      </c>
    </row>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rowBreaks count="2" manualBreakCount="2">
    <brk id="78" min="0" max="16383" man="1"/>
    <brk id="153" min="0" max="16383" man="1"/>
  </rowBreaks>
</worksheet>
</file>

<file path=xl/worksheets/sheet7.xml><?xml version="1.0" encoding="utf-8"?>
<worksheet xmlns="http://schemas.openxmlformats.org/spreadsheetml/2006/main">
  <sheetPr filterMode="0">
    <tabColor rgb="FFFFFF00"/>
    <outlinePr summaryBelow="1" summaryRight="1"/>
    <pageSetUpPr fitToPage="1"/>
  </sheetPr>
  <dimension ref="A1:K37"/>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39"/>
    </sheetView>
  </sheetViews>
  <sheetFormatPr baseColWidth="8" defaultColWidth="8.3984375" defaultRowHeight="12.75" customHeight="1" zeroHeight="0" outlineLevelRow="0"/>
  <cols>
    <col width="6.3" customWidth="1" style="407" min="1" max="1"/>
    <col width="34.37" customWidth="1" style="407" min="2" max="2"/>
    <col width="12.9" customWidth="1" style="407" min="3" max="10"/>
    <col width="10.35" customWidth="1" style="407" min="11" max="11"/>
    <col width="8.4" customWidth="1" style="407" min="12" max="257"/>
  </cols>
  <sheetData>
    <row r="1" ht="18.75" customHeight="1" s="355">
      <c r="A1" s="445" t="inlineStr">
        <is>
          <t>TERMINATION CHARGES (US$)</t>
        </is>
      </c>
    </row>
    <row r="2" ht="13.5" customHeight="1" s="355">
      <c r="A2" s="557" t="n"/>
      <c r="B2" s="558" t="inlineStr">
        <is>
          <t>Category of Services</t>
        </is>
      </c>
      <c r="C2" s="559" t="inlineStr">
        <is>
          <t>Year 1</t>
        </is>
      </c>
      <c r="D2" s="559" t="inlineStr">
        <is>
          <t>Year 2</t>
        </is>
      </c>
      <c r="E2" s="559" t="inlineStr">
        <is>
          <t>Year 3</t>
        </is>
      </c>
      <c r="F2" s="559" t="inlineStr">
        <is>
          <t>Year 4</t>
        </is>
      </c>
      <c r="G2" s="559" t="inlineStr">
        <is>
          <t>Year 5</t>
        </is>
      </c>
      <c r="H2" s="559" t="inlineStr">
        <is>
          <t>Year 6</t>
        </is>
      </c>
      <c r="I2" s="559" t="inlineStr">
        <is>
          <t>Year 7</t>
        </is>
      </c>
      <c r="J2" s="559" t="inlineStr">
        <is>
          <t>Year 8</t>
        </is>
      </c>
    </row>
    <row r="3" ht="13.5" customHeight="1" s="355">
      <c r="A3" s="560" t="inlineStr">
        <is>
          <t>TERMINATION FOR CAUSE</t>
        </is>
      </c>
      <c r="B3" s="561" t="n"/>
      <c r="C3" s="561" t="n"/>
      <c r="D3" s="561" t="n"/>
      <c r="E3" s="561" t="n"/>
      <c r="F3" s="561" t="n"/>
      <c r="G3" s="561" t="n"/>
      <c r="H3" s="561" t="n"/>
      <c r="I3" s="561" t="n"/>
      <c r="J3" s="561" t="n"/>
    </row>
    <row r="4" ht="12.75" customHeight="1" s="355">
      <c r="A4" s="562" t="n"/>
      <c r="B4" s="563" t="inlineStr">
        <is>
          <t>General Accounting &amp; Sox</t>
        </is>
      </c>
      <c r="C4" s="564" t="n"/>
      <c r="D4" s="564" t="n"/>
      <c r="E4" s="564" t="n"/>
      <c r="F4" s="564" t="n"/>
      <c r="G4" s="564" t="n"/>
      <c r="H4" s="564" t="n"/>
      <c r="I4" s="564" t="n"/>
      <c r="J4" s="564" t="n"/>
    </row>
    <row r="5" ht="12.75" customHeight="1" s="355">
      <c r="A5" s="565" t="n"/>
      <c r="B5" s="566" t="inlineStr">
        <is>
          <t>Fixed Assets</t>
        </is>
      </c>
      <c r="C5" s="567" t="n"/>
      <c r="D5" s="567" t="n"/>
      <c r="E5" s="567" t="n"/>
      <c r="F5" s="567" t="n"/>
      <c r="G5" s="567" t="n"/>
      <c r="H5" s="567" t="n"/>
      <c r="I5" s="567" t="n"/>
      <c r="J5" s="567" t="n"/>
    </row>
    <row r="6" ht="12.75" customHeight="1" s="355">
      <c r="A6" s="565" t="n"/>
      <c r="B6" s="566" t="inlineStr">
        <is>
          <t>Accounts Payable</t>
        </is>
      </c>
      <c r="C6" s="567" t="n"/>
      <c r="D6" s="567" t="n"/>
      <c r="E6" s="567" t="n"/>
      <c r="F6" s="567" t="n"/>
      <c r="G6" s="567" t="n"/>
      <c r="H6" s="567" t="n"/>
      <c r="I6" s="567" t="n"/>
      <c r="J6" s="567" t="n"/>
    </row>
    <row r="7" ht="12.75" customHeight="1" s="355">
      <c r="A7" s="565" t="n"/>
      <c r="B7" s="566" t="inlineStr">
        <is>
          <t>T&amp;E</t>
        </is>
      </c>
      <c r="C7" s="567" t="n"/>
      <c r="D7" s="567" t="n"/>
      <c r="E7" s="567" t="n"/>
      <c r="F7" s="567" t="n"/>
      <c r="G7" s="567" t="n"/>
      <c r="H7" s="567" t="n"/>
      <c r="I7" s="567" t="n"/>
      <c r="J7" s="567" t="n"/>
    </row>
    <row r="8" ht="12.75" customHeight="1" s="355">
      <c r="A8" s="565" t="n"/>
      <c r="B8" s="566" t="inlineStr">
        <is>
          <t>Order to Cash</t>
        </is>
      </c>
      <c r="C8" s="567" t="n"/>
      <c r="D8" s="567" t="n"/>
      <c r="E8" s="567" t="n"/>
      <c r="F8" s="567" t="n"/>
      <c r="G8" s="567" t="n"/>
      <c r="H8" s="567" t="n"/>
      <c r="I8" s="567" t="n"/>
      <c r="J8" s="567" t="n"/>
    </row>
    <row r="9" ht="13.5" customHeight="1" s="355">
      <c r="A9" s="568" t="n"/>
      <c r="B9" s="569" t="inlineStr">
        <is>
          <t>Requistion to Pay</t>
        </is>
      </c>
      <c r="C9" s="570" t="n"/>
      <c r="D9" s="570" t="n"/>
      <c r="E9" s="570" t="n"/>
      <c r="F9" s="570" t="n"/>
      <c r="G9" s="570" t="n"/>
      <c r="H9" s="570" t="n"/>
      <c r="I9" s="570" t="n"/>
      <c r="J9" s="570" t="n"/>
    </row>
    <row r="10" ht="13.5" customHeight="1" s="355">
      <c r="A10" s="571" t="inlineStr">
        <is>
          <t>TOTAL TERMINATION  CHARGES</t>
        </is>
      </c>
      <c r="B10" s="572" t="n"/>
      <c r="C10" s="573" t="n"/>
      <c r="D10" s="574" t="n"/>
      <c r="E10" s="574" t="n"/>
      <c r="F10" s="574" t="n"/>
      <c r="G10" s="574" t="n"/>
      <c r="H10" s="574" t="n"/>
      <c r="I10" s="574" t="n"/>
      <c r="J10" s="574" t="n"/>
    </row>
    <row r="11"/>
    <row r="12" ht="13.5" customHeight="1" s="355"/>
    <row r="13" ht="13.5" customHeight="1" s="355">
      <c r="A13" s="560" t="inlineStr">
        <is>
          <t>TERMINATION FOR CHANGE OF CONTROL</t>
        </is>
      </c>
      <c r="B13" s="561" t="n"/>
      <c r="C13" s="561" t="n"/>
      <c r="D13" s="561" t="n"/>
      <c r="E13" s="561" t="n"/>
      <c r="F13" s="561" t="n"/>
      <c r="G13" s="561" t="n"/>
      <c r="H13" s="561" t="n"/>
      <c r="I13" s="561" t="n"/>
      <c r="J13" s="561" t="n"/>
    </row>
    <row r="14" ht="12.75" customHeight="1" s="355">
      <c r="A14" s="562" t="n"/>
      <c r="B14" s="563" t="inlineStr">
        <is>
          <t>General Accounting &amp; Sox</t>
        </is>
      </c>
      <c r="C14" s="575" t="n">
        <v>45709.2460817031</v>
      </c>
      <c r="D14" s="575" t="n">
        <v>180755.733516058</v>
      </c>
      <c r="E14" s="575" t="n">
        <v>167560.564969385</v>
      </c>
      <c r="F14" s="575" t="n">
        <v>153411.006149748</v>
      </c>
      <c r="G14" s="575" t="n">
        <v>138261.669292461</v>
      </c>
      <c r="H14" s="575" t="n">
        <v>122065.302318201</v>
      </c>
      <c r="I14" s="575" t="n">
        <v>118473.765538454</v>
      </c>
      <c r="J14" s="575" t="n">
        <v>122027.978504608</v>
      </c>
    </row>
    <row r="15" ht="12.75" customHeight="1" s="355">
      <c r="A15" s="565" t="n"/>
      <c r="B15" s="566" t="inlineStr">
        <is>
          <t>Fixed Assets</t>
        </is>
      </c>
      <c r="C15" s="576" t="n">
        <v>9641.91973993088</v>
      </c>
      <c r="D15" s="576" t="n">
        <v>22507.4688265899</v>
      </c>
      <c r="E15" s="576" t="n">
        <v>20864.4236022489</v>
      </c>
      <c r="F15" s="576" t="n">
        <v>19102.5389425034</v>
      </c>
      <c r="G15" s="576" t="n">
        <v>17216.1632219312</v>
      </c>
      <c r="H15" s="576" t="n">
        <v>15199.4126730764</v>
      </c>
      <c r="I15" s="576" t="n">
        <v>14752.1991848109</v>
      </c>
      <c r="J15" s="576" t="n">
        <v>15194.7651603552</v>
      </c>
    </row>
    <row r="16" ht="12.75" customHeight="1" s="355">
      <c r="A16" s="565" t="n"/>
      <c r="B16" s="566" t="inlineStr">
        <is>
          <t>Accounts Payable</t>
        </is>
      </c>
      <c r="C16" s="576" t="n">
        <v>171143.323215583</v>
      </c>
      <c r="D16" s="576" t="n">
        <v>610974.50622804</v>
      </c>
      <c r="E16" s="576" t="n">
        <v>566373.367273393</v>
      </c>
      <c r="F16" s="576" t="n">
        <v>518546.282925862</v>
      </c>
      <c r="G16" s="576" t="n">
        <v>467339.837486933</v>
      </c>
      <c r="H16" s="576" t="n">
        <v>412594.313667035</v>
      </c>
      <c r="I16" s="576" t="n">
        <v>353650.171102501</v>
      </c>
      <c r="J16" s="576" t="n">
        <v>363466.781641176</v>
      </c>
    </row>
    <row r="17" ht="12.75" customHeight="1" s="355">
      <c r="A17" s="565" t="n"/>
      <c r="B17" s="566" t="inlineStr">
        <is>
          <t>T&amp;E</t>
        </is>
      </c>
      <c r="C17" s="576" t="n">
        <v>26499.0332069783</v>
      </c>
      <c r="D17" s="576" t="n">
        <v>100771.685277123</v>
      </c>
      <c r="E17" s="576" t="n">
        <v>93415.3522518931</v>
      </c>
      <c r="F17" s="576" t="n">
        <v>85526.9447283999</v>
      </c>
      <c r="G17" s="576" t="n">
        <v>77081.1589364704</v>
      </c>
      <c r="H17" s="576" t="n">
        <v>68051.6517467696</v>
      </c>
      <c r="I17" s="576" t="n">
        <v>66049.36276268199</v>
      </c>
      <c r="J17" s="576" t="n">
        <v>68030.8436455624</v>
      </c>
    </row>
    <row r="18" ht="12.75" customHeight="1" s="355">
      <c r="A18" s="565" t="n"/>
      <c r="B18" s="566" t="inlineStr">
        <is>
          <t>Order to Cash</t>
        </is>
      </c>
      <c r="C18" s="576" t="n">
        <v>39002.9519015012</v>
      </c>
      <c r="D18" s="576" t="n">
        <v>159172.684313404</v>
      </c>
      <c r="E18" s="576" t="n">
        <v>147553.078358526</v>
      </c>
      <c r="F18" s="576" t="n">
        <v>135093.040630473</v>
      </c>
      <c r="G18" s="576" t="n">
        <v>121752.602868213</v>
      </c>
      <c r="H18" s="576" t="n">
        <v>107490.155103651</v>
      </c>
      <c r="I18" s="576" t="n">
        <v>104327.464001563</v>
      </c>
      <c r="J18" s="576" t="n">
        <v>107457.28792161</v>
      </c>
    </row>
    <row r="19" ht="13.5" customHeight="1" s="355">
      <c r="A19" s="568" t="n"/>
      <c r="B19" s="569" t="inlineStr">
        <is>
          <t>Requistion to Pay</t>
        </is>
      </c>
      <c r="C19" s="577" t="n">
        <v>117826.728356679</v>
      </c>
      <c r="D19" s="577" t="n">
        <v>339146.47798967</v>
      </c>
      <c r="E19" s="577" t="n">
        <v>314388.785096424</v>
      </c>
      <c r="F19" s="577" t="n">
        <v>287840.398799393</v>
      </c>
      <c r="G19" s="577" t="n">
        <v>259416.159417952</v>
      </c>
      <c r="H19" s="577" t="n">
        <v>229027.409314707</v>
      </c>
      <c r="I19" s="577" t="n">
        <v>210243.516752344</v>
      </c>
      <c r="J19" s="577" t="n">
        <v>216550.822254914</v>
      </c>
    </row>
    <row r="20" ht="13.5" customHeight="1" s="355">
      <c r="A20" s="571" t="inlineStr">
        <is>
          <t>TOTAL  TERMINATION  CHARGES</t>
        </is>
      </c>
      <c r="B20" s="572" t="n"/>
      <c r="C20" s="578">
        <f>SUM(C14:C19)</f>
        <v/>
      </c>
      <c r="D20" s="579">
        <f>SUM(D14:D19)</f>
        <v/>
      </c>
      <c r="E20" s="579">
        <f>SUM(E14:E19)</f>
        <v/>
      </c>
      <c r="F20" s="579">
        <f>SUM(F14:F19)</f>
        <v/>
      </c>
      <c r="G20" s="579">
        <f>SUM(G14:G19)</f>
        <v/>
      </c>
      <c r="H20" s="579">
        <f>SUM(H14:H19)</f>
        <v/>
      </c>
      <c r="I20" s="579">
        <f>SUM(I14:I19)</f>
        <v/>
      </c>
      <c r="J20" s="579">
        <f>SUM(J14:J19)</f>
        <v/>
      </c>
      <c r="K20" s="580" t="n"/>
    </row>
    <row r="21" ht="12.75" customHeight="1" s="355">
      <c r="D21" s="581" t="n"/>
      <c r="E21" s="581" t="n"/>
      <c r="F21" s="581" t="n"/>
      <c r="G21" s="581" t="n"/>
      <c r="H21" s="581" t="n"/>
      <c r="I21" s="581" t="n"/>
      <c r="J21" s="581" t="n"/>
    </row>
    <row r="22" ht="13.5" customHeight="1" s="355"/>
    <row r="23" ht="13.5" customHeight="1" s="355">
      <c r="A23" s="560" t="inlineStr">
        <is>
          <t>TERMINATION FOR CONVENIENCE</t>
        </is>
      </c>
      <c r="B23" s="561" t="n"/>
      <c r="C23" s="561" t="n"/>
      <c r="D23" s="561" t="n"/>
      <c r="E23" s="561" t="n"/>
      <c r="F23" s="561" t="n"/>
      <c r="G23" s="561" t="n"/>
      <c r="H23" s="561" t="n"/>
      <c r="I23" s="561" t="n"/>
      <c r="J23" s="561" t="n"/>
    </row>
    <row r="24" ht="12.75" customHeight="1" s="355">
      <c r="A24" s="562" t="n"/>
      <c r="B24" s="563" t="inlineStr">
        <is>
          <t>General Accounting &amp; Sox</t>
        </is>
      </c>
      <c r="C24" s="575" t="n">
        <v>45709.2460817031</v>
      </c>
      <c r="D24" s="575" t="n">
        <v>278085.743870858</v>
      </c>
      <c r="E24" s="575" t="n">
        <v>257785.484568285</v>
      </c>
      <c r="F24" s="575" t="n">
        <v>236016.932538074</v>
      </c>
      <c r="G24" s="575" t="n">
        <v>212710.26044994</v>
      </c>
      <c r="H24" s="575" t="n">
        <v>187792.772797232</v>
      </c>
      <c r="I24" s="575" t="n">
        <v>161188.796650958</v>
      </c>
      <c r="J24" s="575" t="n">
        <v>132819.568440389</v>
      </c>
    </row>
    <row r="25" ht="12.75" customHeight="1" s="355">
      <c r="A25" s="565" t="n"/>
      <c r="B25" s="566" t="inlineStr">
        <is>
          <t>Fixed Assets</t>
        </is>
      </c>
      <c r="C25" s="576" t="n">
        <v>9641.91973993088</v>
      </c>
      <c r="D25" s="576" t="n">
        <v>34626.8751178307</v>
      </c>
      <c r="E25" s="576" t="n">
        <v>32099.113234229</v>
      </c>
      <c r="F25" s="576" t="n">
        <v>29388.5214500053</v>
      </c>
      <c r="G25" s="576" t="n">
        <v>26486.4049568172</v>
      </c>
      <c r="H25" s="576" t="n">
        <v>23383.7118047329</v>
      </c>
      <c r="I25" s="576" t="n">
        <v>20071.0192990624</v>
      </c>
      <c r="J25" s="576" t="n">
        <v>16538.5199024274</v>
      </c>
    </row>
    <row r="26" ht="12.75" customHeight="1" s="355">
      <c r="A26" s="565" t="n"/>
      <c r="B26" s="566" t="inlineStr">
        <is>
          <t>Accounts Payable</t>
        </is>
      </c>
      <c r="C26" s="576" t="n">
        <v>171143.323215583</v>
      </c>
      <c r="D26" s="576" t="n">
        <v>939960.778812369</v>
      </c>
      <c r="E26" s="576" t="n">
        <v>871343.641959066</v>
      </c>
      <c r="F26" s="576" t="n">
        <v>797763.512193633</v>
      </c>
      <c r="G26" s="576" t="n">
        <v>718984.365364512</v>
      </c>
      <c r="H26" s="576" t="n">
        <v>634760.482564669</v>
      </c>
      <c r="I26" s="576" t="n">
        <v>544836.080868008</v>
      </c>
      <c r="J26" s="576" t="n">
        <v>448944.930635238</v>
      </c>
    </row>
    <row r="27" ht="12.75" customHeight="1" s="355">
      <c r="A27" s="565" t="n"/>
      <c r="B27" s="566" t="inlineStr">
        <is>
          <t>T&amp;E</t>
        </is>
      </c>
      <c r="C27" s="576" t="n">
        <v>26499.0332069783</v>
      </c>
      <c r="D27" s="576" t="n">
        <v>155033.361964805</v>
      </c>
      <c r="E27" s="576" t="n">
        <v>143715.926541374</v>
      </c>
      <c r="F27" s="576" t="n">
        <v>131579.914966769</v>
      </c>
      <c r="G27" s="576" t="n">
        <v>118586.398363801</v>
      </c>
      <c r="H27" s="576" t="n">
        <v>104694.848841184</v>
      </c>
      <c r="I27" s="576" t="n">
        <v>89863.0785886829</v>
      </c>
      <c r="J27" s="576" t="n">
        <v>74047.1767570747</v>
      </c>
    </row>
    <row r="28" ht="12.75" customHeight="1" s="355">
      <c r="A28" s="565" t="n"/>
      <c r="B28" s="566" t="inlineStr">
        <is>
          <t>Order to Cash</t>
        </is>
      </c>
      <c r="C28" s="576" t="n">
        <v>39002.9519015012</v>
      </c>
      <c r="D28" s="576" t="n">
        <v>244881.052789853</v>
      </c>
      <c r="E28" s="576" t="n">
        <v>227004.735936194</v>
      </c>
      <c r="F28" s="576" t="n">
        <v>207835.447123804</v>
      </c>
      <c r="G28" s="576" t="n">
        <v>187311.696720328</v>
      </c>
      <c r="H28" s="576" t="n">
        <v>165369.469390233</v>
      </c>
      <c r="I28" s="576" t="n">
        <v>141942.127893283</v>
      </c>
      <c r="J28" s="576" t="n">
        <v>116960.313384065</v>
      </c>
    </row>
    <row r="29" ht="13.5" customHeight="1" s="355">
      <c r="A29" s="568" t="n"/>
      <c r="B29" s="569" t="inlineStr">
        <is>
          <t>Requistion to Pay</t>
        </is>
      </c>
      <c r="C29" s="577" t="n">
        <v>117826.728356679</v>
      </c>
      <c r="D29" s="577" t="n">
        <v>521763.8122918</v>
      </c>
      <c r="E29" s="577" t="n">
        <v>483675.053994498</v>
      </c>
      <c r="F29" s="577" t="n">
        <v>442831.382768296</v>
      </c>
      <c r="G29" s="577" t="n">
        <v>399101.783719927</v>
      </c>
      <c r="H29" s="577" t="n">
        <v>352349.860484164</v>
      </c>
      <c r="I29" s="577" t="n">
        <v>302433.630248907</v>
      </c>
      <c r="J29" s="577" t="n">
        <v>249205.3113251</v>
      </c>
    </row>
    <row r="30" ht="13.5" customHeight="1" s="355">
      <c r="A30" s="571" t="inlineStr">
        <is>
          <t>TOTAL  TERMINATION  CHARGES</t>
        </is>
      </c>
      <c r="B30" s="572" t="n"/>
      <c r="C30" s="578">
        <f>SUM(C24:C29)</f>
        <v/>
      </c>
      <c r="D30" s="579">
        <f>SUM(D24:D29)</f>
        <v/>
      </c>
      <c r="E30" s="579">
        <f>SUM(E24:E29)</f>
        <v/>
      </c>
      <c r="F30" s="579">
        <f>SUM(F24:F29)</f>
        <v/>
      </c>
      <c r="G30" s="579">
        <f>SUM(G24:G29)</f>
        <v/>
      </c>
      <c r="H30" s="579">
        <f>SUM(H24:H29)</f>
        <v/>
      </c>
      <c r="I30" s="579">
        <f>SUM(I24:I29)</f>
        <v/>
      </c>
      <c r="J30" s="579">
        <f>SUM(J24:J29)</f>
        <v/>
      </c>
      <c r="K30" s="580" t="n"/>
    </row>
    <row r="31"/>
    <row r="32" ht="12.75" customHeight="1" s="355">
      <c r="A32" s="557" t="n"/>
      <c r="B32" s="407" t="n"/>
      <c r="C32" s="407" t="n"/>
      <c r="D32" s="407" t="n"/>
      <c r="E32" s="407" t="n"/>
      <c r="F32" s="407" t="n"/>
      <c r="G32" s="407" t="n"/>
      <c r="H32" s="407" t="n"/>
      <c r="I32" s="407" t="n"/>
    </row>
    <row r="33" ht="13.5" customHeight="1" s="355"/>
    <row r="34" ht="12.75" customHeight="1" s="355">
      <c r="A34" s="560" t="inlineStr">
        <is>
          <t>ALGORITHM FOR CALCULATING FEES ON ANY DATE OTHER THAN THE CONTRACT ANNIVERSARY</t>
        </is>
      </c>
      <c r="B34" s="561" t="n"/>
      <c r="C34" s="561" t="n"/>
      <c r="D34" s="561" t="n"/>
      <c r="E34" s="561" t="n"/>
      <c r="F34" s="561" t="n"/>
      <c r="G34" s="561" t="n"/>
      <c r="H34" s="561" t="n"/>
      <c r="I34" s="582" t="n"/>
    </row>
    <row r="35" ht="12.75" customHeight="1" s="355">
      <c r="A35" s="565">
        <f>A3</f>
        <v/>
      </c>
      <c r="B35" s="583" t="n"/>
      <c r="C35" s="584" t="n"/>
      <c r="D35" s="585" t="n"/>
      <c r="E35" s="585" t="n"/>
      <c r="F35" s="585" t="n"/>
      <c r="G35" s="585" t="n"/>
      <c r="H35" s="585" t="n"/>
      <c r="I35" s="586" t="n"/>
    </row>
    <row r="36" ht="12.75" customHeight="1" s="355">
      <c r="A36" s="587">
        <f>A13</f>
        <v/>
      </c>
      <c r="B36" s="588" t="n"/>
      <c r="C36" s="589" t="inlineStr">
        <is>
          <t>Termination charges above have been calculated for the given year, i.e. at any point in that year a termination would result in the highligted charges</t>
        </is>
      </c>
      <c r="D36" s="590" t="n"/>
      <c r="E36" s="590" t="n"/>
      <c r="F36" s="590" t="n"/>
      <c r="G36" s="590" t="n"/>
      <c r="H36" s="590" t="n"/>
      <c r="I36" s="591" t="n"/>
    </row>
    <row r="37" ht="13.5" customHeight="1" s="355">
      <c r="A37" s="592">
        <f>A23</f>
        <v/>
      </c>
      <c r="B37" s="572" t="n"/>
      <c r="C37" s="593" t="n"/>
      <c r="D37" s="594" t="n"/>
      <c r="E37" s="594" t="n"/>
      <c r="F37" s="594" t="n"/>
      <c r="G37" s="594" t="n"/>
      <c r="H37" s="594" t="n"/>
      <c r="I37" s="595" t="n"/>
    </row>
  </sheetData>
  <mergeCells count="1">
    <mergeCell ref="C36:I37"/>
  </mergeCells>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8.xml><?xml version="1.0" encoding="utf-8"?>
<worksheet xmlns="http://schemas.openxmlformats.org/spreadsheetml/2006/main">
  <sheetPr filterMode="0">
    <tabColor rgb="FFFFFF00"/>
    <outlinePr summaryBelow="1" summaryRight="1"/>
    <pageSetUpPr fitToPage="1"/>
  </sheetPr>
  <dimension ref="A1:V52"/>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53"/>
    </sheetView>
  </sheetViews>
  <sheetFormatPr baseColWidth="8" defaultColWidth="8.3984375" defaultRowHeight="12.75" customHeight="1" zeroHeight="0" outlineLevelRow="0"/>
  <cols>
    <col width="49.84" customWidth="1" style="407" min="1" max="1"/>
    <col width="13.95" customWidth="1" style="363" min="2" max="9"/>
    <col width="8.4" customWidth="1" style="407" min="10" max="257"/>
  </cols>
  <sheetData>
    <row r="1" ht="22.5" customHeight="1" s="355">
      <c r="A1" s="408" t="inlineStr">
        <is>
          <t>ARC/RRC RATES INPUT FORM</t>
        </is>
      </c>
      <c r="B1" s="410" t="n"/>
      <c r="C1" s="410" t="n"/>
      <c r="D1" s="410" t="n"/>
      <c r="E1" s="410" t="n"/>
      <c r="F1" s="410" t="n"/>
      <c r="G1" s="410" t="n"/>
      <c r="H1" s="410" t="n"/>
      <c r="I1" s="410" t="n"/>
    </row>
    <row r="2" ht="22.5" customHeight="1" s="355">
      <c r="A2" s="596" t="inlineStr">
        <is>
          <t>$ RATE CHARGE PER FTE</t>
        </is>
      </c>
      <c r="B2" s="413" t="inlineStr">
        <is>
          <t>Year 1</t>
        </is>
      </c>
      <c r="C2" s="414" t="inlineStr">
        <is>
          <t>Year 2</t>
        </is>
      </c>
      <c r="D2" s="414" t="inlineStr">
        <is>
          <t>Year 3</t>
        </is>
      </c>
      <c r="E2" s="414" t="inlineStr">
        <is>
          <t>Year 4</t>
        </is>
      </c>
      <c r="F2" s="414" t="inlineStr">
        <is>
          <t>Year 5</t>
        </is>
      </c>
      <c r="G2" s="414" t="inlineStr">
        <is>
          <t>Year 6</t>
        </is>
      </c>
      <c r="H2" s="414" t="inlineStr">
        <is>
          <t>Year 7</t>
        </is>
      </c>
      <c r="I2" s="414" t="inlineStr">
        <is>
          <t>Year 8</t>
        </is>
      </c>
    </row>
    <row r="3" ht="18" customHeight="1" s="355">
      <c r="A3" s="597" t="inlineStr">
        <is>
          <t>Process Summary</t>
        </is>
      </c>
      <c r="B3" s="425" t="n"/>
      <c r="C3" s="426" t="n"/>
      <c r="D3" s="426" t="n"/>
      <c r="E3" s="426" t="n"/>
      <c r="F3" s="426" t="n"/>
      <c r="G3" s="426" t="n"/>
      <c r="H3" s="426" t="n"/>
      <c r="I3" s="426" t="n"/>
    </row>
    <row r="4" ht="18" customHeight="1" s="355">
      <c r="A4" s="598" t="inlineStr">
        <is>
          <t>General Accounting &amp; Sox</t>
        </is>
      </c>
      <c r="B4" s="599" t="n"/>
      <c r="C4" s="600" t="n"/>
      <c r="D4" s="600" t="n"/>
      <c r="E4" s="600" t="n"/>
      <c r="F4" s="600" t="n"/>
      <c r="G4" s="600" t="n"/>
      <c r="H4" s="600" t="n"/>
      <c r="I4" s="600" t="n"/>
    </row>
    <row r="5" ht="18" customHeight="1" s="355">
      <c r="A5" s="601" t="inlineStr">
        <is>
          <t xml:space="preserve">   Centre One </t>
        </is>
      </c>
      <c r="B5" s="602">
        <f>'Centre One-BC'!C$20/'Centre One-FTE'!C4</f>
        <v/>
      </c>
      <c r="C5" s="603">
        <f>'Centre One-BC'!D$20/'Centre One-FTE'!D4</f>
        <v/>
      </c>
      <c r="D5" s="603">
        <f>'Centre One-BC'!E$20/'Centre One-FTE'!E4</f>
        <v/>
      </c>
      <c r="E5" s="603">
        <f>'Centre One-BC'!F$20/'Centre One-FTE'!F4</f>
        <v/>
      </c>
      <c r="F5" s="603">
        <f>'Centre One-BC'!G$20/'Centre One-FTE'!G4</f>
        <v/>
      </c>
      <c r="G5" s="603">
        <f>'Centre One-BC'!H$20/'Centre One-FTE'!H4</f>
        <v/>
      </c>
      <c r="H5" s="603">
        <f>'Centre One-BC'!I$20/'Centre One-FTE'!I4</f>
        <v/>
      </c>
      <c r="I5" s="603">
        <f>('Centre One-BC'!J$20/'Centre One-FTE'!J4)*12</f>
        <v/>
      </c>
    </row>
    <row r="6" ht="18" customHeight="1" s="355">
      <c r="A6" s="601" t="inlineStr">
        <is>
          <t xml:space="preserve">   Centre Two</t>
        </is>
      </c>
      <c r="B6" s="604">
        <f>'Centre Two-BC'!C$20/'Centre Two-FTE'!C4</f>
        <v/>
      </c>
      <c r="C6" s="605">
        <f>'Centre Two-BC'!D$20/'Centre Two-FTE'!D4</f>
        <v/>
      </c>
      <c r="D6" s="605">
        <f>'Centre Two-BC'!E$20/'Centre Two-FTE'!E4</f>
        <v/>
      </c>
      <c r="E6" s="605">
        <f>'Centre Two-BC'!F$20/'Centre Two-FTE'!F4</f>
        <v/>
      </c>
      <c r="F6" s="605">
        <f>'Centre Two-BC'!G$20/'Centre Two-FTE'!G4</f>
        <v/>
      </c>
      <c r="G6" s="605">
        <f>'Centre Two-BC'!H$20/'Centre Two-FTE'!H4</f>
        <v/>
      </c>
      <c r="H6" s="605">
        <f>'Centre Two-BC'!I$20/'Centre Two-FTE'!I4</f>
        <v/>
      </c>
      <c r="I6" s="605">
        <f>('Centre Two-BC'!J$20/'Centre Two-FTE'!J4)*12</f>
        <v/>
      </c>
    </row>
    <row r="7" ht="18" customHeight="1" s="355">
      <c r="A7" s="606" t="n"/>
      <c r="B7" s="607" t="n"/>
      <c r="C7" s="607" t="n"/>
      <c r="D7" s="607" t="n"/>
      <c r="E7" s="607" t="n"/>
      <c r="F7" s="607" t="n"/>
      <c r="G7" s="607" t="n"/>
      <c r="H7" s="607" t="n"/>
      <c r="I7" s="607" t="n"/>
    </row>
    <row r="8" ht="18" customHeight="1" s="355">
      <c r="A8" s="608" t="inlineStr">
        <is>
          <t>Fixed Assets</t>
        </is>
      </c>
      <c r="B8" s="609" t="n"/>
      <c r="C8" s="610" t="n"/>
      <c r="D8" s="610" t="n"/>
      <c r="E8" s="610" t="n"/>
      <c r="F8" s="610" t="n"/>
      <c r="G8" s="610" t="n"/>
      <c r="H8" s="610" t="n"/>
      <c r="I8" s="610" t="n"/>
    </row>
    <row r="9" ht="18" customHeight="1" s="355">
      <c r="A9" s="601" t="inlineStr">
        <is>
          <t xml:space="preserve">   Centre One </t>
        </is>
      </c>
      <c r="B9" s="602">
        <f>'Centre One-BC'!C$30/'Centre One-FTE'!C30</f>
        <v/>
      </c>
      <c r="C9" s="603">
        <f>'Centre One-BC'!D$30/'Centre One-FTE'!D30</f>
        <v/>
      </c>
      <c r="D9" s="603">
        <f>'Centre One-BC'!E$30/'Centre One-FTE'!E30</f>
        <v/>
      </c>
      <c r="E9" s="603">
        <f>'Centre One-BC'!F$30/'Centre One-FTE'!F30</f>
        <v/>
      </c>
      <c r="F9" s="603">
        <f>'Centre One-BC'!G$30/'Centre One-FTE'!G30</f>
        <v/>
      </c>
      <c r="G9" s="603">
        <f>'Centre One-BC'!H$30/'Centre One-FTE'!H30</f>
        <v/>
      </c>
      <c r="H9" s="603">
        <f>'Centre One-BC'!I$30/'Centre One-FTE'!I30</f>
        <v/>
      </c>
      <c r="I9" s="603">
        <f>('Centre One-BC'!J$30/'Centre One-FTE'!J30)*12</f>
        <v/>
      </c>
    </row>
    <row r="10" ht="18" customHeight="1" s="355">
      <c r="A10" s="601" t="inlineStr">
        <is>
          <t xml:space="preserve">   Centre Two</t>
        </is>
      </c>
      <c r="B10" s="604">
        <f>'Centre Two-BC'!C$30/'Centre Two-FTE'!C30</f>
        <v/>
      </c>
      <c r="C10" s="605">
        <f>'Centre Two-BC'!D$30/'Centre Two-FTE'!D30</f>
        <v/>
      </c>
      <c r="D10" s="605">
        <f>'Centre Two-BC'!E$30/'Centre Two-FTE'!E30</f>
        <v/>
      </c>
      <c r="E10" s="605">
        <f>'Centre Two-BC'!F$30/'Centre Two-FTE'!F30</f>
        <v/>
      </c>
      <c r="F10" s="605">
        <f>'Centre Two-BC'!G$30/'Centre Two-FTE'!G30</f>
        <v/>
      </c>
      <c r="G10" s="605">
        <f>'Centre Two-BC'!H$30/'Centre Two-FTE'!H30</f>
        <v/>
      </c>
      <c r="H10" s="605">
        <f>'Centre Two-BC'!I$30/'Centre Two-FTE'!I30</f>
        <v/>
      </c>
      <c r="I10" s="605">
        <f>('Centre Two-BC'!J$30/'Centre Two-FTE'!J30)*12</f>
        <v/>
      </c>
    </row>
    <row r="11" ht="18" customHeight="1" s="355">
      <c r="A11" s="606" t="n"/>
      <c r="B11" s="607" t="n"/>
      <c r="C11" s="607" t="n"/>
      <c r="D11" s="607" t="n"/>
      <c r="E11" s="607" t="n"/>
      <c r="F11" s="607" t="n"/>
      <c r="G11" s="607" t="n"/>
      <c r="H11" s="607" t="n"/>
      <c r="I11" s="607" t="n"/>
    </row>
    <row r="12" ht="18" customHeight="1" s="355">
      <c r="A12" s="608" t="inlineStr">
        <is>
          <t>Accounts Payable</t>
        </is>
      </c>
      <c r="B12" s="609" t="n"/>
      <c r="C12" s="610" t="n"/>
      <c r="D12" s="610" t="n"/>
      <c r="E12" s="610" t="n"/>
      <c r="F12" s="610" t="n"/>
      <c r="G12" s="610" t="n"/>
      <c r="H12" s="610" t="n"/>
      <c r="I12" s="610" t="n"/>
    </row>
    <row r="13" ht="18" customHeight="1" s="355">
      <c r="A13" s="601" t="inlineStr">
        <is>
          <t xml:space="preserve">   Centre One </t>
        </is>
      </c>
      <c r="B13" s="602">
        <f>'Centre One-BC'!C$40/'Centre One-FTE'!C40</f>
        <v/>
      </c>
      <c r="C13" s="603">
        <f>'Centre One-BC'!D$40/'Centre One-FTE'!D40</f>
        <v/>
      </c>
      <c r="D13" s="603">
        <f>'Centre One-BC'!E$40/'Centre One-FTE'!E40</f>
        <v/>
      </c>
      <c r="E13" s="603">
        <f>'Centre One-BC'!F$40/'Centre One-FTE'!F40</f>
        <v/>
      </c>
      <c r="F13" s="603">
        <f>'Centre One-BC'!G$40/'Centre One-FTE'!G40</f>
        <v/>
      </c>
      <c r="G13" s="603">
        <f>'Centre One-BC'!H$40/'Centre One-FTE'!H40</f>
        <v/>
      </c>
      <c r="H13" s="603">
        <f>'Centre One-BC'!I$40/'Centre One-FTE'!I40</f>
        <v/>
      </c>
      <c r="I13" s="603">
        <f>('Centre One-BC'!J$40/'Centre One-FTE'!J40)*12</f>
        <v/>
      </c>
    </row>
    <row r="14" ht="18" customHeight="1" s="355">
      <c r="A14" s="601" t="inlineStr">
        <is>
          <t xml:space="preserve">   Centre Two</t>
        </is>
      </c>
      <c r="B14" s="604">
        <f>'Centre Two-BC'!C$40/'Centre Two-FTE'!C40</f>
        <v/>
      </c>
      <c r="C14" s="605">
        <f>'Centre Two-BC'!D$40/'Centre Two-FTE'!D40</f>
        <v/>
      </c>
      <c r="D14" s="605">
        <f>'Centre Two-BC'!E$40/'Centre Two-FTE'!E40</f>
        <v/>
      </c>
      <c r="E14" s="605">
        <f>'Centre Two-BC'!F$40/'Centre Two-FTE'!F40</f>
        <v/>
      </c>
      <c r="F14" s="605">
        <f>'Centre Two-BC'!G$40/'Centre Two-FTE'!G40</f>
        <v/>
      </c>
      <c r="G14" s="605">
        <f>'Centre Two-BC'!H$40/'Centre Two-FTE'!H40</f>
        <v/>
      </c>
      <c r="H14" s="605">
        <f>'Centre Two-BC'!I$40/'Centre Two-FTE'!I40</f>
        <v/>
      </c>
      <c r="I14" s="605">
        <f>('Centre Two-BC'!J$40/'Centre Two-FTE'!J40)*12</f>
        <v/>
      </c>
    </row>
    <row r="15" ht="18" customHeight="1" s="355">
      <c r="A15" s="606" t="n"/>
      <c r="B15" s="607" t="n"/>
      <c r="C15" s="607" t="n"/>
      <c r="D15" s="607" t="n"/>
      <c r="E15" s="607" t="n"/>
      <c r="F15" s="607" t="n"/>
      <c r="G15" s="607" t="n"/>
      <c r="H15" s="607" t="n"/>
      <c r="I15" s="607" t="n"/>
    </row>
    <row r="16" ht="18" customHeight="1" s="355">
      <c r="A16" s="608" t="inlineStr">
        <is>
          <t>T&amp;E</t>
        </is>
      </c>
      <c r="B16" s="609" t="n"/>
      <c r="C16" s="610" t="n"/>
      <c r="D16" s="610" t="n"/>
      <c r="E16" s="610" t="n"/>
      <c r="F16" s="610" t="n"/>
      <c r="G16" s="610" t="n"/>
      <c r="H16" s="610" t="n"/>
      <c r="I16" s="610" t="n"/>
    </row>
    <row r="17" ht="18" customHeight="1" s="355">
      <c r="A17" s="601" t="inlineStr">
        <is>
          <t xml:space="preserve">   Centre One </t>
        </is>
      </c>
      <c r="B17" s="602">
        <f>'Centre One-BC'!C$50/'Centre One-FTE'!C50</f>
        <v/>
      </c>
      <c r="C17" s="603">
        <f>'Centre One-BC'!D$50/'Centre One-FTE'!D50</f>
        <v/>
      </c>
      <c r="D17" s="603">
        <f>'Centre One-BC'!E$50/'Centre One-FTE'!E50</f>
        <v/>
      </c>
      <c r="E17" s="603">
        <f>'Centre One-BC'!F$50/'Centre One-FTE'!F50</f>
        <v/>
      </c>
      <c r="F17" s="603">
        <f>'Centre One-BC'!G$50/'Centre One-FTE'!G50</f>
        <v/>
      </c>
      <c r="G17" s="603">
        <f>'Centre One-BC'!H$50/'Centre One-FTE'!H50</f>
        <v/>
      </c>
      <c r="H17" s="603">
        <f>'Centre One-BC'!I$50/'Centre One-FTE'!I50</f>
        <v/>
      </c>
      <c r="I17" s="603">
        <f>('Centre One-BC'!J$50/'Centre One-FTE'!J50)*12</f>
        <v/>
      </c>
    </row>
    <row r="18" ht="18" customHeight="1" s="355">
      <c r="A18" s="601" t="inlineStr">
        <is>
          <t xml:space="preserve">   Centre Two</t>
        </is>
      </c>
      <c r="B18" s="604">
        <f>'Centre Two-BC'!C$50/'Centre Two-FTE'!C50</f>
        <v/>
      </c>
      <c r="C18" s="605">
        <f>'Centre Two-BC'!D$50/'Centre Two-FTE'!D50</f>
        <v/>
      </c>
      <c r="D18" s="605">
        <f>'Centre Two-BC'!E$50/'Centre Two-FTE'!E50</f>
        <v/>
      </c>
      <c r="E18" s="605">
        <f>'Centre Two-BC'!F$50/'Centre Two-FTE'!F50</f>
        <v/>
      </c>
      <c r="F18" s="605">
        <f>'Centre Two-BC'!G$50/'Centre Two-FTE'!G50</f>
        <v/>
      </c>
      <c r="G18" s="605">
        <f>'Centre Two-BC'!H$50/'Centre Two-FTE'!H50</f>
        <v/>
      </c>
      <c r="H18" s="605">
        <f>'Centre Two-BC'!I$50/'Centre Two-FTE'!I50</f>
        <v/>
      </c>
      <c r="I18" s="605">
        <f>('Centre Two-BC'!J$50/'Centre Two-FTE'!J50)*12</f>
        <v/>
      </c>
    </row>
    <row r="19" ht="18" customHeight="1" s="355">
      <c r="A19" s="606" t="n"/>
      <c r="B19" s="607" t="n"/>
      <c r="C19" s="607" t="n"/>
      <c r="D19" s="607" t="n"/>
      <c r="E19" s="607" t="n"/>
      <c r="F19" s="607" t="n"/>
      <c r="G19" s="607" t="n"/>
      <c r="H19" s="607" t="n"/>
      <c r="I19" s="607" t="n"/>
    </row>
    <row r="20" ht="18" customHeight="1" s="355">
      <c r="A20" s="608" t="inlineStr">
        <is>
          <t>Order to Cash</t>
        </is>
      </c>
      <c r="B20" s="609" t="n"/>
      <c r="C20" s="610" t="n"/>
      <c r="D20" s="610" t="n"/>
      <c r="E20" s="610" t="n"/>
      <c r="F20" s="610" t="n"/>
      <c r="G20" s="610" t="n"/>
      <c r="H20" s="610" t="n"/>
      <c r="I20" s="610" t="n"/>
      <c r="J20" s="440" t="n"/>
      <c r="K20" s="440" t="n"/>
      <c r="L20" s="440" t="n"/>
      <c r="M20" s="440" t="n"/>
      <c r="N20" s="440" t="n"/>
      <c r="O20" s="440" t="n"/>
      <c r="P20" s="440" t="n"/>
      <c r="Q20" s="440" t="n"/>
      <c r="R20" s="440" t="n"/>
      <c r="S20" s="440" t="n"/>
      <c r="T20" s="440" t="n"/>
      <c r="U20" s="440" t="n"/>
      <c r="V20" s="440" t="n"/>
    </row>
    <row r="21" ht="18" customHeight="1" s="355">
      <c r="A21" s="601" t="inlineStr">
        <is>
          <t xml:space="preserve">   Centre One </t>
        </is>
      </c>
      <c r="B21" s="602">
        <f>'Centre One-BC'!C$60/'Centre One-FTE'!C60</f>
        <v/>
      </c>
      <c r="C21" s="603">
        <f>'Centre One-BC'!D$60/'Centre One-FTE'!D60</f>
        <v/>
      </c>
      <c r="D21" s="603">
        <f>'Centre One-BC'!E$60/'Centre One-FTE'!E60</f>
        <v/>
      </c>
      <c r="E21" s="603">
        <f>'Centre One-BC'!F$60/'Centre One-FTE'!F60</f>
        <v/>
      </c>
      <c r="F21" s="603">
        <f>'Centre One-BC'!G$60/'Centre One-FTE'!G60</f>
        <v/>
      </c>
      <c r="G21" s="603">
        <f>'Centre One-BC'!H$60/'Centre One-FTE'!H60</f>
        <v/>
      </c>
      <c r="H21" s="603">
        <f>'Centre One-BC'!I$60/'Centre One-FTE'!I60</f>
        <v/>
      </c>
      <c r="I21" s="603">
        <f>('Centre One-BC'!J$60/'Centre One-FTE'!J60)*12</f>
        <v/>
      </c>
      <c r="J21" s="354" t="n"/>
      <c r="K21" s="354" t="n"/>
      <c r="L21" s="354" t="n"/>
      <c r="M21" s="354" t="n"/>
      <c r="N21" s="354" t="n"/>
      <c r="O21" s="354" t="n"/>
      <c r="P21" s="354" t="n"/>
      <c r="Q21" s="354" t="n"/>
      <c r="R21" s="354" t="n"/>
      <c r="S21" s="354" t="n"/>
      <c r="T21" s="354" t="n"/>
      <c r="U21" s="354" t="n"/>
      <c r="V21" s="354" t="n"/>
    </row>
    <row r="22" ht="18" customHeight="1" s="355">
      <c r="A22" s="601" t="inlineStr">
        <is>
          <t xml:space="preserve">   Centre Two</t>
        </is>
      </c>
      <c r="B22" s="604">
        <f>'Centre Two-BC'!C$60/'Centre Two-FTE'!C60</f>
        <v/>
      </c>
      <c r="C22" s="605">
        <f>'Centre Two-BC'!D$60/'Centre Two-FTE'!D60</f>
        <v/>
      </c>
      <c r="D22" s="605">
        <f>'Centre Two-BC'!E$60/'Centre Two-FTE'!E60</f>
        <v/>
      </c>
      <c r="E22" s="605">
        <f>'Centre Two-BC'!F$60/'Centre Two-FTE'!F60</f>
        <v/>
      </c>
      <c r="F22" s="605">
        <f>'Centre Two-BC'!G$60/'Centre Two-FTE'!G60</f>
        <v/>
      </c>
      <c r="G22" s="605">
        <f>'Centre Two-BC'!H$60/'Centre Two-FTE'!H60</f>
        <v/>
      </c>
      <c r="H22" s="605">
        <f>'Centre Two-BC'!I$60/'Centre Two-FTE'!I60</f>
        <v/>
      </c>
      <c r="I22" s="605">
        <f>('Centre Two-BC'!J$60/'Centre Two-FTE'!J60)*12</f>
        <v/>
      </c>
      <c r="J22" s="354" t="n"/>
      <c r="K22" s="354" t="n"/>
      <c r="L22" s="354" t="n"/>
      <c r="M22" s="354" t="n"/>
      <c r="N22" s="354" t="n"/>
      <c r="O22" s="354" t="n"/>
      <c r="P22" s="354" t="n"/>
      <c r="Q22" s="354" t="n"/>
      <c r="R22" s="354" t="n"/>
      <c r="S22" s="354" t="n"/>
      <c r="T22" s="354" t="n"/>
      <c r="U22" s="354" t="n"/>
      <c r="V22" s="354" t="n"/>
    </row>
    <row r="23" ht="18" customHeight="1" s="355">
      <c r="A23" s="606" t="n"/>
      <c r="B23" s="607" t="n"/>
      <c r="C23" s="607" t="n"/>
      <c r="D23" s="607" t="n"/>
      <c r="E23" s="607" t="n"/>
      <c r="F23" s="607" t="n"/>
      <c r="G23" s="607" t="n"/>
      <c r="H23" s="607" t="n"/>
      <c r="I23" s="607" t="n"/>
    </row>
    <row r="24" ht="18" customHeight="1" s="355">
      <c r="A24" s="608" t="inlineStr">
        <is>
          <t>Requistion to Pay</t>
        </is>
      </c>
      <c r="B24" s="609" t="n"/>
      <c r="C24" s="610" t="n"/>
      <c r="D24" s="610" t="n"/>
      <c r="E24" s="610" t="n"/>
      <c r="F24" s="610" t="n"/>
      <c r="G24" s="610" t="n"/>
      <c r="H24" s="610" t="n"/>
      <c r="I24" s="610" t="n"/>
    </row>
    <row r="25" ht="18" customHeight="1" s="355">
      <c r="A25" s="601" t="inlineStr">
        <is>
          <t xml:space="preserve">   Centre One </t>
        </is>
      </c>
      <c r="B25" s="602">
        <f>'Centre One-BC'!C$70/'Centre One-FTE'!C70</f>
        <v/>
      </c>
      <c r="C25" s="603">
        <f>'Centre One-BC'!D$70/'Centre One-FTE'!D70</f>
        <v/>
      </c>
      <c r="D25" s="603">
        <f>'Centre One-BC'!E$70/'Centre One-FTE'!E70</f>
        <v/>
      </c>
      <c r="E25" s="603">
        <f>'Centre One-BC'!F$70/'Centre One-FTE'!F70</f>
        <v/>
      </c>
      <c r="F25" s="603">
        <f>'Centre One-BC'!G$70/'Centre One-FTE'!G70</f>
        <v/>
      </c>
      <c r="G25" s="603">
        <f>'Centre One-BC'!H$70/'Centre One-FTE'!H70</f>
        <v/>
      </c>
      <c r="H25" s="603">
        <f>'Centre One-BC'!I$70/'Centre One-FTE'!I70</f>
        <v/>
      </c>
      <c r="I25" s="603">
        <f>('Centre One-BC'!J$70/'Centre One-FTE'!J70)*12</f>
        <v/>
      </c>
    </row>
    <row r="26" ht="18" customHeight="1" s="355">
      <c r="A26" s="611" t="inlineStr">
        <is>
          <t xml:space="preserve">   Centre Two</t>
        </is>
      </c>
      <c r="B26" s="604">
        <f>'Centre Two-BC'!C$70/'Centre Two-FTE'!C70</f>
        <v/>
      </c>
      <c r="C26" s="605">
        <f>'Centre Two-BC'!D$70/'Centre Two-FTE'!D70</f>
        <v/>
      </c>
      <c r="D26" s="605">
        <f>'Centre Two-BC'!E$70/'Centre Two-FTE'!E70</f>
        <v/>
      </c>
      <c r="E26" s="605">
        <f>'Centre Two-BC'!F$70/'Centre Two-FTE'!F70</f>
        <v/>
      </c>
      <c r="F26" s="605">
        <f>'Centre Two-BC'!G$70/'Centre Two-FTE'!G70</f>
        <v/>
      </c>
      <c r="G26" s="605">
        <f>'Centre Two-BC'!H$70/'Centre Two-FTE'!H70</f>
        <v/>
      </c>
      <c r="H26" s="605">
        <f>'Centre Two-BC'!I$70/'Centre Two-FTE'!I70</f>
        <v/>
      </c>
      <c r="I26" s="605">
        <f>('Centre Two-BC'!J$70/'Centre Two-FTE'!J70)*12</f>
        <v/>
      </c>
    </row>
    <row r="27" ht="22.5" customHeight="1" s="355"/>
    <row r="28" ht="22.5" customHeight="1" s="355">
      <c r="A28" s="596" t="inlineStr">
        <is>
          <t>DEAD BAND %</t>
        </is>
      </c>
      <c r="B28" s="413" t="inlineStr">
        <is>
          <t>Year 1</t>
        </is>
      </c>
      <c r="C28" s="414" t="inlineStr">
        <is>
          <t>Year 2</t>
        </is>
      </c>
      <c r="D28" s="414" t="inlineStr">
        <is>
          <t>Year 3</t>
        </is>
      </c>
      <c r="E28" s="414" t="inlineStr">
        <is>
          <t>Year 4</t>
        </is>
      </c>
      <c r="F28" s="414" t="inlineStr">
        <is>
          <t>Year 5</t>
        </is>
      </c>
      <c r="G28" s="414" t="inlineStr">
        <is>
          <t>Year 6</t>
        </is>
      </c>
      <c r="H28" s="414" t="inlineStr">
        <is>
          <t>Year 7</t>
        </is>
      </c>
      <c r="I28" s="414" t="inlineStr">
        <is>
          <t>Year 8</t>
        </is>
      </c>
    </row>
    <row r="29" ht="18" customHeight="1" s="355">
      <c r="A29" s="597" t="inlineStr">
        <is>
          <t>Process Summary</t>
        </is>
      </c>
      <c r="B29" s="425" t="n"/>
      <c r="C29" s="426" t="n"/>
      <c r="D29" s="426" t="n"/>
      <c r="E29" s="426" t="n"/>
      <c r="F29" s="426" t="n"/>
      <c r="G29" s="426" t="n"/>
      <c r="H29" s="426" t="n"/>
      <c r="I29" s="426" t="n"/>
    </row>
    <row r="30" ht="18" customHeight="1" s="355">
      <c r="A30" s="598" t="inlineStr">
        <is>
          <t>General Accounting &amp; Sox</t>
        </is>
      </c>
      <c r="B30" s="599" t="n"/>
      <c r="C30" s="600" t="n"/>
      <c r="D30" s="600" t="n"/>
      <c r="E30" s="600" t="n"/>
      <c r="F30" s="600" t="n"/>
      <c r="G30" s="600" t="n"/>
      <c r="H30" s="600" t="n"/>
      <c r="I30" s="600" t="n"/>
    </row>
    <row r="31" ht="18" customHeight="1" s="355">
      <c r="A31" s="601" t="inlineStr">
        <is>
          <t xml:space="preserve">   Centre One </t>
        </is>
      </c>
      <c r="B31" s="612" t="n">
        <v>0.05</v>
      </c>
      <c r="C31" s="612" t="n">
        <v>0.05</v>
      </c>
      <c r="D31" s="612" t="n">
        <v>0.05</v>
      </c>
      <c r="E31" s="612" t="n">
        <v>0.05</v>
      </c>
      <c r="F31" s="612" t="n">
        <v>0.05</v>
      </c>
      <c r="G31" s="612" t="n">
        <v>0.05</v>
      </c>
      <c r="H31" s="612" t="n">
        <v>0.05</v>
      </c>
      <c r="I31" s="612" t="n">
        <v>0.05</v>
      </c>
    </row>
    <row r="32" ht="18" customHeight="1" s="355">
      <c r="A32" s="601" t="inlineStr">
        <is>
          <t xml:space="preserve">   Centre Two</t>
        </is>
      </c>
      <c r="B32" s="612" t="n">
        <v>0.05</v>
      </c>
      <c r="C32" s="612" t="n">
        <v>0.05</v>
      </c>
      <c r="D32" s="612" t="n">
        <v>0.05</v>
      </c>
      <c r="E32" s="612" t="n">
        <v>0.05</v>
      </c>
      <c r="F32" s="612" t="n">
        <v>0.05</v>
      </c>
      <c r="G32" s="612" t="n">
        <v>0.05</v>
      </c>
      <c r="H32" s="612" t="n">
        <v>0.05</v>
      </c>
      <c r="I32" s="612" t="n">
        <v>0.05</v>
      </c>
    </row>
    <row r="33" ht="18" customHeight="1" s="355">
      <c r="A33" s="606" t="n"/>
      <c r="B33" s="613" t="n"/>
      <c r="C33" s="613" t="n"/>
      <c r="D33" s="613" t="n"/>
      <c r="E33" s="613" t="n"/>
      <c r="F33" s="613" t="n"/>
      <c r="G33" s="613" t="n"/>
      <c r="H33" s="613" t="n"/>
      <c r="I33" s="613" t="n"/>
    </row>
    <row r="34" ht="18" customHeight="1" s="355">
      <c r="A34" s="608" t="inlineStr">
        <is>
          <t>Fixed Assets</t>
        </is>
      </c>
      <c r="B34" s="614" t="n"/>
      <c r="C34" s="615" t="n"/>
      <c r="D34" s="615" t="n"/>
      <c r="E34" s="615" t="n"/>
      <c r="F34" s="615" t="n"/>
      <c r="G34" s="615" t="n"/>
      <c r="H34" s="615" t="n"/>
      <c r="I34" s="615" t="n"/>
    </row>
    <row r="35" ht="18" customHeight="1" s="355">
      <c r="A35" s="601" t="inlineStr">
        <is>
          <t xml:space="preserve">   Centre One </t>
        </is>
      </c>
      <c r="B35" s="612" t="n">
        <v>0.05</v>
      </c>
      <c r="C35" s="612" t="n">
        <v>0.05</v>
      </c>
      <c r="D35" s="612" t="n">
        <v>0.05</v>
      </c>
      <c r="E35" s="612" t="n">
        <v>0.05</v>
      </c>
      <c r="F35" s="612" t="n">
        <v>0.05</v>
      </c>
      <c r="G35" s="612" t="n">
        <v>0.05</v>
      </c>
      <c r="H35" s="612" t="n">
        <v>0.05</v>
      </c>
      <c r="I35" s="612" t="n">
        <v>0.05</v>
      </c>
    </row>
    <row r="36" ht="18" customHeight="1" s="355">
      <c r="A36" s="601" t="inlineStr">
        <is>
          <t xml:space="preserve">   Centre Two</t>
        </is>
      </c>
      <c r="B36" s="612" t="n">
        <v>0.05</v>
      </c>
      <c r="C36" s="612" t="n">
        <v>0.05</v>
      </c>
      <c r="D36" s="612" t="n">
        <v>0.05</v>
      </c>
      <c r="E36" s="612" t="n">
        <v>0.05</v>
      </c>
      <c r="F36" s="612" t="n">
        <v>0.05</v>
      </c>
      <c r="G36" s="612" t="n">
        <v>0.05</v>
      </c>
      <c r="H36" s="612" t="n">
        <v>0.05</v>
      </c>
      <c r="I36" s="612" t="n">
        <v>0.05</v>
      </c>
    </row>
    <row r="37" ht="18" customHeight="1" s="355">
      <c r="A37" s="606" t="n"/>
      <c r="B37" s="613" t="n"/>
      <c r="C37" s="613" t="n"/>
      <c r="D37" s="613" t="n"/>
      <c r="E37" s="613" t="n"/>
      <c r="F37" s="613" t="n"/>
      <c r="G37" s="613" t="n"/>
      <c r="H37" s="613" t="n"/>
      <c r="I37" s="613" t="n"/>
    </row>
    <row r="38" ht="18" customHeight="1" s="355">
      <c r="A38" s="608" t="inlineStr">
        <is>
          <t>Accounts Payable</t>
        </is>
      </c>
      <c r="B38" s="614" t="n"/>
      <c r="C38" s="615" t="n"/>
      <c r="D38" s="615" t="n"/>
      <c r="E38" s="615" t="n"/>
      <c r="F38" s="615" t="n"/>
      <c r="G38" s="615" t="n"/>
      <c r="H38" s="615" t="n"/>
      <c r="I38" s="615" t="n"/>
    </row>
    <row r="39" ht="18" customHeight="1" s="355">
      <c r="A39" s="601" t="inlineStr">
        <is>
          <t xml:space="preserve">   Centre One </t>
        </is>
      </c>
      <c r="B39" s="612" t="n">
        <v>0.05</v>
      </c>
      <c r="C39" s="612" t="n">
        <v>0.05</v>
      </c>
      <c r="D39" s="612" t="n">
        <v>0.05</v>
      </c>
      <c r="E39" s="612" t="n">
        <v>0.05</v>
      </c>
      <c r="F39" s="612" t="n">
        <v>0.05</v>
      </c>
      <c r="G39" s="612" t="n">
        <v>0.05</v>
      </c>
      <c r="H39" s="612" t="n">
        <v>0.05</v>
      </c>
      <c r="I39" s="612" t="n">
        <v>0.05</v>
      </c>
    </row>
    <row r="40" ht="18" customHeight="1" s="355">
      <c r="A40" s="601" t="inlineStr">
        <is>
          <t xml:space="preserve">   Centre Two</t>
        </is>
      </c>
      <c r="B40" s="612" t="n">
        <v>0.05</v>
      </c>
      <c r="C40" s="612" t="n">
        <v>0.05</v>
      </c>
      <c r="D40" s="612" t="n">
        <v>0.05</v>
      </c>
      <c r="E40" s="612" t="n">
        <v>0.05</v>
      </c>
      <c r="F40" s="612" t="n">
        <v>0.05</v>
      </c>
      <c r="G40" s="612" t="n">
        <v>0.05</v>
      </c>
      <c r="H40" s="612" t="n">
        <v>0.05</v>
      </c>
      <c r="I40" s="612" t="n">
        <v>0.05</v>
      </c>
    </row>
    <row r="41" ht="18" customHeight="1" s="355">
      <c r="A41" s="606" t="n"/>
      <c r="B41" s="613" t="n"/>
      <c r="C41" s="613" t="n"/>
      <c r="D41" s="613" t="n"/>
      <c r="E41" s="613" t="n"/>
      <c r="F41" s="613" t="n"/>
      <c r="G41" s="613" t="n"/>
      <c r="H41" s="613" t="n"/>
      <c r="I41" s="613" t="n"/>
    </row>
    <row r="42" ht="18" customHeight="1" s="355">
      <c r="A42" s="608" t="inlineStr">
        <is>
          <t>T&amp;E</t>
        </is>
      </c>
      <c r="B42" s="614" t="n"/>
      <c r="C42" s="615" t="n"/>
      <c r="D42" s="615" t="n"/>
      <c r="E42" s="615" t="n"/>
      <c r="F42" s="615" t="n"/>
      <c r="G42" s="615" t="n"/>
      <c r="H42" s="615" t="n"/>
      <c r="I42" s="615" t="n"/>
    </row>
    <row r="43" ht="18" customHeight="1" s="355">
      <c r="A43" s="601" t="inlineStr">
        <is>
          <t xml:space="preserve">   Centre One </t>
        </is>
      </c>
      <c r="B43" s="612" t="n">
        <v>0.05</v>
      </c>
      <c r="C43" s="612" t="n">
        <v>0.05</v>
      </c>
      <c r="D43" s="612" t="n">
        <v>0.05</v>
      </c>
      <c r="E43" s="612" t="n">
        <v>0.05</v>
      </c>
      <c r="F43" s="612" t="n">
        <v>0.05</v>
      </c>
      <c r="G43" s="612" t="n">
        <v>0.05</v>
      </c>
      <c r="H43" s="612" t="n">
        <v>0.05</v>
      </c>
      <c r="I43" s="612" t="n">
        <v>0.05</v>
      </c>
    </row>
    <row r="44" ht="18" customHeight="1" s="355">
      <c r="A44" s="601" t="inlineStr">
        <is>
          <t xml:space="preserve">   Centre Two</t>
        </is>
      </c>
      <c r="B44" s="612" t="n">
        <v>0.05</v>
      </c>
      <c r="C44" s="612" t="n">
        <v>0.05</v>
      </c>
      <c r="D44" s="612" t="n">
        <v>0.05</v>
      </c>
      <c r="E44" s="612" t="n">
        <v>0.05</v>
      </c>
      <c r="F44" s="612" t="n">
        <v>0.05</v>
      </c>
      <c r="G44" s="612" t="n">
        <v>0.05</v>
      </c>
      <c r="H44" s="612" t="n">
        <v>0.05</v>
      </c>
      <c r="I44" s="612" t="n">
        <v>0.05</v>
      </c>
    </row>
    <row r="45" ht="18" customHeight="1" s="355">
      <c r="A45" s="606" t="n"/>
      <c r="B45" s="613" t="n"/>
      <c r="C45" s="613" t="n"/>
      <c r="D45" s="613" t="n"/>
      <c r="E45" s="613" t="n"/>
      <c r="F45" s="613" t="n"/>
      <c r="G45" s="613" t="n"/>
      <c r="H45" s="613" t="n"/>
      <c r="I45" s="613" t="n"/>
    </row>
    <row r="46" ht="18" customHeight="1" s="355">
      <c r="A46" s="608" t="inlineStr">
        <is>
          <t>Order to Cash</t>
        </is>
      </c>
      <c r="B46" s="614" t="n"/>
      <c r="C46" s="615" t="n"/>
      <c r="D46" s="615" t="n"/>
      <c r="E46" s="615" t="n"/>
      <c r="F46" s="615" t="n"/>
      <c r="G46" s="615" t="n"/>
      <c r="H46" s="615" t="n"/>
      <c r="I46" s="615" t="n"/>
    </row>
    <row r="47" ht="18" customHeight="1" s="355">
      <c r="A47" s="601" t="inlineStr">
        <is>
          <t xml:space="preserve">   Centre One </t>
        </is>
      </c>
      <c r="B47" s="612" t="n">
        <v>0.05</v>
      </c>
      <c r="C47" s="612" t="n">
        <v>0.05</v>
      </c>
      <c r="D47" s="612" t="n">
        <v>0.05</v>
      </c>
      <c r="E47" s="612" t="n">
        <v>0.05</v>
      </c>
      <c r="F47" s="612" t="n">
        <v>0.05</v>
      </c>
      <c r="G47" s="612" t="n">
        <v>0.05</v>
      </c>
      <c r="H47" s="612" t="n">
        <v>0.05</v>
      </c>
      <c r="I47" s="612" t="n">
        <v>0.05</v>
      </c>
    </row>
    <row r="48" ht="18" customHeight="1" s="355">
      <c r="A48" s="601" t="inlineStr">
        <is>
          <t xml:space="preserve">   Centre Two</t>
        </is>
      </c>
      <c r="B48" s="612" t="n">
        <v>0.05</v>
      </c>
      <c r="C48" s="612" t="n">
        <v>0.05</v>
      </c>
      <c r="D48" s="612" t="n">
        <v>0.05</v>
      </c>
      <c r="E48" s="612" t="n">
        <v>0.05</v>
      </c>
      <c r="F48" s="612" t="n">
        <v>0.05</v>
      </c>
      <c r="G48" s="612" t="n">
        <v>0.05</v>
      </c>
      <c r="H48" s="612" t="n">
        <v>0.05</v>
      </c>
      <c r="I48" s="612" t="n">
        <v>0.05</v>
      </c>
    </row>
    <row r="49" ht="18" customHeight="1" s="355">
      <c r="A49" s="606" t="n"/>
      <c r="B49" s="616" t="n"/>
      <c r="C49" s="616" t="n"/>
      <c r="D49" s="616" t="n"/>
      <c r="E49" s="616" t="n"/>
      <c r="F49" s="616" t="n"/>
      <c r="G49" s="616" t="n"/>
      <c r="H49" s="616" t="n"/>
      <c r="I49" s="616" t="n"/>
    </row>
    <row r="50" ht="18" customHeight="1" s="355">
      <c r="A50" s="608" t="inlineStr">
        <is>
          <t>Requistion to Pay</t>
        </is>
      </c>
      <c r="B50" s="614" t="n"/>
      <c r="C50" s="615" t="n"/>
      <c r="D50" s="615" t="n"/>
      <c r="E50" s="615" t="n"/>
      <c r="F50" s="615" t="n"/>
      <c r="G50" s="615" t="n"/>
      <c r="H50" s="615" t="n"/>
      <c r="I50" s="615" t="n"/>
    </row>
    <row r="51" ht="18" customHeight="1" s="355">
      <c r="A51" s="601" t="inlineStr">
        <is>
          <t xml:space="preserve">   Centre One </t>
        </is>
      </c>
      <c r="B51" s="612" t="n">
        <v>0.05</v>
      </c>
      <c r="C51" s="612" t="n">
        <v>0.05</v>
      </c>
      <c r="D51" s="612" t="n">
        <v>0.05</v>
      </c>
      <c r="E51" s="612" t="n">
        <v>0.05</v>
      </c>
      <c r="F51" s="612" t="n">
        <v>0.05</v>
      </c>
      <c r="G51" s="612" t="n">
        <v>0.05</v>
      </c>
      <c r="H51" s="612" t="n">
        <v>0.05</v>
      </c>
      <c r="I51" s="612" t="n">
        <v>0.05</v>
      </c>
    </row>
    <row r="52" ht="18" customHeight="1" s="355">
      <c r="A52" s="611" t="inlineStr">
        <is>
          <t xml:space="preserve">   Centre Two</t>
        </is>
      </c>
      <c r="B52" s="612" t="n">
        <v>0.05</v>
      </c>
      <c r="C52" s="612" t="n">
        <v>0.05</v>
      </c>
      <c r="D52" s="612" t="n">
        <v>0.05</v>
      </c>
      <c r="E52" s="612" t="n">
        <v>0.05</v>
      </c>
      <c r="F52" s="612" t="n">
        <v>0.05</v>
      </c>
      <c r="G52" s="612" t="n">
        <v>0.05</v>
      </c>
      <c r="H52" s="612" t="n">
        <v>0.05</v>
      </c>
      <c r="I52" s="612" t="n">
        <v>0.05</v>
      </c>
    </row>
    <row r="53"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2"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9.xml><?xml version="1.0" encoding="utf-8"?>
<worksheet xmlns="http://schemas.openxmlformats.org/spreadsheetml/2006/main">
  <sheetPr filterMode="0">
    <tabColor rgb="FFFFFF00"/>
    <outlinePr summaryBelow="1" summaryRight="1"/>
    <pageSetUpPr fitToPage="1"/>
  </sheetPr>
  <dimension ref="A1:K48"/>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L45"/>
    </sheetView>
  </sheetViews>
  <sheetFormatPr baseColWidth="8" defaultColWidth="8.3984375" defaultRowHeight="12.75" customHeight="1" zeroHeight="0" outlineLevelRow="0"/>
  <cols>
    <col width="36.93" customWidth="1" style="407" min="1" max="1"/>
    <col width="19.51" customWidth="1" style="407" min="2" max="2"/>
    <col width="27.47" customWidth="1" style="407" min="3" max="3"/>
    <col width="13.95" customWidth="1" style="363" min="4" max="10"/>
    <col width="8.4" customWidth="1" style="363" min="11" max="11"/>
    <col width="8.4" customWidth="1" style="407" min="12" max="257"/>
  </cols>
  <sheetData>
    <row r="1" ht="22.5" customHeight="1" s="355">
      <c r="A1" s="408" t="inlineStr">
        <is>
          <t>PRODUCTIVITY % (Change in Base Charge)</t>
        </is>
      </c>
      <c r="B1" s="617" t="n"/>
      <c r="C1" s="617" t="n"/>
      <c r="D1" s="410" t="n"/>
      <c r="E1" s="410" t="n"/>
      <c r="F1" s="410" t="n"/>
      <c r="G1" s="410" t="n"/>
      <c r="H1" s="410" t="n"/>
      <c r="I1" s="410" t="n"/>
      <c r="J1" s="410" t="n"/>
      <c r="K1" s="618" t="n"/>
    </row>
    <row r="2" ht="22.5" customHeight="1" s="355">
      <c r="I2" s="407" t="n"/>
      <c r="J2" s="407" t="n"/>
      <c r="K2" s="407" t="n"/>
    </row>
    <row r="3" ht="22.5" customHeight="1" s="355">
      <c r="A3" s="596" t="n"/>
      <c r="B3" s="413" t="inlineStr">
        <is>
          <t>Year 1</t>
        </is>
      </c>
      <c r="C3" s="414" t="inlineStr">
        <is>
          <t>Year 2</t>
        </is>
      </c>
      <c r="D3" s="414" t="inlineStr">
        <is>
          <t>Year 3</t>
        </is>
      </c>
      <c r="E3" s="414" t="inlineStr">
        <is>
          <t>Year 4</t>
        </is>
      </c>
      <c r="F3" s="414" t="inlineStr">
        <is>
          <t>Year 5</t>
        </is>
      </c>
      <c r="G3" s="414" t="inlineStr">
        <is>
          <t>Year 6</t>
        </is>
      </c>
      <c r="H3" s="414" t="inlineStr">
        <is>
          <t>Year 7</t>
        </is>
      </c>
      <c r="I3" s="414" t="inlineStr">
        <is>
          <t>Year 8</t>
        </is>
      </c>
      <c r="J3" s="407" t="n"/>
      <c r="K3" s="407" t="n"/>
    </row>
    <row r="4" ht="18" customHeight="1" s="355">
      <c r="A4" s="597" t="inlineStr">
        <is>
          <t>Process Summary</t>
        </is>
      </c>
      <c r="B4" s="425" t="n"/>
      <c r="C4" s="426" t="n"/>
      <c r="D4" s="426" t="n"/>
      <c r="E4" s="426" t="n"/>
      <c r="F4" s="426" t="n"/>
      <c r="G4" s="426" t="n"/>
      <c r="H4" s="426" t="n"/>
      <c r="I4" s="426" t="n"/>
      <c r="J4" s="407" t="n"/>
      <c r="K4" s="407" t="n"/>
    </row>
    <row r="5" ht="18" customHeight="1" s="355">
      <c r="A5" s="598" t="n"/>
      <c r="B5" s="599" t="n"/>
      <c r="C5" s="600" t="n"/>
      <c r="D5" s="600" t="n"/>
      <c r="E5" s="600" t="n"/>
      <c r="F5" s="600" t="n"/>
      <c r="G5" s="600" t="n"/>
      <c r="H5" s="600" t="n"/>
      <c r="I5" s="600" t="n"/>
      <c r="J5" s="407" t="n"/>
      <c r="K5" s="407" t="n"/>
    </row>
    <row r="6" ht="18" customHeight="1" s="355">
      <c r="A6" s="598" t="inlineStr">
        <is>
          <t>General Accounting &amp; Sox</t>
        </is>
      </c>
      <c r="B6" s="619" t="n">
        <v>0</v>
      </c>
      <c r="C6" s="619" t="n">
        <v>0</v>
      </c>
      <c r="D6" s="619" t="n">
        <v>0.0229166666666668</v>
      </c>
      <c r="E6" s="619" t="n">
        <v>0.0479166666666667</v>
      </c>
      <c r="F6" s="619" t="n">
        <v>0.0729166666666666</v>
      </c>
      <c r="G6" s="619" t="n">
        <v>0.120833333333333</v>
      </c>
      <c r="H6" s="619" t="n">
        <v>0.125</v>
      </c>
      <c r="I6" s="619" t="n">
        <v>0.125</v>
      </c>
      <c r="J6" s="407" t="n"/>
      <c r="K6" s="407" t="n"/>
    </row>
    <row r="7" ht="18" customHeight="1" s="355">
      <c r="A7" s="606" t="n"/>
      <c r="B7" s="613" t="n"/>
      <c r="C7" s="613" t="n"/>
      <c r="D7" s="613" t="n"/>
      <c r="E7" s="613" t="n"/>
      <c r="F7" s="613" t="n"/>
      <c r="G7" s="613" t="n"/>
      <c r="H7" s="613" t="n"/>
      <c r="I7" s="613" t="n"/>
      <c r="J7" s="407" t="n"/>
      <c r="K7" s="407" t="n"/>
    </row>
    <row r="8" ht="18" customHeight="1" s="355">
      <c r="A8" s="608" t="inlineStr">
        <is>
          <t>Fixed Assets</t>
        </is>
      </c>
      <c r="B8" s="619" t="n">
        <v>0</v>
      </c>
      <c r="C8" s="619" t="n">
        <v>0</v>
      </c>
      <c r="D8" s="619" t="n">
        <v>0.0229166666666667</v>
      </c>
      <c r="E8" s="619" t="n">
        <v>0.0479166666666667</v>
      </c>
      <c r="F8" s="619" t="n">
        <v>0.0729166666666666</v>
      </c>
      <c r="G8" s="619" t="n">
        <v>0.120833333333333</v>
      </c>
      <c r="H8" s="619" t="n">
        <v>0.125</v>
      </c>
      <c r="I8" s="619" t="n">
        <v>0.125</v>
      </c>
      <c r="J8" s="407" t="n"/>
      <c r="K8" s="407" t="n"/>
    </row>
    <row r="9" ht="18" customHeight="1" s="355">
      <c r="A9" s="606" t="n"/>
      <c r="B9" s="613" t="n"/>
      <c r="C9" s="613" t="n"/>
      <c r="D9" s="613" t="n"/>
      <c r="E9" s="613" t="n"/>
      <c r="F9" s="613" t="n"/>
      <c r="G9" s="613" t="n"/>
      <c r="H9" s="613" t="n"/>
      <c r="I9" s="613" t="n"/>
      <c r="J9" s="407" t="n"/>
      <c r="K9" s="407" t="n"/>
    </row>
    <row r="10" ht="18" customHeight="1" s="355">
      <c r="A10" s="608" t="inlineStr">
        <is>
          <t>Accounts Payable</t>
        </is>
      </c>
      <c r="B10" s="619" t="n">
        <v>0</v>
      </c>
      <c r="C10" s="619" t="n">
        <v>0.0382775119617225</v>
      </c>
      <c r="D10" s="619" t="n">
        <v>0.100877192982456</v>
      </c>
      <c r="E10" s="619" t="n">
        <v>0.153508771929825</v>
      </c>
      <c r="F10" s="619" t="n">
        <v>0.190058479532164</v>
      </c>
      <c r="G10" s="619" t="n">
        <v>0.20906432748538</v>
      </c>
      <c r="H10" s="619" t="n">
        <v>0.226608187134503</v>
      </c>
      <c r="I10" s="619" t="n">
        <v>0.228070175438597</v>
      </c>
      <c r="J10" s="407" t="n"/>
      <c r="K10" s="407" t="n"/>
    </row>
    <row r="11" ht="18" customHeight="1" s="355">
      <c r="A11" s="606" t="n"/>
      <c r="B11" s="613" t="n"/>
      <c r="C11" s="613" t="n"/>
      <c r="D11" s="613" t="n"/>
      <c r="E11" s="613" t="n"/>
      <c r="F11" s="613" t="n"/>
      <c r="G11" s="613" t="n"/>
      <c r="H11" s="613" t="n"/>
      <c r="I11" s="613" t="n"/>
      <c r="J11" s="407" t="n"/>
      <c r="K11" s="407" t="n"/>
    </row>
    <row r="12" ht="18" customHeight="1" s="355">
      <c r="A12" s="608" t="inlineStr">
        <is>
          <t>T&amp;E</t>
        </is>
      </c>
      <c r="B12" s="619" t="n">
        <v>0</v>
      </c>
      <c r="C12" s="619" t="n">
        <v>0</v>
      </c>
      <c r="D12" s="619" t="n">
        <v>0.0229166666666666</v>
      </c>
      <c r="E12" s="619" t="n">
        <v>0.0479166666666668</v>
      </c>
      <c r="F12" s="619" t="n">
        <v>0.0729166666666665</v>
      </c>
      <c r="G12" s="619" t="n">
        <v>0.120833333333333</v>
      </c>
      <c r="H12" s="619" t="n">
        <v>0.125</v>
      </c>
      <c r="I12" s="619" t="n">
        <v>0.125</v>
      </c>
      <c r="J12" s="407" t="n"/>
      <c r="K12" s="407" t="n"/>
    </row>
    <row r="13" ht="18" customHeight="1" s="355">
      <c r="A13" s="606" t="n"/>
      <c r="B13" s="613" t="n"/>
      <c r="C13" s="613" t="n"/>
      <c r="D13" s="613" t="n"/>
      <c r="E13" s="613" t="n"/>
      <c r="F13" s="613" t="n"/>
      <c r="G13" s="613" t="n"/>
      <c r="H13" s="613" t="n"/>
      <c r="I13" s="613" t="n"/>
      <c r="J13" s="407" t="n"/>
      <c r="K13" s="407" t="n"/>
    </row>
    <row r="14" ht="18" customHeight="1" s="355">
      <c r="A14" s="608" t="inlineStr">
        <is>
          <t>Order to Cash</t>
        </is>
      </c>
      <c r="B14" s="619" t="n">
        <v>0</v>
      </c>
      <c r="C14" s="619" t="n">
        <v>0</v>
      </c>
      <c r="D14" s="619" t="n">
        <v>0.0229166666666668</v>
      </c>
      <c r="E14" s="619" t="n">
        <v>0.0479166666666667</v>
      </c>
      <c r="F14" s="619" t="n">
        <v>0.0729166666666666</v>
      </c>
      <c r="G14" s="619" t="n">
        <v>0.120833333333333</v>
      </c>
      <c r="H14" s="619" t="n">
        <v>0.125</v>
      </c>
      <c r="I14" s="619" t="n">
        <v>0.125</v>
      </c>
      <c r="J14" s="407" t="n"/>
      <c r="K14" s="407" t="n"/>
    </row>
    <row r="15" ht="18" customHeight="1" s="355">
      <c r="A15" s="606" t="n"/>
      <c r="B15" s="616" t="n"/>
      <c r="C15" s="616" t="n"/>
      <c r="D15" s="616" t="n"/>
      <c r="E15" s="616" t="n"/>
      <c r="F15" s="616" t="n"/>
      <c r="G15" s="616" t="n"/>
      <c r="H15" s="616" t="n"/>
      <c r="I15" s="616" t="n"/>
      <c r="J15" s="407" t="n"/>
      <c r="K15" s="407" t="n"/>
    </row>
    <row r="16" ht="18" customHeight="1" s="355">
      <c r="A16" s="620" t="inlineStr">
        <is>
          <t>Requistion to Pay</t>
        </is>
      </c>
      <c r="B16" s="619" t="n">
        <v>0</v>
      </c>
      <c r="C16" s="619" t="n">
        <v>0.0250783699059561</v>
      </c>
      <c r="D16" s="619" t="n">
        <v>0.06609195402298849</v>
      </c>
      <c r="E16" s="619" t="n">
        <v>0.100574712643678</v>
      </c>
      <c r="F16" s="619" t="n">
        <v>0.135057471264368</v>
      </c>
      <c r="G16" s="619" t="n">
        <v>0.169540229885058</v>
      </c>
      <c r="H16" s="619" t="n">
        <v>0.172413793103448</v>
      </c>
      <c r="I16" s="619" t="n">
        <v>0.172413793103448</v>
      </c>
      <c r="J16" s="407" t="n"/>
      <c r="K16" s="407" t="n"/>
    </row>
    <row r="17" ht="22.5" customHeight="1" s="355"/>
    <row r="18" ht="22.5" customHeight="1" s="355">
      <c r="A18" s="621" t="inlineStr">
        <is>
          <t xml:space="preserve">Productivity Measures </t>
        </is>
      </c>
      <c r="B18" s="622" t="n"/>
      <c r="C18" s="622" t="n"/>
      <c r="D18" s="622" t="n"/>
      <c r="E18" s="622" t="n"/>
      <c r="F18" s="622" t="n"/>
      <c r="G18" s="622" t="n"/>
      <c r="H18" s="622" t="n"/>
      <c r="I18" s="622" t="n"/>
      <c r="J18" s="623" t="n"/>
    </row>
    <row r="19" ht="18.75" customHeight="1" s="355">
      <c r="A19" s="624" t="n"/>
      <c r="B19" s="625" t="inlineStr">
        <is>
          <t>Description of Measure</t>
        </is>
      </c>
      <c r="C19" s="626" t="inlineStr">
        <is>
          <t>Details of        Calculation</t>
        </is>
      </c>
      <c r="D19" s="627" t="inlineStr">
        <is>
          <t>Annual Target Level</t>
        </is>
      </c>
      <c r="E19" s="504" t="n"/>
      <c r="F19" s="504" t="n"/>
      <c r="G19" s="504" t="n"/>
      <c r="H19" s="504" t="n"/>
      <c r="I19" s="504" t="n"/>
      <c r="J19" s="505" t="n"/>
    </row>
    <row r="20" ht="30.75" customHeight="1" s="355">
      <c r="A20" s="628" t="inlineStr">
        <is>
          <t>Process Area</t>
        </is>
      </c>
      <c r="B20" s="595" t="n"/>
      <c r="C20" s="441" t="n"/>
      <c r="D20" s="413" t="inlineStr">
        <is>
          <t>Year 1</t>
        </is>
      </c>
      <c r="E20" s="414" t="inlineStr">
        <is>
          <t>Year 2</t>
        </is>
      </c>
      <c r="F20" s="414" t="inlineStr">
        <is>
          <t>Year 3</t>
        </is>
      </c>
      <c r="G20" s="414" t="inlineStr">
        <is>
          <t>Year 4</t>
        </is>
      </c>
      <c r="H20" s="414" t="inlineStr">
        <is>
          <t>Year 5</t>
        </is>
      </c>
      <c r="I20" s="414" t="inlineStr">
        <is>
          <t>Year 6</t>
        </is>
      </c>
      <c r="J20" s="414" t="inlineStr">
        <is>
          <t>Year 7</t>
        </is>
      </c>
      <c r="K20" s="414" t="inlineStr">
        <is>
          <t>Year 8</t>
        </is>
      </c>
    </row>
    <row r="21" ht="29.25" customHeight="1" s="355">
      <c r="A21" s="598" t="inlineStr">
        <is>
          <t>General Accounting &amp; Sox</t>
        </is>
      </c>
      <c r="B21" s="629" t="inlineStr">
        <is>
          <t>FTE</t>
        </is>
      </c>
      <c r="C21" s="630" t="inlineStr">
        <is>
          <t># FTE to be released (avg. Figures)</t>
        </is>
      </c>
      <c r="D21" s="631" t="n">
        <v>0</v>
      </c>
      <c r="E21" s="631" t="n">
        <v>0</v>
      </c>
      <c r="F21" s="631" t="n">
        <v>0.332291666666665</v>
      </c>
      <c r="G21" s="631" t="n">
        <v>0.694791666666658</v>
      </c>
      <c r="H21" s="631" t="n">
        <v>1.05729166666667</v>
      </c>
      <c r="I21" s="631" t="n">
        <v>1.75208333333333</v>
      </c>
      <c r="J21" s="631" t="n">
        <v>1.8125</v>
      </c>
      <c r="K21" s="631" t="n">
        <v>1.8125</v>
      </c>
    </row>
    <row r="22" ht="18.75" customHeight="1" s="355">
      <c r="A22" s="601" t="n"/>
      <c r="B22" s="632" t="n"/>
      <c r="C22" s="633" t="n"/>
      <c r="D22" s="634" t="n"/>
      <c r="E22" s="634" t="n"/>
      <c r="F22" s="634" t="n"/>
      <c r="G22" s="634" t="n"/>
      <c r="H22" s="634" t="n"/>
      <c r="I22" s="634" t="n"/>
      <c r="J22" s="634" t="n"/>
      <c r="K22" s="634" t="n"/>
    </row>
    <row r="23" ht="18.75" customHeight="1" s="355">
      <c r="A23" s="601" t="n"/>
      <c r="B23" s="635" t="n"/>
      <c r="C23" s="636" t="n"/>
      <c r="D23" s="637" t="n"/>
      <c r="E23" s="637" t="n"/>
      <c r="F23" s="637" t="n"/>
      <c r="G23" s="637" t="n"/>
      <c r="H23" s="637" t="n"/>
      <c r="I23" s="637" t="n"/>
      <c r="J23" s="637" t="n"/>
      <c r="K23" s="637" t="n"/>
    </row>
    <row r="24" ht="18.75" customHeight="1" s="355">
      <c r="A24" s="601" t="n"/>
      <c r="B24" s="638" t="n"/>
      <c r="C24" s="639" t="n"/>
      <c r="D24" s="637" t="n"/>
      <c r="E24" s="637" t="n"/>
      <c r="F24" s="637" t="n"/>
      <c r="G24" s="637" t="n"/>
      <c r="H24" s="637" t="n"/>
      <c r="I24" s="637" t="n"/>
      <c r="J24" s="637" t="n"/>
      <c r="K24" s="637" t="n"/>
    </row>
    <row r="25" ht="29.25" customHeight="1" s="355">
      <c r="A25" s="640" t="inlineStr">
        <is>
          <t>Fixed Assets</t>
        </is>
      </c>
      <c r="B25" s="629" t="inlineStr">
        <is>
          <t>FTE</t>
        </is>
      </c>
      <c r="C25" s="630" t="inlineStr">
        <is>
          <t># FTE to be released (avg. Figures)</t>
        </is>
      </c>
      <c r="D25" s="641" t="n">
        <v>0</v>
      </c>
      <c r="E25" s="641" t="n">
        <v>0</v>
      </c>
      <c r="F25" s="641" t="n">
        <v>0.0572916666666665</v>
      </c>
      <c r="G25" s="641" t="n">
        <v>0.119791666666667</v>
      </c>
      <c r="H25" s="641" t="n">
        <v>0.182291666666667</v>
      </c>
      <c r="I25" s="641" t="n">
        <v>0.302083333333334</v>
      </c>
      <c r="J25" s="641" t="n">
        <v>0.3125</v>
      </c>
      <c r="K25" s="641" t="n">
        <v>0.3125</v>
      </c>
    </row>
    <row r="26" ht="18.75" customHeight="1" s="355">
      <c r="A26" s="601" t="n"/>
      <c r="B26" s="632" t="n"/>
      <c r="C26" s="633" t="n"/>
      <c r="D26" s="634" t="n"/>
      <c r="E26" s="634" t="n"/>
      <c r="F26" s="634" t="n"/>
      <c r="G26" s="634" t="n"/>
      <c r="H26" s="634" t="n"/>
      <c r="I26" s="634" t="n"/>
      <c r="J26" s="634" t="n"/>
      <c r="K26" s="634" t="n"/>
    </row>
    <row r="27" ht="18.75" customHeight="1" s="355">
      <c r="A27" s="601" t="n"/>
      <c r="B27" s="635" t="n"/>
      <c r="C27" s="636" t="n"/>
      <c r="D27" s="637" t="n"/>
      <c r="E27" s="637" t="n"/>
      <c r="F27" s="637" t="n"/>
      <c r="G27" s="637" t="n"/>
      <c r="H27" s="637" t="n"/>
      <c r="I27" s="637" t="n"/>
      <c r="J27" s="637" t="n"/>
      <c r="K27" s="637" t="n"/>
    </row>
    <row r="28" ht="18.75" customHeight="1" s="355">
      <c r="A28" s="611" t="n"/>
      <c r="B28" s="642" t="n"/>
      <c r="C28" s="643" t="n"/>
      <c r="D28" s="644" t="n"/>
      <c r="E28" s="644" t="n"/>
      <c r="F28" s="644" t="n"/>
      <c r="G28" s="644" t="n"/>
      <c r="H28" s="644" t="n"/>
      <c r="I28" s="644" t="n"/>
      <c r="J28" s="644" t="n"/>
      <c r="K28" s="644" t="n"/>
    </row>
    <row r="29" ht="29.25" customHeight="1" s="355">
      <c r="A29" s="640" t="inlineStr">
        <is>
          <t>Accounts Payable</t>
        </is>
      </c>
      <c r="B29" s="629" t="inlineStr">
        <is>
          <t>FTE</t>
        </is>
      </c>
      <c r="C29" s="630" t="inlineStr">
        <is>
          <t># FTE to be released (avg. Figures)</t>
        </is>
      </c>
      <c r="D29" s="641" t="n">
        <v>0</v>
      </c>
      <c r="E29" s="641" t="n">
        <v>2</v>
      </c>
      <c r="F29" s="641" t="n">
        <v>5.75</v>
      </c>
      <c r="G29" s="641" t="n">
        <v>8.75</v>
      </c>
      <c r="H29" s="641" t="n">
        <v>10.8333333333333</v>
      </c>
      <c r="I29" s="641" t="n">
        <v>11.9166666666667</v>
      </c>
      <c r="J29" s="641" t="n">
        <v>12.9166666666667</v>
      </c>
      <c r="K29" s="641" t="n">
        <v>13</v>
      </c>
    </row>
    <row r="30" ht="18.75" customHeight="1" s="355">
      <c r="A30" s="601" t="n"/>
      <c r="B30" s="632" t="n"/>
      <c r="C30" s="633" t="n"/>
      <c r="D30" s="634" t="n"/>
      <c r="E30" s="634" t="n"/>
      <c r="F30" s="634" t="n"/>
      <c r="G30" s="634" t="n"/>
      <c r="H30" s="634" t="n"/>
      <c r="I30" s="634" t="n"/>
      <c r="J30" s="634" t="n"/>
      <c r="K30" s="634" t="n"/>
    </row>
    <row r="31" ht="18.75" customHeight="1" s="355">
      <c r="A31" s="601" t="n"/>
      <c r="B31" s="635" t="n"/>
      <c r="C31" s="636" t="n"/>
      <c r="D31" s="637" t="n"/>
      <c r="E31" s="637" t="n"/>
      <c r="F31" s="637" t="n"/>
      <c r="G31" s="637" t="n"/>
      <c r="H31" s="637" t="n"/>
      <c r="I31" s="637" t="n"/>
      <c r="J31" s="637" t="n"/>
      <c r="K31" s="637" t="n"/>
    </row>
    <row r="32" ht="18.75" customHeight="1" s="355">
      <c r="A32" s="611" t="n"/>
      <c r="B32" s="642" t="n"/>
      <c r="C32" s="643" t="n"/>
      <c r="D32" s="644" t="n"/>
      <c r="E32" s="644" t="n"/>
      <c r="F32" s="644" t="n"/>
      <c r="G32" s="644" t="n"/>
      <c r="H32" s="644" t="n"/>
      <c r="I32" s="644" t="n"/>
      <c r="J32" s="644" t="n"/>
      <c r="K32" s="644" t="n"/>
    </row>
    <row r="33" ht="29.25" customHeight="1" s="355">
      <c r="A33" s="640" t="inlineStr">
        <is>
          <t>T&amp;E</t>
        </is>
      </c>
      <c r="B33" s="629" t="inlineStr">
        <is>
          <t>FTE</t>
        </is>
      </c>
      <c r="C33" s="630" t="inlineStr">
        <is>
          <t># FTE to be released (avg. Figures)</t>
        </is>
      </c>
      <c r="D33" s="641" t="n">
        <v>0</v>
      </c>
      <c r="E33" s="641" t="n">
        <v>0</v>
      </c>
      <c r="F33" s="641" t="n">
        <v>0.206249999999999</v>
      </c>
      <c r="G33" s="641" t="n">
        <v>0.431250000000002</v>
      </c>
      <c r="H33" s="641" t="n">
        <v>0.656249999999998</v>
      </c>
      <c r="I33" s="641" t="n">
        <v>1.0875</v>
      </c>
      <c r="J33" s="641" t="n">
        <v>1.125</v>
      </c>
      <c r="K33" s="641" t="n">
        <v>1.125</v>
      </c>
    </row>
    <row r="34" ht="18.75" customHeight="1" s="355">
      <c r="A34" s="601" t="n"/>
      <c r="B34" s="632" t="n"/>
      <c r="C34" s="633" t="n"/>
      <c r="D34" s="634" t="n"/>
      <c r="E34" s="634" t="n"/>
      <c r="F34" s="634" t="n"/>
      <c r="G34" s="634" t="n"/>
      <c r="H34" s="634" t="n"/>
      <c r="I34" s="634" t="n"/>
      <c r="J34" s="634" t="n"/>
      <c r="K34" s="634" t="n"/>
    </row>
    <row r="35" ht="18.75" customHeight="1" s="355">
      <c r="A35" s="601" t="n"/>
      <c r="B35" s="635" t="n"/>
      <c r="C35" s="636" t="n"/>
      <c r="D35" s="637" t="n"/>
      <c r="E35" s="637" t="n"/>
      <c r="F35" s="637" t="n"/>
      <c r="G35" s="637" t="n"/>
      <c r="H35" s="637" t="n"/>
      <c r="I35" s="637" t="n"/>
      <c r="J35" s="637" t="n"/>
      <c r="K35" s="637" t="n"/>
    </row>
    <row r="36" ht="18.75" customHeight="1" s="355">
      <c r="A36" s="611" t="n"/>
      <c r="B36" s="642" t="n"/>
      <c r="C36" s="643" t="n"/>
      <c r="D36" s="644" t="n"/>
      <c r="E36" s="644" t="n"/>
      <c r="F36" s="644" t="n"/>
      <c r="G36" s="644" t="n"/>
      <c r="H36" s="644" t="n"/>
      <c r="I36" s="644" t="n"/>
      <c r="J36" s="644" t="n"/>
      <c r="K36" s="644" t="n"/>
    </row>
    <row r="37" ht="29.25" customHeight="1" s="355">
      <c r="A37" s="640" t="inlineStr">
        <is>
          <t>Order To Cash</t>
        </is>
      </c>
      <c r="B37" s="629" t="inlineStr">
        <is>
          <t>FTE</t>
        </is>
      </c>
      <c r="C37" s="630" t="inlineStr">
        <is>
          <t># FTE to be released (avg. Figures)</t>
        </is>
      </c>
      <c r="D37" s="641" t="n">
        <v>0</v>
      </c>
      <c r="E37" s="641" t="n">
        <v>0</v>
      </c>
      <c r="F37" s="641" t="n">
        <v>0.320833333333331</v>
      </c>
      <c r="G37" s="641" t="n">
        <v>0.6708333333333329</v>
      </c>
      <c r="H37" s="641" t="n">
        <v>1.02083333333333</v>
      </c>
      <c r="I37" s="641" t="n">
        <v>1.69166666666667</v>
      </c>
      <c r="J37" s="641" t="n">
        <v>1.75</v>
      </c>
      <c r="K37" s="641" t="n">
        <v>1.75</v>
      </c>
    </row>
    <row r="38" ht="18.75" customHeight="1" s="355">
      <c r="A38" s="601" t="n"/>
      <c r="B38" s="632" t="n"/>
      <c r="C38" s="633" t="n"/>
      <c r="D38" s="634" t="n"/>
      <c r="E38" s="634" t="n"/>
      <c r="F38" s="634" t="n"/>
      <c r="G38" s="634" t="n"/>
      <c r="H38" s="634" t="n"/>
      <c r="I38" s="634" t="n"/>
      <c r="J38" s="634" t="n"/>
      <c r="K38" s="634" t="n"/>
    </row>
    <row r="39" ht="18.75" customHeight="1" s="355">
      <c r="A39" s="601" t="n"/>
      <c r="B39" s="635" t="n"/>
      <c r="C39" s="636" t="n"/>
      <c r="D39" s="637" t="n"/>
      <c r="E39" s="637" t="n"/>
      <c r="F39" s="637" t="n"/>
      <c r="G39" s="637" t="n"/>
      <c r="H39" s="637" t="n"/>
      <c r="I39" s="637" t="n"/>
      <c r="J39" s="637" t="n"/>
      <c r="K39" s="637" t="n"/>
    </row>
    <row r="40" ht="18.75" customHeight="1" s="355">
      <c r="A40" s="611" t="n"/>
      <c r="B40" s="642" t="n"/>
      <c r="C40" s="643" t="n"/>
      <c r="D40" s="644" t="n"/>
      <c r="E40" s="644" t="n"/>
      <c r="F40" s="644" t="n"/>
      <c r="G40" s="644" t="n"/>
      <c r="H40" s="644" t="n"/>
      <c r="I40" s="644" t="n"/>
      <c r="J40" s="644" t="n"/>
      <c r="K40" s="644" t="n"/>
    </row>
    <row r="41" ht="29.25" customHeight="1" s="355">
      <c r="A41" s="640" t="inlineStr">
        <is>
          <t>Requistion To Pay</t>
        </is>
      </c>
      <c r="B41" s="629" t="inlineStr">
        <is>
          <t>FTE</t>
        </is>
      </c>
      <c r="C41" s="630" t="inlineStr">
        <is>
          <t># FTE to be released (avg. Figures)</t>
        </is>
      </c>
      <c r="D41" s="641" t="n">
        <v>0</v>
      </c>
      <c r="E41" s="641" t="n">
        <v>0.666666666666667</v>
      </c>
      <c r="F41" s="641" t="n">
        <v>1.91666666666667</v>
      </c>
      <c r="G41" s="641" t="n">
        <v>2.91666666666667</v>
      </c>
      <c r="H41" s="641" t="n">
        <v>3.91666666666667</v>
      </c>
      <c r="I41" s="641" t="n">
        <v>4.91666666666667</v>
      </c>
      <c r="J41" s="641" t="n">
        <v>5</v>
      </c>
      <c r="K41" s="641" t="n">
        <v>5</v>
      </c>
    </row>
    <row r="42" ht="18.75" customHeight="1" s="355">
      <c r="A42" s="601" t="n"/>
      <c r="B42" s="632" t="n"/>
      <c r="C42" s="633" t="n"/>
      <c r="D42" s="634" t="n"/>
      <c r="E42" s="634" t="n"/>
      <c r="F42" s="634" t="n"/>
      <c r="G42" s="634" t="n"/>
      <c r="H42" s="634" t="n"/>
      <c r="I42" s="634" t="n"/>
      <c r="J42" s="634" t="n"/>
      <c r="K42" s="634" t="n"/>
    </row>
    <row r="43" ht="18.75" customHeight="1" s="355">
      <c r="A43" s="601" t="n"/>
      <c r="B43" s="635" t="n"/>
      <c r="C43" s="636" t="n"/>
      <c r="D43" s="637" t="n"/>
      <c r="E43" s="637" t="n"/>
      <c r="F43" s="637" t="n"/>
      <c r="G43" s="637" t="n"/>
      <c r="H43" s="637" t="n"/>
      <c r="I43" s="637" t="n"/>
      <c r="J43" s="637" t="n"/>
      <c r="K43" s="637" t="n"/>
    </row>
    <row r="44" ht="18.75" customHeight="1" s="355">
      <c r="A44" s="611" t="n"/>
      <c r="B44" s="642" t="n"/>
      <c r="C44" s="643" t="n"/>
      <c r="D44" s="644" t="n"/>
      <c r="E44" s="644" t="n"/>
      <c r="F44" s="644" t="n"/>
      <c r="G44" s="644" t="n"/>
      <c r="H44" s="644" t="n"/>
      <c r="I44" s="644" t="n"/>
      <c r="J44" s="644" t="n"/>
      <c r="K44" s="644" t="n"/>
    </row>
    <row r="45"/>
    <row r="46" ht="12.75" customHeight="1" s="355">
      <c r="E46" s="645" t="n"/>
      <c r="F46" s="645" t="n"/>
      <c r="G46" s="645" t="n"/>
      <c r="H46" s="645" t="n"/>
      <c r="I46" s="645" t="n"/>
      <c r="J46" s="645" t="n"/>
      <c r="K46" s="645" t="n"/>
    </row>
    <row r="47"/>
    <row r="48" ht="12.75" customHeight="1" s="355">
      <c r="E48" s="646" t="n"/>
    </row>
  </sheetData>
  <mergeCells count="4">
    <mergeCell ref="D19:J19"/>
    <mergeCell ref="A18:J18"/>
    <mergeCell ref="B19:B20"/>
    <mergeCell ref="C19:C20"/>
  </mergeCells>
  <printOptions horizontalCentered="0" verticalCentered="0" headings="0" gridLines="0" gridLinesSet="1"/>
  <pageMargins left="0.747916666666667" right="0.747916666666667" top="0.9840277777777779" bottom="0.9840277777777779" header="0.5" footer="0.5"/>
  <pageSetup orientation="landscape" paperSize="1" scale="100" fitToHeight="2"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0.xml><?xml version="1.0" encoding="utf-8"?>
<worksheet xmlns="http://schemas.openxmlformats.org/spreadsheetml/2006/main">
  <sheetPr filterMode="0">
    <tabColor rgb="FF00FFFF"/>
    <outlinePr summaryBelow="1" summaryRight="1"/>
    <pageSetUpPr fitToPage="1"/>
  </sheetPr>
  <dimension ref="A1:W81"/>
  <sheetViews>
    <sheetView showFormulas="0" showGridLines="1" showRowColHeaders="1" showZeros="1" rightToLeft="0" tabSelected="0" showOutlineSymbols="1" defaultGridColor="1" view="normal" topLeftCell="A40" colorId="64" zoomScale="50" zoomScaleNormal="50" zoomScalePageLayoutView="100" workbookViewId="0">
      <selection pane="topLeft" activeCell="A1" activeCellId="0" sqref="A1:K82"/>
    </sheetView>
  </sheetViews>
  <sheetFormatPr baseColWidth="8" defaultColWidth="8.3984375" defaultRowHeight="12.75" customHeight="1" zeroHeight="0" outlineLevelRow="0"/>
  <cols>
    <col width="28.52" customWidth="1" style="407" min="1" max="1"/>
    <col width="49.69" customWidth="1" style="407" min="2" max="2"/>
    <col width="16.35" customWidth="1" style="407" min="3" max="4"/>
    <col width="16.96" customWidth="1" style="407" min="5" max="5"/>
    <col width="16.35" customWidth="1" style="407" min="6" max="7"/>
    <col width="16.96" customWidth="1" style="407" min="8" max="8"/>
    <col width="15.76" customWidth="1" style="407" min="9" max="9"/>
    <col width="14.55" customWidth="1" style="407" min="10" max="10"/>
    <col width="8.4" customWidth="1" style="407" min="11" max="257"/>
  </cols>
  <sheetData>
    <row r="1" ht="22.5" customHeight="1" s="355">
      <c r="A1" s="408" t="inlineStr">
        <is>
          <t>BASE CHARGE SUMMARY (US$)</t>
        </is>
      </c>
      <c r="B1" s="409" t="n"/>
      <c r="C1" s="647" t="n"/>
      <c r="D1" s="647" t="n"/>
      <c r="E1" s="647" t="n"/>
      <c r="F1" s="647" t="n"/>
      <c r="G1" s="647" t="n"/>
      <c r="H1" s="647" t="n"/>
      <c r="I1" s="647" t="n"/>
      <c r="J1" s="647" t="n"/>
    </row>
    <row r="2" ht="22.5" customHeight="1" s="355">
      <c r="A2" s="411" t="inlineStr">
        <is>
          <t>Centre One</t>
        </is>
      </c>
      <c r="B2" s="412" t="n"/>
      <c r="C2" s="648" t="inlineStr">
        <is>
          <t>Year 1</t>
        </is>
      </c>
      <c r="D2" s="649" t="inlineStr">
        <is>
          <t>Year 2</t>
        </is>
      </c>
      <c r="E2" s="649" t="inlineStr">
        <is>
          <t>Year 3</t>
        </is>
      </c>
      <c r="F2" s="649" t="inlineStr">
        <is>
          <t>Year 4</t>
        </is>
      </c>
      <c r="G2" s="649" t="inlineStr">
        <is>
          <t>Year 5</t>
        </is>
      </c>
      <c r="H2" s="649" t="inlineStr">
        <is>
          <t>Year 6</t>
        </is>
      </c>
      <c r="I2" s="649" t="inlineStr">
        <is>
          <t>Year 7</t>
        </is>
      </c>
      <c r="J2" s="649" t="inlineStr">
        <is>
          <t>Year 8</t>
        </is>
      </c>
    </row>
    <row r="3" ht="22.5" customHeight="1" s="355">
      <c r="A3" s="415" t="n"/>
      <c r="B3" s="416" t="inlineStr">
        <is>
          <t>Process Summary</t>
        </is>
      </c>
      <c r="C3" s="650" t="n"/>
      <c r="D3" s="651" t="n"/>
      <c r="E3" s="651" t="n"/>
      <c r="F3" s="651" t="n"/>
      <c r="G3" s="651" t="n"/>
      <c r="H3" s="651" t="n"/>
      <c r="I3" s="651" t="n"/>
      <c r="J3" s="651" t="n"/>
    </row>
    <row r="4" ht="22.5" customHeight="1" s="355">
      <c r="A4" s="415" t="n"/>
      <c r="B4" s="430" t="inlineStr">
        <is>
          <t>General Accounting &amp; Sox</t>
        </is>
      </c>
      <c r="C4" s="652">
        <f>+SUM('Switzerland-BC:UK-BC'!$C3)</f>
        <v/>
      </c>
      <c r="D4" s="652">
        <f>+SUM('Switzerland-BC:UK-BC'!$D3)</f>
        <v/>
      </c>
      <c r="E4" s="652">
        <f>+SUM('Switzerland-BC:UK-BC'!$E3)</f>
        <v/>
      </c>
      <c r="F4" s="652">
        <f>+SUM('Switzerland-BC:UK-BC'!$F3)</f>
        <v/>
      </c>
      <c r="G4" s="652">
        <f>+SUM('Switzerland-BC:UK-BC'!$G3)</f>
        <v/>
      </c>
      <c r="H4" s="652">
        <f>+SUM('Switzerland-BC:UK-BC'!$H3)</f>
        <v/>
      </c>
      <c r="I4" s="652">
        <f>+SUM('Switzerland-BC:UK-BC'!$I3)</f>
        <v/>
      </c>
      <c r="J4" s="652">
        <f>+SUM('Switzerland-BC:UK-BC'!$J3)</f>
        <v/>
      </c>
    </row>
    <row r="5" ht="22.5" customHeight="1" s="355">
      <c r="A5" s="415" t="n"/>
      <c r="B5" s="566" t="inlineStr">
        <is>
          <t>Fixed Assets</t>
        </is>
      </c>
      <c r="C5" s="653">
        <f>+SUM('Switzerland-BC:UK-BC'!$C4)</f>
        <v/>
      </c>
      <c r="D5" s="654">
        <f>+SUM('Switzerland-BC:UK-BC'!$D4)</f>
        <v/>
      </c>
      <c r="E5" s="654">
        <f>+SUM('Switzerland-BC:UK-BC'!$E4)</f>
        <v/>
      </c>
      <c r="F5" s="654">
        <f>+SUM('Switzerland-BC:UK-BC'!$F4)</f>
        <v/>
      </c>
      <c r="G5" s="654">
        <f>+SUM('Switzerland-BC:UK-BC'!$G4)</f>
        <v/>
      </c>
      <c r="H5" s="654">
        <f>+SUM('Switzerland-BC:UK-BC'!$H4)</f>
        <v/>
      </c>
      <c r="I5" s="654">
        <f>+SUM('Switzerland-BC:UK-BC'!$I4)</f>
        <v/>
      </c>
      <c r="J5" s="654">
        <f>+SUM('Switzerland-BC:UK-BC'!$J4)</f>
        <v/>
      </c>
    </row>
    <row r="6" ht="22.5" customHeight="1" s="355">
      <c r="A6" s="415" t="n"/>
      <c r="B6" s="566" t="inlineStr">
        <is>
          <t>Accounts Payable</t>
        </is>
      </c>
      <c r="C6" s="653">
        <f>+SUM('Switzerland-BC:UK-BC'!$C5)</f>
        <v/>
      </c>
      <c r="D6" s="654">
        <f>+SUM('Switzerland-BC:UK-BC'!$D5)</f>
        <v/>
      </c>
      <c r="E6" s="654">
        <f>+SUM('Switzerland-BC:UK-BC'!$E5)</f>
        <v/>
      </c>
      <c r="F6" s="654">
        <f>+SUM('Switzerland-BC:UK-BC'!$F5)</f>
        <v/>
      </c>
      <c r="G6" s="654">
        <f>+SUM('Switzerland-BC:UK-BC'!$G5)</f>
        <v/>
      </c>
      <c r="H6" s="654">
        <f>+SUM('Switzerland-BC:UK-BC'!$H5)</f>
        <v/>
      </c>
      <c r="I6" s="654">
        <f>+SUM('Switzerland-BC:UK-BC'!$I5)</f>
        <v/>
      </c>
      <c r="J6" s="654">
        <f>+SUM('Switzerland-BC:UK-BC'!$J5)</f>
        <v/>
      </c>
    </row>
    <row r="7" ht="22.5" customHeight="1" s="355">
      <c r="A7" s="415" t="n"/>
      <c r="B7" s="566" t="inlineStr">
        <is>
          <t>T&amp;E</t>
        </is>
      </c>
      <c r="C7" s="653">
        <f>+SUM('Switzerland-BC:UK-BC'!$C6)</f>
        <v/>
      </c>
      <c r="D7" s="654">
        <f>+SUM('Switzerland-BC:UK-BC'!$D6)</f>
        <v/>
      </c>
      <c r="E7" s="654">
        <f>+SUM('Switzerland-BC:UK-BC'!$E6)</f>
        <v/>
      </c>
      <c r="F7" s="654">
        <f>+SUM('Switzerland-BC:UK-BC'!$F6)</f>
        <v/>
      </c>
      <c r="G7" s="654">
        <f>+SUM('Switzerland-BC:UK-BC'!$G6)</f>
        <v/>
      </c>
      <c r="H7" s="654">
        <f>+SUM('Switzerland-BC:UK-BC'!$H6)</f>
        <v/>
      </c>
      <c r="I7" s="654">
        <f>+SUM('Switzerland-BC:UK-BC'!$I6)</f>
        <v/>
      </c>
      <c r="J7" s="654">
        <f>+SUM('Switzerland-BC:UK-BC'!$J6)</f>
        <v/>
      </c>
    </row>
    <row r="8" ht="22.5" customHeight="1" s="355">
      <c r="A8" s="415" t="n"/>
      <c r="B8" s="566" t="inlineStr">
        <is>
          <t>Order to Cash</t>
        </is>
      </c>
      <c r="C8" s="653">
        <f>+SUM('Switzerland-BC:UK-BC'!$C7)</f>
        <v/>
      </c>
      <c r="D8" s="654">
        <f>+SUM('Switzerland-BC:UK-BC'!$D7)</f>
        <v/>
      </c>
      <c r="E8" s="654">
        <f>+SUM('Switzerland-BC:UK-BC'!$E7)</f>
        <v/>
      </c>
      <c r="F8" s="654">
        <f>+SUM('Switzerland-BC:UK-BC'!$F7)</f>
        <v/>
      </c>
      <c r="G8" s="654">
        <f>+SUM('Switzerland-BC:UK-BC'!$G7)</f>
        <v/>
      </c>
      <c r="H8" s="654">
        <f>+SUM('Switzerland-BC:UK-BC'!$H7)</f>
        <v/>
      </c>
      <c r="I8" s="654">
        <f>+SUM('Switzerland-BC:UK-BC'!$I7)</f>
        <v/>
      </c>
      <c r="J8" s="654">
        <f>+SUM('Switzerland-BC:UK-BC'!$J7)</f>
        <v/>
      </c>
      <c r="K8" s="354" t="n"/>
      <c r="L8" s="354" t="n"/>
      <c r="M8" s="354" t="n"/>
      <c r="N8" s="354" t="n"/>
      <c r="O8" s="354" t="n"/>
      <c r="P8" s="354" t="n"/>
      <c r="Q8" s="354" t="n"/>
      <c r="R8" s="354" t="n"/>
      <c r="S8" s="354" t="n"/>
      <c r="T8" s="354" t="n"/>
      <c r="U8" s="354" t="n"/>
      <c r="V8" s="354" t="n"/>
      <c r="W8" s="354" t="n"/>
    </row>
    <row r="9" ht="22.5" customHeight="1" s="355">
      <c r="A9" s="415" t="n"/>
      <c r="B9" s="566" t="inlineStr">
        <is>
          <t>Requistion to Pay</t>
        </is>
      </c>
      <c r="C9" s="653">
        <f>+SUM('Switzerland-BC:UK-BC'!$C8)</f>
        <v/>
      </c>
      <c r="D9" s="654">
        <f>+SUM('Switzerland-BC:UK-BC'!$D8)</f>
        <v/>
      </c>
      <c r="E9" s="654">
        <f>+SUM('Switzerland-BC:UK-BC'!$E8)</f>
        <v/>
      </c>
      <c r="F9" s="654">
        <f>+SUM('Switzerland-BC:UK-BC'!$F8)</f>
        <v/>
      </c>
      <c r="G9" s="654">
        <f>+SUM('Switzerland-BC:UK-BC'!$G8)</f>
        <v/>
      </c>
      <c r="H9" s="654">
        <f>+SUM('Switzerland-BC:UK-BC'!$H8)</f>
        <v/>
      </c>
      <c r="I9" s="654">
        <f>+SUM('Switzerland-BC:UK-BC'!$I8)</f>
        <v/>
      </c>
      <c r="J9" s="654">
        <f>+SUM('Switzerland-BC:UK-BC'!$J8)</f>
        <v/>
      </c>
    </row>
    <row r="10" ht="22.5" customHeight="1" s="355">
      <c r="A10" s="415" t="n"/>
      <c r="B10" s="422" t="inlineStr">
        <is>
          <t>Total Base Charge All Countries</t>
        </is>
      </c>
      <c r="C10" s="423">
        <f>SUM(C4:C9)</f>
        <v/>
      </c>
      <c r="D10" s="423">
        <f>SUM(D4:D9)</f>
        <v/>
      </c>
      <c r="E10" s="423">
        <f>SUM(E4:E9)</f>
        <v/>
      </c>
      <c r="F10" s="423">
        <f>SUM(F4:F9)</f>
        <v/>
      </c>
      <c r="G10" s="423">
        <f>SUM(G4:G9)</f>
        <v/>
      </c>
      <c r="H10" s="423">
        <f>SUM(H4:H9)</f>
        <v/>
      </c>
      <c r="I10" s="423">
        <f>SUM(I4:I9)</f>
        <v/>
      </c>
      <c r="J10" s="423">
        <f>SUM(J4:J9)</f>
        <v/>
      </c>
    </row>
    <row r="11" ht="22.5" customHeight="1" s="355">
      <c r="A11" s="415" t="n"/>
      <c r="B11" s="416" t="inlineStr">
        <is>
          <t>General Accounting &amp; Sox</t>
        </is>
      </c>
      <c r="C11" s="417" t="n"/>
      <c r="D11" s="418" t="n"/>
      <c r="E11" s="418" t="n"/>
      <c r="F11" s="418" t="n"/>
      <c r="G11" s="418" t="n"/>
      <c r="H11" s="418" t="n"/>
      <c r="I11" s="418" t="n"/>
      <c r="J11" s="418" t="n"/>
    </row>
    <row r="12" ht="22.5" customHeight="1" s="355">
      <c r="A12" s="415" t="n"/>
      <c r="B12" s="419" t="inlineStr">
        <is>
          <t xml:space="preserve">  Switzerland</t>
        </is>
      </c>
      <c r="C12" s="420">
        <f>'Switzerland-BC'!$C$3</f>
        <v/>
      </c>
      <c r="D12" s="420">
        <f>'Switzerland-BC'!$D$3</f>
        <v/>
      </c>
      <c r="E12" s="420">
        <f>'Switzerland-BC'!$E$3</f>
        <v/>
      </c>
      <c r="F12" s="420">
        <f>'Switzerland-BC'!$F$3</f>
        <v/>
      </c>
      <c r="G12" s="420">
        <f>'Switzerland-BC'!$G$3</f>
        <v/>
      </c>
      <c r="H12" s="420">
        <f>'Switzerland-BC'!$H$3</f>
        <v/>
      </c>
      <c r="I12" s="420">
        <f>'Switzerland-BC'!$I$3</f>
        <v/>
      </c>
      <c r="J12" s="420">
        <f>'Switzerland-BC'!$J$3</f>
        <v/>
      </c>
    </row>
    <row r="13" ht="22.5" customHeight="1" s="355">
      <c r="A13" s="415" t="n"/>
      <c r="B13" s="419" t="inlineStr">
        <is>
          <t xml:space="preserve">  United States</t>
        </is>
      </c>
      <c r="C13" s="420">
        <f>'US-BC'!$C$3</f>
        <v/>
      </c>
      <c r="D13" s="420">
        <f>'US-BC'!$D$3</f>
        <v/>
      </c>
      <c r="E13" s="420">
        <f>'US-BC'!$E$3</f>
        <v/>
      </c>
      <c r="F13" s="420">
        <f>'US-BC'!$F$3</f>
        <v/>
      </c>
      <c r="G13" s="420">
        <f>'US-BC'!$G$3</f>
        <v/>
      </c>
      <c r="H13" s="420">
        <f>'US-BC'!$H$3</f>
        <v/>
      </c>
      <c r="I13" s="420">
        <f>'US-BC'!$I$3</f>
        <v/>
      </c>
      <c r="J13" s="420">
        <f>'US-BC'!$J$3</f>
        <v/>
      </c>
    </row>
    <row r="14" ht="22.5" customHeight="1" s="355">
      <c r="A14" s="415" t="n"/>
      <c r="B14" s="419" t="inlineStr">
        <is>
          <t xml:space="preserve">  France</t>
        </is>
      </c>
      <c r="C14" s="420">
        <f>'France-BC'!$C$3</f>
        <v/>
      </c>
      <c r="D14" s="420">
        <f>'France-BC'!$D$3</f>
        <v/>
      </c>
      <c r="E14" s="420">
        <f>'France-BC'!$E$3</f>
        <v/>
      </c>
      <c r="F14" s="420">
        <f>'France-BC'!$F$3</f>
        <v/>
      </c>
      <c r="G14" s="420">
        <f>'France-BC'!$G$3</f>
        <v/>
      </c>
      <c r="H14" s="420">
        <f>'France-BC'!$H$3</f>
        <v/>
      </c>
      <c r="I14" s="420">
        <f>'France-BC'!$I$3</f>
        <v/>
      </c>
      <c r="J14" s="420">
        <f>'France-BC'!$J$3</f>
        <v/>
      </c>
    </row>
    <row r="15" ht="22.5" customHeight="1" s="355">
      <c r="A15" s="415" t="n"/>
      <c r="B15" s="419" t="inlineStr">
        <is>
          <t xml:space="preserve">  Germany </t>
        </is>
      </c>
      <c r="C15" s="420">
        <f>'Germany-BC'!$C$3</f>
        <v/>
      </c>
      <c r="D15" s="420">
        <f>'Germany-BC'!$D$3</f>
        <v/>
      </c>
      <c r="E15" s="420">
        <f>'Germany-BC'!$E$3</f>
        <v/>
      </c>
      <c r="F15" s="420">
        <f>'Germany-BC'!$F$3</f>
        <v/>
      </c>
      <c r="G15" s="420">
        <f>'Germany-BC'!$G$3</f>
        <v/>
      </c>
      <c r="H15" s="420">
        <f>'Germany-BC'!$H$3</f>
        <v/>
      </c>
      <c r="I15" s="420">
        <f>'Germany-BC'!$I$3</f>
        <v/>
      </c>
      <c r="J15" s="420">
        <f>'Germany-BC'!$J$3</f>
        <v/>
      </c>
    </row>
    <row r="16" ht="22.5" customHeight="1" s="355">
      <c r="A16" s="415" t="n"/>
      <c r="B16" s="419" t="inlineStr">
        <is>
          <t xml:space="preserve">  Germany Production</t>
        </is>
      </c>
      <c r="C16" s="420">
        <f>'Germany Production-BC'!$C$3</f>
        <v/>
      </c>
      <c r="D16" s="420">
        <f>'Germany Production-BC'!$D$3</f>
        <v/>
      </c>
      <c r="E16" s="420">
        <f>'Germany Production-BC'!$E$3</f>
        <v/>
      </c>
      <c r="F16" s="420">
        <f>'Germany Production-BC'!$F$3</f>
        <v/>
      </c>
      <c r="G16" s="420">
        <f>'Germany Production-BC'!$G$3</f>
        <v/>
      </c>
      <c r="H16" s="420">
        <f>'Germany Production-BC'!$H$3</f>
        <v/>
      </c>
      <c r="I16" s="420">
        <f>'Germany Production-BC'!$I$3</f>
        <v/>
      </c>
      <c r="J16" s="420">
        <f>'Germany Production-BC'!$J$3</f>
        <v/>
      </c>
    </row>
    <row r="17" ht="22.5" customHeight="1" s="355">
      <c r="A17" s="415" t="n"/>
      <c r="B17" s="419" t="inlineStr">
        <is>
          <t xml:space="preserve">  Spain</t>
        </is>
      </c>
      <c r="C17" s="420">
        <f>'Spain-BC'!$C$3</f>
        <v/>
      </c>
      <c r="D17" s="420">
        <f>'Spain-BC'!$D$3</f>
        <v/>
      </c>
      <c r="E17" s="420">
        <f>'Spain-BC'!$E$3</f>
        <v/>
      </c>
      <c r="F17" s="420">
        <f>'Spain-BC'!$F$3</f>
        <v/>
      </c>
      <c r="G17" s="420">
        <f>'Spain-BC'!$G$3</f>
        <v/>
      </c>
      <c r="H17" s="420">
        <f>'Spain-BC'!$H$3</f>
        <v/>
      </c>
      <c r="I17" s="420">
        <f>'Spain-BC'!$I$3</f>
        <v/>
      </c>
      <c r="J17" s="420">
        <f>'Spain-BC'!$J$3</f>
        <v/>
      </c>
    </row>
    <row r="18" ht="22.5" customHeight="1" s="355">
      <c r="A18" s="415" t="n"/>
      <c r="B18" s="419" t="inlineStr">
        <is>
          <t xml:space="preserve">  Italy</t>
        </is>
      </c>
      <c r="C18" s="420">
        <f>'Italy-BC'!$C$3</f>
        <v/>
      </c>
      <c r="D18" s="420">
        <f>'Italy-BC'!$D$3</f>
        <v/>
      </c>
      <c r="E18" s="420">
        <f>'Italy-BC'!$E$3</f>
        <v/>
      </c>
      <c r="F18" s="420">
        <f>'Italy-BC'!$F$3</f>
        <v/>
      </c>
      <c r="G18" s="420">
        <f>'Italy-BC'!$G$3</f>
        <v/>
      </c>
      <c r="H18" s="420">
        <f>'Italy-BC'!$H$3</f>
        <v/>
      </c>
      <c r="I18" s="420">
        <f>'Italy-BC'!$I$3</f>
        <v/>
      </c>
      <c r="J18" s="420">
        <f>'Italy-BC'!$J$3</f>
        <v/>
      </c>
    </row>
    <row r="19" ht="22.5" customHeight="1" s="355">
      <c r="A19" s="415" t="n"/>
      <c r="B19" s="421" t="inlineStr">
        <is>
          <t xml:space="preserve">  United Kingdom</t>
        </is>
      </c>
      <c r="C19" s="653">
        <f>'UK-BC'!$C$3</f>
        <v/>
      </c>
      <c r="D19" s="653">
        <f>'UK-BC'!$D$3</f>
        <v/>
      </c>
      <c r="E19" s="653">
        <f>'UK-BC'!$E$3</f>
        <v/>
      </c>
      <c r="F19" s="653">
        <f>'UK-BC'!$F$3</f>
        <v/>
      </c>
      <c r="G19" s="653">
        <f>'UK-BC'!$G$3</f>
        <v/>
      </c>
      <c r="H19" s="653">
        <f>'UK-BC'!$H$3</f>
        <v/>
      </c>
      <c r="I19" s="653">
        <f>'UK-BC'!$I$3</f>
        <v/>
      </c>
      <c r="J19" s="653">
        <f>'UK-BC'!$J$3</f>
        <v/>
      </c>
    </row>
    <row r="20" ht="22.5" customHeight="1" s="355">
      <c r="A20" s="415" t="n"/>
      <c r="B20" s="435" t="inlineStr">
        <is>
          <t xml:space="preserve">                Sub Total</t>
        </is>
      </c>
      <c r="C20" s="436">
        <f>SUM(C12:C19)</f>
        <v/>
      </c>
      <c r="D20" s="436">
        <f>SUM(D12:D19)</f>
        <v/>
      </c>
      <c r="E20" s="436">
        <f>SUM(E12:E19)</f>
        <v/>
      </c>
      <c r="F20" s="436">
        <f>SUM(F12:F19)</f>
        <v/>
      </c>
      <c r="G20" s="436">
        <f>SUM(G12:G19)</f>
        <v/>
      </c>
      <c r="H20" s="436">
        <f>SUM(H12:H19)</f>
        <v/>
      </c>
      <c r="I20" s="436">
        <f>SUM(I12:I19)</f>
        <v/>
      </c>
      <c r="J20" s="436">
        <f>SUM(J12:J19)</f>
        <v/>
      </c>
    </row>
    <row r="21" ht="22.5" customHeight="1" s="355">
      <c r="A21" s="415" t="n"/>
      <c r="B21" s="416" t="inlineStr">
        <is>
          <t>Fixed Assets</t>
        </is>
      </c>
      <c r="C21" s="417" t="n"/>
      <c r="D21" s="418" t="n"/>
      <c r="E21" s="418" t="n"/>
      <c r="F21" s="418" t="n"/>
      <c r="G21" s="418" t="n"/>
      <c r="H21" s="418" t="n"/>
      <c r="I21" s="418" t="n"/>
      <c r="J21" s="418" t="n"/>
    </row>
    <row r="22" ht="22.5" customHeight="1" s="355">
      <c r="A22" s="415" t="n"/>
      <c r="B22" s="419" t="inlineStr">
        <is>
          <t xml:space="preserve">  Switzerland</t>
        </is>
      </c>
      <c r="C22" s="420">
        <f>'Switzerland-BC'!$C$4</f>
        <v/>
      </c>
      <c r="D22" s="420">
        <f>'Switzerland-BC'!$D$4</f>
        <v/>
      </c>
      <c r="E22" s="420">
        <f>'Switzerland-BC'!$E$4</f>
        <v/>
      </c>
      <c r="F22" s="420">
        <f>'Switzerland-BC'!$F$4</f>
        <v/>
      </c>
      <c r="G22" s="420">
        <f>'Switzerland-BC'!$G$4</f>
        <v/>
      </c>
      <c r="H22" s="420">
        <f>'Switzerland-BC'!$H$4</f>
        <v/>
      </c>
      <c r="I22" s="420">
        <f>'Switzerland-BC'!$I$4</f>
        <v/>
      </c>
      <c r="J22" s="420">
        <f>'Switzerland-BC'!$J$4</f>
        <v/>
      </c>
    </row>
    <row r="23" ht="22.5" customHeight="1" s="355">
      <c r="A23" s="415" t="n"/>
      <c r="B23" s="419" t="inlineStr">
        <is>
          <t xml:space="preserve">  United States</t>
        </is>
      </c>
      <c r="C23" s="420">
        <f>'US-BC'!$C$4</f>
        <v/>
      </c>
      <c r="D23" s="420">
        <f>'US-BC'!$D$4</f>
        <v/>
      </c>
      <c r="E23" s="420">
        <f>'US-BC'!$E$4</f>
        <v/>
      </c>
      <c r="F23" s="420">
        <f>'US-BC'!$F$4</f>
        <v/>
      </c>
      <c r="G23" s="420">
        <f>'US-BC'!$G$4</f>
        <v/>
      </c>
      <c r="H23" s="420">
        <f>'US-BC'!$H$4</f>
        <v/>
      </c>
      <c r="I23" s="420">
        <f>'US-BC'!$I$4</f>
        <v/>
      </c>
      <c r="J23" s="420">
        <f>'US-BC'!$J$4</f>
        <v/>
      </c>
    </row>
    <row r="24" ht="22.5" customHeight="1" s="355">
      <c r="A24" s="415" t="n"/>
      <c r="B24" s="419" t="inlineStr">
        <is>
          <t xml:space="preserve">  France</t>
        </is>
      </c>
      <c r="C24" s="420">
        <f>'France-BC'!$C$4</f>
        <v/>
      </c>
      <c r="D24" s="420">
        <f>'France-BC'!$D$4</f>
        <v/>
      </c>
      <c r="E24" s="420">
        <f>'France-BC'!$E$4</f>
        <v/>
      </c>
      <c r="F24" s="420">
        <f>'France-BC'!$F$4</f>
        <v/>
      </c>
      <c r="G24" s="420">
        <f>'France-BC'!$G$4</f>
        <v/>
      </c>
      <c r="H24" s="420">
        <f>'France-BC'!$H$4</f>
        <v/>
      </c>
      <c r="I24" s="420">
        <f>'France-BC'!$I$4</f>
        <v/>
      </c>
      <c r="J24" s="420">
        <f>'France-BC'!$J$4</f>
        <v/>
      </c>
    </row>
    <row r="25" ht="22.5" customHeight="1" s="355">
      <c r="A25" s="415" t="n"/>
      <c r="B25" s="419" t="inlineStr">
        <is>
          <t xml:space="preserve">  Germany </t>
        </is>
      </c>
      <c r="C25" s="420">
        <f>'Germany-BC'!$C$4</f>
        <v/>
      </c>
      <c r="D25" s="420">
        <f>'Germany-BC'!$D$4</f>
        <v/>
      </c>
      <c r="E25" s="420">
        <f>'Germany-BC'!$E$4</f>
        <v/>
      </c>
      <c r="F25" s="420">
        <f>'Germany-BC'!$F$4</f>
        <v/>
      </c>
      <c r="G25" s="420">
        <f>'Germany-BC'!$G$4</f>
        <v/>
      </c>
      <c r="H25" s="420">
        <f>'Germany-BC'!$H$4</f>
        <v/>
      </c>
      <c r="I25" s="420">
        <f>'Germany-BC'!$I$4</f>
        <v/>
      </c>
      <c r="J25" s="420">
        <f>'Germany-BC'!$J$4</f>
        <v/>
      </c>
    </row>
    <row r="26" ht="22.5" customHeight="1" s="355">
      <c r="A26" s="415" t="n"/>
      <c r="B26" s="419" t="inlineStr">
        <is>
          <t xml:space="preserve">  Germany Production</t>
        </is>
      </c>
      <c r="C26" s="420">
        <f>'Germany Production-BC'!$C$4</f>
        <v/>
      </c>
      <c r="D26" s="420">
        <f>'Germany Production-BC'!$D$4</f>
        <v/>
      </c>
      <c r="E26" s="420">
        <f>'Germany Production-BC'!$E$4</f>
        <v/>
      </c>
      <c r="F26" s="420">
        <f>'Germany Production-BC'!$F$4</f>
        <v/>
      </c>
      <c r="G26" s="420">
        <f>'Germany Production-BC'!$G$4</f>
        <v/>
      </c>
      <c r="H26" s="420">
        <f>'Germany Production-BC'!$H$4</f>
        <v/>
      </c>
      <c r="I26" s="420">
        <f>'Germany Production-BC'!$I$4</f>
        <v/>
      </c>
      <c r="J26" s="420">
        <f>'Germany Production-BC'!$J$4</f>
        <v/>
      </c>
    </row>
    <row r="27" ht="22.5" customHeight="1" s="355">
      <c r="A27" s="415" t="n"/>
      <c r="B27" s="419" t="inlineStr">
        <is>
          <t xml:space="preserve">  Spain</t>
        </is>
      </c>
      <c r="C27" s="420">
        <f>'Spain-BC'!$C$4</f>
        <v/>
      </c>
      <c r="D27" s="420">
        <f>'Spain-BC'!$D$4</f>
        <v/>
      </c>
      <c r="E27" s="420">
        <f>'Spain-BC'!$E$4</f>
        <v/>
      </c>
      <c r="F27" s="420">
        <f>'Spain-BC'!$F$4</f>
        <v/>
      </c>
      <c r="G27" s="420">
        <f>'Spain-BC'!$G$4</f>
        <v/>
      </c>
      <c r="H27" s="420">
        <f>'Spain-BC'!$H$4</f>
        <v/>
      </c>
      <c r="I27" s="420">
        <f>'Spain-BC'!$I$4</f>
        <v/>
      </c>
      <c r="J27" s="420">
        <f>'Spain-BC'!$J$4</f>
        <v/>
      </c>
    </row>
    <row r="28" ht="22.5" customHeight="1" s="355">
      <c r="A28" s="415" t="n"/>
      <c r="B28" s="419" t="inlineStr">
        <is>
          <t xml:space="preserve">  Italy</t>
        </is>
      </c>
      <c r="C28" s="420">
        <f>'Italy-BC'!$C$4</f>
        <v/>
      </c>
      <c r="D28" s="420">
        <f>'Italy-BC'!$D$4</f>
        <v/>
      </c>
      <c r="E28" s="420">
        <f>'Italy-BC'!$E$4</f>
        <v/>
      </c>
      <c r="F28" s="420">
        <f>'Italy-BC'!$F$4</f>
        <v/>
      </c>
      <c r="G28" s="420">
        <f>'Italy-BC'!$G$4</f>
        <v/>
      </c>
      <c r="H28" s="420">
        <f>'Italy-BC'!$H$4</f>
        <v/>
      </c>
      <c r="I28" s="420">
        <f>'Italy-BC'!$I$4</f>
        <v/>
      </c>
      <c r="J28" s="420">
        <f>'Italy-BC'!$J$4</f>
        <v/>
      </c>
    </row>
    <row r="29" ht="22.5" customHeight="1" s="355">
      <c r="A29" s="415" t="n"/>
      <c r="B29" s="421" t="inlineStr">
        <is>
          <t xml:space="preserve">  United Kingdom</t>
        </is>
      </c>
      <c r="C29" s="653">
        <f>'UK-BC'!$C$4</f>
        <v/>
      </c>
      <c r="D29" s="653">
        <f>'UK-BC'!$D$4</f>
        <v/>
      </c>
      <c r="E29" s="653">
        <f>'UK-BC'!$E$4</f>
        <v/>
      </c>
      <c r="F29" s="653">
        <f>'UK-BC'!$F$4</f>
        <v/>
      </c>
      <c r="G29" s="653">
        <f>'UK-BC'!$G$4</f>
        <v/>
      </c>
      <c r="H29" s="653">
        <f>'UK-BC'!$H$4</f>
        <v/>
      </c>
      <c r="I29" s="653">
        <f>'UK-BC'!$I$4</f>
        <v/>
      </c>
      <c r="J29" s="653">
        <f>'UK-BC'!$J$4</f>
        <v/>
      </c>
    </row>
    <row r="30" ht="22.5" customHeight="1" s="355">
      <c r="A30" s="415" t="n"/>
      <c r="B30" s="435" t="inlineStr">
        <is>
          <t xml:space="preserve">                Sub Total</t>
        </is>
      </c>
      <c r="C30" s="436">
        <f>SUM(C22:C29)</f>
        <v/>
      </c>
      <c r="D30" s="436">
        <f>SUM(D22:D29)</f>
        <v/>
      </c>
      <c r="E30" s="436">
        <f>SUM(E22:E29)</f>
        <v/>
      </c>
      <c r="F30" s="436">
        <f>SUM(F22:F29)</f>
        <v/>
      </c>
      <c r="G30" s="436">
        <f>SUM(G22:G29)</f>
        <v/>
      </c>
      <c r="H30" s="436">
        <f>SUM(H22:H29)</f>
        <v/>
      </c>
      <c r="I30" s="436">
        <f>SUM(I22:I29)</f>
        <v/>
      </c>
      <c r="J30" s="436">
        <f>SUM(J22:J29)</f>
        <v/>
      </c>
    </row>
    <row r="31" ht="22.5" customHeight="1" s="355">
      <c r="A31" s="415" t="n"/>
      <c r="B31" s="416" t="inlineStr">
        <is>
          <t>Accounts Payable</t>
        </is>
      </c>
      <c r="C31" s="417" t="n"/>
      <c r="D31" s="418" t="n"/>
      <c r="E31" s="418" t="n"/>
      <c r="F31" s="418" t="n"/>
      <c r="G31" s="418" t="n"/>
      <c r="H31" s="418" t="n"/>
      <c r="I31" s="418" t="n"/>
      <c r="J31" s="418" t="n"/>
    </row>
    <row r="32" ht="22.5" customHeight="1" s="355">
      <c r="A32" s="415" t="n"/>
      <c r="B32" s="419" t="inlineStr">
        <is>
          <t xml:space="preserve">  Switzerland</t>
        </is>
      </c>
      <c r="C32" s="420">
        <f>'Switzerland-BC'!$C$5</f>
        <v/>
      </c>
      <c r="D32" s="420">
        <f>'Switzerland-BC'!$D$5</f>
        <v/>
      </c>
      <c r="E32" s="420">
        <f>'Switzerland-BC'!$E$5</f>
        <v/>
      </c>
      <c r="F32" s="420">
        <f>'Switzerland-BC'!$F$5</f>
        <v/>
      </c>
      <c r="G32" s="420">
        <f>'Switzerland-BC'!$G$5</f>
        <v/>
      </c>
      <c r="H32" s="420">
        <f>'Switzerland-BC'!$H$5</f>
        <v/>
      </c>
      <c r="I32" s="420">
        <f>'Switzerland-BC'!$I$5</f>
        <v/>
      </c>
      <c r="J32" s="420">
        <f>'Switzerland-BC'!$J$5</f>
        <v/>
      </c>
    </row>
    <row r="33" ht="22.5" customHeight="1" s="355">
      <c r="A33" s="415" t="n"/>
      <c r="B33" s="419" t="inlineStr">
        <is>
          <t xml:space="preserve">  United States</t>
        </is>
      </c>
      <c r="C33" s="420">
        <f>'US-BC'!$C$5</f>
        <v/>
      </c>
      <c r="D33" s="420">
        <f>'US-BC'!$D$5</f>
        <v/>
      </c>
      <c r="E33" s="420">
        <f>'US-BC'!$E$5</f>
        <v/>
      </c>
      <c r="F33" s="420">
        <f>'US-BC'!$F$5</f>
        <v/>
      </c>
      <c r="G33" s="420">
        <f>'US-BC'!$G$5</f>
        <v/>
      </c>
      <c r="H33" s="420">
        <f>'US-BC'!$H$5</f>
        <v/>
      </c>
      <c r="I33" s="420">
        <f>'US-BC'!$I$5</f>
        <v/>
      </c>
      <c r="J33" s="420">
        <f>'US-BC'!$J$5</f>
        <v/>
      </c>
    </row>
    <row r="34" ht="22.5" customHeight="1" s="355">
      <c r="A34" s="415" t="n"/>
      <c r="B34" s="419" t="inlineStr">
        <is>
          <t xml:space="preserve">  France</t>
        </is>
      </c>
      <c r="C34" s="420">
        <f>'France-BC'!$C$5</f>
        <v/>
      </c>
      <c r="D34" s="420">
        <f>'France-BC'!$D$5</f>
        <v/>
      </c>
      <c r="E34" s="420">
        <f>'France-BC'!$E$5</f>
        <v/>
      </c>
      <c r="F34" s="420">
        <f>'France-BC'!$F$5</f>
        <v/>
      </c>
      <c r="G34" s="420">
        <f>'France-BC'!$G$5</f>
        <v/>
      </c>
      <c r="H34" s="420">
        <f>'France-BC'!$H$5</f>
        <v/>
      </c>
      <c r="I34" s="420">
        <f>'France-BC'!$I$5</f>
        <v/>
      </c>
      <c r="J34" s="420">
        <f>'France-BC'!$J$5</f>
        <v/>
      </c>
    </row>
    <row r="35" ht="22.5" customHeight="1" s="355">
      <c r="A35" s="415" t="n"/>
      <c r="B35" s="419" t="inlineStr">
        <is>
          <t xml:space="preserve">  Germany </t>
        </is>
      </c>
      <c r="C35" s="420">
        <f>'Germany-BC'!$C$5</f>
        <v/>
      </c>
      <c r="D35" s="420">
        <f>'Germany-BC'!$D$5</f>
        <v/>
      </c>
      <c r="E35" s="420">
        <f>'Germany-BC'!$E$5</f>
        <v/>
      </c>
      <c r="F35" s="420">
        <f>'Germany-BC'!$F$5</f>
        <v/>
      </c>
      <c r="G35" s="420">
        <f>'Germany-BC'!$G$5</f>
        <v/>
      </c>
      <c r="H35" s="420">
        <f>'Germany-BC'!$H$5</f>
        <v/>
      </c>
      <c r="I35" s="420">
        <f>'Germany-BC'!$I$5</f>
        <v/>
      </c>
      <c r="J35" s="420">
        <f>'Germany-BC'!$J$5</f>
        <v/>
      </c>
    </row>
    <row r="36" ht="22.5" customHeight="1" s="355">
      <c r="A36" s="415" t="n"/>
      <c r="B36" s="419" t="inlineStr">
        <is>
          <t xml:space="preserve">  Germany Production</t>
        </is>
      </c>
      <c r="C36" s="420">
        <f>'Germany Production-BC'!$C$5</f>
        <v/>
      </c>
      <c r="D36" s="420">
        <f>'Germany Production-BC'!$D$5</f>
        <v/>
      </c>
      <c r="E36" s="420">
        <f>'Germany Production-BC'!$E$5</f>
        <v/>
      </c>
      <c r="F36" s="420">
        <f>'Germany Production-BC'!$F$5</f>
        <v/>
      </c>
      <c r="G36" s="420">
        <f>'Germany Production-BC'!$G$5</f>
        <v/>
      </c>
      <c r="H36" s="420">
        <f>'Germany Production-BC'!$H$5</f>
        <v/>
      </c>
      <c r="I36" s="420">
        <f>'Germany Production-BC'!$I$5</f>
        <v/>
      </c>
      <c r="J36" s="420">
        <f>'Germany Production-BC'!$J$5</f>
        <v/>
      </c>
    </row>
    <row r="37" ht="22.5" customHeight="1" s="355">
      <c r="A37" s="415" t="n"/>
      <c r="B37" s="419" t="inlineStr">
        <is>
          <t xml:space="preserve">  Spain</t>
        </is>
      </c>
      <c r="C37" s="420">
        <f>'Spain-BC'!$C$5</f>
        <v/>
      </c>
      <c r="D37" s="420">
        <f>'Spain-BC'!$D$5</f>
        <v/>
      </c>
      <c r="E37" s="420">
        <f>'Spain-BC'!$E$5</f>
        <v/>
      </c>
      <c r="F37" s="420">
        <f>'Spain-BC'!$F$5</f>
        <v/>
      </c>
      <c r="G37" s="420">
        <f>'Spain-BC'!$G$5</f>
        <v/>
      </c>
      <c r="H37" s="420">
        <f>'Spain-BC'!$H$5</f>
        <v/>
      </c>
      <c r="I37" s="420">
        <f>'Spain-BC'!$I$5</f>
        <v/>
      </c>
      <c r="J37" s="420">
        <f>'Spain-BC'!$J$5</f>
        <v/>
      </c>
    </row>
    <row r="38" ht="22.5" customHeight="1" s="355">
      <c r="A38" s="415" t="n"/>
      <c r="B38" s="419" t="inlineStr">
        <is>
          <t xml:space="preserve">  Italy</t>
        </is>
      </c>
      <c r="C38" s="420">
        <f>'Italy-BC'!$C$5</f>
        <v/>
      </c>
      <c r="D38" s="420">
        <f>'Italy-BC'!$D$5</f>
        <v/>
      </c>
      <c r="E38" s="420">
        <f>'Italy-BC'!$E$5</f>
        <v/>
      </c>
      <c r="F38" s="420">
        <f>'Italy-BC'!$F$5</f>
        <v/>
      </c>
      <c r="G38" s="420">
        <f>'Italy-BC'!$G$5</f>
        <v/>
      </c>
      <c r="H38" s="420">
        <f>'Italy-BC'!$H$5</f>
        <v/>
      </c>
      <c r="I38" s="420">
        <f>'Italy-BC'!$I$5</f>
        <v/>
      </c>
      <c r="J38" s="420">
        <f>'Italy-BC'!$J$5</f>
        <v/>
      </c>
    </row>
    <row r="39" ht="22.5" customHeight="1" s="355">
      <c r="A39" s="415" t="n"/>
      <c r="B39" s="421" t="inlineStr">
        <is>
          <t xml:space="preserve">  United Kingdom</t>
        </is>
      </c>
      <c r="C39" s="653">
        <f>'UK-BC'!$C$5</f>
        <v/>
      </c>
      <c r="D39" s="653">
        <f>'UK-BC'!$D$5</f>
        <v/>
      </c>
      <c r="E39" s="653">
        <f>'UK-BC'!$E$5</f>
        <v/>
      </c>
      <c r="F39" s="653">
        <f>'UK-BC'!$F$5</f>
        <v/>
      </c>
      <c r="G39" s="653">
        <f>'UK-BC'!$G$5</f>
        <v/>
      </c>
      <c r="H39" s="653">
        <f>'UK-BC'!$H$5</f>
        <v/>
      </c>
      <c r="I39" s="653">
        <f>'UK-BC'!$I$5</f>
        <v/>
      </c>
      <c r="J39" s="653">
        <f>'UK-BC'!$J$5</f>
        <v/>
      </c>
    </row>
    <row r="40" ht="22.5" customHeight="1" s="355">
      <c r="A40" s="415" t="n"/>
      <c r="B40" s="435" t="inlineStr">
        <is>
          <t xml:space="preserve">                Sub Total</t>
        </is>
      </c>
      <c r="C40" s="436">
        <f>SUM(C32:C39)</f>
        <v/>
      </c>
      <c r="D40" s="436">
        <f>SUM(D32:D39)</f>
        <v/>
      </c>
      <c r="E40" s="436">
        <f>SUM(E32:E39)</f>
        <v/>
      </c>
      <c r="F40" s="436">
        <f>SUM(F32:F39)</f>
        <v/>
      </c>
      <c r="G40" s="436">
        <f>SUM(G32:G39)</f>
        <v/>
      </c>
      <c r="H40" s="436">
        <f>SUM(H32:H39)</f>
        <v/>
      </c>
      <c r="I40" s="436">
        <f>SUM(I32:I39)</f>
        <v/>
      </c>
      <c r="J40" s="436">
        <f>SUM(J32:J39)</f>
        <v/>
      </c>
    </row>
    <row r="41" ht="22.5" customHeight="1" s="355">
      <c r="A41" s="415" t="n"/>
      <c r="B41" s="416" t="inlineStr">
        <is>
          <t>T&amp;E</t>
        </is>
      </c>
      <c r="C41" s="417" t="n"/>
      <c r="D41" s="418" t="n"/>
      <c r="E41" s="418" t="n"/>
      <c r="F41" s="418" t="n"/>
      <c r="G41" s="418" t="n"/>
      <c r="H41" s="418" t="n"/>
      <c r="I41" s="418" t="n"/>
      <c r="J41" s="418" t="n"/>
    </row>
    <row r="42" ht="22.5" customHeight="1" s="355">
      <c r="A42" s="415" t="n"/>
      <c r="B42" s="419" t="inlineStr">
        <is>
          <t xml:space="preserve">  Switzerland</t>
        </is>
      </c>
      <c r="C42" s="420">
        <f>'Switzerland-BC'!$C$6</f>
        <v/>
      </c>
      <c r="D42" s="420">
        <f>'Switzerland-BC'!$D$6</f>
        <v/>
      </c>
      <c r="E42" s="420">
        <f>'Switzerland-BC'!$E$6</f>
        <v/>
      </c>
      <c r="F42" s="420">
        <f>'Switzerland-BC'!$F$6</f>
        <v/>
      </c>
      <c r="G42" s="420">
        <f>'Switzerland-BC'!$G$6</f>
        <v/>
      </c>
      <c r="H42" s="420">
        <f>'Switzerland-BC'!$H$6</f>
        <v/>
      </c>
      <c r="I42" s="420">
        <f>'Switzerland-BC'!$I$6</f>
        <v/>
      </c>
      <c r="J42" s="420">
        <f>'Switzerland-BC'!$J$6</f>
        <v/>
      </c>
    </row>
    <row r="43" ht="22.5" customHeight="1" s="355">
      <c r="A43" s="415" t="n"/>
      <c r="B43" s="419" t="inlineStr">
        <is>
          <t xml:space="preserve">  United States</t>
        </is>
      </c>
      <c r="C43" s="420">
        <f>'US-BC'!$C$6</f>
        <v/>
      </c>
      <c r="D43" s="420">
        <f>'US-BC'!$D$6</f>
        <v/>
      </c>
      <c r="E43" s="420">
        <f>'US-BC'!$E$6</f>
        <v/>
      </c>
      <c r="F43" s="420">
        <f>'US-BC'!$F$6</f>
        <v/>
      </c>
      <c r="G43" s="420">
        <f>'US-BC'!$G$6</f>
        <v/>
      </c>
      <c r="H43" s="420">
        <f>'US-BC'!$H$6</f>
        <v/>
      </c>
      <c r="I43" s="420">
        <f>'US-BC'!$I$6</f>
        <v/>
      </c>
      <c r="J43" s="420">
        <f>'US-BC'!$J$6</f>
        <v/>
      </c>
    </row>
    <row r="44" ht="22.5" customHeight="1" s="355">
      <c r="A44" s="415" t="n"/>
      <c r="B44" s="419" t="inlineStr">
        <is>
          <t xml:space="preserve">  France</t>
        </is>
      </c>
      <c r="C44" s="420">
        <f>'France-BC'!$C$6</f>
        <v/>
      </c>
      <c r="D44" s="420">
        <f>'France-BC'!$D$6</f>
        <v/>
      </c>
      <c r="E44" s="420">
        <f>'France-BC'!$E$6</f>
        <v/>
      </c>
      <c r="F44" s="420">
        <f>'France-BC'!$F$6</f>
        <v/>
      </c>
      <c r="G44" s="420">
        <f>'France-BC'!$G$6</f>
        <v/>
      </c>
      <c r="H44" s="420">
        <f>'France-BC'!$H$6</f>
        <v/>
      </c>
      <c r="I44" s="420">
        <f>'France-BC'!$I$6</f>
        <v/>
      </c>
      <c r="J44" s="420">
        <f>'France-BC'!$J$6</f>
        <v/>
      </c>
    </row>
    <row r="45" ht="22.5" customHeight="1" s="355">
      <c r="A45" s="415" t="n"/>
      <c r="B45" s="419" t="inlineStr">
        <is>
          <t xml:space="preserve">  Germany </t>
        </is>
      </c>
      <c r="C45" s="420">
        <f>'Germany-BC'!$C$6</f>
        <v/>
      </c>
      <c r="D45" s="420">
        <f>'Germany-BC'!$D$6</f>
        <v/>
      </c>
      <c r="E45" s="420">
        <f>'Germany-BC'!$E$6</f>
        <v/>
      </c>
      <c r="F45" s="420">
        <f>'Germany-BC'!$F$6</f>
        <v/>
      </c>
      <c r="G45" s="420">
        <f>'Germany-BC'!$G$6</f>
        <v/>
      </c>
      <c r="H45" s="420">
        <f>'Germany-BC'!$H$6</f>
        <v/>
      </c>
      <c r="I45" s="420">
        <f>'Germany-BC'!$I$6</f>
        <v/>
      </c>
      <c r="J45" s="420">
        <f>'Germany-BC'!$J$6</f>
        <v/>
      </c>
    </row>
    <row r="46" ht="22.5" customHeight="1" s="355">
      <c r="A46" s="415" t="n"/>
      <c r="B46" s="419" t="inlineStr">
        <is>
          <t xml:space="preserve">  Germany Production</t>
        </is>
      </c>
      <c r="C46" s="420">
        <f>'Germany Production-BC'!$C$6</f>
        <v/>
      </c>
      <c r="D46" s="420">
        <f>'Germany Production-BC'!$D$6</f>
        <v/>
      </c>
      <c r="E46" s="420">
        <f>'Germany Production-BC'!$E$6</f>
        <v/>
      </c>
      <c r="F46" s="420">
        <f>'Germany Production-BC'!$F$6</f>
        <v/>
      </c>
      <c r="G46" s="420">
        <f>'Germany Production-BC'!$G$6</f>
        <v/>
      </c>
      <c r="H46" s="420">
        <f>'Germany Production-BC'!$H$6</f>
        <v/>
      </c>
      <c r="I46" s="420">
        <f>'Germany Production-BC'!$I$6</f>
        <v/>
      </c>
      <c r="J46" s="420">
        <f>'Germany Production-BC'!$J$6</f>
        <v/>
      </c>
    </row>
    <row r="47" ht="22.5" customHeight="1" s="355">
      <c r="A47" s="415" t="n"/>
      <c r="B47" s="419" t="inlineStr">
        <is>
          <t xml:space="preserve">  Spain</t>
        </is>
      </c>
      <c r="C47" s="420">
        <f>'Spain-BC'!$C$6</f>
        <v/>
      </c>
      <c r="D47" s="420">
        <f>'Spain-BC'!$D$6</f>
        <v/>
      </c>
      <c r="E47" s="420">
        <f>'Spain-BC'!$E$6</f>
        <v/>
      </c>
      <c r="F47" s="420">
        <f>'Spain-BC'!$F$6</f>
        <v/>
      </c>
      <c r="G47" s="420">
        <f>'Spain-BC'!$G$6</f>
        <v/>
      </c>
      <c r="H47" s="420">
        <f>'Spain-BC'!$H$6</f>
        <v/>
      </c>
      <c r="I47" s="420">
        <f>'Spain-BC'!$I$6</f>
        <v/>
      </c>
      <c r="J47" s="420">
        <f>'Spain-BC'!$J$6</f>
        <v/>
      </c>
    </row>
    <row r="48" ht="22.5" customHeight="1" s="355">
      <c r="A48" s="415" t="n"/>
      <c r="B48" s="419" t="inlineStr">
        <is>
          <t xml:space="preserve">  Italy</t>
        </is>
      </c>
      <c r="C48" s="420">
        <f>'Italy-BC'!$C$6</f>
        <v/>
      </c>
      <c r="D48" s="420">
        <f>'Italy-BC'!$D$6</f>
        <v/>
      </c>
      <c r="E48" s="420">
        <f>'Italy-BC'!$E$6</f>
        <v/>
      </c>
      <c r="F48" s="420">
        <f>'Italy-BC'!$F$6</f>
        <v/>
      </c>
      <c r="G48" s="420">
        <f>'Italy-BC'!$G$6</f>
        <v/>
      </c>
      <c r="H48" s="420">
        <f>'Italy-BC'!$H$6</f>
        <v/>
      </c>
      <c r="I48" s="420">
        <f>'Italy-BC'!$I$6</f>
        <v/>
      </c>
      <c r="J48" s="420">
        <f>'Italy-BC'!$J$6</f>
        <v/>
      </c>
    </row>
    <row r="49" ht="22.5" customHeight="1" s="355">
      <c r="A49" s="415" t="n"/>
      <c r="B49" s="421" t="inlineStr">
        <is>
          <t xml:space="preserve">  United Kingdom</t>
        </is>
      </c>
      <c r="C49" s="653">
        <f>'UK-BC'!$C$6</f>
        <v/>
      </c>
      <c r="D49" s="653">
        <f>'UK-BC'!$D$6</f>
        <v/>
      </c>
      <c r="E49" s="653">
        <f>'UK-BC'!$E$6</f>
        <v/>
      </c>
      <c r="F49" s="653">
        <f>'UK-BC'!$F$6</f>
        <v/>
      </c>
      <c r="G49" s="653">
        <f>'UK-BC'!$G$6</f>
        <v/>
      </c>
      <c r="H49" s="653">
        <f>'UK-BC'!$H$6</f>
        <v/>
      </c>
      <c r="I49" s="653">
        <f>'UK-BC'!$I$6</f>
        <v/>
      </c>
      <c r="J49" s="653">
        <f>'UK-BC'!$J$6</f>
        <v/>
      </c>
    </row>
    <row r="50" ht="22.5" customHeight="1" s="355">
      <c r="A50" s="415" t="n"/>
      <c r="B50" s="435" t="inlineStr">
        <is>
          <t xml:space="preserve">                Sub Total</t>
        </is>
      </c>
      <c r="C50" s="436">
        <f>SUM(C42:C49)</f>
        <v/>
      </c>
      <c r="D50" s="436">
        <f>SUM(D42:D49)</f>
        <v/>
      </c>
      <c r="E50" s="436">
        <f>SUM(E42:E49)</f>
        <v/>
      </c>
      <c r="F50" s="436">
        <f>SUM(F42:F49)</f>
        <v/>
      </c>
      <c r="G50" s="436">
        <f>SUM(G42:G49)</f>
        <v/>
      </c>
      <c r="H50" s="436">
        <f>SUM(H42:H49)</f>
        <v/>
      </c>
      <c r="I50" s="436">
        <f>SUM(I42:I49)</f>
        <v/>
      </c>
      <c r="J50" s="436">
        <f>SUM(J42:J49)</f>
        <v/>
      </c>
    </row>
    <row r="51" ht="22.5" customHeight="1" s="355">
      <c r="A51" s="415" t="n"/>
      <c r="B51" s="416" t="inlineStr">
        <is>
          <t>Order to Cash</t>
        </is>
      </c>
      <c r="C51" s="417" t="n"/>
      <c r="D51" s="418" t="n"/>
      <c r="E51" s="418" t="n"/>
      <c r="F51" s="418" t="n"/>
      <c r="G51" s="418" t="n"/>
      <c r="H51" s="418" t="n"/>
      <c r="I51" s="418" t="n"/>
      <c r="J51" s="418" t="n"/>
    </row>
    <row r="52" ht="22.5" customHeight="1" s="355">
      <c r="A52" s="415" t="n"/>
      <c r="B52" s="419" t="inlineStr">
        <is>
          <t xml:space="preserve">  Switzerland</t>
        </is>
      </c>
      <c r="C52" s="420">
        <f>'Switzerland-BC'!$C$7</f>
        <v/>
      </c>
      <c r="D52" s="420">
        <f>'Switzerland-BC'!$D$7</f>
        <v/>
      </c>
      <c r="E52" s="420">
        <f>'Switzerland-BC'!$E$7</f>
        <v/>
      </c>
      <c r="F52" s="420">
        <f>'Switzerland-BC'!$F$7</f>
        <v/>
      </c>
      <c r="G52" s="420">
        <f>'Switzerland-BC'!$G$7</f>
        <v/>
      </c>
      <c r="H52" s="420">
        <f>'Switzerland-BC'!$H$7</f>
        <v/>
      </c>
      <c r="I52" s="420">
        <f>'Switzerland-BC'!$I$7</f>
        <v/>
      </c>
      <c r="J52" s="420">
        <f>'Switzerland-BC'!$J$7</f>
        <v/>
      </c>
    </row>
    <row r="53" ht="22.5" customHeight="1" s="355">
      <c r="A53" s="415" t="n"/>
      <c r="B53" s="419" t="inlineStr">
        <is>
          <t xml:space="preserve">  United States</t>
        </is>
      </c>
      <c r="C53" s="420">
        <f>'US-BC'!$C$7</f>
        <v/>
      </c>
      <c r="D53" s="420">
        <f>'US-BC'!$D$7</f>
        <v/>
      </c>
      <c r="E53" s="420">
        <f>'US-BC'!$E$7</f>
        <v/>
      </c>
      <c r="F53" s="420">
        <f>'US-BC'!$F$7</f>
        <v/>
      </c>
      <c r="G53" s="420">
        <f>'US-BC'!$G$7</f>
        <v/>
      </c>
      <c r="H53" s="420">
        <f>'US-BC'!$H$7</f>
        <v/>
      </c>
      <c r="I53" s="420">
        <f>'US-BC'!$I$7</f>
        <v/>
      </c>
      <c r="J53" s="420">
        <f>'US-BC'!$J$7</f>
        <v/>
      </c>
    </row>
    <row r="54" ht="22.5" customHeight="1" s="355">
      <c r="A54" s="415" t="n"/>
      <c r="B54" s="419" t="inlineStr">
        <is>
          <t xml:space="preserve">  France</t>
        </is>
      </c>
      <c r="C54" s="420">
        <f>'France-BC'!$C$7</f>
        <v/>
      </c>
      <c r="D54" s="420">
        <f>'France-BC'!$D$7</f>
        <v/>
      </c>
      <c r="E54" s="420">
        <f>'France-BC'!$E$7</f>
        <v/>
      </c>
      <c r="F54" s="420">
        <f>'France-BC'!$F$7</f>
        <v/>
      </c>
      <c r="G54" s="420">
        <f>'France-BC'!$G$7</f>
        <v/>
      </c>
      <c r="H54" s="420">
        <f>'France-BC'!$H$7</f>
        <v/>
      </c>
      <c r="I54" s="420">
        <f>'France-BC'!$I$7</f>
        <v/>
      </c>
      <c r="J54" s="420">
        <f>'France-BC'!$J$7</f>
        <v/>
      </c>
    </row>
    <row r="55" ht="22.5" customHeight="1" s="355">
      <c r="A55" s="415" t="n"/>
      <c r="B55" s="419" t="inlineStr">
        <is>
          <t xml:space="preserve">  Germany </t>
        </is>
      </c>
      <c r="C55" s="420">
        <f>'Germany-BC'!$C$7</f>
        <v/>
      </c>
      <c r="D55" s="420">
        <f>'Germany-BC'!$D$7</f>
        <v/>
      </c>
      <c r="E55" s="420">
        <f>'Germany-BC'!$E$7</f>
        <v/>
      </c>
      <c r="F55" s="420">
        <f>'Germany-BC'!$F$7</f>
        <v/>
      </c>
      <c r="G55" s="420">
        <f>'Germany-BC'!$G$7</f>
        <v/>
      </c>
      <c r="H55" s="420">
        <f>'Germany-BC'!$H$7</f>
        <v/>
      </c>
      <c r="I55" s="420">
        <f>'Germany-BC'!$I$7</f>
        <v/>
      </c>
      <c r="J55" s="420">
        <f>'Germany-BC'!$J$7</f>
        <v/>
      </c>
    </row>
    <row r="56" ht="22.5" customHeight="1" s="355">
      <c r="A56" s="415" t="n"/>
      <c r="B56" s="419" t="inlineStr">
        <is>
          <t xml:space="preserve">  Germany Production</t>
        </is>
      </c>
      <c r="C56" s="420">
        <f>'Germany Production-BC'!$C$7</f>
        <v/>
      </c>
      <c r="D56" s="420">
        <f>'Germany Production-BC'!$D$7</f>
        <v/>
      </c>
      <c r="E56" s="420">
        <f>'Germany Production-BC'!$E$7</f>
        <v/>
      </c>
      <c r="F56" s="420">
        <f>'Germany Production-BC'!$F$7</f>
        <v/>
      </c>
      <c r="G56" s="420">
        <f>'Germany Production-BC'!$G$7</f>
        <v/>
      </c>
      <c r="H56" s="420">
        <f>'Germany Production-BC'!$H$7</f>
        <v/>
      </c>
      <c r="I56" s="420">
        <f>'Germany Production-BC'!$I$7</f>
        <v/>
      </c>
      <c r="J56" s="420">
        <f>'Germany Production-BC'!$J$7</f>
        <v/>
      </c>
    </row>
    <row r="57" ht="22.5" customHeight="1" s="355">
      <c r="A57" s="415" t="n"/>
      <c r="B57" s="419" t="inlineStr">
        <is>
          <t xml:space="preserve">  Spain</t>
        </is>
      </c>
      <c r="C57" s="420">
        <f>'Spain-BC'!$C$7</f>
        <v/>
      </c>
      <c r="D57" s="420">
        <f>'Spain-BC'!$D$7</f>
        <v/>
      </c>
      <c r="E57" s="420">
        <f>'Spain-BC'!$E$7</f>
        <v/>
      </c>
      <c r="F57" s="420">
        <f>'Spain-BC'!$F$7</f>
        <v/>
      </c>
      <c r="G57" s="420">
        <f>'Spain-BC'!$G$7</f>
        <v/>
      </c>
      <c r="H57" s="420">
        <f>'Spain-BC'!$H$7</f>
        <v/>
      </c>
      <c r="I57" s="420">
        <f>'Spain-BC'!$I$7</f>
        <v/>
      </c>
      <c r="J57" s="420">
        <f>'Spain-BC'!$J$7</f>
        <v/>
      </c>
    </row>
    <row r="58" ht="22.5" customHeight="1" s="355">
      <c r="A58" s="415" t="n"/>
      <c r="B58" s="419" t="inlineStr">
        <is>
          <t xml:space="preserve">  Italy</t>
        </is>
      </c>
      <c r="C58" s="420">
        <f>'Italy-BC'!$C$7</f>
        <v/>
      </c>
      <c r="D58" s="420">
        <f>'Italy-BC'!$D$7</f>
        <v/>
      </c>
      <c r="E58" s="420">
        <f>'Italy-BC'!$E$7</f>
        <v/>
      </c>
      <c r="F58" s="420">
        <f>'Italy-BC'!$F$7</f>
        <v/>
      </c>
      <c r="G58" s="420">
        <f>'Italy-BC'!$G$7</f>
        <v/>
      </c>
      <c r="H58" s="420">
        <f>'Italy-BC'!$H$7</f>
        <v/>
      </c>
      <c r="I58" s="420">
        <f>'Italy-BC'!$I$7</f>
        <v/>
      </c>
      <c r="J58" s="420">
        <f>'Italy-BC'!$J$7</f>
        <v/>
      </c>
    </row>
    <row r="59" ht="22.5" customHeight="1" s="355">
      <c r="A59" s="415" t="n"/>
      <c r="B59" s="421" t="inlineStr">
        <is>
          <t xml:space="preserve">  United Kingdom</t>
        </is>
      </c>
      <c r="C59" s="653">
        <f>'UK-BC'!$C$7</f>
        <v/>
      </c>
      <c r="D59" s="653">
        <f>'UK-BC'!$D$7</f>
        <v/>
      </c>
      <c r="E59" s="653">
        <f>'UK-BC'!$E$7</f>
        <v/>
      </c>
      <c r="F59" s="653">
        <f>'UK-BC'!$F$7</f>
        <v/>
      </c>
      <c r="G59" s="653">
        <f>'UK-BC'!$G$7</f>
        <v/>
      </c>
      <c r="H59" s="653">
        <f>'UK-BC'!$H$7</f>
        <v/>
      </c>
      <c r="I59" s="653">
        <f>'UK-BC'!$I$7</f>
        <v/>
      </c>
      <c r="J59" s="653">
        <f>'UK-BC'!$J$7</f>
        <v/>
      </c>
    </row>
    <row r="60" ht="22.5" customHeight="1" s="355">
      <c r="A60" s="415" t="n"/>
      <c r="B60" s="435" t="inlineStr">
        <is>
          <t xml:space="preserve">                Sub Total</t>
        </is>
      </c>
      <c r="C60" s="436">
        <f>SUM(C52:C59)</f>
        <v/>
      </c>
      <c r="D60" s="436">
        <f>SUM(D52:D59)</f>
        <v/>
      </c>
      <c r="E60" s="436">
        <f>SUM(E52:E59)</f>
        <v/>
      </c>
      <c r="F60" s="436">
        <f>SUM(F52:F59)</f>
        <v/>
      </c>
      <c r="G60" s="436">
        <f>SUM(G52:G59)</f>
        <v/>
      </c>
      <c r="H60" s="436">
        <f>SUM(H52:H59)</f>
        <v/>
      </c>
      <c r="I60" s="436">
        <f>SUM(I52:I59)</f>
        <v/>
      </c>
      <c r="J60" s="436">
        <f>SUM(J52:J59)</f>
        <v/>
      </c>
    </row>
    <row r="61" ht="22.5" customHeight="1" s="355">
      <c r="A61" s="415" t="n"/>
      <c r="B61" s="416" t="inlineStr">
        <is>
          <t>Requistion to Pay</t>
        </is>
      </c>
      <c r="C61" s="417" t="n"/>
      <c r="D61" s="418" t="n"/>
      <c r="E61" s="418" t="n"/>
      <c r="F61" s="418" t="n"/>
      <c r="G61" s="418" t="n"/>
      <c r="H61" s="418" t="n"/>
      <c r="I61" s="418" t="n"/>
      <c r="J61" s="418" t="n"/>
    </row>
    <row r="62" ht="22.5" customHeight="1" s="355">
      <c r="A62" s="415" t="n"/>
      <c r="B62" s="419" t="inlineStr">
        <is>
          <t xml:space="preserve">  Switzerland</t>
        </is>
      </c>
      <c r="C62" s="420">
        <f>'Switzerland-BC'!$C$8</f>
        <v/>
      </c>
      <c r="D62" s="420">
        <f>'Switzerland-BC'!$D$8</f>
        <v/>
      </c>
      <c r="E62" s="420">
        <f>'Switzerland-BC'!$E$8</f>
        <v/>
      </c>
      <c r="F62" s="420">
        <f>'Switzerland-BC'!$F$8</f>
        <v/>
      </c>
      <c r="G62" s="420">
        <f>'Switzerland-BC'!$G$8</f>
        <v/>
      </c>
      <c r="H62" s="420">
        <f>'Switzerland-BC'!$H$8</f>
        <v/>
      </c>
      <c r="I62" s="420">
        <f>'Switzerland-BC'!$I$8</f>
        <v/>
      </c>
      <c r="J62" s="420">
        <f>'Switzerland-BC'!$J$8</f>
        <v/>
      </c>
    </row>
    <row r="63" ht="22.5" customHeight="1" s="355">
      <c r="A63" s="415" t="n"/>
      <c r="B63" s="419" t="inlineStr">
        <is>
          <t xml:space="preserve">  United States</t>
        </is>
      </c>
      <c r="C63" s="420">
        <f>'US-BC'!$C$8</f>
        <v/>
      </c>
      <c r="D63" s="420">
        <f>'US-BC'!$D$8</f>
        <v/>
      </c>
      <c r="E63" s="420">
        <f>'US-BC'!$E$8</f>
        <v/>
      </c>
      <c r="F63" s="420">
        <f>'US-BC'!$F$8</f>
        <v/>
      </c>
      <c r="G63" s="420">
        <f>'US-BC'!$G$8</f>
        <v/>
      </c>
      <c r="H63" s="420">
        <f>'US-BC'!$H$8</f>
        <v/>
      </c>
      <c r="I63" s="420">
        <f>'US-BC'!$I$8</f>
        <v/>
      </c>
      <c r="J63" s="420">
        <f>'US-BC'!$J$8</f>
        <v/>
      </c>
    </row>
    <row r="64" ht="22.5" customHeight="1" s="355">
      <c r="A64" s="415" t="n"/>
      <c r="B64" s="419" t="inlineStr">
        <is>
          <t xml:space="preserve">  France</t>
        </is>
      </c>
      <c r="C64" s="420">
        <f>'France-BC'!$C$8</f>
        <v/>
      </c>
      <c r="D64" s="420">
        <f>'France-BC'!$D$8</f>
        <v/>
      </c>
      <c r="E64" s="420">
        <f>'France-BC'!$E$8</f>
        <v/>
      </c>
      <c r="F64" s="420">
        <f>'France-BC'!$F$8</f>
        <v/>
      </c>
      <c r="G64" s="420">
        <f>'France-BC'!$G$8</f>
        <v/>
      </c>
      <c r="H64" s="420">
        <f>'France-BC'!$H$8</f>
        <v/>
      </c>
      <c r="I64" s="420">
        <f>'France-BC'!$I$8</f>
        <v/>
      </c>
      <c r="J64" s="420">
        <f>'France-BC'!$J$8</f>
        <v/>
      </c>
    </row>
    <row r="65" ht="22.5" customHeight="1" s="355">
      <c r="A65" s="415" t="n"/>
      <c r="B65" s="419" t="inlineStr">
        <is>
          <t xml:space="preserve">  Germany </t>
        </is>
      </c>
      <c r="C65" s="420">
        <f>'Germany-BC'!$C$8</f>
        <v/>
      </c>
      <c r="D65" s="420">
        <f>'Germany-BC'!$D$8</f>
        <v/>
      </c>
      <c r="E65" s="420">
        <f>'Germany-BC'!$E$8</f>
        <v/>
      </c>
      <c r="F65" s="420">
        <f>'Germany-BC'!$F$8</f>
        <v/>
      </c>
      <c r="G65" s="420">
        <f>'Germany-BC'!$G$8</f>
        <v/>
      </c>
      <c r="H65" s="420">
        <f>'Germany-BC'!$H$8</f>
        <v/>
      </c>
      <c r="I65" s="420">
        <f>'Germany-BC'!$I$8</f>
        <v/>
      </c>
      <c r="J65" s="420">
        <f>'Germany-BC'!$J$8</f>
        <v/>
      </c>
    </row>
    <row r="66" ht="22.5" customHeight="1" s="355">
      <c r="A66" s="415" t="n"/>
      <c r="B66" s="419" t="inlineStr">
        <is>
          <t xml:space="preserve">  Germany Production</t>
        </is>
      </c>
      <c r="C66" s="420">
        <f>'Germany Production-BC'!$C$8</f>
        <v/>
      </c>
      <c r="D66" s="420">
        <f>'Germany Production-BC'!$D$8</f>
        <v/>
      </c>
      <c r="E66" s="420">
        <f>'Germany Production-BC'!$E$8</f>
        <v/>
      </c>
      <c r="F66" s="420">
        <f>'Germany Production-BC'!$F$8</f>
        <v/>
      </c>
      <c r="G66" s="420">
        <f>'Germany Production-BC'!$G$8</f>
        <v/>
      </c>
      <c r="H66" s="420">
        <f>'Germany Production-BC'!$H$8</f>
        <v/>
      </c>
      <c r="I66" s="420">
        <f>'Germany Production-BC'!$I$8</f>
        <v/>
      </c>
      <c r="J66" s="420">
        <f>'Germany Production-BC'!$J$8</f>
        <v/>
      </c>
    </row>
    <row r="67" ht="22.5" customHeight="1" s="355">
      <c r="A67" s="415" t="n"/>
      <c r="B67" s="419" t="inlineStr">
        <is>
          <t xml:space="preserve">  Spain</t>
        </is>
      </c>
      <c r="C67" s="420">
        <f>'Spain-BC'!$C$8</f>
        <v/>
      </c>
      <c r="D67" s="420">
        <f>'Spain-BC'!$D$8</f>
        <v/>
      </c>
      <c r="E67" s="420">
        <f>'Spain-BC'!$E$8</f>
        <v/>
      </c>
      <c r="F67" s="420">
        <f>'Spain-BC'!$F$8</f>
        <v/>
      </c>
      <c r="G67" s="420">
        <f>'Spain-BC'!$G$8</f>
        <v/>
      </c>
      <c r="H67" s="420">
        <f>'Spain-BC'!$H$8</f>
        <v/>
      </c>
      <c r="I67" s="420">
        <f>'Spain-BC'!$I$8</f>
        <v/>
      </c>
      <c r="J67" s="420">
        <f>'Spain-BC'!$J$8</f>
        <v/>
      </c>
    </row>
    <row r="68" ht="22.5" customHeight="1" s="355">
      <c r="A68" s="415" t="n"/>
      <c r="B68" s="419" t="inlineStr">
        <is>
          <t xml:space="preserve">  Italy</t>
        </is>
      </c>
      <c r="C68" s="420">
        <f>'Italy-BC'!$C$8</f>
        <v/>
      </c>
      <c r="D68" s="420">
        <f>'Italy-BC'!$D$8</f>
        <v/>
      </c>
      <c r="E68" s="420">
        <f>'Italy-BC'!$E$8</f>
        <v/>
      </c>
      <c r="F68" s="420">
        <f>'Italy-BC'!$F$8</f>
        <v/>
      </c>
      <c r="G68" s="420">
        <f>'Italy-BC'!$G$8</f>
        <v/>
      </c>
      <c r="H68" s="420">
        <f>'Italy-BC'!$H$8</f>
        <v/>
      </c>
      <c r="I68" s="420">
        <f>'Italy-BC'!$I$8</f>
        <v/>
      </c>
      <c r="J68" s="420">
        <f>'Italy-BC'!$J$8</f>
        <v/>
      </c>
    </row>
    <row r="69" ht="22.5" customHeight="1" s="355">
      <c r="A69" s="415" t="n"/>
      <c r="B69" s="421" t="inlineStr">
        <is>
          <t xml:space="preserve">  United Kingdom</t>
        </is>
      </c>
      <c r="C69" s="653">
        <f>'UK-BC'!$C$8</f>
        <v/>
      </c>
      <c r="D69" s="653">
        <f>'UK-BC'!$D$8</f>
        <v/>
      </c>
      <c r="E69" s="653">
        <f>'UK-BC'!$E$8</f>
        <v/>
      </c>
      <c r="F69" s="653">
        <f>'UK-BC'!$F$8</f>
        <v/>
      </c>
      <c r="G69" s="653">
        <f>'UK-BC'!$G$8</f>
        <v/>
      </c>
      <c r="H69" s="653">
        <f>'UK-BC'!$H$8</f>
        <v/>
      </c>
      <c r="I69" s="653">
        <f>'UK-BC'!$I$8</f>
        <v/>
      </c>
      <c r="J69" s="653">
        <f>'UK-BC'!$J$8</f>
        <v/>
      </c>
    </row>
    <row r="70" ht="22.5" customHeight="1" s="355">
      <c r="A70" s="415" t="n"/>
      <c r="B70" s="435" t="inlineStr">
        <is>
          <t xml:space="preserve">                Sub Total</t>
        </is>
      </c>
      <c r="C70" s="436">
        <f>SUM(C62:C69)</f>
        <v/>
      </c>
      <c r="D70" s="436">
        <f>SUM(D62:D69)</f>
        <v/>
      </c>
      <c r="E70" s="436">
        <f>SUM(E62:E69)</f>
        <v/>
      </c>
      <c r="F70" s="436">
        <f>SUM(F62:F69)</f>
        <v/>
      </c>
      <c r="G70" s="436">
        <f>SUM(G62:G69)</f>
        <v/>
      </c>
      <c r="H70" s="436">
        <f>SUM(H62:H69)</f>
        <v/>
      </c>
      <c r="I70" s="436">
        <f>SUM(I62:I69)</f>
        <v/>
      </c>
      <c r="J70" s="436">
        <f>SUM(J62:J69)</f>
        <v/>
      </c>
    </row>
    <row r="71" ht="22.5" customHeight="1" s="355">
      <c r="A71" s="415" t="n"/>
      <c r="B71" s="422" t="inlineStr">
        <is>
          <t>Total Base Charges All Countries</t>
        </is>
      </c>
      <c r="C71" s="423">
        <f>C20+C30+C40+C50+C60+C70</f>
        <v/>
      </c>
      <c r="D71" s="423">
        <f>D20+D30+D40+D50+D60+D70</f>
        <v/>
      </c>
      <c r="E71" s="423">
        <f>E20+E30+E40+E50+E60+E70</f>
        <v/>
      </c>
      <c r="F71" s="423">
        <f>F20+F30+F40+F50+F60+F70</f>
        <v/>
      </c>
      <c r="G71" s="423">
        <f>G20+G30+G40+G50+G60+G70</f>
        <v/>
      </c>
      <c r="H71" s="423">
        <f>H20+H30+H40+H50+H60+H70</f>
        <v/>
      </c>
      <c r="I71" s="423">
        <f>I20+I30+I40+I50+I60+I70</f>
        <v/>
      </c>
      <c r="J71" s="423">
        <f>J20+J30+J40+J50+J60+J70</f>
        <v/>
      </c>
    </row>
    <row r="72" ht="22.5" customHeight="1" s="355">
      <c r="A72" s="415" t="n"/>
      <c r="B72" s="416" t="inlineStr">
        <is>
          <t>Country Summary</t>
        </is>
      </c>
      <c r="C72" s="417" t="n"/>
      <c r="D72" s="418" t="n"/>
      <c r="E72" s="418" t="n"/>
      <c r="F72" s="418" t="n"/>
      <c r="G72" s="418" t="n"/>
      <c r="H72" s="418" t="n"/>
      <c r="I72" s="418" t="n"/>
      <c r="J72" s="418" t="n"/>
    </row>
    <row r="73" ht="22.5" customHeight="1" s="355">
      <c r="A73" s="415" t="n"/>
      <c r="B73" s="419" t="inlineStr">
        <is>
          <t xml:space="preserve">  Switzerland</t>
        </is>
      </c>
      <c r="C73" s="420">
        <f>'Switzerland-BC'!C9</f>
        <v/>
      </c>
      <c r="D73" s="420">
        <f>'Switzerland-BC'!D9</f>
        <v/>
      </c>
      <c r="E73" s="420">
        <f>'Switzerland-BC'!E9</f>
        <v/>
      </c>
      <c r="F73" s="420">
        <f>'Switzerland-BC'!F9</f>
        <v/>
      </c>
      <c r="G73" s="420">
        <f>'Switzerland-BC'!G9</f>
        <v/>
      </c>
      <c r="H73" s="420">
        <f>'Switzerland-BC'!H9</f>
        <v/>
      </c>
      <c r="I73" s="420">
        <f>'Switzerland-BC'!I9</f>
        <v/>
      </c>
      <c r="J73" s="420">
        <f>'Switzerland-BC'!J9</f>
        <v/>
      </c>
    </row>
    <row r="74" ht="22.5" customHeight="1" s="355">
      <c r="A74" s="415" t="n"/>
      <c r="B74" s="419" t="inlineStr">
        <is>
          <t xml:space="preserve">  United States</t>
        </is>
      </c>
      <c r="C74" s="420">
        <f>'US-BC'!C9</f>
        <v/>
      </c>
      <c r="D74" s="420">
        <f>'US-BC'!D9</f>
        <v/>
      </c>
      <c r="E74" s="420">
        <f>'US-BC'!E9</f>
        <v/>
      </c>
      <c r="F74" s="420">
        <f>'US-BC'!F9</f>
        <v/>
      </c>
      <c r="G74" s="420">
        <f>'US-BC'!G9</f>
        <v/>
      </c>
      <c r="H74" s="420">
        <f>'US-BC'!H9</f>
        <v/>
      </c>
      <c r="I74" s="420">
        <f>'US-BC'!I9</f>
        <v/>
      </c>
      <c r="J74" s="420">
        <f>'US-BC'!J9</f>
        <v/>
      </c>
    </row>
    <row r="75" ht="22.5" customHeight="1" s="355">
      <c r="A75" s="415" t="n"/>
      <c r="B75" s="419" t="inlineStr">
        <is>
          <t xml:space="preserve">  France</t>
        </is>
      </c>
      <c r="C75" s="420">
        <f>'France-BC'!C9</f>
        <v/>
      </c>
      <c r="D75" s="420">
        <f>'France-BC'!D9</f>
        <v/>
      </c>
      <c r="E75" s="420">
        <f>'France-BC'!E9</f>
        <v/>
      </c>
      <c r="F75" s="420">
        <f>'France-BC'!F9</f>
        <v/>
      </c>
      <c r="G75" s="420">
        <f>'France-BC'!G9</f>
        <v/>
      </c>
      <c r="H75" s="420">
        <f>'France-BC'!H9</f>
        <v/>
      </c>
      <c r="I75" s="420">
        <f>'France-BC'!I9</f>
        <v/>
      </c>
      <c r="J75" s="420">
        <f>'France-BC'!J9</f>
        <v/>
      </c>
    </row>
    <row r="76" ht="22.5" customHeight="1" s="355">
      <c r="A76" s="415" t="n"/>
      <c r="B76" s="419" t="inlineStr">
        <is>
          <t xml:space="preserve">  Germany </t>
        </is>
      </c>
      <c r="C76" s="420">
        <f>'Germany-BC'!C9</f>
        <v/>
      </c>
      <c r="D76" s="420">
        <f>'Germany-BC'!D9</f>
        <v/>
      </c>
      <c r="E76" s="420">
        <f>'Germany-BC'!E9</f>
        <v/>
      </c>
      <c r="F76" s="420">
        <f>'Germany-BC'!F9</f>
        <v/>
      </c>
      <c r="G76" s="420">
        <f>'Germany-BC'!G9</f>
        <v/>
      </c>
      <c r="H76" s="420">
        <f>'Germany-BC'!H9</f>
        <v/>
      </c>
      <c r="I76" s="420">
        <f>'Germany-BC'!I9</f>
        <v/>
      </c>
      <c r="J76" s="420">
        <f>'Germany-BC'!J9</f>
        <v/>
      </c>
    </row>
    <row r="77" ht="22.5" customHeight="1" s="355">
      <c r="A77" s="415" t="n"/>
      <c r="B77" s="419" t="inlineStr">
        <is>
          <t xml:space="preserve">  Germany Production</t>
        </is>
      </c>
      <c r="C77" s="420">
        <f>'Germany Production-BC'!C9</f>
        <v/>
      </c>
      <c r="D77" s="420">
        <f>'Germany Production-BC'!D9</f>
        <v/>
      </c>
      <c r="E77" s="420">
        <f>'Germany Production-BC'!E9</f>
        <v/>
      </c>
      <c r="F77" s="420">
        <f>'Germany Production-BC'!F9</f>
        <v/>
      </c>
      <c r="G77" s="420">
        <f>'Germany Production-BC'!G9</f>
        <v/>
      </c>
      <c r="H77" s="420">
        <f>'Germany Production-BC'!H9</f>
        <v/>
      </c>
      <c r="I77" s="420">
        <f>'Germany Production-BC'!I9</f>
        <v/>
      </c>
      <c r="J77" s="420">
        <f>'Germany Production-BC'!J9</f>
        <v/>
      </c>
    </row>
    <row r="78" ht="22.5" customHeight="1" s="355">
      <c r="A78" s="415" t="n"/>
      <c r="B78" s="419" t="inlineStr">
        <is>
          <t xml:space="preserve">  Spain</t>
        </is>
      </c>
      <c r="C78" s="420">
        <f>'Spain-BC'!C9</f>
        <v/>
      </c>
      <c r="D78" s="420">
        <f>'Spain-BC'!D9</f>
        <v/>
      </c>
      <c r="E78" s="420">
        <f>'Spain-BC'!E9</f>
        <v/>
      </c>
      <c r="F78" s="420">
        <f>'Spain-BC'!F9</f>
        <v/>
      </c>
      <c r="G78" s="420">
        <f>'Spain-BC'!G9</f>
        <v/>
      </c>
      <c r="H78" s="420">
        <f>'Spain-BC'!H9</f>
        <v/>
      </c>
      <c r="I78" s="420">
        <f>'Spain-BC'!I9</f>
        <v/>
      </c>
      <c r="J78" s="420">
        <f>'Spain-BC'!J9</f>
        <v/>
      </c>
    </row>
    <row r="79" ht="22.5" customHeight="1" s="355">
      <c r="A79" s="415" t="n"/>
      <c r="B79" s="419" t="inlineStr">
        <is>
          <t xml:space="preserve">  Italy</t>
        </is>
      </c>
      <c r="C79" s="420">
        <f>'Italy-BC'!C9</f>
        <v/>
      </c>
      <c r="D79" s="420">
        <f>'Italy-BC'!D9</f>
        <v/>
      </c>
      <c r="E79" s="420">
        <f>'Italy-BC'!E9</f>
        <v/>
      </c>
      <c r="F79" s="420">
        <f>'Italy-BC'!F9</f>
        <v/>
      </c>
      <c r="G79" s="420">
        <f>'Italy-BC'!G9</f>
        <v/>
      </c>
      <c r="H79" s="420">
        <f>'Italy-BC'!H9</f>
        <v/>
      </c>
      <c r="I79" s="420">
        <f>'Italy-BC'!I9</f>
        <v/>
      </c>
      <c r="J79" s="420">
        <f>'Italy-BC'!J9</f>
        <v/>
      </c>
    </row>
    <row r="80" ht="22.5" customHeight="1" s="355">
      <c r="A80" s="415" t="n"/>
      <c r="B80" s="421" t="inlineStr">
        <is>
          <t xml:space="preserve">  United Kingdom</t>
        </is>
      </c>
      <c r="C80" s="653">
        <f>'UK-BC'!C9</f>
        <v/>
      </c>
      <c r="D80" s="653">
        <f>'UK-BC'!D9</f>
        <v/>
      </c>
      <c r="E80" s="653">
        <f>'UK-BC'!E9</f>
        <v/>
      </c>
      <c r="F80" s="653">
        <f>'UK-BC'!F9</f>
        <v/>
      </c>
      <c r="G80" s="653">
        <f>'UK-BC'!G9</f>
        <v/>
      </c>
      <c r="H80" s="653">
        <f>'UK-BC'!H9</f>
        <v/>
      </c>
      <c r="I80" s="653">
        <f>'UK-BC'!I9</f>
        <v/>
      </c>
      <c r="J80" s="653">
        <f>'UK-BC'!J9</f>
        <v/>
      </c>
    </row>
    <row r="81" ht="22.5" customHeight="1" s="355">
      <c r="A81" s="441" t="n"/>
      <c r="B81" s="422" t="inlineStr">
        <is>
          <t>Total Base Charges All Countries</t>
        </is>
      </c>
      <c r="C81" s="423">
        <f>SUM(C73:C80)</f>
        <v/>
      </c>
      <c r="D81" s="423">
        <f>SUM(D73:D80)</f>
        <v/>
      </c>
      <c r="E81" s="423">
        <f>SUM(E73:E80)</f>
        <v/>
      </c>
      <c r="F81" s="423">
        <f>SUM(F73:F80)</f>
        <v/>
      </c>
      <c r="G81" s="423">
        <f>SUM(G73:G80)</f>
        <v/>
      </c>
      <c r="H81" s="423">
        <f>SUM(H73:H80)</f>
        <v/>
      </c>
      <c r="I81" s="423">
        <f>SUM(I73:I80)</f>
        <v/>
      </c>
      <c r="J81" s="423">
        <f>SUM(J73:J80)</f>
        <v/>
      </c>
    </row>
    <row r="82" ht="22.5" customHeight="1" s="355"/>
    <row r="83" ht="22.5" customHeight="1" s="355"/>
    <row r="84" ht="22.5" customHeight="1" s="355"/>
    <row r="85" ht="22.5" customHeight="1" s="355"/>
    <row r="86" ht="22.5" customHeight="1" s="355"/>
    <row r="87" ht="22.5" customHeight="1" s="355"/>
    <row r="88" ht="22.5" customHeight="1" s="355"/>
    <row r="89" ht="22.5" customHeight="1" s="355"/>
    <row r="90" ht="22.5" customHeight="1" s="355"/>
    <row r="91" ht="22.5" customHeight="1" s="355"/>
    <row r="92" ht="22.5" customHeight="1" s="355"/>
    <row r="93" ht="22.5" customHeight="1" s="355"/>
    <row r="94" ht="22.5" customHeight="1" s="355"/>
    <row r="95" ht="22.5" customHeight="1" s="355"/>
    <row r="96" ht="22.5" customHeight="1" s="355"/>
    <row r="97" ht="22.5" customHeight="1" s="355"/>
    <row r="98" ht="22.5" customHeight="1" s="355"/>
    <row r="99" ht="22.5" customHeight="1" s="355"/>
    <row r="100" ht="22.5" customHeight="1" s="355"/>
    <row r="101" ht="22.5" customHeight="1" s="355"/>
    <row r="102" ht="22.5" customHeight="1" s="355"/>
    <row r="103" ht="22.5" customHeight="1" s="355"/>
    <row r="104" ht="22.5" customHeight="1" s="355"/>
    <row r="105" ht="22.5" customHeight="1" s="355"/>
    <row r="106" ht="22.5" customHeight="1" s="355"/>
    <row r="107" ht="22.5" customHeight="1" s="355"/>
    <row r="108" ht="22.5" customHeight="1" s="355"/>
    <row r="109" ht="22.5" customHeight="1" s="355"/>
    <row r="110" ht="22.5" customHeight="1" s="355"/>
    <row r="111" ht="22.5" customHeight="1" s="355"/>
    <row r="112" ht="22.5" customHeight="1" s="355"/>
    <row r="113" ht="22.5" customHeight="1" s="355"/>
    <row r="114" ht="22.5" customHeight="1" s="355"/>
    <row r="115" ht="22.5" customHeight="1" s="355"/>
    <row r="116" ht="22.5" customHeight="1" s="355"/>
    <row r="117" ht="22.5" customHeight="1" s="355"/>
    <row r="118" ht="22.5" customHeight="1" s="355"/>
    <row r="119" ht="22.5" customHeight="1" s="355"/>
    <row r="120" ht="22.5" customHeight="1" s="355"/>
    <row r="121" ht="22.5" customHeight="1" s="355"/>
    <row r="122" ht="22.5" customHeight="1" s="355"/>
    <row r="123" ht="22.5" customHeight="1" s="355"/>
    <row r="124" ht="22.5" customHeight="1" s="355"/>
    <row r="125" ht="22.5" customHeight="1" s="355"/>
    <row r="126" ht="22.5" customHeight="1" s="355"/>
    <row r="127" ht="22.5" customHeight="1" s="355"/>
    <row r="128" ht="22.5" customHeight="1" s="355"/>
    <row r="129" ht="22.5" customHeight="1" s="355"/>
    <row r="130" ht="22.5" customHeight="1" s="355"/>
    <row r="131" ht="22.5" customHeight="1" s="355"/>
    <row r="132" ht="22.5" customHeight="1" s="355"/>
    <row r="133" ht="22.5" customHeight="1" s="355"/>
    <row r="134" ht="22.5" customHeight="1" s="355"/>
    <row r="135" ht="22.5" customHeight="1" s="355"/>
    <row r="136" ht="22.5" customHeight="1" s="355"/>
    <row r="137" ht="22.5" customHeight="1" s="355"/>
    <row r="138" ht="22.5" customHeight="1" s="355"/>
    <row r="139" ht="22.5" customHeight="1" s="355"/>
    <row r="140" ht="22.5" customHeight="1" s="355"/>
    <row r="141" ht="22.5" customHeight="1" s="355"/>
    <row r="142" ht="22.5" customHeight="1" s="355"/>
    <row r="143" ht="22.5" customHeight="1" s="355"/>
    <row r="144" ht="22.5" customHeight="1" s="355"/>
    <row r="145" ht="22.5" customHeight="1" s="355"/>
    <row r="146" ht="22.5" customHeight="1" s="355"/>
    <row r="147" ht="22.5" customHeight="1" s="355"/>
    <row r="148" ht="22.5" customHeight="1" s="355"/>
    <row r="149" ht="22.5" customHeight="1" s="355"/>
    <row r="150" ht="22.5" customHeight="1" s="355"/>
    <row r="151" ht="22.5" customHeight="1" s="355"/>
  </sheetData>
  <mergeCells count="1">
    <mergeCell ref="A2:A81"/>
  </mergeCells>
  <printOptions horizontalCentered="0" verticalCentered="0" headings="0" gridLines="0" gridLinesSet="1"/>
  <pageMargins left="0.747916666666667" right="0.747916666666667" top="0.9840277777777779" bottom="0.9840277777777779" header="0.5" footer="0.5"/>
  <pageSetup orientation="landscape" paperSize="1" scale="100" fitToHeight="3"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1.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85" customWidth="1" style="407" min="10" max="10"/>
    <col width="9.949999999999999" customWidth="1" style="354" min="11" max="11"/>
    <col width="8.4" customWidth="1" style="407" min="12" max="257"/>
  </cols>
  <sheetData>
    <row r="1" ht="22.5" customHeight="1" s="355">
      <c r="A1" s="655" t="inlineStr">
        <is>
          <t>BASE CHARGES INPUT FORM - CENTRE ONE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Switzerland</t>
        </is>
      </c>
      <c r="B3" s="661" t="inlineStr">
        <is>
          <t>General Accounting &amp; Sox</t>
        </is>
      </c>
      <c r="C3" s="662">
        <f>SUM('Appendix B - prod by country'!D2:O3,'Appendix B - prod by country'!D6:O6)*1.3*1000+SUM('Appendix A - pilot by country'!D2:O3,'Appendix A - pilot by country'!D6:O6)*1.3*1000</f>
        <v/>
      </c>
      <c r="D3" s="662">
        <f>SUM('Appendix B - prod by country'!P2:AA3,'Appendix B - prod by country'!P6:AA6)*1.3*1000</f>
        <v/>
      </c>
      <c r="E3" s="662">
        <f>SUM('Appendix B - prod by country'!AB2:AM3,'Appendix B - prod by country'!AB6:AM6)*1.3*1000</f>
        <v/>
      </c>
      <c r="F3" s="662">
        <f>SUM('Appendix B - prod by country'!AN2:AY3,'Appendix B - prod by country'!AN6:AY6)*1.3*1000</f>
        <v/>
      </c>
      <c r="G3" s="662">
        <f>SUM('Appendix B - prod by country'!AZ2:BK3,'Appendix B - prod by country'!AZ6:BK6)*1.3*1000</f>
        <v/>
      </c>
      <c r="H3" s="662">
        <f>SUM('Appendix B - prod by country'!BL2:BW3,'Appendix B - prod by country'!BL6:BW6)*1.3*1000</f>
        <v/>
      </c>
      <c r="I3" s="662">
        <f>SUM('Appendix B - prod by country'!BX2:CI3,'Appendix B - prod by country'!BX6:CI6)*1.3*1000</f>
        <v/>
      </c>
      <c r="J3" s="662">
        <f>SUM('Appendix B - prod by country'!CJ2:CJ3,'Appendix B - prod by country'!CJ6)*1.3*1000</f>
        <v/>
      </c>
      <c r="K3" s="663" t="n"/>
      <c r="L3" s="663" t="n"/>
      <c r="M3" s="663" t="n"/>
      <c r="N3" s="663" t="n"/>
      <c r="O3" s="663" t="n"/>
      <c r="P3" s="663" t="n"/>
      <c r="Q3" s="663" t="n"/>
      <c r="R3" s="663" t="n"/>
    </row>
    <row r="4" ht="22.5" customHeight="1" s="355">
      <c r="A4" s="664" t="n"/>
      <c r="B4" s="665" t="inlineStr">
        <is>
          <t>Fixed Assets</t>
        </is>
      </c>
      <c r="C4" s="666">
        <f>SUM('Appendix B - prod by country'!D4:O4)*1.3*1000+SUM('Appendix A - pilot by country'!D4:O4)*1.3*1000</f>
        <v/>
      </c>
      <c r="D4" s="666">
        <f>SUM('Appendix B - prod by country'!P4:AA4)*1.3*1000</f>
        <v/>
      </c>
      <c r="E4" s="666">
        <f>SUM('Appendix B - prod by country'!AB4:AM4)*1.3*1000</f>
        <v/>
      </c>
      <c r="F4" s="666">
        <f>SUM('Appendix B - prod by country'!AN4:AY4)*1.3*1000</f>
        <v/>
      </c>
      <c r="G4" s="666">
        <f>SUM('Appendix B - prod by country'!AZ4:BK4)*1.3*1000</f>
        <v/>
      </c>
      <c r="H4" s="666">
        <f>SUM('Appendix B - prod by country'!BL4:BW4)*1.3*1000</f>
        <v/>
      </c>
      <c r="I4" s="666">
        <f>SUM('Appendix B - prod by country'!BX4:CI4)*1.3*1000</f>
        <v/>
      </c>
      <c r="J4" s="666">
        <f>SUM('Appendix B - prod by country'!CJ4)*1.3*1000</f>
        <v/>
      </c>
      <c r="K4" s="663" t="n"/>
      <c r="L4" s="663" t="n"/>
      <c r="M4" s="663" t="n"/>
      <c r="N4" s="663" t="n"/>
      <c r="O4" s="663" t="n"/>
      <c r="P4" s="663" t="n"/>
      <c r="Q4" s="663" t="n"/>
      <c r="R4" s="663" t="n"/>
    </row>
    <row r="5" ht="22.5" customHeight="1" s="355">
      <c r="A5" s="664" t="n"/>
      <c r="B5" s="665" t="inlineStr">
        <is>
          <t>Accounts Payable</t>
        </is>
      </c>
      <c r="C5" s="666">
        <f>SUM('Appendix B - prod by country'!D5:O5)*1.3*1000+SUM('Appendix A - pilot by country'!D5:O5)*1.3*1000</f>
        <v/>
      </c>
      <c r="D5" s="666">
        <f>SUM('Appendix B - prod by country'!P5:AA5)*1.3*1000</f>
        <v/>
      </c>
      <c r="E5" s="666">
        <f>SUM('Appendix B - prod by country'!AB5:AM5)*1.3*1000</f>
        <v/>
      </c>
      <c r="F5" s="666">
        <f>SUM('Appendix B - prod by country'!AN5:AY5)*1.3*1000</f>
        <v/>
      </c>
      <c r="G5" s="666">
        <f>SUM('Appendix B - prod by country'!AZ5:BK5)*1.3*1000</f>
        <v/>
      </c>
      <c r="H5" s="666">
        <f>SUM('Appendix B - prod by country'!BL5:BW5)*1.3*1000</f>
        <v/>
      </c>
      <c r="I5" s="666">
        <f>SUM('Appendix B - prod by country'!BX5:CI5)*1.3*1000</f>
        <v/>
      </c>
      <c r="J5" s="666">
        <f>SUM('Appendix B - prod by country'!CJ5)*1.3*1000</f>
        <v/>
      </c>
      <c r="K5" s="663" t="n"/>
      <c r="L5" s="663" t="n"/>
      <c r="M5" s="663" t="n"/>
      <c r="N5" s="663" t="n"/>
      <c r="O5" s="663" t="n"/>
      <c r="P5" s="663" t="n"/>
      <c r="Q5" s="663" t="n"/>
      <c r="R5" s="663" t="n"/>
    </row>
    <row r="6" ht="22.5" customHeight="1" s="355">
      <c r="A6" s="664" t="n"/>
      <c r="B6" s="665" t="inlineStr">
        <is>
          <t>T&amp;E</t>
        </is>
      </c>
      <c r="C6" s="666">
        <f>SUM('Appendix B - prod by country'!D7:O7)*1.3*1000+SUM('Appendix A - pilot by country'!D7:O7)*1.3*1000</f>
        <v/>
      </c>
      <c r="D6" s="666">
        <f>SUM('Appendix B - prod by country'!P7:AA7)*1.3*1000</f>
        <v/>
      </c>
      <c r="E6" s="666">
        <f>SUM('Appendix B - prod by country'!AB7:AM7)*1.3*1000</f>
        <v/>
      </c>
      <c r="F6" s="666">
        <f>SUM('Appendix B - prod by country'!AN7:AY7)*1.3*1000</f>
        <v/>
      </c>
      <c r="G6" s="666">
        <f>SUM('Appendix B - prod by country'!AZ7:BK7)*1.3*1000</f>
        <v/>
      </c>
      <c r="H6" s="666">
        <f>SUM('Appendix B - prod by country'!BL7:BW7)*1.3*1000</f>
        <v/>
      </c>
      <c r="I6" s="666">
        <f>SUM('Appendix B - prod by country'!BX7:CI7)*1.3*1000</f>
        <v/>
      </c>
      <c r="J6" s="666">
        <f>SUM('Appendix B - prod by country'!CJ7)*1.3*1000</f>
        <v/>
      </c>
      <c r="K6" s="663" t="n"/>
      <c r="L6" s="663" t="n"/>
      <c r="M6" s="663" t="n"/>
      <c r="N6" s="663" t="n"/>
      <c r="O6" s="663" t="n"/>
      <c r="P6" s="663" t="n"/>
      <c r="Q6" s="663" t="n"/>
      <c r="R6" s="663" t="n"/>
    </row>
    <row r="7" ht="22.5" customHeight="1" s="355">
      <c r="A7" s="664" t="n"/>
      <c r="B7" s="665" t="inlineStr">
        <is>
          <t>Order to Cash</t>
        </is>
      </c>
      <c r="C7" s="666">
        <f>SUM('Appendix B - prod by country'!D8:O8)*1.3*1000+SUM('Appendix A - pilot by country'!D8:O8)*1.3*1000</f>
        <v/>
      </c>
      <c r="D7" s="666">
        <f>SUM('Appendix B - prod by country'!P8:AA8)*1.3*1000</f>
        <v/>
      </c>
      <c r="E7" s="666">
        <f>SUM('Appendix B - prod by country'!AB8:AM8)*1.3*1000</f>
        <v/>
      </c>
      <c r="F7" s="666">
        <f>SUM('Appendix B - prod by country'!AN8:AY8)*1.3*1000</f>
        <v/>
      </c>
      <c r="G7" s="666">
        <f>SUM('Appendix B - prod by country'!AZ8:BK8)*1.3*1000</f>
        <v/>
      </c>
      <c r="H7" s="666">
        <f>SUM('Appendix B - prod by country'!BL8:BW8)*1.3*1000</f>
        <v/>
      </c>
      <c r="I7" s="666">
        <f>SUM('Appendix B - prod by country'!BX8:CI8)*1.3*1000</f>
        <v/>
      </c>
      <c r="J7" s="666">
        <f>SUM('Appendix B - prod by country'!CJ8)*1.3*1000</f>
        <v/>
      </c>
      <c r="K7" s="663" t="n"/>
      <c r="L7" s="663" t="n"/>
      <c r="M7" s="663" t="n"/>
      <c r="N7" s="663" t="n"/>
      <c r="O7" s="663" t="n"/>
      <c r="P7" s="663" t="n"/>
      <c r="Q7" s="663" t="n"/>
      <c r="R7" s="663" t="n"/>
      <c r="S7" s="354" t="n"/>
      <c r="T7" s="354" t="n"/>
      <c r="U7" s="354" t="n"/>
      <c r="V7" s="354" t="n"/>
      <c r="W7" s="354" t="n"/>
    </row>
    <row r="8" ht="22.5" customHeight="1" s="355">
      <c r="A8" s="664" t="n"/>
      <c r="B8" s="665" t="inlineStr">
        <is>
          <t>Requistion to Pay</t>
        </is>
      </c>
      <c r="C8" s="666">
        <f>SUM('Appendix B - prod by country'!D9:O9)*1.3*1000+SUM('Appendix A - pilot by country'!D9:O9)*1.3*1000</f>
        <v/>
      </c>
      <c r="D8" s="666">
        <f>SUM('Appendix B - prod by country'!P9:AA9)*1.3*1000</f>
        <v/>
      </c>
      <c r="E8" s="666">
        <f>SUM('Appendix B - prod by country'!AB9:AM9)*1.3*1000</f>
        <v/>
      </c>
      <c r="F8" s="666">
        <f>SUM('Appendix B - prod by country'!AN9:AY9)*1.3*1000</f>
        <v/>
      </c>
      <c r="G8" s="666">
        <f>SUM('Appendix B - prod by country'!AZ9:BK9)*1.3*1000</f>
        <v/>
      </c>
      <c r="H8" s="666">
        <f>SUM('Appendix B - prod by country'!BL9:BW9)*1.3*1000</f>
        <v/>
      </c>
      <c r="I8" s="666">
        <f>SUM('Appendix B - prod by country'!BX9:CI9)*1.3*1000</f>
        <v/>
      </c>
      <c r="J8" s="666">
        <f>SUM('Appendix B - prod by country'!CJ9)*1.3*1000</f>
        <v/>
      </c>
      <c r="K8" s="663" t="n"/>
      <c r="L8" s="663" t="n"/>
      <c r="M8" s="663" t="n"/>
      <c r="N8" s="663" t="n"/>
      <c r="O8" s="663" t="n"/>
      <c r="P8" s="663" t="n"/>
      <c r="Q8" s="663" t="n"/>
      <c r="R8" s="663"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c r="J9" s="668">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2.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BASE CHARGES INPUT FORM - CENTRE ONE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United States</t>
        </is>
      </c>
      <c r="B3" s="661" t="inlineStr">
        <is>
          <t>General Accounting &amp; Sox</t>
        </is>
      </c>
      <c r="C3" s="669" t="n"/>
      <c r="D3" s="662" t="n"/>
      <c r="E3" s="662" t="n"/>
      <c r="F3" s="662" t="n"/>
      <c r="G3" s="662" t="n"/>
      <c r="H3" s="662" t="n"/>
      <c r="I3" s="670" t="n"/>
    </row>
    <row r="4" ht="22.5" customHeight="1" s="355">
      <c r="A4" s="664" t="n"/>
      <c r="B4" s="665" t="inlineStr">
        <is>
          <t>Fixed Assets</t>
        </is>
      </c>
      <c r="C4" s="671" t="n"/>
      <c r="D4" s="666" t="n"/>
      <c r="E4" s="666" t="n"/>
      <c r="F4" s="666" t="n"/>
      <c r="G4" s="666" t="n"/>
      <c r="H4" s="666" t="n"/>
      <c r="I4" s="672" t="n"/>
    </row>
    <row r="5" ht="22.5" customHeight="1" s="355">
      <c r="A5" s="664" t="n"/>
      <c r="B5" s="665" t="inlineStr">
        <is>
          <t>Accounts Payable</t>
        </is>
      </c>
      <c r="C5" s="671" t="n"/>
      <c r="D5" s="666" t="n"/>
      <c r="E5" s="666" t="n"/>
      <c r="F5" s="666" t="n"/>
      <c r="G5" s="666" t="n"/>
      <c r="H5" s="666" t="n"/>
      <c r="I5" s="672" t="n"/>
    </row>
    <row r="6" ht="22.5" customHeight="1" s="355">
      <c r="A6" s="664" t="n"/>
      <c r="B6" s="665" t="inlineStr">
        <is>
          <t>T&amp;E</t>
        </is>
      </c>
      <c r="C6" s="671" t="n"/>
      <c r="D6" s="666" t="n"/>
      <c r="E6" s="666" t="n"/>
      <c r="F6" s="666" t="n"/>
      <c r="G6" s="666" t="n"/>
      <c r="H6" s="666" t="n"/>
      <c r="I6" s="672" t="n"/>
    </row>
    <row r="7" ht="22.5" customHeight="1" s="355">
      <c r="A7" s="664" t="n"/>
      <c r="B7" s="665" t="inlineStr">
        <is>
          <t>Order to Cash</t>
        </is>
      </c>
      <c r="C7" s="671" t="n"/>
      <c r="D7" s="666" t="n"/>
      <c r="E7" s="666" t="n"/>
      <c r="F7" s="666" t="n"/>
      <c r="G7" s="666" t="n"/>
      <c r="H7" s="666" t="n"/>
      <c r="I7" s="672"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71" t="n"/>
      <c r="D8" s="666" t="n"/>
      <c r="E8" s="666" t="n"/>
      <c r="F8" s="666" t="n"/>
      <c r="G8" s="666" t="n"/>
      <c r="H8" s="666" t="n"/>
      <c r="I8" s="672"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10.65" customWidth="1" style="407" min="10" max="10"/>
    <col width="8.4" customWidth="1" style="407" min="11" max="257"/>
  </cols>
  <sheetData>
    <row r="1" ht="22.5" customHeight="1" s="355">
      <c r="A1" s="655" t="inlineStr">
        <is>
          <t>BASE CHARGES INPUT FORM - CENTRE ONE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France</t>
        </is>
      </c>
      <c r="B3" s="661" t="inlineStr">
        <is>
          <t>General Accounting &amp; Sox</t>
        </is>
      </c>
      <c r="C3" s="662">
        <f>SUM('Appendix B - prod by country'!D24:O25,'Appendix B - prod by country'!D28:O28)*1.3*1000+SUM('Appendix A - pilot by country'!D24:O25,'Appendix A - pilot by country'!D28:O28)*1.3*1000</f>
        <v/>
      </c>
      <c r="D3" s="662">
        <f>SUM('Appendix B - prod by country'!P24:AA25,'Appendix B - prod by country'!P28:AA28)*1.3*1000</f>
        <v/>
      </c>
      <c r="E3" s="662">
        <f>SUM('Appendix B - prod by country'!AB24:AM25,'Appendix B - prod by country'!AB28:AM28)*1.3*1000</f>
        <v/>
      </c>
      <c r="F3" s="662">
        <f>SUM('Appendix B - prod by country'!AN24:AY25,'Appendix B - prod by country'!AN28:AY28)*1.3*1000</f>
        <v/>
      </c>
      <c r="G3" s="662">
        <f>SUM('Appendix B - prod by country'!AZ24:BK25,'Appendix B - prod by country'!AZ28:BK28)*1.3*1000</f>
        <v/>
      </c>
      <c r="H3" s="662">
        <f>SUM('Appendix B - prod by country'!BL24:BW25,'Appendix B - prod by country'!BL28:BW28)*1.3*1000</f>
        <v/>
      </c>
      <c r="I3" s="662">
        <f>SUM('Appendix B - prod by country'!BX24:CI25,'Appendix B - prod by country'!BX28:CI28)*1.3*1000</f>
        <v/>
      </c>
      <c r="J3" s="662">
        <f>SUM('Appendix B - prod by country'!CJ24:CJ25,'Appendix B - prod by country'!CJ28)*1.3*1000</f>
        <v/>
      </c>
    </row>
    <row r="4" ht="22.5" customHeight="1" s="355">
      <c r="A4" s="664" t="n"/>
      <c r="B4" s="665" t="inlineStr">
        <is>
          <t>Fixed Assets</t>
        </is>
      </c>
      <c r="C4" s="666">
        <f>SUM('Appendix B - prod by country'!D26:O26)*1.3*1000+SUM('Appendix A - pilot by country'!D26:O26)*1.3*1000</f>
        <v/>
      </c>
      <c r="D4" s="666">
        <f>SUM('Appendix B - prod by country'!P26:AA26)*1.3*1000</f>
        <v/>
      </c>
      <c r="E4" s="666">
        <f>SUM('Appendix B - prod by country'!AB26:AM26)*1.3*1000</f>
        <v/>
      </c>
      <c r="F4" s="666">
        <f>SUM('Appendix B - prod by country'!AN26:AY26)*1.3*1000</f>
        <v/>
      </c>
      <c r="G4" s="666">
        <f>SUM('Appendix B - prod by country'!AZ26:BK26)*1.3*1000</f>
        <v/>
      </c>
      <c r="H4" s="666">
        <f>SUM('Appendix B - prod by country'!BL26:BW26)*1.3*1000</f>
        <v/>
      </c>
      <c r="I4" s="666">
        <f>SUM('Appendix B - prod by country'!BX26:CI26)*1.3*1000</f>
        <v/>
      </c>
      <c r="J4" s="666">
        <f>SUM('Appendix B - prod by country'!CJ26)*1.3*1000</f>
        <v/>
      </c>
    </row>
    <row r="5" ht="22.5" customHeight="1" s="355">
      <c r="A5" s="664" t="n"/>
      <c r="B5" s="665" t="inlineStr">
        <is>
          <t>Accounts Payable</t>
        </is>
      </c>
      <c r="C5" s="666">
        <f>SUM('Appendix B - prod by country'!D27:O27)*1.3*1000+SUM('Appendix A - pilot by country'!D27:O27)*1.3*1000</f>
        <v/>
      </c>
      <c r="D5" s="666">
        <f>SUM('Appendix B - prod by country'!P27:AA27)*1.3*1000</f>
        <v/>
      </c>
      <c r="E5" s="666">
        <f>SUM('Appendix B - prod by country'!AB27:AM27)*1.3*1000</f>
        <v/>
      </c>
      <c r="F5" s="666">
        <f>SUM('Appendix B - prod by country'!AN27:AY27)*1.3*1000</f>
        <v/>
      </c>
      <c r="G5" s="666">
        <f>SUM('Appendix B - prod by country'!AZ27:BK27)*1.3*1000</f>
        <v/>
      </c>
      <c r="H5" s="666">
        <f>SUM('Appendix B - prod by country'!BL27:BW27)*1.3*1000</f>
        <v/>
      </c>
      <c r="I5" s="666">
        <f>SUM('Appendix B - prod by country'!BX27:CI27)*1.3*1000</f>
        <v/>
      </c>
      <c r="J5" s="666">
        <f>SUM('Appendix B - prod by country'!CJ27)*1.3*1000</f>
        <v/>
      </c>
    </row>
    <row r="6" ht="22.5" customHeight="1" s="355">
      <c r="A6" s="664" t="n"/>
      <c r="B6" s="665" t="inlineStr">
        <is>
          <t>T&amp;E</t>
        </is>
      </c>
      <c r="C6" s="666">
        <f>SUM('Appendix B - prod by country'!D29:O29)*1.3*1000+SUM('Appendix A - pilot by country'!D29:O29)*1.3*1000</f>
        <v/>
      </c>
      <c r="D6" s="666">
        <f>SUM('Appendix B - prod by country'!P29:AA29)*1.3*1000</f>
        <v/>
      </c>
      <c r="E6" s="666">
        <f>SUM('Appendix B - prod by country'!AB29:AM29)*1.3*1000</f>
        <v/>
      </c>
      <c r="F6" s="666">
        <f>SUM('Appendix B - prod by country'!AN29:AY29)*1.3*1000</f>
        <v/>
      </c>
      <c r="G6" s="666">
        <f>SUM('Appendix B - prod by country'!AZ29:BK29)*1.3*1000</f>
        <v/>
      </c>
      <c r="H6" s="666">
        <f>SUM('Appendix B - prod by country'!BL29:BW29)*1.3*1000</f>
        <v/>
      </c>
      <c r="I6" s="666">
        <f>SUM('Appendix B - prod by country'!BX29:CI29)*1.3*1000</f>
        <v/>
      </c>
      <c r="J6" s="666">
        <f>SUM('Appendix B - prod by country'!CJ29)*1.3*1000</f>
        <v/>
      </c>
    </row>
    <row r="7" ht="22.5" customHeight="1" s="355">
      <c r="A7" s="664" t="n"/>
      <c r="B7" s="665" t="inlineStr">
        <is>
          <t>Order to Cash</t>
        </is>
      </c>
      <c r="C7" s="666">
        <f>SUM('Appendix B - prod by country'!D30:O30)*1.3*1000+SUM('Appendix A - pilot by country'!D30:O30)*1.3*1000</f>
        <v/>
      </c>
      <c r="D7" s="666">
        <f>SUM('Appendix B - prod by country'!P30:AA30)*1.3*1000</f>
        <v/>
      </c>
      <c r="E7" s="666">
        <f>SUM('Appendix B - prod by country'!AB30:AM30)*1.3*1000</f>
        <v/>
      </c>
      <c r="F7" s="666">
        <f>SUM('Appendix B - prod by country'!AN30:AY30)*1.3*1000</f>
        <v/>
      </c>
      <c r="G7" s="666">
        <f>SUM('Appendix B - prod by country'!AZ30:BK30)*1.3*1000</f>
        <v/>
      </c>
      <c r="H7" s="666">
        <f>SUM('Appendix B - prod by country'!BL30:BW30)*1.3*1000</f>
        <v/>
      </c>
      <c r="I7" s="666">
        <f>SUM('Appendix B - prod by country'!BX30:CI30)*1.3*1000</f>
        <v/>
      </c>
      <c r="J7" s="666">
        <f>SUM('Appendix B - prod by country'!CJ30)*1.3*1000</f>
        <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66">
        <f>SUM('Appendix B - prod by country'!D31:O31)*1.3*1000+SUM('Appendix A - pilot by country'!D31:O31)*1.3*1000</f>
        <v/>
      </c>
      <c r="D8" s="666">
        <f>SUM('Appendix B - prod by country'!P31:AA31)*1.3*1000</f>
        <v/>
      </c>
      <c r="E8" s="666">
        <f>SUM('Appendix B - prod by country'!AB31:AM31)*1.3*1000</f>
        <v/>
      </c>
      <c r="F8" s="666">
        <f>SUM('Appendix B - prod by country'!AN31:AY31)*1.3*1000</f>
        <v/>
      </c>
      <c r="G8" s="666">
        <f>SUM('Appendix B - prod by country'!AZ31:BK31)*1.3*1000</f>
        <v/>
      </c>
      <c r="H8" s="666">
        <f>SUM('Appendix B - prod by country'!BL31:BW31)*1.3*1000</f>
        <v/>
      </c>
      <c r="I8" s="666">
        <f>SUM('Appendix B - prod by country'!BX31:CI31)*1.3*1000</f>
        <v/>
      </c>
      <c r="J8" s="666">
        <f>SUM('Appendix B - prod by country'!CJ31)*1.3*1000</f>
        <v/>
      </c>
    </row>
    <row r="9" ht="22.5" customHeight="1" s="355">
      <c r="A9" s="611" t="n"/>
      <c r="B9" s="658" t="inlineStr">
        <is>
          <t>TOTAL BASE CHARGES</t>
        </is>
      </c>
      <c r="C9" s="667">
        <f>SUM(C3:C8)</f>
        <v/>
      </c>
      <c r="D9" s="667">
        <f>SUM(D3:D8)</f>
        <v/>
      </c>
      <c r="E9" s="667">
        <f>SUM(E3:E8)</f>
        <v/>
      </c>
      <c r="F9" s="667">
        <f>SUM(F3:F8)</f>
        <v/>
      </c>
      <c r="G9" s="667">
        <f>SUM(G3:G8)</f>
        <v/>
      </c>
      <c r="H9" s="667">
        <f>SUM(H3:H8)</f>
        <v/>
      </c>
      <c r="I9" s="668">
        <f>SUM(I3:I8)</f>
        <v/>
      </c>
      <c r="J9" s="668">
        <f>SUM(J3:J8)</f>
        <v/>
      </c>
      <c r="K9" s="354" t="n"/>
      <c r="L9" s="354" t="n"/>
      <c r="M9" s="354" t="n"/>
      <c r="N9" s="354" t="n"/>
      <c r="O9" s="354" t="n"/>
      <c r="P9" s="354" t="n"/>
      <c r="Q9" s="354" t="n"/>
      <c r="R9" s="354" t="n"/>
      <c r="S9" s="354" t="n"/>
      <c r="T9" s="354" t="n"/>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4.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10.95" customWidth="1" style="407" min="10" max="10"/>
    <col width="8.4" customWidth="1" style="407" min="11" max="257"/>
  </cols>
  <sheetData>
    <row r="1" ht="22.5" customHeight="1" s="355">
      <c r="A1" s="655" t="inlineStr">
        <is>
          <t>BASE CHARGES INPUT FORM - CENTRE ONE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Germany</t>
        </is>
      </c>
      <c r="B3" s="661" t="inlineStr">
        <is>
          <t>General Accounting &amp; Sox</t>
        </is>
      </c>
      <c r="C3" s="662">
        <f>SUM('Appendix B - prod by country'!D35:O36,'Appendix B - prod by country'!D39:O39)*1.3*1000+SUM('Appendix A - pilot by country'!D35:O36,'Appendix A - pilot by country'!D39:O39)*1.3*1000</f>
        <v/>
      </c>
      <c r="D3" s="662">
        <f>SUM('Appendix B - prod by country'!P35:AA36,'Appendix B - prod by country'!P39:AA39)*1.3*1000</f>
        <v/>
      </c>
      <c r="E3" s="662">
        <f>SUM('Appendix B - prod by country'!AB35:AM36,'Appendix B - prod by country'!AB39:AM39)*1.3*1000</f>
        <v/>
      </c>
      <c r="F3" s="662">
        <f>SUM('Appendix B - prod by country'!AN35:AY36,'Appendix B - prod by country'!AN39:AY39)*1.3*1000</f>
        <v/>
      </c>
      <c r="G3" s="662">
        <f>SUM('Appendix B - prod by country'!AZ35:BK36,'Appendix B - prod by country'!AZ39:BK39)*1.3*1000</f>
        <v/>
      </c>
      <c r="H3" s="662">
        <f>SUM('Appendix B - prod by country'!BL35:BW36,'Appendix B - prod by country'!BL39:BW39)*1.3*1000</f>
        <v/>
      </c>
      <c r="I3" s="662">
        <f>SUM('Appendix B - prod by country'!BX35:CI36,'Appendix B - prod by country'!BX39:CI39)*1.3*1000</f>
        <v/>
      </c>
      <c r="J3" s="662">
        <f>SUM('Appendix B - prod by country'!CJ35:CJ36,'Appendix B - prod by country'!CJ39)*1.3*1000</f>
        <v/>
      </c>
    </row>
    <row r="4" ht="22.5" customHeight="1" s="355">
      <c r="A4" s="664" t="n"/>
      <c r="B4" s="665" t="inlineStr">
        <is>
          <t>Fixed Assets</t>
        </is>
      </c>
      <c r="C4" s="666">
        <f>SUM('Appendix B - prod by country'!D37:O37)*1.3*1000+SUM('Appendix A - pilot by country'!D37:O37)*1.3*1000</f>
        <v/>
      </c>
      <c r="D4" s="666">
        <f>SUM('Appendix B - prod by country'!P37:AA37)*1.3*1000</f>
        <v/>
      </c>
      <c r="E4" s="666">
        <f>SUM('Appendix B - prod by country'!AB37:AM37)*1.3*1000</f>
        <v/>
      </c>
      <c r="F4" s="666">
        <f>SUM('Appendix B - prod by country'!AN37:AY37)*1.3*1000</f>
        <v/>
      </c>
      <c r="G4" s="666">
        <f>SUM('Appendix B - prod by country'!AZ37:BK37)*1.3*1000</f>
        <v/>
      </c>
      <c r="H4" s="666">
        <f>SUM('Appendix B - prod by country'!BL37:BW37)*1.3*1000</f>
        <v/>
      </c>
      <c r="I4" s="666">
        <f>SUM('Appendix B - prod by country'!BX37:CI37)*1.3*1000</f>
        <v/>
      </c>
      <c r="J4" s="666">
        <f>SUM('Appendix B - prod by country'!CJ37)*1.3*1000</f>
        <v/>
      </c>
    </row>
    <row r="5" ht="22.5" customHeight="1" s="355">
      <c r="A5" s="664" t="n"/>
      <c r="B5" s="665" t="inlineStr">
        <is>
          <t>Accounts Payable</t>
        </is>
      </c>
      <c r="C5" s="666">
        <f>SUM('Appendix B - prod by country'!D38:O38)*1.3*1000+SUM('Appendix A - pilot by country'!D38:O38)*1.3*1000</f>
        <v/>
      </c>
      <c r="D5" s="666">
        <f>SUM('Appendix B - prod by country'!P38:AA38)*1.3*1000</f>
        <v/>
      </c>
      <c r="E5" s="666">
        <f>SUM('Appendix B - prod by country'!AB38:AM38)*1.3*1000</f>
        <v/>
      </c>
      <c r="F5" s="666">
        <f>SUM('Appendix B - prod by country'!AN38:AY38)*1.3*1000</f>
        <v/>
      </c>
      <c r="G5" s="666">
        <f>SUM('Appendix B - prod by country'!AZ38:BK38)*1.3*1000</f>
        <v/>
      </c>
      <c r="H5" s="666">
        <f>SUM('Appendix B - prod by country'!BL38:BW38)*1.3*1000</f>
        <v/>
      </c>
      <c r="I5" s="666">
        <f>SUM('Appendix B - prod by country'!BX38:CI38)*1.3*1000</f>
        <v/>
      </c>
      <c r="J5" s="666">
        <f>SUM('Appendix B - prod by country'!CJ38)*1.3*1000</f>
        <v/>
      </c>
    </row>
    <row r="6" ht="22.5" customHeight="1" s="355">
      <c r="A6" s="664" t="n"/>
      <c r="B6" s="665" t="inlineStr">
        <is>
          <t>T&amp;E</t>
        </is>
      </c>
      <c r="C6" s="666">
        <f>SUM('Appendix B - prod by country'!D40:O40)*1.3*1000+SUM('Appendix A - pilot by country'!D40:O40)*1.3*1000</f>
        <v/>
      </c>
      <c r="D6" s="666">
        <f>SUM('Appendix B - prod by country'!P40:AA40)*1.3*1000</f>
        <v/>
      </c>
      <c r="E6" s="666">
        <f>SUM('Appendix B - prod by country'!AB40:AM40)*1.3*1000</f>
        <v/>
      </c>
      <c r="F6" s="666">
        <f>SUM('Appendix B - prod by country'!AN40:AY40)*1.3*1000</f>
        <v/>
      </c>
      <c r="G6" s="666">
        <f>SUM('Appendix B - prod by country'!AZ40:BK40)*1.3*1000</f>
        <v/>
      </c>
      <c r="H6" s="666">
        <f>SUM('Appendix B - prod by country'!BL40:BW40)*1.3*1000</f>
        <v/>
      </c>
      <c r="I6" s="666">
        <f>SUM('Appendix B - prod by country'!BX40:CI40)*1.3*1000</f>
        <v/>
      </c>
      <c r="J6" s="666">
        <f>SUM('Appendix B - prod by country'!CJ40)*1.3*1000</f>
        <v/>
      </c>
    </row>
    <row r="7" ht="22.5" customHeight="1" s="355">
      <c r="A7" s="664" t="n"/>
      <c r="B7" s="665" t="inlineStr">
        <is>
          <t>Order to Cash</t>
        </is>
      </c>
      <c r="C7" s="666">
        <f>SUM('Appendix B - prod by country'!D41:O41)*1.3*1000+SUM('Appendix A - pilot by country'!D41:O41)*1.3*1000</f>
        <v/>
      </c>
      <c r="D7" s="666">
        <f>SUM('Appendix B - prod by country'!P41:AA41)*1.3*1000</f>
        <v/>
      </c>
      <c r="E7" s="666">
        <f>SUM('Appendix B - prod by country'!AB41:AM41)*1.3*1000</f>
        <v/>
      </c>
      <c r="F7" s="666">
        <f>SUM('Appendix B - prod by country'!AN41:AY41)*1.3*1000</f>
        <v/>
      </c>
      <c r="G7" s="666">
        <f>SUM('Appendix B - prod by country'!AZ41:BK41)*1.3*1000</f>
        <v/>
      </c>
      <c r="H7" s="666">
        <f>SUM('Appendix B - prod by country'!BL41:BW41)*1.3*1000</f>
        <v/>
      </c>
      <c r="I7" s="666">
        <f>SUM('Appendix B - prod by country'!BX41:CI41)*1.3*1000</f>
        <v/>
      </c>
      <c r="J7" s="666">
        <f>SUM('Appendix B - prod by country'!CJ41)*1.3*1000</f>
        <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66">
        <f>SUM('Appendix B - prod by country'!D42:O42)*1.3*1000+SUM('Appendix A - pilot by country'!D42:O42)*1.3*1000</f>
        <v/>
      </c>
      <c r="D8" s="666">
        <f>SUM('Appendix B - prod by country'!P42:AA42)*1.3*1000</f>
        <v/>
      </c>
      <c r="E8" s="666">
        <f>SUM('Appendix B - prod by country'!AB42:AM42)*1.3*1000</f>
        <v/>
      </c>
      <c r="F8" s="666">
        <f>SUM('Appendix B - prod by country'!AN42:AY42)*1.3*1000</f>
        <v/>
      </c>
      <c r="G8" s="666">
        <f>SUM('Appendix B - prod by country'!AZ42:BK42)*1.3*1000</f>
        <v/>
      </c>
      <c r="H8" s="666">
        <f>SUM('Appendix B - prod by country'!BL42:BW42)*1.3*1000</f>
        <v/>
      </c>
      <c r="I8" s="666">
        <f>SUM('Appendix B - prod by country'!BX42:CI42)*1.3*1000</f>
        <v/>
      </c>
      <c r="J8" s="666">
        <f>SUM('Appendix B - prod by country'!CJ42)*1.3*1000</f>
        <v/>
      </c>
    </row>
    <row r="9" ht="22.5" customHeight="1" s="355">
      <c r="A9" s="611" t="n"/>
      <c r="B9" s="658" t="inlineStr">
        <is>
          <t>TOTAL BASE CHARGES</t>
        </is>
      </c>
      <c r="C9" s="667">
        <f>SUM(C3:C8)</f>
        <v/>
      </c>
      <c r="D9" s="667">
        <f>SUM(D3:D8)</f>
        <v/>
      </c>
      <c r="E9" s="667">
        <f>SUM(E3:E8)</f>
        <v/>
      </c>
      <c r="F9" s="667">
        <f>SUM(F3:F8)</f>
        <v/>
      </c>
      <c r="G9" s="667">
        <f>SUM(G3:G8)</f>
        <v/>
      </c>
      <c r="H9" s="667">
        <f>SUM(H3:H8)</f>
        <v/>
      </c>
      <c r="I9" s="668">
        <f>SUM(I3:I8)</f>
        <v/>
      </c>
      <c r="J9" s="668">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5.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K12"/>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85" customWidth="1" style="407" min="10" max="10"/>
    <col width="8.4" customWidth="1" style="407" min="11" max="257"/>
  </cols>
  <sheetData>
    <row r="1" ht="22.5" customHeight="1" s="355">
      <c r="A1" s="655" t="inlineStr">
        <is>
          <t>BASE CHARGES INPUT FORM - CENTRE ONE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Germany Production</t>
        </is>
      </c>
      <c r="B3" s="661" t="inlineStr">
        <is>
          <t>General Accounting &amp; Sox</t>
        </is>
      </c>
      <c r="C3" s="662">
        <f>SUM('Appendix B - prod by country'!D79:O80,'Appendix B - prod by country'!D83:O83)*1.3*1000+SUM('Appendix A - pilot by country'!D79:O80,'Appendix A - pilot by country'!D83:O83)*1.3*1000</f>
        <v/>
      </c>
      <c r="D3" s="662">
        <f>SUM('Appendix B - prod by country'!P79:AA80,'Appendix B - prod by country'!P83:AA83)*1.3*1000</f>
        <v/>
      </c>
      <c r="E3" s="662">
        <f>SUM('Appendix B - prod by country'!AB79:AM80,'Appendix B - prod by country'!AB83:AM83)*1.3*1000</f>
        <v/>
      </c>
      <c r="F3" s="662">
        <f>SUM('Appendix B - prod by country'!AN79:AY80,'Appendix B - prod by country'!AN83:AY83)*1.3*1000</f>
        <v/>
      </c>
      <c r="G3" s="662">
        <f>SUM('Appendix B - prod by country'!AZ79:BK80,'Appendix B - prod by country'!AZ83:BK83)*1.3*1000</f>
        <v/>
      </c>
      <c r="H3" s="662">
        <f>SUM('Appendix B - prod by country'!BL79:BW80,'Appendix B - prod by country'!BL83:BW83)*1.3*1000</f>
        <v/>
      </c>
      <c r="I3" s="662">
        <f>SUM('Appendix B - prod by country'!BX79:CI80,'Appendix B - prod by country'!BX83:CI83)*1.3*1000</f>
        <v/>
      </c>
      <c r="J3" s="662">
        <f>SUM('Appendix B - prod by country'!CJ79:CJ80,'Appendix B - prod by country'!CJ83)*1.3*1000</f>
        <v/>
      </c>
    </row>
    <row r="4" ht="22.5" customHeight="1" s="355">
      <c r="A4" s="664" t="n"/>
      <c r="B4" s="665" t="inlineStr">
        <is>
          <t>Fixed Assets</t>
        </is>
      </c>
      <c r="C4" s="666">
        <f>SUM('Appendix B - prod by country'!D81:O81)*1.3*1000+SUM('Appendix A - pilot by country'!D81:O81)*1.3*1000</f>
        <v/>
      </c>
      <c r="D4" s="666">
        <f>SUM('Appendix B - prod by country'!P81:AA81)*1.3*1000</f>
        <v/>
      </c>
      <c r="E4" s="666">
        <f>SUM('Appendix B - prod by country'!AB81:AM81)*1.3*1000</f>
        <v/>
      </c>
      <c r="F4" s="666">
        <f>SUM('Appendix B - prod by country'!AN81:AY81)*1.3*1000</f>
        <v/>
      </c>
      <c r="G4" s="666">
        <f>SUM('Appendix B - prod by country'!AZ81:BK81)*1.3*1000</f>
        <v/>
      </c>
      <c r="H4" s="666">
        <f>SUM('Appendix B - prod by country'!BL81:BW81)*1.3*1000</f>
        <v/>
      </c>
      <c r="I4" s="666">
        <f>SUM('Appendix B - prod by country'!BX81:CI81)*1.3*1000</f>
        <v/>
      </c>
      <c r="J4" s="666">
        <f>SUM('Appendix B - prod by country'!CJ81)*1.3*1000</f>
        <v/>
      </c>
    </row>
    <row r="5" ht="22.5" customHeight="1" s="355">
      <c r="A5" s="664" t="n"/>
      <c r="B5" s="665" t="inlineStr">
        <is>
          <t>Accounts Payable</t>
        </is>
      </c>
      <c r="C5" s="666">
        <f>SUM('Appendix B - prod by country'!D82:O82)*1.3*1000+SUM('Appendix A - pilot by country'!D82:O82)*1.3*1000</f>
        <v/>
      </c>
      <c r="D5" s="666">
        <f>SUM('Appendix B - prod by country'!P82:AA82)*1.3*1000</f>
        <v/>
      </c>
      <c r="E5" s="666">
        <f>SUM('Appendix B - prod by country'!AB82:AM82)*1.3*1000</f>
        <v/>
      </c>
      <c r="F5" s="666">
        <f>SUM('Appendix B - prod by country'!AN82:AY82)*1.3*1000</f>
        <v/>
      </c>
      <c r="G5" s="666">
        <f>SUM('Appendix B - prod by country'!AZ82:BK82)*1.3*1000</f>
        <v/>
      </c>
      <c r="H5" s="666">
        <f>SUM('Appendix B - prod by country'!BL82:BW82)*1.3*1000</f>
        <v/>
      </c>
      <c r="I5" s="666">
        <f>SUM('Appendix B - prod by country'!BX82:CI82)*1.3*1000</f>
        <v/>
      </c>
      <c r="J5" s="666">
        <f>SUM('Appendix B - prod by country'!CJ82)*1.3*1000</f>
        <v/>
      </c>
    </row>
    <row r="6" ht="22.5" customHeight="1" s="355">
      <c r="A6" s="664" t="n"/>
      <c r="B6" s="665" t="inlineStr">
        <is>
          <t>T&amp;E</t>
        </is>
      </c>
      <c r="C6" s="666">
        <f>SUM('Appendix B - prod by country'!D84:O84)*1.3*1000+SUM('Appendix A - pilot by country'!D84:O84)*1.3*1000</f>
        <v/>
      </c>
      <c r="D6" s="666">
        <f>SUM('Appendix B - prod by country'!P84:AA84)*1.3*1000</f>
        <v/>
      </c>
      <c r="E6" s="666">
        <f>SUM('Appendix B - prod by country'!AB84:AM84)*1.3*1000</f>
        <v/>
      </c>
      <c r="F6" s="666">
        <f>SUM('Appendix B - prod by country'!AN84:AY84)*1.3*1000</f>
        <v/>
      </c>
      <c r="G6" s="666">
        <f>SUM('Appendix B - prod by country'!AZ84:BK84)*1.3*1000</f>
        <v/>
      </c>
      <c r="H6" s="666">
        <f>SUM('Appendix B - prod by country'!BL84:BW84)*1.3*1000</f>
        <v/>
      </c>
      <c r="I6" s="666">
        <f>SUM('Appendix B - prod by country'!BX84:CI84)*1.3*1000</f>
        <v/>
      </c>
      <c r="J6" s="666">
        <f>SUM('Appendix B - prod by country'!CJ84)*1.3*1000</f>
        <v/>
      </c>
    </row>
    <row r="7" ht="22.5" customHeight="1" s="355">
      <c r="A7" s="664" t="n"/>
      <c r="B7" s="665" t="inlineStr">
        <is>
          <t>Order to Cash</t>
        </is>
      </c>
      <c r="C7" s="666">
        <f>SUM('Appendix B - prod by country'!D85:O85)*1.3*1000+SUM('Appendix A - pilot by country'!D85:O85)*1.3*1000</f>
        <v/>
      </c>
      <c r="D7" s="666">
        <f>SUM('Appendix B - prod by country'!P85:AA85)*1.3*1000</f>
        <v/>
      </c>
      <c r="E7" s="666">
        <f>SUM('Appendix B - prod by country'!AB85:AM85)*1.3*1000</f>
        <v/>
      </c>
      <c r="F7" s="666">
        <f>SUM('Appendix B - prod by country'!AN85:AY85)*1.3*1000</f>
        <v/>
      </c>
      <c r="G7" s="666">
        <f>SUM('Appendix B - prod by country'!AZ85:BK85)*1.3*1000</f>
        <v/>
      </c>
      <c r="H7" s="666">
        <f>SUM('Appendix B - prod by country'!BL85:BW85)*1.3*1000</f>
        <v/>
      </c>
      <c r="I7" s="666">
        <f>SUM('Appendix B - prod by country'!BX85:CI85)*1.3*1000</f>
        <v/>
      </c>
      <c r="J7" s="666">
        <f>SUM('Appendix B - prod by country'!CJ85)*1.3*1000</f>
        <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66">
        <f>SUM('Appendix B - prod by country'!D86:O86)*1.3*1000+SUM('Appendix A - pilot by country'!D86:O86)*1.3*1000</f>
        <v/>
      </c>
      <c r="D8" s="666">
        <f>SUM('Appendix B - prod by country'!P86:AA86)*1.3*1000</f>
        <v/>
      </c>
      <c r="E8" s="666">
        <f>SUM('Appendix B - prod by country'!AB86:AM86)*1.3*1000</f>
        <v/>
      </c>
      <c r="F8" s="666">
        <f>SUM('Appendix B - prod by country'!AN86:AY86)*1.3*1000</f>
        <v/>
      </c>
      <c r="G8" s="666">
        <f>SUM('Appendix B - prod by country'!AZ86:BK86)*1.3*1000</f>
        <v/>
      </c>
      <c r="H8" s="666">
        <f>SUM('Appendix B - prod by country'!BL86:BW86)*1.3*1000</f>
        <v/>
      </c>
      <c r="I8" s="666">
        <f>SUM('Appendix B - prod by country'!BX86:CI86)*1.3*1000</f>
        <v/>
      </c>
      <c r="J8" s="666">
        <f>SUM('Appendix B - prod by country'!CJ86)*1.3*1000</f>
        <v/>
      </c>
    </row>
    <row r="9" ht="22.5" customHeight="1" s="355">
      <c r="A9" s="611" t="n"/>
      <c r="B9" s="658" t="inlineStr">
        <is>
          <t>TOTAL BASE CHARGES</t>
        </is>
      </c>
      <c r="C9" s="667">
        <f>SUM(C3:C8)</f>
        <v/>
      </c>
      <c r="D9" s="667">
        <f>SUM(D3:D8)</f>
        <v/>
      </c>
      <c r="E9" s="667">
        <f>SUM(E3:E8)</f>
        <v/>
      </c>
      <c r="F9" s="667">
        <f>SUM(F3:F8)</f>
        <v/>
      </c>
      <c r="G9" s="667">
        <f>SUM(G3:G8)</f>
        <v/>
      </c>
      <c r="H9" s="667">
        <f>SUM(H3:H8)</f>
        <v/>
      </c>
      <c r="I9" s="668">
        <f>SUM(I3:I8)</f>
        <v/>
      </c>
      <c r="J9" s="668">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6.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85" customWidth="1" style="407" min="10" max="10"/>
    <col width="8.4" customWidth="1" style="407" min="11" max="257"/>
  </cols>
  <sheetData>
    <row r="1" ht="22.5" customHeight="1" s="355">
      <c r="A1" s="655" t="inlineStr">
        <is>
          <t>BASE CHARGES INPUT FORM - CENTRE ONE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Spain</t>
        </is>
      </c>
      <c r="B3" s="661" t="inlineStr">
        <is>
          <t>General Accounting &amp; Sox</t>
        </is>
      </c>
      <c r="C3" s="662">
        <f>SUM('Appendix B - prod by country'!D46:O47,'Appendix B - prod by country'!D50:O50)*1.3*1000+SUM('Appendix A - pilot by country'!D46:O47,'Appendix A - pilot by country'!D50:O50)*1.3*1000</f>
        <v/>
      </c>
      <c r="D3" s="662">
        <f>SUM('Appendix B - prod by country'!P46:AA47,'Appendix B - prod by country'!P50:AA50)*1.3*1000</f>
        <v/>
      </c>
      <c r="E3" s="662">
        <f>SUM('Appendix B - prod by country'!AB46:AM47,'Appendix B - prod by country'!AB50:AM50)*1.3*1000</f>
        <v/>
      </c>
      <c r="F3" s="662">
        <f>SUM('Appendix B - prod by country'!AN46:AY47,'Appendix B - prod by country'!AN50:AY50)*1.3*1000</f>
        <v/>
      </c>
      <c r="G3" s="662">
        <f>SUM('Appendix B - prod by country'!AZ46:BK47,'Appendix B - prod by country'!AZ50:BK50)*1.3*1000</f>
        <v/>
      </c>
      <c r="H3" s="662">
        <f>SUM('Appendix B - prod by country'!BL46:BW47,'Appendix B - prod by country'!BL50:BW50)*1.3*1000</f>
        <v/>
      </c>
      <c r="I3" s="662">
        <f>SUM('Appendix B - prod by country'!BX46:CI47,'Appendix B - prod by country'!BX50:CI50)*1.3*1000</f>
        <v/>
      </c>
      <c r="J3" s="662">
        <f>SUM('Appendix B - prod by country'!CJ46:CJ47,'Appendix B - prod by country'!CJ50)*1.3*1000</f>
        <v/>
      </c>
    </row>
    <row r="4" ht="22.5" customHeight="1" s="355">
      <c r="A4" s="664" t="n"/>
      <c r="B4" s="665" t="inlineStr">
        <is>
          <t>Fixed Assets</t>
        </is>
      </c>
      <c r="C4" s="666">
        <f>SUM('Appendix B - prod by country'!D48:O48)*1.3*1000+SUM('Appendix A - pilot by country'!D48:O48)*1.3*1000</f>
        <v/>
      </c>
      <c r="D4" s="666">
        <f>SUM('Appendix B - prod by country'!P48:AA48)*1.3*1000</f>
        <v/>
      </c>
      <c r="E4" s="666">
        <f>SUM('Appendix B - prod by country'!AB48:AM48)*1.3*1000</f>
        <v/>
      </c>
      <c r="F4" s="666">
        <f>SUM('Appendix B - prod by country'!AN48:AY48)*1.3*1000</f>
        <v/>
      </c>
      <c r="G4" s="666">
        <f>SUM('Appendix B - prod by country'!AZ48:BK48)*1.3*1000</f>
        <v/>
      </c>
      <c r="H4" s="666">
        <f>SUM('Appendix B - prod by country'!BL48:BW48)*1.3*1000</f>
        <v/>
      </c>
      <c r="I4" s="666">
        <f>SUM('Appendix B - prod by country'!BX48:CI48)*1.3*1000</f>
        <v/>
      </c>
      <c r="J4" s="666">
        <f>SUM('Appendix B - prod by country'!CJ48)*1.3*1000</f>
        <v/>
      </c>
    </row>
    <row r="5" ht="22.5" customHeight="1" s="355">
      <c r="A5" s="664" t="n"/>
      <c r="B5" s="665" t="inlineStr">
        <is>
          <t>Accounts Payable</t>
        </is>
      </c>
      <c r="C5" s="666">
        <f>SUM('Appendix B - prod by country'!D49:O49)*1.3*1000+SUM('Appendix A - pilot by country'!D49:O49)*1.3*1000</f>
        <v/>
      </c>
      <c r="D5" s="666">
        <f>SUM('Appendix B - prod by country'!P49:AA49)*1.3*1000</f>
        <v/>
      </c>
      <c r="E5" s="666">
        <f>SUM('Appendix B - prod by country'!AB49:AM49)*1.3*1000</f>
        <v/>
      </c>
      <c r="F5" s="666">
        <f>SUM('Appendix B - prod by country'!AN49:AY49)*1.3*1000</f>
        <v/>
      </c>
      <c r="G5" s="666">
        <f>SUM('Appendix B - prod by country'!AZ49:BK49)*1.3*1000</f>
        <v/>
      </c>
      <c r="H5" s="666">
        <f>SUM('Appendix B - prod by country'!BL49:BW49)*1.3*1000</f>
        <v/>
      </c>
      <c r="I5" s="666">
        <f>SUM('Appendix B - prod by country'!BX49:CI49)*1.3*1000</f>
        <v/>
      </c>
      <c r="J5" s="666">
        <f>SUM('Appendix B - prod by country'!CJ49)*1.3*1000</f>
        <v/>
      </c>
    </row>
    <row r="6" ht="22.5" customHeight="1" s="355">
      <c r="A6" s="664" t="n"/>
      <c r="B6" s="665" t="inlineStr">
        <is>
          <t>T&amp;E</t>
        </is>
      </c>
      <c r="C6" s="666">
        <f>SUM('Appendix B - prod by country'!D51:O51)*1.3*1000+SUM('Appendix A - pilot by country'!D51:O51)*1.3*1000</f>
        <v/>
      </c>
      <c r="D6" s="666">
        <f>SUM('Appendix B - prod by country'!P51:AA51)*1.3*1000</f>
        <v/>
      </c>
      <c r="E6" s="666">
        <f>SUM('Appendix B - prod by country'!AB51:AM51)*1.3*1000</f>
        <v/>
      </c>
      <c r="F6" s="666">
        <f>SUM('Appendix B - prod by country'!AN51:AY51)*1.3*1000</f>
        <v/>
      </c>
      <c r="G6" s="666">
        <f>SUM('Appendix B - prod by country'!AZ51:BK51)*1.3*1000</f>
        <v/>
      </c>
      <c r="H6" s="666">
        <f>SUM('Appendix B - prod by country'!BL51:BW51)*1.3*1000</f>
        <v/>
      </c>
      <c r="I6" s="666">
        <f>SUM('Appendix B - prod by country'!BX51:CI51)*1.3*1000</f>
        <v/>
      </c>
      <c r="J6" s="666">
        <f>SUM('Appendix B - prod by country'!CJ51)*1.3*1000</f>
        <v/>
      </c>
    </row>
    <row r="7" ht="22.5" customHeight="1" s="355">
      <c r="A7" s="664" t="n"/>
      <c r="B7" s="665" t="inlineStr">
        <is>
          <t>Order to Cash</t>
        </is>
      </c>
      <c r="C7" s="666">
        <f>SUM('Appendix B - prod by country'!D52:O52)*1.3*1000+SUM('Appendix A - pilot by country'!D52:O52)*1.3*1000</f>
        <v/>
      </c>
      <c r="D7" s="666">
        <f>SUM('Appendix B - prod by country'!P52:AA52)*1.3*1000</f>
        <v/>
      </c>
      <c r="E7" s="666">
        <f>SUM('Appendix B - prod by country'!AB52:AM52)*1.3*1000</f>
        <v/>
      </c>
      <c r="F7" s="666">
        <f>SUM('Appendix B - prod by country'!AN52:AY52)*1.3*1000</f>
        <v/>
      </c>
      <c r="G7" s="666">
        <f>SUM('Appendix B - prod by country'!AZ52:BK52)*1.3*1000</f>
        <v/>
      </c>
      <c r="H7" s="666">
        <f>SUM('Appendix B - prod by country'!BL52:BW52)*1.3*1000</f>
        <v/>
      </c>
      <c r="I7" s="666">
        <f>SUM('Appendix B - prod by country'!BX52:CI52)*1.3*1000</f>
        <v/>
      </c>
      <c r="J7" s="666">
        <f>SUM('Appendix B - prod by country'!CJ52)*1.3*1000</f>
        <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66">
        <f>SUM('Appendix B - prod by country'!D53:O53)*1.3*1000+SUM('Appendix A - pilot by country'!D53:O53)*1.3*1000</f>
        <v/>
      </c>
      <c r="D8" s="666">
        <f>SUM('Appendix B - prod by country'!P53:AA53)*1.3*1000</f>
        <v/>
      </c>
      <c r="E8" s="666">
        <f>SUM('Appendix B - prod by country'!AB53:AM53)*1.3*1000</f>
        <v/>
      </c>
      <c r="F8" s="666">
        <f>SUM('Appendix B - prod by country'!AN53:AY53)*1.3*1000</f>
        <v/>
      </c>
      <c r="G8" s="666">
        <f>SUM('Appendix B - prod by country'!AZ53:BK53)*1.3*1000</f>
        <v/>
      </c>
      <c r="H8" s="666">
        <f>SUM('Appendix B - prod by country'!BL53:BW53)*1.3*1000</f>
        <v/>
      </c>
      <c r="I8" s="666">
        <f>SUM('Appendix B - prod by country'!BX53:CI53)*1.3*1000</f>
        <v/>
      </c>
      <c r="J8" s="666">
        <f>SUM('Appendix B - prod by country'!CJ53)*1.3*1000</f>
        <v/>
      </c>
    </row>
    <row r="9" ht="22.5" customHeight="1" s="355">
      <c r="A9" s="611" t="n"/>
      <c r="B9" s="658" t="inlineStr">
        <is>
          <t>TOTAL BASE CHARGES</t>
        </is>
      </c>
      <c r="C9" s="667">
        <f>SUM(C3:C8)</f>
        <v/>
      </c>
      <c r="D9" s="667">
        <f>SUM(D3:D8)</f>
        <v/>
      </c>
      <c r="E9" s="667">
        <f>SUM(E3:E8)</f>
        <v/>
      </c>
      <c r="F9" s="667">
        <f>SUM(F3:F8)</f>
        <v/>
      </c>
      <c r="G9" s="667">
        <f>SUM(G3:G8)</f>
        <v/>
      </c>
      <c r="H9" s="667">
        <f>SUM(H3:H8)</f>
        <v/>
      </c>
      <c r="I9" s="668">
        <f>SUM(I3:I8)</f>
        <v/>
      </c>
      <c r="J9" s="668">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7.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10.65" customWidth="1" style="407" min="10" max="10"/>
    <col width="8.4" customWidth="1" style="407" min="11" max="257"/>
  </cols>
  <sheetData>
    <row r="1" ht="22.5" customHeight="1" s="355">
      <c r="A1" s="655" t="inlineStr">
        <is>
          <t>BASE CHARGES INPUT FORM - CENTRE ONE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Italy</t>
        </is>
      </c>
      <c r="B3" s="661" t="inlineStr">
        <is>
          <t>General Accounting &amp; Sox</t>
        </is>
      </c>
      <c r="C3" s="662">
        <f>SUM('Appendix B - prod by country'!D57:O58,'Appendix B - prod by country'!D61:O61)*1.3*1000+SUM('Appendix A - pilot by country'!D57:O58,'Appendix A - pilot by country'!D61:O61)*1.3*1000</f>
        <v/>
      </c>
      <c r="D3" s="662">
        <f>SUM('Appendix B - prod by country'!P57:AA58,'Appendix B - prod by country'!P61:AA61)*1.3*1000</f>
        <v/>
      </c>
      <c r="E3" s="662">
        <f>SUM('Appendix B - prod by country'!AB57:AM58,'Appendix B - prod by country'!AB61:AM61)*1.3*1000</f>
        <v/>
      </c>
      <c r="F3" s="662">
        <f>SUM('Appendix B - prod by country'!AN57:AY58,'Appendix B - prod by country'!AN61:AY61)*1.3*1000</f>
        <v/>
      </c>
      <c r="G3" s="662">
        <f>SUM('Appendix B - prod by country'!AZ57:BK58,'Appendix B - prod by country'!AZ61:BK61)*1.3*1000</f>
        <v/>
      </c>
      <c r="H3" s="662">
        <f>SUM('Appendix B - prod by country'!BL57:BW58,'Appendix B - prod by country'!BL61:BW61)*1.3*1000</f>
        <v/>
      </c>
      <c r="I3" s="662">
        <f>SUM('Appendix B - prod by country'!BX57:CI58,'Appendix B - prod by country'!BX61:CI61)*1.3*1000</f>
        <v/>
      </c>
      <c r="J3" s="662">
        <f>SUM('Appendix B - prod by country'!CJ57:CJ58,'Appendix B - prod by country'!CJ61)*1.3*1000</f>
        <v/>
      </c>
    </row>
    <row r="4" ht="22.5" customHeight="1" s="355">
      <c r="A4" s="664" t="n"/>
      <c r="B4" s="665" t="inlineStr">
        <is>
          <t>Fixed Assets</t>
        </is>
      </c>
      <c r="C4" s="666">
        <f>SUM('Appendix B - prod by country'!D59:O59)*1.3*1000+SUM('Appendix A - pilot by country'!D59:O59)*1.3*1000</f>
        <v/>
      </c>
      <c r="D4" s="666">
        <f>SUM('Appendix B - prod by country'!P59:AA59)*1.3*1000</f>
        <v/>
      </c>
      <c r="E4" s="666">
        <f>SUM('Appendix B - prod by country'!AB59:AM59)*1.3*1000</f>
        <v/>
      </c>
      <c r="F4" s="666">
        <f>SUM('Appendix B - prod by country'!AN59:AY59)*1.3*1000</f>
        <v/>
      </c>
      <c r="G4" s="666">
        <f>SUM('Appendix B - prod by country'!AZ59:BK59)*1.3*1000</f>
        <v/>
      </c>
      <c r="H4" s="666">
        <f>SUM('Appendix B - prod by country'!BL59:BW59)*1.3*1000</f>
        <v/>
      </c>
      <c r="I4" s="666">
        <f>SUM('Appendix B - prod by country'!BX59:CI59)*1.3*1000</f>
        <v/>
      </c>
      <c r="J4" s="666">
        <f>SUM('Appendix B - prod by country'!CJ59)*1.3*1000</f>
        <v/>
      </c>
    </row>
    <row r="5" ht="22.5" customHeight="1" s="355">
      <c r="A5" s="664" t="n"/>
      <c r="B5" s="665" t="inlineStr">
        <is>
          <t>Accounts Payable</t>
        </is>
      </c>
      <c r="C5" s="666">
        <f>SUM('Appendix B - prod by country'!D60:O60)*1.3*1000+SUM('Appendix A - pilot by country'!D60:O60)*1.3*1000</f>
        <v/>
      </c>
      <c r="D5" s="666">
        <f>SUM('Appendix B - prod by country'!P60:AA60)*1.3*1000</f>
        <v/>
      </c>
      <c r="E5" s="666">
        <f>SUM('Appendix B - prod by country'!AB60:AM60)*1.3*1000</f>
        <v/>
      </c>
      <c r="F5" s="666">
        <f>SUM('Appendix B - prod by country'!AN60:AY60)*1.3*1000</f>
        <v/>
      </c>
      <c r="G5" s="666">
        <f>SUM('Appendix B - prod by country'!AZ60:BK60)*1.3*1000</f>
        <v/>
      </c>
      <c r="H5" s="666">
        <f>SUM('Appendix B - prod by country'!BL60:BW60)*1.3*1000</f>
        <v/>
      </c>
      <c r="I5" s="666">
        <f>SUM('Appendix B - prod by country'!BX60:CI60)*1.3*1000</f>
        <v/>
      </c>
      <c r="J5" s="666">
        <f>SUM('Appendix B - prod by country'!CJ60)*1.3*1000</f>
        <v/>
      </c>
    </row>
    <row r="6" ht="22.5" customHeight="1" s="355">
      <c r="A6" s="664" t="n"/>
      <c r="B6" s="665" t="inlineStr">
        <is>
          <t>T&amp;E</t>
        </is>
      </c>
      <c r="C6" s="666">
        <f>SUM('Appendix B - prod by country'!D62:O62)*1.3*1000+SUM('Appendix A - pilot by country'!D62:O62)*1.3*1000</f>
        <v/>
      </c>
      <c r="D6" s="666">
        <f>SUM('Appendix B - prod by country'!P62:AA62)*1.3*1000</f>
        <v/>
      </c>
      <c r="E6" s="666">
        <f>SUM('Appendix B - prod by country'!AB62:AM62)*1.3*1000</f>
        <v/>
      </c>
      <c r="F6" s="666">
        <f>SUM('Appendix B - prod by country'!AN62:AY62)*1.3*1000</f>
        <v/>
      </c>
      <c r="G6" s="666">
        <f>SUM('Appendix B - prod by country'!AZ62:BK62)*1.3*1000</f>
        <v/>
      </c>
      <c r="H6" s="666">
        <f>SUM('Appendix B - prod by country'!BL62:BW62)*1.3*1000</f>
        <v/>
      </c>
      <c r="I6" s="666">
        <f>SUM('Appendix B - prod by country'!BX62:CI62)*1.3*1000</f>
        <v/>
      </c>
      <c r="J6" s="666">
        <f>SUM('Appendix B - prod by country'!CJ62)*1.3*1000</f>
        <v/>
      </c>
    </row>
    <row r="7" ht="22.5" customHeight="1" s="355">
      <c r="A7" s="664" t="n"/>
      <c r="B7" s="665" t="inlineStr">
        <is>
          <t>Order to Cash</t>
        </is>
      </c>
      <c r="C7" s="666">
        <f>SUM('Appendix B - prod by country'!D63:O63)*1.3*1000+SUM('Appendix A - pilot by country'!D63:O63)*1.3*1000</f>
        <v/>
      </c>
      <c r="D7" s="666">
        <f>SUM('Appendix B - prod by country'!P63:AA63)*1.3*1000</f>
        <v/>
      </c>
      <c r="E7" s="666">
        <f>SUM('Appendix B - prod by country'!AB63:AM63)*1.3*1000</f>
        <v/>
      </c>
      <c r="F7" s="666">
        <f>SUM('Appendix B - prod by country'!AN63:AY63)*1.3*1000</f>
        <v/>
      </c>
      <c r="G7" s="666">
        <f>SUM('Appendix B - prod by country'!AZ63:BK63)*1.3*1000</f>
        <v/>
      </c>
      <c r="H7" s="666">
        <f>SUM('Appendix B - prod by country'!BL63:BW63)*1.3*1000</f>
        <v/>
      </c>
      <c r="I7" s="666">
        <f>SUM('Appendix B - prod by country'!BX63:CI63)*1.3*1000</f>
        <v/>
      </c>
      <c r="J7" s="666">
        <f>SUM('Appendix B - prod by country'!CJ63)*1.3*1000</f>
        <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66">
        <f>SUM('Appendix B - prod by country'!D64:O64)*1.3*1000+SUM('Appendix A - pilot by country'!D64:O64)*1.3*1000</f>
        <v/>
      </c>
      <c r="D8" s="666">
        <f>SUM('Appendix B - prod by country'!P64:AA64)*1.3*1000</f>
        <v/>
      </c>
      <c r="E8" s="666">
        <f>SUM('Appendix B - prod by country'!AB64:AM64)*1.3*1000</f>
        <v/>
      </c>
      <c r="F8" s="666">
        <f>SUM('Appendix B - prod by country'!AN64:AY64)*1.3*1000</f>
        <v/>
      </c>
      <c r="G8" s="666">
        <f>SUM('Appendix B - prod by country'!AZ64:BK64)*1.3*1000</f>
        <v/>
      </c>
      <c r="H8" s="666">
        <f>SUM('Appendix B - prod by country'!BL64:BW64)*1.3*1000</f>
        <v/>
      </c>
      <c r="I8" s="666">
        <f>SUM('Appendix B - prod by country'!BX64:CI64)*1.3*1000</f>
        <v/>
      </c>
      <c r="J8" s="666">
        <f>SUM('Appendix B - prod by country'!CJ64)*1.3*1000</f>
        <v/>
      </c>
    </row>
    <row r="9" ht="22.5" customHeight="1" s="355">
      <c r="A9" s="611" t="n"/>
      <c r="B9" s="658" t="inlineStr">
        <is>
          <t>TOTAL BASE CHARGES</t>
        </is>
      </c>
      <c r="C9" s="667">
        <f>SUM(C3:C8)</f>
        <v/>
      </c>
      <c r="D9" s="667">
        <f>SUM(D3:D8)</f>
        <v/>
      </c>
      <c r="E9" s="667">
        <f>SUM(E3:E8)</f>
        <v/>
      </c>
      <c r="F9" s="667">
        <f>SUM(F3:F8)</f>
        <v/>
      </c>
      <c r="G9" s="667">
        <f>SUM(G3:G8)</f>
        <v/>
      </c>
      <c r="H9" s="667">
        <f>SUM(H3:H8)</f>
        <v/>
      </c>
      <c r="I9" s="668">
        <f>SUM(I3:I8)</f>
        <v/>
      </c>
      <c r="J9" s="668">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8.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BASE CHARGES INPUT FORM - CENTRE ONE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United Kingdom</t>
        </is>
      </c>
      <c r="B3" s="661" t="inlineStr">
        <is>
          <t>General Accounting &amp; Sox</t>
        </is>
      </c>
      <c r="C3" s="669" t="n"/>
      <c r="D3" s="662" t="n"/>
      <c r="E3" s="662" t="n"/>
      <c r="F3" s="662" t="n"/>
      <c r="G3" s="662" t="n"/>
      <c r="H3" s="662" t="n"/>
      <c r="I3" s="670" t="n"/>
    </row>
    <row r="4" ht="22.5" customHeight="1" s="355">
      <c r="A4" s="664" t="n"/>
      <c r="B4" s="665" t="inlineStr">
        <is>
          <t>Fixed Assets</t>
        </is>
      </c>
      <c r="C4" s="671" t="n"/>
      <c r="D4" s="666" t="n"/>
      <c r="E4" s="666" t="n"/>
      <c r="F4" s="666" t="n"/>
      <c r="G4" s="666" t="n"/>
      <c r="H4" s="666" t="n"/>
      <c r="I4" s="672" t="n"/>
    </row>
    <row r="5" ht="22.5" customHeight="1" s="355">
      <c r="A5" s="664" t="n"/>
      <c r="B5" s="665" t="inlineStr">
        <is>
          <t>Accounts Payable</t>
        </is>
      </c>
      <c r="C5" s="671" t="n"/>
      <c r="D5" s="666" t="n"/>
      <c r="E5" s="666" t="n"/>
      <c r="F5" s="666" t="n"/>
      <c r="G5" s="666" t="n"/>
      <c r="H5" s="666" t="n"/>
      <c r="I5" s="672" t="n"/>
    </row>
    <row r="6" ht="22.5" customHeight="1" s="355">
      <c r="A6" s="664" t="n"/>
      <c r="B6" s="665" t="inlineStr">
        <is>
          <t>T&amp;E</t>
        </is>
      </c>
      <c r="C6" s="671" t="n"/>
      <c r="D6" s="666" t="n"/>
      <c r="E6" s="666" t="n"/>
      <c r="F6" s="666" t="n"/>
      <c r="G6" s="666" t="n"/>
      <c r="H6" s="666" t="n"/>
      <c r="I6" s="672" t="n"/>
    </row>
    <row r="7" ht="22.5" customHeight="1" s="355">
      <c r="A7" s="664" t="n"/>
      <c r="B7" s="665" t="inlineStr">
        <is>
          <t>Order to Cash</t>
        </is>
      </c>
      <c r="C7" s="671" t="n"/>
      <c r="D7" s="666" t="n"/>
      <c r="E7" s="666" t="n"/>
      <c r="F7" s="666" t="n"/>
      <c r="G7" s="666" t="n"/>
      <c r="H7" s="666" t="n"/>
      <c r="I7" s="672"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71" t="n"/>
      <c r="D8" s="666" t="n"/>
      <c r="E8" s="666" t="n"/>
      <c r="F8" s="666" t="n"/>
      <c r="G8" s="666" t="n"/>
      <c r="H8" s="666" t="n"/>
      <c r="I8" s="672"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19.xml><?xml version="1.0" encoding="utf-8"?>
<worksheet xmlns="http://schemas.openxmlformats.org/spreadsheetml/2006/main">
  <sheetPr filterMode="0">
    <tabColor rgb="FF00FFFF"/>
    <outlinePr summaryBelow="1" summaryRight="1"/>
    <pageSetUpPr fitToPage="1"/>
  </sheetPr>
  <dimension ref="A1:W81"/>
  <sheetViews>
    <sheetView showFormulas="0" showGridLines="1" showRowColHeaders="1" showZeros="1" rightToLeft="0" tabSelected="0" showOutlineSymbols="1" defaultGridColor="1" view="normal" topLeftCell="A55" colorId="64" zoomScale="50" zoomScaleNormal="50" zoomScalePageLayoutView="100" workbookViewId="0">
      <selection pane="topLeft" activeCell="A1" activeCellId="0" sqref="A1:K82"/>
    </sheetView>
  </sheetViews>
  <sheetFormatPr baseColWidth="8" defaultColWidth="8.3984375" defaultRowHeight="12.75" customHeight="1" zeroHeight="0" outlineLevelRow="0"/>
  <cols>
    <col width="28.52" customWidth="1" style="407" min="1" max="1"/>
    <col width="49.69" customWidth="1" style="407" min="2" max="2"/>
    <col width="13.95" customWidth="1" style="407" min="3" max="3"/>
    <col width="14.55" customWidth="1" style="407" min="4" max="4"/>
    <col width="13.95" customWidth="1" style="407" min="5" max="10"/>
    <col width="8.4" customWidth="1" style="407" min="11" max="257"/>
  </cols>
  <sheetData>
    <row r="1" ht="22.5" customHeight="1" s="355">
      <c r="A1" s="408" t="inlineStr">
        <is>
          <t>BASE CHARGE SUMMARY (US$)</t>
        </is>
      </c>
      <c r="B1" s="409" t="n"/>
      <c r="C1" s="647" t="n"/>
      <c r="D1" s="647" t="n"/>
      <c r="E1" s="647" t="n"/>
      <c r="F1" s="647" t="n"/>
      <c r="G1" s="647" t="n"/>
      <c r="H1" s="647" t="n"/>
      <c r="I1" s="647" t="n"/>
      <c r="J1" s="647" t="n"/>
    </row>
    <row r="2" ht="22.5" customHeight="1" s="355">
      <c r="A2" s="411" t="inlineStr">
        <is>
          <t>Centre Two</t>
        </is>
      </c>
      <c r="B2" s="412" t="n"/>
      <c r="C2" s="648" t="inlineStr">
        <is>
          <t>Year 1</t>
        </is>
      </c>
      <c r="D2" s="649" t="inlineStr">
        <is>
          <t>Year 2</t>
        </is>
      </c>
      <c r="E2" s="649" t="inlineStr">
        <is>
          <t>Year 3</t>
        </is>
      </c>
      <c r="F2" s="649" t="inlineStr">
        <is>
          <t>Year 4</t>
        </is>
      </c>
      <c r="G2" s="649" t="inlineStr">
        <is>
          <t>Year 5</t>
        </is>
      </c>
      <c r="H2" s="649" t="inlineStr">
        <is>
          <t>Year 6</t>
        </is>
      </c>
      <c r="I2" s="649" t="inlineStr">
        <is>
          <t>Year 7</t>
        </is>
      </c>
      <c r="J2" s="649" t="inlineStr">
        <is>
          <t>Year 8</t>
        </is>
      </c>
    </row>
    <row r="3" ht="22.5" customHeight="1" s="355">
      <c r="A3" s="415" t="n"/>
      <c r="B3" s="416" t="inlineStr">
        <is>
          <t>Process Summary</t>
        </is>
      </c>
      <c r="C3" s="650" t="n"/>
      <c r="D3" s="651" t="n"/>
      <c r="E3" s="651" t="n"/>
      <c r="F3" s="651" t="n"/>
      <c r="G3" s="651" t="n"/>
      <c r="H3" s="651" t="n"/>
      <c r="I3" s="651" t="n"/>
      <c r="J3" s="651" t="n"/>
    </row>
    <row r="4" ht="22.5" customHeight="1" s="355">
      <c r="A4" s="415" t="n"/>
      <c r="B4" s="430" t="inlineStr">
        <is>
          <t>General Accounting &amp; Sox</t>
        </is>
      </c>
      <c r="C4" s="652">
        <f>+SUM('Switzerland-BC-2:UK-BC-2'!$C3)</f>
        <v/>
      </c>
      <c r="D4" s="652">
        <f>+SUM('Switzerland-BC-2:UK-BC-2'!$D3)</f>
        <v/>
      </c>
      <c r="E4" s="652">
        <f>+SUM('Switzerland-BC-2:UK-BC-2'!$E3)</f>
        <v/>
      </c>
      <c r="F4" s="652">
        <f>+SUM('Switzerland-BC-2:UK-BC-2'!$F3)</f>
        <v/>
      </c>
      <c r="G4" s="652">
        <f>+SUM('Switzerland-BC-2:UK-BC-2'!$G3)</f>
        <v/>
      </c>
      <c r="H4" s="652">
        <f>+SUM('Switzerland-BC-2:UK-BC-2'!$H3)</f>
        <v/>
      </c>
      <c r="I4" s="652">
        <f>+SUM('Switzerland-BC-2:UK-BC-2'!$I3)</f>
        <v/>
      </c>
      <c r="J4" s="652">
        <f>+SUM('Switzerland-BC-2:UK-BC-2'!$J3)</f>
        <v/>
      </c>
    </row>
    <row r="5" ht="22.5" customHeight="1" s="355">
      <c r="A5" s="415" t="n"/>
      <c r="B5" s="566" t="inlineStr">
        <is>
          <t>Fixed Assets</t>
        </is>
      </c>
      <c r="C5" s="653">
        <f>+SUM('Switzerland-BC-2:UK-BC-2'!$C4)</f>
        <v/>
      </c>
      <c r="D5" s="654">
        <f>+SUM('Switzerland-BC-2:UK-BC-2'!$D4)</f>
        <v/>
      </c>
      <c r="E5" s="654">
        <f>+SUM('Switzerland-BC-2:UK-BC-2'!$E4)</f>
        <v/>
      </c>
      <c r="F5" s="654">
        <f>+SUM('Switzerland-BC-2:UK-BC-2'!$F4)</f>
        <v/>
      </c>
      <c r="G5" s="654">
        <f>+SUM('Switzerland-BC-2:UK-BC-2'!$G4)</f>
        <v/>
      </c>
      <c r="H5" s="654">
        <f>+SUM('Switzerland-BC-2:UK-BC-2'!$H4)</f>
        <v/>
      </c>
      <c r="I5" s="654">
        <f>+SUM('Switzerland-BC-2:UK-BC-2'!$I4)</f>
        <v/>
      </c>
      <c r="J5" s="654">
        <f>+SUM('Switzerland-BC-2:UK-BC-2'!$J4)</f>
        <v/>
      </c>
    </row>
    <row r="6" ht="22.5" customHeight="1" s="355">
      <c r="A6" s="415" t="n"/>
      <c r="B6" s="566" t="inlineStr">
        <is>
          <t>Accounts Payable</t>
        </is>
      </c>
      <c r="C6" s="653">
        <f>+SUM('Switzerland-BC-2:UK-BC-2'!$C5)</f>
        <v/>
      </c>
      <c r="D6" s="654">
        <f>+SUM('Switzerland-BC-2:UK-BC-2'!$D5)</f>
        <v/>
      </c>
      <c r="E6" s="654">
        <f>+SUM('Switzerland-BC-2:UK-BC-2'!$E5)</f>
        <v/>
      </c>
      <c r="F6" s="654">
        <f>+SUM('Switzerland-BC-2:UK-BC-2'!$F5)</f>
        <v/>
      </c>
      <c r="G6" s="654">
        <f>+SUM('Switzerland-BC-2:UK-BC-2'!$G5)</f>
        <v/>
      </c>
      <c r="H6" s="654">
        <f>+SUM('Switzerland-BC-2:UK-BC-2'!$H5)</f>
        <v/>
      </c>
      <c r="I6" s="654">
        <f>+SUM('Switzerland-BC-2:UK-BC-2'!$I5)</f>
        <v/>
      </c>
      <c r="J6" s="654">
        <f>+SUM('Switzerland-BC-2:UK-BC-2'!$J5)</f>
        <v/>
      </c>
    </row>
    <row r="7" ht="22.5" customHeight="1" s="355">
      <c r="A7" s="415" t="n"/>
      <c r="B7" s="566" t="inlineStr">
        <is>
          <t>T&amp;E</t>
        </is>
      </c>
      <c r="C7" s="653">
        <f>+SUM('Switzerland-BC-2:UK-BC-2'!$C6)</f>
        <v/>
      </c>
      <c r="D7" s="654">
        <f>+SUM('Switzerland-BC-2:UK-BC-2'!$D6)</f>
        <v/>
      </c>
      <c r="E7" s="654">
        <f>+SUM('Switzerland-BC-2:UK-BC-2'!$E6)</f>
        <v/>
      </c>
      <c r="F7" s="654">
        <f>+SUM('Switzerland-BC-2:UK-BC-2'!$F6)</f>
        <v/>
      </c>
      <c r="G7" s="654">
        <f>+SUM('Switzerland-BC-2:UK-BC-2'!$G6)</f>
        <v/>
      </c>
      <c r="H7" s="654">
        <f>+SUM('Switzerland-BC-2:UK-BC-2'!$H6)</f>
        <v/>
      </c>
      <c r="I7" s="654">
        <f>+SUM('Switzerland-BC-2:UK-BC-2'!$I6)</f>
        <v/>
      </c>
      <c r="J7" s="654">
        <f>+SUM('Switzerland-BC-2:UK-BC-2'!$J6)</f>
        <v/>
      </c>
    </row>
    <row r="8" ht="22.5" customHeight="1" s="355">
      <c r="A8" s="415" t="n"/>
      <c r="B8" s="566" t="inlineStr">
        <is>
          <t>Order to Cash</t>
        </is>
      </c>
      <c r="C8" s="653">
        <f>+SUM('Switzerland-BC-2:UK-BC-2'!$C7)</f>
        <v/>
      </c>
      <c r="D8" s="654">
        <f>+SUM('Switzerland-BC-2:UK-BC-2'!$D7)</f>
        <v/>
      </c>
      <c r="E8" s="654">
        <f>+SUM('Switzerland-BC-2:UK-BC-2'!$E7)</f>
        <v/>
      </c>
      <c r="F8" s="654">
        <f>+SUM('Switzerland-BC-2:UK-BC-2'!$F7)</f>
        <v/>
      </c>
      <c r="G8" s="654">
        <f>+SUM('Switzerland-BC-2:UK-BC-2'!$G7)</f>
        <v/>
      </c>
      <c r="H8" s="654">
        <f>+SUM('Switzerland-BC-2:UK-BC-2'!$H7)</f>
        <v/>
      </c>
      <c r="I8" s="654">
        <f>+SUM('Switzerland-BC-2:UK-BC-2'!$I7)</f>
        <v/>
      </c>
      <c r="J8" s="654">
        <f>+SUM('Switzerland-BC-2:UK-BC-2'!$J7)</f>
        <v/>
      </c>
      <c r="K8" s="354" t="n"/>
      <c r="L8" s="354" t="n"/>
      <c r="M8" s="354" t="n"/>
      <c r="N8" s="354" t="n"/>
      <c r="O8" s="354" t="n"/>
      <c r="P8" s="354" t="n"/>
      <c r="Q8" s="354" t="n"/>
      <c r="R8" s="354" t="n"/>
      <c r="S8" s="354" t="n"/>
      <c r="T8" s="354" t="n"/>
      <c r="U8" s="354" t="n"/>
      <c r="V8" s="354" t="n"/>
      <c r="W8" s="354" t="n"/>
    </row>
    <row r="9" ht="22.5" customHeight="1" s="355">
      <c r="A9" s="415" t="n"/>
      <c r="B9" s="566" t="inlineStr">
        <is>
          <t>Requistion to Pay</t>
        </is>
      </c>
      <c r="C9" s="653">
        <f>+SUM('Switzerland-BC-2:UK-BC-2'!$C8)</f>
        <v/>
      </c>
      <c r="D9" s="654">
        <f>+SUM('Switzerland-BC-2:UK-BC-2'!$D8)</f>
        <v/>
      </c>
      <c r="E9" s="654">
        <f>+SUM('Switzerland-BC-2:UK-BC-2'!$E8)</f>
        <v/>
      </c>
      <c r="F9" s="654">
        <f>+SUM('Switzerland-BC-2:UK-BC-2'!$F8)</f>
        <v/>
      </c>
      <c r="G9" s="654">
        <f>+SUM('Switzerland-BC-2:UK-BC-2'!$G8)</f>
        <v/>
      </c>
      <c r="H9" s="654">
        <f>+SUM('Switzerland-BC-2:UK-BC-2'!$H8)</f>
        <v/>
      </c>
      <c r="I9" s="654">
        <f>+SUM('Switzerland-BC-2:UK-BC-2'!$I8)</f>
        <v/>
      </c>
      <c r="J9" s="654">
        <f>+SUM('Switzerland-BC-2:UK-BC-2'!$J8)</f>
        <v/>
      </c>
    </row>
    <row r="10" ht="22.5" customHeight="1" s="355">
      <c r="A10" s="415" t="n"/>
      <c r="B10" s="422" t="inlineStr">
        <is>
          <t>Total Base Charge All Countries</t>
        </is>
      </c>
      <c r="C10" s="423">
        <f>SUM(C4:C9)</f>
        <v/>
      </c>
      <c r="D10" s="423">
        <f>SUM(D4:D9)</f>
        <v/>
      </c>
      <c r="E10" s="423">
        <f>SUM(E4:E9)</f>
        <v/>
      </c>
      <c r="F10" s="423">
        <f>SUM(F4:F9)</f>
        <v/>
      </c>
      <c r="G10" s="423">
        <f>SUM(G4:G9)</f>
        <v/>
      </c>
      <c r="H10" s="423">
        <f>SUM(H4:H9)</f>
        <v/>
      </c>
      <c r="I10" s="423">
        <f>SUM(I4:I9)</f>
        <v/>
      </c>
      <c r="J10" s="423">
        <f>SUM(J4:J9)</f>
        <v/>
      </c>
    </row>
    <row r="11" ht="22.5" customHeight="1" s="355">
      <c r="A11" s="415" t="n"/>
      <c r="B11" s="416" t="inlineStr">
        <is>
          <t>General Accounting &amp; Sox</t>
        </is>
      </c>
      <c r="C11" s="417" t="n"/>
      <c r="D11" s="418" t="n"/>
      <c r="E11" s="418" t="n"/>
      <c r="F11" s="418" t="n"/>
      <c r="G11" s="418" t="n"/>
      <c r="H11" s="418" t="n"/>
      <c r="I11" s="418" t="n"/>
      <c r="J11" s="418" t="n"/>
    </row>
    <row r="12" ht="22.5" customHeight="1" s="355">
      <c r="A12" s="415" t="n"/>
      <c r="B12" s="419" t="inlineStr">
        <is>
          <t xml:space="preserve">  Switzerland</t>
        </is>
      </c>
      <c r="C12" s="420">
        <f>'Switzerland-BC-2'!$C$3</f>
        <v/>
      </c>
      <c r="D12" s="420">
        <f>'Switzerland-BC-2'!$D$3</f>
        <v/>
      </c>
      <c r="E12" s="420">
        <f>'Switzerland-BC-2'!$E$3</f>
        <v/>
      </c>
      <c r="F12" s="420">
        <f>'Switzerland-BC-2'!$F$3</f>
        <v/>
      </c>
      <c r="G12" s="420">
        <f>'Switzerland-BC-2'!$G$3</f>
        <v/>
      </c>
      <c r="H12" s="420">
        <f>'Switzerland-BC-2'!$H$3</f>
        <v/>
      </c>
      <c r="I12" s="420">
        <f>'Switzerland-BC-2'!$I$3</f>
        <v/>
      </c>
      <c r="J12" s="420">
        <f>'Switzerland-BC-2'!$J$3</f>
        <v/>
      </c>
    </row>
    <row r="13" ht="22.5" customHeight="1" s="355">
      <c r="A13" s="415" t="n"/>
      <c r="B13" s="419" t="inlineStr">
        <is>
          <t xml:space="preserve">  United States</t>
        </is>
      </c>
      <c r="C13" s="420">
        <f>'US-BC-2'!$C$3</f>
        <v/>
      </c>
      <c r="D13" s="420">
        <f>'US-BC-2'!$D$3</f>
        <v/>
      </c>
      <c r="E13" s="420">
        <f>'US-BC-2'!$E$3</f>
        <v/>
      </c>
      <c r="F13" s="420">
        <f>'US-BC-2'!$F$3</f>
        <v/>
      </c>
      <c r="G13" s="420">
        <f>'US-BC-2'!$G$3</f>
        <v/>
      </c>
      <c r="H13" s="420">
        <f>'US-BC-2'!$H$3</f>
        <v/>
      </c>
      <c r="I13" s="420">
        <f>'US-BC-2'!$I$3</f>
        <v/>
      </c>
      <c r="J13" s="420">
        <f>'US-BC-2'!$J$3</f>
        <v/>
      </c>
    </row>
    <row r="14" ht="22.5" customHeight="1" s="355">
      <c r="A14" s="415" t="n"/>
      <c r="B14" s="419" t="inlineStr">
        <is>
          <t xml:space="preserve">  France</t>
        </is>
      </c>
      <c r="C14" s="420">
        <f>'France-BC-2'!$C$3</f>
        <v/>
      </c>
      <c r="D14" s="420">
        <f>'France-BC-2'!$D$3</f>
        <v/>
      </c>
      <c r="E14" s="420">
        <f>'France-BC-2'!$E$3</f>
        <v/>
      </c>
      <c r="F14" s="420">
        <f>'France-BC-2'!$F$3</f>
        <v/>
      </c>
      <c r="G14" s="420">
        <f>'France-BC-2'!$G$3</f>
        <v/>
      </c>
      <c r="H14" s="420">
        <f>'France-BC-2'!$H$3</f>
        <v/>
      </c>
      <c r="I14" s="420">
        <f>'France-BC-2'!$I$3</f>
        <v/>
      </c>
      <c r="J14" s="420">
        <f>'France-BC-2'!$J$3</f>
        <v/>
      </c>
    </row>
    <row r="15" ht="22.5" customHeight="1" s="355">
      <c r="A15" s="415" t="n"/>
      <c r="B15" s="419" t="inlineStr">
        <is>
          <t xml:space="preserve">  Germany </t>
        </is>
      </c>
      <c r="C15" s="420">
        <f>'Germany-BC-2'!$C$3</f>
        <v/>
      </c>
      <c r="D15" s="420">
        <f>'Germany-BC-2'!$D$3</f>
        <v/>
      </c>
      <c r="E15" s="420">
        <f>'Germany-BC-2'!$E$3</f>
        <v/>
      </c>
      <c r="F15" s="420">
        <f>'Germany-BC-2'!$F$3</f>
        <v/>
      </c>
      <c r="G15" s="420">
        <f>'Germany-BC-2'!$G$3</f>
        <v/>
      </c>
      <c r="H15" s="420">
        <f>'Germany-BC-2'!$H$3</f>
        <v/>
      </c>
      <c r="I15" s="420">
        <f>'Germany-BC-2'!$I$3</f>
        <v/>
      </c>
      <c r="J15" s="420">
        <f>'Germany-BC-2'!$J$3</f>
        <v/>
      </c>
    </row>
    <row r="16" ht="22.5" customHeight="1" s="355">
      <c r="A16" s="415" t="n"/>
      <c r="B16" s="419" t="inlineStr">
        <is>
          <t xml:space="preserve">  Germany Production</t>
        </is>
      </c>
      <c r="C16" s="420">
        <f>'Germany Production-BC-2'!$C$3</f>
        <v/>
      </c>
      <c r="D16" s="420">
        <f>'Germany Production-BC-2'!$D$3</f>
        <v/>
      </c>
      <c r="E16" s="420">
        <f>'Germany Production-BC-2'!$E$3</f>
        <v/>
      </c>
      <c r="F16" s="420">
        <f>'Germany Production-BC-2'!$F$3</f>
        <v/>
      </c>
      <c r="G16" s="420">
        <f>'Germany Production-BC-2'!$G$3</f>
        <v/>
      </c>
      <c r="H16" s="420">
        <f>'Germany Production-BC-2'!$H$3</f>
        <v/>
      </c>
      <c r="I16" s="420">
        <f>'Germany Production-BC-2'!$I$3</f>
        <v/>
      </c>
      <c r="J16" s="420">
        <f>'Germany Production-BC-2'!$J$3</f>
        <v/>
      </c>
    </row>
    <row r="17" ht="22.5" customHeight="1" s="355">
      <c r="A17" s="415" t="n"/>
      <c r="B17" s="419" t="inlineStr">
        <is>
          <t xml:space="preserve">  Spain</t>
        </is>
      </c>
      <c r="C17" s="420">
        <f>'Spain-BC-2'!$C$3</f>
        <v/>
      </c>
      <c r="D17" s="420">
        <f>'Spain-BC-2'!$D$3</f>
        <v/>
      </c>
      <c r="E17" s="420">
        <f>'Spain-BC-2'!$E$3</f>
        <v/>
      </c>
      <c r="F17" s="420">
        <f>'Spain-BC-2'!$F$3</f>
        <v/>
      </c>
      <c r="G17" s="420">
        <f>'Spain-BC-2'!$G$3</f>
        <v/>
      </c>
      <c r="H17" s="420">
        <f>'Spain-BC-2'!$H$3</f>
        <v/>
      </c>
      <c r="I17" s="420">
        <f>'Spain-BC-2'!$I$3</f>
        <v/>
      </c>
      <c r="J17" s="420">
        <f>'Spain-BC-2'!$J$3</f>
        <v/>
      </c>
    </row>
    <row r="18" ht="22.5" customHeight="1" s="355">
      <c r="A18" s="415" t="n"/>
      <c r="B18" s="419" t="inlineStr">
        <is>
          <t xml:space="preserve">  Italy</t>
        </is>
      </c>
      <c r="C18" s="420">
        <f>'Italy-BC-2'!$C$3</f>
        <v/>
      </c>
      <c r="D18" s="420">
        <f>'Italy-BC-2'!$D$3</f>
        <v/>
      </c>
      <c r="E18" s="420">
        <f>'Italy-BC-2'!$E$3</f>
        <v/>
      </c>
      <c r="F18" s="420">
        <f>'Italy-BC-2'!$F$3</f>
        <v/>
      </c>
      <c r="G18" s="420">
        <f>'Italy-BC-2'!$G$3</f>
        <v/>
      </c>
      <c r="H18" s="420">
        <f>'Italy-BC-2'!$H$3</f>
        <v/>
      </c>
      <c r="I18" s="420">
        <f>'Italy-BC-2'!$I$3</f>
        <v/>
      </c>
      <c r="J18" s="420">
        <f>'Italy-BC-2'!$J$3</f>
        <v/>
      </c>
    </row>
    <row r="19" ht="22.5" customHeight="1" s="355">
      <c r="A19" s="415" t="n"/>
      <c r="B19" s="421" t="inlineStr">
        <is>
          <t xml:space="preserve">  United Kingdom</t>
        </is>
      </c>
      <c r="C19" s="653">
        <f>'UK-BC-2'!$C$3</f>
        <v/>
      </c>
      <c r="D19" s="653">
        <f>'UK-BC-2'!$D$3</f>
        <v/>
      </c>
      <c r="E19" s="653">
        <f>'UK-BC-2'!$E$3</f>
        <v/>
      </c>
      <c r="F19" s="653">
        <f>'UK-BC-2'!$F$3</f>
        <v/>
      </c>
      <c r="G19" s="653">
        <f>'UK-BC-2'!$G$3</f>
        <v/>
      </c>
      <c r="H19" s="653">
        <f>'UK-BC-2'!$H$3</f>
        <v/>
      </c>
      <c r="I19" s="653">
        <f>'UK-BC-2'!$I$3</f>
        <v/>
      </c>
      <c r="J19" s="653">
        <f>'UK-BC-2'!$J$3</f>
        <v/>
      </c>
    </row>
    <row r="20" ht="22.5" customHeight="1" s="355">
      <c r="A20" s="415" t="n"/>
      <c r="B20" s="435" t="inlineStr">
        <is>
          <t xml:space="preserve">                Sub Total</t>
        </is>
      </c>
      <c r="C20" s="436">
        <f>SUM(C12:C19)</f>
        <v/>
      </c>
      <c r="D20" s="436">
        <f>SUM(D12:D19)</f>
        <v/>
      </c>
      <c r="E20" s="436">
        <f>SUM(E12:E19)</f>
        <v/>
      </c>
      <c r="F20" s="436">
        <f>SUM(F12:F19)</f>
        <v/>
      </c>
      <c r="G20" s="436">
        <f>SUM(G12:G19)</f>
        <v/>
      </c>
      <c r="H20" s="436">
        <f>SUM(H12:H19)</f>
        <v/>
      </c>
      <c r="I20" s="436">
        <f>SUM(I12:I19)</f>
        <v/>
      </c>
      <c r="J20" s="436">
        <f>SUM(J12:J19)</f>
        <v/>
      </c>
    </row>
    <row r="21" ht="22.5" customHeight="1" s="355">
      <c r="A21" s="415" t="n"/>
      <c r="B21" s="416" t="inlineStr">
        <is>
          <t>Fixed Assets</t>
        </is>
      </c>
      <c r="C21" s="417" t="n"/>
      <c r="D21" s="418" t="n"/>
      <c r="E21" s="418" t="n"/>
      <c r="F21" s="418" t="n"/>
      <c r="G21" s="418" t="n"/>
      <c r="H21" s="418" t="n"/>
      <c r="I21" s="418" t="n"/>
      <c r="J21" s="418" t="n"/>
    </row>
    <row r="22" ht="22.5" customHeight="1" s="355">
      <c r="A22" s="415" t="n"/>
      <c r="B22" s="419" t="inlineStr">
        <is>
          <t xml:space="preserve">  Switzerland</t>
        </is>
      </c>
      <c r="C22" s="420">
        <f>'Switzerland-BC-2'!$C$4</f>
        <v/>
      </c>
      <c r="D22" s="420">
        <f>'Switzerland-BC-2'!$D$4</f>
        <v/>
      </c>
      <c r="E22" s="420">
        <f>'Switzerland-BC-2'!$E$4</f>
        <v/>
      </c>
      <c r="F22" s="420">
        <f>'Switzerland-BC-2'!$F$4</f>
        <v/>
      </c>
      <c r="G22" s="420">
        <f>'Switzerland-BC-2'!$G$4</f>
        <v/>
      </c>
      <c r="H22" s="420">
        <f>'Switzerland-BC-2'!$H$4</f>
        <v/>
      </c>
      <c r="I22" s="420">
        <f>'Switzerland-BC-2'!$I$4</f>
        <v/>
      </c>
      <c r="J22" s="420">
        <f>'Switzerland-BC-2'!$J$4</f>
        <v/>
      </c>
    </row>
    <row r="23" ht="22.5" customHeight="1" s="355">
      <c r="A23" s="415" t="n"/>
      <c r="B23" s="419" t="inlineStr">
        <is>
          <t xml:space="preserve">  United States</t>
        </is>
      </c>
      <c r="C23" s="420">
        <f>'US-BC-2'!$C$4</f>
        <v/>
      </c>
      <c r="D23" s="420">
        <f>'US-BC-2'!$D$4</f>
        <v/>
      </c>
      <c r="E23" s="420">
        <f>'US-BC-2'!$E$4</f>
        <v/>
      </c>
      <c r="F23" s="420">
        <f>'US-BC-2'!$F$4</f>
        <v/>
      </c>
      <c r="G23" s="420">
        <f>'US-BC-2'!$G$4</f>
        <v/>
      </c>
      <c r="H23" s="420">
        <f>'US-BC-2'!$H$4</f>
        <v/>
      </c>
      <c r="I23" s="420">
        <f>'US-BC-2'!$I$4</f>
        <v/>
      </c>
      <c r="J23" s="420">
        <f>'US-BC-2'!$J$4</f>
        <v/>
      </c>
    </row>
    <row r="24" ht="22.5" customHeight="1" s="355">
      <c r="A24" s="415" t="n"/>
      <c r="B24" s="419" t="inlineStr">
        <is>
          <t xml:space="preserve">  France</t>
        </is>
      </c>
      <c r="C24" s="420">
        <f>'France-BC-2'!$C$4</f>
        <v/>
      </c>
      <c r="D24" s="420">
        <f>'France-BC-2'!$D$4</f>
        <v/>
      </c>
      <c r="E24" s="420">
        <f>'France-BC-2'!$E$4</f>
        <v/>
      </c>
      <c r="F24" s="420">
        <f>'France-BC-2'!$F$4</f>
        <v/>
      </c>
      <c r="G24" s="420">
        <f>'France-BC-2'!$G$4</f>
        <v/>
      </c>
      <c r="H24" s="420">
        <f>'France-BC-2'!$H$4</f>
        <v/>
      </c>
      <c r="I24" s="420">
        <f>'France-BC-2'!$I$4</f>
        <v/>
      </c>
      <c r="J24" s="420">
        <f>'France-BC-2'!$J$4</f>
        <v/>
      </c>
    </row>
    <row r="25" ht="22.5" customHeight="1" s="355">
      <c r="A25" s="415" t="n"/>
      <c r="B25" s="419" t="inlineStr">
        <is>
          <t xml:space="preserve">  Germany </t>
        </is>
      </c>
      <c r="C25" s="420">
        <f>'Germany-BC-2'!$C$4</f>
        <v/>
      </c>
      <c r="D25" s="420">
        <f>'Germany-BC-2'!$D$4</f>
        <v/>
      </c>
      <c r="E25" s="420">
        <f>'Germany-BC-2'!$E$4</f>
        <v/>
      </c>
      <c r="F25" s="420">
        <f>'Germany-BC-2'!$F$4</f>
        <v/>
      </c>
      <c r="G25" s="420">
        <f>'Germany-BC-2'!$G$4</f>
        <v/>
      </c>
      <c r="H25" s="420">
        <f>'Germany-BC-2'!$H$4</f>
        <v/>
      </c>
      <c r="I25" s="420">
        <f>'Germany-BC-2'!$I$4</f>
        <v/>
      </c>
      <c r="J25" s="420">
        <f>'Germany-BC-2'!$J$4</f>
        <v/>
      </c>
    </row>
    <row r="26" ht="22.5" customHeight="1" s="355">
      <c r="A26" s="415" t="n"/>
      <c r="B26" s="419" t="inlineStr">
        <is>
          <t xml:space="preserve">  Germany Production</t>
        </is>
      </c>
      <c r="C26" s="420">
        <f>'Germany Production-BC-2'!$C$4</f>
        <v/>
      </c>
      <c r="D26" s="420">
        <f>'Germany Production-BC-2'!$D$4</f>
        <v/>
      </c>
      <c r="E26" s="420">
        <f>'Germany Production-BC-2'!$E$4</f>
        <v/>
      </c>
      <c r="F26" s="420">
        <f>'Germany Production-BC-2'!$F$4</f>
        <v/>
      </c>
      <c r="G26" s="420">
        <f>'Germany Production-BC-2'!$G$4</f>
        <v/>
      </c>
      <c r="H26" s="420">
        <f>'Germany Production-BC-2'!$H$4</f>
        <v/>
      </c>
      <c r="I26" s="420">
        <f>'Germany Production-BC-2'!$I$4</f>
        <v/>
      </c>
      <c r="J26" s="420">
        <f>'Germany Production-BC-2'!$J$4</f>
        <v/>
      </c>
    </row>
    <row r="27" ht="22.5" customHeight="1" s="355">
      <c r="A27" s="415" t="n"/>
      <c r="B27" s="419" t="inlineStr">
        <is>
          <t xml:space="preserve">  Spain</t>
        </is>
      </c>
      <c r="C27" s="420">
        <f>'Spain-BC-2'!$C$4</f>
        <v/>
      </c>
      <c r="D27" s="420">
        <f>'Spain-BC-2'!$D$4</f>
        <v/>
      </c>
      <c r="E27" s="420">
        <f>'Spain-BC-2'!$E$4</f>
        <v/>
      </c>
      <c r="F27" s="420">
        <f>'Spain-BC-2'!$F$4</f>
        <v/>
      </c>
      <c r="G27" s="420">
        <f>'Spain-BC-2'!$G$4</f>
        <v/>
      </c>
      <c r="H27" s="420">
        <f>'Spain-BC-2'!$H$4</f>
        <v/>
      </c>
      <c r="I27" s="420">
        <f>'Spain-BC-2'!$I$4</f>
        <v/>
      </c>
      <c r="J27" s="420">
        <f>'Spain-BC-2'!$J$4</f>
        <v/>
      </c>
    </row>
    <row r="28" ht="22.5" customHeight="1" s="355">
      <c r="A28" s="415" t="n"/>
      <c r="B28" s="419" t="inlineStr">
        <is>
          <t xml:space="preserve">  Italy</t>
        </is>
      </c>
      <c r="C28" s="420">
        <f>'Italy-BC-2'!$C$4</f>
        <v/>
      </c>
      <c r="D28" s="420">
        <f>'Italy-BC-2'!$D$4</f>
        <v/>
      </c>
      <c r="E28" s="420">
        <f>'Italy-BC-2'!$E$4</f>
        <v/>
      </c>
      <c r="F28" s="420">
        <f>'Italy-BC-2'!$F$4</f>
        <v/>
      </c>
      <c r="G28" s="420">
        <f>'Italy-BC-2'!$G$4</f>
        <v/>
      </c>
      <c r="H28" s="420">
        <f>'Italy-BC-2'!$H$4</f>
        <v/>
      </c>
      <c r="I28" s="420">
        <f>'Italy-BC-2'!$I$4</f>
        <v/>
      </c>
      <c r="J28" s="420">
        <f>'Italy-BC-2'!$J$4</f>
        <v/>
      </c>
    </row>
    <row r="29" ht="22.5" customHeight="1" s="355">
      <c r="A29" s="415" t="n"/>
      <c r="B29" s="421" t="inlineStr">
        <is>
          <t xml:space="preserve">  United Kingdom</t>
        </is>
      </c>
      <c r="C29" s="653">
        <f>'UK-BC-2'!$C$4</f>
        <v/>
      </c>
      <c r="D29" s="653">
        <f>'UK-BC-2'!$D$4</f>
        <v/>
      </c>
      <c r="E29" s="653">
        <f>'UK-BC-2'!$E$4</f>
        <v/>
      </c>
      <c r="F29" s="653">
        <f>'UK-BC-2'!$F$4</f>
        <v/>
      </c>
      <c r="G29" s="653">
        <f>'UK-BC-2'!$G$4</f>
        <v/>
      </c>
      <c r="H29" s="653">
        <f>'UK-BC-2'!$H$4</f>
        <v/>
      </c>
      <c r="I29" s="653">
        <f>'UK-BC-2'!$I$4</f>
        <v/>
      </c>
      <c r="J29" s="653">
        <f>'UK-BC-2'!$J$4</f>
        <v/>
      </c>
    </row>
    <row r="30" ht="22.5" customHeight="1" s="355">
      <c r="A30" s="415" t="n"/>
      <c r="B30" s="435" t="inlineStr">
        <is>
          <t xml:space="preserve">                Sub Total</t>
        </is>
      </c>
      <c r="C30" s="436">
        <f>SUM(C22:C29)</f>
        <v/>
      </c>
      <c r="D30" s="436">
        <f>SUM(D22:D29)</f>
        <v/>
      </c>
      <c r="E30" s="436">
        <f>SUM(E22:E29)</f>
        <v/>
      </c>
      <c r="F30" s="436">
        <f>SUM(F22:F29)</f>
        <v/>
      </c>
      <c r="G30" s="436">
        <f>SUM(G22:G29)</f>
        <v/>
      </c>
      <c r="H30" s="436">
        <f>SUM(H22:H29)</f>
        <v/>
      </c>
      <c r="I30" s="436">
        <f>SUM(I22:I29)</f>
        <v/>
      </c>
      <c r="J30" s="436">
        <f>SUM(J22:J29)</f>
        <v/>
      </c>
    </row>
    <row r="31" ht="22.5" customHeight="1" s="355">
      <c r="A31" s="415" t="n"/>
      <c r="B31" s="416" t="inlineStr">
        <is>
          <t>Accounts Payable</t>
        </is>
      </c>
      <c r="C31" s="417" t="n"/>
      <c r="D31" s="418" t="n"/>
      <c r="E31" s="418" t="n"/>
      <c r="F31" s="418" t="n"/>
      <c r="G31" s="418" t="n"/>
      <c r="H31" s="418" t="n"/>
      <c r="I31" s="418" t="n"/>
      <c r="J31" s="418" t="n"/>
    </row>
    <row r="32" ht="22.5" customHeight="1" s="355">
      <c r="A32" s="415" t="n"/>
      <c r="B32" s="419" t="inlineStr">
        <is>
          <t xml:space="preserve">  Switzerland</t>
        </is>
      </c>
      <c r="C32" s="420">
        <f>'Switzerland-BC-2'!$C$5</f>
        <v/>
      </c>
      <c r="D32" s="420">
        <f>'Switzerland-BC-2'!$D$5</f>
        <v/>
      </c>
      <c r="E32" s="420">
        <f>'Switzerland-BC-2'!$E$5</f>
        <v/>
      </c>
      <c r="F32" s="420">
        <f>'Switzerland-BC-2'!$F$5</f>
        <v/>
      </c>
      <c r="G32" s="420">
        <f>'Switzerland-BC-2'!$G$5</f>
        <v/>
      </c>
      <c r="H32" s="420">
        <f>'Switzerland-BC-2'!$H$5</f>
        <v/>
      </c>
      <c r="I32" s="420">
        <f>'Switzerland-BC-2'!$I$5</f>
        <v/>
      </c>
      <c r="J32" s="420">
        <f>'Switzerland-BC-2'!$J$5</f>
        <v/>
      </c>
    </row>
    <row r="33" ht="22.5" customHeight="1" s="355">
      <c r="A33" s="415" t="n"/>
      <c r="B33" s="419" t="inlineStr">
        <is>
          <t xml:space="preserve">  United States</t>
        </is>
      </c>
      <c r="C33" s="420">
        <f>'US-BC-2'!$C$5</f>
        <v/>
      </c>
      <c r="D33" s="420">
        <f>'US-BC-2'!$D$5</f>
        <v/>
      </c>
      <c r="E33" s="420">
        <f>'US-BC-2'!$E$5</f>
        <v/>
      </c>
      <c r="F33" s="420">
        <f>'US-BC-2'!$F$5</f>
        <v/>
      </c>
      <c r="G33" s="420">
        <f>'US-BC-2'!$G$5</f>
        <v/>
      </c>
      <c r="H33" s="420">
        <f>'US-BC-2'!$H$5</f>
        <v/>
      </c>
      <c r="I33" s="420">
        <f>'US-BC-2'!$I$5</f>
        <v/>
      </c>
      <c r="J33" s="420">
        <f>'US-BC-2'!$J$5</f>
        <v/>
      </c>
    </row>
    <row r="34" ht="22.5" customHeight="1" s="355">
      <c r="A34" s="415" t="n"/>
      <c r="B34" s="419" t="inlineStr">
        <is>
          <t xml:space="preserve">  France</t>
        </is>
      </c>
      <c r="C34" s="420">
        <f>'France-BC-2'!$C$5</f>
        <v/>
      </c>
      <c r="D34" s="420">
        <f>'France-BC-2'!$D$5</f>
        <v/>
      </c>
      <c r="E34" s="420">
        <f>'France-BC-2'!$E$5</f>
        <v/>
      </c>
      <c r="F34" s="420">
        <f>'France-BC-2'!$F$5</f>
        <v/>
      </c>
      <c r="G34" s="420">
        <f>'France-BC-2'!$G$5</f>
        <v/>
      </c>
      <c r="H34" s="420">
        <f>'France-BC-2'!$H$5</f>
        <v/>
      </c>
      <c r="I34" s="420">
        <f>'France-BC-2'!$I$5</f>
        <v/>
      </c>
      <c r="J34" s="420">
        <f>'France-BC-2'!$J$5</f>
        <v/>
      </c>
    </row>
    <row r="35" ht="22.5" customHeight="1" s="355">
      <c r="A35" s="415" t="n"/>
      <c r="B35" s="419" t="inlineStr">
        <is>
          <t xml:space="preserve">  Germany </t>
        </is>
      </c>
      <c r="C35" s="420">
        <f>'Germany-BC-2'!$C$5</f>
        <v/>
      </c>
      <c r="D35" s="420">
        <f>'Germany-BC-2'!$D$5</f>
        <v/>
      </c>
      <c r="E35" s="420">
        <f>'Germany-BC-2'!$E$5</f>
        <v/>
      </c>
      <c r="F35" s="420">
        <f>'Germany-BC-2'!$F$5</f>
        <v/>
      </c>
      <c r="G35" s="420">
        <f>'Germany-BC-2'!$G$5</f>
        <v/>
      </c>
      <c r="H35" s="420">
        <f>'Germany-BC-2'!$H$5</f>
        <v/>
      </c>
      <c r="I35" s="420">
        <f>'Germany-BC-2'!$I$5</f>
        <v/>
      </c>
      <c r="J35" s="420">
        <f>'Germany-BC-2'!$J$5</f>
        <v/>
      </c>
    </row>
    <row r="36" ht="22.5" customHeight="1" s="355">
      <c r="A36" s="415" t="n"/>
      <c r="B36" s="419" t="inlineStr">
        <is>
          <t xml:space="preserve">  Germany Production</t>
        </is>
      </c>
      <c r="C36" s="420">
        <f>'Germany Production-BC-2'!$C$5</f>
        <v/>
      </c>
      <c r="D36" s="420">
        <f>'Germany Production-BC-2'!$D$5</f>
        <v/>
      </c>
      <c r="E36" s="420">
        <f>'Germany Production-BC-2'!$E$5</f>
        <v/>
      </c>
      <c r="F36" s="420">
        <f>'Germany Production-BC-2'!$F$5</f>
        <v/>
      </c>
      <c r="G36" s="420">
        <f>'Germany Production-BC-2'!$G$5</f>
        <v/>
      </c>
      <c r="H36" s="420">
        <f>'Germany Production-BC-2'!$H$5</f>
        <v/>
      </c>
      <c r="I36" s="420">
        <f>'Germany Production-BC-2'!$I$5</f>
        <v/>
      </c>
      <c r="J36" s="420">
        <f>'Germany Production-BC-2'!$J$5</f>
        <v/>
      </c>
    </row>
    <row r="37" ht="22.5" customHeight="1" s="355">
      <c r="A37" s="415" t="n"/>
      <c r="B37" s="419" t="inlineStr">
        <is>
          <t xml:space="preserve">  Spain</t>
        </is>
      </c>
      <c r="C37" s="420">
        <f>'Spain-BC-2'!$C$5</f>
        <v/>
      </c>
      <c r="D37" s="420">
        <f>'Spain-BC-2'!$D$5</f>
        <v/>
      </c>
      <c r="E37" s="420">
        <f>'Spain-BC-2'!$E$5</f>
        <v/>
      </c>
      <c r="F37" s="420">
        <f>'Spain-BC-2'!$F$5</f>
        <v/>
      </c>
      <c r="G37" s="420">
        <f>'Spain-BC-2'!$G$5</f>
        <v/>
      </c>
      <c r="H37" s="420">
        <f>'Spain-BC-2'!$H$5</f>
        <v/>
      </c>
      <c r="I37" s="420">
        <f>'Spain-BC-2'!$I$5</f>
        <v/>
      </c>
      <c r="J37" s="420">
        <f>'Spain-BC-2'!$J$5</f>
        <v/>
      </c>
    </row>
    <row r="38" ht="22.5" customHeight="1" s="355">
      <c r="A38" s="415" t="n"/>
      <c r="B38" s="419" t="inlineStr">
        <is>
          <t xml:space="preserve">  Italy</t>
        </is>
      </c>
      <c r="C38" s="420">
        <f>'Italy-BC-2'!$C$5</f>
        <v/>
      </c>
      <c r="D38" s="420">
        <f>'Italy-BC-2'!$D$5</f>
        <v/>
      </c>
      <c r="E38" s="420">
        <f>'Italy-BC-2'!$E$5</f>
        <v/>
      </c>
      <c r="F38" s="420">
        <f>'Italy-BC-2'!$F$5</f>
        <v/>
      </c>
      <c r="G38" s="420">
        <f>'Italy-BC-2'!$G$5</f>
        <v/>
      </c>
      <c r="H38" s="420">
        <f>'Italy-BC-2'!$H$5</f>
        <v/>
      </c>
      <c r="I38" s="420">
        <f>'Italy-BC-2'!$I$5</f>
        <v/>
      </c>
      <c r="J38" s="420">
        <f>'Italy-BC-2'!$J$5</f>
        <v/>
      </c>
    </row>
    <row r="39" ht="22.5" customHeight="1" s="355">
      <c r="A39" s="415" t="n"/>
      <c r="B39" s="421" t="inlineStr">
        <is>
          <t xml:space="preserve">  United Kingdom</t>
        </is>
      </c>
      <c r="C39" s="653">
        <f>'UK-BC-2'!$C$5</f>
        <v/>
      </c>
      <c r="D39" s="653">
        <f>'UK-BC-2'!$D$5</f>
        <v/>
      </c>
      <c r="E39" s="653">
        <f>'UK-BC-2'!$E$5</f>
        <v/>
      </c>
      <c r="F39" s="653">
        <f>'UK-BC-2'!$F$5</f>
        <v/>
      </c>
      <c r="G39" s="653">
        <f>'UK-BC-2'!$G$5</f>
        <v/>
      </c>
      <c r="H39" s="653">
        <f>'UK-BC-2'!$H$5</f>
        <v/>
      </c>
      <c r="I39" s="653">
        <f>'UK-BC-2'!$I$5</f>
        <v/>
      </c>
      <c r="J39" s="653">
        <f>'UK-BC-2'!$J$5</f>
        <v/>
      </c>
    </row>
    <row r="40" ht="22.5" customHeight="1" s="355">
      <c r="A40" s="415" t="n"/>
      <c r="B40" s="435" t="inlineStr">
        <is>
          <t xml:space="preserve">                Sub Total</t>
        </is>
      </c>
      <c r="C40" s="436">
        <f>SUM(C32:C39)</f>
        <v/>
      </c>
      <c r="D40" s="436">
        <f>SUM(D32:D39)</f>
        <v/>
      </c>
      <c r="E40" s="436">
        <f>SUM(E32:E39)</f>
        <v/>
      </c>
      <c r="F40" s="436">
        <f>SUM(F32:F39)</f>
        <v/>
      </c>
      <c r="G40" s="436">
        <f>SUM(G32:G39)</f>
        <v/>
      </c>
      <c r="H40" s="436">
        <f>SUM(H32:H39)</f>
        <v/>
      </c>
      <c r="I40" s="436">
        <f>SUM(I32:I39)</f>
        <v/>
      </c>
      <c r="J40" s="436">
        <f>SUM(J32:J39)</f>
        <v/>
      </c>
    </row>
    <row r="41" ht="22.5" customHeight="1" s="355">
      <c r="A41" s="415" t="n"/>
      <c r="B41" s="416" t="inlineStr">
        <is>
          <t>T&amp;E</t>
        </is>
      </c>
      <c r="C41" s="417" t="n"/>
      <c r="D41" s="418" t="n"/>
      <c r="E41" s="418" t="n"/>
      <c r="F41" s="418" t="n"/>
      <c r="G41" s="418" t="n"/>
      <c r="H41" s="418" t="n"/>
      <c r="I41" s="418" t="n"/>
      <c r="J41" s="418" t="n"/>
    </row>
    <row r="42" ht="22.5" customHeight="1" s="355">
      <c r="A42" s="415" t="n"/>
      <c r="B42" s="419" t="inlineStr">
        <is>
          <t xml:space="preserve">  Switzerland</t>
        </is>
      </c>
      <c r="C42" s="420">
        <f>'Switzerland-BC-2'!$C$6</f>
        <v/>
      </c>
      <c r="D42" s="420">
        <f>'Switzerland-BC-2'!$D$6</f>
        <v/>
      </c>
      <c r="E42" s="420">
        <f>'Switzerland-BC-2'!$E$6</f>
        <v/>
      </c>
      <c r="F42" s="420">
        <f>'Switzerland-BC-2'!$F$6</f>
        <v/>
      </c>
      <c r="G42" s="420">
        <f>'Switzerland-BC-2'!$G$6</f>
        <v/>
      </c>
      <c r="H42" s="420">
        <f>'Switzerland-BC-2'!$H$6</f>
        <v/>
      </c>
      <c r="I42" s="420">
        <f>'Switzerland-BC-2'!$I$6</f>
        <v/>
      </c>
      <c r="J42" s="420">
        <f>'Switzerland-BC-2'!$J$6</f>
        <v/>
      </c>
    </row>
    <row r="43" ht="22.5" customHeight="1" s="355">
      <c r="A43" s="415" t="n"/>
      <c r="B43" s="419" t="inlineStr">
        <is>
          <t xml:space="preserve">  United States</t>
        </is>
      </c>
      <c r="C43" s="420">
        <f>'US-BC-2'!$C$6</f>
        <v/>
      </c>
      <c r="D43" s="420">
        <f>'US-BC-2'!$D$6</f>
        <v/>
      </c>
      <c r="E43" s="420">
        <f>'US-BC-2'!$E$6</f>
        <v/>
      </c>
      <c r="F43" s="420">
        <f>'US-BC-2'!$F$6</f>
        <v/>
      </c>
      <c r="G43" s="420">
        <f>'US-BC-2'!$G$6</f>
        <v/>
      </c>
      <c r="H43" s="420">
        <f>'US-BC-2'!$H$6</f>
        <v/>
      </c>
      <c r="I43" s="420">
        <f>'US-BC-2'!$I$6</f>
        <v/>
      </c>
      <c r="J43" s="420">
        <f>'US-BC-2'!$J$6</f>
        <v/>
      </c>
    </row>
    <row r="44" ht="22.5" customHeight="1" s="355">
      <c r="A44" s="415" t="n"/>
      <c r="B44" s="419" t="inlineStr">
        <is>
          <t xml:space="preserve">  France</t>
        </is>
      </c>
      <c r="C44" s="420">
        <f>'France-BC-2'!$C$6</f>
        <v/>
      </c>
      <c r="D44" s="420">
        <f>'France-BC-2'!$D$6</f>
        <v/>
      </c>
      <c r="E44" s="420">
        <f>'France-BC-2'!$E$6</f>
        <v/>
      </c>
      <c r="F44" s="420">
        <f>'France-BC-2'!$F$6</f>
        <v/>
      </c>
      <c r="G44" s="420">
        <f>'France-BC-2'!$G$6</f>
        <v/>
      </c>
      <c r="H44" s="420">
        <f>'France-BC-2'!$H$6</f>
        <v/>
      </c>
      <c r="I44" s="420">
        <f>'France-BC-2'!$I$6</f>
        <v/>
      </c>
      <c r="J44" s="420">
        <f>'France-BC-2'!$J$6</f>
        <v/>
      </c>
    </row>
    <row r="45" ht="22.5" customHeight="1" s="355">
      <c r="A45" s="415" t="n"/>
      <c r="B45" s="419" t="inlineStr">
        <is>
          <t xml:space="preserve">  Germany </t>
        </is>
      </c>
      <c r="C45" s="420">
        <f>'Germany-BC-2'!$C$6</f>
        <v/>
      </c>
      <c r="D45" s="420">
        <f>'Germany-BC-2'!$D$6</f>
        <v/>
      </c>
      <c r="E45" s="420">
        <f>'Germany-BC-2'!$E$6</f>
        <v/>
      </c>
      <c r="F45" s="420">
        <f>'Germany-BC-2'!$F$6</f>
        <v/>
      </c>
      <c r="G45" s="420">
        <f>'Germany-BC-2'!$G$6</f>
        <v/>
      </c>
      <c r="H45" s="420">
        <f>'Germany-BC-2'!$H$6</f>
        <v/>
      </c>
      <c r="I45" s="420">
        <f>'Germany-BC-2'!$I$6</f>
        <v/>
      </c>
      <c r="J45" s="420">
        <f>'Germany-BC-2'!$J$6</f>
        <v/>
      </c>
    </row>
    <row r="46" ht="22.5" customHeight="1" s="355">
      <c r="A46" s="415" t="n"/>
      <c r="B46" s="419" t="inlineStr">
        <is>
          <t xml:space="preserve">  Germany Production</t>
        </is>
      </c>
      <c r="C46" s="420">
        <f>'Germany Production-BC-2'!$C$6</f>
        <v/>
      </c>
      <c r="D46" s="420">
        <f>'Germany Production-BC-2'!$D$6</f>
        <v/>
      </c>
      <c r="E46" s="420">
        <f>'Germany Production-BC-2'!$E$6</f>
        <v/>
      </c>
      <c r="F46" s="420">
        <f>'Germany Production-BC-2'!$F$6</f>
        <v/>
      </c>
      <c r="G46" s="420">
        <f>'Germany Production-BC-2'!$G$6</f>
        <v/>
      </c>
      <c r="H46" s="420">
        <f>'Germany Production-BC-2'!$H$6</f>
        <v/>
      </c>
      <c r="I46" s="420">
        <f>'Germany Production-BC-2'!$I$6</f>
        <v/>
      </c>
      <c r="J46" s="420">
        <f>'Germany Production-BC-2'!$J$6</f>
        <v/>
      </c>
    </row>
    <row r="47" ht="22.5" customHeight="1" s="355">
      <c r="A47" s="415" t="n"/>
      <c r="B47" s="419" t="inlineStr">
        <is>
          <t xml:space="preserve">  Spain</t>
        </is>
      </c>
      <c r="C47" s="420">
        <f>'Spain-BC-2'!$C$6</f>
        <v/>
      </c>
      <c r="D47" s="420">
        <f>'Spain-BC-2'!$D$6</f>
        <v/>
      </c>
      <c r="E47" s="420">
        <f>'Spain-BC-2'!$E$6</f>
        <v/>
      </c>
      <c r="F47" s="420">
        <f>'Spain-BC-2'!$F$6</f>
        <v/>
      </c>
      <c r="G47" s="420">
        <f>'Spain-BC-2'!$G$6</f>
        <v/>
      </c>
      <c r="H47" s="420">
        <f>'Spain-BC-2'!$H$6</f>
        <v/>
      </c>
      <c r="I47" s="420">
        <f>'Spain-BC-2'!$I$6</f>
        <v/>
      </c>
      <c r="J47" s="420">
        <f>'Spain-BC-2'!$J$6</f>
        <v/>
      </c>
    </row>
    <row r="48" ht="22.5" customHeight="1" s="355">
      <c r="A48" s="415" t="n"/>
      <c r="B48" s="419" t="inlineStr">
        <is>
          <t xml:space="preserve">  Italy</t>
        </is>
      </c>
      <c r="C48" s="420">
        <f>'Italy-BC-2'!$C$6</f>
        <v/>
      </c>
      <c r="D48" s="420">
        <f>'Italy-BC-2'!$D$6</f>
        <v/>
      </c>
      <c r="E48" s="420">
        <f>'Italy-BC-2'!$E$6</f>
        <v/>
      </c>
      <c r="F48" s="420">
        <f>'Italy-BC-2'!$F$6</f>
        <v/>
      </c>
      <c r="G48" s="420">
        <f>'Italy-BC-2'!$G$6</f>
        <v/>
      </c>
      <c r="H48" s="420">
        <f>'Italy-BC-2'!$H$6</f>
        <v/>
      </c>
      <c r="I48" s="420">
        <f>'Italy-BC-2'!$I$6</f>
        <v/>
      </c>
      <c r="J48" s="420">
        <f>'Italy-BC-2'!$J$6</f>
        <v/>
      </c>
    </row>
    <row r="49" ht="22.5" customHeight="1" s="355">
      <c r="A49" s="415" t="n"/>
      <c r="B49" s="421" t="inlineStr">
        <is>
          <t xml:space="preserve">  United Kingdom</t>
        </is>
      </c>
      <c r="C49" s="653">
        <f>'UK-BC-2'!$C$6</f>
        <v/>
      </c>
      <c r="D49" s="653">
        <f>'UK-BC-2'!$D$6</f>
        <v/>
      </c>
      <c r="E49" s="653">
        <f>'UK-BC-2'!$E$6</f>
        <v/>
      </c>
      <c r="F49" s="653">
        <f>'UK-BC-2'!$F$6</f>
        <v/>
      </c>
      <c r="G49" s="653">
        <f>'UK-BC-2'!$G$6</f>
        <v/>
      </c>
      <c r="H49" s="653">
        <f>'UK-BC-2'!$H$6</f>
        <v/>
      </c>
      <c r="I49" s="653">
        <f>'UK-BC-2'!$I$6</f>
        <v/>
      </c>
      <c r="J49" s="653">
        <f>'UK-BC-2'!$J$6</f>
        <v/>
      </c>
    </row>
    <row r="50" ht="22.5" customHeight="1" s="355">
      <c r="A50" s="415" t="n"/>
      <c r="B50" s="435" t="inlineStr">
        <is>
          <t xml:space="preserve">                Sub Total</t>
        </is>
      </c>
      <c r="C50" s="436">
        <f>SUM(C42:C49)</f>
        <v/>
      </c>
      <c r="D50" s="436">
        <f>SUM(D42:D49)</f>
        <v/>
      </c>
      <c r="E50" s="436">
        <f>SUM(E42:E49)</f>
        <v/>
      </c>
      <c r="F50" s="436">
        <f>SUM(F42:F49)</f>
        <v/>
      </c>
      <c r="G50" s="436">
        <f>SUM(G42:G49)</f>
        <v/>
      </c>
      <c r="H50" s="436">
        <f>SUM(H42:H49)</f>
        <v/>
      </c>
      <c r="I50" s="436">
        <f>SUM(I42:I49)</f>
        <v/>
      </c>
      <c r="J50" s="436">
        <f>SUM(J42:J49)</f>
        <v/>
      </c>
    </row>
    <row r="51" ht="22.5" customHeight="1" s="355">
      <c r="A51" s="415" t="n"/>
      <c r="B51" s="416" t="inlineStr">
        <is>
          <t>Order to Cash</t>
        </is>
      </c>
      <c r="C51" s="417" t="n"/>
      <c r="D51" s="418" t="n"/>
      <c r="E51" s="418" t="n"/>
      <c r="F51" s="418" t="n"/>
      <c r="G51" s="418" t="n"/>
      <c r="H51" s="418" t="n"/>
      <c r="I51" s="418" t="n"/>
      <c r="J51" s="418" t="n"/>
    </row>
    <row r="52" ht="22.5" customHeight="1" s="355">
      <c r="A52" s="415" t="n"/>
      <c r="B52" s="419" t="inlineStr">
        <is>
          <t xml:space="preserve">  Switzerland</t>
        </is>
      </c>
      <c r="C52" s="420">
        <f>'Switzerland-BC-2'!$C$7</f>
        <v/>
      </c>
      <c r="D52" s="420">
        <f>'Switzerland-BC-2'!$D$7</f>
        <v/>
      </c>
      <c r="E52" s="420">
        <f>'Switzerland-BC-2'!$E$7</f>
        <v/>
      </c>
      <c r="F52" s="420">
        <f>'Switzerland-BC-2'!$F$7</f>
        <v/>
      </c>
      <c r="G52" s="420">
        <f>'Switzerland-BC-2'!$G$7</f>
        <v/>
      </c>
      <c r="H52" s="420">
        <f>'Switzerland-BC-2'!$H$7</f>
        <v/>
      </c>
      <c r="I52" s="420">
        <f>'Switzerland-BC-2'!$I$7</f>
        <v/>
      </c>
      <c r="J52" s="420">
        <f>'Switzerland-BC-2'!$J$7</f>
        <v/>
      </c>
    </row>
    <row r="53" ht="22.5" customHeight="1" s="355">
      <c r="A53" s="415" t="n"/>
      <c r="B53" s="419" t="inlineStr">
        <is>
          <t xml:space="preserve">  United States</t>
        </is>
      </c>
      <c r="C53" s="420">
        <f>'US-BC-2'!$C$7</f>
        <v/>
      </c>
      <c r="D53" s="420">
        <f>'US-BC-2'!$D$7</f>
        <v/>
      </c>
      <c r="E53" s="420">
        <f>'US-BC-2'!$E$7</f>
        <v/>
      </c>
      <c r="F53" s="420">
        <f>'US-BC-2'!$F$7</f>
        <v/>
      </c>
      <c r="G53" s="420">
        <f>'US-BC-2'!$G$7</f>
        <v/>
      </c>
      <c r="H53" s="420">
        <f>'US-BC-2'!$H$7</f>
        <v/>
      </c>
      <c r="I53" s="420">
        <f>'US-BC-2'!$I$7</f>
        <v/>
      </c>
      <c r="J53" s="420">
        <f>'US-BC-2'!$J$7</f>
        <v/>
      </c>
    </row>
    <row r="54" ht="22.5" customHeight="1" s="355">
      <c r="A54" s="415" t="n"/>
      <c r="B54" s="419" t="inlineStr">
        <is>
          <t xml:space="preserve">  France</t>
        </is>
      </c>
      <c r="C54" s="420">
        <f>'France-BC-2'!$C$7</f>
        <v/>
      </c>
      <c r="D54" s="420">
        <f>'France-BC-2'!$D$7</f>
        <v/>
      </c>
      <c r="E54" s="420">
        <f>'France-BC-2'!$E$7</f>
        <v/>
      </c>
      <c r="F54" s="420">
        <f>'France-BC-2'!$F$7</f>
        <v/>
      </c>
      <c r="G54" s="420">
        <f>'France-BC-2'!$G$7</f>
        <v/>
      </c>
      <c r="H54" s="420">
        <f>'France-BC-2'!$H$7</f>
        <v/>
      </c>
      <c r="I54" s="420">
        <f>'France-BC-2'!$I$7</f>
        <v/>
      </c>
      <c r="J54" s="420">
        <f>'France-BC-2'!$J$7</f>
        <v/>
      </c>
    </row>
    <row r="55" ht="22.5" customHeight="1" s="355">
      <c r="A55" s="415" t="n"/>
      <c r="B55" s="419" t="inlineStr">
        <is>
          <t xml:space="preserve">  Germany </t>
        </is>
      </c>
      <c r="C55" s="420">
        <f>'Germany-BC-2'!$C$7</f>
        <v/>
      </c>
      <c r="D55" s="420">
        <f>'Germany-BC-2'!$D$7</f>
        <v/>
      </c>
      <c r="E55" s="420">
        <f>'Germany-BC-2'!$E$7</f>
        <v/>
      </c>
      <c r="F55" s="420">
        <f>'Germany-BC-2'!$F$7</f>
        <v/>
      </c>
      <c r="G55" s="420">
        <f>'Germany-BC-2'!$G$7</f>
        <v/>
      </c>
      <c r="H55" s="420">
        <f>'Germany-BC-2'!$H$7</f>
        <v/>
      </c>
      <c r="I55" s="420">
        <f>'Germany-BC-2'!$I$7</f>
        <v/>
      </c>
      <c r="J55" s="420">
        <f>'Germany-BC-2'!$J$7</f>
        <v/>
      </c>
    </row>
    <row r="56" ht="22.5" customHeight="1" s="355">
      <c r="A56" s="415" t="n"/>
      <c r="B56" s="419" t="inlineStr">
        <is>
          <t xml:space="preserve">  Germany Production</t>
        </is>
      </c>
      <c r="C56" s="420">
        <f>'Germany Production-BC-2'!$C$7</f>
        <v/>
      </c>
      <c r="D56" s="420">
        <f>'Germany Production-BC-2'!$D$7</f>
        <v/>
      </c>
      <c r="E56" s="420">
        <f>'Germany Production-BC-2'!$E$7</f>
        <v/>
      </c>
      <c r="F56" s="420">
        <f>'Germany Production-BC-2'!$F$7</f>
        <v/>
      </c>
      <c r="G56" s="420">
        <f>'Germany Production-BC-2'!$G$7</f>
        <v/>
      </c>
      <c r="H56" s="420">
        <f>'Germany Production-BC-2'!$H$7</f>
        <v/>
      </c>
      <c r="I56" s="420">
        <f>'Germany Production-BC-2'!$I$7</f>
        <v/>
      </c>
      <c r="J56" s="420">
        <f>'Germany Production-BC-2'!$J$7</f>
        <v/>
      </c>
    </row>
    <row r="57" ht="22.5" customHeight="1" s="355">
      <c r="A57" s="415" t="n"/>
      <c r="B57" s="419" t="inlineStr">
        <is>
          <t xml:space="preserve">  Spain</t>
        </is>
      </c>
      <c r="C57" s="420">
        <f>'Spain-BC-2'!$C$7</f>
        <v/>
      </c>
      <c r="D57" s="420">
        <f>'Spain-BC-2'!$D$7</f>
        <v/>
      </c>
      <c r="E57" s="420">
        <f>'Spain-BC-2'!$E$7</f>
        <v/>
      </c>
      <c r="F57" s="420">
        <f>'Spain-BC-2'!$F$7</f>
        <v/>
      </c>
      <c r="G57" s="420">
        <f>'Spain-BC-2'!$G$7</f>
        <v/>
      </c>
      <c r="H57" s="420">
        <f>'Spain-BC-2'!$H$7</f>
        <v/>
      </c>
      <c r="I57" s="420">
        <f>'Spain-BC-2'!$I$7</f>
        <v/>
      </c>
      <c r="J57" s="420">
        <f>'Spain-BC-2'!$J$7</f>
        <v/>
      </c>
    </row>
    <row r="58" ht="22.5" customHeight="1" s="355">
      <c r="A58" s="415" t="n"/>
      <c r="B58" s="419" t="inlineStr">
        <is>
          <t xml:space="preserve">  Italy</t>
        </is>
      </c>
      <c r="C58" s="420">
        <f>'Italy-BC-2'!$C$7</f>
        <v/>
      </c>
      <c r="D58" s="420">
        <f>'Italy-BC-2'!$D$7</f>
        <v/>
      </c>
      <c r="E58" s="420">
        <f>'Italy-BC-2'!$E$7</f>
        <v/>
      </c>
      <c r="F58" s="420">
        <f>'Italy-BC-2'!$F$7</f>
        <v/>
      </c>
      <c r="G58" s="420">
        <f>'Italy-BC-2'!$G$7</f>
        <v/>
      </c>
      <c r="H58" s="420">
        <f>'Italy-BC-2'!$H$7</f>
        <v/>
      </c>
      <c r="I58" s="420">
        <f>'Italy-BC-2'!$I$7</f>
        <v/>
      </c>
      <c r="J58" s="420">
        <f>'Italy-BC-2'!$J$7</f>
        <v/>
      </c>
    </row>
    <row r="59" ht="22.5" customHeight="1" s="355">
      <c r="A59" s="415" t="n"/>
      <c r="B59" s="421" t="inlineStr">
        <is>
          <t xml:space="preserve">  United Kingdom</t>
        </is>
      </c>
      <c r="C59" s="653">
        <f>'UK-BC-2'!$C$7</f>
        <v/>
      </c>
      <c r="D59" s="653">
        <f>'UK-BC-2'!$D$7</f>
        <v/>
      </c>
      <c r="E59" s="653">
        <f>'UK-BC-2'!$E$7</f>
        <v/>
      </c>
      <c r="F59" s="653">
        <f>'UK-BC-2'!$F$7</f>
        <v/>
      </c>
      <c r="G59" s="653">
        <f>'UK-BC-2'!$G$7</f>
        <v/>
      </c>
      <c r="H59" s="653">
        <f>'UK-BC-2'!$H$7</f>
        <v/>
      </c>
      <c r="I59" s="653">
        <f>'UK-BC-2'!$I$7</f>
        <v/>
      </c>
      <c r="J59" s="653">
        <f>'UK-BC-2'!$J$7</f>
        <v/>
      </c>
    </row>
    <row r="60" ht="22.5" customHeight="1" s="355">
      <c r="A60" s="415" t="n"/>
      <c r="B60" s="435" t="inlineStr">
        <is>
          <t xml:space="preserve">                Sub Total</t>
        </is>
      </c>
      <c r="C60" s="436">
        <f>SUM(C52:C59)</f>
        <v/>
      </c>
      <c r="D60" s="436">
        <f>SUM(D52:D59)</f>
        <v/>
      </c>
      <c r="E60" s="436">
        <f>SUM(E52:E59)</f>
        <v/>
      </c>
      <c r="F60" s="436">
        <f>SUM(F52:F59)</f>
        <v/>
      </c>
      <c r="G60" s="436">
        <f>SUM(G52:G59)</f>
        <v/>
      </c>
      <c r="H60" s="436">
        <f>SUM(H52:H59)</f>
        <v/>
      </c>
      <c r="I60" s="436">
        <f>SUM(I52:I59)</f>
        <v/>
      </c>
      <c r="J60" s="436">
        <f>SUM(J52:J59)</f>
        <v/>
      </c>
    </row>
    <row r="61" ht="22.5" customHeight="1" s="355">
      <c r="A61" s="415" t="n"/>
      <c r="B61" s="416" t="inlineStr">
        <is>
          <t>Requistion to Pay</t>
        </is>
      </c>
      <c r="C61" s="417" t="n"/>
      <c r="D61" s="418" t="n"/>
      <c r="E61" s="418" t="n"/>
      <c r="F61" s="418" t="n"/>
      <c r="G61" s="418" t="n"/>
      <c r="H61" s="418" t="n"/>
      <c r="I61" s="418" t="n"/>
      <c r="J61" s="418" t="n"/>
    </row>
    <row r="62" ht="22.5" customHeight="1" s="355">
      <c r="A62" s="415" t="n"/>
      <c r="B62" s="419" t="inlineStr">
        <is>
          <t xml:space="preserve">  Switzerland</t>
        </is>
      </c>
      <c r="C62" s="420">
        <f>'Switzerland-BC-2'!$C$8</f>
        <v/>
      </c>
      <c r="D62" s="420">
        <f>'Switzerland-BC-2'!$D$8</f>
        <v/>
      </c>
      <c r="E62" s="420">
        <f>'Switzerland-BC-2'!$E$8</f>
        <v/>
      </c>
      <c r="F62" s="420">
        <f>'Switzerland-BC-2'!$F$8</f>
        <v/>
      </c>
      <c r="G62" s="420">
        <f>'Switzerland-BC-2'!$G$8</f>
        <v/>
      </c>
      <c r="H62" s="420">
        <f>'Switzerland-BC-2'!$H$8</f>
        <v/>
      </c>
      <c r="I62" s="420">
        <f>'Switzerland-BC-2'!$I$8</f>
        <v/>
      </c>
      <c r="J62" s="420">
        <f>'Switzerland-BC-2'!$J$8</f>
        <v/>
      </c>
    </row>
    <row r="63" ht="22.5" customHeight="1" s="355">
      <c r="A63" s="415" t="n"/>
      <c r="B63" s="419" t="inlineStr">
        <is>
          <t xml:space="preserve">  United States</t>
        </is>
      </c>
      <c r="C63" s="420">
        <f>'US-BC-2'!$C$8</f>
        <v/>
      </c>
      <c r="D63" s="420">
        <f>'US-BC-2'!$D$8</f>
        <v/>
      </c>
      <c r="E63" s="420">
        <f>'US-BC-2'!$E$8</f>
        <v/>
      </c>
      <c r="F63" s="420">
        <f>'US-BC-2'!$F$8</f>
        <v/>
      </c>
      <c r="G63" s="420">
        <f>'US-BC-2'!$G$8</f>
        <v/>
      </c>
      <c r="H63" s="420">
        <f>'US-BC-2'!$H$8</f>
        <v/>
      </c>
      <c r="I63" s="420">
        <f>'US-BC-2'!$I$8</f>
        <v/>
      </c>
      <c r="J63" s="420">
        <f>'US-BC-2'!$J$8</f>
        <v/>
      </c>
    </row>
    <row r="64" ht="22.5" customHeight="1" s="355">
      <c r="A64" s="415" t="n"/>
      <c r="B64" s="419" t="inlineStr">
        <is>
          <t xml:space="preserve">  France</t>
        </is>
      </c>
      <c r="C64" s="420">
        <f>'France-BC-2'!$C$8</f>
        <v/>
      </c>
      <c r="D64" s="420">
        <f>'France-BC-2'!$D$8</f>
        <v/>
      </c>
      <c r="E64" s="420">
        <f>'France-BC-2'!$E$8</f>
        <v/>
      </c>
      <c r="F64" s="420">
        <f>'France-BC-2'!$F$8</f>
        <v/>
      </c>
      <c r="G64" s="420">
        <f>'France-BC-2'!$G$8</f>
        <v/>
      </c>
      <c r="H64" s="420">
        <f>'France-BC-2'!$H$8</f>
        <v/>
      </c>
      <c r="I64" s="420">
        <f>'France-BC-2'!$I$8</f>
        <v/>
      </c>
      <c r="J64" s="420">
        <f>'France-BC-2'!$J$8</f>
        <v/>
      </c>
    </row>
    <row r="65" ht="22.5" customHeight="1" s="355">
      <c r="A65" s="415" t="n"/>
      <c r="B65" s="419" t="inlineStr">
        <is>
          <t xml:space="preserve">  Germany </t>
        </is>
      </c>
      <c r="C65" s="420">
        <f>'Germany-BC-2'!$C$8</f>
        <v/>
      </c>
      <c r="D65" s="420">
        <f>'Germany-BC-2'!$D$8</f>
        <v/>
      </c>
      <c r="E65" s="420">
        <f>'Germany-BC-2'!$E$8</f>
        <v/>
      </c>
      <c r="F65" s="420">
        <f>'Germany-BC-2'!$F$8</f>
        <v/>
      </c>
      <c r="G65" s="420">
        <f>'Germany-BC-2'!$G$8</f>
        <v/>
      </c>
      <c r="H65" s="420">
        <f>'Germany-BC-2'!$H$8</f>
        <v/>
      </c>
      <c r="I65" s="420">
        <f>'Germany-BC-2'!$I$8</f>
        <v/>
      </c>
      <c r="J65" s="420">
        <f>'Germany-BC-2'!$J$8</f>
        <v/>
      </c>
    </row>
    <row r="66" ht="22.5" customHeight="1" s="355">
      <c r="A66" s="415" t="n"/>
      <c r="B66" s="419" t="inlineStr">
        <is>
          <t xml:space="preserve">  Germany Production</t>
        </is>
      </c>
      <c r="C66" s="420">
        <f>'Germany Production-BC-2'!$C$8</f>
        <v/>
      </c>
      <c r="D66" s="420">
        <f>'Germany Production-BC-2'!$D$8</f>
        <v/>
      </c>
      <c r="E66" s="420">
        <f>'Germany Production-BC-2'!$E$8</f>
        <v/>
      </c>
      <c r="F66" s="420">
        <f>'Germany Production-BC-2'!$F$8</f>
        <v/>
      </c>
      <c r="G66" s="420">
        <f>'Germany Production-BC-2'!$G$8</f>
        <v/>
      </c>
      <c r="H66" s="420">
        <f>'Germany Production-BC-2'!$H$8</f>
        <v/>
      </c>
      <c r="I66" s="420">
        <f>'Germany Production-BC-2'!$I$8</f>
        <v/>
      </c>
      <c r="J66" s="420">
        <f>'Germany Production-BC-2'!$J$8</f>
        <v/>
      </c>
    </row>
    <row r="67" ht="22.5" customHeight="1" s="355">
      <c r="A67" s="415" t="n"/>
      <c r="B67" s="419" t="inlineStr">
        <is>
          <t xml:space="preserve">  Spain</t>
        </is>
      </c>
      <c r="C67" s="420">
        <f>'Spain-BC-2'!$C$8</f>
        <v/>
      </c>
      <c r="D67" s="420">
        <f>'Spain-BC-2'!$D$8</f>
        <v/>
      </c>
      <c r="E67" s="420">
        <f>'Spain-BC-2'!$E$8</f>
        <v/>
      </c>
      <c r="F67" s="420">
        <f>'Spain-BC-2'!$F$8</f>
        <v/>
      </c>
      <c r="G67" s="420">
        <f>'Spain-BC-2'!$G$8</f>
        <v/>
      </c>
      <c r="H67" s="420">
        <f>'Spain-BC-2'!$H$8</f>
        <v/>
      </c>
      <c r="I67" s="420">
        <f>'Spain-BC-2'!$I$8</f>
        <v/>
      </c>
      <c r="J67" s="420">
        <f>'Spain-BC-2'!$J$8</f>
        <v/>
      </c>
    </row>
    <row r="68" ht="22.5" customHeight="1" s="355">
      <c r="A68" s="415" t="n"/>
      <c r="B68" s="419" t="inlineStr">
        <is>
          <t xml:space="preserve">  Italy</t>
        </is>
      </c>
      <c r="C68" s="420">
        <f>'Italy-BC-2'!$C$8</f>
        <v/>
      </c>
      <c r="D68" s="420">
        <f>'Italy-BC-2'!$D$8</f>
        <v/>
      </c>
      <c r="E68" s="420">
        <f>'Italy-BC-2'!$E$8</f>
        <v/>
      </c>
      <c r="F68" s="420">
        <f>'Italy-BC-2'!$F$8</f>
        <v/>
      </c>
      <c r="G68" s="420">
        <f>'Italy-BC-2'!$G$8</f>
        <v/>
      </c>
      <c r="H68" s="420">
        <f>'Italy-BC-2'!$H$8</f>
        <v/>
      </c>
      <c r="I68" s="420">
        <f>'Italy-BC-2'!$I$8</f>
        <v/>
      </c>
      <c r="J68" s="420">
        <f>'Italy-BC-2'!$J$8</f>
        <v/>
      </c>
    </row>
    <row r="69" ht="22.5" customHeight="1" s="355">
      <c r="A69" s="415" t="n"/>
      <c r="B69" s="421" t="inlineStr">
        <is>
          <t xml:space="preserve">  United Kingdom</t>
        </is>
      </c>
      <c r="C69" s="653">
        <f>'UK-BC-2'!$C$8</f>
        <v/>
      </c>
      <c r="D69" s="653">
        <f>'UK-BC-2'!$D$8</f>
        <v/>
      </c>
      <c r="E69" s="653">
        <f>'UK-BC-2'!$E$8</f>
        <v/>
      </c>
      <c r="F69" s="653">
        <f>'UK-BC-2'!$F$8</f>
        <v/>
      </c>
      <c r="G69" s="653">
        <f>'UK-BC-2'!$G$8</f>
        <v/>
      </c>
      <c r="H69" s="653">
        <f>'UK-BC-2'!$H$8</f>
        <v/>
      </c>
      <c r="I69" s="653">
        <f>'UK-BC-2'!$I$8</f>
        <v/>
      </c>
      <c r="J69" s="653">
        <f>'UK-BC-2'!$J$8</f>
        <v/>
      </c>
    </row>
    <row r="70" ht="22.5" customHeight="1" s="355">
      <c r="A70" s="415" t="n"/>
      <c r="B70" s="435" t="inlineStr">
        <is>
          <t xml:space="preserve">                Sub Total</t>
        </is>
      </c>
      <c r="C70" s="436">
        <f>SUM(C62:C69)</f>
        <v/>
      </c>
      <c r="D70" s="436">
        <f>SUM(D62:D69)</f>
        <v/>
      </c>
      <c r="E70" s="436">
        <f>SUM(E62:E69)</f>
        <v/>
      </c>
      <c r="F70" s="436">
        <f>SUM(F62:F69)</f>
        <v/>
      </c>
      <c r="G70" s="436">
        <f>SUM(G62:G69)</f>
        <v/>
      </c>
      <c r="H70" s="436">
        <f>SUM(H62:H69)</f>
        <v/>
      </c>
      <c r="I70" s="436">
        <f>SUM(I62:I69)</f>
        <v/>
      </c>
      <c r="J70" s="436">
        <f>SUM(J62:J69)</f>
        <v/>
      </c>
    </row>
    <row r="71" ht="22.5" customHeight="1" s="355">
      <c r="A71" s="415" t="n"/>
      <c r="B71" s="422" t="inlineStr">
        <is>
          <t>Total Base Charges All Countries</t>
        </is>
      </c>
      <c r="C71" s="423">
        <f>C20+C30+C40+C50+C60+C70</f>
        <v/>
      </c>
      <c r="D71" s="423">
        <f>D20+D30+D40+D50+D60+D70</f>
        <v/>
      </c>
      <c r="E71" s="423">
        <f>E20+E30+E40+E50+E60+E70</f>
        <v/>
      </c>
      <c r="F71" s="423">
        <f>F20+F30+F40+F50+F60+F70</f>
        <v/>
      </c>
      <c r="G71" s="423">
        <f>G20+G30+G40+G50+G60+G70</f>
        <v/>
      </c>
      <c r="H71" s="423">
        <f>H20+H30+H40+H50+H60+H70</f>
        <v/>
      </c>
      <c r="I71" s="423">
        <f>I20+I30+I40+I50+I60+I70</f>
        <v/>
      </c>
      <c r="J71" s="423">
        <f>J20+J30+J40+J50+J60+J70</f>
        <v/>
      </c>
    </row>
    <row r="72" ht="22.5" customHeight="1" s="355">
      <c r="A72" s="415" t="n"/>
      <c r="B72" s="416" t="inlineStr">
        <is>
          <t>Country Summary</t>
        </is>
      </c>
      <c r="C72" s="417" t="n"/>
      <c r="D72" s="418" t="n"/>
      <c r="E72" s="418" t="n"/>
      <c r="F72" s="418" t="n"/>
      <c r="G72" s="418" t="n"/>
      <c r="H72" s="418" t="n"/>
      <c r="I72" s="418" t="n"/>
      <c r="J72" s="418" t="n"/>
    </row>
    <row r="73" ht="22.5" customHeight="1" s="355">
      <c r="A73" s="415" t="n"/>
      <c r="B73" s="419" t="inlineStr">
        <is>
          <t xml:space="preserve">  Switzerland</t>
        </is>
      </c>
      <c r="C73" s="420">
        <f>'Switzerland-BC-2'!C9</f>
        <v/>
      </c>
      <c r="D73" s="420">
        <f>'Switzerland-BC-2'!D9</f>
        <v/>
      </c>
      <c r="E73" s="420">
        <f>'Switzerland-BC-2'!E9</f>
        <v/>
      </c>
      <c r="F73" s="420">
        <f>'Switzerland-BC-2'!F9</f>
        <v/>
      </c>
      <c r="G73" s="420">
        <f>'Switzerland-BC-2'!G9</f>
        <v/>
      </c>
      <c r="H73" s="420">
        <f>'Switzerland-BC-2'!H9</f>
        <v/>
      </c>
      <c r="I73" s="420">
        <f>'Switzerland-BC-2'!I9</f>
        <v/>
      </c>
      <c r="J73" s="420">
        <f>'Switzerland-BC-2'!J9</f>
        <v/>
      </c>
    </row>
    <row r="74" ht="22.5" customHeight="1" s="355">
      <c r="A74" s="415" t="n"/>
      <c r="B74" s="419" t="inlineStr">
        <is>
          <t xml:space="preserve">  United States</t>
        </is>
      </c>
      <c r="C74" s="420">
        <f>'US-BC-2'!C9</f>
        <v/>
      </c>
      <c r="D74" s="420">
        <f>'US-BC-2'!D9</f>
        <v/>
      </c>
      <c r="E74" s="420">
        <f>'US-BC-2'!E9</f>
        <v/>
      </c>
      <c r="F74" s="420">
        <f>'US-BC-2'!F9</f>
        <v/>
      </c>
      <c r="G74" s="420">
        <f>'US-BC-2'!G9</f>
        <v/>
      </c>
      <c r="H74" s="420">
        <f>'US-BC-2'!H9</f>
        <v/>
      </c>
      <c r="I74" s="420">
        <f>'US-BC-2'!I9</f>
        <v/>
      </c>
      <c r="J74" s="420">
        <f>'US-BC-2'!J9</f>
        <v/>
      </c>
    </row>
    <row r="75" ht="22.5" customHeight="1" s="355">
      <c r="A75" s="415" t="n"/>
      <c r="B75" s="419" t="inlineStr">
        <is>
          <t xml:space="preserve">  France</t>
        </is>
      </c>
      <c r="C75" s="420">
        <f>'France-BC-2'!C9</f>
        <v/>
      </c>
      <c r="D75" s="420">
        <f>'France-BC-2'!D9</f>
        <v/>
      </c>
      <c r="E75" s="420">
        <f>'France-BC-2'!E9</f>
        <v/>
      </c>
      <c r="F75" s="420">
        <f>'France-BC-2'!F9</f>
        <v/>
      </c>
      <c r="G75" s="420">
        <f>'France-BC-2'!G9</f>
        <v/>
      </c>
      <c r="H75" s="420">
        <f>'France-BC-2'!H9</f>
        <v/>
      </c>
      <c r="I75" s="420">
        <f>'France-BC-2'!I9</f>
        <v/>
      </c>
      <c r="J75" s="420">
        <f>'France-BC-2'!J9</f>
        <v/>
      </c>
    </row>
    <row r="76" ht="22.5" customHeight="1" s="355">
      <c r="A76" s="415" t="n"/>
      <c r="B76" s="419" t="inlineStr">
        <is>
          <t xml:space="preserve">  Germany </t>
        </is>
      </c>
      <c r="C76" s="420">
        <f>'Germany-BC-2'!C9</f>
        <v/>
      </c>
      <c r="D76" s="420">
        <f>'Germany-BC-2'!D9</f>
        <v/>
      </c>
      <c r="E76" s="420">
        <f>'Germany-BC-2'!E9</f>
        <v/>
      </c>
      <c r="F76" s="420">
        <f>'Germany-BC-2'!F9</f>
        <v/>
      </c>
      <c r="G76" s="420">
        <f>'Germany-BC-2'!G9</f>
        <v/>
      </c>
      <c r="H76" s="420">
        <f>'Germany-BC-2'!H9</f>
        <v/>
      </c>
      <c r="I76" s="420">
        <f>'Germany-BC-2'!I9</f>
        <v/>
      </c>
      <c r="J76" s="420">
        <f>'Germany-BC-2'!J9</f>
        <v/>
      </c>
    </row>
    <row r="77" ht="22.5" customHeight="1" s="355">
      <c r="A77" s="415" t="n"/>
      <c r="B77" s="419" t="inlineStr">
        <is>
          <t xml:space="preserve">  Germany Production</t>
        </is>
      </c>
      <c r="C77" s="420">
        <f>'Germany Production-BC-2'!C9</f>
        <v/>
      </c>
      <c r="D77" s="420">
        <f>'Germany Production-BC-2'!D9</f>
        <v/>
      </c>
      <c r="E77" s="420">
        <f>'Germany Production-BC-2'!E9</f>
        <v/>
      </c>
      <c r="F77" s="420">
        <f>'Germany Production-BC-2'!F9</f>
        <v/>
      </c>
      <c r="G77" s="420">
        <f>'Germany Production-BC-2'!G9</f>
        <v/>
      </c>
      <c r="H77" s="420">
        <f>'Germany Production-BC-2'!H9</f>
        <v/>
      </c>
      <c r="I77" s="420">
        <f>'Germany Production-BC-2'!I9</f>
        <v/>
      </c>
      <c r="J77" s="420">
        <f>'Germany Production-BC-2'!J9</f>
        <v/>
      </c>
    </row>
    <row r="78" ht="22.5" customHeight="1" s="355">
      <c r="A78" s="415" t="n"/>
      <c r="B78" s="419" t="inlineStr">
        <is>
          <t xml:space="preserve">  Spain</t>
        </is>
      </c>
      <c r="C78" s="420">
        <f>'Spain-BC-2'!C9</f>
        <v/>
      </c>
      <c r="D78" s="420">
        <f>'Spain-BC-2'!D9</f>
        <v/>
      </c>
      <c r="E78" s="420">
        <f>'Spain-BC-2'!E9</f>
        <v/>
      </c>
      <c r="F78" s="420">
        <f>'Spain-BC-2'!F9</f>
        <v/>
      </c>
      <c r="G78" s="420">
        <f>'Spain-BC-2'!G9</f>
        <v/>
      </c>
      <c r="H78" s="420">
        <f>'Spain-BC-2'!H9</f>
        <v/>
      </c>
      <c r="I78" s="420">
        <f>'Spain-BC-2'!I9</f>
        <v/>
      </c>
      <c r="J78" s="420">
        <f>'Spain-BC-2'!J9</f>
        <v/>
      </c>
    </row>
    <row r="79" ht="22.5" customHeight="1" s="355">
      <c r="A79" s="415" t="n"/>
      <c r="B79" s="419" t="inlineStr">
        <is>
          <t xml:space="preserve">  Italy</t>
        </is>
      </c>
      <c r="C79" s="420">
        <f>'Italy-BC-2'!C9</f>
        <v/>
      </c>
      <c r="D79" s="420">
        <f>'Italy-BC-2'!D9</f>
        <v/>
      </c>
      <c r="E79" s="420">
        <f>'Italy-BC-2'!E9</f>
        <v/>
      </c>
      <c r="F79" s="420">
        <f>'Italy-BC-2'!F9</f>
        <v/>
      </c>
      <c r="G79" s="420">
        <f>'Italy-BC-2'!G9</f>
        <v/>
      </c>
      <c r="H79" s="420">
        <f>'Italy-BC-2'!H9</f>
        <v/>
      </c>
      <c r="I79" s="420">
        <f>'Italy-BC-2'!I9</f>
        <v/>
      </c>
      <c r="J79" s="420">
        <f>'Italy-BC-2'!J9</f>
        <v/>
      </c>
    </row>
    <row r="80" ht="22.5" customHeight="1" s="355">
      <c r="A80" s="415" t="n"/>
      <c r="B80" s="421" t="inlineStr">
        <is>
          <t xml:space="preserve">  United Kingdom</t>
        </is>
      </c>
      <c r="C80" s="653">
        <f>'UK-BC-2'!C9</f>
        <v/>
      </c>
      <c r="D80" s="653">
        <f>'UK-BC-2'!D9</f>
        <v/>
      </c>
      <c r="E80" s="653">
        <f>'UK-BC-2'!E9</f>
        <v/>
      </c>
      <c r="F80" s="653">
        <f>'UK-BC-2'!F9</f>
        <v/>
      </c>
      <c r="G80" s="653">
        <f>'UK-BC-2'!G9</f>
        <v/>
      </c>
      <c r="H80" s="653">
        <f>'UK-BC-2'!H9</f>
        <v/>
      </c>
      <c r="I80" s="653">
        <f>'UK-BC-2'!I9</f>
        <v/>
      </c>
      <c r="J80" s="653">
        <f>'UK-BC-2'!J9</f>
        <v/>
      </c>
    </row>
    <row r="81" ht="22.5" customHeight="1" s="355">
      <c r="A81" s="441" t="n"/>
      <c r="B81" s="422" t="inlineStr">
        <is>
          <t>Total Base Charges All Countries</t>
        </is>
      </c>
      <c r="C81" s="423">
        <f>SUM(C73:C80)</f>
        <v/>
      </c>
      <c r="D81" s="423">
        <f>SUM(D73:D80)</f>
        <v/>
      </c>
      <c r="E81" s="423">
        <f>SUM(E73:E80)</f>
        <v/>
      </c>
      <c r="F81" s="423">
        <f>SUM(F73:F80)</f>
        <v/>
      </c>
      <c r="G81" s="423">
        <f>SUM(G73:G80)</f>
        <v/>
      </c>
      <c r="H81" s="423">
        <f>SUM(H73:H80)</f>
        <v/>
      </c>
      <c r="I81" s="423">
        <f>SUM(I73:I80)</f>
        <v/>
      </c>
      <c r="J81" s="423">
        <f>SUM(J73:J80)</f>
        <v/>
      </c>
    </row>
    <row r="82" ht="22.5" customHeight="1" s="355"/>
    <row r="83" ht="22.5" customHeight="1" s="355"/>
    <row r="84" ht="22.5" customHeight="1" s="355"/>
    <row r="85" ht="22.5" customHeight="1" s="355"/>
    <row r="86" ht="22.5" customHeight="1" s="355"/>
    <row r="87" ht="22.5" customHeight="1" s="355"/>
    <row r="88" ht="22.5" customHeight="1" s="355"/>
    <row r="89" ht="22.5" customHeight="1" s="355"/>
    <row r="90" ht="22.5" customHeight="1" s="355"/>
    <row r="91" ht="22.5" customHeight="1" s="355"/>
    <row r="92" ht="22.5" customHeight="1" s="355"/>
    <row r="93" ht="22.5" customHeight="1" s="355"/>
    <row r="94" ht="22.5" customHeight="1" s="355"/>
    <row r="95" ht="22.5" customHeight="1" s="355"/>
    <row r="96" ht="22.5" customHeight="1" s="355"/>
    <row r="97" ht="22.5" customHeight="1" s="355"/>
    <row r="98" ht="22.5" customHeight="1" s="355"/>
    <row r="99" ht="22.5" customHeight="1" s="355"/>
    <row r="100" ht="22.5" customHeight="1" s="355"/>
    <row r="101" ht="22.5" customHeight="1" s="355"/>
    <row r="102" ht="22.5" customHeight="1" s="355"/>
    <row r="103" ht="22.5" customHeight="1" s="355"/>
    <row r="104" ht="22.5" customHeight="1" s="355"/>
    <row r="105" ht="22.5" customHeight="1" s="355"/>
    <row r="106" ht="22.5" customHeight="1" s="355"/>
    <row r="107" ht="22.5" customHeight="1" s="355"/>
    <row r="108" ht="22.5" customHeight="1" s="355"/>
    <row r="109" ht="22.5" customHeight="1" s="355"/>
    <row r="110" ht="22.5" customHeight="1" s="355"/>
    <row r="111" ht="22.5" customHeight="1" s="355"/>
    <row r="112" ht="22.5" customHeight="1" s="355"/>
    <row r="113" ht="22.5" customHeight="1" s="355"/>
    <row r="114" ht="22.5" customHeight="1" s="355"/>
    <row r="115" ht="22.5" customHeight="1" s="355"/>
    <row r="116" ht="22.5" customHeight="1" s="355"/>
    <row r="117" ht="22.5" customHeight="1" s="355"/>
    <row r="118" ht="22.5" customHeight="1" s="355"/>
    <row r="119" ht="22.5" customHeight="1" s="355"/>
    <row r="120" ht="22.5" customHeight="1" s="355"/>
    <row r="121" ht="22.5" customHeight="1" s="355"/>
    <row r="122" ht="22.5" customHeight="1" s="355"/>
    <row r="123" ht="22.5" customHeight="1" s="355"/>
    <row r="124" ht="22.5" customHeight="1" s="355"/>
    <row r="125" ht="22.5" customHeight="1" s="355"/>
    <row r="126" ht="22.5" customHeight="1" s="355"/>
    <row r="127" ht="22.5" customHeight="1" s="355"/>
    <row r="128" ht="22.5" customHeight="1" s="355"/>
    <row r="129" ht="22.5" customHeight="1" s="355"/>
    <row r="130" ht="22.5" customHeight="1" s="355"/>
    <row r="131" ht="22.5" customHeight="1" s="355"/>
    <row r="132" ht="22.5" customHeight="1" s="355"/>
    <row r="133" ht="22.5" customHeight="1" s="355"/>
    <row r="134" ht="22.5" customHeight="1" s="355"/>
    <row r="135" ht="22.5" customHeight="1" s="355"/>
    <row r="136" ht="22.5" customHeight="1" s="355"/>
    <row r="137" ht="22.5" customHeight="1" s="355"/>
    <row r="138" ht="22.5" customHeight="1" s="355"/>
    <row r="139" ht="22.5" customHeight="1" s="355"/>
    <row r="140" ht="22.5" customHeight="1" s="355"/>
    <row r="141" ht="22.5" customHeight="1" s="355"/>
    <row r="142" ht="22.5" customHeight="1" s="355"/>
    <row r="143" ht="22.5" customHeight="1" s="355"/>
    <row r="144" ht="22.5" customHeight="1" s="355"/>
    <row r="145" ht="22.5" customHeight="1" s="355"/>
    <row r="146" ht="22.5" customHeight="1" s="355"/>
    <row r="147" ht="22.5" customHeight="1" s="355"/>
    <row r="148" ht="22.5" customHeight="1" s="355"/>
    <row r="149" ht="22.5" customHeight="1" s="355"/>
    <row r="150" ht="22.5" customHeight="1" s="355"/>
    <row r="151" ht="22.5" customHeight="1" s="355"/>
  </sheetData>
  <mergeCells count="1">
    <mergeCell ref="A2:A81"/>
  </mergeCells>
  <printOptions horizontalCentered="0" verticalCentered="0" headings="0" gridLines="0" gridLinesSet="1"/>
  <pageMargins left="0.747916666666667" right="0.747916666666667" top="0.9840277777777779" bottom="0.9840277777777779" header="0.5" footer="0.5"/>
  <pageSetup orientation="landscape" paperSize="1" scale="100" fitToHeight="3"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0.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BASE CHARGES INPUT FORM - CENTRE TWO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Switzerland</t>
        </is>
      </c>
      <c r="B3" s="661" t="inlineStr">
        <is>
          <t>General Accounting &amp; Sox</t>
        </is>
      </c>
      <c r="C3" s="669" t="n"/>
      <c r="D3" s="662" t="n"/>
      <c r="E3" s="662" t="n"/>
      <c r="F3" s="662" t="n"/>
      <c r="G3" s="662" t="n"/>
      <c r="H3" s="662" t="n"/>
      <c r="I3" s="670" t="n"/>
    </row>
    <row r="4" ht="22.5" customHeight="1" s="355">
      <c r="A4" s="664" t="n"/>
      <c r="B4" s="665" t="inlineStr">
        <is>
          <t>Fixed Assets</t>
        </is>
      </c>
      <c r="C4" s="671" t="n"/>
      <c r="D4" s="666" t="n"/>
      <c r="E4" s="666" t="n"/>
      <c r="F4" s="666" t="n"/>
      <c r="G4" s="666" t="n"/>
      <c r="H4" s="666" t="n"/>
      <c r="I4" s="672" t="n"/>
    </row>
    <row r="5" ht="22.5" customHeight="1" s="355">
      <c r="A5" s="664" t="n"/>
      <c r="B5" s="665" t="inlineStr">
        <is>
          <t>Accounts Payable</t>
        </is>
      </c>
      <c r="C5" s="671" t="n"/>
      <c r="D5" s="666" t="n"/>
      <c r="E5" s="666" t="n"/>
      <c r="F5" s="666" t="n"/>
      <c r="G5" s="666" t="n"/>
      <c r="H5" s="666" t="n"/>
      <c r="I5" s="672" t="n"/>
    </row>
    <row r="6" ht="22.5" customHeight="1" s="355">
      <c r="A6" s="664" t="n"/>
      <c r="B6" s="665" t="inlineStr">
        <is>
          <t>T&amp;E</t>
        </is>
      </c>
      <c r="C6" s="671" t="n"/>
      <c r="D6" s="666" t="n"/>
      <c r="E6" s="666" t="n"/>
      <c r="F6" s="666" t="n"/>
      <c r="G6" s="666" t="n"/>
      <c r="H6" s="666" t="n"/>
      <c r="I6" s="672" t="n"/>
    </row>
    <row r="7" ht="22.5" customHeight="1" s="355">
      <c r="A7" s="664" t="n"/>
      <c r="B7" s="665" t="inlineStr">
        <is>
          <t>Order to Cash</t>
        </is>
      </c>
      <c r="C7" s="671" t="n"/>
      <c r="D7" s="666" t="n"/>
      <c r="E7" s="666" t="n"/>
      <c r="F7" s="666" t="n"/>
      <c r="G7" s="666" t="n"/>
      <c r="H7" s="666" t="n"/>
      <c r="I7" s="672"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71" t="n"/>
      <c r="D8" s="666" t="n"/>
      <c r="E8" s="666" t="n"/>
      <c r="F8" s="666" t="n"/>
      <c r="G8" s="666" t="n"/>
      <c r="H8" s="666" t="n"/>
      <c r="I8" s="672"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1.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10.95" customWidth="1" style="407" min="10" max="10"/>
    <col width="8.4" customWidth="1" style="407" min="11" max="257"/>
  </cols>
  <sheetData>
    <row r="1" ht="22.5" customHeight="1" s="355">
      <c r="A1" s="655" t="inlineStr">
        <is>
          <t>BASE CHARGES INPUT FORM - CENTRE TWO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United States</t>
        </is>
      </c>
      <c r="B3" s="661" t="inlineStr">
        <is>
          <t>General Accounting &amp; Sox</t>
        </is>
      </c>
      <c r="C3" s="662">
        <f>SUM('Appendix B - prod by country'!D13:O14,'Appendix B - prod by country'!D17:O17)*1.3*1000+SUM('Appendix A - pilot by country'!D13:O14,'Appendix A - pilot by country'!D17:O17)*1.3*1000</f>
        <v/>
      </c>
      <c r="D3" s="662">
        <f>SUM('Appendix B - prod by country'!P13:AA14,'Appendix B - prod by country'!P17:AA17)*1.3*1000</f>
        <v/>
      </c>
      <c r="E3" s="662">
        <f>SUM('Appendix B - prod by country'!AB13:AM14,'Appendix B - prod by country'!AB17:AM17)*1.3*1000</f>
        <v/>
      </c>
      <c r="F3" s="662">
        <f>SUM('Appendix B - prod by country'!AN13:AY14,'Appendix B - prod by country'!AN17:AY17)*1.3*1000</f>
        <v/>
      </c>
      <c r="G3" s="662">
        <f>SUM('Appendix B - prod by country'!AZ13:BK14,'Appendix B - prod by country'!AZ17:BK17)*1.3*1000</f>
        <v/>
      </c>
      <c r="H3" s="662">
        <f>SUM('Appendix B - prod by country'!BL13:BW14,'Appendix B - prod by country'!BL17:BW17)*1.3*1000</f>
        <v/>
      </c>
      <c r="I3" s="662">
        <f>SUM('Appendix B - prod by country'!BX13:CI14,'Appendix B - prod by country'!BX17:CI17)*1.3*1000</f>
        <v/>
      </c>
      <c r="J3" s="662">
        <f>SUM('Appendix B - prod by country'!CJ13:CJ14,'Appendix B - prod by country'!CJ17)*1.3*1000</f>
        <v/>
      </c>
    </row>
    <row r="4" ht="22.5" customHeight="1" s="355">
      <c r="A4" s="664" t="n"/>
      <c r="B4" s="665" t="inlineStr">
        <is>
          <t>Fixed Assets</t>
        </is>
      </c>
      <c r="C4" s="666">
        <f>SUM('Appendix B - prod by country'!D15:O15)*1.3*1000+SUM('Appendix A - pilot by country'!D15:O15)*1.3*1000</f>
        <v/>
      </c>
      <c r="D4" s="666">
        <f>SUM('Appendix B - prod by country'!P15:AA15)*1.3*1000</f>
        <v/>
      </c>
      <c r="E4" s="666">
        <f>SUM('Appendix B - prod by country'!AB15:AM15)*1.3*1000</f>
        <v/>
      </c>
      <c r="F4" s="666">
        <f>SUM('Appendix B - prod by country'!AN15:AY15)*1.3*1000</f>
        <v/>
      </c>
      <c r="G4" s="666">
        <f>SUM('Appendix B - prod by country'!AZ15:BK15)*1.3*1000</f>
        <v/>
      </c>
      <c r="H4" s="666">
        <f>SUM('Appendix B - prod by country'!BL15:BW15)*1.3*1000</f>
        <v/>
      </c>
      <c r="I4" s="666">
        <f>SUM('Appendix B - prod by country'!BX15:CI15)*1.3*1000</f>
        <v/>
      </c>
      <c r="J4" s="666">
        <f>SUM('Appendix B - prod by country'!CJ15)*1.3*1000</f>
        <v/>
      </c>
    </row>
    <row r="5" ht="22.5" customHeight="1" s="355">
      <c r="A5" s="664" t="n"/>
      <c r="B5" s="665" t="inlineStr">
        <is>
          <t>Accounts Payable</t>
        </is>
      </c>
      <c r="C5" s="666">
        <f>SUM('Appendix B - prod by country'!D16:O16)*1.3*1000+SUM('Appendix A - pilot by country'!D16:O16)*1.3*1000</f>
        <v/>
      </c>
      <c r="D5" s="666">
        <f>SUM('Appendix B - prod by country'!P16:AA16)*1.3*1000</f>
        <v/>
      </c>
      <c r="E5" s="666">
        <f>SUM('Appendix B - prod by country'!AB16:AM16)*1.3*1000</f>
        <v/>
      </c>
      <c r="F5" s="666">
        <f>SUM('Appendix B - prod by country'!AN16:AY16)*1.3*1000</f>
        <v/>
      </c>
      <c r="G5" s="666">
        <f>SUM('Appendix B - prod by country'!AZ16:BK16)*1.3*1000</f>
        <v/>
      </c>
      <c r="H5" s="666">
        <f>SUM('Appendix B - prod by country'!BL16:BW16)*1.3*1000</f>
        <v/>
      </c>
      <c r="I5" s="666">
        <f>SUM('Appendix B - prod by country'!BX16:CI16)*1.3*1000</f>
        <v/>
      </c>
      <c r="J5" s="666">
        <f>SUM('Appendix B - prod by country'!CJ16)*1.3*1000</f>
        <v/>
      </c>
    </row>
    <row r="6" ht="22.5" customHeight="1" s="355">
      <c r="A6" s="664" t="n"/>
      <c r="B6" s="665" t="inlineStr">
        <is>
          <t>T&amp;E</t>
        </is>
      </c>
      <c r="C6" s="666">
        <f>SUM('Appendix B - prod by country'!D18:O18)*1.3*1000+SUM('Appendix A - pilot by country'!D18:O18)*1.3*1000</f>
        <v/>
      </c>
      <c r="D6" s="666">
        <f>SUM('Appendix B - prod by country'!P18:AA18)*1.3*1000</f>
        <v/>
      </c>
      <c r="E6" s="666">
        <f>SUM('Appendix B - prod by country'!AB18:AM18)*1.3*1000</f>
        <v/>
      </c>
      <c r="F6" s="666">
        <f>SUM('Appendix B - prod by country'!AN18:AY18)*1.3*1000</f>
        <v/>
      </c>
      <c r="G6" s="666">
        <f>SUM('Appendix B - prod by country'!AZ18:BK18)*1.3*1000</f>
        <v/>
      </c>
      <c r="H6" s="666">
        <f>SUM('Appendix B - prod by country'!BL18:BW18)*1.3*1000</f>
        <v/>
      </c>
      <c r="I6" s="666">
        <f>SUM('Appendix B - prod by country'!BX18:CI18)*1.3*1000</f>
        <v/>
      </c>
      <c r="J6" s="666">
        <f>SUM('Appendix B - prod by country'!CJ18)*1.3*1000</f>
        <v/>
      </c>
    </row>
    <row r="7" ht="22.5" customHeight="1" s="355">
      <c r="A7" s="664" t="n"/>
      <c r="B7" s="665" t="inlineStr">
        <is>
          <t>Order to Cash</t>
        </is>
      </c>
      <c r="C7" s="666">
        <f>SUM('Appendix B - prod by country'!D19:O19)*1.3*1000+SUM('Appendix A - pilot by country'!D19:O19)*1.3*1000</f>
        <v/>
      </c>
      <c r="D7" s="666">
        <f>SUM('Appendix B - prod by country'!P19:AA19)*1.3*1000</f>
        <v/>
      </c>
      <c r="E7" s="666">
        <f>SUM('Appendix B - prod by country'!AB19:AM19)*1.3*1000</f>
        <v/>
      </c>
      <c r="F7" s="666">
        <f>SUM('Appendix B - prod by country'!AN19:AY19)*1.3*1000</f>
        <v/>
      </c>
      <c r="G7" s="666">
        <f>SUM('Appendix B - prod by country'!AZ19:BK19)*1.3*1000</f>
        <v/>
      </c>
      <c r="H7" s="666">
        <f>SUM('Appendix B - prod by country'!BL19:BW19)*1.3*1000</f>
        <v/>
      </c>
      <c r="I7" s="666">
        <f>SUM('Appendix B - prod by country'!BX19:CI19)*1.3*1000</f>
        <v/>
      </c>
      <c r="J7" s="666">
        <f>SUM('Appendix B - prod by country'!CJ19)*1.3*1000</f>
        <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66">
        <f>SUM('Appendix B - prod by country'!D20:O20)*1.3*1000+SUM('Appendix A - pilot by country'!D20:O20)*1.3*1000</f>
        <v/>
      </c>
      <c r="D8" s="666">
        <f>SUM('Appendix B - prod by country'!P20:AA20)*1.3*1000</f>
        <v/>
      </c>
      <c r="E8" s="666">
        <f>SUM('Appendix B - prod by country'!AB20:AM20)*1.3*1000</f>
        <v/>
      </c>
      <c r="F8" s="666">
        <f>SUM('Appendix B - prod by country'!AN20:AY20)*1.3*1000</f>
        <v/>
      </c>
      <c r="G8" s="666">
        <f>SUM('Appendix B - prod by country'!AZ20:BK20)*1.3*1000</f>
        <v/>
      </c>
      <c r="H8" s="666">
        <f>SUM('Appendix B - prod by country'!BL20:BW20)*1.3*1000</f>
        <v/>
      </c>
      <c r="I8" s="666">
        <f>SUM('Appendix B - prod by country'!BX20:CI20)*1.3*1000</f>
        <v/>
      </c>
      <c r="J8" s="666">
        <f>SUM('Appendix B - prod by country'!CJ20)*1.3*1000</f>
        <v/>
      </c>
    </row>
    <row r="9" ht="22.5" customHeight="1" s="355">
      <c r="A9" s="611" t="n"/>
      <c r="B9" s="658" t="inlineStr">
        <is>
          <t>TOTAL BASE CHARGES</t>
        </is>
      </c>
      <c r="C9" s="667">
        <f>SUM(C3:C8)</f>
        <v/>
      </c>
      <c r="D9" s="667">
        <f>SUM(D3:D8)</f>
        <v/>
      </c>
      <c r="E9" s="667">
        <f>SUM(E3:E8)</f>
        <v/>
      </c>
      <c r="F9" s="667">
        <f>SUM(F3:F8)</f>
        <v/>
      </c>
      <c r="G9" s="667">
        <f>SUM(G3:G8)</f>
        <v/>
      </c>
      <c r="H9" s="667">
        <f>SUM(H3:H8)</f>
        <v/>
      </c>
      <c r="I9" s="668">
        <f>SUM(I3:I8)</f>
        <v/>
      </c>
      <c r="J9" s="668">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2.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BASE CHARGES INPUT FORM - CENTRE TWO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France</t>
        </is>
      </c>
      <c r="B3" s="661" t="inlineStr">
        <is>
          <t>General Accounting &amp; Sox</t>
        </is>
      </c>
      <c r="C3" s="669" t="n"/>
      <c r="D3" s="662" t="n"/>
      <c r="E3" s="662" t="n"/>
      <c r="F3" s="662" t="n"/>
      <c r="G3" s="662" t="n"/>
      <c r="H3" s="662" t="n"/>
      <c r="I3" s="670" t="n"/>
    </row>
    <row r="4" ht="22.5" customHeight="1" s="355">
      <c r="A4" s="664" t="n"/>
      <c r="B4" s="665" t="inlineStr">
        <is>
          <t>Fixed Assets</t>
        </is>
      </c>
      <c r="C4" s="671" t="n"/>
      <c r="D4" s="666" t="n"/>
      <c r="E4" s="666" t="n"/>
      <c r="F4" s="666" t="n"/>
      <c r="G4" s="666" t="n"/>
      <c r="H4" s="666" t="n"/>
      <c r="I4" s="672" t="n"/>
    </row>
    <row r="5" ht="22.5" customHeight="1" s="355">
      <c r="A5" s="664" t="n"/>
      <c r="B5" s="665" t="inlineStr">
        <is>
          <t>Accounts Payable</t>
        </is>
      </c>
      <c r="C5" s="671" t="n"/>
      <c r="D5" s="666" t="n"/>
      <c r="E5" s="666" t="n"/>
      <c r="F5" s="666" t="n"/>
      <c r="G5" s="666" t="n"/>
      <c r="H5" s="666" t="n"/>
      <c r="I5" s="672" t="n"/>
    </row>
    <row r="6" ht="22.5" customHeight="1" s="355">
      <c r="A6" s="664" t="n"/>
      <c r="B6" s="665" t="inlineStr">
        <is>
          <t>T&amp;E</t>
        </is>
      </c>
      <c r="C6" s="671" t="n"/>
      <c r="D6" s="666" t="n"/>
      <c r="E6" s="666" t="n"/>
      <c r="F6" s="666" t="n"/>
      <c r="G6" s="666" t="n"/>
      <c r="H6" s="666" t="n"/>
      <c r="I6" s="672" t="n"/>
    </row>
    <row r="7" ht="22.5" customHeight="1" s="355">
      <c r="A7" s="664" t="n"/>
      <c r="B7" s="665" t="inlineStr">
        <is>
          <t>Order to Cash</t>
        </is>
      </c>
      <c r="C7" s="671" t="n"/>
      <c r="D7" s="666" t="n"/>
      <c r="E7" s="666" t="n"/>
      <c r="F7" s="666" t="n"/>
      <c r="G7" s="666" t="n"/>
      <c r="H7" s="666" t="n"/>
      <c r="I7" s="672"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71" t="n"/>
      <c r="D8" s="666" t="n"/>
      <c r="E8" s="666" t="n"/>
      <c r="F8" s="666" t="n"/>
      <c r="G8" s="666" t="n"/>
      <c r="H8" s="666" t="n"/>
      <c r="I8" s="672"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3.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BASE CHARGES INPUT FORM - CENTRE TWO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Germany</t>
        </is>
      </c>
      <c r="B3" s="661" t="inlineStr">
        <is>
          <t>General Accounting &amp; Sox</t>
        </is>
      </c>
      <c r="C3" s="669" t="n"/>
      <c r="D3" s="662" t="n"/>
      <c r="E3" s="662" t="n"/>
      <c r="F3" s="662" t="n"/>
      <c r="G3" s="662" t="n"/>
      <c r="H3" s="662" t="n"/>
      <c r="I3" s="670" t="n"/>
    </row>
    <row r="4" ht="22.5" customHeight="1" s="355">
      <c r="A4" s="664" t="n"/>
      <c r="B4" s="665" t="inlineStr">
        <is>
          <t>Fixed Assets</t>
        </is>
      </c>
      <c r="C4" s="671" t="n"/>
      <c r="D4" s="666" t="n"/>
      <c r="E4" s="666" t="n"/>
      <c r="F4" s="666" t="n"/>
      <c r="G4" s="666" t="n"/>
      <c r="H4" s="666" t="n"/>
      <c r="I4" s="672" t="n"/>
    </row>
    <row r="5" ht="22.5" customHeight="1" s="355">
      <c r="A5" s="664" t="n"/>
      <c r="B5" s="665" t="inlineStr">
        <is>
          <t>Accounts Payable</t>
        </is>
      </c>
      <c r="C5" s="671" t="n"/>
      <c r="D5" s="666" t="n"/>
      <c r="E5" s="666" t="n"/>
      <c r="F5" s="666" t="n"/>
      <c r="G5" s="666" t="n"/>
      <c r="H5" s="666" t="n"/>
      <c r="I5" s="672" t="n"/>
    </row>
    <row r="6" ht="22.5" customHeight="1" s="355">
      <c r="A6" s="664" t="n"/>
      <c r="B6" s="665" t="inlineStr">
        <is>
          <t>T&amp;E</t>
        </is>
      </c>
      <c r="C6" s="671" t="n"/>
      <c r="D6" s="666" t="n"/>
      <c r="E6" s="666" t="n"/>
      <c r="F6" s="666" t="n"/>
      <c r="G6" s="666" t="n"/>
      <c r="H6" s="666" t="n"/>
      <c r="I6" s="672" t="n"/>
    </row>
    <row r="7" ht="22.5" customHeight="1" s="355">
      <c r="A7" s="664" t="n"/>
      <c r="B7" s="665" t="inlineStr">
        <is>
          <t>Order to Cash</t>
        </is>
      </c>
      <c r="C7" s="671" t="n"/>
      <c r="D7" s="666" t="n"/>
      <c r="E7" s="666" t="n"/>
      <c r="F7" s="666" t="n"/>
      <c r="G7" s="666" t="n"/>
      <c r="H7" s="666" t="n"/>
      <c r="I7" s="672"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71" t="n"/>
      <c r="D8" s="666" t="n"/>
      <c r="E8" s="666" t="n"/>
      <c r="F8" s="666" t="n"/>
      <c r="G8" s="666" t="n"/>
      <c r="H8" s="666" t="n"/>
      <c r="I8" s="672"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4.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BASE CHARGES INPUT FORM - CENTRE TWO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Germany Production</t>
        </is>
      </c>
      <c r="B3" s="661" t="inlineStr">
        <is>
          <t>General Accounting &amp; Sox</t>
        </is>
      </c>
      <c r="C3" s="669" t="n"/>
      <c r="D3" s="662" t="n"/>
      <c r="E3" s="662" t="n"/>
      <c r="F3" s="662" t="n"/>
      <c r="G3" s="662" t="n"/>
      <c r="H3" s="662" t="n"/>
      <c r="I3" s="670" t="n"/>
    </row>
    <row r="4" ht="22.5" customHeight="1" s="355">
      <c r="A4" s="664" t="n"/>
      <c r="B4" s="665" t="inlineStr">
        <is>
          <t>Fixed Assets</t>
        </is>
      </c>
      <c r="C4" s="671" t="n"/>
      <c r="D4" s="666" t="n"/>
      <c r="E4" s="666" t="n"/>
      <c r="F4" s="666" t="n"/>
      <c r="G4" s="666" t="n"/>
      <c r="H4" s="666" t="n"/>
      <c r="I4" s="672" t="n"/>
    </row>
    <row r="5" ht="22.5" customHeight="1" s="355">
      <c r="A5" s="664" t="n"/>
      <c r="B5" s="665" t="inlineStr">
        <is>
          <t>Accounts Payable</t>
        </is>
      </c>
      <c r="C5" s="671" t="n"/>
      <c r="D5" s="666" t="n"/>
      <c r="E5" s="666" t="n"/>
      <c r="F5" s="666" t="n"/>
      <c r="G5" s="666" t="n"/>
      <c r="H5" s="666" t="n"/>
      <c r="I5" s="672" t="n"/>
    </row>
    <row r="6" ht="22.5" customHeight="1" s="355">
      <c r="A6" s="664" t="n"/>
      <c r="B6" s="665" t="inlineStr">
        <is>
          <t>T&amp;E</t>
        </is>
      </c>
      <c r="C6" s="671" t="n"/>
      <c r="D6" s="666" t="n"/>
      <c r="E6" s="666" t="n"/>
      <c r="F6" s="666" t="n"/>
      <c r="G6" s="666" t="n"/>
      <c r="H6" s="666" t="n"/>
      <c r="I6" s="672" t="n"/>
    </row>
    <row r="7" ht="22.5" customHeight="1" s="355">
      <c r="A7" s="664" t="n"/>
      <c r="B7" s="665" t="inlineStr">
        <is>
          <t>Order to Cash</t>
        </is>
      </c>
      <c r="C7" s="671" t="n"/>
      <c r="D7" s="666" t="n"/>
      <c r="E7" s="666" t="n"/>
      <c r="F7" s="666" t="n"/>
      <c r="G7" s="666" t="n"/>
      <c r="H7" s="666" t="n"/>
      <c r="I7" s="672"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71" t="n"/>
      <c r="D8" s="666" t="n"/>
      <c r="E8" s="666" t="n"/>
      <c r="F8" s="666" t="n"/>
      <c r="G8" s="666" t="n"/>
      <c r="H8" s="666" t="n"/>
      <c r="I8" s="672"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5.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BASE CHARGES INPUT FORM - CENTRE TWO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Spain</t>
        </is>
      </c>
      <c r="B3" s="661" t="inlineStr">
        <is>
          <t>General Accounting &amp; Sox</t>
        </is>
      </c>
      <c r="C3" s="669" t="n"/>
      <c r="D3" s="662" t="n"/>
      <c r="E3" s="662" t="n"/>
      <c r="F3" s="662" t="n"/>
      <c r="G3" s="662" t="n"/>
      <c r="H3" s="662" t="n"/>
      <c r="I3" s="670" t="n"/>
    </row>
    <row r="4" ht="22.5" customHeight="1" s="355">
      <c r="A4" s="664" t="n"/>
      <c r="B4" s="665" t="inlineStr">
        <is>
          <t>Fixed Assets</t>
        </is>
      </c>
      <c r="C4" s="671" t="n"/>
      <c r="D4" s="666" t="n"/>
      <c r="E4" s="666" t="n"/>
      <c r="F4" s="666" t="n"/>
      <c r="G4" s="666" t="n"/>
      <c r="H4" s="666" t="n"/>
      <c r="I4" s="672" t="n"/>
    </row>
    <row r="5" ht="22.5" customHeight="1" s="355">
      <c r="A5" s="664" t="n"/>
      <c r="B5" s="665" t="inlineStr">
        <is>
          <t>Accounts Payable</t>
        </is>
      </c>
      <c r="C5" s="671" t="n"/>
      <c r="D5" s="666" t="n"/>
      <c r="E5" s="666" t="n"/>
      <c r="F5" s="666" t="n"/>
      <c r="G5" s="666" t="n"/>
      <c r="H5" s="666" t="n"/>
      <c r="I5" s="672" t="n"/>
    </row>
    <row r="6" ht="22.5" customHeight="1" s="355">
      <c r="A6" s="664" t="n"/>
      <c r="B6" s="665" t="inlineStr">
        <is>
          <t>T&amp;E</t>
        </is>
      </c>
      <c r="C6" s="671" t="n"/>
      <c r="D6" s="666" t="n"/>
      <c r="E6" s="666" t="n"/>
      <c r="F6" s="666" t="n"/>
      <c r="G6" s="666" t="n"/>
      <c r="H6" s="666" t="n"/>
      <c r="I6" s="672" t="n"/>
    </row>
    <row r="7" ht="22.5" customHeight="1" s="355">
      <c r="A7" s="664" t="n"/>
      <c r="B7" s="665" t="inlineStr">
        <is>
          <t>Order to Cash</t>
        </is>
      </c>
      <c r="C7" s="671" t="n"/>
      <c r="D7" s="666" t="n"/>
      <c r="E7" s="666" t="n"/>
      <c r="F7" s="666" t="n"/>
      <c r="G7" s="666" t="n"/>
      <c r="H7" s="666" t="n"/>
      <c r="I7" s="672"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71" t="n"/>
      <c r="D8" s="666" t="n"/>
      <c r="E8" s="666" t="n"/>
      <c r="F8" s="666" t="n"/>
      <c r="G8" s="666" t="n"/>
      <c r="H8" s="666" t="n"/>
      <c r="I8" s="672"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6.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BASE CHARGES INPUT FORM - CENTRE TWO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Italy</t>
        </is>
      </c>
      <c r="B3" s="661" t="inlineStr">
        <is>
          <t>General Accounting &amp; Sox</t>
        </is>
      </c>
      <c r="C3" s="669" t="n"/>
      <c r="D3" s="662" t="n"/>
      <c r="E3" s="662" t="n"/>
      <c r="F3" s="662" t="n"/>
      <c r="G3" s="662" t="n"/>
      <c r="H3" s="662" t="n"/>
      <c r="I3" s="670" t="n"/>
    </row>
    <row r="4" ht="22.5" customHeight="1" s="355">
      <c r="A4" s="664" t="n"/>
      <c r="B4" s="665" t="inlineStr">
        <is>
          <t>Fixed Assets</t>
        </is>
      </c>
      <c r="C4" s="671" t="n"/>
      <c r="D4" s="666" t="n"/>
      <c r="E4" s="666" t="n"/>
      <c r="F4" s="666" t="n"/>
      <c r="G4" s="666" t="n"/>
      <c r="H4" s="666" t="n"/>
      <c r="I4" s="672" t="n"/>
    </row>
    <row r="5" ht="22.5" customHeight="1" s="355">
      <c r="A5" s="664" t="n"/>
      <c r="B5" s="665" t="inlineStr">
        <is>
          <t>Accounts Payable</t>
        </is>
      </c>
      <c r="C5" s="671" t="n"/>
      <c r="D5" s="666" t="n"/>
      <c r="E5" s="666" t="n"/>
      <c r="F5" s="666" t="n"/>
      <c r="G5" s="666" t="n"/>
      <c r="H5" s="666" t="n"/>
      <c r="I5" s="672" t="n"/>
    </row>
    <row r="6" ht="22.5" customHeight="1" s="355">
      <c r="A6" s="664" t="n"/>
      <c r="B6" s="665" t="inlineStr">
        <is>
          <t>T&amp;E</t>
        </is>
      </c>
      <c r="C6" s="671" t="n"/>
      <c r="D6" s="666" t="n"/>
      <c r="E6" s="666" t="n"/>
      <c r="F6" s="666" t="n"/>
      <c r="G6" s="666" t="n"/>
      <c r="H6" s="666" t="n"/>
      <c r="I6" s="672" t="n"/>
    </row>
    <row r="7" ht="22.5" customHeight="1" s="355">
      <c r="A7" s="664" t="n"/>
      <c r="B7" s="665" t="inlineStr">
        <is>
          <t>Order to Cash</t>
        </is>
      </c>
      <c r="C7" s="671" t="n"/>
      <c r="D7" s="666" t="n"/>
      <c r="E7" s="666" t="n"/>
      <c r="F7" s="666" t="n"/>
      <c r="G7" s="666" t="n"/>
      <c r="H7" s="666" t="n"/>
      <c r="I7" s="672"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71" t="n"/>
      <c r="D8" s="666" t="n"/>
      <c r="E8" s="666" t="n"/>
      <c r="F8" s="666" t="n"/>
      <c r="G8" s="666" t="n"/>
      <c r="H8" s="666" t="n"/>
      <c r="I8" s="672" t="n"/>
    </row>
    <row r="9" ht="22.5" customHeight="1" s="355">
      <c r="A9" s="611" t="n"/>
      <c r="B9" s="658" t="inlineStr">
        <is>
          <t>TOTAL BASE CHARGES</t>
        </is>
      </c>
      <c r="C9" s="667">
        <f>SUM(C3:C8)</f>
        <v/>
      </c>
      <c r="D9" s="667">
        <f>SUM(D3:D8)</f>
        <v/>
      </c>
      <c r="E9" s="667">
        <f>SUM(E3:E8)</f>
        <v/>
      </c>
      <c r="F9" s="667">
        <f>SUM(F3:F8)</f>
        <v/>
      </c>
      <c r="G9" s="667">
        <f>SUM(G3:G8)</f>
        <v/>
      </c>
      <c r="H9" s="667">
        <f>SUM(H3:H8)</f>
        <v/>
      </c>
      <c r="I9" s="668">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7.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85" customWidth="1" style="407" min="10" max="10"/>
    <col width="8.4" customWidth="1" style="407" min="11" max="257"/>
  </cols>
  <sheetData>
    <row r="1" ht="22.5" customHeight="1" s="355">
      <c r="A1" s="655" t="inlineStr">
        <is>
          <t>BASE CHARGES INPUT FORM - CENTRE TWO (US$)</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United Kingdom</t>
        </is>
      </c>
      <c r="B3" s="661" t="inlineStr">
        <is>
          <t>General Accounting &amp; Sox</t>
        </is>
      </c>
      <c r="C3" s="662">
        <f>SUM('Appendix B - prod by country'!D68:O69,'Appendix B - prod by country'!D72:O72)*1.3*1000+SUM('Appendix A - pilot by country'!D68:O69,'Appendix A - pilot by country'!D72:O72)*1.3*1000</f>
        <v/>
      </c>
      <c r="D3" s="662">
        <f>SUM('Appendix B - prod by country'!P68:AA69,'Appendix B - prod by country'!P72:AA72)*1.3*1000</f>
        <v/>
      </c>
      <c r="E3" s="662">
        <f>SUM('Appendix B - prod by country'!AB68:AM69,'Appendix B - prod by country'!AB72:AM72)*1.3*1000</f>
        <v/>
      </c>
      <c r="F3" s="662">
        <f>SUM('Appendix B - prod by country'!AN68:AY69,'Appendix B - prod by country'!AN72:AY72)*1.3*1000</f>
        <v/>
      </c>
      <c r="G3" s="662">
        <f>SUM('Appendix B - prod by country'!AZ68:BK69,'Appendix B - prod by country'!AZ72:BK72)*1.3*1000</f>
        <v/>
      </c>
      <c r="H3" s="662">
        <f>SUM('Appendix B - prod by country'!BL68:BW69,'Appendix B - prod by country'!BL72:BW72)*1.3*1000</f>
        <v/>
      </c>
      <c r="I3" s="662">
        <f>SUM('Appendix B - prod by country'!BX68:CI69,'Appendix B - prod by country'!BX72:CI72)*1.3*1000</f>
        <v/>
      </c>
      <c r="J3" s="662">
        <f>SUM('Appendix B - prod by country'!CJ68:CJ69,'Appendix B - prod by country'!CJ72)*1.3*1000</f>
        <v/>
      </c>
    </row>
    <row r="4" ht="22.5" customHeight="1" s="355">
      <c r="A4" s="664" t="n"/>
      <c r="B4" s="665" t="inlineStr">
        <is>
          <t>Fixed Assets</t>
        </is>
      </c>
      <c r="C4" s="666">
        <f>SUM('Appendix B - prod by country'!D70:O70)*1.3*1000+SUM('Appendix A - pilot by country'!D70:O70)*1.3*1000</f>
        <v/>
      </c>
      <c r="D4" s="666">
        <f>SUM('Appendix B - prod by country'!P70:AA70)*1.3*1000</f>
        <v/>
      </c>
      <c r="E4" s="666">
        <f>SUM('Appendix B - prod by country'!AB70:AM70)*1.3*1000</f>
        <v/>
      </c>
      <c r="F4" s="666">
        <f>SUM('Appendix B - prod by country'!AN70:AY70)*1.3*1000</f>
        <v/>
      </c>
      <c r="G4" s="666">
        <f>SUM('Appendix B - prod by country'!AZ70:BK70)*1.3*1000</f>
        <v/>
      </c>
      <c r="H4" s="666">
        <f>SUM('Appendix B - prod by country'!BL70:BW70)*1.3*1000</f>
        <v/>
      </c>
      <c r="I4" s="666">
        <f>SUM('Appendix B - prod by country'!BX70:CI70)*1.3*1000</f>
        <v/>
      </c>
      <c r="J4" s="666">
        <f>SUM('Appendix B - prod by country'!CJ70)*1.3*1000</f>
        <v/>
      </c>
    </row>
    <row r="5" ht="22.5" customHeight="1" s="355">
      <c r="A5" s="664" t="n"/>
      <c r="B5" s="665" t="inlineStr">
        <is>
          <t>Accounts Payable</t>
        </is>
      </c>
      <c r="C5" s="666">
        <f>SUM('Appendix B - prod by country'!D71:O71)*1.3*1000+SUM('Appendix A - pilot by country'!D71:O71)*1.3*1000</f>
        <v/>
      </c>
      <c r="D5" s="666">
        <f>SUM('Appendix B - prod by country'!P71:AA71)*1.3*1000</f>
        <v/>
      </c>
      <c r="E5" s="666">
        <f>SUM('Appendix B - prod by country'!AB71:AM71)*1.3*1000</f>
        <v/>
      </c>
      <c r="F5" s="666">
        <f>SUM('Appendix B - prod by country'!AN71:AY71)*1.3*1000</f>
        <v/>
      </c>
      <c r="G5" s="666">
        <f>SUM('Appendix B - prod by country'!AZ71:BK71)*1.3*1000</f>
        <v/>
      </c>
      <c r="H5" s="666">
        <f>SUM('Appendix B - prod by country'!BL71:BW71)*1.3*1000</f>
        <v/>
      </c>
      <c r="I5" s="666">
        <f>SUM('Appendix B - prod by country'!BX71:CI71)*1.3*1000</f>
        <v/>
      </c>
      <c r="J5" s="666">
        <f>SUM('Appendix B - prod by country'!CJ71)*1.3*1000</f>
        <v/>
      </c>
    </row>
    <row r="6" ht="22.5" customHeight="1" s="355">
      <c r="A6" s="664" t="n"/>
      <c r="B6" s="665" t="inlineStr">
        <is>
          <t>T&amp;E</t>
        </is>
      </c>
      <c r="C6" s="666">
        <f>SUM('Appendix B - prod by country'!D73:O73)*1.3*1000+SUM('Appendix A - pilot by country'!D73:O73)*1.3*1000</f>
        <v/>
      </c>
      <c r="D6" s="666">
        <f>SUM('Appendix B - prod by country'!P73:AA73)*1.3*1000</f>
        <v/>
      </c>
      <c r="E6" s="666">
        <f>SUM('Appendix B - prod by country'!AB73:AM73)*1.3*1000</f>
        <v/>
      </c>
      <c r="F6" s="666">
        <f>SUM('Appendix B - prod by country'!AN73:AY73)*1.3*1000</f>
        <v/>
      </c>
      <c r="G6" s="666">
        <f>SUM('Appendix B - prod by country'!AZ73:BK73)*1.3*1000</f>
        <v/>
      </c>
      <c r="H6" s="666">
        <f>SUM('Appendix B - prod by country'!BL73:BW73)*1.3*1000</f>
        <v/>
      </c>
      <c r="I6" s="666">
        <f>SUM('Appendix B - prod by country'!BX73:CI73)*1.3*1000</f>
        <v/>
      </c>
      <c r="J6" s="666">
        <f>SUM('Appendix B - prod by country'!CJ73)*1.3*1000</f>
        <v/>
      </c>
    </row>
    <row r="7" ht="22.5" customHeight="1" s="355">
      <c r="A7" s="664" t="n"/>
      <c r="B7" s="665" t="inlineStr">
        <is>
          <t>Order to Cash</t>
        </is>
      </c>
      <c r="C7" s="666">
        <f>SUM('Appendix B - prod by country'!D74:O74)*1.3*1000+SUM('Appendix A - pilot by country'!D74:O74)*1.3*1000</f>
        <v/>
      </c>
      <c r="D7" s="666">
        <f>SUM('Appendix B - prod by country'!P74:AA74)*1.3*1000</f>
        <v/>
      </c>
      <c r="E7" s="666">
        <f>SUM('Appendix B - prod by country'!AB74:AM74)*1.3*1000</f>
        <v/>
      </c>
      <c r="F7" s="666">
        <f>SUM('Appendix B - prod by country'!AN74:AY74)*1.3*1000</f>
        <v/>
      </c>
      <c r="G7" s="666">
        <f>SUM('Appendix B - prod by country'!AZ74:BK74)*1.3*1000</f>
        <v/>
      </c>
      <c r="H7" s="666">
        <f>SUM('Appendix B - prod by country'!BL74:BW74)*1.3*1000</f>
        <v/>
      </c>
      <c r="I7" s="666">
        <f>SUM('Appendix B - prod by country'!BX74:CI74)*1.3*1000</f>
        <v/>
      </c>
      <c r="J7" s="666">
        <f>SUM('Appendix B - prod by country'!CJ74)*1.3*1000</f>
        <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66">
        <f>SUM('Appendix B - prod by country'!D75:O75)*1.3*1000+SUM('Appendix A - pilot by country'!D75:O75)*1.3*1000</f>
        <v/>
      </c>
      <c r="D8" s="666">
        <f>SUM('Appendix B - prod by country'!P75:AA75)*1.3*1000</f>
        <v/>
      </c>
      <c r="E8" s="666">
        <f>SUM('Appendix B - prod by country'!AB75:AM75)*1.3*1000</f>
        <v/>
      </c>
      <c r="F8" s="666">
        <f>SUM('Appendix B - prod by country'!AN75:AY75)*1.3*1000</f>
        <v/>
      </c>
      <c r="G8" s="666">
        <f>SUM('Appendix B - prod by country'!AZ75:BK75)*1.3*1000</f>
        <v/>
      </c>
      <c r="H8" s="666">
        <f>SUM('Appendix B - prod by country'!BL75:BW75)*1.3*1000</f>
        <v/>
      </c>
      <c r="I8" s="666">
        <f>SUM('Appendix B - prod by country'!BX75:CI75)*1.3*1000</f>
        <v/>
      </c>
      <c r="J8" s="666">
        <f>SUM('Appendix B - prod by country'!CJ75)*1.3*1000</f>
        <v/>
      </c>
    </row>
    <row r="9" ht="22.5" customHeight="1" s="355">
      <c r="A9" s="611" t="n"/>
      <c r="B9" s="658" t="inlineStr">
        <is>
          <t>TOTAL BASE CHARGES</t>
        </is>
      </c>
      <c r="C9" s="667">
        <f>SUM(C3:C8)</f>
        <v/>
      </c>
      <c r="D9" s="667">
        <f>SUM(D3:D8)</f>
        <v/>
      </c>
      <c r="E9" s="667">
        <f>SUM(E3:E8)</f>
        <v/>
      </c>
      <c r="F9" s="667">
        <f>SUM(F3:F8)</f>
        <v/>
      </c>
      <c r="G9" s="667">
        <f>SUM(G3:G8)</f>
        <v/>
      </c>
      <c r="H9" s="667">
        <f>SUM(H3:H8)</f>
        <v/>
      </c>
      <c r="I9" s="668">
        <f>SUM(I3:I8)</f>
        <v/>
      </c>
      <c r="J9" s="668">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8.xml><?xml version="1.0" encoding="utf-8"?>
<worksheet xmlns="http://schemas.openxmlformats.org/spreadsheetml/2006/main">
  <sheetPr filterMode="0">
    <tabColor rgb="FF00FFFF"/>
    <outlinePr summaryBelow="1" summaryRight="1"/>
    <pageSetUpPr fitToPage="1"/>
  </sheetPr>
  <dimension ref="A1:W58"/>
  <sheetViews>
    <sheetView showFormulas="0" showGridLines="1" showRowColHeaders="1" showZeros="1" rightToLeft="0" tabSelected="0" showOutlineSymbols="1" defaultGridColor="1" view="normal" topLeftCell="A31" colorId="64" zoomScale="50" zoomScaleNormal="50" zoomScalePageLayoutView="100" workbookViewId="0">
      <selection pane="topLeft" activeCell="A1" activeCellId="0" sqref="A1:K59"/>
    </sheetView>
  </sheetViews>
  <sheetFormatPr baseColWidth="8" defaultColWidth="8.3984375" defaultRowHeight="12.75" customHeight="1" zeroHeight="0" outlineLevelRow="0"/>
  <cols>
    <col width="33.78" customWidth="1" style="407" min="1" max="1"/>
    <col width="35.27" customWidth="1" style="407" min="2" max="2"/>
    <col width="13.95" customWidth="1" style="407" min="3" max="10"/>
    <col width="8.4" customWidth="1" style="407" min="11" max="257"/>
  </cols>
  <sheetData>
    <row r="1" ht="22.5" customHeight="1" s="355">
      <c r="A1" s="408" t="inlineStr">
        <is>
          <t>FTE PROJECTION INPUT SUMMARY</t>
        </is>
      </c>
      <c r="B1" s="409" t="n"/>
      <c r="C1" s="647" t="n"/>
      <c r="D1" s="647" t="n"/>
      <c r="E1" s="647" t="n"/>
      <c r="F1" s="647" t="n"/>
      <c r="G1" s="647" t="n"/>
      <c r="H1" s="647" t="n"/>
      <c r="I1" s="647" t="n"/>
      <c r="J1" s="647" t="n"/>
    </row>
    <row r="2" ht="22.5" customHeight="1" s="355">
      <c r="A2" s="411" t="inlineStr">
        <is>
          <t xml:space="preserve">Consolidated </t>
        </is>
      </c>
      <c r="B2" s="412" t="n"/>
      <c r="C2" s="648" t="inlineStr">
        <is>
          <t>Year 1</t>
        </is>
      </c>
      <c r="D2" s="649" t="inlineStr">
        <is>
          <t>Year 2</t>
        </is>
      </c>
      <c r="E2" s="649" t="inlineStr">
        <is>
          <t>Year 3</t>
        </is>
      </c>
      <c r="F2" s="649" t="inlineStr">
        <is>
          <t>Year 4</t>
        </is>
      </c>
      <c r="G2" s="649" t="inlineStr">
        <is>
          <t>Year 5</t>
        </is>
      </c>
      <c r="H2" s="649" t="inlineStr">
        <is>
          <t>Year 6</t>
        </is>
      </c>
      <c r="I2" s="649" t="inlineStr">
        <is>
          <t>Year 7</t>
        </is>
      </c>
      <c r="J2" s="649" t="inlineStr">
        <is>
          <t>Year 8</t>
        </is>
      </c>
    </row>
    <row r="3" ht="22.5" customHeight="1" s="355">
      <c r="A3" s="415" t="n"/>
      <c r="B3" s="416" t="inlineStr">
        <is>
          <t>Consolidated Summary</t>
        </is>
      </c>
      <c r="C3" s="650" t="n"/>
      <c r="D3" s="651" t="n"/>
      <c r="E3" s="651" t="n"/>
      <c r="F3" s="651" t="n"/>
      <c r="G3" s="651" t="n"/>
      <c r="H3" s="651" t="n"/>
      <c r="I3" s="651" t="n"/>
      <c r="J3" s="651" t="n"/>
    </row>
    <row r="4" ht="22.5" customHeight="1" s="355">
      <c r="A4" s="415" t="n"/>
      <c r="B4" s="419" t="inlineStr">
        <is>
          <t xml:space="preserve">  Switzerland</t>
        </is>
      </c>
      <c r="C4" s="673">
        <f>C14+C24</f>
        <v/>
      </c>
      <c r="D4" s="673">
        <f>D14+D24</f>
        <v/>
      </c>
      <c r="E4" s="673">
        <f>E14+E24</f>
        <v/>
      </c>
      <c r="F4" s="673">
        <f>F14+F24</f>
        <v/>
      </c>
      <c r="G4" s="673">
        <f>G14+G24</f>
        <v/>
      </c>
      <c r="H4" s="673">
        <f>H14+H24</f>
        <v/>
      </c>
      <c r="I4" s="673">
        <f>I14+I24</f>
        <v/>
      </c>
      <c r="J4" s="673">
        <f>J14+J24</f>
        <v/>
      </c>
    </row>
    <row r="5" ht="22.5" customHeight="1" s="355">
      <c r="A5" s="415" t="n"/>
      <c r="B5" s="419" t="inlineStr">
        <is>
          <t xml:space="preserve">  United States</t>
        </is>
      </c>
      <c r="C5" s="673">
        <f>C15+C25</f>
        <v/>
      </c>
      <c r="D5" s="673">
        <f>D15+D25</f>
        <v/>
      </c>
      <c r="E5" s="673">
        <f>E15+E25</f>
        <v/>
      </c>
      <c r="F5" s="673">
        <f>F15+F25</f>
        <v/>
      </c>
      <c r="G5" s="673">
        <f>G15+G25</f>
        <v/>
      </c>
      <c r="H5" s="673">
        <f>H15+H25</f>
        <v/>
      </c>
      <c r="I5" s="673">
        <f>I15+I25</f>
        <v/>
      </c>
      <c r="J5" s="673">
        <f>J15+J25</f>
        <v/>
      </c>
    </row>
    <row r="6" ht="22.5" customHeight="1" s="355">
      <c r="A6" s="415" t="n"/>
      <c r="B6" s="419" t="inlineStr">
        <is>
          <t xml:space="preserve">  France</t>
        </is>
      </c>
      <c r="C6" s="673">
        <f>C16+C26</f>
        <v/>
      </c>
      <c r="D6" s="673">
        <f>D16+D26</f>
        <v/>
      </c>
      <c r="E6" s="673">
        <f>E16+E26</f>
        <v/>
      </c>
      <c r="F6" s="673">
        <f>F16+F26</f>
        <v/>
      </c>
      <c r="G6" s="673">
        <f>G16+G26</f>
        <v/>
      </c>
      <c r="H6" s="673">
        <f>H16+H26</f>
        <v/>
      </c>
      <c r="I6" s="673">
        <f>I16+I26</f>
        <v/>
      </c>
      <c r="J6" s="673">
        <f>J16+J26</f>
        <v/>
      </c>
    </row>
    <row r="7" ht="22.5" customHeight="1" s="355">
      <c r="A7" s="415" t="n"/>
      <c r="B7" s="419" t="inlineStr">
        <is>
          <t xml:space="preserve">  Germany </t>
        </is>
      </c>
      <c r="C7" s="673">
        <f>C17+C27</f>
        <v/>
      </c>
      <c r="D7" s="673">
        <f>D17+D27</f>
        <v/>
      </c>
      <c r="E7" s="673">
        <f>E17+E27</f>
        <v/>
      </c>
      <c r="F7" s="673">
        <f>F17+F27</f>
        <v/>
      </c>
      <c r="G7" s="673">
        <f>G17+G27</f>
        <v/>
      </c>
      <c r="H7" s="673">
        <f>H17+H27</f>
        <v/>
      </c>
      <c r="I7" s="673">
        <f>I17+I27</f>
        <v/>
      </c>
      <c r="J7" s="673">
        <f>J17+J27</f>
        <v/>
      </c>
    </row>
    <row r="8" ht="22.5" customHeight="1" s="355">
      <c r="A8" s="415" t="n"/>
      <c r="B8" s="419" t="inlineStr">
        <is>
          <t xml:space="preserve">  Germany Production</t>
        </is>
      </c>
      <c r="C8" s="673">
        <f>C18+C28</f>
        <v/>
      </c>
      <c r="D8" s="673">
        <f>D18+D28</f>
        <v/>
      </c>
      <c r="E8" s="673">
        <f>E18+E28</f>
        <v/>
      </c>
      <c r="F8" s="673">
        <f>F18+F28</f>
        <v/>
      </c>
      <c r="G8" s="673">
        <f>G18+G28</f>
        <v/>
      </c>
      <c r="H8" s="673">
        <f>H18+H28</f>
        <v/>
      </c>
      <c r="I8" s="673">
        <f>I18+I28</f>
        <v/>
      </c>
      <c r="J8" s="673">
        <f>J18+J28</f>
        <v/>
      </c>
    </row>
    <row r="9" ht="22.5" customHeight="1" s="355">
      <c r="A9" s="415" t="n"/>
      <c r="B9" s="419" t="inlineStr">
        <is>
          <t xml:space="preserve">  Spain</t>
        </is>
      </c>
      <c r="C9" s="673">
        <f>C19+C29</f>
        <v/>
      </c>
      <c r="D9" s="673">
        <f>D19+D29</f>
        <v/>
      </c>
      <c r="E9" s="673">
        <f>E19+E29</f>
        <v/>
      </c>
      <c r="F9" s="673">
        <f>F19+F29</f>
        <v/>
      </c>
      <c r="G9" s="673">
        <f>G19+G29</f>
        <v/>
      </c>
      <c r="H9" s="673">
        <f>H19+H29</f>
        <v/>
      </c>
      <c r="I9" s="673">
        <f>I19+I29</f>
        <v/>
      </c>
      <c r="J9" s="673">
        <f>J19+J29</f>
        <v/>
      </c>
    </row>
    <row r="10" ht="22.5" customHeight="1" s="355">
      <c r="A10" s="415" t="n"/>
      <c r="B10" s="419" t="inlineStr">
        <is>
          <t xml:space="preserve">  Italy</t>
        </is>
      </c>
      <c r="C10" s="673">
        <f>C20+C30</f>
        <v/>
      </c>
      <c r="D10" s="673">
        <f>D20+D30</f>
        <v/>
      </c>
      <c r="E10" s="673">
        <f>E20+E30</f>
        <v/>
      </c>
      <c r="F10" s="673">
        <f>F20+F30</f>
        <v/>
      </c>
      <c r="G10" s="673">
        <f>G20+G30</f>
        <v/>
      </c>
      <c r="H10" s="673">
        <f>H20+H30</f>
        <v/>
      </c>
      <c r="I10" s="673">
        <f>I20+I30</f>
        <v/>
      </c>
      <c r="J10" s="673">
        <f>J20+J30</f>
        <v/>
      </c>
    </row>
    <row r="11" ht="22.5" customHeight="1" s="355">
      <c r="A11" s="415" t="n"/>
      <c r="B11" s="421" t="inlineStr">
        <is>
          <t xml:space="preserve">  United Kingdom</t>
        </is>
      </c>
      <c r="C11" s="673">
        <f>C21+C31</f>
        <v/>
      </c>
      <c r="D11" s="673">
        <f>D21+D31</f>
        <v/>
      </c>
      <c r="E11" s="673">
        <f>E21+E31</f>
        <v/>
      </c>
      <c r="F11" s="673">
        <f>F21+F31</f>
        <v/>
      </c>
      <c r="G11" s="673">
        <f>G21+G31</f>
        <v/>
      </c>
      <c r="H11" s="673">
        <f>H21+H31</f>
        <v/>
      </c>
      <c r="I11" s="673">
        <f>I21+I31</f>
        <v/>
      </c>
      <c r="J11" s="673">
        <f>J21+J31</f>
        <v/>
      </c>
    </row>
    <row r="12" ht="22.5" customHeight="1" s="355">
      <c r="A12" s="415" t="n"/>
      <c r="B12" s="422" t="inlineStr">
        <is>
          <t>Total FTEs All Countries</t>
        </is>
      </c>
      <c r="C12" s="674">
        <f>SUM(C4:C11)</f>
        <v/>
      </c>
      <c r="D12" s="674">
        <f>SUM(D4:D11)</f>
        <v/>
      </c>
      <c r="E12" s="674">
        <f>SUM(E4:E11)</f>
        <v/>
      </c>
      <c r="F12" s="674">
        <f>SUM(F4:F11)</f>
        <v/>
      </c>
      <c r="G12" s="674">
        <f>SUM(G4:G11)</f>
        <v/>
      </c>
      <c r="H12" s="674">
        <f>SUM(H4:H11)</f>
        <v/>
      </c>
      <c r="I12" s="674">
        <f>SUM(I4:I11)</f>
        <v/>
      </c>
      <c r="J12" s="674">
        <f>SUM(J4:J11)</f>
        <v/>
      </c>
    </row>
    <row r="13" ht="22.5" customHeight="1" s="355">
      <c r="A13" s="415" t="n"/>
      <c r="B13" s="416" t="inlineStr">
        <is>
          <t>Centre One Summary</t>
        </is>
      </c>
      <c r="C13" s="650" t="n"/>
      <c r="D13" s="651" t="n"/>
      <c r="E13" s="651" t="n"/>
      <c r="F13" s="651" t="n"/>
      <c r="G13" s="651" t="n"/>
      <c r="H13" s="651" t="n"/>
      <c r="I13" s="651" t="n"/>
      <c r="J13" s="651" t="n"/>
    </row>
    <row r="14" ht="22.5" customHeight="1" s="355">
      <c r="A14" s="415" t="n"/>
      <c r="B14" s="419" t="inlineStr">
        <is>
          <t xml:space="preserve">  Switzerland</t>
        </is>
      </c>
      <c r="C14" s="673">
        <f>+'Centre One-FTE'!C73</f>
        <v/>
      </c>
      <c r="D14" s="673">
        <f>+'Centre One-FTE'!D73</f>
        <v/>
      </c>
      <c r="E14" s="673">
        <f>+'Centre One-FTE'!E73</f>
        <v/>
      </c>
      <c r="F14" s="673">
        <f>+'Centre One-FTE'!F73</f>
        <v/>
      </c>
      <c r="G14" s="673">
        <f>+'Centre One-FTE'!G73</f>
        <v/>
      </c>
      <c r="H14" s="673">
        <f>+'Centre One-FTE'!H73</f>
        <v/>
      </c>
      <c r="I14" s="673">
        <f>+'Centre One-FTE'!I73</f>
        <v/>
      </c>
      <c r="J14" s="673">
        <f>+'Centre One-FTE'!J73</f>
        <v/>
      </c>
    </row>
    <row r="15" ht="22.5" customHeight="1" s="355">
      <c r="A15" s="415" t="n"/>
      <c r="B15" s="419" t="inlineStr">
        <is>
          <t xml:space="preserve">  United States</t>
        </is>
      </c>
      <c r="C15" s="673">
        <f>+'Centre One-FTE'!C74</f>
        <v/>
      </c>
      <c r="D15" s="673">
        <f>+'Centre One-FTE'!D74</f>
        <v/>
      </c>
      <c r="E15" s="673">
        <f>+'Centre One-FTE'!E74</f>
        <v/>
      </c>
      <c r="F15" s="673">
        <f>+'Centre One-FTE'!F74</f>
        <v/>
      </c>
      <c r="G15" s="673">
        <f>+'Centre One-FTE'!G74</f>
        <v/>
      </c>
      <c r="H15" s="673">
        <f>+'Centre One-FTE'!H74</f>
        <v/>
      </c>
      <c r="I15" s="673">
        <f>+'Centre One-FTE'!I74</f>
        <v/>
      </c>
      <c r="J15" s="673">
        <f>+'Centre One-FTE'!J74</f>
        <v/>
      </c>
    </row>
    <row r="16" ht="22.5" customHeight="1" s="355">
      <c r="A16" s="415" t="n"/>
      <c r="B16" s="419" t="inlineStr">
        <is>
          <t xml:space="preserve">  France</t>
        </is>
      </c>
      <c r="C16" s="673">
        <f>+'Centre One-FTE'!C75</f>
        <v/>
      </c>
      <c r="D16" s="673">
        <f>+'Centre One-FTE'!D75</f>
        <v/>
      </c>
      <c r="E16" s="673">
        <f>+'Centre One-FTE'!E75</f>
        <v/>
      </c>
      <c r="F16" s="673">
        <f>+'Centre One-FTE'!F75</f>
        <v/>
      </c>
      <c r="G16" s="673">
        <f>+'Centre One-FTE'!G75</f>
        <v/>
      </c>
      <c r="H16" s="673">
        <f>+'Centre One-FTE'!H75</f>
        <v/>
      </c>
      <c r="I16" s="673">
        <f>+'Centre One-FTE'!I75</f>
        <v/>
      </c>
      <c r="J16" s="673">
        <f>+'Centre One-FTE'!J75</f>
        <v/>
      </c>
    </row>
    <row r="17" ht="22.5" customHeight="1" s="355">
      <c r="A17" s="415" t="n"/>
      <c r="B17" s="419" t="inlineStr">
        <is>
          <t xml:space="preserve">  Germany </t>
        </is>
      </c>
      <c r="C17" s="673">
        <f>+'Centre One-FTE'!C76</f>
        <v/>
      </c>
      <c r="D17" s="673">
        <f>+'Centre One-FTE'!D76</f>
        <v/>
      </c>
      <c r="E17" s="673">
        <f>+'Centre One-FTE'!E76</f>
        <v/>
      </c>
      <c r="F17" s="673">
        <f>+'Centre One-FTE'!F76</f>
        <v/>
      </c>
      <c r="G17" s="673">
        <f>+'Centre One-FTE'!G76</f>
        <v/>
      </c>
      <c r="H17" s="673">
        <f>+'Centre One-FTE'!H76</f>
        <v/>
      </c>
      <c r="I17" s="673">
        <f>+'Centre One-FTE'!I76</f>
        <v/>
      </c>
      <c r="J17" s="673">
        <f>+'Centre One-FTE'!J76</f>
        <v/>
      </c>
    </row>
    <row r="18" ht="22.5" customHeight="1" s="355">
      <c r="A18" s="415" t="n"/>
      <c r="B18" s="419" t="inlineStr">
        <is>
          <t xml:space="preserve">  Germany Production</t>
        </is>
      </c>
      <c r="C18" s="673">
        <f>+'Centre One-FTE'!C77</f>
        <v/>
      </c>
      <c r="D18" s="673">
        <f>+'Centre One-FTE'!D77</f>
        <v/>
      </c>
      <c r="E18" s="673">
        <f>+'Centre One-FTE'!E77</f>
        <v/>
      </c>
      <c r="F18" s="673">
        <f>+'Centre One-FTE'!F77</f>
        <v/>
      </c>
      <c r="G18" s="673">
        <f>+'Centre One-FTE'!G77</f>
        <v/>
      </c>
      <c r="H18" s="673">
        <f>+'Centre One-FTE'!H77</f>
        <v/>
      </c>
      <c r="I18" s="673">
        <f>+'Centre One-FTE'!I77</f>
        <v/>
      </c>
      <c r="J18" s="673">
        <f>+'Centre One-FTE'!J77</f>
        <v/>
      </c>
    </row>
    <row r="19" ht="22.5" customHeight="1" s="355">
      <c r="A19" s="415" t="n"/>
      <c r="B19" s="419" t="inlineStr">
        <is>
          <t xml:space="preserve">  Spain</t>
        </is>
      </c>
      <c r="C19" s="673">
        <f>+'Centre One-FTE'!C78</f>
        <v/>
      </c>
      <c r="D19" s="673">
        <f>+'Centre One-FTE'!D78</f>
        <v/>
      </c>
      <c r="E19" s="673">
        <f>+'Centre One-FTE'!E78</f>
        <v/>
      </c>
      <c r="F19" s="673">
        <f>+'Centre One-FTE'!F78</f>
        <v/>
      </c>
      <c r="G19" s="673">
        <f>+'Centre One-FTE'!G78</f>
        <v/>
      </c>
      <c r="H19" s="673">
        <f>+'Centre One-FTE'!H78</f>
        <v/>
      </c>
      <c r="I19" s="673">
        <f>+'Centre One-FTE'!I78</f>
        <v/>
      </c>
      <c r="J19" s="673">
        <f>+'Centre One-FTE'!J78</f>
        <v/>
      </c>
    </row>
    <row r="20" ht="22.5" customHeight="1" s="355">
      <c r="A20" s="415" t="n"/>
      <c r="B20" s="419" t="inlineStr">
        <is>
          <t xml:space="preserve">  Italy</t>
        </is>
      </c>
      <c r="C20" s="673">
        <f>+'Centre One-FTE'!C79</f>
        <v/>
      </c>
      <c r="D20" s="673">
        <f>+'Centre One-FTE'!D79</f>
        <v/>
      </c>
      <c r="E20" s="673">
        <f>+'Centre One-FTE'!E79</f>
        <v/>
      </c>
      <c r="F20" s="673">
        <f>+'Centre One-FTE'!F79</f>
        <v/>
      </c>
      <c r="G20" s="673">
        <f>+'Centre One-FTE'!G79</f>
        <v/>
      </c>
      <c r="H20" s="673">
        <f>+'Centre One-FTE'!H79</f>
        <v/>
      </c>
      <c r="I20" s="673">
        <f>+'Centre One-FTE'!I79</f>
        <v/>
      </c>
      <c r="J20" s="673">
        <f>+'Centre One-FTE'!J79</f>
        <v/>
      </c>
    </row>
    <row r="21" ht="22.5" customHeight="1" s="355">
      <c r="A21" s="415" t="n"/>
      <c r="B21" s="421" t="inlineStr">
        <is>
          <t xml:space="preserve">  United Kingdom</t>
        </is>
      </c>
      <c r="C21" s="673">
        <f>+'Centre One-FTE'!C80</f>
        <v/>
      </c>
      <c r="D21" s="673">
        <f>+'Centre One-FTE'!D80</f>
        <v/>
      </c>
      <c r="E21" s="673">
        <f>+'Centre One-FTE'!E80</f>
        <v/>
      </c>
      <c r="F21" s="673">
        <f>+'Centre One-FTE'!F80</f>
        <v/>
      </c>
      <c r="G21" s="673">
        <f>+'Centre One-FTE'!G80</f>
        <v/>
      </c>
      <c r="H21" s="673">
        <f>+'Centre One-FTE'!H80</f>
        <v/>
      </c>
      <c r="I21" s="673">
        <f>+'Centre One-FTE'!I80</f>
        <v/>
      </c>
      <c r="J21" s="673">
        <f>+'Centre One-FTE'!J80</f>
        <v/>
      </c>
    </row>
    <row r="22" ht="22.5" customHeight="1" s="355">
      <c r="A22" s="415" t="n"/>
      <c r="B22" s="422" t="inlineStr">
        <is>
          <t>Total FTEs - Centre One</t>
        </is>
      </c>
      <c r="C22" s="674">
        <f>SUM(C14:C21)</f>
        <v/>
      </c>
      <c r="D22" s="674">
        <f>SUM(D14:D21)</f>
        <v/>
      </c>
      <c r="E22" s="674">
        <f>SUM(E14:E21)</f>
        <v/>
      </c>
      <c r="F22" s="674">
        <f>SUM(F14:F21)</f>
        <v/>
      </c>
      <c r="G22" s="674">
        <f>SUM(G14:G21)</f>
        <v/>
      </c>
      <c r="H22" s="674">
        <f>SUM(H14:H21)</f>
        <v/>
      </c>
      <c r="I22" s="674">
        <f>SUM(I14:I21)</f>
        <v/>
      </c>
      <c r="J22" s="674">
        <f>SUM(J14:J21)</f>
        <v/>
      </c>
    </row>
    <row r="23" ht="22.5" customHeight="1" s="355">
      <c r="A23" s="415" t="n"/>
      <c r="B23" s="416" t="inlineStr">
        <is>
          <t>Centre Two Summary</t>
        </is>
      </c>
      <c r="C23" s="650" t="n"/>
      <c r="D23" s="651" t="n"/>
      <c r="E23" s="651" t="n"/>
      <c r="F23" s="651" t="n"/>
      <c r="G23" s="651" t="n"/>
      <c r="H23" s="651" t="n"/>
      <c r="I23" s="651" t="n"/>
      <c r="J23" s="651" t="n"/>
    </row>
    <row r="24" ht="22.5" customHeight="1" s="355">
      <c r="A24" s="415" t="n"/>
      <c r="B24" s="419" t="inlineStr">
        <is>
          <t xml:space="preserve">  Switzerland</t>
        </is>
      </c>
      <c r="C24" s="673">
        <f>+'Centre Two-FTE'!C73</f>
        <v/>
      </c>
      <c r="D24" s="673">
        <f>+'Centre Two-FTE'!D73</f>
        <v/>
      </c>
      <c r="E24" s="673">
        <f>+'Centre Two-FTE'!E73</f>
        <v/>
      </c>
      <c r="F24" s="673">
        <f>+'Centre Two-FTE'!F73</f>
        <v/>
      </c>
      <c r="G24" s="673">
        <f>+'Centre Two-FTE'!G73</f>
        <v/>
      </c>
      <c r="H24" s="673">
        <f>+'Centre Two-FTE'!H73</f>
        <v/>
      </c>
      <c r="I24" s="673">
        <f>+'Centre Two-FTE'!I73</f>
        <v/>
      </c>
      <c r="J24" s="673">
        <f>+'Centre Two-FTE'!J73</f>
        <v/>
      </c>
    </row>
    <row r="25" ht="22.5" customHeight="1" s="355">
      <c r="A25" s="415" t="n"/>
      <c r="B25" s="419" t="inlineStr">
        <is>
          <t xml:space="preserve">  United States</t>
        </is>
      </c>
      <c r="C25" s="673">
        <f>+'Centre Two-FTE'!C74</f>
        <v/>
      </c>
      <c r="D25" s="673">
        <f>+'Centre Two-FTE'!D74</f>
        <v/>
      </c>
      <c r="E25" s="673">
        <f>+'Centre Two-FTE'!E74</f>
        <v/>
      </c>
      <c r="F25" s="673">
        <f>+'Centre Two-FTE'!F74</f>
        <v/>
      </c>
      <c r="G25" s="673">
        <f>+'Centre Two-FTE'!G74</f>
        <v/>
      </c>
      <c r="H25" s="673">
        <f>+'Centre Two-FTE'!H74</f>
        <v/>
      </c>
      <c r="I25" s="673">
        <f>+'Centre Two-FTE'!I74</f>
        <v/>
      </c>
      <c r="J25" s="673">
        <f>+'Centre Two-FTE'!J74</f>
        <v/>
      </c>
    </row>
    <row r="26" ht="22.5" customHeight="1" s="355">
      <c r="A26" s="415" t="n"/>
      <c r="B26" s="419" t="inlineStr">
        <is>
          <t xml:space="preserve">  France</t>
        </is>
      </c>
      <c r="C26" s="673">
        <f>+'Centre Two-FTE'!C75</f>
        <v/>
      </c>
      <c r="D26" s="673">
        <f>+'Centre Two-FTE'!D75</f>
        <v/>
      </c>
      <c r="E26" s="673">
        <f>+'Centre Two-FTE'!E75</f>
        <v/>
      </c>
      <c r="F26" s="673">
        <f>+'Centre Two-FTE'!F75</f>
        <v/>
      </c>
      <c r="G26" s="673">
        <f>+'Centre Two-FTE'!G75</f>
        <v/>
      </c>
      <c r="H26" s="673">
        <f>+'Centre Two-FTE'!H75</f>
        <v/>
      </c>
      <c r="I26" s="673">
        <f>+'Centre Two-FTE'!I75</f>
        <v/>
      </c>
      <c r="J26" s="673">
        <f>+'Centre Two-FTE'!J75</f>
        <v/>
      </c>
    </row>
    <row r="27" ht="22.5" customHeight="1" s="355">
      <c r="A27" s="415" t="n"/>
      <c r="B27" s="419" t="inlineStr">
        <is>
          <t xml:space="preserve">  Germany </t>
        </is>
      </c>
      <c r="C27" s="673">
        <f>+'Centre Two-FTE'!C76</f>
        <v/>
      </c>
      <c r="D27" s="673">
        <f>+'Centre Two-FTE'!D76</f>
        <v/>
      </c>
      <c r="E27" s="673">
        <f>+'Centre Two-FTE'!E76</f>
        <v/>
      </c>
      <c r="F27" s="673">
        <f>+'Centre Two-FTE'!F76</f>
        <v/>
      </c>
      <c r="G27" s="673">
        <f>+'Centre Two-FTE'!G76</f>
        <v/>
      </c>
      <c r="H27" s="673">
        <f>+'Centre Two-FTE'!H76</f>
        <v/>
      </c>
      <c r="I27" s="673">
        <f>+'Centre Two-FTE'!I76</f>
        <v/>
      </c>
      <c r="J27" s="673">
        <f>+'Centre Two-FTE'!J76</f>
        <v/>
      </c>
    </row>
    <row r="28" ht="22.5" customHeight="1" s="355">
      <c r="A28" s="415" t="n"/>
      <c r="B28" s="419" t="inlineStr">
        <is>
          <t xml:space="preserve">  Germany Production</t>
        </is>
      </c>
      <c r="C28" s="673">
        <f>+'Centre Two-FTE'!C77</f>
        <v/>
      </c>
      <c r="D28" s="673">
        <f>+'Centre Two-FTE'!D77</f>
        <v/>
      </c>
      <c r="E28" s="673">
        <f>+'Centre Two-FTE'!E77</f>
        <v/>
      </c>
      <c r="F28" s="673">
        <f>+'Centre Two-FTE'!F77</f>
        <v/>
      </c>
      <c r="G28" s="673">
        <f>+'Centre Two-FTE'!G77</f>
        <v/>
      </c>
      <c r="H28" s="673">
        <f>+'Centre Two-FTE'!H77</f>
        <v/>
      </c>
      <c r="I28" s="673">
        <f>+'Centre Two-FTE'!I77</f>
        <v/>
      </c>
      <c r="J28" s="673">
        <f>+'Centre Two-FTE'!J77</f>
        <v/>
      </c>
    </row>
    <row r="29" ht="22.5" customHeight="1" s="355">
      <c r="A29" s="415" t="n"/>
      <c r="B29" s="419" t="inlineStr">
        <is>
          <t xml:space="preserve">  Spain</t>
        </is>
      </c>
      <c r="C29" s="673">
        <f>+'Centre Two-FTE'!C78</f>
        <v/>
      </c>
      <c r="D29" s="673">
        <f>+'Centre Two-FTE'!D78</f>
        <v/>
      </c>
      <c r="E29" s="673">
        <f>+'Centre Two-FTE'!E78</f>
        <v/>
      </c>
      <c r="F29" s="673">
        <f>+'Centre Two-FTE'!F78</f>
        <v/>
      </c>
      <c r="G29" s="673">
        <f>+'Centre Two-FTE'!G78</f>
        <v/>
      </c>
      <c r="H29" s="673">
        <f>+'Centre Two-FTE'!H78</f>
        <v/>
      </c>
      <c r="I29" s="673">
        <f>+'Centre Two-FTE'!I78</f>
        <v/>
      </c>
      <c r="J29" s="673">
        <f>+'Centre Two-FTE'!J78</f>
        <v/>
      </c>
    </row>
    <row r="30" ht="22.5" customHeight="1" s="355">
      <c r="A30" s="415" t="n"/>
      <c r="B30" s="419" t="inlineStr">
        <is>
          <t xml:space="preserve">  Italy</t>
        </is>
      </c>
      <c r="C30" s="673">
        <f>+'Centre Two-FTE'!C79</f>
        <v/>
      </c>
      <c r="D30" s="673">
        <f>+'Centre Two-FTE'!D79</f>
        <v/>
      </c>
      <c r="E30" s="673">
        <f>+'Centre Two-FTE'!E79</f>
        <v/>
      </c>
      <c r="F30" s="673">
        <f>+'Centre Two-FTE'!F79</f>
        <v/>
      </c>
      <c r="G30" s="673">
        <f>+'Centre Two-FTE'!G79</f>
        <v/>
      </c>
      <c r="H30" s="673">
        <f>+'Centre Two-FTE'!H79</f>
        <v/>
      </c>
      <c r="I30" s="673">
        <f>+'Centre Two-FTE'!I79</f>
        <v/>
      </c>
      <c r="J30" s="673">
        <f>+'Centre Two-FTE'!J79</f>
        <v/>
      </c>
    </row>
    <row r="31" ht="22.5" customHeight="1" s="355">
      <c r="A31" s="415" t="n"/>
      <c r="B31" s="421" t="inlineStr">
        <is>
          <t xml:space="preserve">  United Kingdom</t>
        </is>
      </c>
      <c r="C31" s="673">
        <f>+'Centre Two-FTE'!C80</f>
        <v/>
      </c>
      <c r="D31" s="673">
        <f>+'Centre Two-FTE'!D80</f>
        <v/>
      </c>
      <c r="E31" s="673">
        <f>+'Centre Two-FTE'!E80</f>
        <v/>
      </c>
      <c r="F31" s="673">
        <f>+'Centre Two-FTE'!F80</f>
        <v/>
      </c>
      <c r="G31" s="673">
        <f>+'Centre Two-FTE'!G80</f>
        <v/>
      </c>
      <c r="H31" s="673">
        <f>+'Centre Two-FTE'!H80</f>
        <v/>
      </c>
      <c r="I31" s="673">
        <f>+'Centre Two-FTE'!I80</f>
        <v/>
      </c>
      <c r="J31" s="673">
        <f>+'Centre Two-FTE'!J80</f>
        <v/>
      </c>
    </row>
    <row r="32" ht="22.5" customHeight="1" s="355">
      <c r="A32" s="415" t="n"/>
      <c r="B32" s="422" t="inlineStr">
        <is>
          <t>Total FTEs - Centre Two</t>
        </is>
      </c>
      <c r="C32" s="674">
        <f>SUM(C24:C31)</f>
        <v/>
      </c>
      <c r="D32" s="674">
        <f>SUM(D24:D31)</f>
        <v/>
      </c>
      <c r="E32" s="674">
        <f>SUM(E24:E31)</f>
        <v/>
      </c>
      <c r="F32" s="674">
        <f>SUM(F24:F31)</f>
        <v/>
      </c>
      <c r="G32" s="674">
        <f>SUM(G24:G31)</f>
        <v/>
      </c>
      <c r="H32" s="674">
        <f>SUM(H24:H31)</f>
        <v/>
      </c>
      <c r="I32" s="674">
        <f>SUM(I24:I31)</f>
        <v/>
      </c>
      <c r="J32" s="674">
        <f>SUM(J24:J31)</f>
        <v/>
      </c>
    </row>
    <row r="33" ht="22.5" customHeight="1" s="355">
      <c r="A33" s="415" t="n"/>
      <c r="B33" s="416" t="inlineStr">
        <is>
          <t>Process Summary</t>
        </is>
      </c>
      <c r="C33" s="675" t="n"/>
      <c r="D33" s="676" t="n"/>
      <c r="E33" s="676" t="n"/>
      <c r="F33" s="676" t="n"/>
      <c r="G33" s="676" t="n"/>
      <c r="H33" s="676" t="n"/>
      <c r="I33" s="676" t="n"/>
      <c r="J33" s="676" t="n"/>
    </row>
    <row r="34" ht="22.5" customHeight="1" s="355">
      <c r="A34" s="415" t="n"/>
      <c r="B34" s="427" t="inlineStr">
        <is>
          <t>General Accounting &amp; Sox</t>
        </is>
      </c>
      <c r="C34" s="677" t="n"/>
      <c r="D34" s="678" t="n"/>
      <c r="E34" s="678" t="n"/>
      <c r="F34" s="678" t="n"/>
      <c r="G34" s="678" t="n"/>
      <c r="H34" s="678" t="n"/>
      <c r="I34" s="678" t="n"/>
      <c r="J34" s="678" t="n"/>
    </row>
    <row r="35" ht="22.5" customHeight="1" s="355">
      <c r="A35" s="415" t="n"/>
      <c r="B35" s="430" t="inlineStr">
        <is>
          <t xml:space="preserve">   Centre One </t>
        </is>
      </c>
      <c r="C35" s="679">
        <f>'Centre One-FTE'!$C$20</f>
        <v/>
      </c>
      <c r="D35" s="680">
        <f>'Centre One-FTE'!$D$20</f>
        <v/>
      </c>
      <c r="E35" s="680">
        <f>'Centre One-FTE'!$E$20</f>
        <v/>
      </c>
      <c r="F35" s="680">
        <f>'Centre One-FTE'!$F$20</f>
        <v/>
      </c>
      <c r="G35" s="680">
        <f>'Centre One-FTE'!$G$20</f>
        <v/>
      </c>
      <c r="H35" s="680">
        <f>'Centre One-FTE'!$H$20</f>
        <v/>
      </c>
      <c r="I35" s="680">
        <f>'Centre One-FTE'!$I$20</f>
        <v/>
      </c>
      <c r="J35" s="680">
        <f>'Centre One-FTE'!$J$20</f>
        <v/>
      </c>
    </row>
    <row r="36" ht="22.5" customHeight="1" s="355">
      <c r="A36" s="415" t="n"/>
      <c r="B36" s="430" t="inlineStr">
        <is>
          <t xml:space="preserve">   Centre Two</t>
        </is>
      </c>
      <c r="C36" s="681">
        <f>'Centre Two-FTE'!$C$20</f>
        <v/>
      </c>
      <c r="D36" s="682">
        <f>'Centre Two-FTE'!$D$20</f>
        <v/>
      </c>
      <c r="E36" s="682">
        <f>'Centre Two-FTE'!$E$20</f>
        <v/>
      </c>
      <c r="F36" s="682">
        <f>'Centre Two-FTE'!$F$20</f>
        <v/>
      </c>
      <c r="G36" s="682">
        <f>'Centre Two-FTE'!$G$20</f>
        <v/>
      </c>
      <c r="H36" s="682">
        <f>'Centre Two-FTE'!$H$20</f>
        <v/>
      </c>
      <c r="I36" s="682">
        <f>'Centre Two-FTE'!$I$20</f>
        <v/>
      </c>
      <c r="J36" s="682">
        <f>'Centre Two-FTE'!$J$20</f>
        <v/>
      </c>
    </row>
    <row r="37" ht="22.5" customHeight="1" s="355">
      <c r="A37" s="415" t="n"/>
      <c r="B37" s="435" t="inlineStr">
        <is>
          <t xml:space="preserve">                Sub Total</t>
        </is>
      </c>
      <c r="C37" s="683">
        <f>SUM(C35:C36)</f>
        <v/>
      </c>
      <c r="D37" s="683">
        <f>SUM(D35:D36)</f>
        <v/>
      </c>
      <c r="E37" s="683">
        <f>SUM(E35:E36)</f>
        <v/>
      </c>
      <c r="F37" s="683">
        <f>SUM(F35:F36)</f>
        <v/>
      </c>
      <c r="G37" s="683">
        <f>SUM(G35:G36)</f>
        <v/>
      </c>
      <c r="H37" s="683">
        <f>SUM(H35:H36)</f>
        <v/>
      </c>
      <c r="I37" s="683">
        <f>SUM(I35:I36)</f>
        <v/>
      </c>
      <c r="J37" s="683">
        <f>SUM(J35:J36)</f>
        <v/>
      </c>
    </row>
    <row r="38" ht="22.5" customHeight="1" s="355">
      <c r="A38" s="415" t="n"/>
      <c r="B38" s="437" t="inlineStr">
        <is>
          <t>Fixed Assets</t>
        </is>
      </c>
      <c r="C38" s="684" t="n"/>
      <c r="D38" s="685" t="n"/>
      <c r="E38" s="685" t="n"/>
      <c r="F38" s="685" t="n"/>
      <c r="G38" s="685" t="n"/>
      <c r="H38" s="685" t="n"/>
      <c r="I38" s="685" t="n"/>
      <c r="J38" s="685" t="n"/>
    </row>
    <row r="39" ht="22.5" customHeight="1" s="355">
      <c r="A39" s="415" t="n"/>
      <c r="B39" s="430" t="inlineStr">
        <is>
          <t xml:space="preserve">   Centre One </t>
        </is>
      </c>
      <c r="C39" s="679">
        <f>'Centre One-FTE'!$C$30</f>
        <v/>
      </c>
      <c r="D39" s="680">
        <f>'Centre One-FTE'!$D$30</f>
        <v/>
      </c>
      <c r="E39" s="680">
        <f>'Centre One-FTE'!$E$30</f>
        <v/>
      </c>
      <c r="F39" s="680">
        <f>'Centre One-FTE'!$F$30</f>
        <v/>
      </c>
      <c r="G39" s="680">
        <f>'Centre One-FTE'!$G$30</f>
        <v/>
      </c>
      <c r="H39" s="680">
        <f>'Centre One-FTE'!$H$30</f>
        <v/>
      </c>
      <c r="I39" s="680">
        <f>'Centre One-FTE'!$I$30</f>
        <v/>
      </c>
      <c r="J39" s="680">
        <f>'Centre One-FTE'!$J$30</f>
        <v/>
      </c>
    </row>
    <row r="40" ht="22.5" customHeight="1" s="355">
      <c r="A40" s="415" t="n"/>
      <c r="B40" s="430" t="inlineStr">
        <is>
          <t xml:space="preserve">   Centre Two</t>
        </is>
      </c>
      <c r="C40" s="681">
        <f>'Centre Two-FTE'!$C$30</f>
        <v/>
      </c>
      <c r="D40" s="682">
        <f>'Centre Two-FTE'!$D$30</f>
        <v/>
      </c>
      <c r="E40" s="682">
        <f>'Centre Two-FTE'!$E$30</f>
        <v/>
      </c>
      <c r="F40" s="682">
        <f>'Centre Two-FTE'!$F$30</f>
        <v/>
      </c>
      <c r="G40" s="682">
        <f>'Centre Two-FTE'!$G$30</f>
        <v/>
      </c>
      <c r="H40" s="682">
        <f>'Centre Two-FTE'!$H$30</f>
        <v/>
      </c>
      <c r="I40" s="682">
        <f>'Centre Two-FTE'!$I$30</f>
        <v/>
      </c>
      <c r="J40" s="682">
        <f>'Centre Two-FTE'!$J$30</f>
        <v/>
      </c>
    </row>
    <row r="41" ht="22.5" customHeight="1" s="355">
      <c r="A41" s="415" t="n"/>
      <c r="B41" s="435" t="inlineStr">
        <is>
          <t xml:space="preserve">                Sub Total</t>
        </is>
      </c>
      <c r="C41" s="683">
        <f>SUM(C39:C40)</f>
        <v/>
      </c>
      <c r="D41" s="683">
        <f>SUM(D39:D40)</f>
        <v/>
      </c>
      <c r="E41" s="683">
        <f>SUM(E39:E40)</f>
        <v/>
      </c>
      <c r="F41" s="683">
        <f>SUM(F39:F40)</f>
        <v/>
      </c>
      <c r="G41" s="683">
        <f>SUM(G39:G40)</f>
        <v/>
      </c>
      <c r="H41" s="683">
        <f>SUM(H39:H40)</f>
        <v/>
      </c>
      <c r="I41" s="683">
        <f>SUM(I39:I40)</f>
        <v/>
      </c>
      <c r="J41" s="683">
        <f>SUM(J39:J40)</f>
        <v/>
      </c>
    </row>
    <row r="42" ht="22.5" customHeight="1" s="355">
      <c r="A42" s="415" t="n"/>
      <c r="B42" s="437" t="inlineStr">
        <is>
          <t>Accounts Payable</t>
        </is>
      </c>
      <c r="C42" s="684" t="n"/>
      <c r="D42" s="685" t="n"/>
      <c r="E42" s="685" t="n"/>
      <c r="F42" s="685" t="n"/>
      <c r="G42" s="685" t="n"/>
      <c r="H42" s="685" t="n"/>
      <c r="I42" s="685" t="n"/>
      <c r="J42" s="685" t="n"/>
    </row>
    <row r="43" ht="22.5" customHeight="1" s="355">
      <c r="A43" s="415" t="n"/>
      <c r="B43" s="430" t="inlineStr">
        <is>
          <t xml:space="preserve">   Centre One </t>
        </is>
      </c>
      <c r="C43" s="679">
        <f>'Centre One-FTE'!$C$40</f>
        <v/>
      </c>
      <c r="D43" s="680">
        <f>'Centre One-FTE'!$D$40</f>
        <v/>
      </c>
      <c r="E43" s="680">
        <f>'Centre One-FTE'!$E$40</f>
        <v/>
      </c>
      <c r="F43" s="680">
        <f>'Centre One-FTE'!$F$40</f>
        <v/>
      </c>
      <c r="G43" s="680">
        <f>'Centre One-FTE'!$G$40</f>
        <v/>
      </c>
      <c r="H43" s="680">
        <f>'Centre One-FTE'!$H$40</f>
        <v/>
      </c>
      <c r="I43" s="680">
        <f>'Centre One-FTE'!$I$40</f>
        <v/>
      </c>
      <c r="J43" s="680">
        <f>'Centre One-FTE'!$J$40</f>
        <v/>
      </c>
    </row>
    <row r="44" ht="22.5" customHeight="1" s="355">
      <c r="A44" s="415" t="n"/>
      <c r="B44" s="430" t="inlineStr">
        <is>
          <t xml:space="preserve">   Centre Two</t>
        </is>
      </c>
      <c r="C44" s="681">
        <f>'Centre Two-FTE'!$C$40</f>
        <v/>
      </c>
      <c r="D44" s="682">
        <f>'Centre Two-FTE'!$D$40</f>
        <v/>
      </c>
      <c r="E44" s="682">
        <f>'Centre Two-FTE'!$E$40</f>
        <v/>
      </c>
      <c r="F44" s="682">
        <f>'Centre Two-FTE'!$F$40</f>
        <v/>
      </c>
      <c r="G44" s="682">
        <f>'Centre Two-FTE'!$G$40</f>
        <v/>
      </c>
      <c r="H44" s="682">
        <f>'Centre Two-FTE'!$H$40</f>
        <v/>
      </c>
      <c r="I44" s="682">
        <f>'Centre Two-FTE'!$I$40</f>
        <v/>
      </c>
      <c r="J44" s="682">
        <f>'Centre Two-FTE'!$J$40</f>
        <v/>
      </c>
    </row>
    <row r="45" ht="22.5" customHeight="1" s="355">
      <c r="A45" s="415" t="n"/>
      <c r="B45" s="435" t="inlineStr">
        <is>
          <t xml:space="preserve">                Sub Total</t>
        </is>
      </c>
      <c r="C45" s="683">
        <f>SUM(C43:C44)</f>
        <v/>
      </c>
      <c r="D45" s="683">
        <f>SUM(D43:D44)</f>
        <v/>
      </c>
      <c r="E45" s="683">
        <f>SUM(E43:E44)</f>
        <v/>
      </c>
      <c r="F45" s="683">
        <f>SUM(F43:F44)</f>
        <v/>
      </c>
      <c r="G45" s="683">
        <f>SUM(G43:G44)</f>
        <v/>
      </c>
      <c r="H45" s="683">
        <f>SUM(H43:H44)</f>
        <v/>
      </c>
      <c r="I45" s="683">
        <f>SUM(I43:I44)</f>
        <v/>
      </c>
      <c r="J45" s="683">
        <f>SUM(J43:J44)</f>
        <v/>
      </c>
    </row>
    <row r="46" ht="22.5" customHeight="1" s="355">
      <c r="A46" s="415" t="n"/>
      <c r="B46" s="437" t="inlineStr">
        <is>
          <t>T&amp;E</t>
        </is>
      </c>
      <c r="C46" s="684" t="n"/>
      <c r="D46" s="685" t="n"/>
      <c r="E46" s="685" t="n"/>
      <c r="F46" s="685" t="n"/>
      <c r="G46" s="685" t="n"/>
      <c r="H46" s="685" t="n"/>
      <c r="I46" s="685" t="n"/>
      <c r="J46" s="685" t="n"/>
    </row>
    <row r="47" ht="22.5" customHeight="1" s="355">
      <c r="A47" s="415" t="n"/>
      <c r="B47" s="430" t="inlineStr">
        <is>
          <t xml:space="preserve">   Centre One </t>
        </is>
      </c>
      <c r="C47" s="679">
        <f>'Centre One-FTE'!$C$50</f>
        <v/>
      </c>
      <c r="D47" s="680">
        <f>'Centre One-FTE'!$D$50</f>
        <v/>
      </c>
      <c r="E47" s="680">
        <f>'Centre One-FTE'!$E$50</f>
        <v/>
      </c>
      <c r="F47" s="680">
        <f>'Centre One-FTE'!$F$50</f>
        <v/>
      </c>
      <c r="G47" s="680">
        <f>'Centre One-FTE'!$G$50</f>
        <v/>
      </c>
      <c r="H47" s="680">
        <f>'Centre One-FTE'!$H$50</f>
        <v/>
      </c>
      <c r="I47" s="680">
        <f>'Centre One-FTE'!$I$50</f>
        <v/>
      </c>
      <c r="J47" s="680">
        <f>'Centre One-FTE'!$J$50</f>
        <v/>
      </c>
    </row>
    <row r="48" ht="22.5" customHeight="1" s="355">
      <c r="A48" s="415" t="n"/>
      <c r="B48" s="430" t="inlineStr">
        <is>
          <t xml:space="preserve">   Centre Two</t>
        </is>
      </c>
      <c r="C48" s="681">
        <f>'Centre Two-FTE'!$C$50</f>
        <v/>
      </c>
      <c r="D48" s="682">
        <f>'Centre Two-FTE'!$D$50</f>
        <v/>
      </c>
      <c r="E48" s="682">
        <f>'Centre Two-FTE'!$E$50</f>
        <v/>
      </c>
      <c r="F48" s="682">
        <f>'Centre Two-FTE'!$F$50</f>
        <v/>
      </c>
      <c r="G48" s="682">
        <f>'Centre Two-FTE'!$G$50</f>
        <v/>
      </c>
      <c r="H48" s="682">
        <f>'Centre Two-FTE'!$H$50</f>
        <v/>
      </c>
      <c r="I48" s="682">
        <f>'Centre Two-FTE'!$I$50</f>
        <v/>
      </c>
      <c r="J48" s="682">
        <f>'Centre Two-FTE'!$J$50</f>
        <v/>
      </c>
    </row>
    <row r="49" ht="22.5" customHeight="1" s="355">
      <c r="A49" s="415" t="n"/>
      <c r="B49" s="435" t="inlineStr">
        <is>
          <t xml:space="preserve">                Sub Total</t>
        </is>
      </c>
      <c r="C49" s="683">
        <f>SUM(C47:C48)</f>
        <v/>
      </c>
      <c r="D49" s="683">
        <f>SUM(D47:D48)</f>
        <v/>
      </c>
      <c r="E49" s="683">
        <f>SUM(E47:E48)</f>
        <v/>
      </c>
      <c r="F49" s="683">
        <f>SUM(F47:F48)</f>
        <v/>
      </c>
      <c r="G49" s="683">
        <f>SUM(G47:G48)</f>
        <v/>
      </c>
      <c r="H49" s="683">
        <f>SUM(H47:H48)</f>
        <v/>
      </c>
      <c r="I49" s="683">
        <f>SUM(I47:I48)</f>
        <v/>
      </c>
      <c r="J49" s="683">
        <f>SUM(J47:J48)</f>
        <v/>
      </c>
    </row>
    <row r="50" ht="22.5" customHeight="1" s="355">
      <c r="A50" s="415" t="n"/>
      <c r="B50" s="437" t="inlineStr">
        <is>
          <t>Order to Cash</t>
        </is>
      </c>
      <c r="C50" s="684" t="n"/>
      <c r="D50" s="685" t="n"/>
      <c r="E50" s="685" t="n"/>
      <c r="F50" s="685" t="n"/>
      <c r="G50" s="685" t="n"/>
      <c r="H50" s="685" t="n"/>
      <c r="I50" s="685" t="n"/>
      <c r="J50" s="685" t="n"/>
      <c r="K50" s="440" t="n"/>
      <c r="L50" s="440" t="n"/>
      <c r="M50" s="440" t="n"/>
      <c r="N50" s="440" t="n"/>
      <c r="O50" s="440" t="n"/>
      <c r="P50" s="440" t="n"/>
      <c r="Q50" s="440" t="n"/>
      <c r="R50" s="440" t="n"/>
      <c r="S50" s="440" t="n"/>
      <c r="T50" s="440" t="n"/>
      <c r="U50" s="440" t="n"/>
      <c r="V50" s="440" t="n"/>
      <c r="W50" s="440" t="n"/>
    </row>
    <row r="51" ht="22.5" customHeight="1" s="355">
      <c r="A51" s="415" t="n"/>
      <c r="B51" s="430" t="inlineStr">
        <is>
          <t xml:space="preserve">   Centre One </t>
        </is>
      </c>
      <c r="C51" s="679">
        <f>'Centre One-FTE'!$C$60</f>
        <v/>
      </c>
      <c r="D51" s="680">
        <f>'Centre One-FTE'!$D$60</f>
        <v/>
      </c>
      <c r="E51" s="680">
        <f>'Centre One-FTE'!$E$60</f>
        <v/>
      </c>
      <c r="F51" s="680">
        <f>'Centre One-FTE'!$F$60</f>
        <v/>
      </c>
      <c r="G51" s="680">
        <f>'Centre One-FTE'!$G$60</f>
        <v/>
      </c>
      <c r="H51" s="680">
        <f>'Centre One-FTE'!$H$60</f>
        <v/>
      </c>
      <c r="I51" s="680">
        <f>'Centre One-FTE'!$I$60</f>
        <v/>
      </c>
      <c r="J51" s="680">
        <f>'Centre One-FTE'!$J$60</f>
        <v/>
      </c>
      <c r="K51" s="354" t="n"/>
      <c r="L51" s="354" t="n"/>
      <c r="M51" s="354" t="n"/>
      <c r="N51" s="354" t="n"/>
      <c r="O51" s="354" t="n"/>
      <c r="P51" s="354" t="n"/>
      <c r="Q51" s="354" t="n"/>
      <c r="R51" s="354" t="n"/>
      <c r="S51" s="354" t="n"/>
      <c r="T51" s="354" t="n"/>
      <c r="U51" s="354" t="n"/>
      <c r="V51" s="354" t="n"/>
      <c r="W51" s="354" t="n"/>
    </row>
    <row r="52" ht="22.5" customHeight="1" s="355">
      <c r="A52" s="415" t="n"/>
      <c r="B52" s="430" t="inlineStr">
        <is>
          <t xml:space="preserve">   Centre Two</t>
        </is>
      </c>
      <c r="C52" s="681">
        <f>'Centre Two-FTE'!$C$60</f>
        <v/>
      </c>
      <c r="D52" s="682">
        <f>'Centre Two-FTE'!$D$60</f>
        <v/>
      </c>
      <c r="E52" s="682">
        <f>'Centre Two-FTE'!$E$60</f>
        <v/>
      </c>
      <c r="F52" s="682">
        <f>'Centre Two-FTE'!$F$60</f>
        <v/>
      </c>
      <c r="G52" s="682">
        <f>'Centre Two-FTE'!$G$60</f>
        <v/>
      </c>
      <c r="H52" s="682">
        <f>'Centre Two-FTE'!$H$60</f>
        <v/>
      </c>
      <c r="I52" s="682">
        <f>'Centre Two-FTE'!$I$60</f>
        <v/>
      </c>
      <c r="J52" s="682">
        <f>'Centre Two-FTE'!$J$60</f>
        <v/>
      </c>
      <c r="K52" s="354" t="n"/>
      <c r="L52" s="354" t="n"/>
      <c r="M52" s="354" t="n"/>
      <c r="N52" s="354" t="n"/>
      <c r="O52" s="354" t="n"/>
      <c r="P52" s="354" t="n"/>
      <c r="Q52" s="354" t="n"/>
      <c r="R52" s="354" t="n"/>
      <c r="S52" s="354" t="n"/>
      <c r="T52" s="354" t="n"/>
      <c r="U52" s="354" t="n"/>
      <c r="V52" s="354" t="n"/>
      <c r="W52" s="354" t="n"/>
    </row>
    <row r="53" ht="22.5" customHeight="1" s="355">
      <c r="A53" s="415" t="n"/>
      <c r="B53" s="435" t="inlineStr">
        <is>
          <t xml:space="preserve">                Sub Total</t>
        </is>
      </c>
      <c r="C53" s="683">
        <f>SUM(C51:C52)</f>
        <v/>
      </c>
      <c r="D53" s="683">
        <f>SUM(D51:D52)</f>
        <v/>
      </c>
      <c r="E53" s="683">
        <f>SUM(E51:E52)</f>
        <v/>
      </c>
      <c r="F53" s="683">
        <f>SUM(F51:F52)</f>
        <v/>
      </c>
      <c r="G53" s="683">
        <f>SUM(G51:G52)</f>
        <v/>
      </c>
      <c r="H53" s="683">
        <f>SUM(H51:H52)</f>
        <v/>
      </c>
      <c r="I53" s="683">
        <f>SUM(I51:I52)</f>
        <v/>
      </c>
      <c r="J53" s="683">
        <f>SUM(J51:J52)</f>
        <v/>
      </c>
    </row>
    <row r="54" ht="22.5" customHeight="1" s="355">
      <c r="A54" s="415" t="n"/>
      <c r="B54" s="437" t="inlineStr">
        <is>
          <t>Requistion to Pay</t>
        </is>
      </c>
      <c r="C54" s="684" t="n"/>
      <c r="D54" s="685" t="n"/>
      <c r="E54" s="685" t="n"/>
      <c r="F54" s="685" t="n"/>
      <c r="G54" s="685" t="n"/>
      <c r="H54" s="685" t="n"/>
      <c r="I54" s="685" t="n"/>
      <c r="J54" s="685" t="n"/>
    </row>
    <row r="55" ht="22.5" customHeight="1" s="355">
      <c r="A55" s="415" t="n"/>
      <c r="B55" s="430" t="inlineStr">
        <is>
          <t xml:space="preserve">   Centre One </t>
        </is>
      </c>
      <c r="C55" s="679">
        <f>'Centre One-FTE'!$C$70</f>
        <v/>
      </c>
      <c r="D55" s="680">
        <f>'Centre One-FTE'!$D$70</f>
        <v/>
      </c>
      <c r="E55" s="680">
        <f>'Centre One-FTE'!$E$70</f>
        <v/>
      </c>
      <c r="F55" s="680">
        <f>'Centre One-FTE'!$F$70</f>
        <v/>
      </c>
      <c r="G55" s="680">
        <f>'Centre One-FTE'!$G$70</f>
        <v/>
      </c>
      <c r="H55" s="680">
        <f>'Centre One-FTE'!$H$70</f>
        <v/>
      </c>
      <c r="I55" s="680">
        <f>'Centre One-FTE'!$I$70</f>
        <v/>
      </c>
      <c r="J55" s="680">
        <f>'Centre One-FTE'!$J$70</f>
        <v/>
      </c>
    </row>
    <row r="56" ht="22.5" customHeight="1" s="355">
      <c r="A56" s="415" t="n"/>
      <c r="B56" s="430" t="inlineStr">
        <is>
          <t xml:space="preserve">   Centre Two</t>
        </is>
      </c>
      <c r="C56" s="681">
        <f>'Centre Two-FTE'!$C$70</f>
        <v/>
      </c>
      <c r="D56" s="682">
        <f>'Centre Two-FTE'!$D$70</f>
        <v/>
      </c>
      <c r="E56" s="682">
        <f>'Centre Two-FTE'!$E$70</f>
        <v/>
      </c>
      <c r="F56" s="682">
        <f>'Centre Two-FTE'!$F$70</f>
        <v/>
      </c>
      <c r="G56" s="682">
        <f>'Centre Two-FTE'!$G$70</f>
        <v/>
      </c>
      <c r="H56" s="682">
        <f>'Centre Two-FTE'!$H$70</f>
        <v/>
      </c>
      <c r="I56" s="682">
        <f>'Centre Two-FTE'!$I$70</f>
        <v/>
      </c>
      <c r="J56" s="682">
        <f>'Centre Two-FTE'!$J$70</f>
        <v/>
      </c>
    </row>
    <row r="57" ht="22.5" customHeight="1" s="355">
      <c r="A57" s="415" t="n"/>
      <c r="B57" s="435" t="inlineStr">
        <is>
          <t xml:space="preserve">                Sub Total</t>
        </is>
      </c>
      <c r="C57" s="683">
        <f>SUM(C55:C56)</f>
        <v/>
      </c>
      <c r="D57" s="683">
        <f>SUM(D55:D56)</f>
        <v/>
      </c>
      <c r="E57" s="683">
        <f>SUM(E55:E56)</f>
        <v/>
      </c>
      <c r="F57" s="683">
        <f>SUM(F55:F56)</f>
        <v/>
      </c>
      <c r="G57" s="683">
        <f>SUM(G55:G56)</f>
        <v/>
      </c>
      <c r="H57" s="683">
        <f>SUM(H55:H56)</f>
        <v/>
      </c>
      <c r="I57" s="683">
        <f>SUM(I55:I56)</f>
        <v/>
      </c>
      <c r="J57" s="683">
        <f>SUM(J55:J56)</f>
        <v/>
      </c>
    </row>
    <row r="58" ht="22.5" customHeight="1" s="355">
      <c r="A58" s="441" t="n"/>
      <c r="B58" s="422" t="inlineStr">
        <is>
          <t>Total FTEs All Countries</t>
        </is>
      </c>
      <c r="C58" s="674">
        <f>C37+C41+C45+C49+C53+C57</f>
        <v/>
      </c>
      <c r="D58" s="674">
        <f>D37+D41+D45+D49+D53+D57</f>
        <v/>
      </c>
      <c r="E58" s="674">
        <f>E37+E41+E45+E49+E53+E57</f>
        <v/>
      </c>
      <c r="F58" s="674">
        <f>F37+F41+F45+F49+F53+F57</f>
        <v/>
      </c>
      <c r="G58" s="674">
        <f>G37+G41+G45+G49+G53+G57</f>
        <v/>
      </c>
      <c r="H58" s="674">
        <f>H37+H41+H45+H49+H53+H57</f>
        <v/>
      </c>
      <c r="I58" s="674">
        <f>I37+I41+I45+I49+I53+I57</f>
        <v/>
      </c>
      <c r="J58" s="674">
        <f>J37+J41+J45+J49+J53+J57</f>
        <v/>
      </c>
    </row>
    <row r="59" ht="22.5" customHeight="1" s="355"/>
    <row r="60" ht="22.5" customHeight="1" s="355"/>
    <row r="61" ht="22.5" customHeight="1" s="355"/>
    <row r="62" ht="22.5" customHeight="1" s="355"/>
    <row r="63" ht="22.5" customHeight="1" s="355"/>
    <row r="64" ht="22.5" customHeight="1" s="355"/>
    <row r="65" ht="22.5" customHeight="1" s="355"/>
    <row r="66" ht="22.5" customHeight="1" s="355"/>
    <row r="67" ht="22.5" customHeight="1" s="355"/>
    <row r="68" ht="22.5" customHeight="1" s="355"/>
    <row r="69" ht="22.5" customHeight="1" s="355"/>
    <row r="70" ht="22.5" customHeight="1" s="355"/>
    <row r="71" ht="22.5" customHeight="1" s="355"/>
    <row r="72" ht="22.5" customHeight="1" s="355"/>
    <row r="73" ht="22.5" customHeight="1" s="355"/>
    <row r="74" ht="22.5" customHeight="1" s="355"/>
    <row r="75" ht="22.5" customHeight="1" s="355"/>
    <row r="76" ht="22.5" customHeight="1" s="355"/>
    <row r="77" ht="22.5" customHeight="1" s="355"/>
    <row r="78" ht="22.5" customHeight="1" s="355"/>
    <row r="79" ht="22.5" customHeight="1" s="355"/>
    <row r="80" ht="22.5" customHeight="1" s="355"/>
    <row r="81" ht="22.5" customHeight="1" s="355"/>
    <row r="82" ht="22.5" customHeight="1" s="355"/>
    <row r="83" ht="22.5" customHeight="1" s="355"/>
    <row r="84" ht="22.5" customHeight="1" s="355"/>
    <row r="85" ht="22.5" customHeight="1" s="355"/>
    <row r="86" ht="22.5" customHeight="1" s="355"/>
    <row r="87" ht="22.5" customHeight="1" s="355"/>
    <row r="88" ht="22.5" customHeight="1" s="355"/>
    <row r="89" ht="22.5" customHeight="1" s="355"/>
    <row r="90" ht="22.5" customHeight="1" s="355"/>
    <row r="91" ht="22.5" customHeight="1" s="355"/>
    <row r="92" ht="22.5" customHeight="1" s="355"/>
    <row r="93" ht="22.5" customHeight="1" s="355"/>
    <row r="94" ht="22.5" customHeight="1" s="355"/>
    <row r="95" ht="22.5" customHeight="1" s="355"/>
    <row r="96" ht="22.5" customHeight="1" s="355"/>
    <row r="97" ht="22.5" customHeight="1" s="355"/>
    <row r="98" ht="22.5" customHeight="1" s="355"/>
    <row r="99" ht="22.5" customHeight="1" s="355"/>
    <row r="100" ht="22.5" customHeight="1" s="355"/>
  </sheetData>
  <mergeCells count="1">
    <mergeCell ref="A2:A58"/>
  </mergeCells>
  <printOptions horizontalCentered="0" verticalCentered="0" headings="0" gridLines="0" gridLinesSet="1"/>
  <pageMargins left="0.747916666666667" right="0.747916666666667" top="0.9840277777777779" bottom="0.9840277777777779" header="0.5" footer="0.5"/>
  <pageSetup orientation="landscape" paperSize="1" scale="100" fitToHeight="2"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29.xml><?xml version="1.0" encoding="utf-8"?>
<worksheet xmlns="http://schemas.openxmlformats.org/spreadsheetml/2006/main">
  <sheetPr filterMode="0">
    <tabColor rgb="FF00FFFF"/>
    <outlinePr summaryBelow="1" summaryRight="1"/>
    <pageSetUpPr fitToPage="1"/>
  </sheetPr>
  <dimension ref="A1:W81"/>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82"/>
    </sheetView>
  </sheetViews>
  <sheetFormatPr baseColWidth="8" defaultColWidth="8.3984375" defaultRowHeight="12.75" customHeight="1" zeroHeight="0" outlineLevelRow="0"/>
  <cols>
    <col width="33.78" customWidth="1" style="407" min="1" max="1"/>
    <col width="35.27" customWidth="1" style="407" min="2" max="2"/>
    <col width="13.95" customWidth="1" style="407" min="3" max="10"/>
    <col width="8.4" customWidth="1" style="407" min="11" max="257"/>
  </cols>
  <sheetData>
    <row r="1" ht="22.5" customHeight="1" s="355">
      <c r="A1" s="408" t="inlineStr">
        <is>
          <t>FTE PROJECTION INPUT SUMMARY</t>
        </is>
      </c>
      <c r="B1" s="409" t="n"/>
      <c r="C1" s="647" t="n"/>
      <c r="D1" s="647" t="n"/>
      <c r="E1" s="647" t="n"/>
      <c r="F1" s="647" t="n"/>
      <c r="G1" s="647" t="n"/>
      <c r="H1" s="647" t="n"/>
      <c r="I1" s="647" t="n"/>
      <c r="J1" s="647" t="n"/>
    </row>
    <row r="2" ht="22.5" customHeight="1" s="355">
      <c r="A2" s="411" t="inlineStr">
        <is>
          <t>Centre One</t>
        </is>
      </c>
      <c r="B2" s="412" t="n"/>
      <c r="C2" s="648" t="inlineStr">
        <is>
          <t>Year 1</t>
        </is>
      </c>
      <c r="D2" s="649" t="inlineStr">
        <is>
          <t>Year 2</t>
        </is>
      </c>
      <c r="E2" s="649" t="inlineStr">
        <is>
          <t>Year 3</t>
        </is>
      </c>
      <c r="F2" s="649" t="inlineStr">
        <is>
          <t>Year 4</t>
        </is>
      </c>
      <c r="G2" s="649" t="inlineStr">
        <is>
          <t>Year 5</t>
        </is>
      </c>
      <c r="H2" s="649" t="inlineStr">
        <is>
          <t>Year 6</t>
        </is>
      </c>
      <c r="I2" s="649" t="inlineStr">
        <is>
          <t>Year 7</t>
        </is>
      </c>
      <c r="J2" s="649" t="inlineStr">
        <is>
          <t>Year 8</t>
        </is>
      </c>
    </row>
    <row r="3" ht="22.5" customHeight="1" s="355">
      <c r="A3" s="415" t="n"/>
      <c r="B3" s="416" t="inlineStr">
        <is>
          <t>Process Summary</t>
        </is>
      </c>
      <c r="C3" s="650" t="n"/>
      <c r="D3" s="651" t="n"/>
      <c r="E3" s="651" t="n"/>
      <c r="F3" s="651" t="n"/>
      <c r="G3" s="651" t="n"/>
      <c r="H3" s="651" t="n"/>
      <c r="I3" s="651" t="n"/>
      <c r="J3" s="651" t="n"/>
    </row>
    <row r="4" ht="22.5" customHeight="1" s="355">
      <c r="A4" s="415" t="n"/>
      <c r="B4" s="430" t="inlineStr">
        <is>
          <t>General Accounting &amp; Sox</t>
        </is>
      </c>
      <c r="C4" s="686">
        <f>+SUM('Switzerland-FTE:UK-FTE'!$C3)</f>
        <v/>
      </c>
      <c r="D4" s="686">
        <f>+SUM('Switzerland-FTE:UK-FTE'!$D3)</f>
        <v/>
      </c>
      <c r="E4" s="686">
        <f>+SUM('Switzerland-FTE:UK-FTE'!$E3)</f>
        <v/>
      </c>
      <c r="F4" s="686">
        <f>+SUM('Switzerland-FTE:UK-FTE'!$F3)</f>
        <v/>
      </c>
      <c r="G4" s="686">
        <f>+SUM('Switzerland-FTE:UK-FTE'!$G3)</f>
        <v/>
      </c>
      <c r="H4" s="686">
        <f>+SUM('Switzerland-FTE:UK-FTE'!$H3)</f>
        <v/>
      </c>
      <c r="I4" s="686">
        <f>+SUM('Switzerland-FTE:UK-FTE'!$I3)</f>
        <v/>
      </c>
      <c r="J4" s="686">
        <f>+SUM('Switzerland-FTE:UK-FTE'!$J3)</f>
        <v/>
      </c>
    </row>
    <row r="5" ht="22.5" customHeight="1" s="355">
      <c r="A5" s="415" t="n"/>
      <c r="B5" s="566" t="inlineStr">
        <is>
          <t>Fixed Assets</t>
        </is>
      </c>
      <c r="C5" s="687">
        <f>+SUM('Switzerland-FTE:UK-FTE'!$C4)</f>
        <v/>
      </c>
      <c r="D5" s="688">
        <f>+SUM('Switzerland-FTE:UK-FTE'!$D4)</f>
        <v/>
      </c>
      <c r="E5" s="688">
        <f>+SUM('Switzerland-FTE:UK-FTE'!$E4)</f>
        <v/>
      </c>
      <c r="F5" s="688">
        <f>+SUM('Switzerland-FTE:UK-FTE'!$F4)</f>
        <v/>
      </c>
      <c r="G5" s="688">
        <f>+SUM('Switzerland-FTE:UK-FTE'!$G4)</f>
        <v/>
      </c>
      <c r="H5" s="688">
        <f>+SUM('Switzerland-FTE:UK-FTE'!$H4)</f>
        <v/>
      </c>
      <c r="I5" s="688">
        <f>+SUM('Switzerland-FTE:UK-FTE'!$I4)</f>
        <v/>
      </c>
      <c r="J5" s="688">
        <f>+SUM('Switzerland-FTE:UK-FTE'!$J4)</f>
        <v/>
      </c>
    </row>
    <row r="6" ht="22.5" customHeight="1" s="355">
      <c r="A6" s="415" t="n"/>
      <c r="B6" s="566" t="inlineStr">
        <is>
          <t>Accounts Payable</t>
        </is>
      </c>
      <c r="C6" s="687">
        <f>+SUM('Switzerland-FTE:UK-FTE'!$C5)</f>
        <v/>
      </c>
      <c r="D6" s="688">
        <f>+SUM('Switzerland-FTE:UK-FTE'!$D5)</f>
        <v/>
      </c>
      <c r="E6" s="688">
        <f>+SUM('Switzerland-FTE:UK-FTE'!$E5)</f>
        <v/>
      </c>
      <c r="F6" s="688">
        <f>+SUM('Switzerland-FTE:UK-FTE'!$F5)</f>
        <v/>
      </c>
      <c r="G6" s="688">
        <f>+SUM('Switzerland-FTE:UK-FTE'!$G5)</f>
        <v/>
      </c>
      <c r="H6" s="688">
        <f>+SUM('Switzerland-FTE:UK-FTE'!$H5)</f>
        <v/>
      </c>
      <c r="I6" s="688">
        <f>+SUM('Switzerland-FTE:UK-FTE'!$I5)</f>
        <v/>
      </c>
      <c r="J6" s="688">
        <f>+SUM('Switzerland-FTE:UK-FTE'!$J5)</f>
        <v/>
      </c>
    </row>
    <row r="7" ht="22.5" customHeight="1" s="355">
      <c r="A7" s="415" t="n"/>
      <c r="B7" s="566" t="inlineStr">
        <is>
          <t>T&amp;E</t>
        </is>
      </c>
      <c r="C7" s="687">
        <f>+SUM('Switzerland-FTE:UK-FTE'!$C6)</f>
        <v/>
      </c>
      <c r="D7" s="688">
        <f>+SUM('Switzerland-FTE:UK-FTE'!$D6)</f>
        <v/>
      </c>
      <c r="E7" s="688">
        <f>+SUM('Switzerland-FTE:UK-FTE'!$E6)</f>
        <v/>
      </c>
      <c r="F7" s="688">
        <f>+SUM('Switzerland-FTE:UK-FTE'!$F6)</f>
        <v/>
      </c>
      <c r="G7" s="688">
        <f>+SUM('Switzerland-FTE:UK-FTE'!$G6)</f>
        <v/>
      </c>
      <c r="H7" s="688">
        <f>+SUM('Switzerland-FTE:UK-FTE'!$H6)</f>
        <v/>
      </c>
      <c r="I7" s="688">
        <f>+SUM('Switzerland-FTE:UK-FTE'!$I6)</f>
        <v/>
      </c>
      <c r="J7" s="688">
        <f>+SUM('Switzerland-FTE:UK-FTE'!$J6)</f>
        <v/>
      </c>
    </row>
    <row r="8" ht="22.5" customHeight="1" s="355">
      <c r="A8" s="415" t="n"/>
      <c r="B8" s="566" t="inlineStr">
        <is>
          <t>Order to Cash</t>
        </is>
      </c>
      <c r="C8" s="687">
        <f>+SUM('Switzerland-FTE:UK-FTE'!$C7)</f>
        <v/>
      </c>
      <c r="D8" s="688">
        <f>+SUM('Switzerland-FTE:UK-FTE'!$D7)</f>
        <v/>
      </c>
      <c r="E8" s="688">
        <f>+SUM('Switzerland-FTE:UK-FTE'!$E7)</f>
        <v/>
      </c>
      <c r="F8" s="688">
        <f>+SUM('Switzerland-FTE:UK-FTE'!$F7)</f>
        <v/>
      </c>
      <c r="G8" s="688">
        <f>+SUM('Switzerland-FTE:UK-FTE'!$G7)</f>
        <v/>
      </c>
      <c r="H8" s="688">
        <f>+SUM('Switzerland-FTE:UK-FTE'!$H7)</f>
        <v/>
      </c>
      <c r="I8" s="688">
        <f>+SUM('Switzerland-FTE:UK-FTE'!$I7)</f>
        <v/>
      </c>
      <c r="J8" s="688">
        <f>+SUM('Switzerland-FTE:UK-FTE'!$J7)</f>
        <v/>
      </c>
      <c r="K8" s="354" t="n"/>
      <c r="L8" s="354" t="n"/>
      <c r="M8" s="354" t="n"/>
      <c r="N8" s="354" t="n"/>
      <c r="O8" s="354" t="n"/>
      <c r="P8" s="354" t="n"/>
      <c r="Q8" s="354" t="n"/>
      <c r="R8" s="354" t="n"/>
      <c r="S8" s="354" t="n"/>
      <c r="T8" s="354" t="n"/>
      <c r="U8" s="354" t="n"/>
      <c r="V8" s="354" t="n"/>
      <c r="W8" s="354" t="n"/>
    </row>
    <row r="9" ht="22.5" customHeight="1" s="355">
      <c r="A9" s="415" t="n"/>
      <c r="B9" s="566" t="inlineStr">
        <is>
          <t>Requistion to Pay</t>
        </is>
      </c>
      <c r="C9" s="687">
        <f>+SUM('Switzerland-FTE:UK-FTE'!$C8)</f>
        <v/>
      </c>
      <c r="D9" s="688">
        <f>+SUM('Switzerland-FTE:UK-FTE'!$D8)</f>
        <v/>
      </c>
      <c r="E9" s="688">
        <f>+SUM('Switzerland-FTE:UK-FTE'!$E8)</f>
        <v/>
      </c>
      <c r="F9" s="688">
        <f>+SUM('Switzerland-FTE:UK-FTE'!$F8)</f>
        <v/>
      </c>
      <c r="G9" s="688">
        <f>+SUM('Switzerland-FTE:UK-FTE'!$G8)</f>
        <v/>
      </c>
      <c r="H9" s="688">
        <f>+SUM('Switzerland-FTE:UK-FTE'!$H8)</f>
        <v/>
      </c>
      <c r="I9" s="688">
        <f>+SUM('Switzerland-FTE:UK-FTE'!$I8)</f>
        <v/>
      </c>
      <c r="J9" s="688">
        <f>+SUM('Switzerland-FTE:UK-FTE'!$J8)</f>
        <v/>
      </c>
    </row>
    <row r="10" ht="22.5" customHeight="1" s="355">
      <c r="A10" s="415" t="n"/>
      <c r="B10" s="422" t="inlineStr">
        <is>
          <t>Total FTEs All Countries</t>
        </is>
      </c>
      <c r="C10" s="674">
        <f>SUM(C4:C9)</f>
        <v/>
      </c>
      <c r="D10" s="674">
        <f>SUM(D4:D9)</f>
        <v/>
      </c>
      <c r="E10" s="674">
        <f>SUM(E4:E9)</f>
        <v/>
      </c>
      <c r="F10" s="674">
        <f>SUM(F4:F9)</f>
        <v/>
      </c>
      <c r="G10" s="674">
        <f>SUM(G4:G9)</f>
        <v/>
      </c>
      <c r="H10" s="674">
        <f>SUM(H4:H9)</f>
        <v/>
      </c>
      <c r="I10" s="674">
        <f>SUM(I4:I9)</f>
        <v/>
      </c>
      <c r="J10" s="674">
        <f>SUM(J4:J9)</f>
        <v/>
      </c>
    </row>
    <row r="11" ht="22.5" customHeight="1" s="355">
      <c r="A11" s="415" t="n"/>
      <c r="B11" s="416" t="inlineStr">
        <is>
          <t>General Accounting &amp; Sox</t>
        </is>
      </c>
      <c r="C11" s="650" t="n"/>
      <c r="D11" s="651" t="n"/>
      <c r="E11" s="651" t="n"/>
      <c r="F11" s="651" t="n"/>
      <c r="G11" s="651" t="n"/>
      <c r="H11" s="651" t="n"/>
      <c r="I11" s="651" t="n"/>
      <c r="J11" s="651" t="n"/>
    </row>
    <row r="12" ht="22.5" customHeight="1" s="355">
      <c r="A12" s="415" t="n"/>
      <c r="B12" s="419" t="inlineStr">
        <is>
          <t xml:space="preserve">  Switzerland</t>
        </is>
      </c>
      <c r="C12" s="673">
        <f>'Switzerland-FTE'!$C$3</f>
        <v/>
      </c>
      <c r="D12" s="673">
        <f>'Switzerland-FTE'!$D$3</f>
        <v/>
      </c>
      <c r="E12" s="673">
        <f>'Switzerland-FTE'!$E$3</f>
        <v/>
      </c>
      <c r="F12" s="673">
        <f>'Switzerland-FTE'!$F$3</f>
        <v/>
      </c>
      <c r="G12" s="673">
        <f>'Switzerland-FTE'!$G$3</f>
        <v/>
      </c>
      <c r="H12" s="673">
        <f>'Switzerland-FTE'!$H$3</f>
        <v/>
      </c>
      <c r="I12" s="673">
        <f>'Switzerland-FTE'!$I$3</f>
        <v/>
      </c>
      <c r="J12" s="673">
        <f>'Switzerland-FTE'!$J$3</f>
        <v/>
      </c>
    </row>
    <row r="13" ht="22.5" customHeight="1" s="355">
      <c r="A13" s="415" t="n"/>
      <c r="B13" s="419" t="inlineStr">
        <is>
          <t xml:space="preserve">  United States</t>
        </is>
      </c>
      <c r="C13" s="673">
        <f>'US-FTE'!$C$3</f>
        <v/>
      </c>
      <c r="D13" s="673">
        <f>'US-FTE'!$D$3</f>
        <v/>
      </c>
      <c r="E13" s="673">
        <f>'US-FTE'!$E$3</f>
        <v/>
      </c>
      <c r="F13" s="673">
        <f>'US-FTE'!$F$3</f>
        <v/>
      </c>
      <c r="G13" s="673">
        <f>'US-FTE'!$G$3</f>
        <v/>
      </c>
      <c r="H13" s="673">
        <f>'US-FTE'!$H$3</f>
        <v/>
      </c>
      <c r="I13" s="673">
        <f>'US-FTE'!$I$3</f>
        <v/>
      </c>
      <c r="J13" s="673">
        <f>'US-FTE'!$J$3</f>
        <v/>
      </c>
    </row>
    <row r="14" ht="22.5" customHeight="1" s="355">
      <c r="A14" s="415" t="n"/>
      <c r="B14" s="419" t="inlineStr">
        <is>
          <t xml:space="preserve">  France</t>
        </is>
      </c>
      <c r="C14" s="673">
        <f>'France-FTE'!$C$3</f>
        <v/>
      </c>
      <c r="D14" s="673">
        <f>'France-FTE'!$D$3</f>
        <v/>
      </c>
      <c r="E14" s="673">
        <f>'France-FTE'!$E$3</f>
        <v/>
      </c>
      <c r="F14" s="673">
        <f>'France-FTE'!$F$3</f>
        <v/>
      </c>
      <c r="G14" s="673">
        <f>'France-FTE'!$G$3</f>
        <v/>
      </c>
      <c r="H14" s="673">
        <f>'France-FTE'!$H$3</f>
        <v/>
      </c>
      <c r="I14" s="673">
        <f>'France-FTE'!$I$3</f>
        <v/>
      </c>
      <c r="J14" s="673">
        <f>'France-FTE'!$J$3</f>
        <v/>
      </c>
    </row>
    <row r="15" ht="22.5" customHeight="1" s="355">
      <c r="A15" s="415" t="n"/>
      <c r="B15" s="419" t="inlineStr">
        <is>
          <t xml:space="preserve">  Germany </t>
        </is>
      </c>
      <c r="C15" s="673">
        <f>'Germany-FTE'!$C$3</f>
        <v/>
      </c>
      <c r="D15" s="673">
        <f>'Germany-FTE'!$D$3</f>
        <v/>
      </c>
      <c r="E15" s="673">
        <f>'Germany-FTE'!$E$3</f>
        <v/>
      </c>
      <c r="F15" s="673">
        <f>'Germany-FTE'!$F$3</f>
        <v/>
      </c>
      <c r="G15" s="673">
        <f>'Germany-FTE'!$G$3</f>
        <v/>
      </c>
      <c r="H15" s="673">
        <f>'Germany-FTE'!$H$3</f>
        <v/>
      </c>
      <c r="I15" s="673">
        <f>'Germany-FTE'!$I$3</f>
        <v/>
      </c>
      <c r="J15" s="673">
        <f>'Germany-FTE'!$J$3</f>
        <v/>
      </c>
    </row>
    <row r="16" ht="22.5" customHeight="1" s="355">
      <c r="A16" s="415" t="n"/>
      <c r="B16" s="419" t="inlineStr">
        <is>
          <t xml:space="preserve">  Germany Production</t>
        </is>
      </c>
      <c r="C16" s="673">
        <f>'Germany Production-FTE'!$C$3</f>
        <v/>
      </c>
      <c r="D16" s="673">
        <f>'Germany Production-FTE'!$D$3</f>
        <v/>
      </c>
      <c r="E16" s="673">
        <f>'Germany Production-FTE'!$E$3</f>
        <v/>
      </c>
      <c r="F16" s="673">
        <f>'Germany Production-FTE'!$F$3</f>
        <v/>
      </c>
      <c r="G16" s="673">
        <f>'Germany Production-FTE'!$G$3</f>
        <v/>
      </c>
      <c r="H16" s="673">
        <f>'Germany Production-FTE'!$H$3</f>
        <v/>
      </c>
      <c r="I16" s="673">
        <f>'Germany Production-FTE'!$I$3</f>
        <v/>
      </c>
      <c r="J16" s="673">
        <f>'Germany Production-FTE'!$J$3</f>
        <v/>
      </c>
    </row>
    <row r="17" ht="22.5" customHeight="1" s="355">
      <c r="A17" s="415" t="n"/>
      <c r="B17" s="419" t="inlineStr">
        <is>
          <t xml:space="preserve">  Spain</t>
        </is>
      </c>
      <c r="C17" s="673">
        <f>'Spain-FTE'!$C$3</f>
        <v/>
      </c>
      <c r="D17" s="673">
        <f>'Spain-FTE'!$D$3</f>
        <v/>
      </c>
      <c r="E17" s="673">
        <f>'Spain-FTE'!$E$3</f>
        <v/>
      </c>
      <c r="F17" s="673">
        <f>'Spain-FTE'!$F$3</f>
        <v/>
      </c>
      <c r="G17" s="673">
        <f>'Spain-FTE'!$G$3</f>
        <v/>
      </c>
      <c r="H17" s="673">
        <f>'Spain-FTE'!$H$3</f>
        <v/>
      </c>
      <c r="I17" s="673">
        <f>'Spain-FTE'!$I$3</f>
        <v/>
      </c>
      <c r="J17" s="673">
        <f>'Spain-FTE'!$J$3</f>
        <v/>
      </c>
    </row>
    <row r="18" ht="22.5" customHeight="1" s="355">
      <c r="A18" s="415" t="n"/>
      <c r="B18" s="419" t="inlineStr">
        <is>
          <t xml:space="preserve">  Italy</t>
        </is>
      </c>
      <c r="C18" s="673">
        <f>'Italy-FTE'!$C$3</f>
        <v/>
      </c>
      <c r="D18" s="673">
        <f>'Italy-FTE'!$D$3</f>
        <v/>
      </c>
      <c r="E18" s="673">
        <f>'Italy-FTE'!$E$3</f>
        <v/>
      </c>
      <c r="F18" s="673">
        <f>'Italy-FTE'!$F$3</f>
        <v/>
      </c>
      <c r="G18" s="673">
        <f>'Italy-FTE'!$G$3</f>
        <v/>
      </c>
      <c r="H18" s="673">
        <f>'Italy-FTE'!$H$3</f>
        <v/>
      </c>
      <c r="I18" s="673">
        <f>'Italy-FTE'!$I$3</f>
        <v/>
      </c>
      <c r="J18" s="673">
        <f>'Italy-FTE'!$J$3</f>
        <v/>
      </c>
    </row>
    <row r="19" ht="22.5" customHeight="1" s="355">
      <c r="A19" s="415" t="n"/>
      <c r="B19" s="421" t="inlineStr">
        <is>
          <t xml:space="preserve">  United Kingdom</t>
        </is>
      </c>
      <c r="C19" s="687">
        <f>'UK-FTE'!$C$3</f>
        <v/>
      </c>
      <c r="D19" s="687">
        <f>'UK-FTE'!$D$3</f>
        <v/>
      </c>
      <c r="E19" s="687">
        <f>'UK-FTE'!$E$3</f>
        <v/>
      </c>
      <c r="F19" s="687">
        <f>'UK-FTE'!$F$3</f>
        <v/>
      </c>
      <c r="G19" s="687">
        <f>'UK-FTE'!$G$3</f>
        <v/>
      </c>
      <c r="H19" s="687">
        <f>'UK-FTE'!$H$3</f>
        <v/>
      </c>
      <c r="I19" s="687">
        <f>'UK-FTE'!$I$3</f>
        <v/>
      </c>
      <c r="J19" s="687">
        <f>'UK-FTE'!$J$3</f>
        <v/>
      </c>
    </row>
    <row r="20" ht="22.5" customHeight="1" s="355">
      <c r="A20" s="415" t="n"/>
      <c r="B20" s="435" t="inlineStr">
        <is>
          <t xml:space="preserve">                Sub Total</t>
        </is>
      </c>
      <c r="C20" s="683">
        <f>SUM(C12:C19)</f>
        <v/>
      </c>
      <c r="D20" s="683">
        <f>SUM(D12:D19)</f>
        <v/>
      </c>
      <c r="E20" s="683">
        <f>SUM(E12:E19)</f>
        <v/>
      </c>
      <c r="F20" s="683">
        <f>SUM(F12:F19)</f>
        <v/>
      </c>
      <c r="G20" s="683">
        <f>SUM(G12:G19)</f>
        <v/>
      </c>
      <c r="H20" s="683">
        <f>SUM(H12:H19)</f>
        <v/>
      </c>
      <c r="I20" s="683">
        <f>SUM(I12:I19)</f>
        <v/>
      </c>
      <c r="J20" s="683">
        <f>SUM(J12:J19)</f>
        <v/>
      </c>
    </row>
    <row r="21" ht="22.5" customHeight="1" s="355">
      <c r="A21" s="415" t="n"/>
      <c r="B21" s="416" t="inlineStr">
        <is>
          <t>Fixed Assets</t>
        </is>
      </c>
      <c r="C21" s="650" t="n"/>
      <c r="D21" s="651" t="n"/>
      <c r="E21" s="651" t="n"/>
      <c r="F21" s="651" t="n"/>
      <c r="G21" s="651" t="n"/>
      <c r="H21" s="651" t="n"/>
      <c r="I21" s="651" t="n"/>
      <c r="J21" s="651" t="n"/>
    </row>
    <row r="22" ht="22.5" customHeight="1" s="355">
      <c r="A22" s="415" t="n"/>
      <c r="B22" s="419" t="inlineStr">
        <is>
          <t xml:space="preserve">  Switzerland</t>
        </is>
      </c>
      <c r="C22" s="673">
        <f>'Switzerland-FTE'!$C$4</f>
        <v/>
      </c>
      <c r="D22" s="673">
        <f>'Switzerland-FTE'!$D$4</f>
        <v/>
      </c>
      <c r="E22" s="673">
        <f>'Switzerland-FTE'!$E$4</f>
        <v/>
      </c>
      <c r="F22" s="673">
        <f>'Switzerland-FTE'!$F$4</f>
        <v/>
      </c>
      <c r="G22" s="673">
        <f>'Switzerland-FTE'!$G$4</f>
        <v/>
      </c>
      <c r="H22" s="673">
        <f>'Switzerland-FTE'!$H$4</f>
        <v/>
      </c>
      <c r="I22" s="673">
        <f>'Switzerland-FTE'!$I$4</f>
        <v/>
      </c>
      <c r="J22" s="673">
        <f>'Switzerland-FTE'!$J$4</f>
        <v/>
      </c>
    </row>
    <row r="23" ht="22.5" customHeight="1" s="355">
      <c r="A23" s="415" t="n"/>
      <c r="B23" s="419" t="inlineStr">
        <is>
          <t xml:space="preserve">  United States</t>
        </is>
      </c>
      <c r="C23" s="673">
        <f>'US-FTE'!$C$4</f>
        <v/>
      </c>
      <c r="D23" s="673">
        <f>'US-FTE'!$D$4</f>
        <v/>
      </c>
      <c r="E23" s="673">
        <f>'US-FTE'!$E$4</f>
        <v/>
      </c>
      <c r="F23" s="673">
        <f>'US-FTE'!$F$4</f>
        <v/>
      </c>
      <c r="G23" s="673">
        <f>'US-FTE'!$G$4</f>
        <v/>
      </c>
      <c r="H23" s="673">
        <f>'US-FTE'!$H$4</f>
        <v/>
      </c>
      <c r="I23" s="673">
        <f>'US-FTE'!$I$4</f>
        <v/>
      </c>
      <c r="J23" s="673">
        <f>'US-FTE'!$J$4</f>
        <v/>
      </c>
    </row>
    <row r="24" ht="22.5" customHeight="1" s="355">
      <c r="A24" s="415" t="n"/>
      <c r="B24" s="419" t="inlineStr">
        <is>
          <t xml:space="preserve">  France</t>
        </is>
      </c>
      <c r="C24" s="673">
        <f>'France-FTE'!$C$4</f>
        <v/>
      </c>
      <c r="D24" s="673">
        <f>'France-FTE'!$D$4</f>
        <v/>
      </c>
      <c r="E24" s="673">
        <f>'France-FTE'!$E$4</f>
        <v/>
      </c>
      <c r="F24" s="673">
        <f>'France-FTE'!$F$4</f>
        <v/>
      </c>
      <c r="G24" s="673">
        <f>'France-FTE'!$G$4</f>
        <v/>
      </c>
      <c r="H24" s="673">
        <f>'France-FTE'!$H$4</f>
        <v/>
      </c>
      <c r="I24" s="673">
        <f>'France-FTE'!$I$4</f>
        <v/>
      </c>
      <c r="J24" s="673">
        <f>'France-FTE'!$J$4</f>
        <v/>
      </c>
    </row>
    <row r="25" ht="22.5" customHeight="1" s="355">
      <c r="A25" s="415" t="n"/>
      <c r="B25" s="419" t="inlineStr">
        <is>
          <t xml:space="preserve">  Germany </t>
        </is>
      </c>
      <c r="C25" s="673">
        <f>'Germany-FTE'!$C$4</f>
        <v/>
      </c>
      <c r="D25" s="673">
        <f>'Germany-FTE'!$D$4</f>
        <v/>
      </c>
      <c r="E25" s="673">
        <f>'Germany-FTE'!$E$4</f>
        <v/>
      </c>
      <c r="F25" s="673">
        <f>'Germany-FTE'!$F$4</f>
        <v/>
      </c>
      <c r="G25" s="673">
        <f>'Germany-FTE'!$G$4</f>
        <v/>
      </c>
      <c r="H25" s="673">
        <f>'Germany-FTE'!$H$4</f>
        <v/>
      </c>
      <c r="I25" s="673">
        <f>'Germany-FTE'!$I$4</f>
        <v/>
      </c>
      <c r="J25" s="673">
        <f>'Germany-FTE'!$J$4</f>
        <v/>
      </c>
    </row>
    <row r="26" ht="22.5" customHeight="1" s="355">
      <c r="A26" s="415" t="n"/>
      <c r="B26" s="419" t="inlineStr">
        <is>
          <t xml:space="preserve">  Germany Production</t>
        </is>
      </c>
      <c r="C26" s="673">
        <f>'Germany Production-FTE'!$C$4</f>
        <v/>
      </c>
      <c r="D26" s="673">
        <f>'Germany Production-FTE'!$D$4</f>
        <v/>
      </c>
      <c r="E26" s="673">
        <f>'Germany Production-FTE'!$E$4</f>
        <v/>
      </c>
      <c r="F26" s="673">
        <f>'Germany Production-FTE'!$F$4</f>
        <v/>
      </c>
      <c r="G26" s="673">
        <f>'Germany Production-FTE'!$G$4</f>
        <v/>
      </c>
      <c r="H26" s="673">
        <f>'Germany Production-FTE'!$H$4</f>
        <v/>
      </c>
      <c r="I26" s="673">
        <f>'Germany Production-FTE'!$I$4</f>
        <v/>
      </c>
      <c r="J26" s="673">
        <f>'Germany Production-FTE'!$J$4</f>
        <v/>
      </c>
    </row>
    <row r="27" ht="22.5" customHeight="1" s="355">
      <c r="A27" s="415" t="n"/>
      <c r="B27" s="419" t="inlineStr">
        <is>
          <t xml:space="preserve">  Spain</t>
        </is>
      </c>
      <c r="C27" s="673">
        <f>'Spain-FTE'!$C$4</f>
        <v/>
      </c>
      <c r="D27" s="673">
        <f>'Spain-FTE'!$D$4</f>
        <v/>
      </c>
      <c r="E27" s="673">
        <f>'Spain-FTE'!$E$4</f>
        <v/>
      </c>
      <c r="F27" s="673">
        <f>'Spain-FTE'!$F$4</f>
        <v/>
      </c>
      <c r="G27" s="673">
        <f>'Spain-FTE'!$G$4</f>
        <v/>
      </c>
      <c r="H27" s="673">
        <f>'Spain-FTE'!$H$4</f>
        <v/>
      </c>
      <c r="I27" s="673">
        <f>'Spain-FTE'!$I$4</f>
        <v/>
      </c>
      <c r="J27" s="673">
        <f>'Spain-FTE'!$J$4</f>
        <v/>
      </c>
    </row>
    <row r="28" ht="22.5" customHeight="1" s="355">
      <c r="A28" s="415" t="n"/>
      <c r="B28" s="419" t="inlineStr">
        <is>
          <t xml:space="preserve">  Italy</t>
        </is>
      </c>
      <c r="C28" s="673">
        <f>'Italy-FTE'!$C$4</f>
        <v/>
      </c>
      <c r="D28" s="673">
        <f>'Italy-FTE'!$D$4</f>
        <v/>
      </c>
      <c r="E28" s="673">
        <f>'Italy-FTE'!$E$4</f>
        <v/>
      </c>
      <c r="F28" s="673">
        <f>'Italy-FTE'!$F$4</f>
        <v/>
      </c>
      <c r="G28" s="673">
        <f>'Italy-FTE'!$G$4</f>
        <v/>
      </c>
      <c r="H28" s="673">
        <f>'Italy-FTE'!$H$4</f>
        <v/>
      </c>
      <c r="I28" s="673">
        <f>'Italy-FTE'!$I$4</f>
        <v/>
      </c>
      <c r="J28" s="673">
        <f>'Italy-FTE'!$J$4</f>
        <v/>
      </c>
    </row>
    <row r="29" ht="22.5" customHeight="1" s="355">
      <c r="A29" s="415" t="n"/>
      <c r="B29" s="421" t="inlineStr">
        <is>
          <t xml:space="preserve">  United Kingdom</t>
        </is>
      </c>
      <c r="C29" s="687">
        <f>'UK-FTE'!$C$4</f>
        <v/>
      </c>
      <c r="D29" s="687">
        <f>'UK-FTE'!$D$4</f>
        <v/>
      </c>
      <c r="E29" s="687">
        <f>'UK-FTE'!$E$4</f>
        <v/>
      </c>
      <c r="F29" s="687">
        <f>'UK-FTE'!$F$4</f>
        <v/>
      </c>
      <c r="G29" s="687">
        <f>'UK-FTE'!$G$4</f>
        <v/>
      </c>
      <c r="H29" s="687">
        <f>'UK-FTE'!$H$4</f>
        <v/>
      </c>
      <c r="I29" s="687">
        <f>'UK-FTE'!$I$4</f>
        <v/>
      </c>
      <c r="J29" s="687">
        <f>'UK-FTE'!$J$4</f>
        <v/>
      </c>
    </row>
    <row r="30" ht="22.5" customHeight="1" s="355">
      <c r="A30" s="415" t="n"/>
      <c r="B30" s="435" t="inlineStr">
        <is>
          <t xml:space="preserve">                Sub Total</t>
        </is>
      </c>
      <c r="C30" s="683">
        <f>SUM(C22:C29)</f>
        <v/>
      </c>
      <c r="D30" s="683">
        <f>SUM(D22:D29)</f>
        <v/>
      </c>
      <c r="E30" s="683">
        <f>SUM(E22:E29)</f>
        <v/>
      </c>
      <c r="F30" s="683">
        <f>SUM(F22:F29)</f>
        <v/>
      </c>
      <c r="G30" s="683">
        <f>SUM(G22:G29)</f>
        <v/>
      </c>
      <c r="H30" s="683">
        <f>SUM(H22:H29)</f>
        <v/>
      </c>
      <c r="I30" s="683">
        <f>SUM(I22:I29)</f>
        <v/>
      </c>
      <c r="J30" s="683">
        <f>SUM(J22:J29)</f>
        <v/>
      </c>
    </row>
    <row r="31" ht="22.5" customHeight="1" s="355">
      <c r="A31" s="415" t="n"/>
      <c r="B31" s="416" t="inlineStr">
        <is>
          <t>Accounts Payable</t>
        </is>
      </c>
      <c r="C31" s="650" t="n"/>
      <c r="D31" s="651" t="n"/>
      <c r="E31" s="651" t="n"/>
      <c r="F31" s="651" t="n"/>
      <c r="G31" s="651" t="n"/>
      <c r="H31" s="651" t="n"/>
      <c r="I31" s="651" t="n"/>
      <c r="J31" s="651" t="n"/>
    </row>
    <row r="32" ht="22.5" customHeight="1" s="355">
      <c r="A32" s="415" t="n"/>
      <c r="B32" s="419" t="inlineStr">
        <is>
          <t xml:space="preserve">  Switzerland</t>
        </is>
      </c>
      <c r="C32" s="673">
        <f>'Switzerland-FTE'!$C$5</f>
        <v/>
      </c>
      <c r="D32" s="673">
        <f>'Switzerland-FTE'!$D$5</f>
        <v/>
      </c>
      <c r="E32" s="673">
        <f>'Switzerland-FTE'!$E$5</f>
        <v/>
      </c>
      <c r="F32" s="673">
        <f>'Switzerland-FTE'!$F$5</f>
        <v/>
      </c>
      <c r="G32" s="673">
        <f>'Switzerland-FTE'!$G$5</f>
        <v/>
      </c>
      <c r="H32" s="673">
        <f>'Switzerland-FTE'!$H$5</f>
        <v/>
      </c>
      <c r="I32" s="673">
        <f>'Switzerland-FTE'!$I$5</f>
        <v/>
      </c>
      <c r="J32" s="673">
        <f>'Switzerland-FTE'!$J$5</f>
        <v/>
      </c>
    </row>
    <row r="33" ht="22.5" customHeight="1" s="355">
      <c r="A33" s="415" t="n"/>
      <c r="B33" s="419" t="inlineStr">
        <is>
          <t xml:space="preserve">  United States</t>
        </is>
      </c>
      <c r="C33" s="673">
        <f>'US-FTE'!$C$5</f>
        <v/>
      </c>
      <c r="D33" s="673">
        <f>'US-FTE'!$D$5</f>
        <v/>
      </c>
      <c r="E33" s="673">
        <f>'US-FTE'!$E$5</f>
        <v/>
      </c>
      <c r="F33" s="673">
        <f>'US-FTE'!$F$5</f>
        <v/>
      </c>
      <c r="G33" s="673">
        <f>'US-FTE'!$G$5</f>
        <v/>
      </c>
      <c r="H33" s="673">
        <f>'US-FTE'!$H$5</f>
        <v/>
      </c>
      <c r="I33" s="673">
        <f>'US-FTE'!$I$5</f>
        <v/>
      </c>
      <c r="J33" s="673">
        <f>'US-FTE'!$J$5</f>
        <v/>
      </c>
    </row>
    <row r="34" ht="22.5" customHeight="1" s="355">
      <c r="A34" s="415" t="n"/>
      <c r="B34" s="419" t="inlineStr">
        <is>
          <t xml:space="preserve">  France</t>
        </is>
      </c>
      <c r="C34" s="673">
        <f>'France-FTE'!$C$5</f>
        <v/>
      </c>
      <c r="D34" s="673">
        <f>'France-FTE'!$D$5</f>
        <v/>
      </c>
      <c r="E34" s="673">
        <f>'France-FTE'!$E$5</f>
        <v/>
      </c>
      <c r="F34" s="673">
        <f>'France-FTE'!$F$5</f>
        <v/>
      </c>
      <c r="G34" s="673">
        <f>'France-FTE'!$G$5</f>
        <v/>
      </c>
      <c r="H34" s="673">
        <f>'France-FTE'!$H$5</f>
        <v/>
      </c>
      <c r="I34" s="673">
        <f>'France-FTE'!$I$5</f>
        <v/>
      </c>
      <c r="J34" s="673">
        <f>'France-FTE'!$J$5</f>
        <v/>
      </c>
    </row>
    <row r="35" ht="22.5" customHeight="1" s="355">
      <c r="A35" s="415" t="n"/>
      <c r="B35" s="419" t="inlineStr">
        <is>
          <t xml:space="preserve">  Germany </t>
        </is>
      </c>
      <c r="C35" s="673">
        <f>'Germany-FTE'!$C$5</f>
        <v/>
      </c>
      <c r="D35" s="673">
        <f>'Germany-FTE'!$D$5</f>
        <v/>
      </c>
      <c r="E35" s="673">
        <f>'Germany-FTE'!$E$5</f>
        <v/>
      </c>
      <c r="F35" s="673">
        <f>'Germany-FTE'!$F$5</f>
        <v/>
      </c>
      <c r="G35" s="673">
        <f>'Germany-FTE'!$G$5</f>
        <v/>
      </c>
      <c r="H35" s="673">
        <f>'Germany-FTE'!$H$5</f>
        <v/>
      </c>
      <c r="I35" s="673">
        <f>'Germany-FTE'!$I$5</f>
        <v/>
      </c>
      <c r="J35" s="673">
        <f>'Germany-FTE'!$J$5</f>
        <v/>
      </c>
    </row>
    <row r="36" ht="22.5" customHeight="1" s="355">
      <c r="A36" s="415" t="n"/>
      <c r="B36" s="419" t="inlineStr">
        <is>
          <t xml:space="preserve">  Germany Production</t>
        </is>
      </c>
      <c r="C36" s="673">
        <f>'Germany Production-FTE'!$C$5</f>
        <v/>
      </c>
      <c r="D36" s="673">
        <f>'Germany Production-FTE'!$D$5</f>
        <v/>
      </c>
      <c r="E36" s="673">
        <f>'Germany Production-FTE'!$E$5</f>
        <v/>
      </c>
      <c r="F36" s="673">
        <f>'Germany Production-FTE'!$F$5</f>
        <v/>
      </c>
      <c r="G36" s="673">
        <f>'Germany Production-FTE'!$G$5</f>
        <v/>
      </c>
      <c r="H36" s="673">
        <f>'Germany Production-FTE'!$H$5</f>
        <v/>
      </c>
      <c r="I36" s="673">
        <f>'Germany Production-FTE'!$I$5</f>
        <v/>
      </c>
      <c r="J36" s="673">
        <f>'Germany Production-FTE'!$J$5</f>
        <v/>
      </c>
    </row>
    <row r="37" ht="22.5" customHeight="1" s="355">
      <c r="A37" s="415" t="n"/>
      <c r="B37" s="419" t="inlineStr">
        <is>
          <t xml:space="preserve">  Spain</t>
        </is>
      </c>
      <c r="C37" s="673">
        <f>'Spain-FTE'!$C$5</f>
        <v/>
      </c>
      <c r="D37" s="673">
        <f>'Spain-FTE'!$D$5</f>
        <v/>
      </c>
      <c r="E37" s="673">
        <f>'Spain-FTE'!$E$5</f>
        <v/>
      </c>
      <c r="F37" s="673">
        <f>'Spain-FTE'!$F$5</f>
        <v/>
      </c>
      <c r="G37" s="673">
        <f>'Spain-FTE'!$G$5</f>
        <v/>
      </c>
      <c r="H37" s="673">
        <f>'Spain-FTE'!$H$5</f>
        <v/>
      </c>
      <c r="I37" s="673">
        <f>'Spain-FTE'!$I$5</f>
        <v/>
      </c>
      <c r="J37" s="673">
        <f>'Spain-FTE'!$J$5</f>
        <v/>
      </c>
    </row>
    <row r="38" ht="22.5" customHeight="1" s="355">
      <c r="A38" s="415" t="n"/>
      <c r="B38" s="419" t="inlineStr">
        <is>
          <t xml:space="preserve">  Italy</t>
        </is>
      </c>
      <c r="C38" s="673">
        <f>'Italy-FTE'!$C$5</f>
        <v/>
      </c>
      <c r="D38" s="673">
        <f>'Italy-FTE'!$D$5</f>
        <v/>
      </c>
      <c r="E38" s="673">
        <f>'Italy-FTE'!$E$5</f>
        <v/>
      </c>
      <c r="F38" s="673">
        <f>'Italy-FTE'!$F$5</f>
        <v/>
      </c>
      <c r="G38" s="673">
        <f>'Italy-FTE'!$G$5</f>
        <v/>
      </c>
      <c r="H38" s="673">
        <f>'Italy-FTE'!$H$5</f>
        <v/>
      </c>
      <c r="I38" s="673">
        <f>'Italy-FTE'!$I$5</f>
        <v/>
      </c>
      <c r="J38" s="673">
        <f>'Italy-FTE'!$J$5</f>
        <v/>
      </c>
    </row>
    <row r="39" ht="22.5" customHeight="1" s="355">
      <c r="A39" s="415" t="n"/>
      <c r="B39" s="421" t="inlineStr">
        <is>
          <t xml:space="preserve">  United Kingdom</t>
        </is>
      </c>
      <c r="C39" s="687">
        <f>'UK-FTE'!$C$5</f>
        <v/>
      </c>
      <c r="D39" s="687">
        <f>'UK-FTE'!$D$5</f>
        <v/>
      </c>
      <c r="E39" s="687">
        <f>'UK-FTE'!$E$5</f>
        <v/>
      </c>
      <c r="F39" s="687">
        <f>'UK-FTE'!$F$5</f>
        <v/>
      </c>
      <c r="G39" s="687">
        <f>'UK-FTE'!$G$5</f>
        <v/>
      </c>
      <c r="H39" s="687">
        <f>'UK-FTE'!$H$5</f>
        <v/>
      </c>
      <c r="I39" s="687">
        <f>'UK-FTE'!$I$5</f>
        <v/>
      </c>
      <c r="J39" s="687">
        <f>'UK-FTE'!$J$5</f>
        <v/>
      </c>
    </row>
    <row r="40" ht="22.5" customHeight="1" s="355">
      <c r="A40" s="415" t="n"/>
      <c r="B40" s="435" t="inlineStr">
        <is>
          <t xml:space="preserve">                Sub Total</t>
        </is>
      </c>
      <c r="C40" s="683">
        <f>SUM(C32:C39)</f>
        <v/>
      </c>
      <c r="D40" s="683">
        <f>SUM(D32:D39)</f>
        <v/>
      </c>
      <c r="E40" s="683">
        <f>SUM(E32:E39)</f>
        <v/>
      </c>
      <c r="F40" s="683">
        <f>SUM(F32:F39)</f>
        <v/>
      </c>
      <c r="G40" s="683">
        <f>SUM(G32:G39)</f>
        <v/>
      </c>
      <c r="H40" s="683">
        <f>SUM(H32:H39)</f>
        <v/>
      </c>
      <c r="I40" s="683">
        <f>SUM(I32:I39)</f>
        <v/>
      </c>
      <c r="J40" s="683">
        <f>SUM(J32:J39)</f>
        <v/>
      </c>
    </row>
    <row r="41" ht="22.5" customHeight="1" s="355">
      <c r="A41" s="415" t="n"/>
      <c r="B41" s="416" t="inlineStr">
        <is>
          <t>T&amp;E</t>
        </is>
      </c>
      <c r="C41" s="650" t="n"/>
      <c r="D41" s="651" t="n"/>
      <c r="E41" s="651" t="n"/>
      <c r="F41" s="651" t="n"/>
      <c r="G41" s="651" t="n"/>
      <c r="H41" s="651" t="n"/>
      <c r="I41" s="651" t="n"/>
      <c r="J41" s="651" t="n"/>
    </row>
    <row r="42" ht="22.5" customHeight="1" s="355">
      <c r="A42" s="415" t="n"/>
      <c r="B42" s="419" t="inlineStr">
        <is>
          <t xml:space="preserve">  Switzerland</t>
        </is>
      </c>
      <c r="C42" s="673">
        <f>'Switzerland-FTE'!$C$6</f>
        <v/>
      </c>
      <c r="D42" s="673">
        <f>'Switzerland-FTE'!$D$6</f>
        <v/>
      </c>
      <c r="E42" s="673">
        <f>'Switzerland-FTE'!$E$6</f>
        <v/>
      </c>
      <c r="F42" s="673">
        <f>'Switzerland-FTE'!$F$6</f>
        <v/>
      </c>
      <c r="G42" s="673">
        <f>'Switzerland-FTE'!$G$6</f>
        <v/>
      </c>
      <c r="H42" s="673">
        <f>'Switzerland-FTE'!$H$6</f>
        <v/>
      </c>
      <c r="I42" s="673">
        <f>'Switzerland-FTE'!$I$6</f>
        <v/>
      </c>
      <c r="J42" s="673">
        <f>'Switzerland-FTE'!$J$6</f>
        <v/>
      </c>
    </row>
    <row r="43" ht="22.5" customHeight="1" s="355">
      <c r="A43" s="415" t="n"/>
      <c r="B43" s="419" t="inlineStr">
        <is>
          <t xml:space="preserve">  United States</t>
        </is>
      </c>
      <c r="C43" s="673">
        <f>'US-FTE'!$C$6</f>
        <v/>
      </c>
      <c r="D43" s="673">
        <f>'US-FTE'!$D$6</f>
        <v/>
      </c>
      <c r="E43" s="673">
        <f>'US-FTE'!$E$6</f>
        <v/>
      </c>
      <c r="F43" s="673">
        <f>'US-FTE'!$F$6</f>
        <v/>
      </c>
      <c r="G43" s="673">
        <f>'US-FTE'!$G$6</f>
        <v/>
      </c>
      <c r="H43" s="673">
        <f>'US-FTE'!$H$6</f>
        <v/>
      </c>
      <c r="I43" s="673">
        <f>'US-FTE'!$I$6</f>
        <v/>
      </c>
      <c r="J43" s="673">
        <f>'US-FTE'!$J$6</f>
        <v/>
      </c>
    </row>
    <row r="44" ht="22.5" customHeight="1" s="355">
      <c r="A44" s="415" t="n"/>
      <c r="B44" s="419" t="inlineStr">
        <is>
          <t xml:space="preserve">  France</t>
        </is>
      </c>
      <c r="C44" s="673">
        <f>'France-FTE'!$C$6</f>
        <v/>
      </c>
      <c r="D44" s="673">
        <f>'France-FTE'!$D$6</f>
        <v/>
      </c>
      <c r="E44" s="673">
        <f>'France-FTE'!$E$6</f>
        <v/>
      </c>
      <c r="F44" s="673">
        <f>'France-FTE'!$F$6</f>
        <v/>
      </c>
      <c r="G44" s="673">
        <f>'France-FTE'!$G$6</f>
        <v/>
      </c>
      <c r="H44" s="673">
        <f>'France-FTE'!$H$6</f>
        <v/>
      </c>
      <c r="I44" s="673">
        <f>'France-FTE'!$I$6</f>
        <v/>
      </c>
      <c r="J44" s="673">
        <f>'France-FTE'!$J$6</f>
        <v/>
      </c>
    </row>
    <row r="45" ht="22.5" customHeight="1" s="355">
      <c r="A45" s="415" t="n"/>
      <c r="B45" s="419" t="inlineStr">
        <is>
          <t xml:space="preserve">  Germany </t>
        </is>
      </c>
      <c r="C45" s="673">
        <f>'Germany-FTE'!$C$6</f>
        <v/>
      </c>
      <c r="D45" s="673">
        <f>'Germany-FTE'!$D$6</f>
        <v/>
      </c>
      <c r="E45" s="673">
        <f>'Germany-FTE'!$E$6</f>
        <v/>
      </c>
      <c r="F45" s="673">
        <f>'Germany-FTE'!$F$6</f>
        <v/>
      </c>
      <c r="G45" s="673">
        <f>'Germany-FTE'!$G$6</f>
        <v/>
      </c>
      <c r="H45" s="673">
        <f>'Germany-FTE'!$H$6</f>
        <v/>
      </c>
      <c r="I45" s="673">
        <f>'Germany-FTE'!$I$6</f>
        <v/>
      </c>
      <c r="J45" s="673">
        <f>'Germany-FTE'!$J$6</f>
        <v/>
      </c>
    </row>
    <row r="46" ht="22.5" customHeight="1" s="355">
      <c r="A46" s="415" t="n"/>
      <c r="B46" s="419" t="inlineStr">
        <is>
          <t xml:space="preserve">  Germany Production</t>
        </is>
      </c>
      <c r="C46" s="673">
        <f>'Germany Production-FTE'!$C$6</f>
        <v/>
      </c>
      <c r="D46" s="673">
        <f>'Germany Production-FTE'!$D$6</f>
        <v/>
      </c>
      <c r="E46" s="673">
        <f>'Germany Production-FTE'!$E$6</f>
        <v/>
      </c>
      <c r="F46" s="673">
        <f>'Germany Production-FTE'!$F$6</f>
        <v/>
      </c>
      <c r="G46" s="673">
        <f>'Germany Production-FTE'!$G$6</f>
        <v/>
      </c>
      <c r="H46" s="673">
        <f>'Germany Production-FTE'!$H$6</f>
        <v/>
      </c>
      <c r="I46" s="673">
        <f>'Germany Production-FTE'!$I$6</f>
        <v/>
      </c>
      <c r="J46" s="673">
        <f>'Germany Production-FTE'!$J$6</f>
        <v/>
      </c>
    </row>
    <row r="47" ht="22.5" customHeight="1" s="355">
      <c r="A47" s="415" t="n"/>
      <c r="B47" s="419" t="inlineStr">
        <is>
          <t xml:space="preserve">  Spain</t>
        </is>
      </c>
      <c r="C47" s="673">
        <f>'Spain-FTE'!$C$6</f>
        <v/>
      </c>
      <c r="D47" s="673">
        <f>'Spain-FTE'!$D$6</f>
        <v/>
      </c>
      <c r="E47" s="673">
        <f>'Spain-FTE'!$E$6</f>
        <v/>
      </c>
      <c r="F47" s="673">
        <f>'Spain-FTE'!$F$6</f>
        <v/>
      </c>
      <c r="G47" s="673">
        <f>'Spain-FTE'!$G$6</f>
        <v/>
      </c>
      <c r="H47" s="673">
        <f>'Spain-FTE'!$H$6</f>
        <v/>
      </c>
      <c r="I47" s="673">
        <f>'Spain-FTE'!$I$6</f>
        <v/>
      </c>
      <c r="J47" s="673">
        <f>'Spain-FTE'!$J$6</f>
        <v/>
      </c>
    </row>
    <row r="48" ht="22.5" customHeight="1" s="355">
      <c r="A48" s="415" t="n"/>
      <c r="B48" s="419" t="inlineStr">
        <is>
          <t xml:space="preserve">  Italy</t>
        </is>
      </c>
      <c r="C48" s="673">
        <f>'Italy-FTE'!$C$6</f>
        <v/>
      </c>
      <c r="D48" s="673">
        <f>'Italy-FTE'!$D$6</f>
        <v/>
      </c>
      <c r="E48" s="673">
        <f>'Italy-FTE'!$E$6</f>
        <v/>
      </c>
      <c r="F48" s="673">
        <f>'Italy-FTE'!$F$6</f>
        <v/>
      </c>
      <c r="G48" s="673">
        <f>'Italy-FTE'!$G$6</f>
        <v/>
      </c>
      <c r="H48" s="673">
        <f>'Italy-FTE'!$H$6</f>
        <v/>
      </c>
      <c r="I48" s="673">
        <f>'Italy-FTE'!$I$6</f>
        <v/>
      </c>
      <c r="J48" s="673">
        <f>'Italy-FTE'!$J$6</f>
        <v/>
      </c>
    </row>
    <row r="49" ht="22.5" customHeight="1" s="355">
      <c r="A49" s="415" t="n"/>
      <c r="B49" s="421" t="inlineStr">
        <is>
          <t xml:space="preserve">  United Kingdom</t>
        </is>
      </c>
      <c r="C49" s="687">
        <f>'UK-FTE'!$C$6</f>
        <v/>
      </c>
      <c r="D49" s="687">
        <f>'UK-FTE'!$D$6</f>
        <v/>
      </c>
      <c r="E49" s="687">
        <f>'UK-FTE'!$E$6</f>
        <v/>
      </c>
      <c r="F49" s="687">
        <f>'UK-FTE'!$F$6</f>
        <v/>
      </c>
      <c r="G49" s="687">
        <f>'UK-FTE'!$G$6</f>
        <v/>
      </c>
      <c r="H49" s="687">
        <f>'UK-FTE'!$H$6</f>
        <v/>
      </c>
      <c r="I49" s="687">
        <f>'UK-FTE'!$I$6</f>
        <v/>
      </c>
      <c r="J49" s="687">
        <f>'UK-FTE'!$J$6</f>
        <v/>
      </c>
    </row>
    <row r="50" ht="22.5" customHeight="1" s="355">
      <c r="A50" s="415" t="n"/>
      <c r="B50" s="435" t="inlineStr">
        <is>
          <t xml:space="preserve">                Sub Total</t>
        </is>
      </c>
      <c r="C50" s="683">
        <f>SUM(C42:C49)</f>
        <v/>
      </c>
      <c r="D50" s="683">
        <f>SUM(D42:D49)</f>
        <v/>
      </c>
      <c r="E50" s="683">
        <f>SUM(E42:E49)</f>
        <v/>
      </c>
      <c r="F50" s="683">
        <f>SUM(F42:F49)</f>
        <v/>
      </c>
      <c r="G50" s="683">
        <f>SUM(G42:G49)</f>
        <v/>
      </c>
      <c r="H50" s="683">
        <f>SUM(H42:H49)</f>
        <v/>
      </c>
      <c r="I50" s="683">
        <f>SUM(I42:I49)</f>
        <v/>
      </c>
      <c r="J50" s="683">
        <f>SUM(J42:J49)</f>
        <v/>
      </c>
    </row>
    <row r="51" ht="22.5" customHeight="1" s="355">
      <c r="A51" s="415" t="n"/>
      <c r="B51" s="416" t="inlineStr">
        <is>
          <t>Order to Cash</t>
        </is>
      </c>
      <c r="C51" s="650" t="n"/>
      <c r="D51" s="651" t="n"/>
      <c r="E51" s="651" t="n"/>
      <c r="F51" s="651" t="n"/>
      <c r="G51" s="651" t="n"/>
      <c r="H51" s="651" t="n"/>
      <c r="I51" s="651" t="n"/>
      <c r="J51" s="651" t="n"/>
    </row>
    <row r="52" ht="22.5" customHeight="1" s="355">
      <c r="A52" s="415" t="n"/>
      <c r="B52" s="419" t="inlineStr">
        <is>
          <t xml:space="preserve">  Switzerland</t>
        </is>
      </c>
      <c r="C52" s="673">
        <f>'Switzerland-FTE'!$C$7</f>
        <v/>
      </c>
      <c r="D52" s="673">
        <f>'Switzerland-FTE'!$D$7</f>
        <v/>
      </c>
      <c r="E52" s="673">
        <f>'Switzerland-FTE'!$E$7</f>
        <v/>
      </c>
      <c r="F52" s="673">
        <f>'Switzerland-FTE'!$F$7</f>
        <v/>
      </c>
      <c r="G52" s="673">
        <f>'Switzerland-FTE'!$G$7</f>
        <v/>
      </c>
      <c r="H52" s="673">
        <f>'Switzerland-FTE'!$H$7</f>
        <v/>
      </c>
      <c r="I52" s="673">
        <f>'Switzerland-FTE'!$I$7</f>
        <v/>
      </c>
      <c r="J52" s="673">
        <f>'Switzerland-FTE'!$J$7</f>
        <v/>
      </c>
    </row>
    <row r="53" ht="22.5" customHeight="1" s="355">
      <c r="A53" s="415" t="n"/>
      <c r="B53" s="419" t="inlineStr">
        <is>
          <t xml:space="preserve">  United States</t>
        </is>
      </c>
      <c r="C53" s="673">
        <f>'US-FTE'!$C$7</f>
        <v/>
      </c>
      <c r="D53" s="673">
        <f>'US-FTE'!$D$7</f>
        <v/>
      </c>
      <c r="E53" s="673">
        <f>'US-FTE'!$E$7</f>
        <v/>
      </c>
      <c r="F53" s="673">
        <f>'US-FTE'!$F$7</f>
        <v/>
      </c>
      <c r="G53" s="673">
        <f>'US-FTE'!$G$7</f>
        <v/>
      </c>
      <c r="H53" s="673">
        <f>'US-FTE'!$H$7</f>
        <v/>
      </c>
      <c r="I53" s="673">
        <f>'US-FTE'!$I$7</f>
        <v/>
      </c>
      <c r="J53" s="673">
        <f>'US-FTE'!$J$7</f>
        <v/>
      </c>
    </row>
    <row r="54" ht="22.5" customHeight="1" s="355">
      <c r="A54" s="415" t="n"/>
      <c r="B54" s="419" t="inlineStr">
        <is>
          <t xml:space="preserve">  France</t>
        </is>
      </c>
      <c r="C54" s="673">
        <f>'France-FTE'!$C$7</f>
        <v/>
      </c>
      <c r="D54" s="673">
        <f>'France-FTE'!$D$7</f>
        <v/>
      </c>
      <c r="E54" s="673">
        <f>'France-FTE'!$E$7</f>
        <v/>
      </c>
      <c r="F54" s="673">
        <f>'France-FTE'!$F$7</f>
        <v/>
      </c>
      <c r="G54" s="673">
        <f>'France-FTE'!$G$7</f>
        <v/>
      </c>
      <c r="H54" s="673">
        <f>'France-FTE'!$H$7</f>
        <v/>
      </c>
      <c r="I54" s="673">
        <f>'France-FTE'!$I$7</f>
        <v/>
      </c>
      <c r="J54" s="673">
        <f>'France-FTE'!$J$7</f>
        <v/>
      </c>
    </row>
    <row r="55" ht="22.5" customHeight="1" s="355">
      <c r="A55" s="415" t="n"/>
      <c r="B55" s="419" t="inlineStr">
        <is>
          <t xml:space="preserve">  Germany </t>
        </is>
      </c>
      <c r="C55" s="673">
        <f>'Germany-FTE'!$C$7</f>
        <v/>
      </c>
      <c r="D55" s="673">
        <f>'Germany-FTE'!$D$7</f>
        <v/>
      </c>
      <c r="E55" s="673">
        <f>'Germany-FTE'!$E$7</f>
        <v/>
      </c>
      <c r="F55" s="673">
        <f>'Germany-FTE'!$F$7</f>
        <v/>
      </c>
      <c r="G55" s="673">
        <f>'Germany-FTE'!$G$7</f>
        <v/>
      </c>
      <c r="H55" s="673">
        <f>'Germany-FTE'!$H$7</f>
        <v/>
      </c>
      <c r="I55" s="673">
        <f>'Germany-FTE'!$I$7</f>
        <v/>
      </c>
      <c r="J55" s="673">
        <f>'Germany-FTE'!$J$7</f>
        <v/>
      </c>
    </row>
    <row r="56" ht="22.5" customHeight="1" s="355">
      <c r="A56" s="415" t="n"/>
      <c r="B56" s="419" t="inlineStr">
        <is>
          <t xml:space="preserve">  Germany Production</t>
        </is>
      </c>
      <c r="C56" s="673">
        <f>'Germany Production-FTE'!$C$7</f>
        <v/>
      </c>
      <c r="D56" s="673">
        <f>'Germany Production-FTE'!$D$7</f>
        <v/>
      </c>
      <c r="E56" s="673">
        <f>'Germany Production-FTE'!$E$7</f>
        <v/>
      </c>
      <c r="F56" s="673">
        <f>'Germany Production-FTE'!$F$7</f>
        <v/>
      </c>
      <c r="G56" s="673">
        <f>'Germany Production-FTE'!$G$7</f>
        <v/>
      </c>
      <c r="H56" s="673">
        <f>'Germany Production-FTE'!$H$7</f>
        <v/>
      </c>
      <c r="I56" s="673">
        <f>'Germany Production-FTE'!$I$7</f>
        <v/>
      </c>
      <c r="J56" s="673">
        <f>'Germany Production-FTE'!$J$7</f>
        <v/>
      </c>
    </row>
    <row r="57" ht="22.5" customHeight="1" s="355">
      <c r="A57" s="415" t="n"/>
      <c r="B57" s="419" t="inlineStr">
        <is>
          <t xml:space="preserve">  Spain</t>
        </is>
      </c>
      <c r="C57" s="673">
        <f>'Spain-FTE'!$C$7</f>
        <v/>
      </c>
      <c r="D57" s="673">
        <f>'Spain-FTE'!$D$7</f>
        <v/>
      </c>
      <c r="E57" s="673">
        <f>'Spain-FTE'!$E$7</f>
        <v/>
      </c>
      <c r="F57" s="673">
        <f>'Spain-FTE'!$F$7</f>
        <v/>
      </c>
      <c r="G57" s="673">
        <f>'Spain-FTE'!$G$7</f>
        <v/>
      </c>
      <c r="H57" s="673">
        <f>'Spain-FTE'!$H$7</f>
        <v/>
      </c>
      <c r="I57" s="673">
        <f>'Spain-FTE'!$I$7</f>
        <v/>
      </c>
      <c r="J57" s="673">
        <f>'Spain-FTE'!$J$7</f>
        <v/>
      </c>
    </row>
    <row r="58" ht="22.5" customHeight="1" s="355">
      <c r="A58" s="415" t="n"/>
      <c r="B58" s="419" t="inlineStr">
        <is>
          <t xml:space="preserve">  Italy</t>
        </is>
      </c>
      <c r="C58" s="673">
        <f>'Italy-FTE'!$C$7</f>
        <v/>
      </c>
      <c r="D58" s="673">
        <f>'Italy-FTE'!$D$7</f>
        <v/>
      </c>
      <c r="E58" s="673">
        <f>'Italy-FTE'!$E$7</f>
        <v/>
      </c>
      <c r="F58" s="673">
        <f>'Italy-FTE'!$F$7</f>
        <v/>
      </c>
      <c r="G58" s="673">
        <f>'Italy-FTE'!$G$7</f>
        <v/>
      </c>
      <c r="H58" s="673">
        <f>'Italy-FTE'!$H$7</f>
        <v/>
      </c>
      <c r="I58" s="673">
        <f>'Italy-FTE'!$I$7</f>
        <v/>
      </c>
      <c r="J58" s="673">
        <f>'Italy-FTE'!$J$7</f>
        <v/>
      </c>
    </row>
    <row r="59" ht="22.5" customHeight="1" s="355">
      <c r="A59" s="415" t="n"/>
      <c r="B59" s="421" t="inlineStr">
        <is>
          <t xml:space="preserve">  United Kingdom</t>
        </is>
      </c>
      <c r="C59" s="687">
        <f>'UK-FTE'!$C$7</f>
        <v/>
      </c>
      <c r="D59" s="687">
        <f>'UK-FTE'!$D$7</f>
        <v/>
      </c>
      <c r="E59" s="687">
        <f>'UK-FTE'!$E$7</f>
        <v/>
      </c>
      <c r="F59" s="687">
        <f>'UK-FTE'!$F$7</f>
        <v/>
      </c>
      <c r="G59" s="687">
        <f>'UK-FTE'!$G$7</f>
        <v/>
      </c>
      <c r="H59" s="687">
        <f>'UK-FTE'!$H$7</f>
        <v/>
      </c>
      <c r="I59" s="687">
        <f>'UK-FTE'!$I$7</f>
        <v/>
      </c>
      <c r="J59" s="687">
        <f>'UK-FTE'!$J$7</f>
        <v/>
      </c>
    </row>
    <row r="60" ht="22.5" customHeight="1" s="355">
      <c r="A60" s="415" t="n"/>
      <c r="B60" s="435" t="inlineStr">
        <is>
          <t xml:space="preserve">                Sub Total</t>
        </is>
      </c>
      <c r="C60" s="683">
        <f>SUM(C52:C59)</f>
        <v/>
      </c>
      <c r="D60" s="683">
        <f>SUM(D52:D59)</f>
        <v/>
      </c>
      <c r="E60" s="683">
        <f>SUM(E52:E59)</f>
        <v/>
      </c>
      <c r="F60" s="683">
        <f>SUM(F52:F59)</f>
        <v/>
      </c>
      <c r="G60" s="683">
        <f>SUM(G52:G59)</f>
        <v/>
      </c>
      <c r="H60" s="683">
        <f>SUM(H52:H59)</f>
        <v/>
      </c>
      <c r="I60" s="683">
        <f>SUM(I52:I59)</f>
        <v/>
      </c>
      <c r="J60" s="683">
        <f>SUM(J52:J59)</f>
        <v/>
      </c>
    </row>
    <row r="61" ht="22.5" customHeight="1" s="355">
      <c r="A61" s="415" t="n"/>
      <c r="B61" s="416" t="inlineStr">
        <is>
          <t>Requistion to Pay</t>
        </is>
      </c>
      <c r="C61" s="650" t="n"/>
      <c r="D61" s="651" t="n"/>
      <c r="E61" s="651" t="n"/>
      <c r="F61" s="651" t="n"/>
      <c r="G61" s="651" t="n"/>
      <c r="H61" s="651" t="n"/>
      <c r="I61" s="651" t="n"/>
      <c r="J61" s="651" t="n"/>
    </row>
    <row r="62" ht="22.5" customHeight="1" s="355">
      <c r="A62" s="415" t="n"/>
      <c r="B62" s="419" t="inlineStr">
        <is>
          <t xml:space="preserve">  Switzerland</t>
        </is>
      </c>
      <c r="C62" s="673">
        <f>'Switzerland-FTE'!$C$8</f>
        <v/>
      </c>
      <c r="D62" s="673">
        <f>'Switzerland-FTE'!$D$8</f>
        <v/>
      </c>
      <c r="E62" s="673">
        <f>'Switzerland-FTE'!$E$8</f>
        <v/>
      </c>
      <c r="F62" s="673">
        <f>'Switzerland-FTE'!$F$8</f>
        <v/>
      </c>
      <c r="G62" s="673">
        <f>'Switzerland-FTE'!$G$8</f>
        <v/>
      </c>
      <c r="H62" s="673">
        <f>'Switzerland-FTE'!$H$8</f>
        <v/>
      </c>
      <c r="I62" s="673">
        <f>'Switzerland-FTE'!$I$8</f>
        <v/>
      </c>
      <c r="J62" s="673">
        <f>'Switzerland-FTE'!$J$8</f>
        <v/>
      </c>
    </row>
    <row r="63" ht="22.5" customHeight="1" s="355">
      <c r="A63" s="415" t="n"/>
      <c r="B63" s="419" t="inlineStr">
        <is>
          <t xml:space="preserve">  United States</t>
        </is>
      </c>
      <c r="C63" s="673">
        <f>'US-FTE'!$C$8</f>
        <v/>
      </c>
      <c r="D63" s="673">
        <f>'US-FTE'!$D$8</f>
        <v/>
      </c>
      <c r="E63" s="673">
        <f>'US-FTE'!$E$8</f>
        <v/>
      </c>
      <c r="F63" s="673">
        <f>'US-FTE'!$F$8</f>
        <v/>
      </c>
      <c r="G63" s="673">
        <f>'US-FTE'!$G$8</f>
        <v/>
      </c>
      <c r="H63" s="673">
        <f>'US-FTE'!$H$8</f>
        <v/>
      </c>
      <c r="I63" s="673">
        <f>'US-FTE'!$I$8</f>
        <v/>
      </c>
      <c r="J63" s="673">
        <f>'US-FTE'!$J$8</f>
        <v/>
      </c>
    </row>
    <row r="64" ht="22.5" customHeight="1" s="355">
      <c r="A64" s="415" t="n"/>
      <c r="B64" s="419" t="inlineStr">
        <is>
          <t xml:space="preserve">  France</t>
        </is>
      </c>
      <c r="C64" s="673">
        <f>'France-FTE'!$C$8</f>
        <v/>
      </c>
      <c r="D64" s="673">
        <f>'France-FTE'!$D$8</f>
        <v/>
      </c>
      <c r="E64" s="673">
        <f>'France-FTE'!$E$8</f>
        <v/>
      </c>
      <c r="F64" s="673">
        <f>'France-FTE'!$F$8</f>
        <v/>
      </c>
      <c r="G64" s="673">
        <f>'France-FTE'!$G$8</f>
        <v/>
      </c>
      <c r="H64" s="673">
        <f>'France-FTE'!$H$8</f>
        <v/>
      </c>
      <c r="I64" s="673">
        <f>'France-FTE'!$I$8</f>
        <v/>
      </c>
      <c r="J64" s="673">
        <f>'France-FTE'!$J$8</f>
        <v/>
      </c>
    </row>
    <row r="65" ht="22.5" customHeight="1" s="355">
      <c r="A65" s="415" t="n"/>
      <c r="B65" s="419" t="inlineStr">
        <is>
          <t xml:space="preserve">  Germany </t>
        </is>
      </c>
      <c r="C65" s="673">
        <f>'Germany-FTE'!$C$8</f>
        <v/>
      </c>
      <c r="D65" s="673">
        <f>'Germany-FTE'!$D$8</f>
        <v/>
      </c>
      <c r="E65" s="673">
        <f>'Germany-FTE'!$E$8</f>
        <v/>
      </c>
      <c r="F65" s="673">
        <f>'Germany-FTE'!$F$8</f>
        <v/>
      </c>
      <c r="G65" s="673">
        <f>'Germany-FTE'!$G$8</f>
        <v/>
      </c>
      <c r="H65" s="673">
        <f>'Germany-FTE'!$H$8</f>
        <v/>
      </c>
      <c r="I65" s="673">
        <f>'Germany-FTE'!$I$8</f>
        <v/>
      </c>
      <c r="J65" s="673">
        <f>'Germany-FTE'!$J$8</f>
        <v/>
      </c>
    </row>
    <row r="66" ht="22.5" customHeight="1" s="355">
      <c r="A66" s="415" t="n"/>
      <c r="B66" s="419" t="inlineStr">
        <is>
          <t xml:space="preserve">  Germany Production</t>
        </is>
      </c>
      <c r="C66" s="673">
        <f>'Germany Production-FTE'!$C$8</f>
        <v/>
      </c>
      <c r="D66" s="673">
        <f>'Germany Production-FTE'!$D$8</f>
        <v/>
      </c>
      <c r="E66" s="673">
        <f>'Germany Production-FTE'!$E$8</f>
        <v/>
      </c>
      <c r="F66" s="673">
        <f>'Germany Production-FTE'!$F$8</f>
        <v/>
      </c>
      <c r="G66" s="673">
        <f>'Germany Production-FTE'!$G$8</f>
        <v/>
      </c>
      <c r="H66" s="673">
        <f>'Germany Production-FTE'!$H$8</f>
        <v/>
      </c>
      <c r="I66" s="673">
        <f>'Germany Production-FTE'!$I$8</f>
        <v/>
      </c>
      <c r="J66" s="673">
        <f>'Germany Production-FTE'!$J$8</f>
        <v/>
      </c>
    </row>
    <row r="67" ht="22.5" customHeight="1" s="355">
      <c r="A67" s="415" t="n"/>
      <c r="B67" s="419" t="inlineStr">
        <is>
          <t xml:space="preserve">  Spain</t>
        </is>
      </c>
      <c r="C67" s="673">
        <f>'Spain-FTE'!$C$8</f>
        <v/>
      </c>
      <c r="D67" s="673">
        <f>'Spain-FTE'!$D$8</f>
        <v/>
      </c>
      <c r="E67" s="673">
        <f>'Spain-FTE'!$E$8</f>
        <v/>
      </c>
      <c r="F67" s="673">
        <f>'Spain-FTE'!$F$8</f>
        <v/>
      </c>
      <c r="G67" s="673">
        <f>'Spain-FTE'!$G$8</f>
        <v/>
      </c>
      <c r="H67" s="673">
        <f>'Spain-FTE'!$H$8</f>
        <v/>
      </c>
      <c r="I67" s="673">
        <f>'Spain-FTE'!$I$8</f>
        <v/>
      </c>
      <c r="J67" s="673">
        <f>'Spain-FTE'!$J$8</f>
        <v/>
      </c>
    </row>
    <row r="68" ht="22.5" customHeight="1" s="355">
      <c r="A68" s="415" t="n"/>
      <c r="B68" s="419" t="inlineStr">
        <is>
          <t xml:space="preserve">  Italy</t>
        </is>
      </c>
      <c r="C68" s="673">
        <f>'Italy-FTE'!$C$8</f>
        <v/>
      </c>
      <c r="D68" s="673">
        <f>'Italy-FTE'!$D$8</f>
        <v/>
      </c>
      <c r="E68" s="673">
        <f>'Italy-FTE'!$E$8</f>
        <v/>
      </c>
      <c r="F68" s="673">
        <f>'Italy-FTE'!$F$8</f>
        <v/>
      </c>
      <c r="G68" s="673">
        <f>'Italy-FTE'!$G$8</f>
        <v/>
      </c>
      <c r="H68" s="673">
        <f>'Italy-FTE'!$H$8</f>
        <v/>
      </c>
      <c r="I68" s="673">
        <f>'Italy-FTE'!$I$8</f>
        <v/>
      </c>
      <c r="J68" s="673">
        <f>'Italy-FTE'!$J$8</f>
        <v/>
      </c>
    </row>
    <row r="69" ht="22.5" customHeight="1" s="355">
      <c r="A69" s="415" t="n"/>
      <c r="B69" s="421" t="inlineStr">
        <is>
          <t xml:space="preserve">  United Kingdom</t>
        </is>
      </c>
      <c r="C69" s="687">
        <f>'UK-FTE'!$C$8</f>
        <v/>
      </c>
      <c r="D69" s="687">
        <f>'UK-FTE'!$D$8</f>
        <v/>
      </c>
      <c r="E69" s="687">
        <f>'UK-FTE'!$E$8</f>
        <v/>
      </c>
      <c r="F69" s="687">
        <f>'UK-FTE'!$F$8</f>
        <v/>
      </c>
      <c r="G69" s="687">
        <f>'UK-FTE'!$G$8</f>
        <v/>
      </c>
      <c r="H69" s="687">
        <f>'UK-FTE'!$H$8</f>
        <v/>
      </c>
      <c r="I69" s="687">
        <f>'UK-FTE'!$I$8</f>
        <v/>
      </c>
      <c r="J69" s="687">
        <f>'UK-FTE'!$J$8</f>
        <v/>
      </c>
    </row>
    <row r="70" ht="22.5" customHeight="1" s="355">
      <c r="A70" s="415" t="n"/>
      <c r="B70" s="435" t="inlineStr">
        <is>
          <t xml:space="preserve">                Sub Total</t>
        </is>
      </c>
      <c r="C70" s="683">
        <f>SUM(C62:C69)</f>
        <v/>
      </c>
      <c r="D70" s="683">
        <f>SUM(D62:D69)</f>
        <v/>
      </c>
      <c r="E70" s="683">
        <f>SUM(E62:E69)</f>
        <v/>
      </c>
      <c r="F70" s="683">
        <f>SUM(F62:F69)</f>
        <v/>
      </c>
      <c r="G70" s="683">
        <f>SUM(G62:G69)</f>
        <v/>
      </c>
      <c r="H70" s="683">
        <f>SUM(H62:H69)</f>
        <v/>
      </c>
      <c r="I70" s="683">
        <f>SUM(I62:I69)</f>
        <v/>
      </c>
      <c r="J70" s="683">
        <f>SUM(J62:J69)</f>
        <v/>
      </c>
    </row>
    <row r="71" ht="22.5" customHeight="1" s="355">
      <c r="A71" s="415" t="n"/>
      <c r="B71" s="422" t="inlineStr">
        <is>
          <t>Total FTEs All Countries</t>
        </is>
      </c>
      <c r="C71" s="674">
        <f>C20+C30+C40+C50+C60+C70</f>
        <v/>
      </c>
      <c r="D71" s="674">
        <f>D20+D30+D40+D50+D60+D70</f>
        <v/>
      </c>
      <c r="E71" s="674">
        <f>E20+E30+E40+E50+E60+E70</f>
        <v/>
      </c>
      <c r="F71" s="674">
        <f>F20+F30+F40+F50+F60+F70</f>
        <v/>
      </c>
      <c r="G71" s="674">
        <f>G20+G30+G40+G50+G60+G70</f>
        <v/>
      </c>
      <c r="H71" s="674">
        <f>H20+H30+H40+H50+H60+H70</f>
        <v/>
      </c>
      <c r="I71" s="674">
        <f>I20+I30+I40+I50+I60+I70</f>
        <v/>
      </c>
      <c r="J71" s="674">
        <f>J20+J30+J40+J50+J60+J70</f>
        <v/>
      </c>
    </row>
    <row r="72" ht="22.5" customHeight="1" s="355">
      <c r="A72" s="415" t="n"/>
      <c r="B72" s="416" t="inlineStr">
        <is>
          <t>Country Summary</t>
        </is>
      </c>
      <c r="C72" s="650" t="n"/>
      <c r="D72" s="651" t="n"/>
      <c r="E72" s="651" t="n"/>
      <c r="F72" s="651" t="n"/>
      <c r="G72" s="651" t="n"/>
      <c r="H72" s="651" t="n"/>
      <c r="I72" s="651" t="n"/>
      <c r="J72" s="651" t="n"/>
    </row>
    <row r="73" ht="22.5" customHeight="1" s="355">
      <c r="A73" s="415" t="n"/>
      <c r="B73" s="419" t="inlineStr">
        <is>
          <t xml:space="preserve">  Switzerland</t>
        </is>
      </c>
      <c r="C73" s="673">
        <f>'Switzerland-FTE'!C9</f>
        <v/>
      </c>
      <c r="D73" s="673">
        <f>'Switzerland-FTE'!D9</f>
        <v/>
      </c>
      <c r="E73" s="673">
        <f>'Switzerland-FTE'!E9</f>
        <v/>
      </c>
      <c r="F73" s="673">
        <f>'Switzerland-FTE'!F9</f>
        <v/>
      </c>
      <c r="G73" s="673">
        <f>'Switzerland-FTE'!G9</f>
        <v/>
      </c>
      <c r="H73" s="673">
        <f>'Switzerland-FTE'!H9</f>
        <v/>
      </c>
      <c r="I73" s="673">
        <f>'Switzerland-FTE'!I9</f>
        <v/>
      </c>
      <c r="J73" s="673">
        <f>'Switzerland-FTE'!J9</f>
        <v/>
      </c>
    </row>
    <row r="74" ht="22.5" customHeight="1" s="355">
      <c r="A74" s="415" t="n"/>
      <c r="B74" s="419" t="inlineStr">
        <is>
          <t xml:space="preserve">  United States</t>
        </is>
      </c>
      <c r="C74" s="673">
        <f>'US-FTE'!C9</f>
        <v/>
      </c>
      <c r="D74" s="673">
        <f>'US-FTE'!D9</f>
        <v/>
      </c>
      <c r="E74" s="673">
        <f>'US-FTE'!E9</f>
        <v/>
      </c>
      <c r="F74" s="673">
        <f>'US-FTE'!F9</f>
        <v/>
      </c>
      <c r="G74" s="673">
        <f>'US-FTE'!G9</f>
        <v/>
      </c>
      <c r="H74" s="673">
        <f>'US-FTE'!H9</f>
        <v/>
      </c>
      <c r="I74" s="673">
        <f>'US-FTE'!I9</f>
        <v/>
      </c>
      <c r="J74" s="673">
        <f>'US-FTE'!J9</f>
        <v/>
      </c>
    </row>
    <row r="75" ht="22.5" customHeight="1" s="355">
      <c r="A75" s="415" t="n"/>
      <c r="B75" s="419" t="inlineStr">
        <is>
          <t xml:space="preserve">  France</t>
        </is>
      </c>
      <c r="C75" s="673">
        <f>'France-FTE'!C9</f>
        <v/>
      </c>
      <c r="D75" s="673">
        <f>'France-FTE'!D9</f>
        <v/>
      </c>
      <c r="E75" s="673">
        <f>'France-FTE'!E9</f>
        <v/>
      </c>
      <c r="F75" s="673">
        <f>'France-FTE'!F9</f>
        <v/>
      </c>
      <c r="G75" s="673">
        <f>'France-FTE'!G9</f>
        <v/>
      </c>
      <c r="H75" s="673">
        <f>'France-FTE'!H9</f>
        <v/>
      </c>
      <c r="I75" s="673">
        <f>'France-FTE'!I9</f>
        <v/>
      </c>
      <c r="J75" s="673">
        <f>'France-FTE'!J9</f>
        <v/>
      </c>
    </row>
    <row r="76" ht="22.5" customHeight="1" s="355">
      <c r="A76" s="415" t="n"/>
      <c r="B76" s="419" t="inlineStr">
        <is>
          <t xml:space="preserve">  Germany </t>
        </is>
      </c>
      <c r="C76" s="673">
        <f>'Germany-FTE'!C9</f>
        <v/>
      </c>
      <c r="D76" s="673">
        <f>'Germany-FTE'!D9</f>
        <v/>
      </c>
      <c r="E76" s="673">
        <f>'Germany-FTE'!E9</f>
        <v/>
      </c>
      <c r="F76" s="673">
        <f>'Germany-FTE'!F9</f>
        <v/>
      </c>
      <c r="G76" s="673">
        <f>'Germany-FTE'!G9</f>
        <v/>
      </c>
      <c r="H76" s="673">
        <f>'Germany-FTE'!H9</f>
        <v/>
      </c>
      <c r="I76" s="673">
        <f>'Germany-FTE'!I9</f>
        <v/>
      </c>
      <c r="J76" s="673">
        <f>'Germany-FTE'!J9</f>
        <v/>
      </c>
    </row>
    <row r="77" ht="22.5" customHeight="1" s="355">
      <c r="A77" s="415" t="n"/>
      <c r="B77" s="419" t="inlineStr">
        <is>
          <t xml:space="preserve">  Germany Production</t>
        </is>
      </c>
      <c r="C77" s="673">
        <f>'Germany Production-FTE'!C9</f>
        <v/>
      </c>
      <c r="D77" s="673">
        <f>'Germany Production-FTE'!D9</f>
        <v/>
      </c>
      <c r="E77" s="673">
        <f>'Germany Production-FTE'!E9</f>
        <v/>
      </c>
      <c r="F77" s="673">
        <f>'Germany Production-FTE'!F9</f>
        <v/>
      </c>
      <c r="G77" s="673">
        <f>'Germany Production-FTE'!G9</f>
        <v/>
      </c>
      <c r="H77" s="673">
        <f>'Germany Production-FTE'!H9</f>
        <v/>
      </c>
      <c r="I77" s="673">
        <f>'Germany Production-FTE'!I9</f>
        <v/>
      </c>
      <c r="J77" s="673">
        <f>'Germany Production-FTE'!J9</f>
        <v/>
      </c>
    </row>
    <row r="78" ht="22.5" customHeight="1" s="355">
      <c r="A78" s="415" t="n"/>
      <c r="B78" s="419" t="inlineStr">
        <is>
          <t xml:space="preserve">  Spain</t>
        </is>
      </c>
      <c r="C78" s="673">
        <f>'Spain-FTE'!C9</f>
        <v/>
      </c>
      <c r="D78" s="673">
        <f>'Spain-FTE'!D9</f>
        <v/>
      </c>
      <c r="E78" s="673">
        <f>'Spain-FTE'!E9</f>
        <v/>
      </c>
      <c r="F78" s="673">
        <f>'Spain-FTE'!F9</f>
        <v/>
      </c>
      <c r="G78" s="673">
        <f>'Spain-FTE'!G9</f>
        <v/>
      </c>
      <c r="H78" s="673">
        <f>'Spain-FTE'!H9</f>
        <v/>
      </c>
      <c r="I78" s="673">
        <f>'Spain-FTE'!I9</f>
        <v/>
      </c>
      <c r="J78" s="673">
        <f>'Spain-FTE'!J9</f>
        <v/>
      </c>
    </row>
    <row r="79" ht="22.5" customHeight="1" s="355">
      <c r="A79" s="415" t="n"/>
      <c r="B79" s="419" t="inlineStr">
        <is>
          <t xml:space="preserve">  Italy</t>
        </is>
      </c>
      <c r="C79" s="673">
        <f>'Italy-FTE'!C9</f>
        <v/>
      </c>
      <c r="D79" s="673">
        <f>'Italy-FTE'!D9</f>
        <v/>
      </c>
      <c r="E79" s="673">
        <f>'Italy-FTE'!E9</f>
        <v/>
      </c>
      <c r="F79" s="673">
        <f>'Italy-FTE'!F9</f>
        <v/>
      </c>
      <c r="G79" s="673">
        <f>'Italy-FTE'!G9</f>
        <v/>
      </c>
      <c r="H79" s="673">
        <f>'Italy-FTE'!H9</f>
        <v/>
      </c>
      <c r="I79" s="673">
        <f>'Italy-FTE'!I9</f>
        <v/>
      </c>
      <c r="J79" s="673">
        <f>'Italy-FTE'!J9</f>
        <v/>
      </c>
    </row>
    <row r="80" ht="22.5" customHeight="1" s="355">
      <c r="A80" s="415" t="n"/>
      <c r="B80" s="421" t="inlineStr">
        <is>
          <t xml:space="preserve">  United Kingdom</t>
        </is>
      </c>
      <c r="C80" s="687">
        <f>'UK-FTE'!C9</f>
        <v/>
      </c>
      <c r="D80" s="687">
        <f>'UK-FTE'!D9</f>
        <v/>
      </c>
      <c r="E80" s="687">
        <f>'UK-FTE'!E9</f>
        <v/>
      </c>
      <c r="F80" s="687">
        <f>'UK-FTE'!F9</f>
        <v/>
      </c>
      <c r="G80" s="687">
        <f>'UK-FTE'!G9</f>
        <v/>
      </c>
      <c r="H80" s="687">
        <f>'UK-FTE'!H9</f>
        <v/>
      </c>
      <c r="I80" s="687">
        <f>'UK-FTE'!I9</f>
        <v/>
      </c>
      <c r="J80" s="687">
        <f>'UK-FTE'!J9</f>
        <v/>
      </c>
    </row>
    <row r="81" ht="22.5" customHeight="1" s="355">
      <c r="A81" s="441" t="n"/>
      <c r="B81" s="422" t="inlineStr">
        <is>
          <t>Total FTEs All Countries</t>
        </is>
      </c>
      <c r="C81" s="674">
        <f>SUM(C73:C80)</f>
        <v/>
      </c>
      <c r="D81" s="674">
        <f>SUM(D73:D80)</f>
        <v/>
      </c>
      <c r="E81" s="674">
        <f>SUM(E73:E80)</f>
        <v/>
      </c>
      <c r="F81" s="674">
        <f>SUM(F73:F80)</f>
        <v/>
      </c>
      <c r="G81" s="674">
        <f>SUM(G73:G80)</f>
        <v/>
      </c>
      <c r="H81" s="674">
        <f>SUM(H73:H80)</f>
        <v/>
      </c>
      <c r="I81" s="674">
        <f>SUM(I73:I80)</f>
        <v/>
      </c>
      <c r="J81" s="674">
        <f>SUM(J73:J80)</f>
        <v/>
      </c>
    </row>
    <row r="82" ht="22.5" customHeight="1" s="355"/>
    <row r="83" ht="22.5" customHeight="1" s="355"/>
    <row r="84" ht="22.5" customHeight="1" s="355"/>
    <row r="85" ht="22.5" customHeight="1" s="355"/>
    <row r="86" ht="22.5" customHeight="1" s="355"/>
    <row r="87" ht="22.5" customHeight="1" s="355"/>
    <row r="88" ht="22.5" customHeight="1" s="355"/>
    <row r="89" ht="22.5" customHeight="1" s="355"/>
    <row r="90" ht="22.5" customHeight="1" s="355"/>
    <row r="91" ht="22.5" customHeight="1" s="355"/>
    <row r="92" ht="22.5" customHeight="1" s="355"/>
    <row r="93" ht="22.5" customHeight="1" s="355"/>
    <row r="94" ht="22.5" customHeight="1" s="355"/>
    <row r="95" ht="22.5" customHeight="1" s="355"/>
    <row r="96" ht="22.5" customHeight="1" s="355"/>
    <row r="97" ht="22.5" customHeight="1" s="355"/>
    <row r="98" ht="22.5" customHeight="1" s="355"/>
    <row r="99" ht="22.5" customHeight="1" s="355"/>
    <row r="100" ht="22.5" customHeight="1" s="355"/>
    <row r="101" ht="22.5" customHeight="1" s="355"/>
    <row r="102" ht="22.5" customHeight="1" s="355"/>
    <row r="103" ht="22.5" customHeight="1" s="355"/>
    <row r="104" ht="22.5" customHeight="1" s="355"/>
    <row r="105" ht="22.5" customHeight="1" s="355"/>
    <row r="106" ht="22.5" customHeight="1" s="355"/>
    <row r="107" ht="22.5" customHeight="1" s="355"/>
    <row r="108" ht="22.5" customHeight="1" s="355"/>
    <row r="109" ht="22.5" customHeight="1" s="355"/>
    <row r="110" ht="22.5" customHeight="1" s="355"/>
    <row r="111" ht="22.5" customHeight="1" s="355"/>
    <row r="112" ht="22.5" customHeight="1" s="355"/>
    <row r="113" ht="22.5" customHeight="1" s="355"/>
    <row r="114" ht="22.5" customHeight="1" s="355"/>
    <row r="115" ht="22.5" customHeight="1" s="355"/>
    <row r="116" ht="22.5" customHeight="1" s="355"/>
    <row r="117" ht="22.5" customHeight="1" s="355"/>
    <row r="118" ht="22.5" customHeight="1" s="355"/>
    <row r="119" ht="22.5" customHeight="1" s="355"/>
    <row r="120" ht="22.5" customHeight="1" s="355"/>
    <row r="121" ht="22.5" customHeight="1" s="355"/>
    <row r="122" ht="22.5" customHeight="1" s="355"/>
    <row r="123" ht="22.5" customHeight="1" s="355"/>
    <row r="124" ht="22.5" customHeight="1" s="355"/>
    <row r="125" ht="22.5" customHeight="1" s="355"/>
    <row r="126" ht="22.5" customHeight="1" s="355"/>
    <row r="127" ht="22.5" customHeight="1" s="355"/>
    <row r="128" ht="22.5" customHeight="1" s="355"/>
    <row r="129" ht="22.5" customHeight="1" s="355"/>
    <row r="130" ht="22.5" customHeight="1" s="355"/>
    <row r="131" ht="22.5" customHeight="1" s="355"/>
    <row r="132" ht="22.5" customHeight="1" s="355"/>
    <row r="133" ht="22.5" customHeight="1" s="355"/>
    <row r="134" ht="22.5" customHeight="1" s="355"/>
    <row r="135" ht="22.5" customHeight="1" s="355"/>
    <row r="136" ht="22.5" customHeight="1" s="355"/>
    <row r="137" ht="22.5" customHeight="1" s="355"/>
    <row r="138" ht="22.5" customHeight="1" s="355"/>
    <row r="139" ht="22.5" customHeight="1" s="355"/>
    <row r="140" ht="22.5" customHeight="1" s="355"/>
    <row r="141" ht="22.5" customHeight="1" s="355"/>
    <row r="142" ht="22.5" customHeight="1" s="355"/>
    <row r="143" ht="22.5" customHeight="1" s="355"/>
    <row r="144" ht="22.5" customHeight="1" s="355"/>
    <row r="145" ht="22.5" customHeight="1" s="355"/>
    <row r="146" ht="22.5" customHeight="1" s="355"/>
    <row r="147" ht="22.5" customHeight="1" s="355"/>
    <row r="148" ht="22.5" customHeight="1" s="355"/>
    <row r="149" ht="22.5" customHeight="1" s="355"/>
    <row r="150" ht="22.5" customHeight="1" s="355"/>
    <row r="151" ht="22.5" customHeight="1" s="355"/>
  </sheetData>
  <mergeCells count="1">
    <mergeCell ref="A2:A81"/>
  </mergeCells>
  <printOptions horizontalCentered="0" verticalCentered="0" headings="0" gridLines="0" gridLinesSet="1"/>
  <pageMargins left="0.747916666666667" right="0.747916666666667" top="0.9840277777777779" bottom="0.9840277777777779" header="0.5" footer="0.5"/>
  <pageSetup orientation="landscape" paperSize="1" scale="100" fitToHeight="3"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0.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10"/>
    <col width="8.4" customWidth="1" style="407" min="11" max="257"/>
  </cols>
  <sheetData>
    <row r="1" ht="22.5" customHeight="1" s="355">
      <c r="A1" s="655" t="inlineStr">
        <is>
          <t>FTE Projection Input Form - Centre One</t>
        </is>
      </c>
      <c r="B1" s="656" t="n"/>
      <c r="C1" s="657" t="n"/>
      <c r="D1" s="657" t="n"/>
      <c r="E1" s="657" t="n"/>
      <c r="F1" s="657" t="n"/>
      <c r="G1" s="657" t="n"/>
      <c r="H1" s="657" t="n"/>
      <c r="I1" s="657" t="n"/>
      <c r="J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49" t="inlineStr">
        <is>
          <t>Year 7</t>
        </is>
      </c>
      <c r="J2" s="649" t="inlineStr">
        <is>
          <t>Year 8</t>
        </is>
      </c>
    </row>
    <row r="3" ht="22.5" customHeight="1" s="355">
      <c r="A3" s="660" t="inlineStr">
        <is>
          <t>Switzerland</t>
        </is>
      </c>
      <c r="B3" s="661" t="inlineStr">
        <is>
          <t>General Accounting &amp; Sox</t>
        </is>
      </c>
      <c r="C3" s="689" t="n">
        <v>0.875</v>
      </c>
      <c r="D3" s="689" t="n">
        <v>2</v>
      </c>
      <c r="E3" s="689" t="n">
        <v>1.95416666666667</v>
      </c>
      <c r="F3" s="689" t="n">
        <v>1.90416666666667</v>
      </c>
      <c r="G3" s="689" t="n">
        <v>1.85416666666667</v>
      </c>
      <c r="H3" s="689" t="n">
        <v>1.75833333333333</v>
      </c>
      <c r="I3" s="689" t="n">
        <v>1.75</v>
      </c>
      <c r="J3" s="689" t="n">
        <v>1.75</v>
      </c>
      <c r="K3" s="690" t="n"/>
      <c r="L3" s="690" t="n"/>
    </row>
    <row r="4" ht="22.5" customHeight="1" s="355">
      <c r="A4" s="664" t="n"/>
      <c r="B4" s="665" t="inlineStr">
        <is>
          <t>Fixed Assets</t>
        </is>
      </c>
      <c r="C4" s="691" t="n">
        <v>0</v>
      </c>
      <c r="D4" s="691" t="n">
        <v>0</v>
      </c>
      <c r="E4" s="691" t="n">
        <v>0</v>
      </c>
      <c r="F4" s="691" t="n">
        <v>0</v>
      </c>
      <c r="G4" s="691" t="n">
        <v>0</v>
      </c>
      <c r="H4" s="691" t="n">
        <v>0</v>
      </c>
      <c r="I4" s="691" t="n">
        <v>0</v>
      </c>
      <c r="J4" s="691" t="n">
        <v>0</v>
      </c>
      <c r="K4" s="690" t="n"/>
      <c r="L4" s="690" t="n"/>
    </row>
    <row r="5" ht="22.5" customHeight="1" s="355">
      <c r="A5" s="664" t="n"/>
      <c r="B5" s="665" t="inlineStr">
        <is>
          <t>Accounts Payable</t>
        </is>
      </c>
      <c r="C5" s="691" t="n">
        <v>5.94086021505376</v>
      </c>
      <c r="D5" s="691" t="n">
        <v>12.5555555555556</v>
      </c>
      <c r="E5" s="691" t="n">
        <v>11.7222222222222</v>
      </c>
      <c r="F5" s="691" t="n">
        <v>11.0555555555556</v>
      </c>
      <c r="G5" s="691" t="n">
        <v>10.6944444444444</v>
      </c>
      <c r="H5" s="691" t="n">
        <v>10.3611111111111</v>
      </c>
      <c r="I5" s="691" t="n">
        <v>10.0277777777778</v>
      </c>
      <c r="J5" s="691" t="n">
        <v>10</v>
      </c>
      <c r="K5" s="690" t="n"/>
      <c r="L5" s="690" t="n"/>
    </row>
    <row r="6" ht="22.5" customHeight="1" s="355">
      <c r="A6" s="664" t="n"/>
      <c r="B6" s="665" t="inlineStr">
        <is>
          <t>T&amp;E</t>
        </is>
      </c>
      <c r="C6" s="691" t="n">
        <v>0</v>
      </c>
      <c r="D6" s="691" t="n">
        <v>0</v>
      </c>
      <c r="E6" s="691" t="n">
        <v>0</v>
      </c>
      <c r="F6" s="691" t="n">
        <v>0</v>
      </c>
      <c r="G6" s="691" t="n">
        <v>0</v>
      </c>
      <c r="H6" s="691" t="n">
        <v>0</v>
      </c>
      <c r="I6" s="691" t="n">
        <v>0</v>
      </c>
      <c r="J6" s="691" t="n">
        <v>0</v>
      </c>
      <c r="K6" s="690" t="n"/>
      <c r="L6" s="690" t="n"/>
    </row>
    <row r="7" ht="22.5" customHeight="1" s="355">
      <c r="A7" s="664" t="n"/>
      <c r="B7" s="665" t="inlineStr">
        <is>
          <t>Order to Cash</t>
        </is>
      </c>
      <c r="C7" s="691" t="n">
        <v>0.438172043010753</v>
      </c>
      <c r="D7" s="691" t="n">
        <v>1</v>
      </c>
      <c r="E7" s="691" t="n">
        <v>0.977083333333333</v>
      </c>
      <c r="F7" s="691" t="n">
        <v>0.9520833333333329</v>
      </c>
      <c r="G7" s="691" t="n">
        <v>0.927083333333334</v>
      </c>
      <c r="H7" s="691" t="n">
        <v>0.879166666666667</v>
      </c>
      <c r="I7" s="691" t="n">
        <v>0.875</v>
      </c>
      <c r="J7" s="691" t="n">
        <v>0.875</v>
      </c>
      <c r="K7" s="690" t="n"/>
      <c r="L7" s="690" t="n"/>
      <c r="M7" s="354" t="n"/>
      <c r="N7" s="354" t="n"/>
      <c r="O7" s="354" t="n"/>
      <c r="P7" s="354" t="n"/>
      <c r="Q7" s="354" t="n"/>
      <c r="R7" s="354" t="n"/>
      <c r="S7" s="354" t="n"/>
      <c r="T7" s="354" t="n"/>
      <c r="U7" s="354" t="n"/>
      <c r="V7" s="354" t="n"/>
      <c r="W7" s="354" t="n"/>
    </row>
    <row r="8" ht="22.5" customHeight="1" s="355">
      <c r="A8" s="664" t="n"/>
      <c r="B8" s="665" t="inlineStr">
        <is>
          <t>Requistion to Pay</t>
        </is>
      </c>
      <c r="C8" s="691" t="n">
        <v>3</v>
      </c>
      <c r="D8" s="691" t="n">
        <v>5.86206896551724</v>
      </c>
      <c r="E8" s="691" t="n">
        <v>5.60344827586207</v>
      </c>
      <c r="F8" s="691" t="n">
        <v>5.39655172413793</v>
      </c>
      <c r="G8" s="691" t="n">
        <v>5.18965517241379</v>
      </c>
      <c r="H8" s="691" t="n">
        <v>4.98275862068966</v>
      </c>
      <c r="I8" s="691" t="n">
        <v>4.96551724137931</v>
      </c>
      <c r="J8" s="691" t="n">
        <v>4.96551724137931</v>
      </c>
      <c r="K8" s="690" t="n"/>
      <c r="L8" s="690" t="n"/>
    </row>
    <row r="9" ht="22.5" customHeight="1" s="355">
      <c r="A9" s="611" t="n"/>
      <c r="B9" s="658" t="inlineStr">
        <is>
          <t>Total FTEs</t>
        </is>
      </c>
      <c r="C9" s="692">
        <f>SUM(C3:C8)</f>
        <v/>
      </c>
      <c r="D9" s="692">
        <f>SUM(D3:D8)</f>
        <v/>
      </c>
      <c r="E9" s="692">
        <f>SUM(E3:E8)</f>
        <v/>
      </c>
      <c r="F9" s="692">
        <f>SUM(F3:F8)</f>
        <v/>
      </c>
      <c r="G9" s="692">
        <f>SUM(G3:G8)</f>
        <v/>
      </c>
      <c r="H9" s="692">
        <f>SUM(H3:H8)</f>
        <v/>
      </c>
      <c r="I9" s="692">
        <f>SUM(I3:I8)</f>
        <v/>
      </c>
      <c r="J9" s="692">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1.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One</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United States</t>
        </is>
      </c>
      <c r="B3" s="661" t="inlineStr">
        <is>
          <t>General Accounting &amp; Sox</t>
        </is>
      </c>
      <c r="C3" s="693" t="n"/>
      <c r="D3" s="689" t="n"/>
      <c r="E3" s="689" t="n"/>
      <c r="F3" s="689" t="n"/>
      <c r="G3" s="689" t="n"/>
      <c r="H3" s="689" t="n"/>
      <c r="I3" s="694" t="n"/>
    </row>
    <row r="4" ht="22.5" customHeight="1" s="355">
      <c r="A4" s="664" t="n"/>
      <c r="B4" s="665" t="inlineStr">
        <is>
          <t>Fixed Assets</t>
        </is>
      </c>
      <c r="C4" s="695" t="n"/>
      <c r="D4" s="691" t="n"/>
      <c r="E4" s="691" t="n"/>
      <c r="F4" s="691" t="n"/>
      <c r="G4" s="691" t="n"/>
      <c r="H4" s="691" t="n"/>
      <c r="I4" s="696" t="n"/>
    </row>
    <row r="5" ht="22.5" customHeight="1" s="355">
      <c r="A5" s="664" t="n"/>
      <c r="B5" s="665" t="inlineStr">
        <is>
          <t>Accounts Payable</t>
        </is>
      </c>
      <c r="C5" s="695" t="n"/>
      <c r="D5" s="691" t="n"/>
      <c r="E5" s="691" t="n"/>
      <c r="F5" s="691" t="n"/>
      <c r="G5" s="691" t="n"/>
      <c r="H5" s="691" t="n"/>
      <c r="I5" s="696" t="n"/>
    </row>
    <row r="6" ht="22.5" customHeight="1" s="355">
      <c r="A6" s="664" t="n"/>
      <c r="B6" s="665" t="inlineStr">
        <is>
          <t>T&amp;E</t>
        </is>
      </c>
      <c r="C6" s="695" t="n"/>
      <c r="D6" s="691" t="n"/>
      <c r="E6" s="691" t="n"/>
      <c r="F6" s="691" t="n"/>
      <c r="G6" s="691" t="n"/>
      <c r="H6" s="691" t="n"/>
      <c r="I6" s="696" t="n"/>
    </row>
    <row r="7" ht="22.5" customHeight="1" s="355">
      <c r="A7" s="664" t="n"/>
      <c r="B7" s="665" t="inlineStr">
        <is>
          <t>Order to Cash</t>
        </is>
      </c>
      <c r="C7" s="695" t="n"/>
      <c r="D7" s="691" t="n"/>
      <c r="E7" s="691" t="n"/>
      <c r="F7" s="691" t="n"/>
      <c r="G7" s="691" t="n"/>
      <c r="H7" s="691" t="n"/>
      <c r="I7" s="696"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5" t="n"/>
      <c r="D8" s="691" t="n"/>
      <c r="E8" s="691" t="n"/>
      <c r="F8" s="691" t="n"/>
      <c r="G8" s="691" t="n"/>
      <c r="H8" s="691" t="n"/>
      <c r="I8" s="696" t="n"/>
    </row>
    <row r="9" ht="22.5" customHeight="1" s="355">
      <c r="A9" s="611" t="n"/>
      <c r="B9" s="658" t="inlineStr">
        <is>
          <t>Total FTEs</t>
        </is>
      </c>
      <c r="C9" s="692">
        <f>SUM(C3:C8)</f>
        <v/>
      </c>
      <c r="D9" s="692">
        <f>SUM(D3:D8)</f>
        <v/>
      </c>
      <c r="E9" s="692">
        <f>SUM(E3:E8)</f>
        <v/>
      </c>
      <c r="F9" s="692">
        <f>SUM(F3:F8)</f>
        <v/>
      </c>
      <c r="G9" s="692">
        <f>SUM(G3:G8)</f>
        <v/>
      </c>
      <c r="H9" s="692">
        <f>SUM(H3:H8)</f>
        <v/>
      </c>
      <c r="I9" s="697">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2.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7.65" customWidth="1" style="407" min="10" max="10"/>
    <col width="8.4" customWidth="1" style="407" min="11" max="257"/>
  </cols>
  <sheetData>
    <row r="1" ht="22.5" customHeight="1" s="355">
      <c r="A1" s="655" t="inlineStr">
        <is>
          <t>FTE Projection Input Form - Centre One</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France</t>
        </is>
      </c>
      <c r="B3" s="661" t="inlineStr">
        <is>
          <t>General Accounting &amp; Sox</t>
        </is>
      </c>
      <c r="C3" s="689" t="n">
        <v>0.629032258064516</v>
      </c>
      <c r="D3" s="689" t="n">
        <v>3</v>
      </c>
      <c r="E3" s="689" t="n">
        <v>2.93125</v>
      </c>
      <c r="F3" s="689" t="n">
        <v>2.85625</v>
      </c>
      <c r="G3" s="689" t="n">
        <v>2.78125</v>
      </c>
      <c r="H3" s="689" t="n">
        <v>2.6375</v>
      </c>
      <c r="I3" s="689" t="n">
        <v>2.625</v>
      </c>
      <c r="J3" s="689" t="n">
        <v>2.625</v>
      </c>
    </row>
    <row r="4" ht="22.5" customHeight="1" s="355">
      <c r="A4" s="664" t="n"/>
      <c r="B4" s="665" t="inlineStr">
        <is>
          <t>Fixed Assets</t>
        </is>
      </c>
      <c r="C4" s="691" t="n">
        <v>0</v>
      </c>
      <c r="D4" s="691" t="n">
        <v>0</v>
      </c>
      <c r="E4" s="691" t="n">
        <v>0</v>
      </c>
      <c r="F4" s="691" t="n">
        <v>0</v>
      </c>
      <c r="G4" s="691" t="n">
        <v>0</v>
      </c>
      <c r="H4" s="691" t="n">
        <v>0</v>
      </c>
      <c r="I4" s="691" t="n">
        <v>0</v>
      </c>
      <c r="J4" s="691" t="n">
        <v>0</v>
      </c>
    </row>
    <row r="5" ht="22.5" customHeight="1" s="355">
      <c r="A5" s="664" t="n"/>
      <c r="B5" s="665" t="inlineStr">
        <is>
          <t>Accounts Payable</t>
        </is>
      </c>
      <c r="C5" s="691" t="n">
        <v>1.97849462365591</v>
      </c>
      <c r="D5" s="691" t="n">
        <v>7.72649572649573</v>
      </c>
      <c r="E5" s="691" t="n">
        <v>7.21367521367522</v>
      </c>
      <c r="F5" s="691" t="n">
        <v>6.8034188034188</v>
      </c>
      <c r="G5" s="691" t="n">
        <v>6.58119658119658</v>
      </c>
      <c r="H5" s="691" t="n">
        <v>6.37606837606838</v>
      </c>
      <c r="I5" s="691" t="n">
        <v>6.17094017094017</v>
      </c>
      <c r="J5" s="691" t="n">
        <v>6.15384615384615</v>
      </c>
    </row>
    <row r="6" ht="22.5" customHeight="1" s="355">
      <c r="A6" s="664" t="n"/>
      <c r="B6" s="665" t="inlineStr">
        <is>
          <t>T&amp;E</t>
        </is>
      </c>
      <c r="C6" s="691" t="n">
        <v>0.247311827956989</v>
      </c>
      <c r="D6" s="691" t="n">
        <v>1</v>
      </c>
      <c r="E6" s="691" t="n">
        <v>0.977083333333333</v>
      </c>
      <c r="F6" s="691" t="n">
        <v>0.9520833333333329</v>
      </c>
      <c r="G6" s="691" t="n">
        <v>0.927083333333334</v>
      </c>
      <c r="H6" s="691" t="n">
        <v>0.879166666666667</v>
      </c>
      <c r="I6" s="691" t="n">
        <v>0.875</v>
      </c>
      <c r="J6" s="691" t="n">
        <v>0.875</v>
      </c>
    </row>
    <row r="7" ht="22.5" customHeight="1" s="355">
      <c r="A7" s="664" t="n"/>
      <c r="B7" s="665" t="inlineStr">
        <is>
          <t>Order to Cash</t>
        </is>
      </c>
      <c r="C7" s="691" t="n">
        <v>1.23655913978495</v>
      </c>
      <c r="D7" s="691" t="n">
        <v>5</v>
      </c>
      <c r="E7" s="691" t="n">
        <v>4.88541666666667</v>
      </c>
      <c r="F7" s="691" t="n">
        <v>4.76041666666667</v>
      </c>
      <c r="G7" s="691" t="n">
        <v>4.63541666666667</v>
      </c>
      <c r="H7" s="691" t="n">
        <v>4.39583333333333</v>
      </c>
      <c r="I7" s="691" t="n">
        <v>4.375</v>
      </c>
      <c r="J7" s="691" t="n">
        <v>4.375</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1" t="n">
        <v>1.71666666666667</v>
      </c>
      <c r="D8" s="691" t="n">
        <v>5.86206896551724</v>
      </c>
      <c r="E8" s="691" t="n">
        <v>5.60344827586207</v>
      </c>
      <c r="F8" s="691" t="n">
        <v>5.39655172413793</v>
      </c>
      <c r="G8" s="691" t="n">
        <v>5.18965517241379</v>
      </c>
      <c r="H8" s="691" t="n">
        <v>4.98275862068966</v>
      </c>
      <c r="I8" s="691" t="n">
        <v>4.96551724137931</v>
      </c>
      <c r="J8" s="691" t="n">
        <v>4.96551724137931</v>
      </c>
    </row>
    <row r="9" ht="22.5" customHeight="1" s="355">
      <c r="A9" s="611" t="n"/>
      <c r="B9" s="658" t="inlineStr">
        <is>
          <t>Total FTEs</t>
        </is>
      </c>
      <c r="C9" s="692">
        <f>SUM(C3:C8)</f>
        <v/>
      </c>
      <c r="D9" s="692">
        <f>SUM(D3:D8)</f>
        <v/>
      </c>
      <c r="E9" s="692">
        <f>SUM(E3:E8)</f>
        <v/>
      </c>
      <c r="F9" s="692">
        <f>SUM(F3:F8)</f>
        <v/>
      </c>
      <c r="G9" s="692">
        <f>SUM(G3:G8)</f>
        <v/>
      </c>
      <c r="H9" s="692">
        <f>SUM(H3:H8)</f>
        <v/>
      </c>
      <c r="I9" s="697">
        <f>SUM(I3:I8)</f>
        <v/>
      </c>
      <c r="J9" s="697">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3.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One</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Germany</t>
        </is>
      </c>
      <c r="B3" s="661" t="inlineStr">
        <is>
          <t>General Accounting &amp; Sox</t>
        </is>
      </c>
      <c r="C3" s="689" t="n">
        <v>0.418010752688172</v>
      </c>
      <c r="D3" s="689" t="n">
        <v>1.5</v>
      </c>
      <c r="E3" s="689" t="n">
        <v>1.465625</v>
      </c>
      <c r="F3" s="689" t="n">
        <v>1.428125</v>
      </c>
      <c r="G3" s="689" t="n">
        <v>1.390625</v>
      </c>
      <c r="H3" s="689" t="n">
        <v>1.31875</v>
      </c>
      <c r="I3" s="689" t="n">
        <v>1.3125</v>
      </c>
      <c r="J3" s="689" t="n">
        <v>1.3125</v>
      </c>
    </row>
    <row r="4" ht="22.5" customHeight="1" s="355">
      <c r="A4" s="664" t="n"/>
      <c r="B4" s="665" t="inlineStr">
        <is>
          <t>Fixed Assets</t>
        </is>
      </c>
      <c r="C4" s="691" t="n">
        <v>0.416666666666667</v>
      </c>
      <c r="D4" s="691" t="n">
        <v>0.5</v>
      </c>
      <c r="E4" s="691" t="n">
        <v>0.488541666666667</v>
      </c>
      <c r="F4" s="691" t="n">
        <v>0.476041666666667</v>
      </c>
      <c r="G4" s="691" t="n">
        <v>0.463541666666667</v>
      </c>
      <c r="H4" s="691" t="n">
        <v>0.439583333333333</v>
      </c>
      <c r="I4" s="691" t="n">
        <v>0.4375</v>
      </c>
      <c r="J4" s="691" t="n">
        <v>0.4375</v>
      </c>
    </row>
    <row r="5" ht="22.5" customHeight="1" s="355">
      <c r="A5" s="664" t="n"/>
      <c r="B5" s="665" t="inlineStr">
        <is>
          <t>Accounts Payable</t>
        </is>
      </c>
      <c r="C5" s="691" t="n">
        <v>2.75</v>
      </c>
      <c r="D5" s="691" t="n">
        <v>8.69230769230769</v>
      </c>
      <c r="E5" s="691" t="n">
        <v>8.11538461538462</v>
      </c>
      <c r="F5" s="691" t="n">
        <v>7.65384615384615</v>
      </c>
      <c r="G5" s="691" t="n">
        <v>7.40384615384615</v>
      </c>
      <c r="H5" s="691" t="n">
        <v>7.17307692307692</v>
      </c>
      <c r="I5" s="691" t="n">
        <v>6.94230769230769</v>
      </c>
      <c r="J5" s="691" t="n">
        <v>6.92307692307692</v>
      </c>
    </row>
    <row r="6" ht="22.5" customHeight="1" s="355">
      <c r="A6" s="664" t="n"/>
      <c r="B6" s="665" t="inlineStr">
        <is>
          <t>T&amp;E</t>
        </is>
      </c>
      <c r="C6" s="691" t="n">
        <v>0.741935483870968</v>
      </c>
      <c r="D6" s="691" t="n">
        <v>3</v>
      </c>
      <c r="E6" s="691" t="n">
        <v>2.93125</v>
      </c>
      <c r="F6" s="691" t="n">
        <v>2.85625</v>
      </c>
      <c r="G6" s="691" t="n">
        <v>2.78125</v>
      </c>
      <c r="H6" s="691" t="n">
        <v>2.6375</v>
      </c>
      <c r="I6" s="691" t="n">
        <v>2.625</v>
      </c>
      <c r="J6" s="691" t="n">
        <v>2.625</v>
      </c>
    </row>
    <row r="7" ht="22.5" customHeight="1" s="355">
      <c r="A7" s="664" t="n"/>
      <c r="B7" s="665" t="inlineStr">
        <is>
          <t>Order to Cash</t>
        </is>
      </c>
      <c r="C7" s="691" t="n">
        <v>0.494623655913979</v>
      </c>
      <c r="D7" s="691" t="n">
        <v>2</v>
      </c>
      <c r="E7" s="691" t="n">
        <v>1.95416666666667</v>
      </c>
      <c r="F7" s="691" t="n">
        <v>1.90416666666667</v>
      </c>
      <c r="G7" s="691" t="n">
        <v>1.85416666666667</v>
      </c>
      <c r="H7" s="691" t="n">
        <v>1.75833333333333</v>
      </c>
      <c r="I7" s="691" t="n">
        <v>1.75</v>
      </c>
      <c r="J7" s="691" t="n">
        <v>1.75</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1" t="n">
        <v>0.5</v>
      </c>
      <c r="D8" s="691" t="n">
        <v>0.977011494252873</v>
      </c>
      <c r="E8" s="691" t="n">
        <v>0.933908045977012</v>
      </c>
      <c r="F8" s="691" t="n">
        <v>0.899425287356322</v>
      </c>
      <c r="G8" s="691" t="n">
        <v>0.864942528735632</v>
      </c>
      <c r="H8" s="691" t="n">
        <v>0.830459770114942</v>
      </c>
      <c r="I8" s="691" t="n">
        <v>0.827586206896552</v>
      </c>
      <c r="J8" s="691" t="n">
        <v>0.827586206896552</v>
      </c>
    </row>
    <row r="9" ht="22.5" customHeight="1" s="355">
      <c r="A9" s="611" t="n"/>
      <c r="B9" s="658" t="inlineStr">
        <is>
          <t>Total FTEs</t>
        </is>
      </c>
      <c r="C9" s="692">
        <f>SUM(C3:C8)</f>
        <v/>
      </c>
      <c r="D9" s="692">
        <f>SUM(D3:D8)</f>
        <v/>
      </c>
      <c r="E9" s="692">
        <f>SUM(E3:E8)</f>
        <v/>
      </c>
      <c r="F9" s="692">
        <f>SUM(F3:F8)</f>
        <v/>
      </c>
      <c r="G9" s="692">
        <f>SUM(G3:G8)</f>
        <v/>
      </c>
      <c r="H9" s="692">
        <f>SUM(H3:H8)</f>
        <v/>
      </c>
      <c r="I9" s="697">
        <f>SUM(I3:I8)</f>
        <v/>
      </c>
      <c r="J9" s="697">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4.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One</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Germany Production</t>
        </is>
      </c>
      <c r="B3" s="661" t="inlineStr">
        <is>
          <t>General Accounting &amp; Sox</t>
        </is>
      </c>
      <c r="C3" s="689" t="n">
        <v>0.209677419354839</v>
      </c>
      <c r="D3" s="689" t="n">
        <v>1</v>
      </c>
      <c r="E3" s="689" t="n">
        <v>0.977083333333333</v>
      </c>
      <c r="F3" s="689" t="n">
        <v>0.9520833333333329</v>
      </c>
      <c r="G3" s="689" t="n">
        <v>0.927083333333334</v>
      </c>
      <c r="H3" s="689" t="n">
        <v>0.879166666666667</v>
      </c>
      <c r="I3" s="689" t="n">
        <v>0.875</v>
      </c>
      <c r="J3" s="689" t="n">
        <v>0.875</v>
      </c>
    </row>
    <row r="4" ht="22.5" customHeight="1" s="355">
      <c r="A4" s="664" t="n"/>
      <c r="B4" s="665" t="inlineStr">
        <is>
          <t>Fixed Assets</t>
        </is>
      </c>
      <c r="C4" s="691" t="n">
        <v>0</v>
      </c>
      <c r="D4" s="691" t="n">
        <v>0</v>
      </c>
      <c r="E4" s="691" t="n">
        <v>0</v>
      </c>
      <c r="F4" s="691" t="n">
        <v>0</v>
      </c>
      <c r="G4" s="691" t="n">
        <v>0</v>
      </c>
      <c r="H4" s="691" t="n">
        <v>0</v>
      </c>
      <c r="I4" s="691" t="n">
        <v>0</v>
      </c>
      <c r="J4" s="691" t="n">
        <v>0</v>
      </c>
    </row>
    <row r="5" ht="22.5" customHeight="1" s="355">
      <c r="A5" s="664" t="n"/>
      <c r="B5" s="665" t="inlineStr">
        <is>
          <t>Accounts Payable</t>
        </is>
      </c>
      <c r="C5" s="691" t="n">
        <v>0</v>
      </c>
      <c r="D5" s="691" t="n">
        <v>0</v>
      </c>
      <c r="E5" s="691" t="n">
        <v>0</v>
      </c>
      <c r="F5" s="691" t="n">
        <v>0</v>
      </c>
      <c r="G5" s="691" t="n">
        <v>0</v>
      </c>
      <c r="H5" s="691" t="n">
        <v>0</v>
      </c>
      <c r="I5" s="691" t="n">
        <v>0</v>
      </c>
      <c r="J5" s="691" t="n">
        <v>0</v>
      </c>
    </row>
    <row r="6" ht="22.5" customHeight="1" s="355">
      <c r="A6" s="664" t="n"/>
      <c r="B6" s="665" t="inlineStr">
        <is>
          <t>T&amp;E</t>
        </is>
      </c>
      <c r="C6" s="691" t="n">
        <v>0</v>
      </c>
      <c r="D6" s="691" t="n">
        <v>0</v>
      </c>
      <c r="E6" s="691" t="n">
        <v>0</v>
      </c>
      <c r="F6" s="691" t="n">
        <v>0</v>
      </c>
      <c r="G6" s="691" t="n">
        <v>0</v>
      </c>
      <c r="H6" s="691" t="n">
        <v>0</v>
      </c>
      <c r="I6" s="691" t="n">
        <v>0</v>
      </c>
      <c r="J6" s="691" t="n">
        <v>0</v>
      </c>
    </row>
    <row r="7" ht="22.5" customHeight="1" s="355">
      <c r="A7" s="664" t="n"/>
      <c r="B7" s="665" t="inlineStr">
        <is>
          <t>Order to Cash</t>
        </is>
      </c>
      <c r="C7" s="691" t="n">
        <v>0</v>
      </c>
      <c r="D7" s="691" t="n">
        <v>0</v>
      </c>
      <c r="E7" s="691" t="n">
        <v>0</v>
      </c>
      <c r="F7" s="691" t="n">
        <v>0</v>
      </c>
      <c r="G7" s="691" t="n">
        <v>0</v>
      </c>
      <c r="H7" s="691" t="n">
        <v>0</v>
      </c>
      <c r="I7" s="691" t="n">
        <v>0</v>
      </c>
      <c r="J7" s="691" t="n">
        <v>0</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1" t="n">
        <v>0.5</v>
      </c>
      <c r="D8" s="691" t="n">
        <v>0</v>
      </c>
      <c r="E8" s="691" t="n">
        <v>0</v>
      </c>
      <c r="F8" s="691" t="n">
        <v>0</v>
      </c>
      <c r="G8" s="691" t="n">
        <v>0</v>
      </c>
      <c r="H8" s="691" t="n">
        <v>0</v>
      </c>
      <c r="I8" s="691" t="n">
        <v>0</v>
      </c>
      <c r="J8" s="691" t="n">
        <v>0</v>
      </c>
    </row>
    <row r="9" ht="22.5" customHeight="1" s="355">
      <c r="A9" s="611" t="n"/>
      <c r="B9" s="658" t="inlineStr">
        <is>
          <t>Total FTEs</t>
        </is>
      </c>
      <c r="C9" s="692">
        <f>SUM(C3:C8)</f>
        <v/>
      </c>
      <c r="D9" s="692">
        <f>SUM(D3:D8)</f>
        <v/>
      </c>
      <c r="E9" s="692">
        <f>SUM(E3:E8)</f>
        <v/>
      </c>
      <c r="F9" s="692">
        <f>SUM(F3:F8)</f>
        <v/>
      </c>
      <c r="G9" s="692">
        <f>SUM(G3:G8)</f>
        <v/>
      </c>
      <c r="H9" s="692">
        <f>SUM(H3:H8)</f>
        <v/>
      </c>
      <c r="I9" s="697">
        <f>SUM(I3:I8)</f>
        <v/>
      </c>
      <c r="J9" s="697">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5.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7.04" customWidth="1" style="407" min="10" max="10"/>
    <col width="8.4" customWidth="1" style="407" min="11" max="257"/>
  </cols>
  <sheetData>
    <row r="1" ht="22.5" customHeight="1" s="355">
      <c r="A1" s="655" t="inlineStr">
        <is>
          <t>FTE Projection Input Form - Centre One</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Spain</t>
        </is>
      </c>
      <c r="B3" s="661" t="inlineStr">
        <is>
          <t>General Accounting &amp; Sox</t>
        </is>
      </c>
      <c r="C3" s="689" t="n">
        <v>1.25</v>
      </c>
      <c r="D3" s="689" t="n">
        <v>3</v>
      </c>
      <c r="E3" s="689" t="n">
        <v>2.93125</v>
      </c>
      <c r="F3" s="689" t="n">
        <v>2.85625</v>
      </c>
      <c r="G3" s="689" t="n">
        <v>2.78125</v>
      </c>
      <c r="H3" s="689" t="n">
        <v>2.6375</v>
      </c>
      <c r="I3" s="689" t="n">
        <v>2.625</v>
      </c>
      <c r="J3" s="689" t="n">
        <v>2.625</v>
      </c>
    </row>
    <row r="4" ht="22.5" customHeight="1" s="355">
      <c r="A4" s="664" t="n"/>
      <c r="B4" s="665" t="inlineStr">
        <is>
          <t>Fixed Assets</t>
        </is>
      </c>
      <c r="C4" s="691" t="n">
        <v>0</v>
      </c>
      <c r="D4" s="691" t="n">
        <v>0</v>
      </c>
      <c r="E4" s="691" t="n">
        <v>0</v>
      </c>
      <c r="F4" s="691" t="n">
        <v>0</v>
      </c>
      <c r="G4" s="691" t="n">
        <v>0</v>
      </c>
      <c r="H4" s="691" t="n">
        <v>0</v>
      </c>
      <c r="I4" s="691" t="n">
        <v>0</v>
      </c>
      <c r="J4" s="691" t="n">
        <v>0</v>
      </c>
    </row>
    <row r="5" ht="22.5" customHeight="1" s="355">
      <c r="A5" s="664" t="n"/>
      <c r="B5" s="665" t="inlineStr">
        <is>
          <t>Accounts Payable</t>
        </is>
      </c>
      <c r="C5" s="691" t="n">
        <v>1.6760752688172</v>
      </c>
      <c r="D5" s="691" t="n">
        <v>3.38034188034188</v>
      </c>
      <c r="E5" s="691" t="n">
        <v>3.15598290598291</v>
      </c>
      <c r="F5" s="691" t="n">
        <v>2.97649572649573</v>
      </c>
      <c r="G5" s="691" t="n">
        <v>2.8792735042735</v>
      </c>
      <c r="H5" s="691" t="n">
        <v>2.78952991452991</v>
      </c>
      <c r="I5" s="691" t="n">
        <v>2.69978632478633</v>
      </c>
      <c r="J5" s="691" t="n">
        <v>2.69230769230769</v>
      </c>
    </row>
    <row r="6" ht="22.5" customHeight="1" s="355">
      <c r="A6" s="664" t="n"/>
      <c r="B6" s="665" t="inlineStr">
        <is>
          <t>T&amp;E</t>
        </is>
      </c>
      <c r="C6" s="691" t="n">
        <v>0.418010752688172</v>
      </c>
      <c r="D6" s="691" t="n">
        <v>0.5</v>
      </c>
      <c r="E6" s="691" t="n">
        <v>0.488541666666667</v>
      </c>
      <c r="F6" s="691" t="n">
        <v>0.476041666666667</v>
      </c>
      <c r="G6" s="691" t="n">
        <v>0.463541666666667</v>
      </c>
      <c r="H6" s="691" t="n">
        <v>0.439583333333333</v>
      </c>
      <c r="I6" s="691" t="n">
        <v>0.4375</v>
      </c>
      <c r="J6" s="691" t="n">
        <v>0.4375</v>
      </c>
    </row>
    <row r="7" ht="22.5" customHeight="1" s="355">
      <c r="A7" s="664" t="n"/>
      <c r="B7" s="665" t="inlineStr">
        <is>
          <t>Order to Cash</t>
        </is>
      </c>
      <c r="C7" s="691" t="n">
        <v>0.419354838709677</v>
      </c>
      <c r="D7" s="691" t="n">
        <v>1</v>
      </c>
      <c r="E7" s="691" t="n">
        <v>0.977083333333333</v>
      </c>
      <c r="F7" s="691" t="n">
        <v>0.9520833333333329</v>
      </c>
      <c r="G7" s="691" t="n">
        <v>0.927083333333334</v>
      </c>
      <c r="H7" s="691" t="n">
        <v>0.879166666666667</v>
      </c>
      <c r="I7" s="691" t="n">
        <v>0.875</v>
      </c>
      <c r="J7" s="691" t="n">
        <v>0.875</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1" t="n">
        <v>1.82795698924731</v>
      </c>
      <c r="D8" s="691" t="n">
        <v>3.90804597701149</v>
      </c>
      <c r="E8" s="691" t="n">
        <v>3.73563218390805</v>
      </c>
      <c r="F8" s="691" t="n">
        <v>3.59770114942529</v>
      </c>
      <c r="G8" s="691" t="n">
        <v>3.45977011494253</v>
      </c>
      <c r="H8" s="691" t="n">
        <v>3.32183908045977</v>
      </c>
      <c r="I8" s="691" t="n">
        <v>3.31034482758621</v>
      </c>
      <c r="J8" s="691" t="n">
        <v>3.31034482758621</v>
      </c>
    </row>
    <row r="9" ht="22.5" customHeight="1" s="355">
      <c r="A9" s="611" t="n"/>
      <c r="B9" s="658" t="inlineStr">
        <is>
          <t>Total FTEs</t>
        </is>
      </c>
      <c r="C9" s="692">
        <f>SUM(C3:C8)</f>
        <v/>
      </c>
      <c r="D9" s="692">
        <f>SUM(D3:D8)</f>
        <v/>
      </c>
      <c r="E9" s="692">
        <f>SUM(E3:E8)</f>
        <v/>
      </c>
      <c r="F9" s="692">
        <f>SUM(F3:F8)</f>
        <v/>
      </c>
      <c r="G9" s="692">
        <f>SUM(G3:G8)</f>
        <v/>
      </c>
      <c r="H9" s="692">
        <f>SUM(H3:H8)</f>
        <v/>
      </c>
      <c r="I9" s="697">
        <f>SUM(I3:I8)</f>
        <v/>
      </c>
      <c r="J9" s="697">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6.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One</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Italy</t>
        </is>
      </c>
      <c r="B3" s="661" t="inlineStr">
        <is>
          <t>General Accounting &amp; Sox</t>
        </is>
      </c>
      <c r="C3" s="689" t="n">
        <v>0.416666666666667</v>
      </c>
      <c r="D3" s="689" t="n">
        <v>1</v>
      </c>
      <c r="E3" s="689" t="n">
        <v>0.977083333333333</v>
      </c>
      <c r="F3" s="689" t="n">
        <v>0.9520833333333329</v>
      </c>
      <c r="G3" s="689" t="n">
        <v>0.927083333333334</v>
      </c>
      <c r="H3" s="689" t="n">
        <v>0.879166666666667</v>
      </c>
      <c r="I3" s="689" t="n">
        <v>0.875</v>
      </c>
      <c r="J3" s="689" t="n">
        <v>0.875</v>
      </c>
    </row>
    <row r="4" ht="22.5" customHeight="1" s="355">
      <c r="A4" s="664" t="n"/>
      <c r="B4" s="665" t="inlineStr">
        <is>
          <t>Fixed Assets</t>
        </is>
      </c>
      <c r="C4" s="691" t="n">
        <v>0</v>
      </c>
      <c r="D4" s="691" t="n">
        <v>0</v>
      </c>
      <c r="E4" s="691" t="n">
        <v>0</v>
      </c>
      <c r="F4" s="691" t="n">
        <v>0</v>
      </c>
      <c r="G4" s="691" t="n">
        <v>0</v>
      </c>
      <c r="H4" s="691" t="n">
        <v>0</v>
      </c>
      <c r="I4" s="691" t="n">
        <v>0</v>
      </c>
      <c r="J4" s="691" t="n">
        <v>0</v>
      </c>
    </row>
    <row r="5" ht="22.5" customHeight="1" s="355">
      <c r="A5" s="664" t="n"/>
      <c r="B5" s="665" t="inlineStr">
        <is>
          <t>Accounts Payable</t>
        </is>
      </c>
      <c r="C5" s="691" t="n">
        <v>2.30645161290323</v>
      </c>
      <c r="D5" s="691" t="n">
        <v>5.31196581196581</v>
      </c>
      <c r="E5" s="691" t="n">
        <v>4.95940170940171</v>
      </c>
      <c r="F5" s="691" t="n">
        <v>4.67735042735043</v>
      </c>
      <c r="G5" s="691" t="n">
        <v>4.52457264957265</v>
      </c>
      <c r="H5" s="691" t="n">
        <v>4.38354700854701</v>
      </c>
      <c r="I5" s="691" t="n">
        <v>4.24252136752137</v>
      </c>
      <c r="J5" s="691" t="n">
        <v>4.23076923076923</v>
      </c>
    </row>
    <row r="6" ht="22.5" customHeight="1" s="355">
      <c r="A6" s="664" t="n"/>
      <c r="B6" s="665" t="inlineStr">
        <is>
          <t>T&amp;E</t>
        </is>
      </c>
      <c r="C6" s="691" t="n">
        <v>0.96505376344086</v>
      </c>
      <c r="D6" s="691" t="n">
        <v>2.5</v>
      </c>
      <c r="E6" s="691" t="n">
        <v>2.44270833333333</v>
      </c>
      <c r="F6" s="691" t="n">
        <v>2.38020833333333</v>
      </c>
      <c r="G6" s="691" t="n">
        <v>2.31770833333333</v>
      </c>
      <c r="H6" s="691" t="n">
        <v>2.19791666666667</v>
      </c>
      <c r="I6" s="691" t="n">
        <v>2.1875</v>
      </c>
      <c r="J6" s="691" t="n">
        <v>2.1875</v>
      </c>
    </row>
    <row r="7" ht="22.5" customHeight="1" s="355">
      <c r="A7" s="664" t="n"/>
      <c r="B7" s="665" t="inlineStr">
        <is>
          <t>Order to Cash</t>
        </is>
      </c>
      <c r="C7" s="691" t="n">
        <v>0.838709677419355</v>
      </c>
      <c r="D7" s="691" t="n">
        <v>2</v>
      </c>
      <c r="E7" s="691" t="n">
        <v>1.95416666666667</v>
      </c>
      <c r="F7" s="691" t="n">
        <v>1.90416666666667</v>
      </c>
      <c r="G7" s="691" t="n">
        <v>1.85416666666667</v>
      </c>
      <c r="H7" s="691" t="n">
        <v>1.75833333333333</v>
      </c>
      <c r="I7" s="691" t="n">
        <v>1.75</v>
      </c>
      <c r="J7" s="691" t="n">
        <v>1.75</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1" t="n">
        <v>1.20430107526882</v>
      </c>
      <c r="D8" s="691" t="n">
        <v>2.93103448275862</v>
      </c>
      <c r="E8" s="691" t="n">
        <v>2.80172413793103</v>
      </c>
      <c r="F8" s="691" t="n">
        <v>2.69827586206897</v>
      </c>
      <c r="G8" s="691" t="n">
        <v>2.5948275862069</v>
      </c>
      <c r="H8" s="691" t="n">
        <v>2.49137931034483</v>
      </c>
      <c r="I8" s="691" t="n">
        <v>2.48275862068966</v>
      </c>
      <c r="J8" s="691" t="n">
        <v>2.48275862068966</v>
      </c>
    </row>
    <row r="9" ht="22.5" customHeight="1" s="355">
      <c r="A9" s="611" t="n"/>
      <c r="B9" s="658" t="inlineStr">
        <is>
          <t>Total FTEs</t>
        </is>
      </c>
      <c r="C9" s="692">
        <f>SUM(C3:C8)</f>
        <v/>
      </c>
      <c r="D9" s="692">
        <f>SUM(D3:D8)</f>
        <v/>
      </c>
      <c r="E9" s="692">
        <f>SUM(E3:E8)</f>
        <v/>
      </c>
      <c r="F9" s="692">
        <f>SUM(F3:F8)</f>
        <v/>
      </c>
      <c r="G9" s="692">
        <f>SUM(G3:G8)</f>
        <v/>
      </c>
      <c r="H9" s="692">
        <f>SUM(H3:H8)</f>
        <v/>
      </c>
      <c r="I9" s="697">
        <f>SUM(I3:I8)</f>
        <v/>
      </c>
      <c r="J9" s="697">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7.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United Kingdom</t>
        </is>
      </c>
      <c r="B3" s="661" t="inlineStr">
        <is>
          <t>General Accounting &amp; Sox</t>
        </is>
      </c>
      <c r="C3" s="693" t="n"/>
      <c r="D3" s="689" t="n"/>
      <c r="E3" s="689" t="n"/>
      <c r="F3" s="689" t="n"/>
      <c r="G3" s="689" t="n"/>
      <c r="H3" s="689" t="n"/>
      <c r="I3" s="694" t="n"/>
    </row>
    <row r="4" ht="22.5" customHeight="1" s="355">
      <c r="A4" s="664" t="n"/>
      <c r="B4" s="665" t="inlineStr">
        <is>
          <t>Fixed Assets</t>
        </is>
      </c>
      <c r="C4" s="695" t="n"/>
      <c r="D4" s="691" t="n"/>
      <c r="E4" s="691" t="n"/>
      <c r="F4" s="691" t="n"/>
      <c r="G4" s="691" t="n"/>
      <c r="H4" s="691" t="n"/>
      <c r="I4" s="696" t="n"/>
    </row>
    <row r="5" ht="22.5" customHeight="1" s="355">
      <c r="A5" s="664" t="n"/>
      <c r="B5" s="665" t="inlineStr">
        <is>
          <t>Accounts Payable</t>
        </is>
      </c>
      <c r="C5" s="695" t="n"/>
      <c r="D5" s="691" t="n"/>
      <c r="E5" s="691" t="n"/>
      <c r="F5" s="691" t="n"/>
      <c r="G5" s="691" t="n"/>
      <c r="H5" s="691" t="n"/>
      <c r="I5" s="696" t="n"/>
    </row>
    <row r="6" ht="22.5" customHeight="1" s="355">
      <c r="A6" s="664" t="n"/>
      <c r="B6" s="665" t="inlineStr">
        <is>
          <t>T&amp;E</t>
        </is>
      </c>
      <c r="C6" s="695" t="n"/>
      <c r="D6" s="691" t="n"/>
      <c r="E6" s="691" t="n"/>
      <c r="F6" s="691" t="n"/>
      <c r="G6" s="691" t="n"/>
      <c r="H6" s="691" t="n"/>
      <c r="I6" s="696" t="n"/>
    </row>
    <row r="7" ht="22.5" customHeight="1" s="355">
      <c r="A7" s="664" t="n"/>
      <c r="B7" s="665" t="inlineStr">
        <is>
          <t>Order to Cash</t>
        </is>
      </c>
      <c r="C7" s="695" t="n"/>
      <c r="D7" s="691" t="n"/>
      <c r="E7" s="691" t="n"/>
      <c r="F7" s="691" t="n"/>
      <c r="G7" s="691" t="n"/>
      <c r="H7" s="691" t="n"/>
      <c r="I7" s="696"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5" t="n"/>
      <c r="D8" s="691" t="n"/>
      <c r="E8" s="691" t="n"/>
      <c r="F8" s="691" t="n"/>
      <c r="G8" s="691" t="n"/>
      <c r="H8" s="691" t="n"/>
      <c r="I8" s="696" t="n"/>
    </row>
    <row r="9" ht="22.5" customHeight="1" s="355">
      <c r="A9" s="611" t="n"/>
      <c r="B9" s="658" t="inlineStr">
        <is>
          <t>Total FTEs</t>
        </is>
      </c>
      <c r="C9" s="692">
        <f>SUM(C3:C8)</f>
        <v/>
      </c>
      <c r="D9" s="692">
        <f>SUM(D3:D8)</f>
        <v/>
      </c>
      <c r="E9" s="692">
        <f>SUM(E3:E8)</f>
        <v/>
      </c>
      <c r="F9" s="692">
        <f>SUM(F3:F8)</f>
        <v/>
      </c>
      <c r="G9" s="692">
        <f>SUM(G3:G8)</f>
        <v/>
      </c>
      <c r="H9" s="692">
        <f>SUM(H3:H8)</f>
        <v/>
      </c>
      <c r="I9" s="697">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8.xml><?xml version="1.0" encoding="utf-8"?>
<worksheet xmlns="http://schemas.openxmlformats.org/spreadsheetml/2006/main">
  <sheetPr filterMode="0">
    <tabColor rgb="FF00FFFF"/>
    <outlinePr summaryBelow="1" summaryRight="1"/>
    <pageSetUpPr fitToPage="1"/>
  </sheetPr>
  <dimension ref="A1:W81"/>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82"/>
    </sheetView>
  </sheetViews>
  <sheetFormatPr baseColWidth="8" defaultColWidth="8.3984375" defaultRowHeight="12.75" customHeight="1" zeroHeight="0" outlineLevelRow="0"/>
  <cols>
    <col width="33.78" customWidth="1" style="407" min="1" max="1"/>
    <col width="35.27" customWidth="1" style="407" min="2" max="2"/>
    <col width="13.95" customWidth="1" style="407" min="3" max="10"/>
    <col width="8.4" customWidth="1" style="407" min="11" max="257"/>
  </cols>
  <sheetData>
    <row r="1" ht="22.5" customHeight="1" s="355">
      <c r="A1" s="408" t="inlineStr">
        <is>
          <t>FTE PROJECTION INPUT SUMMARY</t>
        </is>
      </c>
      <c r="B1" s="409" t="n"/>
      <c r="C1" s="647" t="n"/>
      <c r="D1" s="647" t="n"/>
      <c r="E1" s="647" t="n"/>
      <c r="F1" s="647" t="n"/>
      <c r="G1" s="647" t="n"/>
      <c r="H1" s="647" t="n"/>
      <c r="I1" s="647" t="n"/>
      <c r="J1" s="647" t="n"/>
    </row>
    <row r="2" ht="22.5" customHeight="1" s="355">
      <c r="A2" s="411" t="inlineStr">
        <is>
          <t>Centre Two</t>
        </is>
      </c>
      <c r="B2" s="412" t="n"/>
      <c r="C2" s="648" t="inlineStr">
        <is>
          <t>Year 1</t>
        </is>
      </c>
      <c r="D2" s="649" t="inlineStr">
        <is>
          <t>Year 2</t>
        </is>
      </c>
      <c r="E2" s="649" t="inlineStr">
        <is>
          <t>Year 3</t>
        </is>
      </c>
      <c r="F2" s="649" t="inlineStr">
        <is>
          <t>Year 4</t>
        </is>
      </c>
      <c r="G2" s="649" t="inlineStr">
        <is>
          <t>Year 5</t>
        </is>
      </c>
      <c r="H2" s="649" t="inlineStr">
        <is>
          <t>Year 6</t>
        </is>
      </c>
      <c r="I2" s="649" t="inlineStr">
        <is>
          <t>Year 7</t>
        </is>
      </c>
      <c r="J2" s="649" t="inlineStr">
        <is>
          <t>Year 8</t>
        </is>
      </c>
    </row>
    <row r="3" ht="22.5" customHeight="1" s="355">
      <c r="A3" s="415" t="n"/>
      <c r="B3" s="416" t="inlineStr">
        <is>
          <t>Process Summary</t>
        </is>
      </c>
      <c r="C3" s="650" t="n"/>
      <c r="D3" s="651" t="n"/>
      <c r="E3" s="651" t="n"/>
      <c r="F3" s="651" t="n"/>
      <c r="G3" s="651" t="n"/>
      <c r="H3" s="651" t="n"/>
      <c r="I3" s="651" t="n"/>
      <c r="J3" s="651" t="n"/>
    </row>
    <row r="4" ht="22.5" customHeight="1" s="355">
      <c r="A4" s="415" t="n"/>
      <c r="B4" s="430" t="inlineStr">
        <is>
          <t>General Accounting &amp; Sox</t>
        </is>
      </c>
      <c r="C4" s="686">
        <f>+SUM('Switzerland-FTE-2:UK-FTE-2'!$C3)</f>
        <v/>
      </c>
      <c r="D4" s="686">
        <f>+SUM('Switzerland-FTE-2:UK-FTE-2'!$D3)</f>
        <v/>
      </c>
      <c r="E4" s="686">
        <f>+SUM('Switzerland-FTE-2:UK-FTE-2'!$E3)</f>
        <v/>
      </c>
      <c r="F4" s="686">
        <f>+SUM('Switzerland-FTE-2:UK-FTE-2'!$F3)</f>
        <v/>
      </c>
      <c r="G4" s="686">
        <f>+SUM('Switzerland-FTE-2:UK-FTE-2'!$G3)</f>
        <v/>
      </c>
      <c r="H4" s="686">
        <f>+SUM('Switzerland-FTE-2:UK-FTE-2'!$H3)</f>
        <v/>
      </c>
      <c r="I4" s="686">
        <f>+SUM('Switzerland-FTE-2:UK-FTE-2'!$I3)</f>
        <v/>
      </c>
      <c r="J4" s="686">
        <f>+SUM('Switzerland-FTE-2:UK-FTE-2'!$J3)</f>
        <v/>
      </c>
    </row>
    <row r="5" ht="22.5" customHeight="1" s="355">
      <c r="A5" s="415" t="n"/>
      <c r="B5" s="566" t="inlineStr">
        <is>
          <t>Fixed Assets</t>
        </is>
      </c>
      <c r="C5" s="687">
        <f>+SUM('Switzerland-FTE-2:UK-FTE-2'!$C4)</f>
        <v/>
      </c>
      <c r="D5" s="688">
        <f>+SUM('Switzerland-FTE-2:UK-FTE-2'!$D4)</f>
        <v/>
      </c>
      <c r="E5" s="688">
        <f>+SUM('Switzerland-FTE-2:UK-FTE-2'!$E4)</f>
        <v/>
      </c>
      <c r="F5" s="688">
        <f>+SUM('Switzerland-FTE-2:UK-FTE-2'!$F4)</f>
        <v/>
      </c>
      <c r="G5" s="688">
        <f>+SUM('Switzerland-FTE-2:UK-FTE-2'!$G4)</f>
        <v/>
      </c>
      <c r="H5" s="688">
        <f>+SUM('Switzerland-FTE-2:UK-FTE-2'!$H4)</f>
        <v/>
      </c>
      <c r="I5" s="688">
        <f>+SUM('Switzerland-FTE-2:UK-FTE-2'!$I4)</f>
        <v/>
      </c>
      <c r="J5" s="688">
        <f>+SUM('Switzerland-FTE-2:UK-FTE-2'!$J4)</f>
        <v/>
      </c>
    </row>
    <row r="6" ht="22.5" customHeight="1" s="355">
      <c r="A6" s="415" t="n"/>
      <c r="B6" s="566" t="inlineStr">
        <is>
          <t>Accounts Payable</t>
        </is>
      </c>
      <c r="C6" s="687">
        <f>+SUM('Switzerland-FTE-2:UK-FTE-2'!$C5)</f>
        <v/>
      </c>
      <c r="D6" s="688">
        <f>+SUM('Switzerland-FTE-2:UK-FTE-2'!$D5)</f>
        <v/>
      </c>
      <c r="E6" s="688">
        <f>+SUM('Switzerland-FTE-2:UK-FTE-2'!$E5)</f>
        <v/>
      </c>
      <c r="F6" s="688">
        <f>+SUM('Switzerland-FTE-2:UK-FTE-2'!$F5)</f>
        <v/>
      </c>
      <c r="G6" s="688">
        <f>+SUM('Switzerland-FTE-2:UK-FTE-2'!$G5)</f>
        <v/>
      </c>
      <c r="H6" s="688">
        <f>+SUM('Switzerland-FTE-2:UK-FTE-2'!$H5)</f>
        <v/>
      </c>
      <c r="I6" s="688">
        <f>+SUM('Switzerland-FTE-2:UK-FTE-2'!$I5)</f>
        <v/>
      </c>
      <c r="J6" s="688">
        <f>+SUM('Switzerland-FTE-2:UK-FTE-2'!$J5)</f>
        <v/>
      </c>
    </row>
    <row r="7" ht="22.5" customHeight="1" s="355">
      <c r="A7" s="415" t="n"/>
      <c r="B7" s="566" t="inlineStr">
        <is>
          <t>T&amp;E</t>
        </is>
      </c>
      <c r="C7" s="687">
        <f>+SUM('Switzerland-FTE-2:UK-FTE-2'!$C6)</f>
        <v/>
      </c>
      <c r="D7" s="688">
        <f>+SUM('Switzerland-FTE-2:UK-FTE-2'!$D6)</f>
        <v/>
      </c>
      <c r="E7" s="688">
        <f>+SUM('Switzerland-FTE-2:UK-FTE-2'!$E6)</f>
        <v/>
      </c>
      <c r="F7" s="688">
        <f>+SUM('Switzerland-FTE-2:UK-FTE-2'!$F6)</f>
        <v/>
      </c>
      <c r="G7" s="688">
        <f>+SUM('Switzerland-FTE-2:UK-FTE-2'!$G6)</f>
        <v/>
      </c>
      <c r="H7" s="688">
        <f>+SUM('Switzerland-FTE-2:UK-FTE-2'!$H6)</f>
        <v/>
      </c>
      <c r="I7" s="688">
        <f>+SUM('Switzerland-FTE-2:UK-FTE-2'!$I6)</f>
        <v/>
      </c>
      <c r="J7" s="688">
        <f>+SUM('Switzerland-FTE-2:UK-FTE-2'!$J6)</f>
        <v/>
      </c>
    </row>
    <row r="8" ht="22.5" customHeight="1" s="355">
      <c r="A8" s="415" t="n"/>
      <c r="B8" s="566" t="inlineStr">
        <is>
          <t>Order to Cash</t>
        </is>
      </c>
      <c r="C8" s="687">
        <f>+SUM('Switzerland-FTE-2:UK-FTE-2'!$C7)</f>
        <v/>
      </c>
      <c r="D8" s="688">
        <f>+SUM('Switzerland-FTE-2:UK-FTE-2'!$D7)</f>
        <v/>
      </c>
      <c r="E8" s="688">
        <f>+SUM('Switzerland-FTE-2:UK-FTE-2'!$E7)</f>
        <v/>
      </c>
      <c r="F8" s="688">
        <f>+SUM('Switzerland-FTE-2:UK-FTE-2'!$F7)</f>
        <v/>
      </c>
      <c r="G8" s="688">
        <f>+SUM('Switzerland-FTE-2:UK-FTE-2'!$G7)</f>
        <v/>
      </c>
      <c r="H8" s="688">
        <f>+SUM('Switzerland-FTE-2:UK-FTE-2'!$H7)</f>
        <v/>
      </c>
      <c r="I8" s="688">
        <f>+SUM('Switzerland-FTE-2:UK-FTE-2'!$I7)</f>
        <v/>
      </c>
      <c r="J8" s="688">
        <f>+SUM('Switzerland-FTE-2:UK-FTE-2'!$J7)</f>
        <v/>
      </c>
      <c r="K8" s="354" t="n"/>
      <c r="L8" s="354" t="n"/>
      <c r="M8" s="354" t="n"/>
      <c r="N8" s="354" t="n"/>
      <c r="O8" s="354" t="n"/>
      <c r="P8" s="354" t="n"/>
      <c r="Q8" s="354" t="n"/>
      <c r="R8" s="354" t="n"/>
      <c r="S8" s="354" t="n"/>
      <c r="T8" s="354" t="n"/>
      <c r="U8" s="354" t="n"/>
      <c r="V8" s="354" t="n"/>
      <c r="W8" s="354" t="n"/>
    </row>
    <row r="9" ht="22.5" customHeight="1" s="355">
      <c r="A9" s="415" t="n"/>
      <c r="B9" s="566" t="inlineStr">
        <is>
          <t>Requistion to Pay</t>
        </is>
      </c>
      <c r="C9" s="687">
        <f>+SUM('Switzerland-FTE-2:UK-FTE-2'!$C8)</f>
        <v/>
      </c>
      <c r="D9" s="688">
        <f>+SUM('Switzerland-FTE-2:UK-FTE-2'!$D8)</f>
        <v/>
      </c>
      <c r="E9" s="688">
        <f>+SUM('Switzerland-FTE-2:UK-FTE-2'!$E8)</f>
        <v/>
      </c>
      <c r="F9" s="688">
        <f>+SUM('Switzerland-FTE-2:UK-FTE-2'!$F8)</f>
        <v/>
      </c>
      <c r="G9" s="688">
        <f>+SUM('Switzerland-FTE-2:UK-FTE-2'!$G8)</f>
        <v/>
      </c>
      <c r="H9" s="688">
        <f>+SUM('Switzerland-FTE-2:UK-FTE-2'!$H8)</f>
        <v/>
      </c>
      <c r="I9" s="688">
        <f>+SUM('Switzerland-FTE-2:UK-FTE-2'!$I8)</f>
        <v/>
      </c>
      <c r="J9" s="688">
        <f>+SUM('Switzerland-FTE-2:UK-FTE-2'!$J8)</f>
        <v/>
      </c>
    </row>
    <row r="10" ht="22.5" customHeight="1" s="355">
      <c r="A10" s="415" t="n"/>
      <c r="B10" s="422" t="inlineStr">
        <is>
          <t>Total FTEs All Countries</t>
        </is>
      </c>
      <c r="C10" s="674">
        <f>SUM(C4:C9)</f>
        <v/>
      </c>
      <c r="D10" s="674">
        <f>SUM(D4:D9)</f>
        <v/>
      </c>
      <c r="E10" s="674">
        <f>SUM(E4:E9)</f>
        <v/>
      </c>
      <c r="F10" s="674">
        <f>SUM(F4:F9)</f>
        <v/>
      </c>
      <c r="G10" s="674">
        <f>SUM(G4:G9)</f>
        <v/>
      </c>
      <c r="H10" s="674">
        <f>SUM(H4:H9)</f>
        <v/>
      </c>
      <c r="I10" s="674">
        <f>SUM(I4:I9)</f>
        <v/>
      </c>
      <c r="J10" s="674">
        <f>SUM(J4:J9)</f>
        <v/>
      </c>
    </row>
    <row r="11" ht="22.5" customHeight="1" s="355">
      <c r="A11" s="415" t="n"/>
      <c r="B11" s="416" t="inlineStr">
        <is>
          <t>General Accounting &amp; Sox</t>
        </is>
      </c>
      <c r="C11" s="650" t="n"/>
      <c r="D11" s="651" t="n"/>
      <c r="E11" s="651" t="n"/>
      <c r="F11" s="651" t="n"/>
      <c r="G11" s="651" t="n"/>
      <c r="H11" s="651" t="n"/>
      <c r="I11" s="651" t="n"/>
      <c r="J11" s="651" t="n"/>
    </row>
    <row r="12" ht="22.5" customHeight="1" s="355">
      <c r="A12" s="415" t="n"/>
      <c r="B12" s="419" t="inlineStr">
        <is>
          <t xml:space="preserve">  Switzerland</t>
        </is>
      </c>
      <c r="C12" s="673">
        <f>'Switzerland-FTE-2'!$C$3</f>
        <v/>
      </c>
      <c r="D12" s="673">
        <f>'Switzerland-FTE-2'!$D$3</f>
        <v/>
      </c>
      <c r="E12" s="673">
        <f>'Switzerland-FTE-2'!$E$3</f>
        <v/>
      </c>
      <c r="F12" s="673">
        <f>'Switzerland-FTE-2'!$F$3</f>
        <v/>
      </c>
      <c r="G12" s="673">
        <f>'Switzerland-FTE-2'!$G$3</f>
        <v/>
      </c>
      <c r="H12" s="673">
        <f>'Switzerland-FTE-2'!$H$3</f>
        <v/>
      </c>
      <c r="I12" s="673">
        <f>'Switzerland-FTE-2'!$I$3</f>
        <v/>
      </c>
      <c r="J12" s="673">
        <f>'Switzerland-FTE-2'!$J$3</f>
        <v/>
      </c>
    </row>
    <row r="13" ht="22.5" customHeight="1" s="355">
      <c r="A13" s="415" t="n"/>
      <c r="B13" s="419" t="inlineStr">
        <is>
          <t xml:space="preserve">  United States</t>
        </is>
      </c>
      <c r="C13" s="673">
        <f>'US-FTE-2'!$C$3</f>
        <v/>
      </c>
      <c r="D13" s="673">
        <f>'US-FTE-2'!$D$3</f>
        <v/>
      </c>
      <c r="E13" s="673">
        <f>'US-FTE-2'!$E$3</f>
        <v/>
      </c>
      <c r="F13" s="673">
        <f>'US-FTE-2'!$F$3</f>
        <v/>
      </c>
      <c r="G13" s="673">
        <f>'US-FTE-2'!$G$3</f>
        <v/>
      </c>
      <c r="H13" s="673">
        <f>'US-FTE-2'!$H$3</f>
        <v/>
      </c>
      <c r="I13" s="673">
        <f>'US-FTE-2'!$I$3</f>
        <v/>
      </c>
      <c r="J13" s="673">
        <f>'US-FTE-2'!$J$3</f>
        <v/>
      </c>
    </row>
    <row r="14" ht="22.5" customHeight="1" s="355">
      <c r="A14" s="415" t="n"/>
      <c r="B14" s="419" t="inlineStr">
        <is>
          <t xml:space="preserve">  France</t>
        </is>
      </c>
      <c r="C14" s="673">
        <f>'France-FTE-2'!$C$3</f>
        <v/>
      </c>
      <c r="D14" s="673">
        <f>'France-FTE-2'!$D$3</f>
        <v/>
      </c>
      <c r="E14" s="673">
        <f>'France-FTE-2'!$E$3</f>
        <v/>
      </c>
      <c r="F14" s="673">
        <f>'France-FTE-2'!$F$3</f>
        <v/>
      </c>
      <c r="G14" s="673">
        <f>'France-FTE-2'!$G$3</f>
        <v/>
      </c>
      <c r="H14" s="673">
        <f>'France-FTE-2'!$H$3</f>
        <v/>
      </c>
      <c r="I14" s="673">
        <f>'France-FTE-2'!$I$3</f>
        <v/>
      </c>
      <c r="J14" s="673">
        <f>'France-FTE-2'!$J$3</f>
        <v/>
      </c>
    </row>
    <row r="15" ht="22.5" customHeight="1" s="355">
      <c r="A15" s="415" t="n"/>
      <c r="B15" s="419" t="inlineStr">
        <is>
          <t xml:space="preserve">  Germany </t>
        </is>
      </c>
      <c r="C15" s="673">
        <f>'Germany-FTE-2'!$C$3</f>
        <v/>
      </c>
      <c r="D15" s="673">
        <f>'Germany-FTE-2'!$D$3</f>
        <v/>
      </c>
      <c r="E15" s="673">
        <f>'Germany-FTE-2'!$E$3</f>
        <v/>
      </c>
      <c r="F15" s="673">
        <f>'Germany-FTE-2'!$F$3</f>
        <v/>
      </c>
      <c r="G15" s="673">
        <f>'Germany-FTE-2'!$G$3</f>
        <v/>
      </c>
      <c r="H15" s="673">
        <f>'Germany-FTE-2'!$H$3</f>
        <v/>
      </c>
      <c r="I15" s="673">
        <f>'Germany-FTE-2'!$I$3</f>
        <v/>
      </c>
      <c r="J15" s="673">
        <f>'Germany-FTE-2'!$J$3</f>
        <v/>
      </c>
    </row>
    <row r="16" ht="22.5" customHeight="1" s="355">
      <c r="A16" s="415" t="n"/>
      <c r="B16" s="419" t="inlineStr">
        <is>
          <t xml:space="preserve">  Germany Production</t>
        </is>
      </c>
      <c r="C16" s="673">
        <f>'Germany Production-FTE-2'!$C$3</f>
        <v/>
      </c>
      <c r="D16" s="673">
        <f>'Germany Production-FTE-2'!$D$3</f>
        <v/>
      </c>
      <c r="E16" s="673">
        <f>'Germany Production-FTE-2'!$E$3</f>
        <v/>
      </c>
      <c r="F16" s="673">
        <f>'Germany Production-FTE-2'!$F$3</f>
        <v/>
      </c>
      <c r="G16" s="673">
        <f>'Germany Production-FTE-2'!$G$3</f>
        <v/>
      </c>
      <c r="H16" s="673">
        <f>'Germany Production-FTE-2'!$H$3</f>
        <v/>
      </c>
      <c r="I16" s="673">
        <f>'Germany Production-FTE-2'!$I$3</f>
        <v/>
      </c>
      <c r="J16" s="673">
        <f>'Germany Production-FTE-2'!$J$3</f>
        <v/>
      </c>
    </row>
    <row r="17" ht="22.5" customHeight="1" s="355">
      <c r="A17" s="415" t="n"/>
      <c r="B17" s="419" t="inlineStr">
        <is>
          <t xml:space="preserve">  Spain</t>
        </is>
      </c>
      <c r="C17" s="673">
        <f>'Spain-FTE-2'!$C$3</f>
        <v/>
      </c>
      <c r="D17" s="673">
        <f>'Spain-FTE-2'!$D$3</f>
        <v/>
      </c>
      <c r="E17" s="673">
        <f>'Spain-FTE-2'!$E$3</f>
        <v/>
      </c>
      <c r="F17" s="673">
        <f>'Spain-FTE-2'!$F$3</f>
        <v/>
      </c>
      <c r="G17" s="673">
        <f>'Spain-FTE-2'!$G$3</f>
        <v/>
      </c>
      <c r="H17" s="673">
        <f>'Spain-FTE-2'!$H$3</f>
        <v/>
      </c>
      <c r="I17" s="673">
        <f>'Spain-FTE-2'!$I$3</f>
        <v/>
      </c>
      <c r="J17" s="673">
        <f>'Spain-FTE-2'!$J$3</f>
        <v/>
      </c>
    </row>
    <row r="18" ht="22.5" customHeight="1" s="355">
      <c r="A18" s="415" t="n"/>
      <c r="B18" s="419" t="inlineStr">
        <is>
          <t xml:space="preserve">  Italy</t>
        </is>
      </c>
      <c r="C18" s="673">
        <f>'Italy-FTE-2'!$C$3</f>
        <v/>
      </c>
      <c r="D18" s="673">
        <f>'Italy-FTE-2'!$D$3</f>
        <v/>
      </c>
      <c r="E18" s="673">
        <f>'Italy-FTE-2'!$E$3</f>
        <v/>
      </c>
      <c r="F18" s="673">
        <f>'Italy-FTE-2'!$F$3</f>
        <v/>
      </c>
      <c r="G18" s="673">
        <f>'Italy-FTE-2'!$G$3</f>
        <v/>
      </c>
      <c r="H18" s="673">
        <f>'Italy-FTE-2'!$H$3</f>
        <v/>
      </c>
      <c r="I18" s="673">
        <f>'Italy-FTE-2'!$I$3</f>
        <v/>
      </c>
      <c r="J18" s="673">
        <f>'Italy-FTE-2'!$J$3</f>
        <v/>
      </c>
    </row>
    <row r="19" ht="22.5" customHeight="1" s="355">
      <c r="A19" s="415" t="n"/>
      <c r="B19" s="421" t="inlineStr">
        <is>
          <t xml:space="preserve">  United Kingdom</t>
        </is>
      </c>
      <c r="C19" s="687">
        <f>'UK-FTE-2'!$C$3</f>
        <v/>
      </c>
      <c r="D19" s="687">
        <f>'UK-FTE-2'!$D$3</f>
        <v/>
      </c>
      <c r="E19" s="687">
        <f>'UK-FTE-2'!$E$3</f>
        <v/>
      </c>
      <c r="F19" s="687">
        <f>'UK-FTE-2'!$F$3</f>
        <v/>
      </c>
      <c r="G19" s="687">
        <f>'UK-FTE-2'!$G$3</f>
        <v/>
      </c>
      <c r="H19" s="687">
        <f>'UK-FTE-2'!$H$3</f>
        <v/>
      </c>
      <c r="I19" s="687">
        <f>'UK-FTE-2'!$I$3</f>
        <v/>
      </c>
      <c r="J19" s="687">
        <f>'UK-FTE-2'!$J$3</f>
        <v/>
      </c>
    </row>
    <row r="20" ht="22.5" customHeight="1" s="355">
      <c r="A20" s="415" t="n"/>
      <c r="B20" s="435" t="inlineStr">
        <is>
          <t xml:space="preserve">                Sub Total</t>
        </is>
      </c>
      <c r="C20" s="683">
        <f>SUM(C12:C19)</f>
        <v/>
      </c>
      <c r="D20" s="683">
        <f>SUM(D12:D19)</f>
        <v/>
      </c>
      <c r="E20" s="683">
        <f>SUM(E12:E19)</f>
        <v/>
      </c>
      <c r="F20" s="683">
        <f>SUM(F12:F19)</f>
        <v/>
      </c>
      <c r="G20" s="683">
        <f>SUM(G12:G19)</f>
        <v/>
      </c>
      <c r="H20" s="683">
        <f>SUM(H12:H19)</f>
        <v/>
      </c>
      <c r="I20" s="683">
        <f>SUM(I12:I19)</f>
        <v/>
      </c>
      <c r="J20" s="683">
        <f>SUM(J12:J19)</f>
        <v/>
      </c>
    </row>
    <row r="21" ht="22.5" customHeight="1" s="355">
      <c r="A21" s="415" t="n"/>
      <c r="B21" s="416" t="inlineStr">
        <is>
          <t>Fixed Assets</t>
        </is>
      </c>
      <c r="C21" s="650" t="n"/>
      <c r="D21" s="651" t="n"/>
      <c r="E21" s="651" t="n"/>
      <c r="F21" s="651" t="n"/>
      <c r="G21" s="651" t="n"/>
      <c r="H21" s="651" t="n"/>
      <c r="I21" s="651" t="n"/>
      <c r="J21" s="651" t="n"/>
    </row>
    <row r="22" ht="22.5" customHeight="1" s="355">
      <c r="A22" s="415" t="n"/>
      <c r="B22" s="419" t="inlineStr">
        <is>
          <t xml:space="preserve">  Switzerland</t>
        </is>
      </c>
      <c r="C22" s="673">
        <f>'Switzerland-FTE-2'!$C$4</f>
        <v/>
      </c>
      <c r="D22" s="673">
        <f>'Switzerland-FTE-2'!$D$4</f>
        <v/>
      </c>
      <c r="E22" s="673">
        <f>'Switzerland-FTE-2'!$E$4</f>
        <v/>
      </c>
      <c r="F22" s="673">
        <f>'Switzerland-FTE-2'!$F$4</f>
        <v/>
      </c>
      <c r="G22" s="673">
        <f>'Switzerland-FTE-2'!$G$4</f>
        <v/>
      </c>
      <c r="H22" s="673">
        <f>'Switzerland-FTE-2'!$H$4</f>
        <v/>
      </c>
      <c r="I22" s="673">
        <f>'Switzerland-FTE-2'!$I$4</f>
        <v/>
      </c>
      <c r="J22" s="673">
        <f>'Switzerland-FTE-2'!$J$4</f>
        <v/>
      </c>
    </row>
    <row r="23" ht="22.5" customHeight="1" s="355">
      <c r="A23" s="415" t="n"/>
      <c r="B23" s="419" t="inlineStr">
        <is>
          <t xml:space="preserve">  United States</t>
        </is>
      </c>
      <c r="C23" s="673">
        <f>'US-FTE-2'!$C$4</f>
        <v/>
      </c>
      <c r="D23" s="673">
        <f>'US-FTE-2'!$D$4</f>
        <v/>
      </c>
      <c r="E23" s="673">
        <f>'US-FTE-2'!$E$4</f>
        <v/>
      </c>
      <c r="F23" s="673">
        <f>'US-FTE-2'!$F$4</f>
        <v/>
      </c>
      <c r="G23" s="673">
        <f>'US-FTE-2'!$G$4</f>
        <v/>
      </c>
      <c r="H23" s="673">
        <f>'US-FTE-2'!$H$4</f>
        <v/>
      </c>
      <c r="I23" s="673">
        <f>'US-FTE-2'!$I$4</f>
        <v/>
      </c>
      <c r="J23" s="673">
        <f>'US-FTE-2'!$J$4</f>
        <v/>
      </c>
    </row>
    <row r="24" ht="22.5" customHeight="1" s="355">
      <c r="A24" s="415" t="n"/>
      <c r="B24" s="419" t="inlineStr">
        <is>
          <t xml:space="preserve">  France</t>
        </is>
      </c>
      <c r="C24" s="673">
        <f>'France-FTE-2'!$C$4</f>
        <v/>
      </c>
      <c r="D24" s="673">
        <f>'France-FTE-2'!$D$4</f>
        <v/>
      </c>
      <c r="E24" s="673">
        <f>'France-FTE-2'!$E$4</f>
        <v/>
      </c>
      <c r="F24" s="673">
        <f>'France-FTE-2'!$F$4</f>
        <v/>
      </c>
      <c r="G24" s="673">
        <f>'France-FTE-2'!$G$4</f>
        <v/>
      </c>
      <c r="H24" s="673">
        <f>'France-FTE-2'!$H$4</f>
        <v/>
      </c>
      <c r="I24" s="673">
        <f>'France-FTE-2'!$I$4</f>
        <v/>
      </c>
      <c r="J24" s="673">
        <f>'France-FTE-2'!$J$4</f>
        <v/>
      </c>
    </row>
    <row r="25" ht="22.5" customHeight="1" s="355">
      <c r="A25" s="415" t="n"/>
      <c r="B25" s="419" t="inlineStr">
        <is>
          <t xml:space="preserve">  Germany </t>
        </is>
      </c>
      <c r="C25" s="673">
        <f>'Germany-FTE-2'!$C$4</f>
        <v/>
      </c>
      <c r="D25" s="673">
        <f>'Germany-FTE-2'!$D$4</f>
        <v/>
      </c>
      <c r="E25" s="673">
        <f>'Germany-FTE-2'!$E$4</f>
        <v/>
      </c>
      <c r="F25" s="673">
        <f>'Germany-FTE-2'!$F$4</f>
        <v/>
      </c>
      <c r="G25" s="673">
        <f>'Germany-FTE-2'!$G$4</f>
        <v/>
      </c>
      <c r="H25" s="673">
        <f>'Germany-FTE-2'!$H$4</f>
        <v/>
      </c>
      <c r="I25" s="673">
        <f>'Germany-FTE-2'!$I$4</f>
        <v/>
      </c>
      <c r="J25" s="673">
        <f>'Germany-FTE-2'!$J$4</f>
        <v/>
      </c>
    </row>
    <row r="26" ht="22.5" customHeight="1" s="355">
      <c r="A26" s="415" t="n"/>
      <c r="B26" s="419" t="inlineStr">
        <is>
          <t xml:space="preserve">  Germany Production</t>
        </is>
      </c>
      <c r="C26" s="673">
        <f>'Germany Production-FTE-2'!$C$4</f>
        <v/>
      </c>
      <c r="D26" s="673">
        <f>'Germany Production-FTE-2'!$D$4</f>
        <v/>
      </c>
      <c r="E26" s="673">
        <f>'Germany Production-FTE-2'!$E$4</f>
        <v/>
      </c>
      <c r="F26" s="673">
        <f>'Germany Production-FTE-2'!$F$4</f>
        <v/>
      </c>
      <c r="G26" s="673">
        <f>'Germany Production-FTE-2'!$G$4</f>
        <v/>
      </c>
      <c r="H26" s="673">
        <f>'Germany Production-FTE-2'!$H$4</f>
        <v/>
      </c>
      <c r="I26" s="673">
        <f>'Germany Production-FTE-2'!$I$4</f>
        <v/>
      </c>
      <c r="J26" s="673">
        <f>'Germany Production-FTE-2'!$J$4</f>
        <v/>
      </c>
    </row>
    <row r="27" ht="22.5" customHeight="1" s="355">
      <c r="A27" s="415" t="n"/>
      <c r="B27" s="419" t="inlineStr">
        <is>
          <t xml:space="preserve">  Spain</t>
        </is>
      </c>
      <c r="C27" s="673">
        <f>'Spain-FTE-2'!$C$4</f>
        <v/>
      </c>
      <c r="D27" s="673">
        <f>'Spain-FTE-2'!$D$4</f>
        <v/>
      </c>
      <c r="E27" s="673">
        <f>'Spain-FTE-2'!$E$4</f>
        <v/>
      </c>
      <c r="F27" s="673">
        <f>'Spain-FTE-2'!$F$4</f>
        <v/>
      </c>
      <c r="G27" s="673">
        <f>'Spain-FTE-2'!$G$4</f>
        <v/>
      </c>
      <c r="H27" s="673">
        <f>'Spain-FTE-2'!$H$4</f>
        <v/>
      </c>
      <c r="I27" s="673">
        <f>'Spain-FTE-2'!$I$4</f>
        <v/>
      </c>
      <c r="J27" s="673">
        <f>'Spain-FTE-2'!$J$4</f>
        <v/>
      </c>
    </row>
    <row r="28" ht="22.5" customHeight="1" s="355">
      <c r="A28" s="415" t="n"/>
      <c r="B28" s="419" t="inlineStr">
        <is>
          <t xml:space="preserve">  Italy</t>
        </is>
      </c>
      <c r="C28" s="673">
        <f>'Italy-FTE-2'!$C$4</f>
        <v/>
      </c>
      <c r="D28" s="673">
        <f>'Italy-FTE-2'!$D$4</f>
        <v/>
      </c>
      <c r="E28" s="673">
        <f>'Italy-FTE-2'!$E$4</f>
        <v/>
      </c>
      <c r="F28" s="673">
        <f>'Italy-FTE-2'!$F$4</f>
        <v/>
      </c>
      <c r="G28" s="673">
        <f>'Italy-FTE-2'!$G$4</f>
        <v/>
      </c>
      <c r="H28" s="673">
        <f>'Italy-FTE-2'!$H$4</f>
        <v/>
      </c>
      <c r="I28" s="673">
        <f>'Italy-FTE-2'!$I$4</f>
        <v/>
      </c>
      <c r="J28" s="673">
        <f>'Italy-FTE-2'!$J$4</f>
        <v/>
      </c>
    </row>
    <row r="29" ht="22.5" customHeight="1" s="355">
      <c r="A29" s="415" t="n"/>
      <c r="B29" s="421" t="inlineStr">
        <is>
          <t xml:space="preserve">  United Kingdom</t>
        </is>
      </c>
      <c r="C29" s="687">
        <f>'UK-FTE-2'!$C$4</f>
        <v/>
      </c>
      <c r="D29" s="687">
        <f>'UK-FTE-2'!$D$4</f>
        <v/>
      </c>
      <c r="E29" s="687">
        <f>'UK-FTE-2'!$E$4</f>
        <v/>
      </c>
      <c r="F29" s="687">
        <f>'UK-FTE-2'!$F$4</f>
        <v/>
      </c>
      <c r="G29" s="687">
        <f>'UK-FTE-2'!$G$4</f>
        <v/>
      </c>
      <c r="H29" s="687">
        <f>'UK-FTE-2'!$H$4</f>
        <v/>
      </c>
      <c r="I29" s="687">
        <f>'UK-FTE-2'!$I$4</f>
        <v/>
      </c>
      <c r="J29" s="687">
        <f>'UK-FTE-2'!$J$4</f>
        <v/>
      </c>
    </row>
    <row r="30" ht="22.5" customHeight="1" s="355">
      <c r="A30" s="415" t="n"/>
      <c r="B30" s="435" t="inlineStr">
        <is>
          <t xml:space="preserve">                Sub Total</t>
        </is>
      </c>
      <c r="C30" s="683">
        <f>SUM(C22:C29)</f>
        <v/>
      </c>
      <c r="D30" s="683">
        <f>SUM(D22:D29)</f>
        <v/>
      </c>
      <c r="E30" s="683">
        <f>SUM(E22:E29)</f>
        <v/>
      </c>
      <c r="F30" s="683">
        <f>SUM(F22:F29)</f>
        <v/>
      </c>
      <c r="G30" s="683">
        <f>SUM(G22:G29)</f>
        <v/>
      </c>
      <c r="H30" s="683">
        <f>SUM(H22:H29)</f>
        <v/>
      </c>
      <c r="I30" s="683">
        <f>SUM(I22:I29)</f>
        <v/>
      </c>
      <c r="J30" s="683">
        <f>SUM(J22:J29)</f>
        <v/>
      </c>
    </row>
    <row r="31" ht="22.5" customHeight="1" s="355">
      <c r="A31" s="415" t="n"/>
      <c r="B31" s="416" t="inlineStr">
        <is>
          <t>Accounts Payable</t>
        </is>
      </c>
      <c r="C31" s="650" t="n"/>
      <c r="D31" s="651" t="n"/>
      <c r="E31" s="651" t="n"/>
      <c r="F31" s="651" t="n"/>
      <c r="G31" s="651" t="n"/>
      <c r="H31" s="651" t="n"/>
      <c r="I31" s="651" t="n"/>
      <c r="J31" s="651" t="n"/>
    </row>
    <row r="32" ht="22.5" customHeight="1" s="355">
      <c r="A32" s="415" t="n"/>
      <c r="B32" s="419" t="inlineStr">
        <is>
          <t xml:space="preserve">  Switzerland</t>
        </is>
      </c>
      <c r="C32" s="673">
        <f>'Switzerland-FTE-2'!$C$5</f>
        <v/>
      </c>
      <c r="D32" s="673">
        <f>'Switzerland-FTE-2'!$D$5</f>
        <v/>
      </c>
      <c r="E32" s="673">
        <f>'Switzerland-FTE-2'!$E$5</f>
        <v/>
      </c>
      <c r="F32" s="673">
        <f>'Switzerland-FTE-2'!$F$5</f>
        <v/>
      </c>
      <c r="G32" s="673">
        <f>'Switzerland-FTE-2'!$G$5</f>
        <v/>
      </c>
      <c r="H32" s="673">
        <f>'Switzerland-FTE-2'!$H$5</f>
        <v/>
      </c>
      <c r="I32" s="673">
        <f>'Switzerland-FTE-2'!$I$5</f>
        <v/>
      </c>
      <c r="J32" s="673">
        <f>'Switzerland-FTE-2'!$J$5</f>
        <v/>
      </c>
    </row>
    <row r="33" ht="22.5" customHeight="1" s="355">
      <c r="A33" s="415" t="n"/>
      <c r="B33" s="419" t="inlineStr">
        <is>
          <t xml:space="preserve">  United States</t>
        </is>
      </c>
      <c r="C33" s="673">
        <f>'US-FTE-2'!$C$5</f>
        <v/>
      </c>
      <c r="D33" s="673">
        <f>'US-FTE-2'!$D$5</f>
        <v/>
      </c>
      <c r="E33" s="673">
        <f>'US-FTE-2'!$E$5</f>
        <v/>
      </c>
      <c r="F33" s="673">
        <f>'US-FTE-2'!$F$5</f>
        <v/>
      </c>
      <c r="G33" s="673">
        <f>'US-FTE-2'!$G$5</f>
        <v/>
      </c>
      <c r="H33" s="673">
        <f>'US-FTE-2'!$H$5</f>
        <v/>
      </c>
      <c r="I33" s="673">
        <f>'US-FTE-2'!$I$5</f>
        <v/>
      </c>
      <c r="J33" s="673">
        <f>'US-FTE-2'!$J$5</f>
        <v/>
      </c>
    </row>
    <row r="34" ht="22.5" customHeight="1" s="355">
      <c r="A34" s="415" t="n"/>
      <c r="B34" s="419" t="inlineStr">
        <is>
          <t xml:space="preserve">  France</t>
        </is>
      </c>
      <c r="C34" s="673">
        <f>'France-FTE-2'!$C$5</f>
        <v/>
      </c>
      <c r="D34" s="673">
        <f>'France-FTE-2'!$D$5</f>
        <v/>
      </c>
      <c r="E34" s="673">
        <f>'France-FTE-2'!$E$5</f>
        <v/>
      </c>
      <c r="F34" s="673">
        <f>'France-FTE-2'!$F$5</f>
        <v/>
      </c>
      <c r="G34" s="673">
        <f>'France-FTE-2'!$G$5</f>
        <v/>
      </c>
      <c r="H34" s="673">
        <f>'France-FTE-2'!$H$5</f>
        <v/>
      </c>
      <c r="I34" s="673">
        <f>'France-FTE-2'!$I$5</f>
        <v/>
      </c>
      <c r="J34" s="673">
        <f>'France-FTE-2'!$J$5</f>
        <v/>
      </c>
    </row>
    <row r="35" ht="22.5" customHeight="1" s="355">
      <c r="A35" s="415" t="n"/>
      <c r="B35" s="419" t="inlineStr">
        <is>
          <t xml:space="preserve">  Germany </t>
        </is>
      </c>
      <c r="C35" s="673">
        <f>'Germany-FTE-2'!$C$5</f>
        <v/>
      </c>
      <c r="D35" s="673">
        <f>'Germany-FTE-2'!$D$5</f>
        <v/>
      </c>
      <c r="E35" s="673">
        <f>'Germany-FTE-2'!$E$5</f>
        <v/>
      </c>
      <c r="F35" s="673">
        <f>'Germany-FTE-2'!$F$5</f>
        <v/>
      </c>
      <c r="G35" s="673">
        <f>'Germany-FTE-2'!$G$5</f>
        <v/>
      </c>
      <c r="H35" s="673">
        <f>'Germany-FTE-2'!$H$5</f>
        <v/>
      </c>
      <c r="I35" s="673">
        <f>'Germany-FTE-2'!$I$5</f>
        <v/>
      </c>
      <c r="J35" s="673">
        <f>'Germany-FTE-2'!$J$5</f>
        <v/>
      </c>
    </row>
    <row r="36" ht="22.5" customHeight="1" s="355">
      <c r="A36" s="415" t="n"/>
      <c r="B36" s="419" t="inlineStr">
        <is>
          <t xml:space="preserve">  Germany Production</t>
        </is>
      </c>
      <c r="C36" s="673">
        <f>'Germany Production-FTE-2'!$C$5</f>
        <v/>
      </c>
      <c r="D36" s="673">
        <f>'Germany Production-FTE-2'!$D$5</f>
        <v/>
      </c>
      <c r="E36" s="673">
        <f>'Germany Production-FTE-2'!$E$5</f>
        <v/>
      </c>
      <c r="F36" s="673">
        <f>'Germany Production-FTE-2'!$F$5</f>
        <v/>
      </c>
      <c r="G36" s="673">
        <f>'Germany Production-FTE-2'!$G$5</f>
        <v/>
      </c>
      <c r="H36" s="673">
        <f>'Germany Production-FTE-2'!$H$5</f>
        <v/>
      </c>
      <c r="I36" s="673">
        <f>'Germany Production-FTE-2'!$I$5</f>
        <v/>
      </c>
      <c r="J36" s="673">
        <f>'Germany Production-FTE-2'!$J$5</f>
        <v/>
      </c>
    </row>
    <row r="37" ht="22.5" customHeight="1" s="355">
      <c r="A37" s="415" t="n"/>
      <c r="B37" s="419" t="inlineStr">
        <is>
          <t xml:space="preserve">  Spain</t>
        </is>
      </c>
      <c r="C37" s="673">
        <f>'Spain-FTE-2'!$C$5</f>
        <v/>
      </c>
      <c r="D37" s="673">
        <f>'Spain-FTE-2'!$D$5</f>
        <v/>
      </c>
      <c r="E37" s="673">
        <f>'Spain-FTE-2'!$E$5</f>
        <v/>
      </c>
      <c r="F37" s="673">
        <f>'Spain-FTE-2'!$F$5</f>
        <v/>
      </c>
      <c r="G37" s="673">
        <f>'Spain-FTE-2'!$G$5</f>
        <v/>
      </c>
      <c r="H37" s="673">
        <f>'Spain-FTE-2'!$H$5</f>
        <v/>
      </c>
      <c r="I37" s="673">
        <f>'Spain-FTE-2'!$I$5</f>
        <v/>
      </c>
      <c r="J37" s="673">
        <f>'Spain-FTE-2'!$J$5</f>
        <v/>
      </c>
    </row>
    <row r="38" ht="22.5" customHeight="1" s="355">
      <c r="A38" s="415" t="n"/>
      <c r="B38" s="419" t="inlineStr">
        <is>
          <t xml:space="preserve">  Italy</t>
        </is>
      </c>
      <c r="C38" s="673">
        <f>'Italy-FTE-2'!$C$5</f>
        <v/>
      </c>
      <c r="D38" s="673">
        <f>'Italy-FTE-2'!$D$5</f>
        <v/>
      </c>
      <c r="E38" s="673">
        <f>'Italy-FTE-2'!$E$5</f>
        <v/>
      </c>
      <c r="F38" s="673">
        <f>'Italy-FTE-2'!$F$5</f>
        <v/>
      </c>
      <c r="G38" s="673">
        <f>'Italy-FTE-2'!$G$5</f>
        <v/>
      </c>
      <c r="H38" s="673">
        <f>'Italy-FTE-2'!$H$5</f>
        <v/>
      </c>
      <c r="I38" s="673">
        <f>'Italy-FTE-2'!$I$5</f>
        <v/>
      </c>
      <c r="J38" s="673">
        <f>'Italy-FTE-2'!$J$5</f>
        <v/>
      </c>
    </row>
    <row r="39" ht="22.5" customHeight="1" s="355">
      <c r="A39" s="415" t="n"/>
      <c r="B39" s="421" t="inlineStr">
        <is>
          <t xml:space="preserve">  United Kingdom</t>
        </is>
      </c>
      <c r="C39" s="687">
        <f>'UK-FTE-2'!$C$5</f>
        <v/>
      </c>
      <c r="D39" s="687">
        <f>'UK-FTE-2'!$D$5</f>
        <v/>
      </c>
      <c r="E39" s="687">
        <f>'UK-FTE-2'!$E$5</f>
        <v/>
      </c>
      <c r="F39" s="687">
        <f>'UK-FTE-2'!$F$5</f>
        <v/>
      </c>
      <c r="G39" s="687">
        <f>'UK-FTE-2'!$G$5</f>
        <v/>
      </c>
      <c r="H39" s="687">
        <f>'UK-FTE-2'!$H$5</f>
        <v/>
      </c>
      <c r="I39" s="687">
        <f>'UK-FTE-2'!$I$5</f>
        <v/>
      </c>
      <c r="J39" s="687">
        <f>'UK-FTE-2'!$J$5</f>
        <v/>
      </c>
    </row>
    <row r="40" ht="22.5" customHeight="1" s="355">
      <c r="A40" s="415" t="n"/>
      <c r="B40" s="435" t="inlineStr">
        <is>
          <t xml:space="preserve">                Sub Total</t>
        </is>
      </c>
      <c r="C40" s="683">
        <f>SUM(C32:C39)</f>
        <v/>
      </c>
      <c r="D40" s="683">
        <f>SUM(D32:D39)</f>
        <v/>
      </c>
      <c r="E40" s="683">
        <f>SUM(E32:E39)</f>
        <v/>
      </c>
      <c r="F40" s="683">
        <f>SUM(F32:F39)</f>
        <v/>
      </c>
      <c r="G40" s="683">
        <f>SUM(G32:G39)</f>
        <v/>
      </c>
      <c r="H40" s="683">
        <f>SUM(H32:H39)</f>
        <v/>
      </c>
      <c r="I40" s="683">
        <f>SUM(I32:I39)</f>
        <v/>
      </c>
      <c r="J40" s="683">
        <f>SUM(J32:J39)</f>
        <v/>
      </c>
    </row>
    <row r="41" ht="22.5" customHeight="1" s="355">
      <c r="A41" s="415" t="n"/>
      <c r="B41" s="416" t="inlineStr">
        <is>
          <t>T&amp;E</t>
        </is>
      </c>
      <c r="C41" s="650" t="n"/>
      <c r="D41" s="651" t="n"/>
      <c r="E41" s="651" t="n"/>
      <c r="F41" s="651" t="n"/>
      <c r="G41" s="651" t="n"/>
      <c r="H41" s="651" t="n"/>
      <c r="I41" s="651" t="n"/>
      <c r="J41" s="651" t="n"/>
    </row>
    <row r="42" ht="22.5" customHeight="1" s="355">
      <c r="A42" s="415" t="n"/>
      <c r="B42" s="419" t="inlineStr">
        <is>
          <t xml:space="preserve">  Switzerland</t>
        </is>
      </c>
      <c r="C42" s="673">
        <f>'Switzerland-FTE-2'!$C$6</f>
        <v/>
      </c>
      <c r="D42" s="673">
        <f>'Switzerland-FTE-2'!$D$6</f>
        <v/>
      </c>
      <c r="E42" s="673">
        <f>'Switzerland-FTE-2'!$E$6</f>
        <v/>
      </c>
      <c r="F42" s="673">
        <f>'Switzerland-FTE-2'!$F$6</f>
        <v/>
      </c>
      <c r="G42" s="673">
        <f>'Switzerland-FTE-2'!$G$6</f>
        <v/>
      </c>
      <c r="H42" s="673">
        <f>'Switzerland-FTE-2'!$H$6</f>
        <v/>
      </c>
      <c r="I42" s="673">
        <f>'Switzerland-FTE-2'!$I$6</f>
        <v/>
      </c>
      <c r="J42" s="673">
        <f>'Switzerland-FTE-2'!$J$6</f>
        <v/>
      </c>
    </row>
    <row r="43" ht="22.5" customHeight="1" s="355">
      <c r="A43" s="415" t="n"/>
      <c r="B43" s="419" t="inlineStr">
        <is>
          <t xml:space="preserve">  United States</t>
        </is>
      </c>
      <c r="C43" s="673">
        <f>'US-FTE-2'!$C$6</f>
        <v/>
      </c>
      <c r="D43" s="673">
        <f>'US-FTE-2'!$D$6</f>
        <v/>
      </c>
      <c r="E43" s="673">
        <f>'US-FTE-2'!$E$6</f>
        <v/>
      </c>
      <c r="F43" s="673">
        <f>'US-FTE-2'!$F$6</f>
        <v/>
      </c>
      <c r="G43" s="673">
        <f>'US-FTE-2'!$G$6</f>
        <v/>
      </c>
      <c r="H43" s="673">
        <f>'US-FTE-2'!$H$6</f>
        <v/>
      </c>
      <c r="I43" s="673">
        <f>'US-FTE-2'!$I$6</f>
        <v/>
      </c>
      <c r="J43" s="673">
        <f>'US-FTE-2'!$J$6</f>
        <v/>
      </c>
    </row>
    <row r="44" ht="22.5" customHeight="1" s="355">
      <c r="A44" s="415" t="n"/>
      <c r="B44" s="419" t="inlineStr">
        <is>
          <t xml:space="preserve">  France</t>
        </is>
      </c>
      <c r="C44" s="673">
        <f>'France-FTE-2'!$C$6</f>
        <v/>
      </c>
      <c r="D44" s="673">
        <f>'France-FTE-2'!$D$6</f>
        <v/>
      </c>
      <c r="E44" s="673">
        <f>'France-FTE-2'!$E$6</f>
        <v/>
      </c>
      <c r="F44" s="673">
        <f>'France-FTE-2'!$F$6</f>
        <v/>
      </c>
      <c r="G44" s="673">
        <f>'France-FTE-2'!$G$6</f>
        <v/>
      </c>
      <c r="H44" s="673">
        <f>'France-FTE-2'!$H$6</f>
        <v/>
      </c>
      <c r="I44" s="673">
        <f>'France-FTE-2'!$I$6</f>
        <v/>
      </c>
      <c r="J44" s="673">
        <f>'France-FTE-2'!$J$6</f>
        <v/>
      </c>
    </row>
    <row r="45" ht="22.5" customHeight="1" s="355">
      <c r="A45" s="415" t="n"/>
      <c r="B45" s="419" t="inlineStr">
        <is>
          <t xml:space="preserve">  Germany </t>
        </is>
      </c>
      <c r="C45" s="673">
        <f>'Germany-FTE-2'!$C$6</f>
        <v/>
      </c>
      <c r="D45" s="673">
        <f>'Germany-FTE-2'!$D$6</f>
        <v/>
      </c>
      <c r="E45" s="673">
        <f>'Germany-FTE-2'!$E$6</f>
        <v/>
      </c>
      <c r="F45" s="673">
        <f>'Germany-FTE-2'!$F$6</f>
        <v/>
      </c>
      <c r="G45" s="673">
        <f>'Germany-FTE-2'!$G$6</f>
        <v/>
      </c>
      <c r="H45" s="673">
        <f>'Germany-FTE-2'!$H$6</f>
        <v/>
      </c>
      <c r="I45" s="673">
        <f>'Germany-FTE-2'!$I$6</f>
        <v/>
      </c>
      <c r="J45" s="673">
        <f>'Germany-FTE-2'!$J$6</f>
        <v/>
      </c>
    </row>
    <row r="46" ht="22.5" customHeight="1" s="355">
      <c r="A46" s="415" t="n"/>
      <c r="B46" s="419" t="inlineStr">
        <is>
          <t xml:space="preserve">  Germany Production</t>
        </is>
      </c>
      <c r="C46" s="673">
        <f>'Germany Production-FTE-2'!$C$6</f>
        <v/>
      </c>
      <c r="D46" s="673">
        <f>'Germany Production-FTE-2'!$D$6</f>
        <v/>
      </c>
      <c r="E46" s="673">
        <f>'Germany Production-FTE-2'!$E$6</f>
        <v/>
      </c>
      <c r="F46" s="673">
        <f>'Germany Production-FTE-2'!$F$6</f>
        <v/>
      </c>
      <c r="G46" s="673">
        <f>'Germany Production-FTE-2'!$G$6</f>
        <v/>
      </c>
      <c r="H46" s="673">
        <f>'Germany Production-FTE-2'!$H$6</f>
        <v/>
      </c>
      <c r="I46" s="673">
        <f>'Germany Production-FTE-2'!$I$6</f>
        <v/>
      </c>
      <c r="J46" s="673">
        <f>'Germany Production-FTE-2'!$J$6</f>
        <v/>
      </c>
    </row>
    <row r="47" ht="22.5" customHeight="1" s="355">
      <c r="A47" s="415" t="n"/>
      <c r="B47" s="419" t="inlineStr">
        <is>
          <t xml:space="preserve">  Spain</t>
        </is>
      </c>
      <c r="C47" s="673">
        <f>'Spain-FTE-2'!$C$6</f>
        <v/>
      </c>
      <c r="D47" s="673">
        <f>'Spain-FTE-2'!$D$6</f>
        <v/>
      </c>
      <c r="E47" s="673">
        <f>'Spain-FTE-2'!$E$6</f>
        <v/>
      </c>
      <c r="F47" s="673">
        <f>'Spain-FTE-2'!$F$6</f>
        <v/>
      </c>
      <c r="G47" s="673">
        <f>'Spain-FTE-2'!$G$6</f>
        <v/>
      </c>
      <c r="H47" s="673">
        <f>'Spain-FTE-2'!$H$6</f>
        <v/>
      </c>
      <c r="I47" s="673">
        <f>'Spain-FTE-2'!$I$6</f>
        <v/>
      </c>
      <c r="J47" s="673">
        <f>'Spain-FTE-2'!$J$6</f>
        <v/>
      </c>
    </row>
    <row r="48" ht="22.5" customHeight="1" s="355">
      <c r="A48" s="415" t="n"/>
      <c r="B48" s="419" t="inlineStr">
        <is>
          <t xml:space="preserve">  Italy</t>
        </is>
      </c>
      <c r="C48" s="673">
        <f>'Italy-FTE-2'!$C$6</f>
        <v/>
      </c>
      <c r="D48" s="673">
        <f>'Italy-FTE-2'!$D$6</f>
        <v/>
      </c>
      <c r="E48" s="673">
        <f>'Italy-FTE-2'!$E$6</f>
        <v/>
      </c>
      <c r="F48" s="673">
        <f>'Italy-FTE-2'!$F$6</f>
        <v/>
      </c>
      <c r="G48" s="673">
        <f>'Italy-FTE-2'!$G$6</f>
        <v/>
      </c>
      <c r="H48" s="673">
        <f>'Italy-FTE-2'!$H$6</f>
        <v/>
      </c>
      <c r="I48" s="673">
        <f>'Italy-FTE-2'!$I$6</f>
        <v/>
      </c>
      <c r="J48" s="673">
        <f>'Italy-FTE-2'!$J$6</f>
        <v/>
      </c>
    </row>
    <row r="49" ht="22.5" customHeight="1" s="355">
      <c r="A49" s="415" t="n"/>
      <c r="B49" s="421" t="inlineStr">
        <is>
          <t xml:space="preserve">  United Kingdom</t>
        </is>
      </c>
      <c r="C49" s="687">
        <f>'UK-FTE-2'!$C$6</f>
        <v/>
      </c>
      <c r="D49" s="687">
        <f>'UK-FTE-2'!$D$6</f>
        <v/>
      </c>
      <c r="E49" s="687">
        <f>'UK-FTE-2'!$E$6</f>
        <v/>
      </c>
      <c r="F49" s="687">
        <f>'UK-FTE-2'!$F$6</f>
        <v/>
      </c>
      <c r="G49" s="687">
        <f>'UK-FTE-2'!$G$6</f>
        <v/>
      </c>
      <c r="H49" s="687">
        <f>'UK-FTE-2'!$H$6</f>
        <v/>
      </c>
      <c r="I49" s="687">
        <f>'UK-FTE-2'!$I$6</f>
        <v/>
      </c>
      <c r="J49" s="687">
        <f>'UK-FTE-2'!$J$6</f>
        <v/>
      </c>
    </row>
    <row r="50" ht="22.5" customHeight="1" s="355">
      <c r="A50" s="415" t="n"/>
      <c r="B50" s="435" t="inlineStr">
        <is>
          <t xml:space="preserve">                Sub Total</t>
        </is>
      </c>
      <c r="C50" s="683">
        <f>SUM(C42:C49)</f>
        <v/>
      </c>
      <c r="D50" s="683">
        <f>SUM(D42:D49)</f>
        <v/>
      </c>
      <c r="E50" s="683">
        <f>SUM(E42:E49)</f>
        <v/>
      </c>
      <c r="F50" s="683">
        <f>SUM(F42:F49)</f>
        <v/>
      </c>
      <c r="G50" s="683">
        <f>SUM(G42:G49)</f>
        <v/>
      </c>
      <c r="H50" s="683">
        <f>SUM(H42:H49)</f>
        <v/>
      </c>
      <c r="I50" s="683">
        <f>SUM(I42:I49)</f>
        <v/>
      </c>
      <c r="J50" s="683">
        <f>SUM(J42:J49)</f>
        <v/>
      </c>
    </row>
    <row r="51" ht="22.5" customHeight="1" s="355">
      <c r="A51" s="415" t="n"/>
      <c r="B51" s="416" t="inlineStr">
        <is>
          <t>Order to Cash</t>
        </is>
      </c>
      <c r="C51" s="650" t="n"/>
      <c r="D51" s="651" t="n"/>
      <c r="E51" s="651" t="n"/>
      <c r="F51" s="651" t="n"/>
      <c r="G51" s="651" t="n"/>
      <c r="H51" s="651" t="n"/>
      <c r="I51" s="651" t="n"/>
      <c r="J51" s="651" t="n"/>
    </row>
    <row r="52" ht="22.5" customHeight="1" s="355">
      <c r="A52" s="415" t="n"/>
      <c r="B52" s="419" t="inlineStr">
        <is>
          <t xml:space="preserve">  Switzerland</t>
        </is>
      </c>
      <c r="C52" s="673">
        <f>'Switzerland-FTE-2'!$C$7</f>
        <v/>
      </c>
      <c r="D52" s="673">
        <f>'Switzerland-FTE-2'!$D$7</f>
        <v/>
      </c>
      <c r="E52" s="673">
        <f>'Switzerland-FTE-2'!$E$7</f>
        <v/>
      </c>
      <c r="F52" s="673">
        <f>'Switzerland-FTE-2'!$F$7</f>
        <v/>
      </c>
      <c r="G52" s="673">
        <f>'Switzerland-FTE-2'!$G$7</f>
        <v/>
      </c>
      <c r="H52" s="673">
        <f>'Switzerland-FTE-2'!$H$7</f>
        <v/>
      </c>
      <c r="I52" s="673">
        <f>'Switzerland-FTE-2'!$I$7</f>
        <v/>
      </c>
      <c r="J52" s="673">
        <f>'Switzerland-FTE-2'!$J$7</f>
        <v/>
      </c>
    </row>
    <row r="53" ht="22.5" customHeight="1" s="355">
      <c r="A53" s="415" t="n"/>
      <c r="B53" s="419" t="inlineStr">
        <is>
          <t xml:space="preserve">  United States</t>
        </is>
      </c>
      <c r="C53" s="673">
        <f>'US-FTE-2'!$C$7</f>
        <v/>
      </c>
      <c r="D53" s="673">
        <f>'US-FTE-2'!$D$7</f>
        <v/>
      </c>
      <c r="E53" s="673">
        <f>'US-FTE-2'!$E$7</f>
        <v/>
      </c>
      <c r="F53" s="673">
        <f>'US-FTE-2'!$F$7</f>
        <v/>
      </c>
      <c r="G53" s="673">
        <f>'US-FTE-2'!$G$7</f>
        <v/>
      </c>
      <c r="H53" s="673">
        <f>'US-FTE-2'!$H$7</f>
        <v/>
      </c>
      <c r="I53" s="673">
        <f>'US-FTE-2'!$I$7</f>
        <v/>
      </c>
      <c r="J53" s="673">
        <f>'US-FTE-2'!$J$7</f>
        <v/>
      </c>
    </row>
    <row r="54" ht="22.5" customHeight="1" s="355">
      <c r="A54" s="415" t="n"/>
      <c r="B54" s="419" t="inlineStr">
        <is>
          <t xml:space="preserve">  France</t>
        </is>
      </c>
      <c r="C54" s="673">
        <f>'France-FTE-2'!$C$7</f>
        <v/>
      </c>
      <c r="D54" s="673">
        <f>'France-FTE-2'!$D$7</f>
        <v/>
      </c>
      <c r="E54" s="673">
        <f>'France-FTE-2'!$E$7</f>
        <v/>
      </c>
      <c r="F54" s="673">
        <f>'France-FTE-2'!$F$7</f>
        <v/>
      </c>
      <c r="G54" s="673">
        <f>'France-FTE-2'!$G$7</f>
        <v/>
      </c>
      <c r="H54" s="673">
        <f>'France-FTE-2'!$H$7</f>
        <v/>
      </c>
      <c r="I54" s="673">
        <f>'France-FTE-2'!$I$7</f>
        <v/>
      </c>
      <c r="J54" s="673">
        <f>'France-FTE-2'!$J$7</f>
        <v/>
      </c>
    </row>
    <row r="55" ht="22.5" customHeight="1" s="355">
      <c r="A55" s="415" t="n"/>
      <c r="B55" s="419" t="inlineStr">
        <is>
          <t xml:space="preserve">  Germany </t>
        </is>
      </c>
      <c r="C55" s="673">
        <f>'Germany-FTE-2'!$C$7</f>
        <v/>
      </c>
      <c r="D55" s="673">
        <f>'Germany-FTE-2'!$D$7</f>
        <v/>
      </c>
      <c r="E55" s="673">
        <f>'Germany-FTE-2'!$E$7</f>
        <v/>
      </c>
      <c r="F55" s="673">
        <f>'Germany-FTE-2'!$F$7</f>
        <v/>
      </c>
      <c r="G55" s="673">
        <f>'Germany-FTE-2'!$G$7</f>
        <v/>
      </c>
      <c r="H55" s="673">
        <f>'Germany-FTE-2'!$H$7</f>
        <v/>
      </c>
      <c r="I55" s="673">
        <f>'Germany-FTE-2'!$I$7</f>
        <v/>
      </c>
      <c r="J55" s="673">
        <f>'Germany-FTE-2'!$J$7</f>
        <v/>
      </c>
    </row>
    <row r="56" ht="22.5" customHeight="1" s="355">
      <c r="A56" s="415" t="n"/>
      <c r="B56" s="419" t="inlineStr">
        <is>
          <t xml:space="preserve">  Germany Production</t>
        </is>
      </c>
      <c r="C56" s="673">
        <f>'Germany Production-FTE-2'!$C$7</f>
        <v/>
      </c>
      <c r="D56" s="673">
        <f>'Germany Production-FTE-2'!$D$7</f>
        <v/>
      </c>
      <c r="E56" s="673">
        <f>'Germany Production-FTE-2'!$E$7</f>
        <v/>
      </c>
      <c r="F56" s="673">
        <f>'Germany Production-FTE-2'!$F$7</f>
        <v/>
      </c>
      <c r="G56" s="673">
        <f>'Germany Production-FTE-2'!$G$7</f>
        <v/>
      </c>
      <c r="H56" s="673">
        <f>'Germany Production-FTE-2'!$H$7</f>
        <v/>
      </c>
      <c r="I56" s="673">
        <f>'Germany Production-FTE-2'!$I$7</f>
        <v/>
      </c>
      <c r="J56" s="673">
        <f>'Germany Production-FTE-2'!$J$7</f>
        <v/>
      </c>
    </row>
    <row r="57" ht="22.5" customHeight="1" s="355">
      <c r="A57" s="415" t="n"/>
      <c r="B57" s="419" t="inlineStr">
        <is>
          <t xml:space="preserve">  Spain</t>
        </is>
      </c>
      <c r="C57" s="673">
        <f>'Spain-FTE-2'!$C$7</f>
        <v/>
      </c>
      <c r="D57" s="673">
        <f>'Spain-FTE-2'!$D$7</f>
        <v/>
      </c>
      <c r="E57" s="673">
        <f>'Spain-FTE-2'!$E$7</f>
        <v/>
      </c>
      <c r="F57" s="673">
        <f>'Spain-FTE-2'!$F$7</f>
        <v/>
      </c>
      <c r="G57" s="673">
        <f>'Spain-FTE-2'!$G$7</f>
        <v/>
      </c>
      <c r="H57" s="673">
        <f>'Spain-FTE-2'!$H$7</f>
        <v/>
      </c>
      <c r="I57" s="673">
        <f>'Spain-FTE-2'!$I$7</f>
        <v/>
      </c>
      <c r="J57" s="673">
        <f>'Spain-FTE-2'!$J$7</f>
        <v/>
      </c>
    </row>
    <row r="58" ht="22.5" customHeight="1" s="355">
      <c r="A58" s="415" t="n"/>
      <c r="B58" s="419" t="inlineStr">
        <is>
          <t xml:space="preserve">  Italy</t>
        </is>
      </c>
      <c r="C58" s="673">
        <f>'Italy-FTE-2'!$C$7</f>
        <v/>
      </c>
      <c r="D58" s="673">
        <f>'Italy-FTE-2'!$D$7</f>
        <v/>
      </c>
      <c r="E58" s="673">
        <f>'Italy-FTE-2'!$E$7</f>
        <v/>
      </c>
      <c r="F58" s="673">
        <f>'Italy-FTE-2'!$F$7</f>
        <v/>
      </c>
      <c r="G58" s="673">
        <f>'Italy-FTE-2'!$G$7</f>
        <v/>
      </c>
      <c r="H58" s="673">
        <f>'Italy-FTE-2'!$H$7</f>
        <v/>
      </c>
      <c r="I58" s="673">
        <f>'Italy-FTE-2'!$I$7</f>
        <v/>
      </c>
      <c r="J58" s="673">
        <f>'Italy-FTE-2'!$J$7</f>
        <v/>
      </c>
    </row>
    <row r="59" ht="22.5" customHeight="1" s="355">
      <c r="A59" s="415" t="n"/>
      <c r="B59" s="421" t="inlineStr">
        <is>
          <t xml:space="preserve">  United Kingdom</t>
        </is>
      </c>
      <c r="C59" s="687">
        <f>'UK-FTE-2'!$C$7</f>
        <v/>
      </c>
      <c r="D59" s="687">
        <f>'UK-FTE-2'!$D$7</f>
        <v/>
      </c>
      <c r="E59" s="687">
        <f>'UK-FTE-2'!$E$7</f>
        <v/>
      </c>
      <c r="F59" s="687">
        <f>'UK-FTE-2'!$F$7</f>
        <v/>
      </c>
      <c r="G59" s="687">
        <f>'UK-FTE-2'!$G$7</f>
        <v/>
      </c>
      <c r="H59" s="687">
        <f>'UK-FTE-2'!$H$7</f>
        <v/>
      </c>
      <c r="I59" s="687">
        <f>'UK-FTE-2'!$I$7</f>
        <v/>
      </c>
      <c r="J59" s="687">
        <f>'UK-FTE-2'!$J$7</f>
        <v/>
      </c>
    </row>
    <row r="60" ht="22.5" customHeight="1" s="355">
      <c r="A60" s="415" t="n"/>
      <c r="B60" s="435" t="inlineStr">
        <is>
          <t xml:space="preserve">                Sub Total</t>
        </is>
      </c>
      <c r="C60" s="683">
        <f>SUM(C52:C59)</f>
        <v/>
      </c>
      <c r="D60" s="683">
        <f>SUM(D52:D59)</f>
        <v/>
      </c>
      <c r="E60" s="683">
        <f>SUM(E52:E59)</f>
        <v/>
      </c>
      <c r="F60" s="683">
        <f>SUM(F52:F59)</f>
        <v/>
      </c>
      <c r="G60" s="683">
        <f>SUM(G52:G59)</f>
        <v/>
      </c>
      <c r="H60" s="683">
        <f>SUM(H52:H59)</f>
        <v/>
      </c>
      <c r="I60" s="683">
        <f>SUM(I52:I59)</f>
        <v/>
      </c>
      <c r="J60" s="683">
        <f>SUM(J52:J59)</f>
        <v/>
      </c>
    </row>
    <row r="61" ht="22.5" customHeight="1" s="355">
      <c r="A61" s="415" t="n"/>
      <c r="B61" s="416" t="inlineStr">
        <is>
          <t>Requistion to Pay</t>
        </is>
      </c>
      <c r="C61" s="650" t="n"/>
      <c r="D61" s="651" t="n"/>
      <c r="E61" s="651" t="n"/>
      <c r="F61" s="651" t="n"/>
      <c r="G61" s="651" t="n"/>
      <c r="H61" s="651" t="n"/>
      <c r="I61" s="651" t="n"/>
      <c r="J61" s="651" t="n"/>
    </row>
    <row r="62" ht="22.5" customHeight="1" s="355">
      <c r="A62" s="415" t="n"/>
      <c r="B62" s="419" t="inlineStr">
        <is>
          <t xml:space="preserve">  Switzerland</t>
        </is>
      </c>
      <c r="C62" s="673">
        <f>'Switzerland-FTE-2'!$C$8</f>
        <v/>
      </c>
      <c r="D62" s="673">
        <f>'Switzerland-FTE-2'!$D$8</f>
        <v/>
      </c>
      <c r="E62" s="673">
        <f>'Switzerland-FTE-2'!$E$8</f>
        <v/>
      </c>
      <c r="F62" s="673">
        <f>'Switzerland-FTE-2'!$F$8</f>
        <v/>
      </c>
      <c r="G62" s="673">
        <f>'Switzerland-FTE-2'!$G$8</f>
        <v/>
      </c>
      <c r="H62" s="673">
        <f>'Switzerland-FTE-2'!$H$8</f>
        <v/>
      </c>
      <c r="I62" s="673">
        <f>'Switzerland-FTE-2'!$I$8</f>
        <v/>
      </c>
      <c r="J62" s="673">
        <f>'Switzerland-FTE-2'!$J$8</f>
        <v/>
      </c>
    </row>
    <row r="63" ht="22.5" customHeight="1" s="355">
      <c r="A63" s="415" t="n"/>
      <c r="B63" s="419" t="inlineStr">
        <is>
          <t xml:space="preserve">  United States</t>
        </is>
      </c>
      <c r="C63" s="673">
        <f>'US-FTE-2'!$C$8</f>
        <v/>
      </c>
      <c r="D63" s="673">
        <f>'US-FTE-2'!$D$8</f>
        <v/>
      </c>
      <c r="E63" s="673">
        <f>'US-FTE-2'!$E$8</f>
        <v/>
      </c>
      <c r="F63" s="673">
        <f>'US-FTE-2'!$F$8</f>
        <v/>
      </c>
      <c r="G63" s="673">
        <f>'US-FTE-2'!$G$8</f>
        <v/>
      </c>
      <c r="H63" s="673">
        <f>'US-FTE-2'!$H$8</f>
        <v/>
      </c>
      <c r="I63" s="673">
        <f>'US-FTE-2'!$I$8</f>
        <v/>
      </c>
      <c r="J63" s="673">
        <f>'US-FTE-2'!$J$8</f>
        <v/>
      </c>
    </row>
    <row r="64" ht="22.5" customHeight="1" s="355">
      <c r="A64" s="415" t="n"/>
      <c r="B64" s="419" t="inlineStr">
        <is>
          <t xml:space="preserve">  France</t>
        </is>
      </c>
      <c r="C64" s="673">
        <f>'France-FTE-2'!$C$8</f>
        <v/>
      </c>
      <c r="D64" s="673">
        <f>'France-FTE-2'!$D$8</f>
        <v/>
      </c>
      <c r="E64" s="673">
        <f>'France-FTE-2'!$E$8</f>
        <v/>
      </c>
      <c r="F64" s="673">
        <f>'France-FTE-2'!$F$8</f>
        <v/>
      </c>
      <c r="G64" s="673">
        <f>'France-FTE-2'!$G$8</f>
        <v/>
      </c>
      <c r="H64" s="673">
        <f>'France-FTE-2'!$H$8</f>
        <v/>
      </c>
      <c r="I64" s="673">
        <f>'France-FTE-2'!$I$8</f>
        <v/>
      </c>
      <c r="J64" s="673">
        <f>'France-FTE-2'!$J$8</f>
        <v/>
      </c>
    </row>
    <row r="65" ht="22.5" customHeight="1" s="355">
      <c r="A65" s="415" t="n"/>
      <c r="B65" s="419" t="inlineStr">
        <is>
          <t xml:space="preserve">  Germany </t>
        </is>
      </c>
      <c r="C65" s="673">
        <f>'Germany-FTE-2'!$C$8</f>
        <v/>
      </c>
      <c r="D65" s="673">
        <f>'Germany-FTE-2'!$D$8</f>
        <v/>
      </c>
      <c r="E65" s="673">
        <f>'Germany-FTE-2'!$E$8</f>
        <v/>
      </c>
      <c r="F65" s="673">
        <f>'Germany-FTE-2'!$F$8</f>
        <v/>
      </c>
      <c r="G65" s="673">
        <f>'Germany-FTE-2'!$G$8</f>
        <v/>
      </c>
      <c r="H65" s="673">
        <f>'Germany-FTE-2'!$H$8</f>
        <v/>
      </c>
      <c r="I65" s="673">
        <f>'Germany-FTE-2'!$I$8</f>
        <v/>
      </c>
      <c r="J65" s="673">
        <f>'Germany-FTE-2'!$J$8</f>
        <v/>
      </c>
    </row>
    <row r="66" ht="22.5" customHeight="1" s="355">
      <c r="A66" s="415" t="n"/>
      <c r="B66" s="419" t="inlineStr">
        <is>
          <t xml:space="preserve">  Germany Production</t>
        </is>
      </c>
      <c r="C66" s="673">
        <f>'Germany Production-FTE-2'!$C$8</f>
        <v/>
      </c>
      <c r="D66" s="673">
        <f>'Germany Production-FTE-2'!$D$8</f>
        <v/>
      </c>
      <c r="E66" s="673">
        <f>'Germany Production-FTE-2'!$E$8</f>
        <v/>
      </c>
      <c r="F66" s="673">
        <f>'Germany Production-FTE-2'!$F$8</f>
        <v/>
      </c>
      <c r="G66" s="673">
        <f>'Germany Production-FTE-2'!$G$8</f>
        <v/>
      </c>
      <c r="H66" s="673">
        <f>'Germany Production-FTE-2'!$H$8</f>
        <v/>
      </c>
      <c r="I66" s="673">
        <f>'Germany Production-FTE-2'!$I$8</f>
        <v/>
      </c>
      <c r="J66" s="673">
        <f>'Germany Production-FTE-2'!$J$8</f>
        <v/>
      </c>
    </row>
    <row r="67" ht="22.5" customHeight="1" s="355">
      <c r="A67" s="415" t="n"/>
      <c r="B67" s="419" t="inlineStr">
        <is>
          <t xml:space="preserve">  Spain</t>
        </is>
      </c>
      <c r="C67" s="673">
        <f>'Spain-FTE-2'!$C$8</f>
        <v/>
      </c>
      <c r="D67" s="673">
        <f>'Spain-FTE-2'!$D$8</f>
        <v/>
      </c>
      <c r="E67" s="673">
        <f>'Spain-FTE-2'!$E$8</f>
        <v/>
      </c>
      <c r="F67" s="673">
        <f>'Spain-FTE-2'!$F$8</f>
        <v/>
      </c>
      <c r="G67" s="673">
        <f>'Spain-FTE-2'!$G$8</f>
        <v/>
      </c>
      <c r="H67" s="673">
        <f>'Spain-FTE-2'!$H$8</f>
        <v/>
      </c>
      <c r="I67" s="673">
        <f>'Spain-FTE-2'!$I$8</f>
        <v/>
      </c>
      <c r="J67" s="673">
        <f>'Spain-FTE-2'!$J$8</f>
        <v/>
      </c>
    </row>
    <row r="68" ht="22.5" customHeight="1" s="355">
      <c r="A68" s="415" t="n"/>
      <c r="B68" s="419" t="inlineStr">
        <is>
          <t xml:space="preserve">  Italy</t>
        </is>
      </c>
      <c r="C68" s="673">
        <f>'Italy-FTE-2'!$C$8</f>
        <v/>
      </c>
      <c r="D68" s="673">
        <f>'Italy-FTE-2'!$D$8</f>
        <v/>
      </c>
      <c r="E68" s="673">
        <f>'Italy-FTE-2'!$E$8</f>
        <v/>
      </c>
      <c r="F68" s="673">
        <f>'Italy-FTE-2'!$F$8</f>
        <v/>
      </c>
      <c r="G68" s="673">
        <f>'Italy-FTE-2'!$G$8</f>
        <v/>
      </c>
      <c r="H68" s="673">
        <f>'Italy-FTE-2'!$H$8</f>
        <v/>
      </c>
      <c r="I68" s="673">
        <f>'Italy-FTE-2'!$I$8</f>
        <v/>
      </c>
      <c r="J68" s="673">
        <f>'Italy-FTE-2'!$J$8</f>
        <v/>
      </c>
    </row>
    <row r="69" ht="22.5" customHeight="1" s="355">
      <c r="A69" s="415" t="n"/>
      <c r="B69" s="421" t="inlineStr">
        <is>
          <t xml:space="preserve">  United Kingdom</t>
        </is>
      </c>
      <c r="C69" s="687">
        <f>'UK-FTE-2'!$C$8</f>
        <v/>
      </c>
      <c r="D69" s="687">
        <f>'UK-FTE-2'!$D$8</f>
        <v/>
      </c>
      <c r="E69" s="687">
        <f>'UK-FTE-2'!$E$8</f>
        <v/>
      </c>
      <c r="F69" s="687">
        <f>'UK-FTE-2'!$F$8</f>
        <v/>
      </c>
      <c r="G69" s="687">
        <f>'UK-FTE-2'!$G$8</f>
        <v/>
      </c>
      <c r="H69" s="687">
        <f>'UK-FTE-2'!$H$8</f>
        <v/>
      </c>
      <c r="I69" s="687">
        <f>'UK-FTE-2'!$I$8</f>
        <v/>
      </c>
      <c r="J69" s="687">
        <f>'UK-FTE-2'!$J$8</f>
        <v/>
      </c>
    </row>
    <row r="70" ht="22.5" customHeight="1" s="355">
      <c r="A70" s="415" t="n"/>
      <c r="B70" s="435" t="inlineStr">
        <is>
          <t xml:space="preserve">                Sub Total</t>
        </is>
      </c>
      <c r="C70" s="683">
        <f>SUM(C62:C69)</f>
        <v/>
      </c>
      <c r="D70" s="683">
        <f>SUM(D62:D69)</f>
        <v/>
      </c>
      <c r="E70" s="683">
        <f>SUM(E62:E69)</f>
        <v/>
      </c>
      <c r="F70" s="683">
        <f>SUM(F62:F69)</f>
        <v/>
      </c>
      <c r="G70" s="683">
        <f>SUM(G62:G69)</f>
        <v/>
      </c>
      <c r="H70" s="683">
        <f>SUM(H62:H69)</f>
        <v/>
      </c>
      <c r="I70" s="683">
        <f>SUM(I62:I69)</f>
        <v/>
      </c>
      <c r="J70" s="683">
        <f>SUM(J62:J69)</f>
        <v/>
      </c>
    </row>
    <row r="71" ht="22.5" customHeight="1" s="355">
      <c r="A71" s="415" t="n"/>
      <c r="B71" s="422" t="inlineStr">
        <is>
          <t>Total FTEs All Countries</t>
        </is>
      </c>
      <c r="C71" s="674">
        <f>C20+C30+C40+C50+C60+C70</f>
        <v/>
      </c>
      <c r="D71" s="674">
        <f>D20+D30+D40+D50+D60+D70</f>
        <v/>
      </c>
      <c r="E71" s="674">
        <f>E20+E30+E40+E50+E60+E70</f>
        <v/>
      </c>
      <c r="F71" s="674">
        <f>F20+F30+F40+F50+F60+F70</f>
        <v/>
      </c>
      <c r="G71" s="674">
        <f>G20+G30+G40+G50+G60+G70</f>
        <v/>
      </c>
      <c r="H71" s="674">
        <f>H20+H30+H40+H50+H60+H70</f>
        <v/>
      </c>
      <c r="I71" s="674">
        <f>I20+I30+I40+I50+I60+I70</f>
        <v/>
      </c>
      <c r="J71" s="674">
        <f>J20+J30+J40+J50+J60+J70</f>
        <v/>
      </c>
    </row>
    <row r="72" ht="22.5" customHeight="1" s="355">
      <c r="A72" s="415" t="n"/>
      <c r="B72" s="416" t="inlineStr">
        <is>
          <t>Country Summary</t>
        </is>
      </c>
      <c r="C72" s="650" t="n"/>
      <c r="D72" s="651" t="n"/>
      <c r="E72" s="651" t="n"/>
      <c r="F72" s="651" t="n"/>
      <c r="G72" s="651" t="n"/>
      <c r="H72" s="651" t="n"/>
      <c r="I72" s="651" t="n"/>
      <c r="J72" s="651" t="n"/>
    </row>
    <row r="73" ht="22.5" customHeight="1" s="355">
      <c r="A73" s="415" t="n"/>
      <c r="B73" s="419" t="inlineStr">
        <is>
          <t xml:space="preserve">  Switzerland</t>
        </is>
      </c>
      <c r="C73" s="673">
        <f>'Switzerland-FTE-2'!C9</f>
        <v/>
      </c>
      <c r="D73" s="673">
        <f>'Switzerland-FTE-2'!D9</f>
        <v/>
      </c>
      <c r="E73" s="673">
        <f>'Switzerland-FTE-2'!E9</f>
        <v/>
      </c>
      <c r="F73" s="673">
        <f>'Switzerland-FTE-2'!F9</f>
        <v/>
      </c>
      <c r="G73" s="673">
        <f>'Switzerland-FTE-2'!G9</f>
        <v/>
      </c>
      <c r="H73" s="673">
        <f>'Switzerland-FTE-2'!H9</f>
        <v/>
      </c>
      <c r="I73" s="673">
        <f>'Switzerland-FTE-2'!I9</f>
        <v/>
      </c>
      <c r="J73" s="673">
        <f>'Switzerland-FTE-2'!J9</f>
        <v/>
      </c>
    </row>
    <row r="74" ht="22.5" customHeight="1" s="355">
      <c r="A74" s="415" t="n"/>
      <c r="B74" s="419" t="inlineStr">
        <is>
          <t xml:space="preserve">  United States</t>
        </is>
      </c>
      <c r="C74" s="673">
        <f>'US-FTE-2'!C9</f>
        <v/>
      </c>
      <c r="D74" s="673">
        <f>'US-FTE-2'!D9</f>
        <v/>
      </c>
      <c r="E74" s="673">
        <f>'US-FTE-2'!E9</f>
        <v/>
      </c>
      <c r="F74" s="673">
        <f>'US-FTE-2'!F9</f>
        <v/>
      </c>
      <c r="G74" s="673">
        <f>'US-FTE-2'!G9</f>
        <v/>
      </c>
      <c r="H74" s="673">
        <f>'US-FTE-2'!H9</f>
        <v/>
      </c>
      <c r="I74" s="673">
        <f>'US-FTE-2'!I9</f>
        <v/>
      </c>
      <c r="J74" s="673">
        <f>'US-FTE-2'!J9</f>
        <v/>
      </c>
    </row>
    <row r="75" ht="22.5" customHeight="1" s="355">
      <c r="A75" s="415" t="n"/>
      <c r="B75" s="419" t="inlineStr">
        <is>
          <t xml:space="preserve">  France</t>
        </is>
      </c>
      <c r="C75" s="673">
        <f>'France-FTE-2'!C9</f>
        <v/>
      </c>
      <c r="D75" s="673">
        <f>'France-FTE-2'!D9</f>
        <v/>
      </c>
      <c r="E75" s="673">
        <f>'France-FTE-2'!E9</f>
        <v/>
      </c>
      <c r="F75" s="673">
        <f>'France-FTE-2'!F9</f>
        <v/>
      </c>
      <c r="G75" s="673">
        <f>'France-FTE-2'!G9</f>
        <v/>
      </c>
      <c r="H75" s="673">
        <f>'France-FTE-2'!H9</f>
        <v/>
      </c>
      <c r="I75" s="673">
        <f>'France-FTE-2'!I9</f>
        <v/>
      </c>
      <c r="J75" s="673">
        <f>'France-FTE-2'!J9</f>
        <v/>
      </c>
    </row>
    <row r="76" ht="22.5" customHeight="1" s="355">
      <c r="A76" s="415" t="n"/>
      <c r="B76" s="419" t="inlineStr">
        <is>
          <t xml:space="preserve">  Germany </t>
        </is>
      </c>
      <c r="C76" s="673">
        <f>'Germany-FTE-2'!C9</f>
        <v/>
      </c>
      <c r="D76" s="673">
        <f>'Germany-FTE-2'!D9</f>
        <v/>
      </c>
      <c r="E76" s="673">
        <f>'Germany-FTE-2'!E9</f>
        <v/>
      </c>
      <c r="F76" s="673">
        <f>'Germany-FTE-2'!F9</f>
        <v/>
      </c>
      <c r="G76" s="673">
        <f>'Germany-FTE-2'!G9</f>
        <v/>
      </c>
      <c r="H76" s="673">
        <f>'Germany-FTE-2'!H9</f>
        <v/>
      </c>
      <c r="I76" s="673">
        <f>'Germany-FTE-2'!I9</f>
        <v/>
      </c>
      <c r="J76" s="673">
        <f>'Germany-FTE-2'!J9</f>
        <v/>
      </c>
    </row>
    <row r="77" ht="22.5" customHeight="1" s="355">
      <c r="A77" s="415" t="n"/>
      <c r="B77" s="419" t="inlineStr">
        <is>
          <t xml:space="preserve">  Germany Production</t>
        </is>
      </c>
      <c r="C77" s="673">
        <f>'Germany Production-FTE-2'!C9</f>
        <v/>
      </c>
      <c r="D77" s="673">
        <f>'Germany Production-FTE-2'!D9</f>
        <v/>
      </c>
      <c r="E77" s="673">
        <f>'Germany Production-FTE-2'!E9</f>
        <v/>
      </c>
      <c r="F77" s="673">
        <f>'Germany Production-FTE-2'!F9</f>
        <v/>
      </c>
      <c r="G77" s="673">
        <f>'Germany Production-FTE-2'!G9</f>
        <v/>
      </c>
      <c r="H77" s="673">
        <f>'Germany Production-FTE-2'!H9</f>
        <v/>
      </c>
      <c r="I77" s="673">
        <f>'Germany Production-FTE-2'!I9</f>
        <v/>
      </c>
      <c r="J77" s="673">
        <f>'Germany Production-FTE-2'!J9</f>
        <v/>
      </c>
    </row>
    <row r="78" ht="22.5" customHeight="1" s="355">
      <c r="A78" s="415" t="n"/>
      <c r="B78" s="419" t="inlineStr">
        <is>
          <t xml:space="preserve">  Spain</t>
        </is>
      </c>
      <c r="C78" s="673">
        <f>'Spain-FTE-2'!C9</f>
        <v/>
      </c>
      <c r="D78" s="673">
        <f>'Spain-FTE-2'!D9</f>
        <v/>
      </c>
      <c r="E78" s="673">
        <f>'Spain-FTE-2'!E9</f>
        <v/>
      </c>
      <c r="F78" s="673">
        <f>'Spain-FTE-2'!F9</f>
        <v/>
      </c>
      <c r="G78" s="673">
        <f>'Spain-FTE-2'!G9</f>
        <v/>
      </c>
      <c r="H78" s="673">
        <f>'Spain-FTE-2'!H9</f>
        <v/>
      </c>
      <c r="I78" s="673">
        <f>'Spain-FTE-2'!I9</f>
        <v/>
      </c>
      <c r="J78" s="673">
        <f>'Spain-FTE-2'!J9</f>
        <v/>
      </c>
    </row>
    <row r="79" ht="22.5" customHeight="1" s="355">
      <c r="A79" s="415" t="n"/>
      <c r="B79" s="419" t="inlineStr">
        <is>
          <t xml:space="preserve">  Italy</t>
        </is>
      </c>
      <c r="C79" s="673">
        <f>'Italy-FTE-2'!C9</f>
        <v/>
      </c>
      <c r="D79" s="673">
        <f>'Italy-FTE-2'!D9</f>
        <v/>
      </c>
      <c r="E79" s="673">
        <f>'Italy-FTE-2'!E9</f>
        <v/>
      </c>
      <c r="F79" s="673">
        <f>'Italy-FTE-2'!F9</f>
        <v/>
      </c>
      <c r="G79" s="673">
        <f>'Italy-FTE-2'!G9</f>
        <v/>
      </c>
      <c r="H79" s="673">
        <f>'Italy-FTE-2'!H9</f>
        <v/>
      </c>
      <c r="I79" s="673">
        <f>'Italy-FTE-2'!I9</f>
        <v/>
      </c>
      <c r="J79" s="673">
        <f>'Italy-FTE-2'!J9</f>
        <v/>
      </c>
    </row>
    <row r="80" ht="22.5" customHeight="1" s="355">
      <c r="A80" s="415" t="n"/>
      <c r="B80" s="421" t="inlineStr">
        <is>
          <t xml:space="preserve">  United Kingdom</t>
        </is>
      </c>
      <c r="C80" s="687">
        <f>'UK-FTE-2'!C9</f>
        <v/>
      </c>
      <c r="D80" s="687">
        <f>'UK-FTE-2'!D9</f>
        <v/>
      </c>
      <c r="E80" s="687">
        <f>'UK-FTE-2'!E9</f>
        <v/>
      </c>
      <c r="F80" s="687">
        <f>'UK-FTE-2'!F9</f>
        <v/>
      </c>
      <c r="G80" s="687">
        <f>'UK-FTE-2'!G9</f>
        <v/>
      </c>
      <c r="H80" s="687">
        <f>'UK-FTE-2'!H9</f>
        <v/>
      </c>
      <c r="I80" s="687">
        <f>'UK-FTE-2'!I9</f>
        <v/>
      </c>
      <c r="J80" s="687">
        <f>'UK-FTE-2'!J9</f>
        <v/>
      </c>
    </row>
    <row r="81" ht="22.5" customHeight="1" s="355">
      <c r="A81" s="441" t="n"/>
      <c r="B81" s="422" t="inlineStr">
        <is>
          <t>Total FTEs All Countries</t>
        </is>
      </c>
      <c r="C81" s="674">
        <f>SUM(C73:C80)</f>
        <v/>
      </c>
      <c r="D81" s="674">
        <f>SUM(D73:D80)</f>
        <v/>
      </c>
      <c r="E81" s="674">
        <f>SUM(E73:E80)</f>
        <v/>
      </c>
      <c r="F81" s="674">
        <f>SUM(F73:F80)</f>
        <v/>
      </c>
      <c r="G81" s="674">
        <f>SUM(G73:G80)</f>
        <v/>
      </c>
      <c r="H81" s="674">
        <f>SUM(H73:H80)</f>
        <v/>
      </c>
      <c r="I81" s="674">
        <f>SUM(I73:I80)</f>
        <v/>
      </c>
      <c r="J81" s="674">
        <f>SUM(J73:J80)</f>
        <v/>
      </c>
    </row>
    <row r="82" ht="22.5" customHeight="1" s="355"/>
    <row r="83" ht="22.5" customHeight="1" s="355"/>
    <row r="84" ht="22.5" customHeight="1" s="355"/>
    <row r="85" ht="22.5" customHeight="1" s="355"/>
    <row r="86" ht="22.5" customHeight="1" s="355"/>
    <row r="87" ht="22.5" customHeight="1" s="355"/>
    <row r="88" ht="22.5" customHeight="1" s="355"/>
    <row r="89" ht="22.5" customHeight="1" s="355"/>
    <row r="90" ht="22.5" customHeight="1" s="355"/>
    <row r="91" ht="22.5" customHeight="1" s="355"/>
    <row r="92" ht="22.5" customHeight="1" s="355"/>
    <row r="93" ht="22.5" customHeight="1" s="355"/>
    <row r="94" ht="22.5" customHeight="1" s="355"/>
    <row r="95" ht="22.5" customHeight="1" s="355"/>
    <row r="96" ht="22.5" customHeight="1" s="355"/>
    <row r="97" ht="22.5" customHeight="1" s="355"/>
    <row r="98" ht="22.5" customHeight="1" s="355"/>
    <row r="99" ht="22.5" customHeight="1" s="355"/>
    <row r="100" ht="22.5" customHeight="1" s="355"/>
    <row r="101" ht="22.5" customHeight="1" s="355"/>
    <row r="102" ht="22.5" customHeight="1" s="355"/>
    <row r="103" ht="22.5" customHeight="1" s="355"/>
    <row r="104" ht="22.5" customHeight="1" s="355"/>
    <row r="105" ht="22.5" customHeight="1" s="355"/>
    <row r="106" ht="22.5" customHeight="1" s="355"/>
    <row r="107" ht="22.5" customHeight="1" s="355"/>
    <row r="108" ht="22.5" customHeight="1" s="355"/>
    <row r="109" ht="22.5" customHeight="1" s="355"/>
    <row r="110" ht="22.5" customHeight="1" s="355"/>
    <row r="111" ht="22.5" customHeight="1" s="355"/>
    <row r="112" ht="22.5" customHeight="1" s="355"/>
    <row r="113" ht="22.5" customHeight="1" s="355"/>
    <row r="114" ht="22.5" customHeight="1" s="355"/>
    <row r="115" ht="22.5" customHeight="1" s="355"/>
    <row r="116" ht="22.5" customHeight="1" s="355"/>
    <row r="117" ht="22.5" customHeight="1" s="355"/>
    <row r="118" ht="22.5" customHeight="1" s="355"/>
    <row r="119" ht="22.5" customHeight="1" s="355"/>
    <row r="120" ht="22.5" customHeight="1" s="355"/>
    <row r="121" ht="22.5" customHeight="1" s="355"/>
    <row r="122" ht="22.5" customHeight="1" s="355"/>
    <row r="123" ht="22.5" customHeight="1" s="355"/>
    <row r="124" ht="22.5" customHeight="1" s="355"/>
    <row r="125" ht="22.5" customHeight="1" s="355"/>
    <row r="126" ht="22.5" customHeight="1" s="355"/>
    <row r="127" ht="22.5" customHeight="1" s="355"/>
    <row r="128" ht="22.5" customHeight="1" s="355"/>
    <row r="129" ht="22.5" customHeight="1" s="355"/>
    <row r="130" ht="22.5" customHeight="1" s="355"/>
    <row r="131" ht="22.5" customHeight="1" s="355"/>
    <row r="132" ht="22.5" customHeight="1" s="355"/>
    <row r="133" ht="22.5" customHeight="1" s="355"/>
    <row r="134" ht="22.5" customHeight="1" s="355"/>
    <row r="135" ht="22.5" customHeight="1" s="355"/>
    <row r="136" ht="22.5" customHeight="1" s="355"/>
    <row r="137" ht="22.5" customHeight="1" s="355"/>
    <row r="138" ht="22.5" customHeight="1" s="355"/>
    <row r="139" ht="22.5" customHeight="1" s="355"/>
    <row r="140" ht="22.5" customHeight="1" s="355"/>
    <row r="141" ht="22.5" customHeight="1" s="355"/>
    <row r="142" ht="22.5" customHeight="1" s="355"/>
    <row r="143" ht="22.5" customHeight="1" s="355"/>
    <row r="144" ht="22.5" customHeight="1" s="355"/>
    <row r="145" ht="22.5" customHeight="1" s="355"/>
    <row r="146" ht="22.5" customHeight="1" s="355"/>
    <row r="147" ht="22.5" customHeight="1" s="355"/>
    <row r="148" ht="22.5" customHeight="1" s="355"/>
    <row r="149" ht="22.5" customHeight="1" s="355"/>
    <row r="150" ht="22.5" customHeight="1" s="355"/>
    <row r="151" ht="22.5" customHeight="1" s="355"/>
  </sheetData>
  <mergeCells count="1">
    <mergeCell ref="A2:A81"/>
  </mergeCells>
  <printOptions horizontalCentered="0" verticalCentered="0" headings="0" gridLines="0" gridLinesSet="1"/>
  <pageMargins left="0.747916666666667" right="0.747916666666667" top="0.9840277777777779" bottom="0.9840277777777779" header="0.5" footer="0.5"/>
  <pageSetup orientation="landscape" paperSize="1" scale="100" fitToHeight="3"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39.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Switzerland</t>
        </is>
      </c>
      <c r="B3" s="661" t="inlineStr">
        <is>
          <t>General Accounting &amp; Sox</t>
        </is>
      </c>
      <c r="C3" s="693" t="n"/>
      <c r="D3" s="689" t="n"/>
      <c r="E3" s="689" t="n"/>
      <c r="F3" s="689" t="n"/>
      <c r="G3" s="689" t="n"/>
      <c r="H3" s="689" t="n"/>
      <c r="I3" s="694" t="n"/>
    </row>
    <row r="4" ht="22.5" customHeight="1" s="355">
      <c r="A4" s="664" t="n"/>
      <c r="B4" s="665" t="inlineStr">
        <is>
          <t>Fixed Assets</t>
        </is>
      </c>
      <c r="C4" s="695" t="n"/>
      <c r="D4" s="691" t="n"/>
      <c r="E4" s="691" t="n"/>
      <c r="F4" s="691" t="n"/>
      <c r="G4" s="691" t="n"/>
      <c r="H4" s="691" t="n"/>
      <c r="I4" s="696" t="n"/>
    </row>
    <row r="5" ht="22.5" customHeight="1" s="355">
      <c r="A5" s="664" t="n"/>
      <c r="B5" s="665" t="inlineStr">
        <is>
          <t>Accounts Payable</t>
        </is>
      </c>
      <c r="C5" s="695" t="n"/>
      <c r="D5" s="691" t="n"/>
      <c r="E5" s="691" t="n"/>
      <c r="F5" s="691" t="n"/>
      <c r="G5" s="691" t="n"/>
      <c r="H5" s="691" t="n"/>
      <c r="I5" s="696" t="n"/>
    </row>
    <row r="6" ht="22.5" customHeight="1" s="355">
      <c r="A6" s="664" t="n"/>
      <c r="B6" s="665" t="inlineStr">
        <is>
          <t>T&amp;E</t>
        </is>
      </c>
      <c r="C6" s="695" t="n"/>
      <c r="D6" s="691" t="n"/>
      <c r="E6" s="691" t="n"/>
      <c r="F6" s="691" t="n"/>
      <c r="G6" s="691" t="n"/>
      <c r="H6" s="691" t="n"/>
      <c r="I6" s="696" t="n"/>
    </row>
    <row r="7" ht="22.5" customHeight="1" s="355">
      <c r="A7" s="664" t="n"/>
      <c r="B7" s="665" t="inlineStr">
        <is>
          <t>Order to Cash</t>
        </is>
      </c>
      <c r="C7" s="695" t="n"/>
      <c r="D7" s="691" t="n"/>
      <c r="E7" s="691" t="n"/>
      <c r="F7" s="691" t="n"/>
      <c r="G7" s="691" t="n"/>
      <c r="H7" s="691" t="n"/>
      <c r="I7" s="696"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5" t="n"/>
      <c r="D8" s="691" t="n"/>
      <c r="E8" s="691" t="n"/>
      <c r="F8" s="691" t="n"/>
      <c r="G8" s="691" t="n"/>
      <c r="H8" s="691" t="n"/>
      <c r="I8" s="696" t="n"/>
    </row>
    <row r="9" ht="22.5" customHeight="1" s="355">
      <c r="A9" s="611" t="n"/>
      <c r="B9" s="658" t="inlineStr">
        <is>
          <t>Total FTEs</t>
        </is>
      </c>
      <c r="C9" s="692">
        <f>SUM(C3:C8)</f>
        <v/>
      </c>
      <c r="D9" s="692">
        <f>SUM(D3:D8)</f>
        <v/>
      </c>
      <c r="E9" s="692">
        <f>SUM(E3:E8)</f>
        <v/>
      </c>
      <c r="F9" s="692">
        <f>SUM(F3:F8)</f>
        <v/>
      </c>
      <c r="G9" s="692">
        <f>SUM(G3:G8)</f>
        <v/>
      </c>
      <c r="H9" s="692">
        <f>SUM(H3:H8)</f>
        <v/>
      </c>
      <c r="I9" s="697">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0.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United States</t>
        </is>
      </c>
      <c r="B3" s="661" t="inlineStr">
        <is>
          <t>General Accounting &amp; Sox</t>
        </is>
      </c>
      <c r="C3" s="689" t="n">
        <v>1.01344086021505</v>
      </c>
      <c r="D3" s="689" t="n">
        <v>2</v>
      </c>
      <c r="E3" s="689" t="n">
        <v>1.95416666666667</v>
      </c>
      <c r="F3" s="689" t="n">
        <v>1.90416666666667</v>
      </c>
      <c r="G3" s="689" t="n">
        <v>1.85416666666667</v>
      </c>
      <c r="H3" s="689" t="n">
        <v>1.75833333333333</v>
      </c>
      <c r="I3" s="689" t="n">
        <v>1.75</v>
      </c>
      <c r="J3" s="689" t="n">
        <v>1.75</v>
      </c>
    </row>
    <row r="4" ht="22.5" customHeight="1" s="355">
      <c r="A4" s="664" t="n"/>
      <c r="B4" s="665" t="inlineStr">
        <is>
          <t>Fixed Assets</t>
        </is>
      </c>
      <c r="C4" s="691" t="n">
        <v>0.989247311827957</v>
      </c>
      <c r="D4" s="691" t="n">
        <v>2</v>
      </c>
      <c r="E4" s="691" t="n">
        <v>1.95416666666667</v>
      </c>
      <c r="F4" s="691" t="n">
        <v>1.90416666666667</v>
      </c>
      <c r="G4" s="691" t="n">
        <v>1.85416666666667</v>
      </c>
      <c r="H4" s="691" t="n">
        <v>1.75833333333333</v>
      </c>
      <c r="I4" s="691" t="n">
        <v>1.75</v>
      </c>
      <c r="J4" s="691" t="n">
        <v>1.75</v>
      </c>
    </row>
    <row r="5" ht="22.5" customHeight="1" s="355">
      <c r="A5" s="664" t="n"/>
      <c r="B5" s="665" t="inlineStr">
        <is>
          <t>Accounts Payable</t>
        </is>
      </c>
      <c r="C5" s="691" t="n">
        <v>5.03225806451613</v>
      </c>
      <c r="D5" s="691" t="n">
        <v>11.5555555555556</v>
      </c>
      <c r="E5" s="691" t="n">
        <v>10.7222222222222</v>
      </c>
      <c r="F5" s="691" t="n">
        <v>10.0555555555556</v>
      </c>
      <c r="G5" s="691" t="n">
        <v>9.388888888888889</v>
      </c>
      <c r="H5" s="691" t="n">
        <v>9.33333333333333</v>
      </c>
      <c r="I5" s="691" t="n">
        <v>9.33333333333333</v>
      </c>
      <c r="J5" s="691" t="n">
        <v>9.33333333333333</v>
      </c>
    </row>
    <row r="6" ht="22.5" customHeight="1" s="355">
      <c r="A6" s="664" t="n"/>
      <c r="B6" s="665" t="inlineStr">
        <is>
          <t>T&amp;E</t>
        </is>
      </c>
      <c r="C6" s="691" t="n">
        <v>0</v>
      </c>
      <c r="D6" s="691" t="n">
        <v>0</v>
      </c>
      <c r="E6" s="691" t="n">
        <v>0</v>
      </c>
      <c r="F6" s="691" t="n">
        <v>0</v>
      </c>
      <c r="G6" s="691" t="n">
        <v>0</v>
      </c>
      <c r="H6" s="691" t="n">
        <v>0</v>
      </c>
      <c r="I6" s="691" t="n">
        <v>0</v>
      </c>
      <c r="J6" s="691" t="n">
        <v>0</v>
      </c>
    </row>
    <row r="7" ht="22.5" customHeight="1" s="355">
      <c r="A7" s="664" t="n"/>
      <c r="B7" s="665" t="inlineStr">
        <is>
          <t>Order to Cash</t>
        </is>
      </c>
      <c r="C7" s="691" t="n">
        <v>0.533333333333333</v>
      </c>
      <c r="D7" s="691" t="n">
        <v>1</v>
      </c>
      <c r="E7" s="691" t="n">
        <v>0.977083333333333</v>
      </c>
      <c r="F7" s="691" t="n">
        <v>0.9520833333333329</v>
      </c>
      <c r="G7" s="691" t="n">
        <v>0.927083333333334</v>
      </c>
      <c r="H7" s="691" t="n">
        <v>0.879166666666667</v>
      </c>
      <c r="I7" s="691" t="n">
        <v>0.875</v>
      </c>
      <c r="J7" s="691" t="n">
        <v>0.875</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1" t="n">
        <v>5.15</v>
      </c>
      <c r="D8" s="691" t="n">
        <v>8.793103448275859</v>
      </c>
      <c r="E8" s="691" t="n">
        <v>8.40517241379311</v>
      </c>
      <c r="F8" s="691" t="n">
        <v>8.0948275862069</v>
      </c>
      <c r="G8" s="691" t="n">
        <v>7.78448275862069</v>
      </c>
      <c r="H8" s="691" t="n">
        <v>7.47413793103448</v>
      </c>
      <c r="I8" s="691" t="n">
        <v>7.44827586206897</v>
      </c>
      <c r="J8" s="691" t="n">
        <v>7.44827586206897</v>
      </c>
    </row>
    <row r="9" ht="22.5" customHeight="1" s="355">
      <c r="A9" s="611" t="n"/>
      <c r="B9" s="658" t="inlineStr">
        <is>
          <t>Total FTEs</t>
        </is>
      </c>
      <c r="C9" s="692">
        <f>SUM(C3:C8)</f>
        <v/>
      </c>
      <c r="D9" s="692">
        <f>SUM(D3:D8)</f>
        <v/>
      </c>
      <c r="E9" s="692">
        <f>SUM(E3:E8)</f>
        <v/>
      </c>
      <c r="F9" s="692">
        <f>SUM(F3:F8)</f>
        <v/>
      </c>
      <c r="G9" s="692">
        <f>SUM(G3:G8)</f>
        <v/>
      </c>
      <c r="H9" s="692">
        <f>SUM(H3:H8)</f>
        <v/>
      </c>
      <c r="I9" s="697">
        <f>SUM(I3:I8)</f>
        <v/>
      </c>
      <c r="J9" s="697">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1.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France</t>
        </is>
      </c>
      <c r="B3" s="661" t="inlineStr">
        <is>
          <t>General Accounting &amp; Sox</t>
        </is>
      </c>
      <c r="C3" s="693" t="n"/>
      <c r="D3" s="689" t="n"/>
      <c r="E3" s="689" t="n"/>
      <c r="F3" s="689" t="n"/>
      <c r="G3" s="689" t="n"/>
      <c r="H3" s="689" t="n"/>
      <c r="I3" s="694" t="n"/>
    </row>
    <row r="4" ht="22.5" customHeight="1" s="355">
      <c r="A4" s="664" t="n"/>
      <c r="B4" s="665" t="inlineStr">
        <is>
          <t>Fixed Assets</t>
        </is>
      </c>
      <c r="C4" s="695" t="n"/>
      <c r="D4" s="691" t="n"/>
      <c r="E4" s="691" t="n"/>
      <c r="F4" s="691" t="n"/>
      <c r="G4" s="691" t="n"/>
      <c r="H4" s="691" t="n"/>
      <c r="I4" s="696" t="n"/>
    </row>
    <row r="5" ht="22.5" customHeight="1" s="355">
      <c r="A5" s="664" t="n"/>
      <c r="B5" s="665" t="inlineStr">
        <is>
          <t>Accounts Payable</t>
        </is>
      </c>
      <c r="C5" s="695" t="n"/>
      <c r="D5" s="691" t="n"/>
      <c r="E5" s="691" t="n"/>
      <c r="F5" s="691" t="n"/>
      <c r="G5" s="691" t="n"/>
      <c r="H5" s="691" t="n"/>
      <c r="I5" s="696" t="n"/>
    </row>
    <row r="6" ht="22.5" customHeight="1" s="355">
      <c r="A6" s="664" t="n"/>
      <c r="B6" s="665" t="inlineStr">
        <is>
          <t>T&amp;E</t>
        </is>
      </c>
      <c r="C6" s="695" t="n"/>
      <c r="D6" s="691" t="n"/>
      <c r="E6" s="691" t="n"/>
      <c r="F6" s="691" t="n"/>
      <c r="G6" s="691" t="n"/>
      <c r="H6" s="691" t="n"/>
      <c r="I6" s="696" t="n"/>
    </row>
    <row r="7" ht="22.5" customHeight="1" s="355">
      <c r="A7" s="664" t="n"/>
      <c r="B7" s="665" t="inlineStr">
        <is>
          <t>Order to Cash</t>
        </is>
      </c>
      <c r="C7" s="695" t="n"/>
      <c r="D7" s="691" t="n"/>
      <c r="E7" s="691" t="n"/>
      <c r="F7" s="691" t="n"/>
      <c r="G7" s="691" t="n"/>
      <c r="H7" s="691" t="n"/>
      <c r="I7" s="696"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5" t="n"/>
      <c r="D8" s="691" t="n"/>
      <c r="E8" s="691" t="n"/>
      <c r="F8" s="691" t="n"/>
      <c r="G8" s="691" t="n"/>
      <c r="H8" s="691" t="n"/>
      <c r="I8" s="696" t="n"/>
    </row>
    <row r="9" ht="22.5" customHeight="1" s="355">
      <c r="A9" s="611" t="n"/>
      <c r="B9" s="658" t="inlineStr">
        <is>
          <t>Total FTEs</t>
        </is>
      </c>
      <c r="C9" s="692">
        <f>SUM(C3:C8)</f>
        <v/>
      </c>
      <c r="D9" s="692">
        <f>SUM(D3:D8)</f>
        <v/>
      </c>
      <c r="E9" s="692">
        <f>SUM(E3:E8)</f>
        <v/>
      </c>
      <c r="F9" s="692">
        <f>SUM(F3:F8)</f>
        <v/>
      </c>
      <c r="G9" s="692">
        <f>SUM(G3:G8)</f>
        <v/>
      </c>
      <c r="H9" s="692">
        <f>SUM(H3:H8)</f>
        <v/>
      </c>
      <c r="I9" s="697">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2.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Germany</t>
        </is>
      </c>
      <c r="B3" s="661" t="inlineStr">
        <is>
          <t>General Accounting &amp; Sox</t>
        </is>
      </c>
      <c r="C3" s="693" t="n"/>
      <c r="D3" s="689" t="n"/>
      <c r="E3" s="689" t="n"/>
      <c r="F3" s="689" t="n"/>
      <c r="G3" s="689" t="n"/>
      <c r="H3" s="689" t="n"/>
      <c r="I3" s="694" t="n"/>
    </row>
    <row r="4" ht="22.5" customHeight="1" s="355">
      <c r="A4" s="664" t="n"/>
      <c r="B4" s="665" t="inlineStr">
        <is>
          <t>Fixed Assets</t>
        </is>
      </c>
      <c r="C4" s="695" t="n"/>
      <c r="D4" s="691" t="n"/>
      <c r="E4" s="691" t="n"/>
      <c r="F4" s="691" t="n"/>
      <c r="G4" s="691" t="n"/>
      <c r="H4" s="691" t="n"/>
      <c r="I4" s="696" t="n"/>
    </row>
    <row r="5" ht="22.5" customHeight="1" s="355">
      <c r="A5" s="664" t="n"/>
      <c r="B5" s="665" t="inlineStr">
        <is>
          <t>Accounts Payable</t>
        </is>
      </c>
      <c r="C5" s="695" t="n"/>
      <c r="D5" s="691" t="n"/>
      <c r="E5" s="691" t="n"/>
      <c r="F5" s="691" t="n"/>
      <c r="G5" s="691" t="n"/>
      <c r="H5" s="691" t="n"/>
      <c r="I5" s="696" t="n"/>
    </row>
    <row r="6" ht="22.5" customHeight="1" s="355">
      <c r="A6" s="664" t="n"/>
      <c r="B6" s="665" t="inlineStr">
        <is>
          <t>T&amp;E</t>
        </is>
      </c>
      <c r="C6" s="695" t="n"/>
      <c r="D6" s="691" t="n"/>
      <c r="E6" s="691" t="n"/>
      <c r="F6" s="691" t="n"/>
      <c r="G6" s="691" t="n"/>
      <c r="H6" s="691" t="n"/>
      <c r="I6" s="696" t="n"/>
    </row>
    <row r="7" ht="22.5" customHeight="1" s="355">
      <c r="A7" s="664" t="n"/>
      <c r="B7" s="665" t="inlineStr">
        <is>
          <t>Order to Cash</t>
        </is>
      </c>
      <c r="C7" s="695" t="n"/>
      <c r="D7" s="691" t="n"/>
      <c r="E7" s="691" t="n"/>
      <c r="F7" s="691" t="n"/>
      <c r="G7" s="691" t="n"/>
      <c r="H7" s="691" t="n"/>
      <c r="I7" s="696"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5" t="n"/>
      <c r="D8" s="691" t="n"/>
      <c r="E8" s="691" t="n"/>
      <c r="F8" s="691" t="n"/>
      <c r="G8" s="691" t="n"/>
      <c r="H8" s="691" t="n"/>
      <c r="I8" s="696" t="n"/>
    </row>
    <row r="9" ht="22.5" customHeight="1" s="355">
      <c r="A9" s="611" t="n"/>
      <c r="B9" s="658" t="inlineStr">
        <is>
          <t>Total FTEs</t>
        </is>
      </c>
      <c r="C9" s="692">
        <f>SUM(C3:C8)</f>
        <v/>
      </c>
      <c r="D9" s="692">
        <f>SUM(D3:D8)</f>
        <v/>
      </c>
      <c r="E9" s="692">
        <f>SUM(E3:E8)</f>
        <v/>
      </c>
      <c r="F9" s="692">
        <f>SUM(F3:F8)</f>
        <v/>
      </c>
      <c r="G9" s="692">
        <f>SUM(G3:G8)</f>
        <v/>
      </c>
      <c r="H9" s="692">
        <f>SUM(H3:H8)</f>
        <v/>
      </c>
      <c r="I9" s="697">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3.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Germany Production</t>
        </is>
      </c>
      <c r="B3" s="661" t="inlineStr">
        <is>
          <t>General Accounting &amp; Sox</t>
        </is>
      </c>
      <c r="C3" s="689" t="n"/>
      <c r="D3" s="689" t="n"/>
      <c r="E3" s="689" t="n"/>
      <c r="F3" s="689" t="n"/>
      <c r="G3" s="689" t="n"/>
      <c r="H3" s="689" t="n"/>
      <c r="I3" s="689" t="n"/>
    </row>
    <row r="4" ht="22.5" customHeight="1" s="355">
      <c r="A4" s="664" t="n"/>
      <c r="B4" s="665" t="inlineStr">
        <is>
          <t>Fixed Assets</t>
        </is>
      </c>
      <c r="C4" s="691" t="n"/>
      <c r="D4" s="691" t="n"/>
      <c r="E4" s="691" t="n"/>
      <c r="F4" s="691" t="n"/>
      <c r="G4" s="691" t="n"/>
      <c r="H4" s="691" t="n"/>
      <c r="I4" s="691" t="n"/>
    </row>
    <row r="5" ht="22.5" customHeight="1" s="355">
      <c r="A5" s="664" t="n"/>
      <c r="B5" s="665" t="inlineStr">
        <is>
          <t>Accounts Payable</t>
        </is>
      </c>
      <c r="C5" s="691" t="n"/>
      <c r="D5" s="691" t="n"/>
      <c r="E5" s="691" t="n"/>
      <c r="F5" s="691" t="n"/>
      <c r="G5" s="691" t="n"/>
      <c r="H5" s="691" t="n"/>
      <c r="I5" s="691" t="n"/>
    </row>
    <row r="6" ht="22.5" customHeight="1" s="355">
      <c r="A6" s="664" t="n"/>
      <c r="B6" s="665" t="inlineStr">
        <is>
          <t>T&amp;E</t>
        </is>
      </c>
      <c r="C6" s="691" t="n"/>
      <c r="D6" s="691" t="n"/>
      <c r="E6" s="691" t="n"/>
      <c r="F6" s="691" t="n"/>
      <c r="G6" s="691" t="n"/>
      <c r="H6" s="691" t="n"/>
      <c r="I6" s="691" t="n"/>
    </row>
    <row r="7" ht="22.5" customHeight="1" s="355">
      <c r="A7" s="664" t="n"/>
      <c r="B7" s="665" t="inlineStr">
        <is>
          <t>Order to Cash</t>
        </is>
      </c>
      <c r="C7" s="691" t="n"/>
      <c r="D7" s="691" t="n"/>
      <c r="E7" s="691" t="n"/>
      <c r="F7" s="691" t="n"/>
      <c r="G7" s="691" t="n"/>
      <c r="H7" s="691" t="n"/>
      <c r="I7" s="691"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1" t="n"/>
      <c r="D8" s="691" t="n"/>
      <c r="E8" s="691" t="n"/>
      <c r="F8" s="691" t="n"/>
      <c r="G8" s="691" t="n"/>
      <c r="H8" s="691" t="n"/>
      <c r="I8" s="691" t="n"/>
    </row>
    <row r="9" ht="22.5" customHeight="1" s="355">
      <c r="A9" s="611" t="n"/>
      <c r="B9" s="658" t="inlineStr">
        <is>
          <t>Total FTEs</t>
        </is>
      </c>
      <c r="C9" s="692">
        <f>SUM(C3:C8)</f>
        <v/>
      </c>
      <c r="D9" s="692">
        <f>SUM(D3:D8)</f>
        <v/>
      </c>
      <c r="E9" s="692">
        <f>SUM(E3:E8)</f>
        <v/>
      </c>
      <c r="F9" s="692">
        <f>SUM(F3:F8)</f>
        <v/>
      </c>
      <c r="G9" s="692">
        <f>SUM(G3:G8)</f>
        <v/>
      </c>
      <c r="H9" s="692">
        <f>SUM(H3:H8)</f>
        <v/>
      </c>
      <c r="I9" s="697">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4.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Spain</t>
        </is>
      </c>
      <c r="B3" s="661" t="inlineStr">
        <is>
          <t>General Accounting &amp; Sox</t>
        </is>
      </c>
      <c r="C3" s="693" t="n"/>
      <c r="D3" s="689" t="n"/>
      <c r="E3" s="689" t="n"/>
      <c r="F3" s="689" t="n"/>
      <c r="G3" s="689" t="n"/>
      <c r="H3" s="689" t="n"/>
      <c r="I3" s="694" t="n"/>
    </row>
    <row r="4" ht="22.5" customHeight="1" s="355">
      <c r="A4" s="664" t="n"/>
      <c r="B4" s="665" t="inlineStr">
        <is>
          <t>Fixed Assets</t>
        </is>
      </c>
      <c r="C4" s="695" t="n"/>
      <c r="D4" s="691" t="n"/>
      <c r="E4" s="691" t="n"/>
      <c r="F4" s="691" t="n"/>
      <c r="G4" s="691" t="n"/>
      <c r="H4" s="691" t="n"/>
      <c r="I4" s="696" t="n"/>
    </row>
    <row r="5" ht="22.5" customHeight="1" s="355">
      <c r="A5" s="664" t="n"/>
      <c r="B5" s="665" t="inlineStr">
        <is>
          <t>Accounts Payable</t>
        </is>
      </c>
      <c r="C5" s="695" t="n"/>
      <c r="D5" s="691" t="n"/>
      <c r="E5" s="691" t="n"/>
      <c r="F5" s="691" t="n"/>
      <c r="G5" s="691" t="n"/>
      <c r="H5" s="691" t="n"/>
      <c r="I5" s="696" t="n"/>
    </row>
    <row r="6" ht="22.5" customHeight="1" s="355">
      <c r="A6" s="664" t="n"/>
      <c r="B6" s="665" t="inlineStr">
        <is>
          <t>T&amp;E</t>
        </is>
      </c>
      <c r="C6" s="695" t="n"/>
      <c r="D6" s="691" t="n"/>
      <c r="E6" s="691" t="n"/>
      <c r="F6" s="691" t="n"/>
      <c r="G6" s="691" t="n"/>
      <c r="H6" s="691" t="n"/>
      <c r="I6" s="696" t="n"/>
    </row>
    <row r="7" ht="22.5" customHeight="1" s="355">
      <c r="A7" s="664" t="n"/>
      <c r="B7" s="665" t="inlineStr">
        <is>
          <t>Order to Cash</t>
        </is>
      </c>
      <c r="C7" s="695" t="n"/>
      <c r="D7" s="691" t="n"/>
      <c r="E7" s="691" t="n"/>
      <c r="F7" s="691" t="n"/>
      <c r="G7" s="691" t="n"/>
      <c r="H7" s="691" t="n"/>
      <c r="I7" s="696"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5" t="n"/>
      <c r="D8" s="691" t="n"/>
      <c r="E8" s="691" t="n"/>
      <c r="F8" s="691" t="n"/>
      <c r="G8" s="691" t="n"/>
      <c r="H8" s="691" t="n"/>
      <c r="I8" s="696" t="n"/>
    </row>
    <row r="9" ht="22.5" customHeight="1" s="355">
      <c r="A9" s="611" t="n"/>
      <c r="B9" s="658" t="inlineStr">
        <is>
          <t>Total FTEs</t>
        </is>
      </c>
      <c r="C9" s="692">
        <f>SUM(C3:C8)</f>
        <v/>
      </c>
      <c r="D9" s="692">
        <f>SUM(D3:D8)</f>
        <v/>
      </c>
      <c r="E9" s="692">
        <f>SUM(E3:E8)</f>
        <v/>
      </c>
      <c r="F9" s="692">
        <f>SUM(F3:F8)</f>
        <v/>
      </c>
      <c r="G9" s="692">
        <f>SUM(G3:G8)</f>
        <v/>
      </c>
      <c r="H9" s="692">
        <f>SUM(H3:H8)</f>
        <v/>
      </c>
      <c r="I9" s="697">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5.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J11"/>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row>
    <row r="3" ht="22.5" customHeight="1" s="355">
      <c r="A3" s="660" t="inlineStr">
        <is>
          <t>Italy</t>
        </is>
      </c>
      <c r="B3" s="661" t="inlineStr">
        <is>
          <t>General Accounting &amp; Sox</t>
        </is>
      </c>
      <c r="C3" s="693" t="n"/>
      <c r="D3" s="689" t="n"/>
      <c r="E3" s="689" t="n"/>
      <c r="F3" s="689" t="n"/>
      <c r="G3" s="689" t="n"/>
      <c r="H3" s="689" t="n"/>
      <c r="I3" s="694" t="n"/>
    </row>
    <row r="4" ht="22.5" customHeight="1" s="355">
      <c r="A4" s="664" t="n"/>
      <c r="B4" s="665" t="inlineStr">
        <is>
          <t>Fixed Assets</t>
        </is>
      </c>
      <c r="C4" s="695" t="n"/>
      <c r="D4" s="691" t="n"/>
      <c r="E4" s="691" t="n"/>
      <c r="F4" s="691" t="n"/>
      <c r="G4" s="691" t="n"/>
      <c r="H4" s="691" t="n"/>
      <c r="I4" s="696" t="n"/>
    </row>
    <row r="5" ht="22.5" customHeight="1" s="355">
      <c r="A5" s="664" t="n"/>
      <c r="B5" s="665" t="inlineStr">
        <is>
          <t>Accounts Payable</t>
        </is>
      </c>
      <c r="C5" s="695" t="n"/>
      <c r="D5" s="691" t="n"/>
      <c r="E5" s="691" t="n"/>
      <c r="F5" s="691" t="n"/>
      <c r="G5" s="691" t="n"/>
      <c r="H5" s="691" t="n"/>
      <c r="I5" s="696" t="n"/>
    </row>
    <row r="6" ht="22.5" customHeight="1" s="355">
      <c r="A6" s="664" t="n"/>
      <c r="B6" s="665" t="inlineStr">
        <is>
          <t>T&amp;E</t>
        </is>
      </c>
      <c r="C6" s="695" t="n"/>
      <c r="D6" s="691" t="n"/>
      <c r="E6" s="691" t="n"/>
      <c r="F6" s="691" t="n"/>
      <c r="G6" s="691" t="n"/>
      <c r="H6" s="691" t="n"/>
      <c r="I6" s="696" t="n"/>
    </row>
    <row r="7" ht="22.5" customHeight="1" s="355">
      <c r="A7" s="664" t="n"/>
      <c r="B7" s="665" t="inlineStr">
        <is>
          <t>Order to Cash</t>
        </is>
      </c>
      <c r="C7" s="695" t="n"/>
      <c r="D7" s="691" t="n"/>
      <c r="E7" s="691" t="n"/>
      <c r="F7" s="691" t="n"/>
      <c r="G7" s="691" t="n"/>
      <c r="H7" s="691" t="n"/>
      <c r="I7" s="696" t="n"/>
      <c r="J7" s="354" t="n"/>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5" t="n"/>
      <c r="D8" s="691" t="n"/>
      <c r="E8" s="691" t="n"/>
      <c r="F8" s="691" t="n"/>
      <c r="G8" s="691" t="n"/>
      <c r="H8" s="691" t="n"/>
      <c r="I8" s="696" t="n"/>
    </row>
    <row r="9" ht="22.5" customHeight="1" s="355">
      <c r="A9" s="611" t="n"/>
      <c r="B9" s="658" t="inlineStr">
        <is>
          <t>Total FTEs</t>
        </is>
      </c>
      <c r="C9" s="692">
        <f>SUM(C3:C8)</f>
        <v/>
      </c>
      <c r="D9" s="692">
        <f>SUM(D3:D8)</f>
        <v/>
      </c>
      <c r="E9" s="692">
        <f>SUM(E3:E8)</f>
        <v/>
      </c>
      <c r="F9" s="692">
        <f>SUM(F3:F8)</f>
        <v/>
      </c>
      <c r="G9" s="692">
        <f>SUM(G3:G8)</f>
        <v/>
      </c>
      <c r="H9" s="692">
        <f>SUM(H3:H8)</f>
        <v/>
      </c>
      <c r="I9" s="697">
        <f>SUM(I3:I8)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6.xml><?xml version="1.0" encoding="utf-8"?>
<worksheet xmlns="http://schemas.openxmlformats.org/spreadsheetml/2006/main">
  <sheetPr filterMode="0">
    <tabColor rgb="FFFFFF00"/>
    <outlinePr summaryBelow="1" summaryRight="1"/>
    <pageSetUpPr fitToPage="1"/>
  </sheetPr>
  <dimension ref="A1:W9"/>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0"/>
    </sheetView>
  </sheetViews>
  <sheetFormatPr baseColWidth="8" defaultColWidth="8.3984375" defaultRowHeight="12.75" customHeight="1" zeroHeight="0" outlineLevelRow="0"/>
  <cols>
    <col width="33.78" customWidth="1" style="407" min="1" max="1"/>
    <col width="28.52" customWidth="1" style="407" min="2" max="2"/>
    <col width="13.95" customWidth="1" style="407" min="3" max="9"/>
    <col width="8.4" customWidth="1" style="407" min="10" max="257"/>
  </cols>
  <sheetData>
    <row r="1" ht="22.5" customHeight="1" s="355">
      <c r="A1" s="655" t="inlineStr">
        <is>
          <t>FTE Projection Input Form - Centre Two</t>
        </is>
      </c>
      <c r="B1" s="656" t="n"/>
      <c r="C1" s="657" t="n"/>
      <c r="D1" s="657" t="n"/>
      <c r="E1" s="657" t="n"/>
      <c r="F1" s="657" t="n"/>
      <c r="G1" s="657" t="n"/>
      <c r="H1" s="657" t="n"/>
      <c r="I1" s="657" t="n"/>
    </row>
    <row r="2" ht="22.5" customHeight="1" s="355">
      <c r="A2" s="658" t="inlineStr">
        <is>
          <t>Country</t>
        </is>
      </c>
      <c r="B2" s="658" t="inlineStr">
        <is>
          <t>Process Area</t>
        </is>
      </c>
      <c r="C2" s="648" t="inlineStr">
        <is>
          <t>Year 1</t>
        </is>
      </c>
      <c r="D2" s="649" t="inlineStr">
        <is>
          <t>Year 2</t>
        </is>
      </c>
      <c r="E2" s="649" t="inlineStr">
        <is>
          <t>Year 3</t>
        </is>
      </c>
      <c r="F2" s="649" t="inlineStr">
        <is>
          <t>Year 4</t>
        </is>
      </c>
      <c r="G2" s="649" t="inlineStr">
        <is>
          <t>Year 5</t>
        </is>
      </c>
      <c r="H2" s="649" t="inlineStr">
        <is>
          <t>Year 6</t>
        </is>
      </c>
      <c r="I2" s="659" t="inlineStr">
        <is>
          <t>Year 7</t>
        </is>
      </c>
      <c r="J2" s="659" t="inlineStr">
        <is>
          <t>Year 8</t>
        </is>
      </c>
    </row>
    <row r="3" ht="22.5" customHeight="1" s="355">
      <c r="A3" s="660" t="inlineStr">
        <is>
          <t>United Kingdom</t>
        </is>
      </c>
      <c r="B3" s="661" t="inlineStr">
        <is>
          <t>General Accounting &amp; Sox</t>
        </is>
      </c>
      <c r="C3" s="689" t="n">
        <v>0.494623655913978</v>
      </c>
      <c r="D3" s="689" t="n">
        <v>1</v>
      </c>
      <c r="E3" s="689" t="n">
        <v>0.977083333333333</v>
      </c>
      <c r="F3" s="689" t="n">
        <v>0.9520833333333329</v>
      </c>
      <c r="G3" s="689" t="n">
        <v>0.927083333333334</v>
      </c>
      <c r="H3" s="689" t="n">
        <v>0.879166666666667</v>
      </c>
      <c r="I3" s="689" t="n">
        <v>0.875</v>
      </c>
      <c r="J3" s="689" t="n">
        <v>0.875</v>
      </c>
    </row>
    <row r="4" ht="22.5" customHeight="1" s="355">
      <c r="A4" s="664" t="n"/>
      <c r="B4" s="665" t="inlineStr">
        <is>
          <t>Fixed Assets</t>
        </is>
      </c>
      <c r="C4" s="691" t="n">
        <v>0</v>
      </c>
      <c r="D4" s="691" t="n">
        <v>0</v>
      </c>
      <c r="E4" s="691" t="n">
        <v>0</v>
      </c>
      <c r="F4" s="691" t="n">
        <v>0</v>
      </c>
      <c r="G4" s="691" t="n">
        <v>0</v>
      </c>
      <c r="H4" s="691" t="n">
        <v>0</v>
      </c>
      <c r="I4" s="691" t="n">
        <v>0</v>
      </c>
      <c r="J4" s="691" t="n">
        <v>0</v>
      </c>
    </row>
    <row r="5" ht="22.5" customHeight="1" s="355">
      <c r="A5" s="664" t="n"/>
      <c r="B5" s="665" t="inlineStr">
        <is>
          <t>Accounts Payable</t>
        </is>
      </c>
      <c r="C5" s="691" t="n">
        <v>3</v>
      </c>
      <c r="D5" s="691" t="n">
        <v>5.77777777777778</v>
      </c>
      <c r="E5" s="691" t="n">
        <v>5.36111111111111</v>
      </c>
      <c r="F5" s="691" t="n">
        <v>5.02777777777778</v>
      </c>
      <c r="G5" s="691" t="n">
        <v>4.69444444444444</v>
      </c>
      <c r="H5" s="691" t="n">
        <v>4.66666666666667</v>
      </c>
      <c r="I5" s="691" t="n">
        <v>4.66666666666667</v>
      </c>
      <c r="J5" s="691" t="n">
        <v>4.66666666666667</v>
      </c>
    </row>
    <row r="6" ht="22.5" customHeight="1" s="355">
      <c r="A6" s="664" t="n"/>
      <c r="B6" s="665" t="inlineStr">
        <is>
          <t>T&amp;E</t>
        </is>
      </c>
      <c r="C6" s="691" t="n">
        <v>1.06666666666667</v>
      </c>
      <c r="D6" s="691" t="n">
        <v>2</v>
      </c>
      <c r="E6" s="691" t="n">
        <v>1.95416666666667</v>
      </c>
      <c r="F6" s="691" t="n">
        <v>1.90416666666667</v>
      </c>
      <c r="G6" s="691" t="n">
        <v>1.85416666666667</v>
      </c>
      <c r="H6" s="691" t="n">
        <v>1.75833333333333</v>
      </c>
      <c r="I6" s="691" t="n">
        <v>1.75</v>
      </c>
      <c r="J6" s="691" t="n">
        <v>1.75</v>
      </c>
    </row>
    <row r="7" ht="22.5" customHeight="1" s="355">
      <c r="A7" s="664" t="n"/>
      <c r="B7" s="665" t="inlineStr">
        <is>
          <t>Order to Cash</t>
        </is>
      </c>
      <c r="C7" s="691" t="n">
        <v>1.06666666666667</v>
      </c>
      <c r="D7" s="691" t="n">
        <v>2</v>
      </c>
      <c r="E7" s="691" t="n">
        <v>1.95416666666667</v>
      </c>
      <c r="F7" s="691" t="n">
        <v>1.90416666666667</v>
      </c>
      <c r="G7" s="691" t="n">
        <v>1.85416666666667</v>
      </c>
      <c r="H7" s="691" t="n">
        <v>1.75833333333333</v>
      </c>
      <c r="I7" s="691" t="n">
        <v>1.75</v>
      </c>
      <c r="J7" s="691" t="n">
        <v>1.75</v>
      </c>
      <c r="K7" s="354" t="n"/>
      <c r="L7" s="354" t="n"/>
      <c r="M7" s="354" t="n"/>
      <c r="N7" s="354" t="n"/>
      <c r="O7" s="354" t="n"/>
      <c r="P7" s="354" t="n"/>
      <c r="Q7" s="354" t="n"/>
      <c r="R7" s="354" t="n"/>
      <c r="S7" s="354" t="n"/>
      <c r="T7" s="354" t="n"/>
      <c r="U7" s="354" t="n"/>
      <c r="V7" s="354" t="n"/>
      <c r="W7" s="354" t="n"/>
    </row>
    <row r="8" ht="22.5" customHeight="1" s="355">
      <c r="A8" s="664" t="n"/>
      <c r="B8" s="665" t="inlineStr">
        <is>
          <t>Requistion to Pay</t>
        </is>
      </c>
      <c r="C8" s="691" t="n">
        <v>1</v>
      </c>
      <c r="D8" s="691" t="n">
        <v>0</v>
      </c>
      <c r="E8" s="691" t="n">
        <v>0</v>
      </c>
      <c r="F8" s="691" t="n">
        <v>0</v>
      </c>
      <c r="G8" s="691" t="n">
        <v>0</v>
      </c>
      <c r="H8" s="691" t="n">
        <v>0</v>
      </c>
      <c r="I8" s="691" t="n">
        <v>0</v>
      </c>
      <c r="J8" s="691" t="n">
        <v>0</v>
      </c>
    </row>
    <row r="9" ht="22.5" customHeight="1" s="355">
      <c r="A9" s="611" t="n"/>
      <c r="B9" s="658" t="inlineStr">
        <is>
          <t>Total FTEs</t>
        </is>
      </c>
      <c r="C9" s="692">
        <f>SUM(C3:C8)</f>
        <v/>
      </c>
      <c r="D9" s="692">
        <f>SUM(D3:D8)</f>
        <v/>
      </c>
      <c r="E9" s="692">
        <f>SUM(E3:E8)</f>
        <v/>
      </c>
      <c r="F9" s="692">
        <f>SUM(F3:F8)</f>
        <v/>
      </c>
      <c r="G9" s="692">
        <f>SUM(G3:G8)</f>
        <v/>
      </c>
      <c r="H9" s="692">
        <f>SUM(H3:H8)</f>
        <v/>
      </c>
      <c r="I9" s="697">
        <f>SUM(I3:I8)</f>
        <v/>
      </c>
      <c r="J9" s="697">
        <f>SUM(J3:J8)</f>
        <v/>
      </c>
    </row>
    <row r="12" ht="22.5" customHeight="1" s="355"/>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&amp;C&amp;"Times New Roman,Regular"&amp;F</oddHeader>
    <oddFooter>&amp;C&amp;"Times New Roman,Regular"Page &amp;P of &amp;N</oddFooter>
    <evenHeader/>
    <evenFooter/>
    <firstHeader/>
    <firstFooter/>
  </headerFooter>
</worksheet>
</file>

<file path=xl/worksheets/sheet47.xml><?xml version="1.0" encoding="utf-8"?>
<worksheet xmlns="http://schemas.openxmlformats.org/spreadsheetml/2006/main">
  <sheetPr filterMode="0">
    <outlinePr summaryBelow="1" summaryRight="1"/>
    <pageSetUpPr fitToPage="1"/>
  </sheetPr>
  <dimension ref="A1:DM199"/>
  <sheetViews>
    <sheetView showFormulas="0" showGridLines="1" showRowColHeaders="1" showZeros="1" rightToLeft="0" tabSelected="0" showOutlineSymbols="1" defaultGridColor="1" view="normal" topLeftCell="A1" colorId="64" zoomScale="50" zoomScaleNormal="5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DM199"/>
    </sheetView>
  </sheetViews>
  <sheetFormatPr baseColWidth="8" defaultColWidth="9.59765625" defaultRowHeight="13.5" customHeight="1" zeroHeight="0" outlineLevelRow="0"/>
  <cols>
    <col width="17.41" customWidth="1" style="698" min="1" max="1"/>
    <col width="10.65" customWidth="1" style="698" min="2" max="2"/>
    <col width="7.2" customWidth="1" style="698" min="3" max="3"/>
    <col width="7.04" customWidth="1" style="698" min="4" max="7"/>
    <col width="6.3" customWidth="1" style="698" min="8" max="8"/>
    <col width="9.6" customWidth="1" style="698" min="9" max="9"/>
    <col width="6.3" customWidth="1" style="698" min="10" max="12"/>
    <col width="7.95" customWidth="1" style="698" min="13" max="13"/>
    <col width="6.3" customWidth="1" style="698" min="14" max="16"/>
    <col width="7.04" customWidth="1" style="698" min="17" max="21"/>
    <col width="6.14" customWidth="1" style="698" min="22" max="33"/>
    <col width="7.2" customWidth="1" style="698" min="34" max="34"/>
    <col width="6.3" customWidth="1" style="698" min="35" max="40"/>
    <col width="6.14" customWidth="1" style="354" min="41" max="117"/>
  </cols>
  <sheetData>
    <row r="1" ht="12.75" customHeight="1" s="355">
      <c r="A1" s="699" t="inlineStr">
        <is>
          <t>Cash Flow (EUR '000)</t>
        </is>
      </c>
      <c r="B1" s="699" t="inlineStr">
        <is>
          <t>Profile</t>
        </is>
      </c>
      <c r="C1" s="700" t="n">
        <v>39113</v>
      </c>
      <c r="D1" s="701" t="n">
        <v>39141</v>
      </c>
      <c r="E1" s="701" t="n">
        <v>39172</v>
      </c>
      <c r="F1" s="701" t="n">
        <v>39202</v>
      </c>
      <c r="G1" s="701" t="n">
        <v>39233</v>
      </c>
      <c r="H1" s="701" t="n">
        <v>39263</v>
      </c>
      <c r="I1" s="701" t="n">
        <v>39294</v>
      </c>
      <c r="J1" s="701" t="n">
        <v>39325</v>
      </c>
      <c r="K1" s="701" t="n">
        <v>39355</v>
      </c>
      <c r="L1" s="701" t="n">
        <v>39386</v>
      </c>
      <c r="M1" s="701" t="n">
        <v>39416</v>
      </c>
      <c r="N1" s="701" t="n">
        <v>39447</v>
      </c>
      <c r="O1" s="701" t="n">
        <v>39478</v>
      </c>
      <c r="P1" s="701" t="n">
        <v>39507</v>
      </c>
      <c r="Q1" s="701" t="n">
        <v>39538</v>
      </c>
      <c r="R1" s="701" t="n">
        <v>39568</v>
      </c>
      <c r="S1" s="701" t="n">
        <v>39599</v>
      </c>
      <c r="T1" s="701" t="n">
        <v>39629</v>
      </c>
      <c r="U1" s="701" t="n">
        <v>39660</v>
      </c>
      <c r="V1" s="701" t="n">
        <v>39691</v>
      </c>
      <c r="W1" s="701" t="n">
        <v>39721</v>
      </c>
      <c r="X1" s="701" t="n">
        <v>39752</v>
      </c>
      <c r="Y1" s="701" t="n">
        <v>39782</v>
      </c>
      <c r="Z1" s="701" t="n">
        <v>39813</v>
      </c>
      <c r="AA1" s="701" t="n">
        <v>39844</v>
      </c>
      <c r="AB1" s="701" t="n">
        <v>39872</v>
      </c>
      <c r="AC1" s="701" t="n">
        <v>39903</v>
      </c>
      <c r="AD1" s="701" t="n">
        <v>39933</v>
      </c>
      <c r="AE1" s="701" t="n">
        <v>39964</v>
      </c>
      <c r="AF1" s="701" t="n">
        <v>39994</v>
      </c>
      <c r="AG1" s="701" t="n">
        <v>40025</v>
      </c>
      <c r="AH1" s="701" t="n">
        <v>40056</v>
      </c>
      <c r="AI1" s="701" t="n">
        <v>40086</v>
      </c>
      <c r="AJ1" s="701" t="n">
        <v>40117</v>
      </c>
      <c r="AK1" s="701" t="n">
        <v>40147</v>
      </c>
      <c r="AL1" s="701" t="n">
        <v>40178</v>
      </c>
      <c r="AM1" s="701" t="n">
        <v>40209</v>
      </c>
      <c r="AN1" s="701" t="n">
        <v>40237</v>
      </c>
      <c r="AO1" s="701" t="n">
        <v>40268</v>
      </c>
      <c r="AP1" s="701" t="n">
        <v>40298</v>
      </c>
      <c r="AQ1" s="701" t="n">
        <v>40329</v>
      </c>
      <c r="AR1" s="701" t="n">
        <v>40359</v>
      </c>
      <c r="AS1" s="701" t="n">
        <v>40390</v>
      </c>
      <c r="AT1" s="701" t="n">
        <v>40421</v>
      </c>
      <c r="AU1" s="701" t="n">
        <v>40451</v>
      </c>
      <c r="AV1" s="701" t="n">
        <v>40482</v>
      </c>
      <c r="AW1" s="701" t="n">
        <v>40512</v>
      </c>
      <c r="AX1" s="701" t="n">
        <v>40543</v>
      </c>
      <c r="AY1" s="701" t="n">
        <v>40574</v>
      </c>
      <c r="AZ1" s="701" t="n">
        <v>40602</v>
      </c>
      <c r="BA1" s="701" t="n">
        <v>40633</v>
      </c>
      <c r="BB1" s="701" t="n">
        <v>40663</v>
      </c>
      <c r="BC1" s="701" t="n">
        <v>40694</v>
      </c>
      <c r="BD1" s="701" t="n">
        <v>40724</v>
      </c>
      <c r="BE1" s="701" t="n">
        <v>40755</v>
      </c>
      <c r="BF1" s="701" t="n">
        <v>40786</v>
      </c>
      <c r="BG1" s="701" t="n">
        <v>40816</v>
      </c>
      <c r="BH1" s="701" t="n">
        <v>40847</v>
      </c>
      <c r="BI1" s="701" t="n">
        <v>40877</v>
      </c>
      <c r="BJ1" s="701" t="n">
        <v>40908</v>
      </c>
      <c r="BK1" s="701" t="n">
        <v>40939</v>
      </c>
      <c r="BL1" s="701" t="n">
        <v>40968</v>
      </c>
      <c r="BM1" s="701" t="n">
        <v>40999</v>
      </c>
      <c r="BN1" s="701" t="n">
        <v>41029</v>
      </c>
      <c r="BO1" s="701" t="n">
        <v>41060</v>
      </c>
      <c r="BP1" s="701" t="n">
        <v>41090</v>
      </c>
      <c r="BQ1" s="701" t="n">
        <v>41121</v>
      </c>
      <c r="BR1" s="701" t="n">
        <v>41152</v>
      </c>
      <c r="BS1" s="701" t="n">
        <v>41182</v>
      </c>
      <c r="BT1" s="701" t="n">
        <v>41213</v>
      </c>
      <c r="BU1" s="701" t="n">
        <v>41243</v>
      </c>
      <c r="BV1" s="701" t="n">
        <v>41274</v>
      </c>
      <c r="BW1" s="701" t="n">
        <v>41305</v>
      </c>
      <c r="BX1" s="701" t="n">
        <v>41333</v>
      </c>
      <c r="BY1" s="701" t="n">
        <v>41364</v>
      </c>
      <c r="BZ1" s="701" t="n">
        <v>41394</v>
      </c>
      <c r="CA1" s="701" t="n">
        <v>41425</v>
      </c>
      <c r="CB1" s="701" t="n">
        <v>41455</v>
      </c>
      <c r="CC1" s="701" t="n">
        <v>41486</v>
      </c>
      <c r="CD1" s="701" t="n">
        <v>41517</v>
      </c>
      <c r="CE1" s="701" t="n">
        <v>41547</v>
      </c>
      <c r="CF1" s="701" t="n">
        <v>41578</v>
      </c>
      <c r="CG1" s="701" t="n">
        <v>41608</v>
      </c>
      <c r="CH1" s="701" t="n">
        <v>41639</v>
      </c>
      <c r="CI1" s="701" t="n">
        <v>41670</v>
      </c>
      <c r="CJ1" s="701" t="n">
        <v>41698</v>
      </c>
      <c r="CK1" s="701" t="n">
        <v>41729</v>
      </c>
      <c r="CL1" s="701" t="n">
        <v>41759</v>
      </c>
      <c r="CM1" s="701" t="n">
        <v>41790</v>
      </c>
      <c r="CN1" s="701" t="n">
        <v>41820</v>
      </c>
      <c r="CO1" s="701" t="n">
        <v>41851</v>
      </c>
      <c r="CP1" s="701" t="n">
        <v>41882</v>
      </c>
      <c r="CQ1" s="701" t="n">
        <v>41912</v>
      </c>
      <c r="CR1" s="701" t="n">
        <v>41943</v>
      </c>
      <c r="CS1" s="701" t="n">
        <v>41973</v>
      </c>
      <c r="CT1" s="701" t="n">
        <v>42004</v>
      </c>
      <c r="CU1" s="701" t="n">
        <v>42035</v>
      </c>
      <c r="CV1" s="701" t="n">
        <v>42063</v>
      </c>
      <c r="CW1" s="701" t="n">
        <v>42094</v>
      </c>
      <c r="CX1" s="701" t="n">
        <v>42124</v>
      </c>
      <c r="CY1" s="701" t="n">
        <v>42155</v>
      </c>
      <c r="CZ1" s="701" t="n">
        <v>42185</v>
      </c>
      <c r="DA1" s="701" t="n">
        <v>42216</v>
      </c>
      <c r="DB1" s="701" t="n">
        <v>42247</v>
      </c>
      <c r="DC1" s="701" t="n">
        <v>42277</v>
      </c>
      <c r="DD1" s="701" t="n">
        <v>42308</v>
      </c>
      <c r="DE1" s="701" t="n">
        <v>42338</v>
      </c>
      <c r="DF1" s="701" t="n">
        <v>42369</v>
      </c>
      <c r="DG1" s="701" t="n">
        <v>42400</v>
      </c>
      <c r="DH1" s="701" t="n">
        <v>42429</v>
      </c>
      <c r="DI1" s="701" t="n">
        <v>42460</v>
      </c>
      <c r="DJ1" s="701" t="n">
        <v>42490</v>
      </c>
      <c r="DK1" s="701" t="n">
        <v>42521</v>
      </c>
      <c r="DL1" s="701" t="n">
        <v>42551</v>
      </c>
      <c r="DM1" s="701" t="n">
        <v>42582</v>
      </c>
    </row>
    <row r="2" ht="13.5" customHeight="1" s="355">
      <c r="A2" s="702" t="inlineStr">
        <is>
          <t>Switzerland</t>
        </is>
      </c>
      <c r="B2" s="703" t="inlineStr">
        <is>
          <t>Gen Acctg</t>
        </is>
      </c>
      <c r="C2" s="704" t="n"/>
      <c r="D2" s="704" t="n">
        <v>0</v>
      </c>
      <c r="E2" s="704" t="n">
        <v>0</v>
      </c>
      <c r="F2" s="704" t="n">
        <v>0</v>
      </c>
      <c r="G2" s="704" t="n">
        <v>0</v>
      </c>
      <c r="H2" s="704" t="n">
        <v>0</v>
      </c>
      <c r="I2" s="704" t="n">
        <v>0</v>
      </c>
      <c r="J2" s="704" t="n">
        <v>0</v>
      </c>
      <c r="K2" s="704" t="n">
        <v>1.57108172495345</v>
      </c>
      <c r="L2" s="704" t="n">
        <v>7.85540862476724</v>
      </c>
      <c r="M2" s="704" t="n">
        <v>1.77380194752809</v>
      </c>
      <c r="N2" s="704" t="n">
        <v>1.57108172495345</v>
      </c>
      <c r="O2" s="704" t="n">
        <v>1.57108172495345</v>
      </c>
      <c r="P2" s="704" t="n">
        <v>1.61821417670205</v>
      </c>
      <c r="Q2" s="704" t="n">
        <v>0</v>
      </c>
      <c r="R2" s="704" t="n">
        <v>0</v>
      </c>
      <c r="S2" s="704" t="n">
        <v>0</v>
      </c>
      <c r="T2" s="704" t="n">
        <v>0</v>
      </c>
      <c r="U2" s="704" t="n">
        <v>0</v>
      </c>
      <c r="V2" s="704" t="n">
        <v>0</v>
      </c>
      <c r="W2" s="704" t="n">
        <v>0</v>
      </c>
      <c r="X2" s="704" t="n">
        <v>0</v>
      </c>
      <c r="Y2" s="704" t="n">
        <v>0</v>
      </c>
      <c r="Z2" s="704" t="n">
        <v>0</v>
      </c>
      <c r="AA2" s="704" t="n">
        <v>0</v>
      </c>
      <c r="AB2" s="704" t="n">
        <v>0</v>
      </c>
      <c r="AC2" s="704" t="n">
        <v>0</v>
      </c>
      <c r="AD2" s="704" t="n">
        <v>0</v>
      </c>
      <c r="AE2" s="704" t="n">
        <v>0</v>
      </c>
      <c r="AF2" s="704" t="n">
        <v>0</v>
      </c>
      <c r="AG2" s="704" t="n">
        <v>0</v>
      </c>
      <c r="AH2" s="704" t="n">
        <v>0</v>
      </c>
      <c r="AI2" s="704" t="n">
        <v>0</v>
      </c>
      <c r="AJ2" s="704" t="n">
        <v>0</v>
      </c>
      <c r="AK2" s="704" t="n">
        <v>0</v>
      </c>
      <c r="AL2" s="704" t="n">
        <v>0</v>
      </c>
      <c r="AM2" s="704" t="n">
        <v>0</v>
      </c>
      <c r="AN2" s="704" t="n">
        <v>0</v>
      </c>
      <c r="AO2" s="704" t="n">
        <v>0</v>
      </c>
      <c r="AP2" s="704" t="n">
        <v>0</v>
      </c>
      <c r="AQ2" s="704" t="n">
        <v>0</v>
      </c>
      <c r="AR2" s="704" t="n">
        <v>0</v>
      </c>
      <c r="AS2" s="704" t="n">
        <v>0</v>
      </c>
      <c r="AT2" s="704" t="n">
        <v>0</v>
      </c>
      <c r="AU2" s="704" t="n">
        <v>0</v>
      </c>
      <c r="AV2" s="704" t="n">
        <v>0</v>
      </c>
      <c r="AW2" s="704" t="n">
        <v>0</v>
      </c>
      <c r="AX2" s="704" t="n">
        <v>0</v>
      </c>
      <c r="AY2" s="704" t="n">
        <v>0</v>
      </c>
      <c r="AZ2" s="704" t="n">
        <v>0</v>
      </c>
      <c r="BA2" s="704" t="n">
        <v>0</v>
      </c>
      <c r="BB2" s="704" t="n">
        <v>0</v>
      </c>
      <c r="BC2" s="704" t="n">
        <v>0</v>
      </c>
      <c r="BD2" s="704" t="n">
        <v>0</v>
      </c>
      <c r="BE2" s="704" t="n">
        <v>0</v>
      </c>
      <c r="BF2" s="704" t="n">
        <v>0</v>
      </c>
      <c r="BG2" s="704" t="n">
        <v>0</v>
      </c>
      <c r="BH2" s="704" t="n">
        <v>0</v>
      </c>
      <c r="BI2" s="704" t="n">
        <v>0</v>
      </c>
      <c r="BJ2" s="704" t="n">
        <v>0</v>
      </c>
      <c r="BK2" s="704" t="n">
        <v>0</v>
      </c>
      <c r="BL2" s="704" t="n">
        <v>0</v>
      </c>
      <c r="BM2" s="704" t="n">
        <v>0</v>
      </c>
      <c r="BN2" s="704" t="n">
        <v>0</v>
      </c>
      <c r="BO2" s="704" t="n">
        <v>0</v>
      </c>
      <c r="BP2" s="704" t="n">
        <v>0</v>
      </c>
      <c r="BQ2" s="704" t="n">
        <v>0</v>
      </c>
      <c r="BR2" s="704" t="n">
        <v>0</v>
      </c>
      <c r="BS2" s="704" t="n">
        <v>0</v>
      </c>
      <c r="BT2" s="704" t="n">
        <v>0</v>
      </c>
      <c r="BU2" s="704" t="n">
        <v>0</v>
      </c>
      <c r="BV2" s="704" t="n">
        <v>0</v>
      </c>
      <c r="BW2" s="704" t="n">
        <v>0</v>
      </c>
      <c r="BX2" s="704" t="n">
        <v>0</v>
      </c>
      <c r="BY2" s="704" t="n">
        <v>0</v>
      </c>
      <c r="BZ2" s="704" t="n">
        <v>0</v>
      </c>
      <c r="CA2" s="704" t="n">
        <v>0</v>
      </c>
      <c r="CB2" s="704" t="n">
        <v>0</v>
      </c>
      <c r="CC2" s="704" t="n">
        <v>0</v>
      </c>
      <c r="CD2" s="704" t="n">
        <v>0</v>
      </c>
      <c r="CE2" s="704" t="n">
        <v>0</v>
      </c>
      <c r="CF2" s="704" t="n">
        <v>0</v>
      </c>
      <c r="CG2" s="704" t="n">
        <v>0</v>
      </c>
      <c r="CH2" s="704" t="n">
        <v>0</v>
      </c>
      <c r="CI2" s="704" t="n">
        <v>0</v>
      </c>
      <c r="CJ2" s="704" t="n">
        <v>0</v>
      </c>
      <c r="CK2" s="704" t="n">
        <v>0</v>
      </c>
      <c r="CL2" s="704" t="n">
        <v>0</v>
      </c>
      <c r="CM2" s="704" t="n">
        <v>0</v>
      </c>
      <c r="CN2" s="704" t="n">
        <v>0</v>
      </c>
      <c r="CO2" s="704" t="n">
        <v>0</v>
      </c>
      <c r="CP2" s="704" t="n">
        <v>0</v>
      </c>
      <c r="CQ2" s="704" t="n">
        <v>0</v>
      </c>
      <c r="CR2" s="704" t="n">
        <v>0</v>
      </c>
      <c r="CS2" s="704" t="n">
        <v>0</v>
      </c>
      <c r="CT2" s="704" t="n">
        <v>0</v>
      </c>
      <c r="CU2" s="704" t="n">
        <v>0</v>
      </c>
      <c r="CV2" s="704" t="n">
        <v>0</v>
      </c>
      <c r="CW2" s="704" t="n">
        <v>0</v>
      </c>
      <c r="CX2" s="704" t="n">
        <v>0</v>
      </c>
      <c r="CY2" s="704" t="n">
        <v>0</v>
      </c>
      <c r="CZ2" s="704" t="n">
        <v>0</v>
      </c>
      <c r="DA2" s="704" t="n">
        <v>0</v>
      </c>
      <c r="DB2" s="704" t="n">
        <v>0</v>
      </c>
      <c r="DC2" s="704" t="n">
        <v>0</v>
      </c>
      <c r="DD2" s="704" t="n">
        <v>0</v>
      </c>
      <c r="DE2" s="704" t="n">
        <v>0</v>
      </c>
      <c r="DF2" s="704" t="n">
        <v>0</v>
      </c>
      <c r="DG2" s="704" t="n">
        <v>0</v>
      </c>
      <c r="DH2" s="704" t="n">
        <v>0</v>
      </c>
      <c r="DI2" s="704" t="n">
        <v>0</v>
      </c>
      <c r="DJ2" s="704" t="n">
        <v>0</v>
      </c>
      <c r="DK2" s="704" t="n">
        <v>0</v>
      </c>
      <c r="DL2" s="704" t="n">
        <v>0</v>
      </c>
      <c r="DM2" s="704" t="n">
        <v>0</v>
      </c>
    </row>
    <row r="3" ht="13.5" customHeight="1" s="355">
      <c r="B3" s="703" t="inlineStr">
        <is>
          <t>Reporting</t>
        </is>
      </c>
      <c r="C3" s="704" t="n"/>
      <c r="D3" s="704" t="n">
        <v>0</v>
      </c>
      <c r="E3" s="704" t="n">
        <v>0</v>
      </c>
      <c r="F3" s="704" t="n">
        <v>0</v>
      </c>
      <c r="G3" s="704" t="n">
        <v>0</v>
      </c>
      <c r="H3" s="704" t="n">
        <v>0</v>
      </c>
      <c r="I3" s="704" t="n">
        <v>0</v>
      </c>
      <c r="J3" s="704" t="n">
        <v>0</v>
      </c>
      <c r="K3" s="704" t="n">
        <v>0</v>
      </c>
      <c r="L3" s="704" t="n">
        <v>0</v>
      </c>
      <c r="M3" s="704" t="n">
        <v>0</v>
      </c>
      <c r="N3" s="704" t="n">
        <v>0</v>
      </c>
      <c r="O3" s="704" t="n">
        <v>0</v>
      </c>
      <c r="P3" s="704" t="n">
        <v>0</v>
      </c>
      <c r="Q3" s="704" t="n">
        <v>0</v>
      </c>
      <c r="R3" s="704" t="n">
        <v>0</v>
      </c>
      <c r="S3" s="704" t="n">
        <v>0</v>
      </c>
      <c r="T3" s="704" t="n">
        <v>0</v>
      </c>
      <c r="U3" s="704" t="n">
        <v>0</v>
      </c>
      <c r="V3" s="704" t="n">
        <v>0</v>
      </c>
      <c r="W3" s="704" t="n">
        <v>0</v>
      </c>
      <c r="X3" s="704" t="n">
        <v>0</v>
      </c>
      <c r="Y3" s="704" t="n">
        <v>0</v>
      </c>
      <c r="Z3" s="704" t="n">
        <v>0</v>
      </c>
      <c r="AA3" s="704" t="n">
        <v>0</v>
      </c>
      <c r="AB3" s="704" t="n">
        <v>0</v>
      </c>
      <c r="AC3" s="704" t="n">
        <v>0</v>
      </c>
      <c r="AD3" s="704" t="n">
        <v>0</v>
      </c>
      <c r="AE3" s="704" t="n">
        <v>0</v>
      </c>
      <c r="AF3" s="704" t="n">
        <v>0</v>
      </c>
      <c r="AG3" s="704" t="n">
        <v>0</v>
      </c>
      <c r="AH3" s="704" t="n">
        <v>0</v>
      </c>
      <c r="AI3" s="704" t="n">
        <v>0</v>
      </c>
      <c r="AJ3" s="704" t="n">
        <v>0</v>
      </c>
      <c r="AK3" s="704" t="n">
        <v>0</v>
      </c>
      <c r="AL3" s="704" t="n">
        <v>0</v>
      </c>
      <c r="AM3" s="704" t="n">
        <v>0</v>
      </c>
      <c r="AN3" s="704" t="n">
        <v>0</v>
      </c>
      <c r="AO3" s="704" t="n">
        <v>0</v>
      </c>
      <c r="AP3" s="704" t="n">
        <v>0</v>
      </c>
      <c r="AQ3" s="704" t="n">
        <v>0</v>
      </c>
      <c r="AR3" s="704" t="n">
        <v>0</v>
      </c>
      <c r="AS3" s="704" t="n">
        <v>0</v>
      </c>
      <c r="AT3" s="704" t="n">
        <v>0</v>
      </c>
      <c r="AU3" s="704" t="n">
        <v>0</v>
      </c>
      <c r="AV3" s="704" t="n">
        <v>0</v>
      </c>
      <c r="AW3" s="704" t="n">
        <v>0</v>
      </c>
      <c r="AX3" s="704" t="n">
        <v>0</v>
      </c>
      <c r="AY3" s="704" t="n">
        <v>0</v>
      </c>
      <c r="AZ3" s="704" t="n">
        <v>0</v>
      </c>
      <c r="BA3" s="704" t="n">
        <v>0</v>
      </c>
      <c r="BB3" s="704" t="n">
        <v>0</v>
      </c>
      <c r="BC3" s="704" t="n">
        <v>0</v>
      </c>
      <c r="BD3" s="704" t="n">
        <v>0</v>
      </c>
      <c r="BE3" s="704" t="n">
        <v>0</v>
      </c>
      <c r="BF3" s="704" t="n">
        <v>0</v>
      </c>
      <c r="BG3" s="704" t="n">
        <v>0</v>
      </c>
      <c r="BH3" s="704" t="n">
        <v>0</v>
      </c>
      <c r="BI3" s="704" t="n">
        <v>0</v>
      </c>
      <c r="BJ3" s="704" t="n">
        <v>0</v>
      </c>
      <c r="BK3" s="704" t="n">
        <v>0</v>
      </c>
      <c r="BL3" s="704" t="n">
        <v>0</v>
      </c>
      <c r="BM3" s="704" t="n">
        <v>0</v>
      </c>
      <c r="BN3" s="704" t="n">
        <v>0</v>
      </c>
      <c r="BO3" s="704" t="n">
        <v>0</v>
      </c>
      <c r="BP3" s="704" t="n">
        <v>0</v>
      </c>
      <c r="BQ3" s="704" t="n">
        <v>0</v>
      </c>
      <c r="BR3" s="704" t="n">
        <v>0</v>
      </c>
      <c r="BS3" s="704" t="n">
        <v>0</v>
      </c>
      <c r="BT3" s="704" t="n">
        <v>0</v>
      </c>
      <c r="BU3" s="704" t="n">
        <v>0</v>
      </c>
      <c r="BV3" s="704" t="n">
        <v>0</v>
      </c>
      <c r="BW3" s="704" t="n">
        <v>0</v>
      </c>
      <c r="BX3" s="704" t="n">
        <v>0</v>
      </c>
      <c r="BY3" s="704" t="n">
        <v>0</v>
      </c>
      <c r="BZ3" s="704" t="n">
        <v>0</v>
      </c>
      <c r="CA3" s="704" t="n">
        <v>0</v>
      </c>
      <c r="CB3" s="704" t="n">
        <v>0</v>
      </c>
      <c r="CC3" s="704" t="n">
        <v>0</v>
      </c>
      <c r="CD3" s="704" t="n">
        <v>0</v>
      </c>
      <c r="CE3" s="704" t="n">
        <v>0</v>
      </c>
      <c r="CF3" s="704" t="n">
        <v>0</v>
      </c>
      <c r="CG3" s="704" t="n">
        <v>0</v>
      </c>
      <c r="CH3" s="704" t="n">
        <v>0</v>
      </c>
      <c r="CI3" s="704" t="n">
        <v>0</v>
      </c>
      <c r="CJ3" s="704" t="n">
        <v>0</v>
      </c>
      <c r="CK3" s="704" t="n">
        <v>0</v>
      </c>
      <c r="CL3" s="704" t="n">
        <v>0</v>
      </c>
      <c r="CM3" s="704" t="n">
        <v>0</v>
      </c>
      <c r="CN3" s="704" t="n">
        <v>0</v>
      </c>
      <c r="CO3" s="704" t="n">
        <v>0</v>
      </c>
      <c r="CP3" s="704" t="n">
        <v>0</v>
      </c>
      <c r="CQ3" s="704" t="n">
        <v>0</v>
      </c>
      <c r="CR3" s="704" t="n">
        <v>0</v>
      </c>
      <c r="CS3" s="704" t="n">
        <v>0</v>
      </c>
      <c r="CT3" s="704" t="n">
        <v>0</v>
      </c>
      <c r="CU3" s="704" t="n">
        <v>0</v>
      </c>
      <c r="CV3" s="704" t="n">
        <v>0</v>
      </c>
      <c r="CW3" s="704" t="n">
        <v>0</v>
      </c>
      <c r="CX3" s="704" t="n">
        <v>0</v>
      </c>
      <c r="CY3" s="704" t="n">
        <v>0</v>
      </c>
      <c r="CZ3" s="704" t="n">
        <v>0</v>
      </c>
      <c r="DA3" s="704" t="n">
        <v>0</v>
      </c>
      <c r="DB3" s="704" t="n">
        <v>0</v>
      </c>
      <c r="DC3" s="704" t="n">
        <v>0</v>
      </c>
      <c r="DD3" s="704" t="n">
        <v>0</v>
      </c>
      <c r="DE3" s="704" t="n">
        <v>0</v>
      </c>
      <c r="DF3" s="704" t="n">
        <v>0</v>
      </c>
      <c r="DG3" s="704" t="n">
        <v>0</v>
      </c>
      <c r="DH3" s="704" t="n">
        <v>0</v>
      </c>
      <c r="DI3" s="704" t="n">
        <v>0</v>
      </c>
      <c r="DJ3" s="704" t="n">
        <v>0</v>
      </c>
      <c r="DK3" s="704" t="n">
        <v>0</v>
      </c>
      <c r="DL3" s="704" t="n">
        <v>0</v>
      </c>
      <c r="DM3" s="704" t="n">
        <v>0</v>
      </c>
    </row>
    <row r="4" ht="13.5" customHeight="1" s="355">
      <c r="B4" s="703" t="inlineStr">
        <is>
          <t>Fixed Assets</t>
        </is>
      </c>
      <c r="C4" s="704" t="n"/>
      <c r="D4" s="704" t="n">
        <v>0</v>
      </c>
      <c r="E4" s="704" t="n">
        <v>0</v>
      </c>
      <c r="F4" s="704" t="n">
        <v>0</v>
      </c>
      <c r="G4" s="704" t="n">
        <v>0</v>
      </c>
      <c r="H4" s="704" t="n">
        <v>0</v>
      </c>
      <c r="I4" s="704" t="n">
        <v>0</v>
      </c>
      <c r="J4" s="704" t="n">
        <v>0</v>
      </c>
      <c r="K4" s="704" t="n">
        <v>0</v>
      </c>
      <c r="L4" s="704" t="n">
        <v>0</v>
      </c>
      <c r="M4" s="704" t="n">
        <v>0</v>
      </c>
      <c r="N4" s="704" t="n">
        <v>0</v>
      </c>
      <c r="O4" s="704" t="n">
        <v>0</v>
      </c>
      <c r="P4" s="704" t="n">
        <v>0</v>
      </c>
      <c r="Q4" s="704" t="n">
        <v>0</v>
      </c>
      <c r="R4" s="704" t="n">
        <v>0</v>
      </c>
      <c r="S4" s="704" t="n">
        <v>0</v>
      </c>
      <c r="T4" s="704" t="n">
        <v>0</v>
      </c>
      <c r="U4" s="704" t="n">
        <v>0</v>
      </c>
      <c r="V4" s="704" t="n">
        <v>0</v>
      </c>
      <c r="W4" s="704" t="n">
        <v>0</v>
      </c>
      <c r="X4" s="704" t="n">
        <v>0</v>
      </c>
      <c r="Y4" s="704" t="n">
        <v>0</v>
      </c>
      <c r="Z4" s="704" t="n">
        <v>0</v>
      </c>
      <c r="AA4" s="704" t="n">
        <v>0</v>
      </c>
      <c r="AB4" s="704" t="n">
        <v>0</v>
      </c>
      <c r="AC4" s="704" t="n">
        <v>0</v>
      </c>
      <c r="AD4" s="704" t="n">
        <v>0</v>
      </c>
      <c r="AE4" s="704" t="n">
        <v>0</v>
      </c>
      <c r="AF4" s="704" t="n">
        <v>0</v>
      </c>
      <c r="AG4" s="704" t="n">
        <v>0</v>
      </c>
      <c r="AH4" s="704" t="n">
        <v>0</v>
      </c>
      <c r="AI4" s="704" t="n">
        <v>0</v>
      </c>
      <c r="AJ4" s="704" t="n">
        <v>0</v>
      </c>
      <c r="AK4" s="704" t="n">
        <v>0</v>
      </c>
      <c r="AL4" s="704" t="n">
        <v>0</v>
      </c>
      <c r="AM4" s="704" t="n">
        <v>0</v>
      </c>
      <c r="AN4" s="704" t="n">
        <v>0</v>
      </c>
      <c r="AO4" s="704" t="n">
        <v>0</v>
      </c>
      <c r="AP4" s="704" t="n">
        <v>0</v>
      </c>
      <c r="AQ4" s="704" t="n">
        <v>0</v>
      </c>
      <c r="AR4" s="704" t="n">
        <v>0</v>
      </c>
      <c r="AS4" s="704" t="n">
        <v>0</v>
      </c>
      <c r="AT4" s="704" t="n">
        <v>0</v>
      </c>
      <c r="AU4" s="704" t="n">
        <v>0</v>
      </c>
      <c r="AV4" s="704" t="n">
        <v>0</v>
      </c>
      <c r="AW4" s="704" t="n">
        <v>0</v>
      </c>
      <c r="AX4" s="704" t="n">
        <v>0</v>
      </c>
      <c r="AY4" s="704" t="n">
        <v>0</v>
      </c>
      <c r="AZ4" s="704" t="n">
        <v>0</v>
      </c>
      <c r="BA4" s="704" t="n">
        <v>0</v>
      </c>
      <c r="BB4" s="704" t="n">
        <v>0</v>
      </c>
      <c r="BC4" s="704" t="n">
        <v>0</v>
      </c>
      <c r="BD4" s="704" t="n">
        <v>0</v>
      </c>
      <c r="BE4" s="704" t="n">
        <v>0</v>
      </c>
      <c r="BF4" s="704" t="n">
        <v>0</v>
      </c>
      <c r="BG4" s="704" t="n">
        <v>0</v>
      </c>
      <c r="BH4" s="704" t="n">
        <v>0</v>
      </c>
      <c r="BI4" s="704" t="n">
        <v>0</v>
      </c>
      <c r="BJ4" s="704" t="n">
        <v>0</v>
      </c>
      <c r="BK4" s="704" t="n">
        <v>0</v>
      </c>
      <c r="BL4" s="704" t="n">
        <v>0</v>
      </c>
      <c r="BM4" s="704" t="n">
        <v>0</v>
      </c>
      <c r="BN4" s="704" t="n">
        <v>0</v>
      </c>
      <c r="BO4" s="704" t="n">
        <v>0</v>
      </c>
      <c r="BP4" s="704" t="n">
        <v>0</v>
      </c>
      <c r="BQ4" s="704" t="n">
        <v>0</v>
      </c>
      <c r="BR4" s="704" t="n">
        <v>0</v>
      </c>
      <c r="BS4" s="704" t="n">
        <v>0</v>
      </c>
      <c r="BT4" s="704" t="n">
        <v>0</v>
      </c>
      <c r="BU4" s="704" t="n">
        <v>0</v>
      </c>
      <c r="BV4" s="704" t="n">
        <v>0</v>
      </c>
      <c r="BW4" s="704" t="n">
        <v>0</v>
      </c>
      <c r="BX4" s="704" t="n">
        <v>0</v>
      </c>
      <c r="BY4" s="704" t="n">
        <v>0</v>
      </c>
      <c r="BZ4" s="704" t="n">
        <v>0</v>
      </c>
      <c r="CA4" s="704" t="n">
        <v>0</v>
      </c>
      <c r="CB4" s="704" t="n">
        <v>0</v>
      </c>
      <c r="CC4" s="704" t="n">
        <v>0</v>
      </c>
      <c r="CD4" s="704" t="n">
        <v>0</v>
      </c>
      <c r="CE4" s="704" t="n">
        <v>0</v>
      </c>
      <c r="CF4" s="704" t="n">
        <v>0</v>
      </c>
      <c r="CG4" s="704" t="n">
        <v>0</v>
      </c>
      <c r="CH4" s="704" t="n">
        <v>0</v>
      </c>
      <c r="CI4" s="704" t="n">
        <v>0</v>
      </c>
      <c r="CJ4" s="704" t="n">
        <v>0</v>
      </c>
      <c r="CK4" s="704" t="n">
        <v>0</v>
      </c>
      <c r="CL4" s="704" t="n">
        <v>0</v>
      </c>
      <c r="CM4" s="704" t="n">
        <v>0</v>
      </c>
      <c r="CN4" s="704" t="n">
        <v>0</v>
      </c>
      <c r="CO4" s="704" t="n">
        <v>0</v>
      </c>
      <c r="CP4" s="704" t="n">
        <v>0</v>
      </c>
      <c r="CQ4" s="704" t="n">
        <v>0</v>
      </c>
      <c r="CR4" s="704" t="n">
        <v>0</v>
      </c>
      <c r="CS4" s="704" t="n">
        <v>0</v>
      </c>
      <c r="CT4" s="704" t="n">
        <v>0</v>
      </c>
      <c r="CU4" s="704" t="n">
        <v>0</v>
      </c>
      <c r="CV4" s="704" t="n">
        <v>0</v>
      </c>
      <c r="CW4" s="704" t="n">
        <v>0</v>
      </c>
      <c r="CX4" s="704" t="n">
        <v>0</v>
      </c>
      <c r="CY4" s="704" t="n">
        <v>0</v>
      </c>
      <c r="CZ4" s="704" t="n">
        <v>0</v>
      </c>
      <c r="DA4" s="704" t="n">
        <v>0</v>
      </c>
      <c r="DB4" s="704" t="n">
        <v>0</v>
      </c>
      <c r="DC4" s="704" t="n">
        <v>0</v>
      </c>
      <c r="DD4" s="704" t="n">
        <v>0</v>
      </c>
      <c r="DE4" s="704" t="n">
        <v>0</v>
      </c>
      <c r="DF4" s="704" t="n">
        <v>0</v>
      </c>
      <c r="DG4" s="704" t="n">
        <v>0</v>
      </c>
      <c r="DH4" s="704" t="n">
        <v>0</v>
      </c>
      <c r="DI4" s="704" t="n">
        <v>0</v>
      </c>
      <c r="DJ4" s="704" t="n">
        <v>0</v>
      </c>
      <c r="DK4" s="704" t="n">
        <v>0</v>
      </c>
      <c r="DL4" s="704" t="n">
        <v>0</v>
      </c>
      <c r="DM4" s="704" t="n">
        <v>0</v>
      </c>
    </row>
    <row r="5" ht="13.5" customHeight="1" s="355">
      <c r="B5" s="703" t="inlineStr">
        <is>
          <t>Acct Payable</t>
        </is>
      </c>
      <c r="C5" s="704" t="n"/>
      <c r="D5" s="704" t="n">
        <v>0</v>
      </c>
      <c r="E5" s="704" t="n">
        <v>0</v>
      </c>
      <c r="F5" s="704" t="n">
        <v>0</v>
      </c>
      <c r="G5" s="704" t="n">
        <v>0</v>
      </c>
      <c r="H5" s="704" t="n">
        <v>0</v>
      </c>
      <c r="I5" s="704" t="n">
        <v>0</v>
      </c>
      <c r="J5" s="704" t="n">
        <v>17.825692094851</v>
      </c>
      <c r="K5" s="704" t="n">
        <v>36.8397636626921</v>
      </c>
      <c r="L5" s="704" t="n">
        <v>12.2799212208974</v>
      </c>
      <c r="M5" s="704" t="n">
        <v>0</v>
      </c>
      <c r="N5" s="704" t="n">
        <v>0</v>
      </c>
      <c r="O5" s="704" t="n">
        <v>0</v>
      </c>
      <c r="P5" s="704" t="n">
        <v>0</v>
      </c>
      <c r="Q5" s="704" t="n">
        <v>0</v>
      </c>
      <c r="R5" s="704" t="n">
        <v>0</v>
      </c>
      <c r="S5" s="704" t="n">
        <v>0</v>
      </c>
      <c r="T5" s="704" t="n">
        <v>0</v>
      </c>
      <c r="U5" s="704" t="n">
        <v>0</v>
      </c>
      <c r="V5" s="704" t="n">
        <v>0</v>
      </c>
      <c r="W5" s="704" t="n">
        <v>0</v>
      </c>
      <c r="X5" s="704" t="n">
        <v>0</v>
      </c>
      <c r="Y5" s="704" t="n">
        <v>0</v>
      </c>
      <c r="Z5" s="704" t="n">
        <v>0</v>
      </c>
      <c r="AA5" s="704" t="n">
        <v>0</v>
      </c>
      <c r="AB5" s="704" t="n">
        <v>0</v>
      </c>
      <c r="AC5" s="704" t="n">
        <v>0</v>
      </c>
      <c r="AD5" s="704" t="n">
        <v>0</v>
      </c>
      <c r="AE5" s="704" t="n">
        <v>0</v>
      </c>
      <c r="AF5" s="704" t="n">
        <v>0</v>
      </c>
      <c r="AG5" s="704" t="n">
        <v>0</v>
      </c>
      <c r="AH5" s="704" t="n">
        <v>0</v>
      </c>
      <c r="AI5" s="704" t="n">
        <v>0</v>
      </c>
      <c r="AJ5" s="704" t="n">
        <v>0</v>
      </c>
      <c r="AK5" s="704" t="n">
        <v>0</v>
      </c>
      <c r="AL5" s="704" t="n">
        <v>0</v>
      </c>
      <c r="AM5" s="704" t="n">
        <v>0</v>
      </c>
      <c r="AN5" s="704" t="n">
        <v>0</v>
      </c>
      <c r="AO5" s="704" t="n">
        <v>0</v>
      </c>
      <c r="AP5" s="704" t="n">
        <v>0</v>
      </c>
      <c r="AQ5" s="704" t="n">
        <v>0</v>
      </c>
      <c r="AR5" s="704" t="n">
        <v>0</v>
      </c>
      <c r="AS5" s="704" t="n">
        <v>0</v>
      </c>
      <c r="AT5" s="704" t="n">
        <v>0</v>
      </c>
      <c r="AU5" s="704" t="n">
        <v>0</v>
      </c>
      <c r="AV5" s="704" t="n">
        <v>0</v>
      </c>
      <c r="AW5" s="704" t="n">
        <v>0</v>
      </c>
      <c r="AX5" s="704" t="n">
        <v>0</v>
      </c>
      <c r="AY5" s="704" t="n">
        <v>0</v>
      </c>
      <c r="AZ5" s="704" t="n">
        <v>0</v>
      </c>
      <c r="BA5" s="704" t="n">
        <v>0</v>
      </c>
      <c r="BB5" s="704" t="n">
        <v>0</v>
      </c>
      <c r="BC5" s="704" t="n">
        <v>0</v>
      </c>
      <c r="BD5" s="704" t="n">
        <v>0</v>
      </c>
      <c r="BE5" s="704" t="n">
        <v>0</v>
      </c>
      <c r="BF5" s="704" t="n">
        <v>0</v>
      </c>
      <c r="BG5" s="704" t="n">
        <v>0</v>
      </c>
      <c r="BH5" s="704" t="n">
        <v>0</v>
      </c>
      <c r="BI5" s="704" t="n">
        <v>0</v>
      </c>
      <c r="BJ5" s="704" t="n">
        <v>0</v>
      </c>
      <c r="BK5" s="704" t="n">
        <v>0</v>
      </c>
      <c r="BL5" s="704" t="n">
        <v>0</v>
      </c>
      <c r="BM5" s="704" t="n">
        <v>0</v>
      </c>
      <c r="BN5" s="704" t="n">
        <v>0</v>
      </c>
      <c r="BO5" s="704" t="n">
        <v>0</v>
      </c>
      <c r="BP5" s="704" t="n">
        <v>0</v>
      </c>
      <c r="BQ5" s="704" t="n">
        <v>0</v>
      </c>
      <c r="BR5" s="704" t="n">
        <v>0</v>
      </c>
      <c r="BS5" s="704" t="n">
        <v>0</v>
      </c>
      <c r="BT5" s="704" t="n">
        <v>0</v>
      </c>
      <c r="BU5" s="704" t="n">
        <v>0</v>
      </c>
      <c r="BV5" s="704" t="n">
        <v>0</v>
      </c>
      <c r="BW5" s="704" t="n">
        <v>0</v>
      </c>
      <c r="BX5" s="704" t="n">
        <v>0</v>
      </c>
      <c r="BY5" s="704" t="n">
        <v>0</v>
      </c>
      <c r="BZ5" s="704" t="n">
        <v>0</v>
      </c>
      <c r="CA5" s="704" t="n">
        <v>0</v>
      </c>
      <c r="CB5" s="704" t="n">
        <v>0</v>
      </c>
      <c r="CC5" s="704" t="n">
        <v>0</v>
      </c>
      <c r="CD5" s="704" t="n">
        <v>0</v>
      </c>
      <c r="CE5" s="704" t="n">
        <v>0</v>
      </c>
      <c r="CF5" s="704" t="n">
        <v>0</v>
      </c>
      <c r="CG5" s="704" t="n">
        <v>0</v>
      </c>
      <c r="CH5" s="704" t="n">
        <v>0</v>
      </c>
      <c r="CI5" s="704" t="n">
        <v>0</v>
      </c>
      <c r="CJ5" s="704" t="n">
        <v>0</v>
      </c>
      <c r="CK5" s="704" t="n">
        <v>0</v>
      </c>
      <c r="CL5" s="704" t="n">
        <v>0</v>
      </c>
      <c r="CM5" s="704" t="n">
        <v>0</v>
      </c>
      <c r="CN5" s="704" t="n">
        <v>0</v>
      </c>
      <c r="CO5" s="704" t="n">
        <v>0</v>
      </c>
      <c r="CP5" s="704" t="n">
        <v>0</v>
      </c>
      <c r="CQ5" s="704" t="n">
        <v>0</v>
      </c>
      <c r="CR5" s="704" t="n">
        <v>0</v>
      </c>
      <c r="CS5" s="704" t="n">
        <v>0</v>
      </c>
      <c r="CT5" s="704" t="n">
        <v>0</v>
      </c>
      <c r="CU5" s="704" t="n">
        <v>0</v>
      </c>
      <c r="CV5" s="704" t="n">
        <v>0</v>
      </c>
      <c r="CW5" s="704" t="n">
        <v>0</v>
      </c>
      <c r="CX5" s="704" t="n">
        <v>0</v>
      </c>
      <c r="CY5" s="704" t="n">
        <v>0</v>
      </c>
      <c r="CZ5" s="704" t="n">
        <v>0</v>
      </c>
      <c r="DA5" s="704" t="n">
        <v>0</v>
      </c>
      <c r="DB5" s="704" t="n">
        <v>0</v>
      </c>
      <c r="DC5" s="704" t="n">
        <v>0</v>
      </c>
      <c r="DD5" s="704" t="n">
        <v>0</v>
      </c>
      <c r="DE5" s="704" t="n">
        <v>0</v>
      </c>
      <c r="DF5" s="704" t="n">
        <v>0</v>
      </c>
      <c r="DG5" s="704" t="n">
        <v>0</v>
      </c>
      <c r="DH5" s="704" t="n">
        <v>0</v>
      </c>
      <c r="DI5" s="704" t="n">
        <v>0</v>
      </c>
      <c r="DJ5" s="704" t="n">
        <v>0</v>
      </c>
      <c r="DK5" s="704" t="n">
        <v>0</v>
      </c>
      <c r="DL5" s="704" t="n">
        <v>0</v>
      </c>
      <c r="DM5" s="704" t="n">
        <v>0</v>
      </c>
    </row>
    <row r="6" ht="13.5" customHeight="1" s="355">
      <c r="B6" s="703" t="inlineStr">
        <is>
          <t>Cash&amp;Bank</t>
        </is>
      </c>
      <c r="C6" s="704" t="n"/>
      <c r="D6" s="704" t="n">
        <v>0</v>
      </c>
      <c r="E6" s="704" t="n">
        <v>0</v>
      </c>
      <c r="F6" s="704" t="n">
        <v>0</v>
      </c>
      <c r="G6" s="704" t="n">
        <v>0</v>
      </c>
      <c r="H6" s="704" t="n">
        <v>0</v>
      </c>
      <c r="I6" s="704" t="n">
        <v>0</v>
      </c>
      <c r="J6" s="704" t="n">
        <v>0</v>
      </c>
      <c r="K6" s="704" t="n">
        <v>0</v>
      </c>
      <c r="L6" s="704" t="n">
        <v>0</v>
      </c>
      <c r="M6" s="704" t="n">
        <v>0</v>
      </c>
      <c r="N6" s="704" t="n">
        <v>0</v>
      </c>
      <c r="O6" s="704" t="n">
        <v>0</v>
      </c>
      <c r="P6" s="704" t="n">
        <v>0</v>
      </c>
      <c r="Q6" s="704" t="n">
        <v>0</v>
      </c>
      <c r="R6" s="704" t="n">
        <v>0</v>
      </c>
      <c r="S6" s="704" t="n">
        <v>0</v>
      </c>
      <c r="T6" s="704" t="n">
        <v>0</v>
      </c>
      <c r="U6" s="704" t="n">
        <v>0</v>
      </c>
      <c r="V6" s="704" t="n">
        <v>0</v>
      </c>
      <c r="W6" s="704" t="n">
        <v>0</v>
      </c>
      <c r="X6" s="704" t="n">
        <v>0</v>
      </c>
      <c r="Y6" s="704" t="n">
        <v>0</v>
      </c>
      <c r="Z6" s="704" t="n">
        <v>0</v>
      </c>
      <c r="AA6" s="704" t="n">
        <v>0</v>
      </c>
      <c r="AB6" s="704" t="n">
        <v>0</v>
      </c>
      <c r="AC6" s="704" t="n">
        <v>0</v>
      </c>
      <c r="AD6" s="704" t="n">
        <v>0</v>
      </c>
      <c r="AE6" s="704" t="n">
        <v>0</v>
      </c>
      <c r="AF6" s="704" t="n">
        <v>0</v>
      </c>
      <c r="AG6" s="704" t="n">
        <v>0</v>
      </c>
      <c r="AH6" s="704" t="n">
        <v>0</v>
      </c>
      <c r="AI6" s="704" t="n">
        <v>0</v>
      </c>
      <c r="AJ6" s="704" t="n">
        <v>0</v>
      </c>
      <c r="AK6" s="704" t="n">
        <v>0</v>
      </c>
      <c r="AL6" s="704" t="n">
        <v>0</v>
      </c>
      <c r="AM6" s="704" t="n">
        <v>0</v>
      </c>
      <c r="AN6" s="704" t="n">
        <v>0</v>
      </c>
      <c r="AO6" s="704" t="n">
        <v>0</v>
      </c>
      <c r="AP6" s="704" t="n">
        <v>0</v>
      </c>
      <c r="AQ6" s="704" t="n">
        <v>0</v>
      </c>
      <c r="AR6" s="704" t="n">
        <v>0</v>
      </c>
      <c r="AS6" s="704" t="n">
        <v>0</v>
      </c>
      <c r="AT6" s="704" t="n">
        <v>0</v>
      </c>
      <c r="AU6" s="704" t="n">
        <v>0</v>
      </c>
      <c r="AV6" s="704" t="n">
        <v>0</v>
      </c>
      <c r="AW6" s="704" t="n">
        <v>0</v>
      </c>
      <c r="AX6" s="704" t="n">
        <v>0</v>
      </c>
      <c r="AY6" s="704" t="n">
        <v>0</v>
      </c>
      <c r="AZ6" s="704" t="n">
        <v>0</v>
      </c>
      <c r="BA6" s="704" t="n">
        <v>0</v>
      </c>
      <c r="BB6" s="704" t="n">
        <v>0</v>
      </c>
      <c r="BC6" s="704" t="n">
        <v>0</v>
      </c>
      <c r="BD6" s="704" t="n">
        <v>0</v>
      </c>
      <c r="BE6" s="704" t="n">
        <v>0</v>
      </c>
      <c r="BF6" s="704" t="n">
        <v>0</v>
      </c>
      <c r="BG6" s="704" t="n">
        <v>0</v>
      </c>
      <c r="BH6" s="704" t="n">
        <v>0</v>
      </c>
      <c r="BI6" s="704" t="n">
        <v>0</v>
      </c>
      <c r="BJ6" s="704" t="n">
        <v>0</v>
      </c>
      <c r="BK6" s="704" t="n">
        <v>0</v>
      </c>
      <c r="BL6" s="704" t="n">
        <v>0</v>
      </c>
      <c r="BM6" s="704" t="n">
        <v>0</v>
      </c>
      <c r="BN6" s="704" t="n">
        <v>0</v>
      </c>
      <c r="BO6" s="704" t="n">
        <v>0</v>
      </c>
      <c r="BP6" s="704" t="n">
        <v>0</v>
      </c>
      <c r="BQ6" s="704" t="n">
        <v>0</v>
      </c>
      <c r="BR6" s="704" t="n">
        <v>0</v>
      </c>
      <c r="BS6" s="704" t="n">
        <v>0</v>
      </c>
      <c r="BT6" s="704" t="n">
        <v>0</v>
      </c>
      <c r="BU6" s="704" t="n">
        <v>0</v>
      </c>
      <c r="BV6" s="704" t="n">
        <v>0</v>
      </c>
      <c r="BW6" s="704" t="n">
        <v>0</v>
      </c>
      <c r="BX6" s="704" t="n">
        <v>0</v>
      </c>
      <c r="BY6" s="704" t="n">
        <v>0</v>
      </c>
      <c r="BZ6" s="704" t="n">
        <v>0</v>
      </c>
      <c r="CA6" s="704" t="n">
        <v>0</v>
      </c>
      <c r="CB6" s="704" t="n">
        <v>0</v>
      </c>
      <c r="CC6" s="704" t="n">
        <v>0</v>
      </c>
      <c r="CD6" s="704" t="n">
        <v>0</v>
      </c>
      <c r="CE6" s="704" t="n">
        <v>0</v>
      </c>
      <c r="CF6" s="704" t="n">
        <v>0</v>
      </c>
      <c r="CG6" s="704" t="n">
        <v>0</v>
      </c>
      <c r="CH6" s="704" t="n">
        <v>0</v>
      </c>
      <c r="CI6" s="704" t="n">
        <v>0</v>
      </c>
      <c r="CJ6" s="704" t="n">
        <v>0</v>
      </c>
      <c r="CK6" s="704" t="n">
        <v>0</v>
      </c>
      <c r="CL6" s="704" t="n">
        <v>0</v>
      </c>
      <c r="CM6" s="704" t="n">
        <v>0</v>
      </c>
      <c r="CN6" s="704" t="n">
        <v>0</v>
      </c>
      <c r="CO6" s="704" t="n">
        <v>0</v>
      </c>
      <c r="CP6" s="704" t="n">
        <v>0</v>
      </c>
      <c r="CQ6" s="704" t="n">
        <v>0</v>
      </c>
      <c r="CR6" s="704" t="n">
        <v>0</v>
      </c>
      <c r="CS6" s="704" t="n">
        <v>0</v>
      </c>
      <c r="CT6" s="704" t="n">
        <v>0</v>
      </c>
      <c r="CU6" s="704" t="n">
        <v>0</v>
      </c>
      <c r="CV6" s="704" t="n">
        <v>0</v>
      </c>
      <c r="CW6" s="704" t="n">
        <v>0</v>
      </c>
      <c r="CX6" s="704" t="n">
        <v>0</v>
      </c>
      <c r="CY6" s="704" t="n">
        <v>0</v>
      </c>
      <c r="CZ6" s="704" t="n">
        <v>0</v>
      </c>
      <c r="DA6" s="704" t="n">
        <v>0</v>
      </c>
      <c r="DB6" s="704" t="n">
        <v>0</v>
      </c>
      <c r="DC6" s="704" t="n">
        <v>0</v>
      </c>
      <c r="DD6" s="704" t="n">
        <v>0</v>
      </c>
      <c r="DE6" s="704" t="n">
        <v>0</v>
      </c>
      <c r="DF6" s="704" t="n">
        <v>0</v>
      </c>
      <c r="DG6" s="704" t="n">
        <v>0</v>
      </c>
      <c r="DH6" s="704" t="n">
        <v>0</v>
      </c>
      <c r="DI6" s="704" t="n">
        <v>0</v>
      </c>
      <c r="DJ6" s="704" t="n">
        <v>0</v>
      </c>
      <c r="DK6" s="704" t="n">
        <v>0</v>
      </c>
      <c r="DL6" s="704" t="n">
        <v>0</v>
      </c>
      <c r="DM6" s="704" t="n">
        <v>0</v>
      </c>
    </row>
    <row r="7" ht="13.5" customHeight="1" s="355">
      <c r="B7" s="703" t="inlineStr">
        <is>
          <t>T&amp;E</t>
        </is>
      </c>
      <c r="C7" s="704" t="n"/>
      <c r="D7" s="704" t="n">
        <v>0</v>
      </c>
      <c r="E7" s="704" t="n">
        <v>0</v>
      </c>
      <c r="F7" s="704" t="n">
        <v>0</v>
      </c>
      <c r="G7" s="704" t="n">
        <v>0</v>
      </c>
      <c r="H7" s="704" t="n">
        <v>0</v>
      </c>
      <c r="I7" s="704" t="n">
        <v>0</v>
      </c>
      <c r="J7" s="704" t="n">
        <v>0</v>
      </c>
      <c r="K7" s="704" t="n">
        <v>0</v>
      </c>
      <c r="L7" s="704" t="n">
        <v>0</v>
      </c>
      <c r="M7" s="704" t="n">
        <v>0</v>
      </c>
      <c r="N7" s="704" t="n">
        <v>0</v>
      </c>
      <c r="O7" s="704" t="n">
        <v>0</v>
      </c>
      <c r="P7" s="704" t="n">
        <v>0</v>
      </c>
      <c r="Q7" s="704" t="n">
        <v>0</v>
      </c>
      <c r="R7" s="704" t="n">
        <v>0</v>
      </c>
      <c r="S7" s="704" t="n">
        <v>0</v>
      </c>
      <c r="T7" s="704" t="n">
        <v>0</v>
      </c>
      <c r="U7" s="704" t="n">
        <v>0</v>
      </c>
      <c r="V7" s="704" t="n">
        <v>0</v>
      </c>
      <c r="W7" s="704" t="n">
        <v>0</v>
      </c>
      <c r="X7" s="704" t="n">
        <v>0</v>
      </c>
      <c r="Y7" s="704" t="n">
        <v>0</v>
      </c>
      <c r="Z7" s="704" t="n">
        <v>0</v>
      </c>
      <c r="AA7" s="704" t="n">
        <v>0</v>
      </c>
      <c r="AB7" s="704" t="n">
        <v>0</v>
      </c>
      <c r="AC7" s="704" t="n">
        <v>0</v>
      </c>
      <c r="AD7" s="704" t="n">
        <v>0</v>
      </c>
      <c r="AE7" s="704" t="n">
        <v>0</v>
      </c>
      <c r="AF7" s="704" t="n">
        <v>0</v>
      </c>
      <c r="AG7" s="704" t="n">
        <v>0</v>
      </c>
      <c r="AH7" s="704" t="n">
        <v>0</v>
      </c>
      <c r="AI7" s="704" t="n">
        <v>0</v>
      </c>
      <c r="AJ7" s="704" t="n">
        <v>0</v>
      </c>
      <c r="AK7" s="704" t="n">
        <v>0</v>
      </c>
      <c r="AL7" s="704" t="n">
        <v>0</v>
      </c>
      <c r="AM7" s="704" t="n">
        <v>0</v>
      </c>
      <c r="AN7" s="704" t="n">
        <v>0</v>
      </c>
      <c r="AO7" s="704" t="n">
        <v>0</v>
      </c>
      <c r="AP7" s="704" t="n">
        <v>0</v>
      </c>
      <c r="AQ7" s="704" t="n">
        <v>0</v>
      </c>
      <c r="AR7" s="704" t="n">
        <v>0</v>
      </c>
      <c r="AS7" s="704" t="n">
        <v>0</v>
      </c>
      <c r="AT7" s="704" t="n">
        <v>0</v>
      </c>
      <c r="AU7" s="704" t="n">
        <v>0</v>
      </c>
      <c r="AV7" s="704" t="n">
        <v>0</v>
      </c>
      <c r="AW7" s="704" t="n">
        <v>0</v>
      </c>
      <c r="AX7" s="704" t="n">
        <v>0</v>
      </c>
      <c r="AY7" s="704" t="n">
        <v>0</v>
      </c>
      <c r="AZ7" s="704" t="n">
        <v>0</v>
      </c>
      <c r="BA7" s="704" t="n">
        <v>0</v>
      </c>
      <c r="BB7" s="704" t="n">
        <v>0</v>
      </c>
      <c r="BC7" s="704" t="n">
        <v>0</v>
      </c>
      <c r="BD7" s="704" t="n">
        <v>0</v>
      </c>
      <c r="BE7" s="704" t="n">
        <v>0</v>
      </c>
      <c r="BF7" s="704" t="n">
        <v>0</v>
      </c>
      <c r="BG7" s="704" t="n">
        <v>0</v>
      </c>
      <c r="BH7" s="704" t="n">
        <v>0</v>
      </c>
      <c r="BI7" s="704" t="n">
        <v>0</v>
      </c>
      <c r="BJ7" s="704" t="n">
        <v>0</v>
      </c>
      <c r="BK7" s="704" t="n">
        <v>0</v>
      </c>
      <c r="BL7" s="704" t="n">
        <v>0</v>
      </c>
      <c r="BM7" s="704" t="n">
        <v>0</v>
      </c>
      <c r="BN7" s="704" t="n">
        <v>0</v>
      </c>
      <c r="BO7" s="704" t="n">
        <v>0</v>
      </c>
      <c r="BP7" s="704" t="n">
        <v>0</v>
      </c>
      <c r="BQ7" s="704" t="n">
        <v>0</v>
      </c>
      <c r="BR7" s="704" t="n">
        <v>0</v>
      </c>
      <c r="BS7" s="704" t="n">
        <v>0</v>
      </c>
      <c r="BT7" s="704" t="n">
        <v>0</v>
      </c>
      <c r="BU7" s="704" t="n">
        <v>0</v>
      </c>
      <c r="BV7" s="704" t="n">
        <v>0</v>
      </c>
      <c r="BW7" s="704" t="n">
        <v>0</v>
      </c>
      <c r="BX7" s="704" t="n">
        <v>0</v>
      </c>
      <c r="BY7" s="704" t="n">
        <v>0</v>
      </c>
      <c r="BZ7" s="704" t="n">
        <v>0</v>
      </c>
      <c r="CA7" s="704" t="n">
        <v>0</v>
      </c>
      <c r="CB7" s="704" t="n">
        <v>0</v>
      </c>
      <c r="CC7" s="704" t="n">
        <v>0</v>
      </c>
      <c r="CD7" s="704" t="n">
        <v>0</v>
      </c>
      <c r="CE7" s="704" t="n">
        <v>0</v>
      </c>
      <c r="CF7" s="704" t="n">
        <v>0</v>
      </c>
      <c r="CG7" s="704" t="n">
        <v>0</v>
      </c>
      <c r="CH7" s="704" t="n">
        <v>0</v>
      </c>
      <c r="CI7" s="704" t="n">
        <v>0</v>
      </c>
      <c r="CJ7" s="704" t="n">
        <v>0</v>
      </c>
      <c r="CK7" s="704" t="n">
        <v>0</v>
      </c>
      <c r="CL7" s="704" t="n">
        <v>0</v>
      </c>
      <c r="CM7" s="704" t="n">
        <v>0</v>
      </c>
      <c r="CN7" s="704" t="n">
        <v>0</v>
      </c>
      <c r="CO7" s="704" t="n">
        <v>0</v>
      </c>
      <c r="CP7" s="704" t="n">
        <v>0</v>
      </c>
      <c r="CQ7" s="704" t="n">
        <v>0</v>
      </c>
      <c r="CR7" s="704" t="n">
        <v>0</v>
      </c>
      <c r="CS7" s="704" t="n">
        <v>0</v>
      </c>
      <c r="CT7" s="704" t="n">
        <v>0</v>
      </c>
      <c r="CU7" s="704" t="n">
        <v>0</v>
      </c>
      <c r="CV7" s="704" t="n">
        <v>0</v>
      </c>
      <c r="CW7" s="704" t="n">
        <v>0</v>
      </c>
      <c r="CX7" s="704" t="n">
        <v>0</v>
      </c>
      <c r="CY7" s="704" t="n">
        <v>0</v>
      </c>
      <c r="CZ7" s="704" t="n">
        <v>0</v>
      </c>
      <c r="DA7" s="704" t="n">
        <v>0</v>
      </c>
      <c r="DB7" s="704" t="n">
        <v>0</v>
      </c>
      <c r="DC7" s="704" t="n">
        <v>0</v>
      </c>
      <c r="DD7" s="704" t="n">
        <v>0</v>
      </c>
      <c r="DE7" s="704" t="n">
        <v>0</v>
      </c>
      <c r="DF7" s="704" t="n">
        <v>0</v>
      </c>
      <c r="DG7" s="704" t="n">
        <v>0</v>
      </c>
      <c r="DH7" s="704" t="n">
        <v>0</v>
      </c>
      <c r="DI7" s="704" t="n">
        <v>0</v>
      </c>
      <c r="DJ7" s="704" t="n">
        <v>0</v>
      </c>
      <c r="DK7" s="704" t="n">
        <v>0</v>
      </c>
      <c r="DL7" s="704" t="n">
        <v>0</v>
      </c>
      <c r="DM7" s="704" t="n">
        <v>0</v>
      </c>
    </row>
    <row r="8" ht="13.5" customHeight="1" s="355">
      <c r="B8" s="703" t="inlineStr">
        <is>
          <t>Order to Cash</t>
        </is>
      </c>
      <c r="C8" s="704" t="n"/>
      <c r="D8" s="704" t="n">
        <v>0</v>
      </c>
      <c r="E8" s="704" t="n">
        <v>0</v>
      </c>
      <c r="F8" s="704" t="n">
        <v>0</v>
      </c>
      <c r="G8" s="704" t="n">
        <v>0</v>
      </c>
      <c r="H8" s="704" t="n">
        <v>0</v>
      </c>
      <c r="I8" s="704" t="n">
        <v>0</v>
      </c>
      <c r="J8" s="704" t="n">
        <v>0.7412790018327789</v>
      </c>
      <c r="K8" s="704" t="n">
        <v>2.87245613210202</v>
      </c>
      <c r="L8" s="704" t="n">
        <v>1.62772514152448</v>
      </c>
      <c r="M8" s="704" t="n">
        <v>0</v>
      </c>
      <c r="N8" s="704" t="n">
        <v>0</v>
      </c>
      <c r="O8" s="704" t="n">
        <v>0</v>
      </c>
      <c r="P8" s="704" t="n">
        <v>0</v>
      </c>
      <c r="Q8" s="704" t="n">
        <v>0</v>
      </c>
      <c r="R8" s="704" t="n">
        <v>0</v>
      </c>
      <c r="S8" s="704" t="n">
        <v>0</v>
      </c>
      <c r="T8" s="704" t="n">
        <v>0</v>
      </c>
      <c r="U8" s="704" t="n">
        <v>0</v>
      </c>
      <c r="V8" s="704" t="n">
        <v>0</v>
      </c>
      <c r="W8" s="704" t="n">
        <v>0</v>
      </c>
      <c r="X8" s="704" t="n">
        <v>0</v>
      </c>
      <c r="Y8" s="704" t="n">
        <v>0</v>
      </c>
      <c r="Z8" s="704" t="n">
        <v>0</v>
      </c>
      <c r="AA8" s="704" t="n">
        <v>0</v>
      </c>
      <c r="AB8" s="704" t="n">
        <v>0</v>
      </c>
      <c r="AC8" s="704" t="n">
        <v>0</v>
      </c>
      <c r="AD8" s="704" t="n">
        <v>0</v>
      </c>
      <c r="AE8" s="704" t="n">
        <v>0</v>
      </c>
      <c r="AF8" s="704" t="n">
        <v>0</v>
      </c>
      <c r="AG8" s="704" t="n">
        <v>0</v>
      </c>
      <c r="AH8" s="704" t="n">
        <v>0</v>
      </c>
      <c r="AI8" s="704" t="n">
        <v>0</v>
      </c>
      <c r="AJ8" s="704" t="n">
        <v>0</v>
      </c>
      <c r="AK8" s="704" t="n">
        <v>0</v>
      </c>
      <c r="AL8" s="704" t="n">
        <v>0</v>
      </c>
      <c r="AM8" s="704" t="n">
        <v>0</v>
      </c>
      <c r="AN8" s="704" t="n">
        <v>0</v>
      </c>
      <c r="AO8" s="704" t="n">
        <v>0</v>
      </c>
      <c r="AP8" s="704" t="n">
        <v>0</v>
      </c>
      <c r="AQ8" s="704" t="n">
        <v>0</v>
      </c>
      <c r="AR8" s="704" t="n">
        <v>0</v>
      </c>
      <c r="AS8" s="704" t="n">
        <v>0</v>
      </c>
      <c r="AT8" s="704" t="n">
        <v>0</v>
      </c>
      <c r="AU8" s="704" t="n">
        <v>0</v>
      </c>
      <c r="AV8" s="704" t="n">
        <v>0</v>
      </c>
      <c r="AW8" s="704" t="n">
        <v>0</v>
      </c>
      <c r="AX8" s="704" t="n">
        <v>0</v>
      </c>
      <c r="AY8" s="704" t="n">
        <v>0</v>
      </c>
      <c r="AZ8" s="704" t="n">
        <v>0</v>
      </c>
      <c r="BA8" s="704" t="n">
        <v>0</v>
      </c>
      <c r="BB8" s="704" t="n">
        <v>0</v>
      </c>
      <c r="BC8" s="704" t="n">
        <v>0</v>
      </c>
      <c r="BD8" s="704" t="n">
        <v>0</v>
      </c>
      <c r="BE8" s="704" t="n">
        <v>0</v>
      </c>
      <c r="BF8" s="704" t="n">
        <v>0</v>
      </c>
      <c r="BG8" s="704" t="n">
        <v>0</v>
      </c>
      <c r="BH8" s="704" t="n">
        <v>0</v>
      </c>
      <c r="BI8" s="704" t="n">
        <v>0</v>
      </c>
      <c r="BJ8" s="704" t="n">
        <v>0</v>
      </c>
      <c r="BK8" s="704" t="n">
        <v>0</v>
      </c>
      <c r="BL8" s="704" t="n">
        <v>0</v>
      </c>
      <c r="BM8" s="704" t="n">
        <v>0</v>
      </c>
      <c r="BN8" s="704" t="n">
        <v>0</v>
      </c>
      <c r="BO8" s="704" t="n">
        <v>0</v>
      </c>
      <c r="BP8" s="704" t="n">
        <v>0</v>
      </c>
      <c r="BQ8" s="704" t="n">
        <v>0</v>
      </c>
      <c r="BR8" s="704" t="n">
        <v>0</v>
      </c>
      <c r="BS8" s="704" t="n">
        <v>0</v>
      </c>
      <c r="BT8" s="704" t="n">
        <v>0</v>
      </c>
      <c r="BU8" s="704" t="n">
        <v>0</v>
      </c>
      <c r="BV8" s="704" t="n">
        <v>0</v>
      </c>
      <c r="BW8" s="704" t="n">
        <v>0</v>
      </c>
      <c r="BX8" s="704" t="n">
        <v>0</v>
      </c>
      <c r="BY8" s="704" t="n">
        <v>0</v>
      </c>
      <c r="BZ8" s="704" t="n">
        <v>0</v>
      </c>
      <c r="CA8" s="704" t="n">
        <v>0</v>
      </c>
      <c r="CB8" s="704" t="n">
        <v>0</v>
      </c>
      <c r="CC8" s="704" t="n">
        <v>0</v>
      </c>
      <c r="CD8" s="704" t="n">
        <v>0</v>
      </c>
      <c r="CE8" s="704" t="n">
        <v>0</v>
      </c>
      <c r="CF8" s="704" t="n">
        <v>0</v>
      </c>
      <c r="CG8" s="704" t="n">
        <v>0</v>
      </c>
      <c r="CH8" s="704" t="n">
        <v>0</v>
      </c>
      <c r="CI8" s="704" t="n">
        <v>0</v>
      </c>
      <c r="CJ8" s="704" t="n">
        <v>0</v>
      </c>
      <c r="CK8" s="704" t="n">
        <v>0</v>
      </c>
      <c r="CL8" s="704" t="n">
        <v>0</v>
      </c>
      <c r="CM8" s="704" t="n">
        <v>0</v>
      </c>
      <c r="CN8" s="704" t="n">
        <v>0</v>
      </c>
      <c r="CO8" s="704" t="n">
        <v>0</v>
      </c>
      <c r="CP8" s="704" t="n">
        <v>0</v>
      </c>
      <c r="CQ8" s="704" t="n">
        <v>0</v>
      </c>
      <c r="CR8" s="704" t="n">
        <v>0</v>
      </c>
      <c r="CS8" s="704" t="n">
        <v>0</v>
      </c>
      <c r="CT8" s="704" t="n">
        <v>0</v>
      </c>
      <c r="CU8" s="704" t="n">
        <v>0</v>
      </c>
      <c r="CV8" s="704" t="n">
        <v>0</v>
      </c>
      <c r="CW8" s="704" t="n">
        <v>0</v>
      </c>
      <c r="CX8" s="704" t="n">
        <v>0</v>
      </c>
      <c r="CY8" s="704" t="n">
        <v>0</v>
      </c>
      <c r="CZ8" s="704" t="n">
        <v>0</v>
      </c>
      <c r="DA8" s="704" t="n">
        <v>0</v>
      </c>
      <c r="DB8" s="704" t="n">
        <v>0</v>
      </c>
      <c r="DC8" s="704" t="n">
        <v>0</v>
      </c>
      <c r="DD8" s="704" t="n">
        <v>0</v>
      </c>
      <c r="DE8" s="704" t="n">
        <v>0</v>
      </c>
      <c r="DF8" s="704" t="n">
        <v>0</v>
      </c>
      <c r="DG8" s="704" t="n">
        <v>0</v>
      </c>
      <c r="DH8" s="704" t="n">
        <v>0</v>
      </c>
      <c r="DI8" s="704" t="n">
        <v>0</v>
      </c>
      <c r="DJ8" s="704" t="n">
        <v>0</v>
      </c>
      <c r="DK8" s="704" t="n">
        <v>0</v>
      </c>
      <c r="DL8" s="704" t="n">
        <v>0</v>
      </c>
      <c r="DM8" s="704" t="n">
        <v>0</v>
      </c>
    </row>
    <row r="9" ht="13.5" customHeight="1" s="355">
      <c r="B9" s="703" t="inlineStr">
        <is>
          <t>Req to Pay</t>
        </is>
      </c>
      <c r="C9" s="704" t="n"/>
      <c r="D9" s="704" t="n">
        <v>0</v>
      </c>
      <c r="E9" s="704" t="n">
        <v>0</v>
      </c>
      <c r="F9" s="704" t="n">
        <v>0</v>
      </c>
      <c r="G9" s="704" t="n">
        <v>0</v>
      </c>
      <c r="H9" s="704" t="n">
        <v>0</v>
      </c>
      <c r="I9" s="704" t="n">
        <v>0</v>
      </c>
      <c r="J9" s="704" t="n">
        <v>18.8982860105243</v>
      </c>
      <c r="K9" s="704" t="n">
        <v>18.8982860105243</v>
      </c>
      <c r="L9" s="704" t="n">
        <v>1.88982860105243</v>
      </c>
      <c r="M9" s="704" t="n">
        <v>0</v>
      </c>
      <c r="N9" s="704" t="n">
        <v>0</v>
      </c>
      <c r="O9" s="704" t="n">
        <v>0</v>
      </c>
      <c r="P9" s="704" t="n">
        <v>0</v>
      </c>
      <c r="Q9" s="704" t="n">
        <v>0</v>
      </c>
      <c r="R9" s="704" t="n">
        <v>0</v>
      </c>
      <c r="S9" s="704" t="n">
        <v>0</v>
      </c>
      <c r="T9" s="704" t="n">
        <v>0</v>
      </c>
      <c r="U9" s="704" t="n">
        <v>0</v>
      </c>
      <c r="V9" s="704" t="n">
        <v>0</v>
      </c>
      <c r="W9" s="704" t="n">
        <v>0</v>
      </c>
      <c r="X9" s="704" t="n">
        <v>0</v>
      </c>
      <c r="Y9" s="704" t="n">
        <v>0</v>
      </c>
      <c r="Z9" s="704" t="n">
        <v>0</v>
      </c>
      <c r="AA9" s="704" t="n">
        <v>0</v>
      </c>
      <c r="AB9" s="704" t="n">
        <v>0</v>
      </c>
      <c r="AC9" s="704" t="n">
        <v>0</v>
      </c>
      <c r="AD9" s="704" t="n">
        <v>0</v>
      </c>
      <c r="AE9" s="704" t="n">
        <v>0</v>
      </c>
      <c r="AF9" s="704" t="n">
        <v>0</v>
      </c>
      <c r="AG9" s="704" t="n">
        <v>0</v>
      </c>
      <c r="AH9" s="704" t="n">
        <v>0</v>
      </c>
      <c r="AI9" s="704" t="n">
        <v>0</v>
      </c>
      <c r="AJ9" s="704" t="n">
        <v>0</v>
      </c>
      <c r="AK9" s="704" t="n">
        <v>0</v>
      </c>
      <c r="AL9" s="704" t="n">
        <v>0</v>
      </c>
      <c r="AM9" s="704" t="n">
        <v>0</v>
      </c>
      <c r="AN9" s="704" t="n">
        <v>0</v>
      </c>
      <c r="AO9" s="704" t="n">
        <v>0</v>
      </c>
      <c r="AP9" s="704" t="n">
        <v>0</v>
      </c>
      <c r="AQ9" s="704" t="n">
        <v>0</v>
      </c>
      <c r="AR9" s="704" t="n">
        <v>0</v>
      </c>
      <c r="AS9" s="704" t="n">
        <v>0</v>
      </c>
      <c r="AT9" s="704" t="n">
        <v>0</v>
      </c>
      <c r="AU9" s="704" t="n">
        <v>0</v>
      </c>
      <c r="AV9" s="704" t="n">
        <v>0</v>
      </c>
      <c r="AW9" s="704" t="n">
        <v>0</v>
      </c>
      <c r="AX9" s="704" t="n">
        <v>0</v>
      </c>
      <c r="AY9" s="704" t="n">
        <v>0</v>
      </c>
      <c r="AZ9" s="704" t="n">
        <v>0</v>
      </c>
      <c r="BA9" s="704" t="n">
        <v>0</v>
      </c>
      <c r="BB9" s="704" t="n">
        <v>0</v>
      </c>
      <c r="BC9" s="704" t="n">
        <v>0</v>
      </c>
      <c r="BD9" s="704" t="n">
        <v>0</v>
      </c>
      <c r="BE9" s="704" t="n">
        <v>0</v>
      </c>
      <c r="BF9" s="704" t="n">
        <v>0</v>
      </c>
      <c r="BG9" s="704" t="n">
        <v>0</v>
      </c>
      <c r="BH9" s="704" t="n">
        <v>0</v>
      </c>
      <c r="BI9" s="704" t="n">
        <v>0</v>
      </c>
      <c r="BJ9" s="704" t="n">
        <v>0</v>
      </c>
      <c r="BK9" s="704" t="n">
        <v>0</v>
      </c>
      <c r="BL9" s="704" t="n">
        <v>0</v>
      </c>
      <c r="BM9" s="704" t="n">
        <v>0</v>
      </c>
      <c r="BN9" s="704" t="n">
        <v>0</v>
      </c>
      <c r="BO9" s="704" t="n">
        <v>0</v>
      </c>
      <c r="BP9" s="704" t="n">
        <v>0</v>
      </c>
      <c r="BQ9" s="704" t="n">
        <v>0</v>
      </c>
      <c r="BR9" s="704" t="n">
        <v>0</v>
      </c>
      <c r="BS9" s="704" t="n">
        <v>0</v>
      </c>
      <c r="BT9" s="704" t="n">
        <v>0</v>
      </c>
      <c r="BU9" s="704" t="n">
        <v>0</v>
      </c>
      <c r="BV9" s="704" t="n">
        <v>0</v>
      </c>
      <c r="BW9" s="704" t="n">
        <v>0</v>
      </c>
      <c r="BX9" s="704" t="n">
        <v>0</v>
      </c>
      <c r="BY9" s="704" t="n">
        <v>0</v>
      </c>
      <c r="BZ9" s="704" t="n">
        <v>0</v>
      </c>
      <c r="CA9" s="704" t="n">
        <v>0</v>
      </c>
      <c r="CB9" s="704" t="n">
        <v>0</v>
      </c>
      <c r="CC9" s="704" t="n">
        <v>0</v>
      </c>
      <c r="CD9" s="704" t="n">
        <v>0</v>
      </c>
      <c r="CE9" s="704" t="n">
        <v>0</v>
      </c>
      <c r="CF9" s="704" t="n">
        <v>0</v>
      </c>
      <c r="CG9" s="704" t="n">
        <v>0</v>
      </c>
      <c r="CH9" s="704" t="n">
        <v>0</v>
      </c>
      <c r="CI9" s="704" t="n">
        <v>0</v>
      </c>
      <c r="CJ9" s="704" t="n">
        <v>0</v>
      </c>
      <c r="CK9" s="704" t="n">
        <v>0</v>
      </c>
      <c r="CL9" s="704" t="n">
        <v>0</v>
      </c>
      <c r="CM9" s="704" t="n">
        <v>0</v>
      </c>
      <c r="CN9" s="704" t="n">
        <v>0</v>
      </c>
      <c r="CO9" s="704" t="n">
        <v>0</v>
      </c>
      <c r="CP9" s="704" t="n">
        <v>0</v>
      </c>
      <c r="CQ9" s="704" t="n">
        <v>0</v>
      </c>
      <c r="CR9" s="704" t="n">
        <v>0</v>
      </c>
      <c r="CS9" s="704" t="n">
        <v>0</v>
      </c>
      <c r="CT9" s="704" t="n">
        <v>0</v>
      </c>
      <c r="CU9" s="704" t="n">
        <v>0</v>
      </c>
      <c r="CV9" s="704" t="n">
        <v>0</v>
      </c>
      <c r="CW9" s="704" t="n">
        <v>0</v>
      </c>
      <c r="CX9" s="704" t="n">
        <v>0</v>
      </c>
      <c r="CY9" s="704" t="n">
        <v>0</v>
      </c>
      <c r="CZ9" s="704" t="n">
        <v>0</v>
      </c>
      <c r="DA9" s="704" t="n">
        <v>0</v>
      </c>
      <c r="DB9" s="704" t="n">
        <v>0</v>
      </c>
      <c r="DC9" s="704" t="n">
        <v>0</v>
      </c>
      <c r="DD9" s="704" t="n">
        <v>0</v>
      </c>
      <c r="DE9" s="704" t="n">
        <v>0</v>
      </c>
      <c r="DF9" s="704" t="n">
        <v>0</v>
      </c>
      <c r="DG9" s="704" t="n">
        <v>0</v>
      </c>
      <c r="DH9" s="704" t="n">
        <v>0</v>
      </c>
      <c r="DI9" s="704" t="n">
        <v>0</v>
      </c>
      <c r="DJ9" s="704" t="n">
        <v>0</v>
      </c>
      <c r="DK9" s="704" t="n">
        <v>0</v>
      </c>
      <c r="DL9" s="704" t="n">
        <v>0</v>
      </c>
      <c r="DM9" s="704" t="n">
        <v>0</v>
      </c>
    </row>
    <row r="10" ht="13.5" customHeight="1" s="355">
      <c r="B10" s="703" t="inlineStr">
        <is>
          <t>Team Leader</t>
        </is>
      </c>
      <c r="C10" s="704" t="n"/>
      <c r="D10" s="704" t="n">
        <v>0</v>
      </c>
      <c r="E10" s="704" t="n">
        <v>0</v>
      </c>
      <c r="F10" s="704" t="n">
        <v>0</v>
      </c>
      <c r="G10" s="704" t="n">
        <v>0</v>
      </c>
      <c r="H10" s="704" t="n">
        <v>0</v>
      </c>
      <c r="I10" s="704" t="n">
        <v>0</v>
      </c>
      <c r="J10" s="704" t="n">
        <v>0</v>
      </c>
      <c r="K10" s="704" t="n">
        <v>0</v>
      </c>
      <c r="L10" s="704" t="n">
        <v>0</v>
      </c>
      <c r="M10" s="704" t="n">
        <v>0</v>
      </c>
      <c r="N10" s="704" t="n">
        <v>0</v>
      </c>
      <c r="O10" s="704" t="n">
        <v>0</v>
      </c>
      <c r="P10" s="704" t="n">
        <v>0</v>
      </c>
      <c r="Q10" s="704" t="n">
        <v>0</v>
      </c>
      <c r="R10" s="704" t="n">
        <v>0</v>
      </c>
      <c r="S10" s="704" t="n">
        <v>0</v>
      </c>
      <c r="T10" s="704" t="n">
        <v>0</v>
      </c>
      <c r="U10" s="704" t="n">
        <v>0</v>
      </c>
      <c r="V10" s="704" t="n">
        <v>0</v>
      </c>
      <c r="W10" s="704" t="n">
        <v>0</v>
      </c>
      <c r="X10" s="704" t="n">
        <v>0</v>
      </c>
      <c r="Y10" s="704" t="n">
        <v>0</v>
      </c>
      <c r="Z10" s="704" t="n">
        <v>0</v>
      </c>
      <c r="AA10" s="704" t="n">
        <v>0</v>
      </c>
      <c r="AB10" s="704" t="n">
        <v>0</v>
      </c>
      <c r="AC10" s="704" t="n">
        <v>0</v>
      </c>
      <c r="AD10" s="704" t="n">
        <v>0</v>
      </c>
      <c r="AE10" s="704" t="n">
        <v>0</v>
      </c>
      <c r="AF10" s="704" t="n">
        <v>0</v>
      </c>
      <c r="AG10" s="704" t="n">
        <v>0</v>
      </c>
      <c r="AH10" s="704" t="n">
        <v>0</v>
      </c>
      <c r="AI10" s="704" t="n">
        <v>0</v>
      </c>
      <c r="AJ10" s="704" t="n">
        <v>0</v>
      </c>
      <c r="AK10" s="704" t="n">
        <v>0</v>
      </c>
      <c r="AL10" s="704" t="n">
        <v>0</v>
      </c>
      <c r="AM10" s="704" t="n">
        <v>0</v>
      </c>
      <c r="AN10" s="704" t="n">
        <v>0</v>
      </c>
      <c r="AO10" s="704" t="n">
        <v>0</v>
      </c>
      <c r="AP10" s="704" t="n">
        <v>0</v>
      </c>
      <c r="AQ10" s="704" t="n">
        <v>0</v>
      </c>
      <c r="AR10" s="704" t="n">
        <v>0</v>
      </c>
      <c r="AS10" s="704" t="n">
        <v>0</v>
      </c>
      <c r="AT10" s="704" t="n">
        <v>0</v>
      </c>
      <c r="AU10" s="704" t="n">
        <v>0</v>
      </c>
      <c r="AV10" s="704" t="n">
        <v>0</v>
      </c>
      <c r="AW10" s="704" t="n">
        <v>0</v>
      </c>
      <c r="AX10" s="704" t="n">
        <v>0</v>
      </c>
      <c r="AY10" s="704" t="n">
        <v>0</v>
      </c>
      <c r="AZ10" s="704" t="n">
        <v>0</v>
      </c>
      <c r="BA10" s="704" t="n">
        <v>0</v>
      </c>
      <c r="BB10" s="704" t="n">
        <v>0</v>
      </c>
      <c r="BC10" s="704" t="n">
        <v>0</v>
      </c>
      <c r="BD10" s="704" t="n">
        <v>0</v>
      </c>
      <c r="BE10" s="704" t="n">
        <v>0</v>
      </c>
      <c r="BF10" s="704" t="n">
        <v>0</v>
      </c>
      <c r="BG10" s="704" t="n">
        <v>0</v>
      </c>
      <c r="BH10" s="704" t="n">
        <v>0</v>
      </c>
      <c r="BI10" s="704" t="n">
        <v>0</v>
      </c>
      <c r="BJ10" s="704" t="n">
        <v>0</v>
      </c>
      <c r="BK10" s="704" t="n">
        <v>0</v>
      </c>
      <c r="BL10" s="704" t="n">
        <v>0</v>
      </c>
      <c r="BM10" s="704" t="n">
        <v>0</v>
      </c>
      <c r="BN10" s="704" t="n">
        <v>0</v>
      </c>
      <c r="BO10" s="704" t="n">
        <v>0</v>
      </c>
      <c r="BP10" s="704" t="n">
        <v>0</v>
      </c>
      <c r="BQ10" s="704" t="n">
        <v>0</v>
      </c>
      <c r="BR10" s="704" t="n">
        <v>0</v>
      </c>
      <c r="BS10" s="704" t="n">
        <v>0</v>
      </c>
      <c r="BT10" s="704" t="n">
        <v>0</v>
      </c>
      <c r="BU10" s="704" t="n">
        <v>0</v>
      </c>
      <c r="BV10" s="704" t="n">
        <v>0</v>
      </c>
      <c r="BW10" s="704" t="n">
        <v>0</v>
      </c>
      <c r="BX10" s="704" t="n">
        <v>0</v>
      </c>
      <c r="BY10" s="704" t="n">
        <v>0</v>
      </c>
      <c r="BZ10" s="704" t="n">
        <v>0</v>
      </c>
      <c r="CA10" s="704" t="n">
        <v>0</v>
      </c>
      <c r="CB10" s="704" t="n">
        <v>0</v>
      </c>
      <c r="CC10" s="704" t="n">
        <v>0</v>
      </c>
      <c r="CD10" s="704" t="n">
        <v>0</v>
      </c>
      <c r="CE10" s="704" t="n">
        <v>0</v>
      </c>
      <c r="CF10" s="704" t="n">
        <v>0</v>
      </c>
      <c r="CG10" s="704" t="n">
        <v>0</v>
      </c>
      <c r="CH10" s="704" t="n">
        <v>0</v>
      </c>
      <c r="CI10" s="704" t="n">
        <v>0</v>
      </c>
      <c r="CJ10" s="704" t="n">
        <v>0</v>
      </c>
      <c r="CK10" s="704" t="n">
        <v>0</v>
      </c>
      <c r="CL10" s="704" t="n">
        <v>0</v>
      </c>
      <c r="CM10" s="704" t="n">
        <v>0</v>
      </c>
      <c r="CN10" s="704" t="n">
        <v>0</v>
      </c>
      <c r="CO10" s="704" t="n">
        <v>0</v>
      </c>
      <c r="CP10" s="704" t="n">
        <v>0</v>
      </c>
      <c r="CQ10" s="704" t="n">
        <v>0</v>
      </c>
      <c r="CR10" s="704" t="n">
        <v>0</v>
      </c>
      <c r="CS10" s="704" t="n">
        <v>0</v>
      </c>
      <c r="CT10" s="704" t="n">
        <v>0</v>
      </c>
      <c r="CU10" s="704" t="n">
        <v>0</v>
      </c>
      <c r="CV10" s="704" t="n">
        <v>0</v>
      </c>
      <c r="CW10" s="704" t="n">
        <v>0</v>
      </c>
      <c r="CX10" s="704" t="n">
        <v>0</v>
      </c>
      <c r="CY10" s="704" t="n">
        <v>0</v>
      </c>
      <c r="CZ10" s="704" t="n">
        <v>0</v>
      </c>
      <c r="DA10" s="704" t="n">
        <v>0</v>
      </c>
      <c r="DB10" s="704" t="n">
        <v>0</v>
      </c>
      <c r="DC10" s="704" t="n">
        <v>0</v>
      </c>
      <c r="DD10" s="704" t="n">
        <v>0</v>
      </c>
      <c r="DE10" s="704" t="n">
        <v>0</v>
      </c>
      <c r="DF10" s="704" t="n">
        <v>0</v>
      </c>
      <c r="DG10" s="704" t="n">
        <v>0</v>
      </c>
      <c r="DH10" s="704" t="n">
        <v>0</v>
      </c>
      <c r="DI10" s="704" t="n">
        <v>0</v>
      </c>
      <c r="DJ10" s="704" t="n">
        <v>0</v>
      </c>
      <c r="DK10" s="704" t="n">
        <v>0</v>
      </c>
      <c r="DL10" s="704" t="n">
        <v>0</v>
      </c>
      <c r="DM10" s="704" t="n">
        <v>0</v>
      </c>
    </row>
    <row r="11" ht="13.5" customHeight="1" s="355">
      <c r="B11" s="703" t="inlineStr">
        <is>
          <t>SLA Metric Reporting</t>
        </is>
      </c>
      <c r="C11" s="704" t="n"/>
      <c r="D11" s="704" t="n">
        <v>0</v>
      </c>
      <c r="E11" s="704" t="n">
        <v>0</v>
      </c>
      <c r="F11" s="704" t="n">
        <v>0</v>
      </c>
      <c r="G11" s="704" t="n">
        <v>0</v>
      </c>
      <c r="H11" s="704" t="n">
        <v>0</v>
      </c>
      <c r="I11" s="704" t="n">
        <v>0</v>
      </c>
      <c r="J11" s="704" t="n">
        <v>0</v>
      </c>
      <c r="K11" s="704" t="n">
        <v>0</v>
      </c>
      <c r="L11" s="704" t="n">
        <v>0</v>
      </c>
      <c r="M11" s="704" t="n">
        <v>0</v>
      </c>
      <c r="N11" s="704" t="n">
        <v>0</v>
      </c>
      <c r="O11" s="704" t="n">
        <v>0</v>
      </c>
      <c r="P11" s="704" t="n">
        <v>0</v>
      </c>
      <c r="Q11" s="704" t="n">
        <v>0</v>
      </c>
      <c r="R11" s="704" t="n">
        <v>0</v>
      </c>
      <c r="S11" s="704" t="n">
        <v>0</v>
      </c>
      <c r="T11" s="704" t="n">
        <v>0</v>
      </c>
      <c r="U11" s="704" t="n">
        <v>0</v>
      </c>
      <c r="V11" s="704" t="n">
        <v>0</v>
      </c>
      <c r="W11" s="704" t="n">
        <v>0</v>
      </c>
      <c r="X11" s="704" t="n">
        <v>0</v>
      </c>
      <c r="Y11" s="704" t="n">
        <v>0</v>
      </c>
      <c r="Z11" s="704" t="n">
        <v>0</v>
      </c>
      <c r="AA11" s="704" t="n">
        <v>0</v>
      </c>
      <c r="AB11" s="704" t="n">
        <v>0</v>
      </c>
      <c r="AC11" s="704" t="n">
        <v>0</v>
      </c>
      <c r="AD11" s="704" t="n">
        <v>0</v>
      </c>
      <c r="AE11" s="704" t="n">
        <v>0</v>
      </c>
      <c r="AF11" s="704" t="n">
        <v>0</v>
      </c>
      <c r="AG11" s="704" t="n">
        <v>0</v>
      </c>
      <c r="AH11" s="704" t="n">
        <v>0</v>
      </c>
      <c r="AI11" s="704" t="n">
        <v>0</v>
      </c>
      <c r="AJ11" s="704" t="n">
        <v>0</v>
      </c>
      <c r="AK11" s="704" t="n">
        <v>0</v>
      </c>
      <c r="AL11" s="704" t="n">
        <v>0</v>
      </c>
      <c r="AM11" s="704" t="n">
        <v>0</v>
      </c>
      <c r="AN11" s="704" t="n">
        <v>0</v>
      </c>
      <c r="AO11" s="704" t="n">
        <v>0</v>
      </c>
      <c r="AP11" s="704" t="n">
        <v>0</v>
      </c>
      <c r="AQ11" s="704" t="n">
        <v>0</v>
      </c>
      <c r="AR11" s="704" t="n">
        <v>0</v>
      </c>
      <c r="AS11" s="704" t="n">
        <v>0</v>
      </c>
      <c r="AT11" s="704" t="n">
        <v>0</v>
      </c>
      <c r="AU11" s="704" t="n">
        <v>0</v>
      </c>
      <c r="AV11" s="704" t="n">
        <v>0</v>
      </c>
      <c r="AW11" s="704" t="n">
        <v>0</v>
      </c>
      <c r="AX11" s="704" t="n">
        <v>0</v>
      </c>
      <c r="AY11" s="704" t="n">
        <v>0</v>
      </c>
      <c r="AZ11" s="704" t="n">
        <v>0</v>
      </c>
      <c r="BA11" s="704" t="n">
        <v>0</v>
      </c>
      <c r="BB11" s="704" t="n">
        <v>0</v>
      </c>
      <c r="BC11" s="704" t="n">
        <v>0</v>
      </c>
      <c r="BD11" s="704" t="n">
        <v>0</v>
      </c>
      <c r="BE11" s="704" t="n">
        <v>0</v>
      </c>
      <c r="BF11" s="704" t="n">
        <v>0</v>
      </c>
      <c r="BG11" s="704" t="n">
        <v>0</v>
      </c>
      <c r="BH11" s="704" t="n">
        <v>0</v>
      </c>
      <c r="BI11" s="704" t="n">
        <v>0</v>
      </c>
      <c r="BJ11" s="704" t="n">
        <v>0</v>
      </c>
      <c r="BK11" s="704" t="n">
        <v>0</v>
      </c>
      <c r="BL11" s="704" t="n">
        <v>0</v>
      </c>
      <c r="BM11" s="704" t="n">
        <v>0</v>
      </c>
      <c r="BN11" s="704" t="n">
        <v>0</v>
      </c>
      <c r="BO11" s="704" t="n">
        <v>0</v>
      </c>
      <c r="BP11" s="704" t="n">
        <v>0</v>
      </c>
      <c r="BQ11" s="704" t="n">
        <v>0</v>
      </c>
      <c r="BR11" s="704" t="n">
        <v>0</v>
      </c>
      <c r="BS11" s="704" t="n">
        <v>0</v>
      </c>
      <c r="BT11" s="704" t="n">
        <v>0</v>
      </c>
      <c r="BU11" s="704" t="n">
        <v>0</v>
      </c>
      <c r="BV11" s="704" t="n">
        <v>0</v>
      </c>
      <c r="BW11" s="704" t="n">
        <v>0</v>
      </c>
      <c r="BX11" s="704" t="n">
        <v>0</v>
      </c>
      <c r="BY11" s="704" t="n">
        <v>0</v>
      </c>
      <c r="BZ11" s="704" t="n">
        <v>0</v>
      </c>
      <c r="CA11" s="704" t="n">
        <v>0</v>
      </c>
      <c r="CB11" s="704" t="n">
        <v>0</v>
      </c>
      <c r="CC11" s="704" t="n">
        <v>0</v>
      </c>
      <c r="CD11" s="704" t="n">
        <v>0</v>
      </c>
      <c r="CE11" s="704" t="n">
        <v>0</v>
      </c>
      <c r="CF11" s="704" t="n">
        <v>0</v>
      </c>
      <c r="CG11" s="704" t="n">
        <v>0</v>
      </c>
      <c r="CH11" s="704" t="n">
        <v>0</v>
      </c>
      <c r="CI11" s="704" t="n">
        <v>0</v>
      </c>
      <c r="CJ11" s="704" t="n">
        <v>0</v>
      </c>
      <c r="CK11" s="704" t="n">
        <v>0</v>
      </c>
      <c r="CL11" s="704" t="n">
        <v>0</v>
      </c>
      <c r="CM11" s="704" t="n">
        <v>0</v>
      </c>
      <c r="CN11" s="704" t="n">
        <v>0</v>
      </c>
      <c r="CO11" s="704" t="n">
        <v>0</v>
      </c>
      <c r="CP11" s="704" t="n">
        <v>0</v>
      </c>
      <c r="CQ11" s="704" t="n">
        <v>0</v>
      </c>
      <c r="CR11" s="704" t="n">
        <v>0</v>
      </c>
      <c r="CS11" s="704" t="n">
        <v>0</v>
      </c>
      <c r="CT11" s="704" t="n">
        <v>0</v>
      </c>
      <c r="CU11" s="704" t="n">
        <v>0</v>
      </c>
      <c r="CV11" s="704" t="n">
        <v>0</v>
      </c>
      <c r="CW11" s="704" t="n">
        <v>0</v>
      </c>
      <c r="CX11" s="704" t="n">
        <v>0</v>
      </c>
      <c r="CY11" s="704" t="n">
        <v>0</v>
      </c>
      <c r="CZ11" s="704" t="n">
        <v>0</v>
      </c>
      <c r="DA11" s="704" t="n">
        <v>0</v>
      </c>
      <c r="DB11" s="704" t="n">
        <v>0</v>
      </c>
      <c r="DC11" s="704" t="n">
        <v>0</v>
      </c>
      <c r="DD11" s="704" t="n">
        <v>0</v>
      </c>
      <c r="DE11" s="704" t="n">
        <v>0</v>
      </c>
      <c r="DF11" s="704" t="n">
        <v>0</v>
      </c>
      <c r="DG11" s="704" t="n">
        <v>0</v>
      </c>
      <c r="DH11" s="704" t="n">
        <v>0</v>
      </c>
      <c r="DI11" s="704" t="n">
        <v>0</v>
      </c>
      <c r="DJ11" s="704" t="n">
        <v>0</v>
      </c>
      <c r="DK11" s="704" t="n">
        <v>0</v>
      </c>
      <c r="DL11" s="704" t="n">
        <v>0</v>
      </c>
      <c r="DM11" s="704" t="n">
        <v>0</v>
      </c>
    </row>
    <row r="12" ht="13.5" customHeight="1" s="355">
      <c r="B12" s="705" t="inlineStr">
        <is>
          <t>Grand Total</t>
        </is>
      </c>
      <c r="C12" s="706" t="n"/>
      <c r="D12" s="707" t="n">
        <v>0</v>
      </c>
      <c r="E12" s="707" t="n">
        <v>0</v>
      </c>
      <c r="F12" s="707" t="n">
        <v>0</v>
      </c>
      <c r="G12" s="707" t="n">
        <v>0</v>
      </c>
      <c r="H12" s="707" t="n">
        <v>0</v>
      </c>
      <c r="I12" s="707" t="n">
        <v>0</v>
      </c>
      <c r="J12" s="707" t="n">
        <v>37.4652571072081</v>
      </c>
      <c r="K12" s="707" t="n">
        <v>60.1815875302719</v>
      </c>
      <c r="L12" s="707" t="n">
        <v>23.6528835882415</v>
      </c>
      <c r="M12" s="707" t="n">
        <v>1.77380194752809</v>
      </c>
      <c r="N12" s="707" t="n">
        <v>1.57108172495345</v>
      </c>
      <c r="O12" s="707" t="n">
        <v>1.57108172495345</v>
      </c>
      <c r="P12" s="707" t="n">
        <v>1.61821417670205</v>
      </c>
      <c r="Q12" s="707" t="n">
        <v>0</v>
      </c>
      <c r="R12" s="707" t="n">
        <v>0</v>
      </c>
      <c r="S12" s="707" t="n">
        <v>0</v>
      </c>
      <c r="T12" s="707" t="n">
        <v>0</v>
      </c>
      <c r="U12" s="707" t="n">
        <v>0</v>
      </c>
      <c r="V12" s="707" t="n">
        <v>0</v>
      </c>
      <c r="W12" s="707" t="n">
        <v>0</v>
      </c>
      <c r="X12" s="707" t="n">
        <v>0</v>
      </c>
      <c r="Y12" s="707" t="n">
        <v>0</v>
      </c>
      <c r="Z12" s="707" t="n">
        <v>0</v>
      </c>
      <c r="AA12" s="707" t="n">
        <v>0</v>
      </c>
      <c r="AB12" s="707" t="n">
        <v>0</v>
      </c>
      <c r="AC12" s="707" t="n">
        <v>0</v>
      </c>
      <c r="AD12" s="707" t="n">
        <v>0</v>
      </c>
      <c r="AE12" s="707" t="n">
        <v>0</v>
      </c>
      <c r="AF12" s="707" t="n">
        <v>0</v>
      </c>
      <c r="AG12" s="707" t="n">
        <v>0</v>
      </c>
      <c r="AH12" s="707" t="n">
        <v>0</v>
      </c>
      <c r="AI12" s="707" t="n">
        <v>0</v>
      </c>
      <c r="AJ12" s="707" t="n">
        <v>0</v>
      </c>
      <c r="AK12" s="707" t="n">
        <v>0</v>
      </c>
      <c r="AL12" s="707" t="n">
        <v>0</v>
      </c>
      <c r="AM12" s="707" t="n">
        <v>0</v>
      </c>
      <c r="AN12" s="707" t="n">
        <v>0</v>
      </c>
      <c r="AO12" s="707" t="n">
        <v>0</v>
      </c>
      <c r="AP12" s="707" t="n">
        <v>0</v>
      </c>
      <c r="AQ12" s="707" t="n">
        <v>0</v>
      </c>
      <c r="AR12" s="707" t="n">
        <v>0</v>
      </c>
      <c r="AS12" s="707" t="n">
        <v>0</v>
      </c>
      <c r="AT12" s="707" t="n">
        <v>0</v>
      </c>
      <c r="AU12" s="707" t="n">
        <v>0</v>
      </c>
      <c r="AV12" s="707" t="n">
        <v>0</v>
      </c>
      <c r="AW12" s="707" t="n">
        <v>0</v>
      </c>
      <c r="AX12" s="707" t="n">
        <v>0</v>
      </c>
      <c r="AY12" s="707" t="n">
        <v>0</v>
      </c>
      <c r="AZ12" s="707" t="n">
        <v>0</v>
      </c>
      <c r="BA12" s="707" t="n">
        <v>0</v>
      </c>
      <c r="BB12" s="707" t="n">
        <v>0</v>
      </c>
      <c r="BC12" s="707" t="n">
        <v>0</v>
      </c>
      <c r="BD12" s="707" t="n">
        <v>0</v>
      </c>
      <c r="BE12" s="707" t="n">
        <v>0</v>
      </c>
      <c r="BF12" s="707" t="n">
        <v>0</v>
      </c>
      <c r="BG12" s="707" t="n">
        <v>0</v>
      </c>
      <c r="BH12" s="707" t="n">
        <v>0</v>
      </c>
      <c r="BI12" s="707" t="n">
        <v>0</v>
      </c>
      <c r="BJ12" s="707" t="n">
        <v>0</v>
      </c>
      <c r="BK12" s="707" t="n">
        <v>0</v>
      </c>
      <c r="BL12" s="707" t="n">
        <v>0</v>
      </c>
      <c r="BM12" s="707" t="n">
        <v>0</v>
      </c>
      <c r="BN12" s="707" t="n">
        <v>0</v>
      </c>
      <c r="BO12" s="707" t="n">
        <v>0</v>
      </c>
      <c r="BP12" s="707" t="n">
        <v>0</v>
      </c>
      <c r="BQ12" s="707" t="n">
        <v>0</v>
      </c>
      <c r="BR12" s="707" t="n">
        <v>0</v>
      </c>
      <c r="BS12" s="707" t="n">
        <v>0</v>
      </c>
      <c r="BT12" s="707" t="n">
        <v>0</v>
      </c>
      <c r="BU12" s="707" t="n">
        <v>0</v>
      </c>
      <c r="BV12" s="707" t="n">
        <v>0</v>
      </c>
      <c r="BW12" s="707" t="n">
        <v>0</v>
      </c>
      <c r="BX12" s="707" t="n">
        <v>0</v>
      </c>
      <c r="BY12" s="707" t="n">
        <v>0</v>
      </c>
      <c r="BZ12" s="707" t="n">
        <v>0</v>
      </c>
      <c r="CA12" s="707" t="n">
        <v>0</v>
      </c>
      <c r="CB12" s="707" t="n">
        <v>0</v>
      </c>
      <c r="CC12" s="707" t="n">
        <v>0</v>
      </c>
      <c r="CD12" s="707" t="n">
        <v>0</v>
      </c>
      <c r="CE12" s="707" t="n">
        <v>0</v>
      </c>
      <c r="CF12" s="707" t="n">
        <v>0</v>
      </c>
      <c r="CG12" s="707" t="n">
        <v>0</v>
      </c>
      <c r="CH12" s="707" t="n">
        <v>0</v>
      </c>
      <c r="CI12" s="707" t="n">
        <v>0</v>
      </c>
      <c r="CJ12" s="707" t="n">
        <v>0</v>
      </c>
      <c r="CK12" s="707" t="n">
        <v>0</v>
      </c>
      <c r="CL12" s="707" t="n">
        <v>0</v>
      </c>
      <c r="CM12" s="707" t="n">
        <v>0</v>
      </c>
      <c r="CN12" s="707" t="n">
        <v>0</v>
      </c>
      <c r="CO12" s="707" t="n">
        <v>0</v>
      </c>
      <c r="CP12" s="707" t="n">
        <v>0</v>
      </c>
      <c r="CQ12" s="707" t="n">
        <v>0</v>
      </c>
      <c r="CR12" s="707" t="n">
        <v>0</v>
      </c>
      <c r="CS12" s="707" t="n">
        <v>0</v>
      </c>
      <c r="CT12" s="707" t="n">
        <v>0</v>
      </c>
      <c r="CU12" s="707" t="n">
        <v>0</v>
      </c>
      <c r="CV12" s="707" t="n">
        <v>0</v>
      </c>
      <c r="CW12" s="707" t="n">
        <v>0</v>
      </c>
      <c r="CX12" s="707" t="n">
        <v>0</v>
      </c>
      <c r="CY12" s="707" t="n">
        <v>0</v>
      </c>
      <c r="CZ12" s="707" t="n">
        <v>0</v>
      </c>
      <c r="DA12" s="707" t="n">
        <v>0</v>
      </c>
      <c r="DB12" s="707" t="n">
        <v>0</v>
      </c>
      <c r="DC12" s="707" t="n">
        <v>0</v>
      </c>
      <c r="DD12" s="707" t="n">
        <v>0</v>
      </c>
      <c r="DE12" s="707" t="n">
        <v>0</v>
      </c>
      <c r="DF12" s="707" t="n">
        <v>0</v>
      </c>
      <c r="DG12" s="707" t="n">
        <v>0</v>
      </c>
      <c r="DH12" s="707" t="n">
        <v>0</v>
      </c>
      <c r="DI12" s="707" t="n">
        <v>0</v>
      </c>
      <c r="DJ12" s="707" t="n">
        <v>0</v>
      </c>
      <c r="DK12" s="707" t="n">
        <v>0</v>
      </c>
      <c r="DL12" s="707" t="n">
        <v>0</v>
      </c>
      <c r="DM12" s="707" t="n">
        <v>0</v>
      </c>
    </row>
    <row r="13" ht="13.5" customHeight="1" s="355">
      <c r="A13" s="702" t="inlineStr">
        <is>
          <t>US</t>
        </is>
      </c>
      <c r="B13" s="703" t="inlineStr">
        <is>
          <t>Gen Acctg</t>
        </is>
      </c>
      <c r="D13" s="704" t="n">
        <v>0</v>
      </c>
      <c r="E13" s="704" t="n">
        <v>0</v>
      </c>
      <c r="F13" s="704" t="n">
        <v>0</v>
      </c>
      <c r="G13" s="704" t="n">
        <v>0</v>
      </c>
      <c r="H13" s="704" t="n">
        <v>1.80048416499383</v>
      </c>
      <c r="I13" s="704" t="n">
        <v>1.80048416499383</v>
      </c>
      <c r="J13" s="704" t="n">
        <v>1.80048416499383</v>
      </c>
      <c r="K13" s="704" t="n">
        <v>0</v>
      </c>
      <c r="L13" s="704" t="n">
        <v>0</v>
      </c>
      <c r="M13" s="704" t="n">
        <v>0</v>
      </c>
      <c r="N13" s="704" t="n">
        <v>0</v>
      </c>
      <c r="O13" s="704" t="n">
        <v>0</v>
      </c>
      <c r="P13" s="704" t="n">
        <v>0</v>
      </c>
      <c r="Q13" s="704" t="n">
        <v>0</v>
      </c>
      <c r="R13" s="704" t="n">
        <v>0</v>
      </c>
      <c r="S13" s="704" t="n">
        <v>0</v>
      </c>
      <c r="T13" s="704" t="n">
        <v>0</v>
      </c>
      <c r="U13" s="704" t="n">
        <v>0</v>
      </c>
      <c r="V13" s="704" t="n">
        <v>0</v>
      </c>
      <c r="W13" s="704" t="n">
        <v>0</v>
      </c>
      <c r="X13" s="704" t="n">
        <v>0</v>
      </c>
      <c r="Y13" s="704" t="n">
        <v>0</v>
      </c>
      <c r="Z13" s="704" t="n">
        <v>0</v>
      </c>
      <c r="AA13" s="704" t="n">
        <v>0</v>
      </c>
      <c r="AB13" s="704" t="n">
        <v>0</v>
      </c>
      <c r="AC13" s="704" t="n">
        <v>0</v>
      </c>
      <c r="AD13" s="704" t="n">
        <v>0</v>
      </c>
      <c r="AE13" s="704" t="n">
        <v>0</v>
      </c>
      <c r="AF13" s="704" t="n">
        <v>0</v>
      </c>
      <c r="AG13" s="704" t="n">
        <v>0</v>
      </c>
      <c r="AH13" s="704" t="n">
        <v>0</v>
      </c>
      <c r="AI13" s="704" t="n">
        <v>0</v>
      </c>
      <c r="AJ13" s="704" t="n">
        <v>0</v>
      </c>
      <c r="AK13" s="704" t="n">
        <v>0</v>
      </c>
      <c r="AL13" s="704" t="n">
        <v>0</v>
      </c>
      <c r="AM13" s="704" t="n">
        <v>0</v>
      </c>
      <c r="AN13" s="704" t="n">
        <v>0</v>
      </c>
      <c r="AO13" s="704" t="n">
        <v>0</v>
      </c>
      <c r="AP13" s="704" t="n">
        <v>0</v>
      </c>
      <c r="AQ13" s="704" t="n">
        <v>0</v>
      </c>
      <c r="AR13" s="704" t="n">
        <v>0</v>
      </c>
      <c r="AS13" s="704" t="n">
        <v>0</v>
      </c>
      <c r="AT13" s="704" t="n">
        <v>0</v>
      </c>
      <c r="AU13" s="704" t="n">
        <v>0</v>
      </c>
      <c r="AV13" s="704" t="n">
        <v>0</v>
      </c>
      <c r="AW13" s="704" t="n">
        <v>0</v>
      </c>
      <c r="AX13" s="704" t="n">
        <v>0</v>
      </c>
      <c r="AY13" s="704" t="n">
        <v>0</v>
      </c>
      <c r="AZ13" s="704" t="n">
        <v>0</v>
      </c>
      <c r="BA13" s="704" t="n">
        <v>0</v>
      </c>
      <c r="BB13" s="704" t="n">
        <v>0</v>
      </c>
      <c r="BC13" s="704" t="n">
        <v>0</v>
      </c>
      <c r="BD13" s="704" t="n">
        <v>0</v>
      </c>
      <c r="BE13" s="704" t="n">
        <v>0</v>
      </c>
      <c r="BF13" s="704" t="n">
        <v>0</v>
      </c>
      <c r="BG13" s="704" t="n">
        <v>0</v>
      </c>
      <c r="BH13" s="704" t="n">
        <v>0</v>
      </c>
      <c r="BI13" s="704" t="n">
        <v>0</v>
      </c>
      <c r="BJ13" s="704" t="n">
        <v>0</v>
      </c>
      <c r="BK13" s="704" t="n">
        <v>0</v>
      </c>
      <c r="BL13" s="704" t="n">
        <v>0</v>
      </c>
      <c r="BM13" s="704" t="n">
        <v>0</v>
      </c>
      <c r="BN13" s="704" t="n">
        <v>0</v>
      </c>
      <c r="BO13" s="704" t="n">
        <v>0</v>
      </c>
      <c r="BP13" s="704" t="n">
        <v>0</v>
      </c>
      <c r="BQ13" s="704" t="n">
        <v>0</v>
      </c>
      <c r="BR13" s="704" t="n">
        <v>0</v>
      </c>
      <c r="BS13" s="704" t="n">
        <v>0</v>
      </c>
      <c r="BT13" s="704" t="n">
        <v>0</v>
      </c>
      <c r="BU13" s="704" t="n">
        <v>0</v>
      </c>
      <c r="BV13" s="704" t="n">
        <v>0</v>
      </c>
      <c r="BW13" s="704" t="n">
        <v>0</v>
      </c>
      <c r="BX13" s="704" t="n">
        <v>0</v>
      </c>
      <c r="BY13" s="704" t="n">
        <v>0</v>
      </c>
      <c r="BZ13" s="704" t="n">
        <v>0</v>
      </c>
      <c r="CA13" s="704" t="n">
        <v>0</v>
      </c>
      <c r="CB13" s="704" t="n">
        <v>0</v>
      </c>
      <c r="CC13" s="704" t="n">
        <v>0</v>
      </c>
      <c r="CD13" s="704" t="n">
        <v>0</v>
      </c>
      <c r="CE13" s="704" t="n">
        <v>0</v>
      </c>
      <c r="CF13" s="704" t="n">
        <v>0</v>
      </c>
      <c r="CG13" s="704" t="n">
        <v>0</v>
      </c>
      <c r="CH13" s="704" t="n">
        <v>0</v>
      </c>
      <c r="CI13" s="704" t="n">
        <v>0</v>
      </c>
      <c r="CJ13" s="704" t="n">
        <v>0</v>
      </c>
      <c r="CK13" s="704" t="n">
        <v>0</v>
      </c>
      <c r="CL13" s="704" t="n">
        <v>0</v>
      </c>
      <c r="CM13" s="704" t="n">
        <v>0</v>
      </c>
      <c r="CN13" s="704" t="n">
        <v>0</v>
      </c>
      <c r="CO13" s="704" t="n">
        <v>0</v>
      </c>
      <c r="CP13" s="704" t="n">
        <v>0</v>
      </c>
      <c r="CQ13" s="704" t="n">
        <v>0</v>
      </c>
      <c r="CR13" s="704" t="n">
        <v>0</v>
      </c>
      <c r="CS13" s="704" t="n">
        <v>0</v>
      </c>
      <c r="CT13" s="704" t="n">
        <v>0</v>
      </c>
      <c r="CU13" s="704" t="n">
        <v>0</v>
      </c>
      <c r="CV13" s="704" t="n">
        <v>0</v>
      </c>
      <c r="CW13" s="704" t="n">
        <v>0</v>
      </c>
      <c r="CX13" s="704" t="n">
        <v>0</v>
      </c>
      <c r="CY13" s="704" t="n">
        <v>0</v>
      </c>
      <c r="CZ13" s="704" t="n">
        <v>0</v>
      </c>
      <c r="DA13" s="704" t="n">
        <v>0</v>
      </c>
      <c r="DB13" s="704" t="n">
        <v>0</v>
      </c>
      <c r="DC13" s="704" t="n">
        <v>0</v>
      </c>
      <c r="DD13" s="704" t="n">
        <v>0</v>
      </c>
      <c r="DE13" s="704" t="n">
        <v>0</v>
      </c>
      <c r="DF13" s="704" t="n">
        <v>0</v>
      </c>
      <c r="DG13" s="704" t="n">
        <v>0</v>
      </c>
      <c r="DH13" s="704" t="n">
        <v>0</v>
      </c>
      <c r="DI13" s="704" t="n">
        <v>0</v>
      </c>
      <c r="DJ13" s="704" t="n">
        <v>0</v>
      </c>
      <c r="DK13" s="704" t="n">
        <v>0</v>
      </c>
      <c r="DL13" s="704" t="n">
        <v>0</v>
      </c>
      <c r="DM13" s="704" t="n">
        <v>0</v>
      </c>
    </row>
    <row r="14" ht="13.5" customHeight="1" s="355">
      <c r="B14" s="703" t="inlineStr">
        <is>
          <t>Reporting</t>
        </is>
      </c>
      <c r="D14" s="704" t="n">
        <v>0</v>
      </c>
      <c r="E14" s="704" t="n">
        <v>0</v>
      </c>
      <c r="F14" s="704" t="n">
        <v>0</v>
      </c>
      <c r="G14" s="704" t="n">
        <v>0</v>
      </c>
      <c r="H14" s="704" t="n">
        <v>0</v>
      </c>
      <c r="I14" s="704" t="n">
        <v>0</v>
      </c>
      <c r="J14" s="704" t="n">
        <v>0</v>
      </c>
      <c r="K14" s="704" t="n">
        <v>0</v>
      </c>
      <c r="L14" s="704" t="n">
        <v>0</v>
      </c>
      <c r="M14" s="704" t="n">
        <v>0</v>
      </c>
      <c r="N14" s="704" t="n">
        <v>0</v>
      </c>
      <c r="O14" s="704" t="n">
        <v>0</v>
      </c>
      <c r="P14" s="704" t="n">
        <v>0</v>
      </c>
      <c r="Q14" s="704" t="n">
        <v>0</v>
      </c>
      <c r="R14" s="704" t="n">
        <v>0</v>
      </c>
      <c r="S14" s="704" t="n">
        <v>0</v>
      </c>
      <c r="T14" s="704" t="n">
        <v>0</v>
      </c>
      <c r="U14" s="704" t="n">
        <v>0</v>
      </c>
      <c r="V14" s="704" t="n">
        <v>0</v>
      </c>
      <c r="W14" s="704" t="n">
        <v>0</v>
      </c>
      <c r="X14" s="704" t="n">
        <v>0</v>
      </c>
      <c r="Y14" s="704" t="n">
        <v>0</v>
      </c>
      <c r="Z14" s="704" t="n">
        <v>0</v>
      </c>
      <c r="AA14" s="704" t="n">
        <v>0</v>
      </c>
      <c r="AB14" s="704" t="n">
        <v>0</v>
      </c>
      <c r="AC14" s="704" t="n">
        <v>0</v>
      </c>
      <c r="AD14" s="704" t="n">
        <v>0</v>
      </c>
      <c r="AE14" s="704" t="n">
        <v>0</v>
      </c>
      <c r="AF14" s="704" t="n">
        <v>0</v>
      </c>
      <c r="AG14" s="704" t="n">
        <v>0</v>
      </c>
      <c r="AH14" s="704" t="n">
        <v>0</v>
      </c>
      <c r="AI14" s="704" t="n">
        <v>0</v>
      </c>
      <c r="AJ14" s="704" t="n">
        <v>0</v>
      </c>
      <c r="AK14" s="704" t="n">
        <v>0</v>
      </c>
      <c r="AL14" s="704" t="n">
        <v>0</v>
      </c>
      <c r="AM14" s="704" t="n">
        <v>0</v>
      </c>
      <c r="AN14" s="704" t="n">
        <v>0</v>
      </c>
      <c r="AO14" s="704" t="n">
        <v>0</v>
      </c>
      <c r="AP14" s="704" t="n">
        <v>0</v>
      </c>
      <c r="AQ14" s="704" t="n">
        <v>0</v>
      </c>
      <c r="AR14" s="704" t="n">
        <v>0</v>
      </c>
      <c r="AS14" s="704" t="n">
        <v>0</v>
      </c>
      <c r="AT14" s="704" t="n">
        <v>0</v>
      </c>
      <c r="AU14" s="704" t="n">
        <v>0</v>
      </c>
      <c r="AV14" s="704" t="n">
        <v>0</v>
      </c>
      <c r="AW14" s="704" t="n">
        <v>0</v>
      </c>
      <c r="AX14" s="704" t="n">
        <v>0</v>
      </c>
      <c r="AY14" s="704" t="n">
        <v>0</v>
      </c>
      <c r="AZ14" s="704" t="n">
        <v>0</v>
      </c>
      <c r="BA14" s="704" t="n">
        <v>0</v>
      </c>
      <c r="BB14" s="704" t="n">
        <v>0</v>
      </c>
      <c r="BC14" s="704" t="n">
        <v>0</v>
      </c>
      <c r="BD14" s="704" t="n">
        <v>0</v>
      </c>
      <c r="BE14" s="704" t="n">
        <v>0</v>
      </c>
      <c r="BF14" s="704" t="n">
        <v>0</v>
      </c>
      <c r="BG14" s="704" t="n">
        <v>0</v>
      </c>
      <c r="BH14" s="704" t="n">
        <v>0</v>
      </c>
      <c r="BI14" s="704" t="n">
        <v>0</v>
      </c>
      <c r="BJ14" s="704" t="n">
        <v>0</v>
      </c>
      <c r="BK14" s="704" t="n">
        <v>0</v>
      </c>
      <c r="BL14" s="704" t="n">
        <v>0</v>
      </c>
      <c r="BM14" s="704" t="n">
        <v>0</v>
      </c>
      <c r="BN14" s="704" t="n">
        <v>0</v>
      </c>
      <c r="BO14" s="704" t="n">
        <v>0</v>
      </c>
      <c r="BP14" s="704" t="n">
        <v>0</v>
      </c>
      <c r="BQ14" s="704" t="n">
        <v>0</v>
      </c>
      <c r="BR14" s="704" t="n">
        <v>0</v>
      </c>
      <c r="BS14" s="704" t="n">
        <v>0</v>
      </c>
      <c r="BT14" s="704" t="n">
        <v>0</v>
      </c>
      <c r="BU14" s="704" t="n">
        <v>0</v>
      </c>
      <c r="BV14" s="704" t="n">
        <v>0</v>
      </c>
      <c r="BW14" s="704" t="n">
        <v>0</v>
      </c>
      <c r="BX14" s="704" t="n">
        <v>0</v>
      </c>
      <c r="BY14" s="704" t="n">
        <v>0</v>
      </c>
      <c r="BZ14" s="704" t="n">
        <v>0</v>
      </c>
      <c r="CA14" s="704" t="n">
        <v>0</v>
      </c>
      <c r="CB14" s="704" t="n">
        <v>0</v>
      </c>
      <c r="CC14" s="704" t="n">
        <v>0</v>
      </c>
      <c r="CD14" s="704" t="n">
        <v>0</v>
      </c>
      <c r="CE14" s="704" t="n">
        <v>0</v>
      </c>
      <c r="CF14" s="704" t="n">
        <v>0</v>
      </c>
      <c r="CG14" s="704" t="n">
        <v>0</v>
      </c>
      <c r="CH14" s="704" t="n">
        <v>0</v>
      </c>
      <c r="CI14" s="704" t="n">
        <v>0</v>
      </c>
      <c r="CJ14" s="704" t="n">
        <v>0</v>
      </c>
      <c r="CK14" s="704" t="n">
        <v>0</v>
      </c>
      <c r="CL14" s="704" t="n">
        <v>0</v>
      </c>
      <c r="CM14" s="704" t="n">
        <v>0</v>
      </c>
      <c r="CN14" s="704" t="n">
        <v>0</v>
      </c>
      <c r="CO14" s="704" t="n">
        <v>0</v>
      </c>
      <c r="CP14" s="704" t="n">
        <v>0</v>
      </c>
      <c r="CQ14" s="704" t="n">
        <v>0</v>
      </c>
      <c r="CR14" s="704" t="n">
        <v>0</v>
      </c>
      <c r="CS14" s="704" t="n">
        <v>0</v>
      </c>
      <c r="CT14" s="704" t="n">
        <v>0</v>
      </c>
      <c r="CU14" s="704" t="n">
        <v>0</v>
      </c>
      <c r="CV14" s="704" t="n">
        <v>0</v>
      </c>
      <c r="CW14" s="704" t="n">
        <v>0</v>
      </c>
      <c r="CX14" s="704" t="n">
        <v>0</v>
      </c>
      <c r="CY14" s="704" t="n">
        <v>0</v>
      </c>
      <c r="CZ14" s="704" t="n">
        <v>0</v>
      </c>
      <c r="DA14" s="704" t="n">
        <v>0</v>
      </c>
      <c r="DB14" s="704" t="n">
        <v>0</v>
      </c>
      <c r="DC14" s="704" t="n">
        <v>0</v>
      </c>
      <c r="DD14" s="704" t="n">
        <v>0</v>
      </c>
      <c r="DE14" s="704" t="n">
        <v>0</v>
      </c>
      <c r="DF14" s="704" t="n">
        <v>0</v>
      </c>
      <c r="DG14" s="704" t="n">
        <v>0</v>
      </c>
      <c r="DH14" s="704" t="n">
        <v>0</v>
      </c>
      <c r="DI14" s="704" t="n">
        <v>0</v>
      </c>
      <c r="DJ14" s="704" t="n">
        <v>0</v>
      </c>
      <c r="DK14" s="704" t="n">
        <v>0</v>
      </c>
      <c r="DL14" s="704" t="n">
        <v>0</v>
      </c>
      <c r="DM14" s="704" t="n">
        <v>0</v>
      </c>
    </row>
    <row r="15" ht="13.5" customHeight="1" s="355">
      <c r="B15" s="703" t="inlineStr">
        <is>
          <t>Fixed Assets</t>
        </is>
      </c>
      <c r="D15" s="704" t="n">
        <v>0</v>
      </c>
      <c r="E15" s="704" t="n">
        <v>0</v>
      </c>
      <c r="F15" s="704" t="n">
        <v>0</v>
      </c>
      <c r="G15" s="704" t="n">
        <v>0</v>
      </c>
      <c r="H15" s="704" t="n">
        <v>0</v>
      </c>
      <c r="I15" s="704" t="n">
        <v>0</v>
      </c>
      <c r="J15" s="704" t="n">
        <v>3.3686477925691</v>
      </c>
      <c r="K15" s="704" t="n">
        <v>1.51008349322063</v>
      </c>
      <c r="L15" s="704" t="n">
        <v>0</v>
      </c>
      <c r="M15" s="704" t="n">
        <v>0</v>
      </c>
      <c r="N15" s="704" t="n">
        <v>0</v>
      </c>
      <c r="O15" s="704" t="n">
        <v>0</v>
      </c>
      <c r="P15" s="704" t="n">
        <v>0</v>
      </c>
      <c r="Q15" s="704" t="n">
        <v>0</v>
      </c>
      <c r="R15" s="704" t="n">
        <v>0</v>
      </c>
      <c r="S15" s="704" t="n">
        <v>0</v>
      </c>
      <c r="T15" s="704" t="n">
        <v>0</v>
      </c>
      <c r="U15" s="704" t="n">
        <v>0</v>
      </c>
      <c r="V15" s="704" t="n">
        <v>0</v>
      </c>
      <c r="W15" s="704" t="n">
        <v>0</v>
      </c>
      <c r="X15" s="704" t="n">
        <v>0</v>
      </c>
      <c r="Y15" s="704" t="n">
        <v>0</v>
      </c>
      <c r="Z15" s="704" t="n">
        <v>0</v>
      </c>
      <c r="AA15" s="704" t="n">
        <v>0</v>
      </c>
      <c r="AB15" s="704" t="n">
        <v>0</v>
      </c>
      <c r="AC15" s="704" t="n">
        <v>0</v>
      </c>
      <c r="AD15" s="704" t="n">
        <v>0</v>
      </c>
      <c r="AE15" s="704" t="n">
        <v>0</v>
      </c>
      <c r="AF15" s="704" t="n">
        <v>0</v>
      </c>
      <c r="AG15" s="704" t="n">
        <v>0</v>
      </c>
      <c r="AH15" s="704" t="n">
        <v>0</v>
      </c>
      <c r="AI15" s="704" t="n">
        <v>0</v>
      </c>
      <c r="AJ15" s="704" t="n">
        <v>0</v>
      </c>
      <c r="AK15" s="704" t="n">
        <v>0</v>
      </c>
      <c r="AL15" s="704" t="n">
        <v>0</v>
      </c>
      <c r="AM15" s="704" t="n">
        <v>0</v>
      </c>
      <c r="AN15" s="704" t="n">
        <v>0</v>
      </c>
      <c r="AO15" s="704" t="n">
        <v>0</v>
      </c>
      <c r="AP15" s="704" t="n">
        <v>0</v>
      </c>
      <c r="AQ15" s="704" t="n">
        <v>0</v>
      </c>
      <c r="AR15" s="704" t="n">
        <v>0</v>
      </c>
      <c r="AS15" s="704" t="n">
        <v>0</v>
      </c>
      <c r="AT15" s="704" t="n">
        <v>0</v>
      </c>
      <c r="AU15" s="704" t="n">
        <v>0</v>
      </c>
      <c r="AV15" s="704" t="n">
        <v>0</v>
      </c>
      <c r="AW15" s="704" t="n">
        <v>0</v>
      </c>
      <c r="AX15" s="704" t="n">
        <v>0</v>
      </c>
      <c r="AY15" s="704" t="n">
        <v>0</v>
      </c>
      <c r="AZ15" s="704" t="n">
        <v>0</v>
      </c>
      <c r="BA15" s="704" t="n">
        <v>0</v>
      </c>
      <c r="BB15" s="704" t="n">
        <v>0</v>
      </c>
      <c r="BC15" s="704" t="n">
        <v>0</v>
      </c>
      <c r="BD15" s="704" t="n">
        <v>0</v>
      </c>
      <c r="BE15" s="704" t="n">
        <v>0</v>
      </c>
      <c r="BF15" s="704" t="n">
        <v>0</v>
      </c>
      <c r="BG15" s="704" t="n">
        <v>0</v>
      </c>
      <c r="BH15" s="704" t="n">
        <v>0</v>
      </c>
      <c r="BI15" s="704" t="n">
        <v>0</v>
      </c>
      <c r="BJ15" s="704" t="n">
        <v>0</v>
      </c>
      <c r="BK15" s="704" t="n">
        <v>0</v>
      </c>
      <c r="BL15" s="704" t="n">
        <v>0</v>
      </c>
      <c r="BM15" s="704" t="n">
        <v>0</v>
      </c>
      <c r="BN15" s="704" t="n">
        <v>0</v>
      </c>
      <c r="BO15" s="704" t="n">
        <v>0</v>
      </c>
      <c r="BP15" s="704" t="n">
        <v>0</v>
      </c>
      <c r="BQ15" s="704" t="n">
        <v>0</v>
      </c>
      <c r="BR15" s="704" t="n">
        <v>0</v>
      </c>
      <c r="BS15" s="704" t="n">
        <v>0</v>
      </c>
      <c r="BT15" s="704" t="n">
        <v>0</v>
      </c>
      <c r="BU15" s="704" t="n">
        <v>0</v>
      </c>
      <c r="BV15" s="704" t="n">
        <v>0</v>
      </c>
      <c r="BW15" s="704" t="n">
        <v>0</v>
      </c>
      <c r="BX15" s="704" t="n">
        <v>0</v>
      </c>
      <c r="BY15" s="704" t="n">
        <v>0</v>
      </c>
      <c r="BZ15" s="704" t="n">
        <v>0</v>
      </c>
      <c r="CA15" s="704" t="n">
        <v>0</v>
      </c>
      <c r="CB15" s="704" t="n">
        <v>0</v>
      </c>
      <c r="CC15" s="704" t="n">
        <v>0</v>
      </c>
      <c r="CD15" s="704" t="n">
        <v>0</v>
      </c>
      <c r="CE15" s="704" t="n">
        <v>0</v>
      </c>
      <c r="CF15" s="704" t="n">
        <v>0</v>
      </c>
      <c r="CG15" s="704" t="n">
        <v>0</v>
      </c>
      <c r="CH15" s="704" t="n">
        <v>0</v>
      </c>
      <c r="CI15" s="704" t="n">
        <v>0</v>
      </c>
      <c r="CJ15" s="704" t="n">
        <v>0</v>
      </c>
      <c r="CK15" s="704" t="n">
        <v>0</v>
      </c>
      <c r="CL15" s="704" t="n">
        <v>0</v>
      </c>
      <c r="CM15" s="704" t="n">
        <v>0</v>
      </c>
      <c r="CN15" s="704" t="n">
        <v>0</v>
      </c>
      <c r="CO15" s="704" t="n">
        <v>0</v>
      </c>
      <c r="CP15" s="704" t="n">
        <v>0</v>
      </c>
      <c r="CQ15" s="704" t="n">
        <v>0</v>
      </c>
      <c r="CR15" s="704" t="n">
        <v>0</v>
      </c>
      <c r="CS15" s="704" t="n">
        <v>0</v>
      </c>
      <c r="CT15" s="704" t="n">
        <v>0</v>
      </c>
      <c r="CU15" s="704" t="n">
        <v>0</v>
      </c>
      <c r="CV15" s="704" t="n">
        <v>0</v>
      </c>
      <c r="CW15" s="704" t="n">
        <v>0</v>
      </c>
      <c r="CX15" s="704" t="n">
        <v>0</v>
      </c>
      <c r="CY15" s="704" t="n">
        <v>0</v>
      </c>
      <c r="CZ15" s="704" t="n">
        <v>0</v>
      </c>
      <c r="DA15" s="704" t="n">
        <v>0</v>
      </c>
      <c r="DB15" s="704" t="n">
        <v>0</v>
      </c>
      <c r="DC15" s="704" t="n">
        <v>0</v>
      </c>
      <c r="DD15" s="704" t="n">
        <v>0</v>
      </c>
      <c r="DE15" s="704" t="n">
        <v>0</v>
      </c>
      <c r="DF15" s="704" t="n">
        <v>0</v>
      </c>
      <c r="DG15" s="704" t="n">
        <v>0</v>
      </c>
      <c r="DH15" s="704" t="n">
        <v>0</v>
      </c>
      <c r="DI15" s="704" t="n">
        <v>0</v>
      </c>
      <c r="DJ15" s="704" t="n">
        <v>0</v>
      </c>
      <c r="DK15" s="704" t="n">
        <v>0</v>
      </c>
      <c r="DL15" s="704" t="n">
        <v>0</v>
      </c>
      <c r="DM15" s="704" t="n">
        <v>0</v>
      </c>
    </row>
    <row r="16" ht="13.5" customHeight="1" s="355">
      <c r="B16" s="703" t="inlineStr">
        <is>
          <t>Acct Payable</t>
        </is>
      </c>
      <c r="D16" s="704" t="n">
        <v>0</v>
      </c>
      <c r="E16" s="704" t="n">
        <v>0</v>
      </c>
      <c r="F16" s="704" t="n">
        <v>0</v>
      </c>
      <c r="G16" s="704" t="n">
        <v>0</v>
      </c>
      <c r="H16" s="704" t="n">
        <v>0</v>
      </c>
      <c r="I16" s="704" t="n">
        <v>0</v>
      </c>
      <c r="J16" s="704" t="n">
        <v>0.642540575609138</v>
      </c>
      <c r="K16" s="704" t="n">
        <v>19.9187578438833</v>
      </c>
      <c r="L16" s="704" t="n">
        <v>6.63958594796109</v>
      </c>
      <c r="M16" s="704" t="n">
        <v>0</v>
      </c>
      <c r="N16" s="704" t="n">
        <v>0</v>
      </c>
      <c r="O16" s="704" t="n">
        <v>0</v>
      </c>
      <c r="P16" s="704" t="n">
        <v>0</v>
      </c>
      <c r="Q16" s="704" t="n">
        <v>0</v>
      </c>
      <c r="R16" s="704" t="n">
        <v>0</v>
      </c>
      <c r="S16" s="704" t="n">
        <v>0</v>
      </c>
      <c r="T16" s="704" t="n">
        <v>0</v>
      </c>
      <c r="U16" s="704" t="n">
        <v>0</v>
      </c>
      <c r="V16" s="704" t="n">
        <v>0</v>
      </c>
      <c r="W16" s="704" t="n">
        <v>0</v>
      </c>
      <c r="X16" s="704" t="n">
        <v>0</v>
      </c>
      <c r="Y16" s="704" t="n">
        <v>0</v>
      </c>
      <c r="Z16" s="704" t="n">
        <v>0</v>
      </c>
      <c r="AA16" s="704" t="n">
        <v>0</v>
      </c>
      <c r="AB16" s="704" t="n">
        <v>0</v>
      </c>
      <c r="AC16" s="704" t="n">
        <v>0</v>
      </c>
      <c r="AD16" s="704" t="n">
        <v>0</v>
      </c>
      <c r="AE16" s="704" t="n">
        <v>0</v>
      </c>
      <c r="AF16" s="704" t="n">
        <v>0</v>
      </c>
      <c r="AG16" s="704" t="n">
        <v>0</v>
      </c>
      <c r="AH16" s="704" t="n">
        <v>0</v>
      </c>
      <c r="AI16" s="704" t="n">
        <v>0</v>
      </c>
      <c r="AJ16" s="704" t="n">
        <v>0</v>
      </c>
      <c r="AK16" s="704" t="n">
        <v>0</v>
      </c>
      <c r="AL16" s="704" t="n">
        <v>0</v>
      </c>
      <c r="AM16" s="704" t="n">
        <v>0</v>
      </c>
      <c r="AN16" s="704" t="n">
        <v>0</v>
      </c>
      <c r="AO16" s="704" t="n">
        <v>0</v>
      </c>
      <c r="AP16" s="704" t="n">
        <v>0</v>
      </c>
      <c r="AQ16" s="704" t="n">
        <v>0</v>
      </c>
      <c r="AR16" s="704" t="n">
        <v>0</v>
      </c>
      <c r="AS16" s="704" t="n">
        <v>0</v>
      </c>
      <c r="AT16" s="704" t="n">
        <v>0</v>
      </c>
      <c r="AU16" s="704" t="n">
        <v>0</v>
      </c>
      <c r="AV16" s="704" t="n">
        <v>0</v>
      </c>
      <c r="AW16" s="704" t="n">
        <v>0</v>
      </c>
      <c r="AX16" s="704" t="n">
        <v>0</v>
      </c>
      <c r="AY16" s="704" t="n">
        <v>0</v>
      </c>
      <c r="AZ16" s="704" t="n">
        <v>0</v>
      </c>
      <c r="BA16" s="704" t="n">
        <v>0</v>
      </c>
      <c r="BB16" s="704" t="n">
        <v>0</v>
      </c>
      <c r="BC16" s="704" t="n">
        <v>0</v>
      </c>
      <c r="BD16" s="704" t="n">
        <v>0</v>
      </c>
      <c r="BE16" s="704" t="n">
        <v>0</v>
      </c>
      <c r="BF16" s="704" t="n">
        <v>0</v>
      </c>
      <c r="BG16" s="704" t="n">
        <v>0</v>
      </c>
      <c r="BH16" s="704" t="n">
        <v>0</v>
      </c>
      <c r="BI16" s="704" t="n">
        <v>0</v>
      </c>
      <c r="BJ16" s="704" t="n">
        <v>0</v>
      </c>
      <c r="BK16" s="704" t="n">
        <v>0</v>
      </c>
      <c r="BL16" s="704" t="n">
        <v>0</v>
      </c>
      <c r="BM16" s="704" t="n">
        <v>0</v>
      </c>
      <c r="BN16" s="704" t="n">
        <v>0</v>
      </c>
      <c r="BO16" s="704" t="n">
        <v>0</v>
      </c>
      <c r="BP16" s="704" t="n">
        <v>0</v>
      </c>
      <c r="BQ16" s="704" t="n">
        <v>0</v>
      </c>
      <c r="BR16" s="704" t="n">
        <v>0</v>
      </c>
      <c r="BS16" s="704" t="n">
        <v>0</v>
      </c>
      <c r="BT16" s="704" t="n">
        <v>0</v>
      </c>
      <c r="BU16" s="704" t="n">
        <v>0</v>
      </c>
      <c r="BV16" s="704" t="n">
        <v>0</v>
      </c>
      <c r="BW16" s="704" t="n">
        <v>0</v>
      </c>
      <c r="BX16" s="704" t="n">
        <v>0</v>
      </c>
      <c r="BY16" s="704" t="n">
        <v>0</v>
      </c>
      <c r="BZ16" s="704" t="n">
        <v>0</v>
      </c>
      <c r="CA16" s="704" t="n">
        <v>0</v>
      </c>
      <c r="CB16" s="704" t="n">
        <v>0</v>
      </c>
      <c r="CC16" s="704" t="n">
        <v>0</v>
      </c>
      <c r="CD16" s="704" t="n">
        <v>0</v>
      </c>
      <c r="CE16" s="704" t="n">
        <v>0</v>
      </c>
      <c r="CF16" s="704" t="n">
        <v>0</v>
      </c>
      <c r="CG16" s="704" t="n">
        <v>0</v>
      </c>
      <c r="CH16" s="704" t="n">
        <v>0</v>
      </c>
      <c r="CI16" s="704" t="n">
        <v>0</v>
      </c>
      <c r="CJ16" s="704" t="n">
        <v>0</v>
      </c>
      <c r="CK16" s="704" t="n">
        <v>0</v>
      </c>
      <c r="CL16" s="704" t="n">
        <v>0</v>
      </c>
      <c r="CM16" s="704" t="n">
        <v>0</v>
      </c>
      <c r="CN16" s="704" t="n">
        <v>0</v>
      </c>
      <c r="CO16" s="704" t="n">
        <v>0</v>
      </c>
      <c r="CP16" s="704" t="n">
        <v>0</v>
      </c>
      <c r="CQ16" s="704" t="n">
        <v>0</v>
      </c>
      <c r="CR16" s="704" t="n">
        <v>0</v>
      </c>
      <c r="CS16" s="704" t="n">
        <v>0</v>
      </c>
      <c r="CT16" s="704" t="n">
        <v>0</v>
      </c>
      <c r="CU16" s="704" t="n">
        <v>0</v>
      </c>
      <c r="CV16" s="704" t="n">
        <v>0</v>
      </c>
      <c r="CW16" s="704" t="n">
        <v>0</v>
      </c>
      <c r="CX16" s="704" t="n">
        <v>0</v>
      </c>
      <c r="CY16" s="704" t="n">
        <v>0</v>
      </c>
      <c r="CZ16" s="704" t="n">
        <v>0</v>
      </c>
      <c r="DA16" s="704" t="n">
        <v>0</v>
      </c>
      <c r="DB16" s="704" t="n">
        <v>0</v>
      </c>
      <c r="DC16" s="704" t="n">
        <v>0</v>
      </c>
      <c r="DD16" s="704" t="n">
        <v>0</v>
      </c>
      <c r="DE16" s="704" t="n">
        <v>0</v>
      </c>
      <c r="DF16" s="704" t="n">
        <v>0</v>
      </c>
      <c r="DG16" s="704" t="n">
        <v>0</v>
      </c>
      <c r="DH16" s="704" t="n">
        <v>0</v>
      </c>
      <c r="DI16" s="704" t="n">
        <v>0</v>
      </c>
      <c r="DJ16" s="704" t="n">
        <v>0</v>
      </c>
      <c r="DK16" s="704" t="n">
        <v>0</v>
      </c>
      <c r="DL16" s="704" t="n">
        <v>0</v>
      </c>
      <c r="DM16" s="704" t="n">
        <v>0</v>
      </c>
    </row>
    <row r="17" ht="13.5" customHeight="1" s="355">
      <c r="B17" s="703" t="inlineStr">
        <is>
          <t>Cash&amp;Bank</t>
        </is>
      </c>
      <c r="D17" s="704" t="n">
        <v>0</v>
      </c>
      <c r="E17" s="704" t="n">
        <v>0</v>
      </c>
      <c r="F17" s="704" t="n">
        <v>0</v>
      </c>
      <c r="G17" s="704" t="n">
        <v>0</v>
      </c>
      <c r="H17" s="704" t="n">
        <v>0</v>
      </c>
      <c r="I17" s="704" t="n">
        <v>0</v>
      </c>
      <c r="J17" s="704" t="n">
        <v>0</v>
      </c>
      <c r="K17" s="704" t="n">
        <v>0</v>
      </c>
      <c r="L17" s="704" t="n">
        <v>0</v>
      </c>
      <c r="M17" s="704" t="n">
        <v>0</v>
      </c>
      <c r="N17" s="704" t="n">
        <v>0</v>
      </c>
      <c r="O17" s="704" t="n">
        <v>0</v>
      </c>
      <c r="P17" s="704" t="n">
        <v>0</v>
      </c>
      <c r="Q17" s="704" t="n">
        <v>0</v>
      </c>
      <c r="R17" s="704" t="n">
        <v>0</v>
      </c>
      <c r="S17" s="704" t="n">
        <v>0</v>
      </c>
      <c r="T17" s="704" t="n">
        <v>0</v>
      </c>
      <c r="U17" s="704" t="n">
        <v>0</v>
      </c>
      <c r="V17" s="704" t="n">
        <v>0</v>
      </c>
      <c r="W17" s="704" t="n">
        <v>0</v>
      </c>
      <c r="X17" s="704" t="n">
        <v>0</v>
      </c>
      <c r="Y17" s="704" t="n">
        <v>0</v>
      </c>
      <c r="Z17" s="704" t="n">
        <v>0</v>
      </c>
      <c r="AA17" s="704" t="n">
        <v>0</v>
      </c>
      <c r="AB17" s="704" t="n">
        <v>0</v>
      </c>
      <c r="AC17" s="704" t="n">
        <v>0</v>
      </c>
      <c r="AD17" s="704" t="n">
        <v>0</v>
      </c>
      <c r="AE17" s="704" t="n">
        <v>0</v>
      </c>
      <c r="AF17" s="704" t="n">
        <v>0</v>
      </c>
      <c r="AG17" s="704" t="n">
        <v>0</v>
      </c>
      <c r="AH17" s="704" t="n">
        <v>0</v>
      </c>
      <c r="AI17" s="704" t="n">
        <v>0</v>
      </c>
      <c r="AJ17" s="704" t="n">
        <v>0</v>
      </c>
      <c r="AK17" s="704" t="n">
        <v>0</v>
      </c>
      <c r="AL17" s="704" t="n">
        <v>0</v>
      </c>
      <c r="AM17" s="704" t="n">
        <v>0</v>
      </c>
      <c r="AN17" s="704" t="n">
        <v>0</v>
      </c>
      <c r="AO17" s="704" t="n">
        <v>0</v>
      </c>
      <c r="AP17" s="704" t="n">
        <v>0</v>
      </c>
      <c r="AQ17" s="704" t="n">
        <v>0</v>
      </c>
      <c r="AR17" s="704" t="n">
        <v>0</v>
      </c>
      <c r="AS17" s="704" t="n">
        <v>0</v>
      </c>
      <c r="AT17" s="704" t="n">
        <v>0</v>
      </c>
      <c r="AU17" s="704" t="n">
        <v>0</v>
      </c>
      <c r="AV17" s="704" t="n">
        <v>0</v>
      </c>
      <c r="AW17" s="704" t="n">
        <v>0</v>
      </c>
      <c r="AX17" s="704" t="n">
        <v>0</v>
      </c>
      <c r="AY17" s="704" t="n">
        <v>0</v>
      </c>
      <c r="AZ17" s="704" t="n">
        <v>0</v>
      </c>
      <c r="BA17" s="704" t="n">
        <v>0</v>
      </c>
      <c r="BB17" s="704" t="n">
        <v>0</v>
      </c>
      <c r="BC17" s="704" t="n">
        <v>0</v>
      </c>
      <c r="BD17" s="704" t="n">
        <v>0</v>
      </c>
      <c r="BE17" s="704" t="n">
        <v>0</v>
      </c>
      <c r="BF17" s="704" t="n">
        <v>0</v>
      </c>
      <c r="BG17" s="704" t="n">
        <v>0</v>
      </c>
      <c r="BH17" s="704" t="n">
        <v>0</v>
      </c>
      <c r="BI17" s="704" t="n">
        <v>0</v>
      </c>
      <c r="BJ17" s="704" t="n">
        <v>0</v>
      </c>
      <c r="BK17" s="704" t="n">
        <v>0</v>
      </c>
      <c r="BL17" s="704" t="n">
        <v>0</v>
      </c>
      <c r="BM17" s="704" t="n">
        <v>0</v>
      </c>
      <c r="BN17" s="704" t="n">
        <v>0</v>
      </c>
      <c r="BO17" s="704" t="n">
        <v>0</v>
      </c>
      <c r="BP17" s="704" t="n">
        <v>0</v>
      </c>
      <c r="BQ17" s="704" t="n">
        <v>0</v>
      </c>
      <c r="BR17" s="704" t="n">
        <v>0</v>
      </c>
      <c r="BS17" s="704" t="n">
        <v>0</v>
      </c>
      <c r="BT17" s="704" t="n">
        <v>0</v>
      </c>
      <c r="BU17" s="704" t="n">
        <v>0</v>
      </c>
      <c r="BV17" s="704" t="n">
        <v>0</v>
      </c>
      <c r="BW17" s="704" t="n">
        <v>0</v>
      </c>
      <c r="BX17" s="704" t="n">
        <v>0</v>
      </c>
      <c r="BY17" s="704" t="n">
        <v>0</v>
      </c>
      <c r="BZ17" s="704" t="n">
        <v>0</v>
      </c>
      <c r="CA17" s="704" t="n">
        <v>0</v>
      </c>
      <c r="CB17" s="704" t="n">
        <v>0</v>
      </c>
      <c r="CC17" s="704" t="n">
        <v>0</v>
      </c>
      <c r="CD17" s="704" t="n">
        <v>0</v>
      </c>
      <c r="CE17" s="704" t="n">
        <v>0</v>
      </c>
      <c r="CF17" s="704" t="n">
        <v>0</v>
      </c>
      <c r="CG17" s="704" t="n">
        <v>0</v>
      </c>
      <c r="CH17" s="704" t="n">
        <v>0</v>
      </c>
      <c r="CI17" s="704" t="n">
        <v>0</v>
      </c>
      <c r="CJ17" s="704" t="n">
        <v>0</v>
      </c>
      <c r="CK17" s="704" t="n">
        <v>0</v>
      </c>
      <c r="CL17" s="704" t="n">
        <v>0</v>
      </c>
      <c r="CM17" s="704" t="n">
        <v>0</v>
      </c>
      <c r="CN17" s="704" t="n">
        <v>0</v>
      </c>
      <c r="CO17" s="704" t="n">
        <v>0</v>
      </c>
      <c r="CP17" s="704" t="n">
        <v>0</v>
      </c>
      <c r="CQ17" s="704" t="n">
        <v>0</v>
      </c>
      <c r="CR17" s="704" t="n">
        <v>0</v>
      </c>
      <c r="CS17" s="704" t="n">
        <v>0</v>
      </c>
      <c r="CT17" s="704" t="n">
        <v>0</v>
      </c>
      <c r="CU17" s="704" t="n">
        <v>0</v>
      </c>
      <c r="CV17" s="704" t="n">
        <v>0</v>
      </c>
      <c r="CW17" s="704" t="n">
        <v>0</v>
      </c>
      <c r="CX17" s="704" t="n">
        <v>0</v>
      </c>
      <c r="CY17" s="704" t="n">
        <v>0</v>
      </c>
      <c r="CZ17" s="704" t="n">
        <v>0</v>
      </c>
      <c r="DA17" s="704" t="n">
        <v>0</v>
      </c>
      <c r="DB17" s="704" t="n">
        <v>0</v>
      </c>
      <c r="DC17" s="704" t="n">
        <v>0</v>
      </c>
      <c r="DD17" s="704" t="n">
        <v>0</v>
      </c>
      <c r="DE17" s="704" t="n">
        <v>0</v>
      </c>
      <c r="DF17" s="704" t="n">
        <v>0</v>
      </c>
      <c r="DG17" s="704" t="n">
        <v>0</v>
      </c>
      <c r="DH17" s="704" t="n">
        <v>0</v>
      </c>
      <c r="DI17" s="704" t="n">
        <v>0</v>
      </c>
      <c r="DJ17" s="704" t="n">
        <v>0</v>
      </c>
      <c r="DK17" s="704" t="n">
        <v>0</v>
      </c>
      <c r="DL17" s="704" t="n">
        <v>0</v>
      </c>
      <c r="DM17" s="704" t="n">
        <v>0</v>
      </c>
    </row>
    <row r="18" ht="13.5" customHeight="1" s="355">
      <c r="B18" s="703" t="inlineStr">
        <is>
          <t>T&amp;E</t>
        </is>
      </c>
      <c r="D18" s="704" t="n">
        <v>0</v>
      </c>
      <c r="E18" s="704" t="n">
        <v>0</v>
      </c>
      <c r="F18" s="704" t="n">
        <v>0</v>
      </c>
      <c r="G18" s="704" t="n">
        <v>0</v>
      </c>
      <c r="H18" s="704" t="n">
        <v>0</v>
      </c>
      <c r="I18" s="704" t="n">
        <v>0</v>
      </c>
      <c r="J18" s="704" t="n">
        <v>0</v>
      </c>
      <c r="K18" s="704" t="n">
        <v>0</v>
      </c>
      <c r="L18" s="704" t="n">
        <v>0</v>
      </c>
      <c r="M18" s="704" t="n">
        <v>0</v>
      </c>
      <c r="N18" s="704" t="n">
        <v>0</v>
      </c>
      <c r="O18" s="704" t="n">
        <v>0</v>
      </c>
      <c r="P18" s="704" t="n">
        <v>0</v>
      </c>
      <c r="Q18" s="704" t="n">
        <v>0</v>
      </c>
      <c r="R18" s="704" t="n">
        <v>0</v>
      </c>
      <c r="S18" s="704" t="n">
        <v>0</v>
      </c>
      <c r="T18" s="704" t="n">
        <v>0</v>
      </c>
      <c r="U18" s="704" t="n">
        <v>0</v>
      </c>
      <c r="V18" s="704" t="n">
        <v>0</v>
      </c>
      <c r="W18" s="704" t="n">
        <v>0</v>
      </c>
      <c r="X18" s="704" t="n">
        <v>0</v>
      </c>
      <c r="Y18" s="704" t="n">
        <v>0</v>
      </c>
      <c r="Z18" s="704" t="n">
        <v>0</v>
      </c>
      <c r="AA18" s="704" t="n">
        <v>0</v>
      </c>
      <c r="AB18" s="704" t="n">
        <v>0</v>
      </c>
      <c r="AC18" s="704" t="n">
        <v>0</v>
      </c>
      <c r="AD18" s="704" t="n">
        <v>0</v>
      </c>
      <c r="AE18" s="704" t="n">
        <v>0</v>
      </c>
      <c r="AF18" s="704" t="n">
        <v>0</v>
      </c>
      <c r="AG18" s="704" t="n">
        <v>0</v>
      </c>
      <c r="AH18" s="704" t="n">
        <v>0</v>
      </c>
      <c r="AI18" s="704" t="n">
        <v>0</v>
      </c>
      <c r="AJ18" s="704" t="n">
        <v>0</v>
      </c>
      <c r="AK18" s="704" t="n">
        <v>0</v>
      </c>
      <c r="AL18" s="704" t="n">
        <v>0</v>
      </c>
      <c r="AM18" s="704" t="n">
        <v>0</v>
      </c>
      <c r="AN18" s="704" t="n">
        <v>0</v>
      </c>
      <c r="AO18" s="704" t="n">
        <v>0</v>
      </c>
      <c r="AP18" s="704" t="n">
        <v>0</v>
      </c>
      <c r="AQ18" s="704" t="n">
        <v>0</v>
      </c>
      <c r="AR18" s="704" t="n">
        <v>0</v>
      </c>
      <c r="AS18" s="704" t="n">
        <v>0</v>
      </c>
      <c r="AT18" s="704" t="n">
        <v>0</v>
      </c>
      <c r="AU18" s="704" t="n">
        <v>0</v>
      </c>
      <c r="AV18" s="704" t="n">
        <v>0</v>
      </c>
      <c r="AW18" s="704" t="n">
        <v>0</v>
      </c>
      <c r="AX18" s="704" t="n">
        <v>0</v>
      </c>
      <c r="AY18" s="704" t="n">
        <v>0</v>
      </c>
      <c r="AZ18" s="704" t="n">
        <v>0</v>
      </c>
      <c r="BA18" s="704" t="n">
        <v>0</v>
      </c>
      <c r="BB18" s="704" t="n">
        <v>0</v>
      </c>
      <c r="BC18" s="704" t="n">
        <v>0</v>
      </c>
      <c r="BD18" s="704" t="n">
        <v>0</v>
      </c>
      <c r="BE18" s="704" t="n">
        <v>0</v>
      </c>
      <c r="BF18" s="704" t="n">
        <v>0</v>
      </c>
      <c r="BG18" s="704" t="n">
        <v>0</v>
      </c>
      <c r="BH18" s="704" t="n">
        <v>0</v>
      </c>
      <c r="BI18" s="704" t="n">
        <v>0</v>
      </c>
      <c r="BJ18" s="704" t="n">
        <v>0</v>
      </c>
      <c r="BK18" s="704" t="n">
        <v>0</v>
      </c>
      <c r="BL18" s="704" t="n">
        <v>0</v>
      </c>
      <c r="BM18" s="704" t="n">
        <v>0</v>
      </c>
      <c r="BN18" s="704" t="n">
        <v>0</v>
      </c>
      <c r="BO18" s="704" t="n">
        <v>0</v>
      </c>
      <c r="BP18" s="704" t="n">
        <v>0</v>
      </c>
      <c r="BQ18" s="704" t="n">
        <v>0</v>
      </c>
      <c r="BR18" s="704" t="n">
        <v>0</v>
      </c>
      <c r="BS18" s="704" t="n">
        <v>0</v>
      </c>
      <c r="BT18" s="704" t="n">
        <v>0</v>
      </c>
      <c r="BU18" s="704" t="n">
        <v>0</v>
      </c>
      <c r="BV18" s="704" t="n">
        <v>0</v>
      </c>
      <c r="BW18" s="704" t="n">
        <v>0</v>
      </c>
      <c r="BX18" s="704" t="n">
        <v>0</v>
      </c>
      <c r="BY18" s="704" t="n">
        <v>0</v>
      </c>
      <c r="BZ18" s="704" t="n">
        <v>0</v>
      </c>
      <c r="CA18" s="704" t="n">
        <v>0</v>
      </c>
      <c r="CB18" s="704" t="n">
        <v>0</v>
      </c>
      <c r="CC18" s="704" t="n">
        <v>0</v>
      </c>
      <c r="CD18" s="704" t="n">
        <v>0</v>
      </c>
      <c r="CE18" s="704" t="n">
        <v>0</v>
      </c>
      <c r="CF18" s="704" t="n">
        <v>0</v>
      </c>
      <c r="CG18" s="704" t="n">
        <v>0</v>
      </c>
      <c r="CH18" s="704" t="n">
        <v>0</v>
      </c>
      <c r="CI18" s="704" t="n">
        <v>0</v>
      </c>
      <c r="CJ18" s="704" t="n">
        <v>0</v>
      </c>
      <c r="CK18" s="704" t="n">
        <v>0</v>
      </c>
      <c r="CL18" s="704" t="n">
        <v>0</v>
      </c>
      <c r="CM18" s="704" t="n">
        <v>0</v>
      </c>
      <c r="CN18" s="704" t="n">
        <v>0</v>
      </c>
      <c r="CO18" s="704" t="n">
        <v>0</v>
      </c>
      <c r="CP18" s="704" t="n">
        <v>0</v>
      </c>
      <c r="CQ18" s="704" t="n">
        <v>0</v>
      </c>
      <c r="CR18" s="704" t="n">
        <v>0</v>
      </c>
      <c r="CS18" s="704" t="n">
        <v>0</v>
      </c>
      <c r="CT18" s="704" t="n">
        <v>0</v>
      </c>
      <c r="CU18" s="704" t="n">
        <v>0</v>
      </c>
      <c r="CV18" s="704" t="n">
        <v>0</v>
      </c>
      <c r="CW18" s="704" t="n">
        <v>0</v>
      </c>
      <c r="CX18" s="704" t="n">
        <v>0</v>
      </c>
      <c r="CY18" s="704" t="n">
        <v>0</v>
      </c>
      <c r="CZ18" s="704" t="n">
        <v>0</v>
      </c>
      <c r="DA18" s="704" t="n">
        <v>0</v>
      </c>
      <c r="DB18" s="704" t="n">
        <v>0</v>
      </c>
      <c r="DC18" s="704" t="n">
        <v>0</v>
      </c>
      <c r="DD18" s="704" t="n">
        <v>0</v>
      </c>
      <c r="DE18" s="704" t="n">
        <v>0</v>
      </c>
      <c r="DF18" s="704" t="n">
        <v>0</v>
      </c>
      <c r="DG18" s="704" t="n">
        <v>0</v>
      </c>
      <c r="DH18" s="704" t="n">
        <v>0</v>
      </c>
      <c r="DI18" s="704" t="n">
        <v>0</v>
      </c>
      <c r="DJ18" s="704" t="n">
        <v>0</v>
      </c>
      <c r="DK18" s="704" t="n">
        <v>0</v>
      </c>
      <c r="DL18" s="704" t="n">
        <v>0</v>
      </c>
      <c r="DM18" s="704" t="n">
        <v>0</v>
      </c>
    </row>
    <row r="19" ht="13.5" customHeight="1" s="355">
      <c r="B19" s="703" t="inlineStr">
        <is>
          <t>Order to Cash</t>
        </is>
      </c>
      <c r="D19" s="704" t="n">
        <v>0</v>
      </c>
      <c r="E19" s="704" t="n">
        <v>0</v>
      </c>
      <c r="F19" s="704" t="n">
        <v>0</v>
      </c>
      <c r="G19" s="704" t="n">
        <v>0</v>
      </c>
      <c r="H19" s="704" t="n">
        <v>0</v>
      </c>
      <c r="I19" s="704" t="n">
        <v>0.663958594796109</v>
      </c>
      <c r="J19" s="704" t="n">
        <v>1.60635143902284</v>
      </c>
      <c r="K19" s="704" t="n">
        <v>0</v>
      </c>
      <c r="L19" s="704" t="n">
        <v>0</v>
      </c>
      <c r="M19" s="704" t="n">
        <v>0</v>
      </c>
      <c r="N19" s="704" t="n">
        <v>0</v>
      </c>
      <c r="O19" s="704" t="n">
        <v>0</v>
      </c>
      <c r="P19" s="704" t="n">
        <v>0</v>
      </c>
      <c r="Q19" s="704" t="n">
        <v>0</v>
      </c>
      <c r="R19" s="704" t="n">
        <v>0</v>
      </c>
      <c r="S19" s="704" t="n">
        <v>0</v>
      </c>
      <c r="T19" s="704" t="n">
        <v>0</v>
      </c>
      <c r="U19" s="704" t="n">
        <v>0</v>
      </c>
      <c r="V19" s="704" t="n">
        <v>0</v>
      </c>
      <c r="W19" s="704" t="n">
        <v>0</v>
      </c>
      <c r="X19" s="704" t="n">
        <v>0</v>
      </c>
      <c r="Y19" s="704" t="n">
        <v>0</v>
      </c>
      <c r="Z19" s="704" t="n">
        <v>0</v>
      </c>
      <c r="AA19" s="704" t="n">
        <v>0</v>
      </c>
      <c r="AB19" s="704" t="n">
        <v>0</v>
      </c>
      <c r="AC19" s="704" t="n">
        <v>0</v>
      </c>
      <c r="AD19" s="704" t="n">
        <v>0</v>
      </c>
      <c r="AE19" s="704" t="n">
        <v>0</v>
      </c>
      <c r="AF19" s="704" t="n">
        <v>0</v>
      </c>
      <c r="AG19" s="704" t="n">
        <v>0</v>
      </c>
      <c r="AH19" s="704" t="n">
        <v>0</v>
      </c>
      <c r="AI19" s="704" t="n">
        <v>0</v>
      </c>
      <c r="AJ19" s="704" t="n">
        <v>0</v>
      </c>
      <c r="AK19" s="704" t="n">
        <v>0</v>
      </c>
      <c r="AL19" s="704" t="n">
        <v>0</v>
      </c>
      <c r="AM19" s="704" t="n">
        <v>0</v>
      </c>
      <c r="AN19" s="704" t="n">
        <v>0</v>
      </c>
      <c r="AO19" s="704" t="n">
        <v>0</v>
      </c>
      <c r="AP19" s="704" t="n">
        <v>0</v>
      </c>
      <c r="AQ19" s="704" t="n">
        <v>0</v>
      </c>
      <c r="AR19" s="704" t="n">
        <v>0</v>
      </c>
      <c r="AS19" s="704" t="n">
        <v>0</v>
      </c>
      <c r="AT19" s="704" t="n">
        <v>0</v>
      </c>
      <c r="AU19" s="704" t="n">
        <v>0</v>
      </c>
      <c r="AV19" s="704" t="n">
        <v>0</v>
      </c>
      <c r="AW19" s="704" t="n">
        <v>0</v>
      </c>
      <c r="AX19" s="704" t="n">
        <v>0</v>
      </c>
      <c r="AY19" s="704" t="n">
        <v>0</v>
      </c>
      <c r="AZ19" s="704" t="n">
        <v>0</v>
      </c>
      <c r="BA19" s="704" t="n">
        <v>0</v>
      </c>
      <c r="BB19" s="704" t="n">
        <v>0</v>
      </c>
      <c r="BC19" s="704" t="n">
        <v>0</v>
      </c>
      <c r="BD19" s="704" t="n">
        <v>0</v>
      </c>
      <c r="BE19" s="704" t="n">
        <v>0</v>
      </c>
      <c r="BF19" s="704" t="n">
        <v>0</v>
      </c>
      <c r="BG19" s="704" t="n">
        <v>0</v>
      </c>
      <c r="BH19" s="704" t="n">
        <v>0</v>
      </c>
      <c r="BI19" s="704" t="n">
        <v>0</v>
      </c>
      <c r="BJ19" s="704" t="n">
        <v>0</v>
      </c>
      <c r="BK19" s="704" t="n">
        <v>0</v>
      </c>
      <c r="BL19" s="704" t="n">
        <v>0</v>
      </c>
      <c r="BM19" s="704" t="n">
        <v>0</v>
      </c>
      <c r="BN19" s="704" t="n">
        <v>0</v>
      </c>
      <c r="BO19" s="704" t="n">
        <v>0</v>
      </c>
      <c r="BP19" s="704" t="n">
        <v>0</v>
      </c>
      <c r="BQ19" s="704" t="n">
        <v>0</v>
      </c>
      <c r="BR19" s="704" t="n">
        <v>0</v>
      </c>
      <c r="BS19" s="704" t="n">
        <v>0</v>
      </c>
      <c r="BT19" s="704" t="n">
        <v>0</v>
      </c>
      <c r="BU19" s="704" t="n">
        <v>0</v>
      </c>
      <c r="BV19" s="704" t="n">
        <v>0</v>
      </c>
      <c r="BW19" s="704" t="n">
        <v>0</v>
      </c>
      <c r="BX19" s="704" t="n">
        <v>0</v>
      </c>
      <c r="BY19" s="704" t="n">
        <v>0</v>
      </c>
      <c r="BZ19" s="704" t="n">
        <v>0</v>
      </c>
      <c r="CA19" s="704" t="n">
        <v>0</v>
      </c>
      <c r="CB19" s="704" t="n">
        <v>0</v>
      </c>
      <c r="CC19" s="704" t="n">
        <v>0</v>
      </c>
      <c r="CD19" s="704" t="n">
        <v>0</v>
      </c>
      <c r="CE19" s="704" t="n">
        <v>0</v>
      </c>
      <c r="CF19" s="704" t="n">
        <v>0</v>
      </c>
      <c r="CG19" s="704" t="n">
        <v>0</v>
      </c>
      <c r="CH19" s="704" t="n">
        <v>0</v>
      </c>
      <c r="CI19" s="704" t="n">
        <v>0</v>
      </c>
      <c r="CJ19" s="704" t="n">
        <v>0</v>
      </c>
      <c r="CK19" s="704" t="n">
        <v>0</v>
      </c>
      <c r="CL19" s="704" t="n">
        <v>0</v>
      </c>
      <c r="CM19" s="704" t="n">
        <v>0</v>
      </c>
      <c r="CN19" s="704" t="n">
        <v>0</v>
      </c>
      <c r="CO19" s="704" t="n">
        <v>0</v>
      </c>
      <c r="CP19" s="704" t="n">
        <v>0</v>
      </c>
      <c r="CQ19" s="704" t="n">
        <v>0</v>
      </c>
      <c r="CR19" s="704" t="n">
        <v>0</v>
      </c>
      <c r="CS19" s="704" t="n">
        <v>0</v>
      </c>
      <c r="CT19" s="704" t="n">
        <v>0</v>
      </c>
      <c r="CU19" s="704" t="n">
        <v>0</v>
      </c>
      <c r="CV19" s="704" t="n">
        <v>0</v>
      </c>
      <c r="CW19" s="704" t="n">
        <v>0</v>
      </c>
      <c r="CX19" s="704" t="n">
        <v>0</v>
      </c>
      <c r="CY19" s="704" t="n">
        <v>0</v>
      </c>
      <c r="CZ19" s="704" t="n">
        <v>0</v>
      </c>
      <c r="DA19" s="704" t="n">
        <v>0</v>
      </c>
      <c r="DB19" s="704" t="n">
        <v>0</v>
      </c>
      <c r="DC19" s="704" t="n">
        <v>0</v>
      </c>
      <c r="DD19" s="704" t="n">
        <v>0</v>
      </c>
      <c r="DE19" s="704" t="n">
        <v>0</v>
      </c>
      <c r="DF19" s="704" t="n">
        <v>0</v>
      </c>
      <c r="DG19" s="704" t="n">
        <v>0</v>
      </c>
      <c r="DH19" s="704" t="n">
        <v>0</v>
      </c>
      <c r="DI19" s="704" t="n">
        <v>0</v>
      </c>
      <c r="DJ19" s="704" t="n">
        <v>0</v>
      </c>
      <c r="DK19" s="704" t="n">
        <v>0</v>
      </c>
      <c r="DL19" s="704" t="n">
        <v>0</v>
      </c>
      <c r="DM19" s="704" t="n">
        <v>0</v>
      </c>
    </row>
    <row r="20" ht="13.5" customHeight="1" s="355">
      <c r="B20" s="703" t="inlineStr">
        <is>
          <t>Req to Pay</t>
        </is>
      </c>
      <c r="D20" s="704" t="n">
        <v>0</v>
      </c>
      <c r="E20" s="704" t="n">
        <v>0</v>
      </c>
      <c r="F20" s="704" t="n">
        <v>0</v>
      </c>
      <c r="G20" s="704" t="n">
        <v>0</v>
      </c>
      <c r="H20" s="704" t="n">
        <v>0</v>
      </c>
      <c r="I20" s="704" t="n">
        <v>12.9471925985241</v>
      </c>
      <c r="J20" s="704" t="n">
        <v>7.71048690730965</v>
      </c>
      <c r="K20" s="704" t="n">
        <v>0</v>
      </c>
      <c r="L20" s="704" t="n">
        <v>0</v>
      </c>
      <c r="M20" s="704" t="n">
        <v>0</v>
      </c>
      <c r="N20" s="704" t="n">
        <v>0</v>
      </c>
      <c r="O20" s="704" t="n">
        <v>0</v>
      </c>
      <c r="P20" s="704" t="n">
        <v>0</v>
      </c>
      <c r="Q20" s="704" t="n">
        <v>0</v>
      </c>
      <c r="R20" s="704" t="n">
        <v>0</v>
      </c>
      <c r="S20" s="704" t="n">
        <v>0</v>
      </c>
      <c r="T20" s="704" t="n">
        <v>0</v>
      </c>
      <c r="U20" s="704" t="n">
        <v>0</v>
      </c>
      <c r="V20" s="704" t="n">
        <v>0</v>
      </c>
      <c r="W20" s="704" t="n">
        <v>0</v>
      </c>
      <c r="X20" s="704" t="n">
        <v>0</v>
      </c>
      <c r="Y20" s="704" t="n">
        <v>0</v>
      </c>
      <c r="Z20" s="704" t="n">
        <v>0</v>
      </c>
      <c r="AA20" s="704" t="n">
        <v>0</v>
      </c>
      <c r="AB20" s="704" t="n">
        <v>0</v>
      </c>
      <c r="AC20" s="704" t="n">
        <v>0</v>
      </c>
      <c r="AD20" s="704" t="n">
        <v>0</v>
      </c>
      <c r="AE20" s="704" t="n">
        <v>0</v>
      </c>
      <c r="AF20" s="704" t="n">
        <v>0</v>
      </c>
      <c r="AG20" s="704" t="n">
        <v>0</v>
      </c>
      <c r="AH20" s="704" t="n">
        <v>0</v>
      </c>
      <c r="AI20" s="704" t="n">
        <v>0</v>
      </c>
      <c r="AJ20" s="704" t="n">
        <v>0</v>
      </c>
      <c r="AK20" s="704" t="n">
        <v>0</v>
      </c>
      <c r="AL20" s="704" t="n">
        <v>0</v>
      </c>
      <c r="AM20" s="704" t="n">
        <v>0</v>
      </c>
      <c r="AN20" s="704" t="n">
        <v>0</v>
      </c>
      <c r="AO20" s="704" t="n">
        <v>0</v>
      </c>
      <c r="AP20" s="704" t="n">
        <v>0</v>
      </c>
      <c r="AQ20" s="704" t="n">
        <v>0</v>
      </c>
      <c r="AR20" s="704" t="n">
        <v>0</v>
      </c>
      <c r="AS20" s="704" t="n">
        <v>0</v>
      </c>
      <c r="AT20" s="704" t="n">
        <v>0</v>
      </c>
      <c r="AU20" s="704" t="n">
        <v>0</v>
      </c>
      <c r="AV20" s="704" t="n">
        <v>0</v>
      </c>
      <c r="AW20" s="704" t="n">
        <v>0</v>
      </c>
      <c r="AX20" s="704" t="n">
        <v>0</v>
      </c>
      <c r="AY20" s="704" t="n">
        <v>0</v>
      </c>
      <c r="AZ20" s="704" t="n">
        <v>0</v>
      </c>
      <c r="BA20" s="704" t="n">
        <v>0</v>
      </c>
      <c r="BB20" s="704" t="n">
        <v>0</v>
      </c>
      <c r="BC20" s="704" t="n">
        <v>0</v>
      </c>
      <c r="BD20" s="704" t="n">
        <v>0</v>
      </c>
      <c r="BE20" s="704" t="n">
        <v>0</v>
      </c>
      <c r="BF20" s="704" t="n">
        <v>0</v>
      </c>
      <c r="BG20" s="704" t="n">
        <v>0</v>
      </c>
      <c r="BH20" s="704" t="n">
        <v>0</v>
      </c>
      <c r="BI20" s="704" t="n">
        <v>0</v>
      </c>
      <c r="BJ20" s="704" t="n">
        <v>0</v>
      </c>
      <c r="BK20" s="704" t="n">
        <v>0</v>
      </c>
      <c r="BL20" s="704" t="n">
        <v>0</v>
      </c>
      <c r="BM20" s="704" t="n">
        <v>0</v>
      </c>
      <c r="BN20" s="704" t="n">
        <v>0</v>
      </c>
      <c r="BO20" s="704" t="n">
        <v>0</v>
      </c>
      <c r="BP20" s="704" t="n">
        <v>0</v>
      </c>
      <c r="BQ20" s="704" t="n">
        <v>0</v>
      </c>
      <c r="BR20" s="704" t="n">
        <v>0</v>
      </c>
      <c r="BS20" s="704" t="n">
        <v>0</v>
      </c>
      <c r="BT20" s="704" t="n">
        <v>0</v>
      </c>
      <c r="BU20" s="704" t="n">
        <v>0</v>
      </c>
      <c r="BV20" s="704" t="n">
        <v>0</v>
      </c>
      <c r="BW20" s="704" t="n">
        <v>0</v>
      </c>
      <c r="BX20" s="704" t="n">
        <v>0</v>
      </c>
      <c r="BY20" s="704" t="n">
        <v>0</v>
      </c>
      <c r="BZ20" s="704" t="n">
        <v>0</v>
      </c>
      <c r="CA20" s="704" t="n">
        <v>0</v>
      </c>
      <c r="CB20" s="704" t="n">
        <v>0</v>
      </c>
      <c r="CC20" s="704" t="n">
        <v>0</v>
      </c>
      <c r="CD20" s="704" t="n">
        <v>0</v>
      </c>
      <c r="CE20" s="704" t="n">
        <v>0</v>
      </c>
      <c r="CF20" s="704" t="n">
        <v>0</v>
      </c>
      <c r="CG20" s="704" t="n">
        <v>0</v>
      </c>
      <c r="CH20" s="704" t="n">
        <v>0</v>
      </c>
      <c r="CI20" s="704" t="n">
        <v>0</v>
      </c>
      <c r="CJ20" s="704" t="n">
        <v>0</v>
      </c>
      <c r="CK20" s="704" t="n">
        <v>0</v>
      </c>
      <c r="CL20" s="704" t="n">
        <v>0</v>
      </c>
      <c r="CM20" s="704" t="n">
        <v>0</v>
      </c>
      <c r="CN20" s="704" t="n">
        <v>0</v>
      </c>
      <c r="CO20" s="704" t="n">
        <v>0</v>
      </c>
      <c r="CP20" s="704" t="n">
        <v>0</v>
      </c>
      <c r="CQ20" s="704" t="n">
        <v>0</v>
      </c>
      <c r="CR20" s="704" t="n">
        <v>0</v>
      </c>
      <c r="CS20" s="704" t="n">
        <v>0</v>
      </c>
      <c r="CT20" s="704" t="n">
        <v>0</v>
      </c>
      <c r="CU20" s="704" t="n">
        <v>0</v>
      </c>
      <c r="CV20" s="704" t="n">
        <v>0</v>
      </c>
      <c r="CW20" s="704" t="n">
        <v>0</v>
      </c>
      <c r="CX20" s="704" t="n">
        <v>0</v>
      </c>
      <c r="CY20" s="704" t="n">
        <v>0</v>
      </c>
      <c r="CZ20" s="704" t="n">
        <v>0</v>
      </c>
      <c r="DA20" s="704" t="n">
        <v>0</v>
      </c>
      <c r="DB20" s="704" t="n">
        <v>0</v>
      </c>
      <c r="DC20" s="704" t="n">
        <v>0</v>
      </c>
      <c r="DD20" s="704" t="n">
        <v>0</v>
      </c>
      <c r="DE20" s="704" t="n">
        <v>0</v>
      </c>
      <c r="DF20" s="704" t="n">
        <v>0</v>
      </c>
      <c r="DG20" s="704" t="n">
        <v>0</v>
      </c>
      <c r="DH20" s="704" t="n">
        <v>0</v>
      </c>
      <c r="DI20" s="704" t="n">
        <v>0</v>
      </c>
      <c r="DJ20" s="704" t="n">
        <v>0</v>
      </c>
      <c r="DK20" s="704" t="n">
        <v>0</v>
      </c>
      <c r="DL20" s="704" t="n">
        <v>0</v>
      </c>
      <c r="DM20" s="704" t="n">
        <v>0</v>
      </c>
    </row>
    <row r="21" ht="13.5" customHeight="1" s="355">
      <c r="B21" s="703" t="inlineStr">
        <is>
          <t>Team Leader</t>
        </is>
      </c>
      <c r="D21" s="704" t="n">
        <v>0</v>
      </c>
      <c r="E21" s="704" t="n">
        <v>0</v>
      </c>
      <c r="F21" s="704" t="n">
        <v>0</v>
      </c>
      <c r="G21" s="704" t="n">
        <v>0</v>
      </c>
      <c r="H21" s="704" t="n">
        <v>0</v>
      </c>
      <c r="I21" s="704" t="n">
        <v>0</v>
      </c>
      <c r="J21" s="704" t="n">
        <v>0</v>
      </c>
      <c r="K21" s="704" t="n">
        <v>0</v>
      </c>
      <c r="L21" s="704" t="n">
        <v>0</v>
      </c>
      <c r="M21" s="704" t="n">
        <v>0</v>
      </c>
      <c r="N21" s="704" t="n">
        <v>0</v>
      </c>
      <c r="O21" s="704" t="n">
        <v>0</v>
      </c>
      <c r="P21" s="704" t="n">
        <v>0</v>
      </c>
      <c r="Q21" s="704" t="n">
        <v>0</v>
      </c>
      <c r="R21" s="704" t="n">
        <v>0</v>
      </c>
      <c r="S21" s="704" t="n">
        <v>0</v>
      </c>
      <c r="T21" s="704" t="n">
        <v>0</v>
      </c>
      <c r="U21" s="704" t="n">
        <v>0</v>
      </c>
      <c r="V21" s="704" t="n">
        <v>0</v>
      </c>
      <c r="W21" s="704" t="n">
        <v>0</v>
      </c>
      <c r="X21" s="704" t="n">
        <v>0</v>
      </c>
      <c r="Y21" s="704" t="n">
        <v>0</v>
      </c>
      <c r="Z21" s="704" t="n">
        <v>0</v>
      </c>
      <c r="AA21" s="704" t="n">
        <v>0</v>
      </c>
      <c r="AB21" s="704" t="n">
        <v>0</v>
      </c>
      <c r="AC21" s="704" t="n">
        <v>0</v>
      </c>
      <c r="AD21" s="704" t="n">
        <v>0</v>
      </c>
      <c r="AE21" s="704" t="n">
        <v>0</v>
      </c>
      <c r="AF21" s="704" t="n">
        <v>0</v>
      </c>
      <c r="AG21" s="704" t="n">
        <v>0</v>
      </c>
      <c r="AH21" s="704" t="n">
        <v>0</v>
      </c>
      <c r="AI21" s="704" t="n">
        <v>0</v>
      </c>
      <c r="AJ21" s="704" t="n">
        <v>0</v>
      </c>
      <c r="AK21" s="704" t="n">
        <v>0</v>
      </c>
      <c r="AL21" s="704" t="n">
        <v>0</v>
      </c>
      <c r="AM21" s="704" t="n">
        <v>0</v>
      </c>
      <c r="AN21" s="704" t="n">
        <v>0</v>
      </c>
      <c r="AO21" s="704" t="n">
        <v>0</v>
      </c>
      <c r="AP21" s="704" t="n">
        <v>0</v>
      </c>
      <c r="AQ21" s="704" t="n">
        <v>0</v>
      </c>
      <c r="AR21" s="704" t="n">
        <v>0</v>
      </c>
      <c r="AS21" s="704" t="n">
        <v>0</v>
      </c>
      <c r="AT21" s="704" t="n">
        <v>0</v>
      </c>
      <c r="AU21" s="704" t="n">
        <v>0</v>
      </c>
      <c r="AV21" s="704" t="n">
        <v>0</v>
      </c>
      <c r="AW21" s="704" t="n">
        <v>0</v>
      </c>
      <c r="AX21" s="704" t="n">
        <v>0</v>
      </c>
      <c r="AY21" s="704" t="n">
        <v>0</v>
      </c>
      <c r="AZ21" s="704" t="n">
        <v>0</v>
      </c>
      <c r="BA21" s="704" t="n">
        <v>0</v>
      </c>
      <c r="BB21" s="704" t="n">
        <v>0</v>
      </c>
      <c r="BC21" s="704" t="n">
        <v>0</v>
      </c>
      <c r="BD21" s="704" t="n">
        <v>0</v>
      </c>
      <c r="BE21" s="704" t="n">
        <v>0</v>
      </c>
      <c r="BF21" s="704" t="n">
        <v>0</v>
      </c>
      <c r="BG21" s="704" t="n">
        <v>0</v>
      </c>
      <c r="BH21" s="704" t="n">
        <v>0</v>
      </c>
      <c r="BI21" s="704" t="n">
        <v>0</v>
      </c>
      <c r="BJ21" s="704" t="n">
        <v>0</v>
      </c>
      <c r="BK21" s="704" t="n">
        <v>0</v>
      </c>
      <c r="BL21" s="704" t="n">
        <v>0</v>
      </c>
      <c r="BM21" s="704" t="n">
        <v>0</v>
      </c>
      <c r="BN21" s="704" t="n">
        <v>0</v>
      </c>
      <c r="BO21" s="704" t="n">
        <v>0</v>
      </c>
      <c r="BP21" s="704" t="n">
        <v>0</v>
      </c>
      <c r="BQ21" s="704" t="n">
        <v>0</v>
      </c>
      <c r="BR21" s="704" t="n">
        <v>0</v>
      </c>
      <c r="BS21" s="704" t="n">
        <v>0</v>
      </c>
      <c r="BT21" s="704" t="n">
        <v>0</v>
      </c>
      <c r="BU21" s="704" t="n">
        <v>0</v>
      </c>
      <c r="BV21" s="704" t="n">
        <v>0</v>
      </c>
      <c r="BW21" s="704" t="n">
        <v>0</v>
      </c>
      <c r="BX21" s="704" t="n">
        <v>0</v>
      </c>
      <c r="BY21" s="704" t="n">
        <v>0</v>
      </c>
      <c r="BZ21" s="704" t="n">
        <v>0</v>
      </c>
      <c r="CA21" s="704" t="n">
        <v>0</v>
      </c>
      <c r="CB21" s="704" t="n">
        <v>0</v>
      </c>
      <c r="CC21" s="704" t="n">
        <v>0</v>
      </c>
      <c r="CD21" s="704" t="n">
        <v>0</v>
      </c>
      <c r="CE21" s="704" t="n">
        <v>0</v>
      </c>
      <c r="CF21" s="704" t="n">
        <v>0</v>
      </c>
      <c r="CG21" s="704" t="n">
        <v>0</v>
      </c>
      <c r="CH21" s="704" t="n">
        <v>0</v>
      </c>
      <c r="CI21" s="704" t="n">
        <v>0</v>
      </c>
      <c r="CJ21" s="704" t="n">
        <v>0</v>
      </c>
      <c r="CK21" s="704" t="n">
        <v>0</v>
      </c>
      <c r="CL21" s="704" t="n">
        <v>0</v>
      </c>
      <c r="CM21" s="704" t="n">
        <v>0</v>
      </c>
      <c r="CN21" s="704" t="n">
        <v>0</v>
      </c>
      <c r="CO21" s="704" t="n">
        <v>0</v>
      </c>
      <c r="CP21" s="704" t="n">
        <v>0</v>
      </c>
      <c r="CQ21" s="704" t="n">
        <v>0</v>
      </c>
      <c r="CR21" s="704" t="n">
        <v>0</v>
      </c>
      <c r="CS21" s="704" t="n">
        <v>0</v>
      </c>
      <c r="CT21" s="704" t="n">
        <v>0</v>
      </c>
      <c r="CU21" s="704" t="n">
        <v>0</v>
      </c>
      <c r="CV21" s="704" t="n">
        <v>0</v>
      </c>
      <c r="CW21" s="704" t="n">
        <v>0</v>
      </c>
      <c r="CX21" s="704" t="n">
        <v>0</v>
      </c>
      <c r="CY21" s="704" t="n">
        <v>0</v>
      </c>
      <c r="CZ21" s="704" t="n">
        <v>0</v>
      </c>
      <c r="DA21" s="704" t="n">
        <v>0</v>
      </c>
      <c r="DB21" s="704" t="n">
        <v>0</v>
      </c>
      <c r="DC21" s="704" t="n">
        <v>0</v>
      </c>
      <c r="DD21" s="704" t="n">
        <v>0</v>
      </c>
      <c r="DE21" s="704" t="n">
        <v>0</v>
      </c>
      <c r="DF21" s="704" t="n">
        <v>0</v>
      </c>
      <c r="DG21" s="704" t="n">
        <v>0</v>
      </c>
      <c r="DH21" s="704" t="n">
        <v>0</v>
      </c>
      <c r="DI21" s="704" t="n">
        <v>0</v>
      </c>
      <c r="DJ21" s="704" t="n">
        <v>0</v>
      </c>
      <c r="DK21" s="704" t="n">
        <v>0</v>
      </c>
      <c r="DL21" s="704" t="n">
        <v>0</v>
      </c>
      <c r="DM21" s="704" t="n">
        <v>0</v>
      </c>
    </row>
    <row r="22" ht="13.5" customHeight="1" s="355">
      <c r="B22" s="703" t="inlineStr">
        <is>
          <t>SLA Metric Reporting</t>
        </is>
      </c>
      <c r="D22" s="704" t="n">
        <v>0</v>
      </c>
      <c r="E22" s="704" t="n">
        <v>0</v>
      </c>
      <c r="F22" s="704" t="n">
        <v>0</v>
      </c>
      <c r="G22" s="704" t="n">
        <v>0</v>
      </c>
      <c r="H22" s="704" t="n">
        <v>0</v>
      </c>
      <c r="I22" s="704" t="n">
        <v>0</v>
      </c>
      <c r="J22" s="704" t="n">
        <v>0</v>
      </c>
      <c r="K22" s="704" t="n">
        <v>0</v>
      </c>
      <c r="L22" s="704" t="n">
        <v>0</v>
      </c>
      <c r="M22" s="704" t="n">
        <v>0</v>
      </c>
      <c r="N22" s="704" t="n">
        <v>0</v>
      </c>
      <c r="O22" s="704" t="n">
        <v>0</v>
      </c>
      <c r="P22" s="704" t="n">
        <v>0</v>
      </c>
      <c r="Q22" s="704" t="n">
        <v>0</v>
      </c>
      <c r="R22" s="704" t="n">
        <v>0</v>
      </c>
      <c r="S22" s="704" t="n">
        <v>0</v>
      </c>
      <c r="T22" s="704" t="n">
        <v>0</v>
      </c>
      <c r="U22" s="704" t="n">
        <v>0</v>
      </c>
      <c r="V22" s="704" t="n">
        <v>0</v>
      </c>
      <c r="W22" s="704" t="n">
        <v>0</v>
      </c>
      <c r="X22" s="704" t="n">
        <v>0</v>
      </c>
      <c r="Y22" s="704" t="n">
        <v>0</v>
      </c>
      <c r="Z22" s="704" t="n">
        <v>0</v>
      </c>
      <c r="AA22" s="704" t="n">
        <v>0</v>
      </c>
      <c r="AB22" s="704" t="n">
        <v>0</v>
      </c>
      <c r="AC22" s="704" t="n">
        <v>0</v>
      </c>
      <c r="AD22" s="704" t="n">
        <v>0</v>
      </c>
      <c r="AE22" s="704" t="n">
        <v>0</v>
      </c>
      <c r="AF22" s="704" t="n">
        <v>0</v>
      </c>
      <c r="AG22" s="704" t="n">
        <v>0</v>
      </c>
      <c r="AH22" s="704" t="n">
        <v>0</v>
      </c>
      <c r="AI22" s="704" t="n">
        <v>0</v>
      </c>
      <c r="AJ22" s="704" t="n">
        <v>0</v>
      </c>
      <c r="AK22" s="704" t="n">
        <v>0</v>
      </c>
      <c r="AL22" s="704" t="n">
        <v>0</v>
      </c>
      <c r="AM22" s="704" t="n">
        <v>0</v>
      </c>
      <c r="AN22" s="704" t="n">
        <v>0</v>
      </c>
      <c r="AO22" s="704" t="n">
        <v>0</v>
      </c>
      <c r="AP22" s="704" t="n">
        <v>0</v>
      </c>
      <c r="AQ22" s="704" t="n">
        <v>0</v>
      </c>
      <c r="AR22" s="704" t="n">
        <v>0</v>
      </c>
      <c r="AS22" s="704" t="n">
        <v>0</v>
      </c>
      <c r="AT22" s="704" t="n">
        <v>0</v>
      </c>
      <c r="AU22" s="704" t="n">
        <v>0</v>
      </c>
      <c r="AV22" s="704" t="n">
        <v>0</v>
      </c>
      <c r="AW22" s="704" t="n">
        <v>0</v>
      </c>
      <c r="AX22" s="704" t="n">
        <v>0</v>
      </c>
      <c r="AY22" s="704" t="n">
        <v>0</v>
      </c>
      <c r="AZ22" s="704" t="n">
        <v>0</v>
      </c>
      <c r="BA22" s="704" t="n">
        <v>0</v>
      </c>
      <c r="BB22" s="704" t="n">
        <v>0</v>
      </c>
      <c r="BC22" s="704" t="n">
        <v>0</v>
      </c>
      <c r="BD22" s="704" t="n">
        <v>0</v>
      </c>
      <c r="BE22" s="704" t="n">
        <v>0</v>
      </c>
      <c r="BF22" s="704" t="n">
        <v>0</v>
      </c>
      <c r="BG22" s="704" t="n">
        <v>0</v>
      </c>
      <c r="BH22" s="704" t="n">
        <v>0</v>
      </c>
      <c r="BI22" s="704" t="n">
        <v>0</v>
      </c>
      <c r="BJ22" s="704" t="n">
        <v>0</v>
      </c>
      <c r="BK22" s="704" t="n">
        <v>0</v>
      </c>
      <c r="BL22" s="704" t="n">
        <v>0</v>
      </c>
      <c r="BM22" s="704" t="n">
        <v>0</v>
      </c>
      <c r="BN22" s="704" t="n">
        <v>0</v>
      </c>
      <c r="BO22" s="704" t="n">
        <v>0</v>
      </c>
      <c r="BP22" s="704" t="n">
        <v>0</v>
      </c>
      <c r="BQ22" s="704" t="n">
        <v>0</v>
      </c>
      <c r="BR22" s="704" t="n">
        <v>0</v>
      </c>
      <c r="BS22" s="704" t="n">
        <v>0</v>
      </c>
      <c r="BT22" s="704" t="n">
        <v>0</v>
      </c>
      <c r="BU22" s="704" t="n">
        <v>0</v>
      </c>
      <c r="BV22" s="704" t="n">
        <v>0</v>
      </c>
      <c r="BW22" s="704" t="n">
        <v>0</v>
      </c>
      <c r="BX22" s="704" t="n">
        <v>0</v>
      </c>
      <c r="BY22" s="704" t="n">
        <v>0</v>
      </c>
      <c r="BZ22" s="704" t="n">
        <v>0</v>
      </c>
      <c r="CA22" s="704" t="n">
        <v>0</v>
      </c>
      <c r="CB22" s="704" t="n">
        <v>0</v>
      </c>
      <c r="CC22" s="704" t="n">
        <v>0</v>
      </c>
      <c r="CD22" s="704" t="n">
        <v>0</v>
      </c>
      <c r="CE22" s="704" t="n">
        <v>0</v>
      </c>
      <c r="CF22" s="704" t="n">
        <v>0</v>
      </c>
      <c r="CG22" s="704" t="n">
        <v>0</v>
      </c>
      <c r="CH22" s="704" t="n">
        <v>0</v>
      </c>
      <c r="CI22" s="704" t="n">
        <v>0</v>
      </c>
      <c r="CJ22" s="704" t="n">
        <v>0</v>
      </c>
      <c r="CK22" s="704" t="n">
        <v>0</v>
      </c>
      <c r="CL22" s="704" t="n">
        <v>0</v>
      </c>
      <c r="CM22" s="704" t="n">
        <v>0</v>
      </c>
      <c r="CN22" s="704" t="n">
        <v>0</v>
      </c>
      <c r="CO22" s="704" t="n">
        <v>0</v>
      </c>
      <c r="CP22" s="704" t="n">
        <v>0</v>
      </c>
      <c r="CQ22" s="704" t="n">
        <v>0</v>
      </c>
      <c r="CR22" s="704" t="n">
        <v>0</v>
      </c>
      <c r="CS22" s="704" t="n">
        <v>0</v>
      </c>
      <c r="CT22" s="704" t="n">
        <v>0</v>
      </c>
      <c r="CU22" s="704" t="n">
        <v>0</v>
      </c>
      <c r="CV22" s="704" t="n">
        <v>0</v>
      </c>
      <c r="CW22" s="704" t="n">
        <v>0</v>
      </c>
      <c r="CX22" s="704" t="n">
        <v>0</v>
      </c>
      <c r="CY22" s="704" t="n">
        <v>0</v>
      </c>
      <c r="CZ22" s="704" t="n">
        <v>0</v>
      </c>
      <c r="DA22" s="704" t="n">
        <v>0</v>
      </c>
      <c r="DB22" s="704" t="n">
        <v>0</v>
      </c>
      <c r="DC22" s="704" t="n">
        <v>0</v>
      </c>
      <c r="DD22" s="704" t="n">
        <v>0</v>
      </c>
      <c r="DE22" s="704" t="n">
        <v>0</v>
      </c>
      <c r="DF22" s="704" t="n">
        <v>0</v>
      </c>
      <c r="DG22" s="704" t="n">
        <v>0</v>
      </c>
      <c r="DH22" s="704" t="n">
        <v>0</v>
      </c>
      <c r="DI22" s="704" t="n">
        <v>0</v>
      </c>
      <c r="DJ22" s="704" t="n">
        <v>0</v>
      </c>
      <c r="DK22" s="704" t="n">
        <v>0</v>
      </c>
      <c r="DL22" s="704" t="n">
        <v>0</v>
      </c>
      <c r="DM22" s="704" t="n">
        <v>0</v>
      </c>
    </row>
    <row r="23" ht="13.5" customHeight="1" s="355">
      <c r="B23" s="705" t="inlineStr">
        <is>
          <t>Grand Total</t>
        </is>
      </c>
      <c r="C23" s="706" t="n"/>
      <c r="D23" s="707" t="n">
        <v>0</v>
      </c>
      <c r="E23" s="707" t="n">
        <v>0</v>
      </c>
      <c r="F23" s="707" t="n">
        <v>0</v>
      </c>
      <c r="G23" s="707" t="n">
        <v>0</v>
      </c>
      <c r="H23" s="707" t="n">
        <v>1.80048416499383</v>
      </c>
      <c r="I23" s="707" t="n">
        <v>15.4116353583141</v>
      </c>
      <c r="J23" s="707" t="n">
        <v>15.1285108795046</v>
      </c>
      <c r="K23" s="707" t="n">
        <v>21.4288413371039</v>
      </c>
      <c r="L23" s="707" t="n">
        <v>6.63958594796109</v>
      </c>
      <c r="M23" s="707" t="n">
        <v>0</v>
      </c>
      <c r="N23" s="707" t="n">
        <v>0</v>
      </c>
      <c r="O23" s="707" t="n">
        <v>0</v>
      </c>
      <c r="P23" s="707" t="n">
        <v>0</v>
      </c>
      <c r="Q23" s="707" t="n">
        <v>0</v>
      </c>
      <c r="R23" s="707" t="n">
        <v>0</v>
      </c>
      <c r="S23" s="707" t="n">
        <v>0</v>
      </c>
      <c r="T23" s="707" t="n">
        <v>0</v>
      </c>
      <c r="U23" s="707" t="n">
        <v>0</v>
      </c>
      <c r="V23" s="707" t="n">
        <v>0</v>
      </c>
      <c r="W23" s="707" t="n">
        <v>0</v>
      </c>
      <c r="X23" s="707" t="n">
        <v>0</v>
      </c>
      <c r="Y23" s="707" t="n">
        <v>0</v>
      </c>
      <c r="Z23" s="707" t="n">
        <v>0</v>
      </c>
      <c r="AA23" s="707" t="n">
        <v>0</v>
      </c>
      <c r="AB23" s="707" t="n">
        <v>0</v>
      </c>
      <c r="AC23" s="707" t="n">
        <v>0</v>
      </c>
      <c r="AD23" s="707" t="n">
        <v>0</v>
      </c>
      <c r="AE23" s="707" t="n">
        <v>0</v>
      </c>
      <c r="AF23" s="707" t="n">
        <v>0</v>
      </c>
      <c r="AG23" s="707" t="n">
        <v>0</v>
      </c>
      <c r="AH23" s="707" t="n">
        <v>0</v>
      </c>
      <c r="AI23" s="707" t="n">
        <v>0</v>
      </c>
      <c r="AJ23" s="707" t="n">
        <v>0</v>
      </c>
      <c r="AK23" s="707" t="n">
        <v>0</v>
      </c>
      <c r="AL23" s="707" t="n">
        <v>0</v>
      </c>
      <c r="AM23" s="707" t="n">
        <v>0</v>
      </c>
      <c r="AN23" s="707" t="n">
        <v>0</v>
      </c>
      <c r="AO23" s="707" t="n">
        <v>0</v>
      </c>
      <c r="AP23" s="707" t="n">
        <v>0</v>
      </c>
      <c r="AQ23" s="707" t="n">
        <v>0</v>
      </c>
      <c r="AR23" s="707" t="n">
        <v>0</v>
      </c>
      <c r="AS23" s="707" t="n">
        <v>0</v>
      </c>
      <c r="AT23" s="707" t="n">
        <v>0</v>
      </c>
      <c r="AU23" s="707" t="n">
        <v>0</v>
      </c>
      <c r="AV23" s="707" t="n">
        <v>0</v>
      </c>
      <c r="AW23" s="707" t="n">
        <v>0</v>
      </c>
      <c r="AX23" s="707" t="n">
        <v>0</v>
      </c>
      <c r="AY23" s="707" t="n">
        <v>0</v>
      </c>
      <c r="AZ23" s="707" t="n">
        <v>0</v>
      </c>
      <c r="BA23" s="707" t="n">
        <v>0</v>
      </c>
      <c r="BB23" s="707" t="n">
        <v>0</v>
      </c>
      <c r="BC23" s="707" t="n">
        <v>0</v>
      </c>
      <c r="BD23" s="707" t="n">
        <v>0</v>
      </c>
      <c r="BE23" s="707" t="n">
        <v>0</v>
      </c>
      <c r="BF23" s="707" t="n">
        <v>0</v>
      </c>
      <c r="BG23" s="707" t="n">
        <v>0</v>
      </c>
      <c r="BH23" s="707" t="n">
        <v>0</v>
      </c>
      <c r="BI23" s="707" t="n">
        <v>0</v>
      </c>
      <c r="BJ23" s="707" t="n">
        <v>0</v>
      </c>
      <c r="BK23" s="707" t="n">
        <v>0</v>
      </c>
      <c r="BL23" s="707" t="n">
        <v>0</v>
      </c>
      <c r="BM23" s="707" t="n">
        <v>0</v>
      </c>
      <c r="BN23" s="707" t="n">
        <v>0</v>
      </c>
      <c r="BO23" s="707" t="n">
        <v>0</v>
      </c>
      <c r="BP23" s="707" t="n">
        <v>0</v>
      </c>
      <c r="BQ23" s="707" t="n">
        <v>0</v>
      </c>
      <c r="BR23" s="707" t="n">
        <v>0</v>
      </c>
      <c r="BS23" s="707" t="n">
        <v>0</v>
      </c>
      <c r="BT23" s="707" t="n">
        <v>0</v>
      </c>
      <c r="BU23" s="707" t="n">
        <v>0</v>
      </c>
      <c r="BV23" s="707" t="n">
        <v>0</v>
      </c>
      <c r="BW23" s="707" t="n">
        <v>0</v>
      </c>
      <c r="BX23" s="707" t="n">
        <v>0</v>
      </c>
      <c r="BY23" s="707" t="n">
        <v>0</v>
      </c>
      <c r="BZ23" s="707" t="n">
        <v>0</v>
      </c>
      <c r="CA23" s="707" t="n">
        <v>0</v>
      </c>
      <c r="CB23" s="707" t="n">
        <v>0</v>
      </c>
      <c r="CC23" s="707" t="n">
        <v>0</v>
      </c>
      <c r="CD23" s="707" t="n">
        <v>0</v>
      </c>
      <c r="CE23" s="707" t="n">
        <v>0</v>
      </c>
      <c r="CF23" s="707" t="n">
        <v>0</v>
      </c>
      <c r="CG23" s="707" t="n">
        <v>0</v>
      </c>
      <c r="CH23" s="707" t="n">
        <v>0</v>
      </c>
      <c r="CI23" s="707" t="n">
        <v>0</v>
      </c>
      <c r="CJ23" s="707" t="n">
        <v>0</v>
      </c>
      <c r="CK23" s="707" t="n">
        <v>0</v>
      </c>
      <c r="CL23" s="707" t="n">
        <v>0</v>
      </c>
      <c r="CM23" s="707" t="n">
        <v>0</v>
      </c>
      <c r="CN23" s="707" t="n">
        <v>0</v>
      </c>
      <c r="CO23" s="707" t="n">
        <v>0</v>
      </c>
      <c r="CP23" s="707" t="n">
        <v>0</v>
      </c>
      <c r="CQ23" s="707" t="n">
        <v>0</v>
      </c>
      <c r="CR23" s="707" t="n">
        <v>0</v>
      </c>
      <c r="CS23" s="707" t="n">
        <v>0</v>
      </c>
      <c r="CT23" s="707" t="n">
        <v>0</v>
      </c>
      <c r="CU23" s="707" t="n">
        <v>0</v>
      </c>
      <c r="CV23" s="707" t="n">
        <v>0</v>
      </c>
      <c r="CW23" s="707" t="n">
        <v>0</v>
      </c>
      <c r="CX23" s="707" t="n">
        <v>0</v>
      </c>
      <c r="CY23" s="707" t="n">
        <v>0</v>
      </c>
      <c r="CZ23" s="707" t="n">
        <v>0</v>
      </c>
      <c r="DA23" s="707" t="n">
        <v>0</v>
      </c>
      <c r="DB23" s="707" t="n">
        <v>0</v>
      </c>
      <c r="DC23" s="707" t="n">
        <v>0</v>
      </c>
      <c r="DD23" s="707" t="n">
        <v>0</v>
      </c>
      <c r="DE23" s="707" t="n">
        <v>0</v>
      </c>
      <c r="DF23" s="707" t="n">
        <v>0</v>
      </c>
      <c r="DG23" s="707" t="n">
        <v>0</v>
      </c>
      <c r="DH23" s="707" t="n">
        <v>0</v>
      </c>
      <c r="DI23" s="707" t="n">
        <v>0</v>
      </c>
      <c r="DJ23" s="707" t="n">
        <v>0</v>
      </c>
      <c r="DK23" s="707" t="n">
        <v>0</v>
      </c>
      <c r="DL23" s="707" t="n">
        <v>0</v>
      </c>
      <c r="DM23" s="707" t="n">
        <v>0</v>
      </c>
    </row>
    <row r="24" ht="13.5" customHeight="1" s="355">
      <c r="A24" s="702" t="inlineStr">
        <is>
          <t>France</t>
        </is>
      </c>
      <c r="B24" s="703" t="inlineStr">
        <is>
          <t>Gen Acctg</t>
        </is>
      </c>
      <c r="D24" s="704" t="n">
        <v>0</v>
      </c>
      <c r="E24" s="704" t="n">
        <v>0</v>
      </c>
      <c r="F24" s="704" t="n">
        <v>0</v>
      </c>
      <c r="G24" s="704" t="n">
        <v>0</v>
      </c>
      <c r="H24" s="704" t="n">
        <v>0</v>
      </c>
      <c r="I24" s="704" t="n">
        <v>0</v>
      </c>
      <c r="J24" s="704" t="n">
        <v>0</v>
      </c>
      <c r="K24" s="704" t="n">
        <v>0</v>
      </c>
      <c r="L24" s="704" t="n">
        <v>0</v>
      </c>
      <c r="M24" s="704" t="n">
        <v>4.86528534179132</v>
      </c>
      <c r="N24" s="704" t="n">
        <v>9.426490349720691</v>
      </c>
      <c r="O24" s="704" t="n">
        <v>3.04080333861958</v>
      </c>
      <c r="P24" s="704" t="n">
        <v>0</v>
      </c>
      <c r="Q24" s="704" t="n">
        <v>0</v>
      </c>
      <c r="R24" s="704" t="n">
        <v>0</v>
      </c>
      <c r="S24" s="704" t="n">
        <v>0</v>
      </c>
      <c r="T24" s="704" t="n">
        <v>0</v>
      </c>
      <c r="U24" s="704" t="n">
        <v>0</v>
      </c>
      <c r="V24" s="704" t="n">
        <v>0</v>
      </c>
      <c r="W24" s="704" t="n">
        <v>0</v>
      </c>
      <c r="X24" s="704" t="n">
        <v>0</v>
      </c>
      <c r="Y24" s="704" t="n">
        <v>0</v>
      </c>
      <c r="Z24" s="704" t="n">
        <v>0</v>
      </c>
      <c r="AA24" s="704" t="n">
        <v>0</v>
      </c>
      <c r="AB24" s="704" t="n">
        <v>0</v>
      </c>
      <c r="AC24" s="704" t="n">
        <v>0</v>
      </c>
      <c r="AD24" s="704" t="n">
        <v>0</v>
      </c>
      <c r="AE24" s="704" t="n">
        <v>0</v>
      </c>
      <c r="AF24" s="704" t="n">
        <v>0</v>
      </c>
      <c r="AG24" s="704" t="n">
        <v>0</v>
      </c>
      <c r="AH24" s="704" t="n">
        <v>0</v>
      </c>
      <c r="AI24" s="704" t="n">
        <v>0</v>
      </c>
      <c r="AJ24" s="704" t="n">
        <v>0</v>
      </c>
      <c r="AK24" s="704" t="n">
        <v>0</v>
      </c>
      <c r="AL24" s="704" t="n">
        <v>0</v>
      </c>
      <c r="AM24" s="704" t="n">
        <v>0</v>
      </c>
      <c r="AN24" s="704" t="n">
        <v>0</v>
      </c>
      <c r="AO24" s="704" t="n">
        <v>0</v>
      </c>
      <c r="AP24" s="704" t="n">
        <v>0</v>
      </c>
      <c r="AQ24" s="704" t="n">
        <v>0</v>
      </c>
      <c r="AR24" s="704" t="n">
        <v>0</v>
      </c>
      <c r="AS24" s="704" t="n">
        <v>0</v>
      </c>
      <c r="AT24" s="704" t="n">
        <v>0</v>
      </c>
      <c r="AU24" s="704" t="n">
        <v>0</v>
      </c>
      <c r="AV24" s="704" t="n">
        <v>0</v>
      </c>
      <c r="AW24" s="704" t="n">
        <v>0</v>
      </c>
      <c r="AX24" s="704" t="n">
        <v>0</v>
      </c>
      <c r="AY24" s="704" t="n">
        <v>0</v>
      </c>
      <c r="AZ24" s="704" t="n">
        <v>0</v>
      </c>
      <c r="BA24" s="704" t="n">
        <v>0</v>
      </c>
      <c r="BB24" s="704" t="n">
        <v>0</v>
      </c>
      <c r="BC24" s="704" t="n">
        <v>0</v>
      </c>
      <c r="BD24" s="704" t="n">
        <v>0</v>
      </c>
      <c r="BE24" s="704" t="n">
        <v>0</v>
      </c>
      <c r="BF24" s="704" t="n">
        <v>0</v>
      </c>
      <c r="BG24" s="704" t="n">
        <v>0</v>
      </c>
      <c r="BH24" s="704" t="n">
        <v>0</v>
      </c>
      <c r="BI24" s="704" t="n">
        <v>0</v>
      </c>
      <c r="BJ24" s="704" t="n">
        <v>0</v>
      </c>
      <c r="BK24" s="704" t="n">
        <v>0</v>
      </c>
      <c r="BL24" s="704" t="n">
        <v>0</v>
      </c>
      <c r="BM24" s="704" t="n">
        <v>0</v>
      </c>
      <c r="BN24" s="704" t="n">
        <v>0</v>
      </c>
      <c r="BO24" s="704" t="n">
        <v>0</v>
      </c>
      <c r="BP24" s="704" t="n">
        <v>0</v>
      </c>
      <c r="BQ24" s="704" t="n">
        <v>0</v>
      </c>
      <c r="BR24" s="704" t="n">
        <v>0</v>
      </c>
      <c r="BS24" s="704" t="n">
        <v>0</v>
      </c>
      <c r="BT24" s="704" t="n">
        <v>0</v>
      </c>
      <c r="BU24" s="704" t="n">
        <v>0</v>
      </c>
      <c r="BV24" s="704" t="n">
        <v>0</v>
      </c>
      <c r="BW24" s="704" t="n">
        <v>0</v>
      </c>
      <c r="BX24" s="704" t="n">
        <v>0</v>
      </c>
      <c r="BY24" s="704" t="n">
        <v>0</v>
      </c>
      <c r="BZ24" s="704" t="n">
        <v>0</v>
      </c>
      <c r="CA24" s="704" t="n">
        <v>0</v>
      </c>
      <c r="CB24" s="704" t="n">
        <v>0</v>
      </c>
      <c r="CC24" s="704" t="n">
        <v>0</v>
      </c>
      <c r="CD24" s="704" t="n">
        <v>0</v>
      </c>
      <c r="CE24" s="704" t="n">
        <v>0</v>
      </c>
      <c r="CF24" s="704" t="n">
        <v>0</v>
      </c>
      <c r="CG24" s="704" t="n">
        <v>0</v>
      </c>
      <c r="CH24" s="704" t="n">
        <v>0</v>
      </c>
      <c r="CI24" s="704" t="n">
        <v>0</v>
      </c>
      <c r="CJ24" s="704" t="n">
        <v>0</v>
      </c>
      <c r="CK24" s="704" t="n">
        <v>0</v>
      </c>
      <c r="CL24" s="704" t="n">
        <v>0</v>
      </c>
      <c r="CM24" s="704" t="n">
        <v>0</v>
      </c>
      <c r="CN24" s="704" t="n">
        <v>0</v>
      </c>
      <c r="CO24" s="704" t="n">
        <v>0</v>
      </c>
      <c r="CP24" s="704" t="n">
        <v>0</v>
      </c>
      <c r="CQ24" s="704" t="n">
        <v>0</v>
      </c>
      <c r="CR24" s="704" t="n">
        <v>0</v>
      </c>
      <c r="CS24" s="704" t="n">
        <v>0</v>
      </c>
      <c r="CT24" s="704" t="n">
        <v>0</v>
      </c>
      <c r="CU24" s="704" t="n">
        <v>0</v>
      </c>
      <c r="CV24" s="704" t="n">
        <v>0</v>
      </c>
      <c r="CW24" s="704" t="n">
        <v>0</v>
      </c>
      <c r="CX24" s="704" t="n">
        <v>0</v>
      </c>
      <c r="CY24" s="704" t="n">
        <v>0</v>
      </c>
      <c r="CZ24" s="704" t="n">
        <v>0</v>
      </c>
      <c r="DA24" s="704" t="n">
        <v>0</v>
      </c>
      <c r="DB24" s="704" t="n">
        <v>0</v>
      </c>
      <c r="DC24" s="704" t="n">
        <v>0</v>
      </c>
      <c r="DD24" s="704" t="n">
        <v>0</v>
      </c>
      <c r="DE24" s="704" t="n">
        <v>0</v>
      </c>
      <c r="DF24" s="704" t="n">
        <v>0</v>
      </c>
      <c r="DG24" s="704" t="n">
        <v>0</v>
      </c>
      <c r="DH24" s="704" t="n">
        <v>0</v>
      </c>
      <c r="DI24" s="704" t="n">
        <v>0</v>
      </c>
      <c r="DJ24" s="704" t="n">
        <v>0</v>
      </c>
      <c r="DK24" s="704" t="n">
        <v>0</v>
      </c>
      <c r="DL24" s="704" t="n">
        <v>0</v>
      </c>
      <c r="DM24" s="704" t="n">
        <v>0</v>
      </c>
    </row>
    <row r="25" ht="13.5" customHeight="1" s="355">
      <c r="B25" s="703" t="inlineStr">
        <is>
          <t>Reporting</t>
        </is>
      </c>
      <c r="D25" s="704" t="n">
        <v>0</v>
      </c>
      <c r="E25" s="704" t="n">
        <v>0</v>
      </c>
      <c r="F25" s="704" t="n">
        <v>0</v>
      </c>
      <c r="G25" s="704" t="n">
        <v>0</v>
      </c>
      <c r="H25" s="704" t="n">
        <v>0</v>
      </c>
      <c r="I25" s="704" t="n">
        <v>0</v>
      </c>
      <c r="J25" s="704" t="n">
        <v>0</v>
      </c>
      <c r="K25" s="704" t="n">
        <v>0</v>
      </c>
      <c r="L25" s="704" t="n">
        <v>0</v>
      </c>
      <c r="M25" s="704" t="n">
        <v>0</v>
      </c>
      <c r="N25" s="704" t="n">
        <v>0</v>
      </c>
      <c r="O25" s="704" t="n">
        <v>0</v>
      </c>
      <c r="P25" s="704" t="n">
        <v>0</v>
      </c>
      <c r="Q25" s="704" t="n">
        <v>0</v>
      </c>
      <c r="R25" s="704" t="n">
        <v>0</v>
      </c>
      <c r="S25" s="704" t="n">
        <v>0</v>
      </c>
      <c r="T25" s="704" t="n">
        <v>0</v>
      </c>
      <c r="U25" s="704" t="n">
        <v>0</v>
      </c>
      <c r="V25" s="704" t="n">
        <v>0</v>
      </c>
      <c r="W25" s="704" t="n">
        <v>0</v>
      </c>
      <c r="X25" s="704" t="n">
        <v>0</v>
      </c>
      <c r="Y25" s="704" t="n">
        <v>0</v>
      </c>
      <c r="Z25" s="704" t="n">
        <v>0</v>
      </c>
      <c r="AA25" s="704" t="n">
        <v>0</v>
      </c>
      <c r="AB25" s="704" t="n">
        <v>0</v>
      </c>
      <c r="AC25" s="704" t="n">
        <v>0</v>
      </c>
      <c r="AD25" s="704" t="n">
        <v>0</v>
      </c>
      <c r="AE25" s="704" t="n">
        <v>0</v>
      </c>
      <c r="AF25" s="704" t="n">
        <v>0</v>
      </c>
      <c r="AG25" s="704" t="n">
        <v>0</v>
      </c>
      <c r="AH25" s="704" t="n">
        <v>0</v>
      </c>
      <c r="AI25" s="704" t="n">
        <v>0</v>
      </c>
      <c r="AJ25" s="704" t="n">
        <v>0</v>
      </c>
      <c r="AK25" s="704" t="n">
        <v>0</v>
      </c>
      <c r="AL25" s="704" t="n">
        <v>0</v>
      </c>
      <c r="AM25" s="704" t="n">
        <v>0</v>
      </c>
      <c r="AN25" s="704" t="n">
        <v>0</v>
      </c>
      <c r="AO25" s="704" t="n">
        <v>0</v>
      </c>
      <c r="AP25" s="704" t="n">
        <v>0</v>
      </c>
      <c r="AQ25" s="704" t="n">
        <v>0</v>
      </c>
      <c r="AR25" s="704" t="n">
        <v>0</v>
      </c>
      <c r="AS25" s="704" t="n">
        <v>0</v>
      </c>
      <c r="AT25" s="704" t="n">
        <v>0</v>
      </c>
      <c r="AU25" s="704" t="n">
        <v>0</v>
      </c>
      <c r="AV25" s="704" t="n">
        <v>0</v>
      </c>
      <c r="AW25" s="704" t="n">
        <v>0</v>
      </c>
      <c r="AX25" s="704" t="n">
        <v>0</v>
      </c>
      <c r="AY25" s="704" t="n">
        <v>0</v>
      </c>
      <c r="AZ25" s="704" t="n">
        <v>0</v>
      </c>
      <c r="BA25" s="704" t="n">
        <v>0</v>
      </c>
      <c r="BB25" s="704" t="n">
        <v>0</v>
      </c>
      <c r="BC25" s="704" t="n">
        <v>0</v>
      </c>
      <c r="BD25" s="704" t="n">
        <v>0</v>
      </c>
      <c r="BE25" s="704" t="n">
        <v>0</v>
      </c>
      <c r="BF25" s="704" t="n">
        <v>0</v>
      </c>
      <c r="BG25" s="704" t="n">
        <v>0</v>
      </c>
      <c r="BH25" s="704" t="n">
        <v>0</v>
      </c>
      <c r="BI25" s="704" t="n">
        <v>0</v>
      </c>
      <c r="BJ25" s="704" t="n">
        <v>0</v>
      </c>
      <c r="BK25" s="704" t="n">
        <v>0</v>
      </c>
      <c r="BL25" s="704" t="n">
        <v>0</v>
      </c>
      <c r="BM25" s="704" t="n">
        <v>0</v>
      </c>
      <c r="BN25" s="704" t="n">
        <v>0</v>
      </c>
      <c r="BO25" s="704" t="n">
        <v>0</v>
      </c>
      <c r="BP25" s="704" t="n">
        <v>0</v>
      </c>
      <c r="BQ25" s="704" t="n">
        <v>0</v>
      </c>
      <c r="BR25" s="704" t="n">
        <v>0</v>
      </c>
      <c r="BS25" s="704" t="n">
        <v>0</v>
      </c>
      <c r="BT25" s="704" t="n">
        <v>0</v>
      </c>
      <c r="BU25" s="704" t="n">
        <v>0</v>
      </c>
      <c r="BV25" s="704" t="n">
        <v>0</v>
      </c>
      <c r="BW25" s="704" t="n">
        <v>0</v>
      </c>
      <c r="BX25" s="704" t="n">
        <v>0</v>
      </c>
      <c r="BY25" s="704" t="n">
        <v>0</v>
      </c>
      <c r="BZ25" s="704" t="n">
        <v>0</v>
      </c>
      <c r="CA25" s="704" t="n">
        <v>0</v>
      </c>
      <c r="CB25" s="704" t="n">
        <v>0</v>
      </c>
      <c r="CC25" s="704" t="n">
        <v>0</v>
      </c>
      <c r="CD25" s="704" t="n">
        <v>0</v>
      </c>
      <c r="CE25" s="704" t="n">
        <v>0</v>
      </c>
      <c r="CF25" s="704" t="n">
        <v>0</v>
      </c>
      <c r="CG25" s="704" t="n">
        <v>0</v>
      </c>
      <c r="CH25" s="704" t="n">
        <v>0</v>
      </c>
      <c r="CI25" s="704" t="n">
        <v>0</v>
      </c>
      <c r="CJ25" s="704" t="n">
        <v>0</v>
      </c>
      <c r="CK25" s="704" t="n">
        <v>0</v>
      </c>
      <c r="CL25" s="704" t="n">
        <v>0</v>
      </c>
      <c r="CM25" s="704" t="n">
        <v>0</v>
      </c>
      <c r="CN25" s="704" t="n">
        <v>0</v>
      </c>
      <c r="CO25" s="704" t="n">
        <v>0</v>
      </c>
      <c r="CP25" s="704" t="n">
        <v>0</v>
      </c>
      <c r="CQ25" s="704" t="n">
        <v>0</v>
      </c>
      <c r="CR25" s="704" t="n">
        <v>0</v>
      </c>
      <c r="CS25" s="704" t="n">
        <v>0</v>
      </c>
      <c r="CT25" s="704" t="n">
        <v>0</v>
      </c>
      <c r="CU25" s="704" t="n">
        <v>0</v>
      </c>
      <c r="CV25" s="704" t="n">
        <v>0</v>
      </c>
      <c r="CW25" s="704" t="n">
        <v>0</v>
      </c>
      <c r="CX25" s="704" t="n">
        <v>0</v>
      </c>
      <c r="CY25" s="704" t="n">
        <v>0</v>
      </c>
      <c r="CZ25" s="704" t="n">
        <v>0</v>
      </c>
      <c r="DA25" s="704" t="n">
        <v>0</v>
      </c>
      <c r="DB25" s="704" t="n">
        <v>0</v>
      </c>
      <c r="DC25" s="704" t="n">
        <v>0</v>
      </c>
      <c r="DD25" s="704" t="n">
        <v>0</v>
      </c>
      <c r="DE25" s="704" t="n">
        <v>0</v>
      </c>
      <c r="DF25" s="704" t="n">
        <v>0</v>
      </c>
      <c r="DG25" s="704" t="n">
        <v>0</v>
      </c>
      <c r="DH25" s="704" t="n">
        <v>0</v>
      </c>
      <c r="DI25" s="704" t="n">
        <v>0</v>
      </c>
      <c r="DJ25" s="704" t="n">
        <v>0</v>
      </c>
      <c r="DK25" s="704" t="n">
        <v>0</v>
      </c>
      <c r="DL25" s="704" t="n">
        <v>0</v>
      </c>
      <c r="DM25" s="704" t="n">
        <v>0</v>
      </c>
    </row>
    <row r="26" ht="13.5" customHeight="1" s="355">
      <c r="B26" s="703" t="inlineStr">
        <is>
          <t>Fixed Assets</t>
        </is>
      </c>
      <c r="D26" s="704" t="n">
        <v>0</v>
      </c>
      <c r="E26" s="704" t="n">
        <v>0</v>
      </c>
      <c r="F26" s="704" t="n">
        <v>0</v>
      </c>
      <c r="G26" s="704" t="n">
        <v>0</v>
      </c>
      <c r="H26" s="704" t="n">
        <v>0</v>
      </c>
      <c r="I26" s="704" t="n">
        <v>0</v>
      </c>
      <c r="J26" s="704" t="n">
        <v>0</v>
      </c>
      <c r="K26" s="704" t="n">
        <v>0</v>
      </c>
      <c r="L26" s="704" t="n">
        <v>0</v>
      </c>
      <c r="M26" s="704" t="n">
        <v>0</v>
      </c>
      <c r="N26" s="704" t="n">
        <v>0</v>
      </c>
      <c r="O26" s="704" t="n">
        <v>0</v>
      </c>
      <c r="P26" s="704" t="n">
        <v>0</v>
      </c>
      <c r="Q26" s="704" t="n">
        <v>0</v>
      </c>
      <c r="R26" s="704" t="n">
        <v>0</v>
      </c>
      <c r="S26" s="704" t="n">
        <v>0</v>
      </c>
      <c r="T26" s="704" t="n">
        <v>0</v>
      </c>
      <c r="U26" s="704" t="n">
        <v>0</v>
      </c>
      <c r="V26" s="704" t="n">
        <v>0</v>
      </c>
      <c r="W26" s="704" t="n">
        <v>0</v>
      </c>
      <c r="X26" s="704" t="n">
        <v>0</v>
      </c>
      <c r="Y26" s="704" t="n">
        <v>0</v>
      </c>
      <c r="Z26" s="704" t="n">
        <v>0</v>
      </c>
      <c r="AA26" s="704" t="n">
        <v>0</v>
      </c>
      <c r="AB26" s="704" t="n">
        <v>0</v>
      </c>
      <c r="AC26" s="704" t="n">
        <v>0</v>
      </c>
      <c r="AD26" s="704" t="n">
        <v>0</v>
      </c>
      <c r="AE26" s="704" t="n">
        <v>0</v>
      </c>
      <c r="AF26" s="704" t="n">
        <v>0</v>
      </c>
      <c r="AG26" s="704" t="n">
        <v>0</v>
      </c>
      <c r="AH26" s="704" t="n">
        <v>0</v>
      </c>
      <c r="AI26" s="704" t="n">
        <v>0</v>
      </c>
      <c r="AJ26" s="704" t="n">
        <v>0</v>
      </c>
      <c r="AK26" s="704" t="n">
        <v>0</v>
      </c>
      <c r="AL26" s="704" t="n">
        <v>0</v>
      </c>
      <c r="AM26" s="704" t="n">
        <v>0</v>
      </c>
      <c r="AN26" s="704" t="n">
        <v>0</v>
      </c>
      <c r="AO26" s="704" t="n">
        <v>0</v>
      </c>
      <c r="AP26" s="704" t="n">
        <v>0</v>
      </c>
      <c r="AQ26" s="704" t="n">
        <v>0</v>
      </c>
      <c r="AR26" s="704" t="n">
        <v>0</v>
      </c>
      <c r="AS26" s="704" t="n">
        <v>0</v>
      </c>
      <c r="AT26" s="704" t="n">
        <v>0</v>
      </c>
      <c r="AU26" s="704" t="n">
        <v>0</v>
      </c>
      <c r="AV26" s="704" t="n">
        <v>0</v>
      </c>
      <c r="AW26" s="704" t="n">
        <v>0</v>
      </c>
      <c r="AX26" s="704" t="n">
        <v>0</v>
      </c>
      <c r="AY26" s="704" t="n">
        <v>0</v>
      </c>
      <c r="AZ26" s="704" t="n">
        <v>0</v>
      </c>
      <c r="BA26" s="704" t="n">
        <v>0</v>
      </c>
      <c r="BB26" s="704" t="n">
        <v>0</v>
      </c>
      <c r="BC26" s="704" t="n">
        <v>0</v>
      </c>
      <c r="BD26" s="704" t="n">
        <v>0</v>
      </c>
      <c r="BE26" s="704" t="n">
        <v>0</v>
      </c>
      <c r="BF26" s="704" t="n">
        <v>0</v>
      </c>
      <c r="BG26" s="704" t="n">
        <v>0</v>
      </c>
      <c r="BH26" s="704" t="n">
        <v>0</v>
      </c>
      <c r="BI26" s="704" t="n">
        <v>0</v>
      </c>
      <c r="BJ26" s="704" t="n">
        <v>0</v>
      </c>
      <c r="BK26" s="704" t="n">
        <v>0</v>
      </c>
      <c r="BL26" s="704" t="n">
        <v>0</v>
      </c>
      <c r="BM26" s="704" t="n">
        <v>0</v>
      </c>
      <c r="BN26" s="704" t="n">
        <v>0</v>
      </c>
      <c r="BO26" s="704" t="n">
        <v>0</v>
      </c>
      <c r="BP26" s="704" t="n">
        <v>0</v>
      </c>
      <c r="BQ26" s="704" t="n">
        <v>0</v>
      </c>
      <c r="BR26" s="704" t="n">
        <v>0</v>
      </c>
      <c r="BS26" s="704" t="n">
        <v>0</v>
      </c>
      <c r="BT26" s="704" t="n">
        <v>0</v>
      </c>
      <c r="BU26" s="704" t="n">
        <v>0</v>
      </c>
      <c r="BV26" s="704" t="n">
        <v>0</v>
      </c>
      <c r="BW26" s="704" t="n">
        <v>0</v>
      </c>
      <c r="BX26" s="704" t="n">
        <v>0</v>
      </c>
      <c r="BY26" s="704" t="n">
        <v>0</v>
      </c>
      <c r="BZ26" s="704" t="n">
        <v>0</v>
      </c>
      <c r="CA26" s="704" t="n">
        <v>0</v>
      </c>
      <c r="CB26" s="704" t="n">
        <v>0</v>
      </c>
      <c r="CC26" s="704" t="n">
        <v>0</v>
      </c>
      <c r="CD26" s="704" t="n">
        <v>0</v>
      </c>
      <c r="CE26" s="704" t="n">
        <v>0</v>
      </c>
      <c r="CF26" s="704" t="n">
        <v>0</v>
      </c>
      <c r="CG26" s="704" t="n">
        <v>0</v>
      </c>
      <c r="CH26" s="704" t="n">
        <v>0</v>
      </c>
      <c r="CI26" s="704" t="n">
        <v>0</v>
      </c>
      <c r="CJ26" s="704" t="n">
        <v>0</v>
      </c>
      <c r="CK26" s="704" t="n">
        <v>0</v>
      </c>
      <c r="CL26" s="704" t="n">
        <v>0</v>
      </c>
      <c r="CM26" s="704" t="n">
        <v>0</v>
      </c>
      <c r="CN26" s="704" t="n">
        <v>0</v>
      </c>
      <c r="CO26" s="704" t="n">
        <v>0</v>
      </c>
      <c r="CP26" s="704" t="n">
        <v>0</v>
      </c>
      <c r="CQ26" s="704" t="n">
        <v>0</v>
      </c>
      <c r="CR26" s="704" t="n">
        <v>0</v>
      </c>
      <c r="CS26" s="704" t="n">
        <v>0</v>
      </c>
      <c r="CT26" s="704" t="n">
        <v>0</v>
      </c>
      <c r="CU26" s="704" t="n">
        <v>0</v>
      </c>
      <c r="CV26" s="704" t="n">
        <v>0</v>
      </c>
      <c r="CW26" s="704" t="n">
        <v>0</v>
      </c>
      <c r="CX26" s="704" t="n">
        <v>0</v>
      </c>
      <c r="CY26" s="704" t="n">
        <v>0</v>
      </c>
      <c r="CZ26" s="704" t="n">
        <v>0</v>
      </c>
      <c r="DA26" s="704" t="n">
        <v>0</v>
      </c>
      <c r="DB26" s="704" t="n">
        <v>0</v>
      </c>
      <c r="DC26" s="704" t="n">
        <v>0</v>
      </c>
      <c r="DD26" s="704" t="n">
        <v>0</v>
      </c>
      <c r="DE26" s="704" t="n">
        <v>0</v>
      </c>
      <c r="DF26" s="704" t="n">
        <v>0</v>
      </c>
      <c r="DG26" s="704" t="n">
        <v>0</v>
      </c>
      <c r="DH26" s="704" t="n">
        <v>0</v>
      </c>
      <c r="DI26" s="704" t="n">
        <v>0</v>
      </c>
      <c r="DJ26" s="704" t="n">
        <v>0</v>
      </c>
      <c r="DK26" s="704" t="n">
        <v>0</v>
      </c>
      <c r="DL26" s="704" t="n">
        <v>0</v>
      </c>
      <c r="DM26" s="704" t="n">
        <v>0</v>
      </c>
    </row>
    <row r="27" ht="13.5" customHeight="1" s="355">
      <c r="B27" s="703" t="inlineStr">
        <is>
          <t>Acct Payable</t>
        </is>
      </c>
      <c r="D27" s="704" t="n">
        <v>0</v>
      </c>
      <c r="E27" s="704" t="n">
        <v>0</v>
      </c>
      <c r="F27" s="704" t="n">
        <v>0</v>
      </c>
      <c r="G27" s="704" t="n">
        <v>0</v>
      </c>
      <c r="H27" s="704" t="n">
        <v>0</v>
      </c>
      <c r="I27" s="704" t="n">
        <v>0</v>
      </c>
      <c r="J27" s="704" t="n">
        <v>0</v>
      </c>
      <c r="K27" s="704" t="n">
        <v>0</v>
      </c>
      <c r="L27" s="704" t="n">
        <v>0</v>
      </c>
      <c r="M27" s="704" t="n">
        <v>21.9393133475089</v>
      </c>
      <c r="N27" s="704" t="n">
        <v>19.6478739534358</v>
      </c>
      <c r="O27" s="704" t="n">
        <v>0</v>
      </c>
      <c r="P27" s="704" t="n">
        <v>0</v>
      </c>
      <c r="Q27" s="704" t="n">
        <v>0</v>
      </c>
      <c r="R27" s="704" t="n">
        <v>0</v>
      </c>
      <c r="S27" s="704" t="n">
        <v>0</v>
      </c>
      <c r="T27" s="704" t="n">
        <v>0</v>
      </c>
      <c r="U27" s="704" t="n">
        <v>0</v>
      </c>
      <c r="V27" s="704" t="n">
        <v>0</v>
      </c>
      <c r="W27" s="704" t="n">
        <v>0</v>
      </c>
      <c r="X27" s="704" t="n">
        <v>0</v>
      </c>
      <c r="Y27" s="704" t="n">
        <v>0</v>
      </c>
      <c r="Z27" s="704" t="n">
        <v>0</v>
      </c>
      <c r="AA27" s="704" t="n">
        <v>0</v>
      </c>
      <c r="AB27" s="704" t="n">
        <v>0</v>
      </c>
      <c r="AC27" s="704" t="n">
        <v>0</v>
      </c>
      <c r="AD27" s="704" t="n">
        <v>0</v>
      </c>
      <c r="AE27" s="704" t="n">
        <v>0</v>
      </c>
      <c r="AF27" s="704" t="n">
        <v>0</v>
      </c>
      <c r="AG27" s="704" t="n">
        <v>0</v>
      </c>
      <c r="AH27" s="704" t="n">
        <v>0</v>
      </c>
      <c r="AI27" s="704" t="n">
        <v>0</v>
      </c>
      <c r="AJ27" s="704" t="n">
        <v>0</v>
      </c>
      <c r="AK27" s="704" t="n">
        <v>0</v>
      </c>
      <c r="AL27" s="704" t="n">
        <v>0</v>
      </c>
      <c r="AM27" s="704" t="n">
        <v>0</v>
      </c>
      <c r="AN27" s="704" t="n">
        <v>0</v>
      </c>
      <c r="AO27" s="704" t="n">
        <v>0</v>
      </c>
      <c r="AP27" s="704" t="n">
        <v>0</v>
      </c>
      <c r="AQ27" s="704" t="n">
        <v>0</v>
      </c>
      <c r="AR27" s="704" t="n">
        <v>0</v>
      </c>
      <c r="AS27" s="704" t="n">
        <v>0</v>
      </c>
      <c r="AT27" s="704" t="n">
        <v>0</v>
      </c>
      <c r="AU27" s="704" t="n">
        <v>0</v>
      </c>
      <c r="AV27" s="704" t="n">
        <v>0</v>
      </c>
      <c r="AW27" s="704" t="n">
        <v>0</v>
      </c>
      <c r="AX27" s="704" t="n">
        <v>0</v>
      </c>
      <c r="AY27" s="704" t="n">
        <v>0</v>
      </c>
      <c r="AZ27" s="704" t="n">
        <v>0</v>
      </c>
      <c r="BA27" s="704" t="n">
        <v>0</v>
      </c>
      <c r="BB27" s="704" t="n">
        <v>0</v>
      </c>
      <c r="BC27" s="704" t="n">
        <v>0</v>
      </c>
      <c r="BD27" s="704" t="n">
        <v>0</v>
      </c>
      <c r="BE27" s="704" t="n">
        <v>0</v>
      </c>
      <c r="BF27" s="704" t="n">
        <v>0</v>
      </c>
      <c r="BG27" s="704" t="n">
        <v>0</v>
      </c>
      <c r="BH27" s="704" t="n">
        <v>0</v>
      </c>
      <c r="BI27" s="704" t="n">
        <v>0</v>
      </c>
      <c r="BJ27" s="704" t="n">
        <v>0</v>
      </c>
      <c r="BK27" s="704" t="n">
        <v>0</v>
      </c>
      <c r="BL27" s="704" t="n">
        <v>0</v>
      </c>
      <c r="BM27" s="704" t="n">
        <v>0</v>
      </c>
      <c r="BN27" s="704" t="n">
        <v>0</v>
      </c>
      <c r="BO27" s="704" t="n">
        <v>0</v>
      </c>
      <c r="BP27" s="704" t="n">
        <v>0</v>
      </c>
      <c r="BQ27" s="704" t="n">
        <v>0</v>
      </c>
      <c r="BR27" s="704" t="n">
        <v>0</v>
      </c>
      <c r="BS27" s="704" t="n">
        <v>0</v>
      </c>
      <c r="BT27" s="704" t="n">
        <v>0</v>
      </c>
      <c r="BU27" s="704" t="n">
        <v>0</v>
      </c>
      <c r="BV27" s="704" t="n">
        <v>0</v>
      </c>
      <c r="BW27" s="704" t="n">
        <v>0</v>
      </c>
      <c r="BX27" s="704" t="n">
        <v>0</v>
      </c>
      <c r="BY27" s="704" t="n">
        <v>0</v>
      </c>
      <c r="BZ27" s="704" t="n">
        <v>0</v>
      </c>
      <c r="CA27" s="704" t="n">
        <v>0</v>
      </c>
      <c r="CB27" s="704" t="n">
        <v>0</v>
      </c>
      <c r="CC27" s="704" t="n">
        <v>0</v>
      </c>
      <c r="CD27" s="704" t="n">
        <v>0</v>
      </c>
      <c r="CE27" s="704" t="n">
        <v>0</v>
      </c>
      <c r="CF27" s="704" t="n">
        <v>0</v>
      </c>
      <c r="CG27" s="704" t="n">
        <v>0</v>
      </c>
      <c r="CH27" s="704" t="n">
        <v>0</v>
      </c>
      <c r="CI27" s="704" t="n">
        <v>0</v>
      </c>
      <c r="CJ27" s="704" t="n">
        <v>0</v>
      </c>
      <c r="CK27" s="704" t="n">
        <v>0</v>
      </c>
      <c r="CL27" s="704" t="n">
        <v>0</v>
      </c>
      <c r="CM27" s="704" t="n">
        <v>0</v>
      </c>
      <c r="CN27" s="704" t="n">
        <v>0</v>
      </c>
      <c r="CO27" s="704" t="n">
        <v>0</v>
      </c>
      <c r="CP27" s="704" t="n">
        <v>0</v>
      </c>
      <c r="CQ27" s="704" t="n">
        <v>0</v>
      </c>
      <c r="CR27" s="704" t="n">
        <v>0</v>
      </c>
      <c r="CS27" s="704" t="n">
        <v>0</v>
      </c>
      <c r="CT27" s="704" t="n">
        <v>0</v>
      </c>
      <c r="CU27" s="704" t="n">
        <v>0</v>
      </c>
      <c r="CV27" s="704" t="n">
        <v>0</v>
      </c>
      <c r="CW27" s="704" t="n">
        <v>0</v>
      </c>
      <c r="CX27" s="704" t="n">
        <v>0</v>
      </c>
      <c r="CY27" s="704" t="n">
        <v>0</v>
      </c>
      <c r="CZ27" s="704" t="n">
        <v>0</v>
      </c>
      <c r="DA27" s="704" t="n">
        <v>0</v>
      </c>
      <c r="DB27" s="704" t="n">
        <v>0</v>
      </c>
      <c r="DC27" s="704" t="n">
        <v>0</v>
      </c>
      <c r="DD27" s="704" t="n">
        <v>0</v>
      </c>
      <c r="DE27" s="704" t="n">
        <v>0</v>
      </c>
      <c r="DF27" s="704" t="n">
        <v>0</v>
      </c>
      <c r="DG27" s="704" t="n">
        <v>0</v>
      </c>
      <c r="DH27" s="704" t="n">
        <v>0</v>
      </c>
      <c r="DI27" s="704" t="n">
        <v>0</v>
      </c>
      <c r="DJ27" s="704" t="n">
        <v>0</v>
      </c>
      <c r="DK27" s="704" t="n">
        <v>0</v>
      </c>
      <c r="DL27" s="704" t="n">
        <v>0</v>
      </c>
      <c r="DM27" s="704" t="n">
        <v>0</v>
      </c>
    </row>
    <row r="28" ht="13.5" customHeight="1" s="355">
      <c r="B28" s="703" t="inlineStr">
        <is>
          <t>Cash&amp;Bank</t>
        </is>
      </c>
      <c r="D28" s="704" t="n">
        <v>0</v>
      </c>
      <c r="E28" s="704" t="n">
        <v>0</v>
      </c>
      <c r="F28" s="704" t="n">
        <v>0</v>
      </c>
      <c r="G28" s="704" t="n">
        <v>0</v>
      </c>
      <c r="H28" s="704" t="n">
        <v>0</v>
      </c>
      <c r="I28" s="704" t="n">
        <v>0</v>
      </c>
      <c r="J28" s="704" t="n">
        <v>0</v>
      </c>
      <c r="K28" s="704" t="n">
        <v>0</v>
      </c>
      <c r="L28" s="704" t="n">
        <v>0</v>
      </c>
      <c r="M28" s="704" t="n">
        <v>0</v>
      </c>
      <c r="N28" s="704" t="n">
        <v>0</v>
      </c>
      <c r="O28" s="704" t="n">
        <v>0</v>
      </c>
      <c r="P28" s="704" t="n">
        <v>0</v>
      </c>
      <c r="Q28" s="704" t="n">
        <v>0</v>
      </c>
      <c r="R28" s="704" t="n">
        <v>0</v>
      </c>
      <c r="S28" s="704" t="n">
        <v>0</v>
      </c>
      <c r="T28" s="704" t="n">
        <v>0</v>
      </c>
      <c r="U28" s="704" t="n">
        <v>0</v>
      </c>
      <c r="V28" s="704" t="n">
        <v>0</v>
      </c>
      <c r="W28" s="704" t="n">
        <v>0</v>
      </c>
      <c r="X28" s="704" t="n">
        <v>0</v>
      </c>
      <c r="Y28" s="704" t="n">
        <v>0</v>
      </c>
      <c r="Z28" s="704" t="n">
        <v>0</v>
      </c>
      <c r="AA28" s="704" t="n">
        <v>0</v>
      </c>
      <c r="AB28" s="704" t="n">
        <v>0</v>
      </c>
      <c r="AC28" s="704" t="n">
        <v>0</v>
      </c>
      <c r="AD28" s="704" t="n">
        <v>0</v>
      </c>
      <c r="AE28" s="704" t="n">
        <v>0</v>
      </c>
      <c r="AF28" s="704" t="n">
        <v>0</v>
      </c>
      <c r="AG28" s="704" t="n">
        <v>0</v>
      </c>
      <c r="AH28" s="704" t="n">
        <v>0</v>
      </c>
      <c r="AI28" s="704" t="n">
        <v>0</v>
      </c>
      <c r="AJ28" s="704" t="n">
        <v>0</v>
      </c>
      <c r="AK28" s="704" t="n">
        <v>0</v>
      </c>
      <c r="AL28" s="704" t="n">
        <v>0</v>
      </c>
      <c r="AM28" s="704" t="n">
        <v>0</v>
      </c>
      <c r="AN28" s="704" t="n">
        <v>0</v>
      </c>
      <c r="AO28" s="704" t="n">
        <v>0</v>
      </c>
      <c r="AP28" s="704" t="n">
        <v>0</v>
      </c>
      <c r="AQ28" s="704" t="n">
        <v>0</v>
      </c>
      <c r="AR28" s="704" t="n">
        <v>0</v>
      </c>
      <c r="AS28" s="704" t="n">
        <v>0</v>
      </c>
      <c r="AT28" s="704" t="n">
        <v>0</v>
      </c>
      <c r="AU28" s="704" t="n">
        <v>0</v>
      </c>
      <c r="AV28" s="704" t="n">
        <v>0</v>
      </c>
      <c r="AW28" s="704" t="n">
        <v>0</v>
      </c>
      <c r="AX28" s="704" t="n">
        <v>0</v>
      </c>
      <c r="AY28" s="704" t="n">
        <v>0</v>
      </c>
      <c r="AZ28" s="704" t="n">
        <v>0</v>
      </c>
      <c r="BA28" s="704" t="n">
        <v>0</v>
      </c>
      <c r="BB28" s="704" t="n">
        <v>0</v>
      </c>
      <c r="BC28" s="704" t="n">
        <v>0</v>
      </c>
      <c r="BD28" s="704" t="n">
        <v>0</v>
      </c>
      <c r="BE28" s="704" t="n">
        <v>0</v>
      </c>
      <c r="BF28" s="704" t="n">
        <v>0</v>
      </c>
      <c r="BG28" s="704" t="n">
        <v>0</v>
      </c>
      <c r="BH28" s="704" t="n">
        <v>0</v>
      </c>
      <c r="BI28" s="704" t="n">
        <v>0</v>
      </c>
      <c r="BJ28" s="704" t="n">
        <v>0</v>
      </c>
      <c r="BK28" s="704" t="n">
        <v>0</v>
      </c>
      <c r="BL28" s="704" t="n">
        <v>0</v>
      </c>
      <c r="BM28" s="704" t="n">
        <v>0</v>
      </c>
      <c r="BN28" s="704" t="n">
        <v>0</v>
      </c>
      <c r="BO28" s="704" t="n">
        <v>0</v>
      </c>
      <c r="BP28" s="704" t="n">
        <v>0</v>
      </c>
      <c r="BQ28" s="704" t="n">
        <v>0</v>
      </c>
      <c r="BR28" s="704" t="n">
        <v>0</v>
      </c>
      <c r="BS28" s="704" t="n">
        <v>0</v>
      </c>
      <c r="BT28" s="704" t="n">
        <v>0</v>
      </c>
      <c r="BU28" s="704" t="n">
        <v>0</v>
      </c>
      <c r="BV28" s="704" t="n">
        <v>0</v>
      </c>
      <c r="BW28" s="704" t="n">
        <v>0</v>
      </c>
      <c r="BX28" s="704" t="n">
        <v>0</v>
      </c>
      <c r="BY28" s="704" t="n">
        <v>0</v>
      </c>
      <c r="BZ28" s="704" t="n">
        <v>0</v>
      </c>
      <c r="CA28" s="704" t="n">
        <v>0</v>
      </c>
      <c r="CB28" s="704" t="n">
        <v>0</v>
      </c>
      <c r="CC28" s="704" t="n">
        <v>0</v>
      </c>
      <c r="CD28" s="704" t="n">
        <v>0</v>
      </c>
      <c r="CE28" s="704" t="n">
        <v>0</v>
      </c>
      <c r="CF28" s="704" t="n">
        <v>0</v>
      </c>
      <c r="CG28" s="704" t="n">
        <v>0</v>
      </c>
      <c r="CH28" s="704" t="n">
        <v>0</v>
      </c>
      <c r="CI28" s="704" t="n">
        <v>0</v>
      </c>
      <c r="CJ28" s="704" t="n">
        <v>0</v>
      </c>
      <c r="CK28" s="704" t="n">
        <v>0</v>
      </c>
      <c r="CL28" s="704" t="n">
        <v>0</v>
      </c>
      <c r="CM28" s="704" t="n">
        <v>0</v>
      </c>
      <c r="CN28" s="704" t="n">
        <v>0</v>
      </c>
      <c r="CO28" s="704" t="n">
        <v>0</v>
      </c>
      <c r="CP28" s="704" t="n">
        <v>0</v>
      </c>
      <c r="CQ28" s="704" t="n">
        <v>0</v>
      </c>
      <c r="CR28" s="704" t="n">
        <v>0</v>
      </c>
      <c r="CS28" s="704" t="n">
        <v>0</v>
      </c>
      <c r="CT28" s="704" t="n">
        <v>0</v>
      </c>
      <c r="CU28" s="704" t="n">
        <v>0</v>
      </c>
      <c r="CV28" s="704" t="n">
        <v>0</v>
      </c>
      <c r="CW28" s="704" t="n">
        <v>0</v>
      </c>
      <c r="CX28" s="704" t="n">
        <v>0</v>
      </c>
      <c r="CY28" s="704" t="n">
        <v>0</v>
      </c>
      <c r="CZ28" s="704" t="n">
        <v>0</v>
      </c>
      <c r="DA28" s="704" t="n">
        <v>0</v>
      </c>
      <c r="DB28" s="704" t="n">
        <v>0</v>
      </c>
      <c r="DC28" s="704" t="n">
        <v>0</v>
      </c>
      <c r="DD28" s="704" t="n">
        <v>0</v>
      </c>
      <c r="DE28" s="704" t="n">
        <v>0</v>
      </c>
      <c r="DF28" s="704" t="n">
        <v>0</v>
      </c>
      <c r="DG28" s="704" t="n">
        <v>0</v>
      </c>
      <c r="DH28" s="704" t="n">
        <v>0</v>
      </c>
      <c r="DI28" s="704" t="n">
        <v>0</v>
      </c>
      <c r="DJ28" s="704" t="n">
        <v>0</v>
      </c>
      <c r="DK28" s="704" t="n">
        <v>0</v>
      </c>
      <c r="DL28" s="704" t="n">
        <v>0</v>
      </c>
      <c r="DM28" s="704" t="n">
        <v>0</v>
      </c>
    </row>
    <row r="29" ht="13.5" customHeight="1" s="355">
      <c r="B29" s="703" t="inlineStr">
        <is>
          <t>T&amp;E</t>
        </is>
      </c>
      <c r="D29" s="704" t="n">
        <v>0</v>
      </c>
      <c r="E29" s="704" t="n">
        <v>0</v>
      </c>
      <c r="F29" s="704" t="n">
        <v>0</v>
      </c>
      <c r="G29" s="704" t="n">
        <v>0</v>
      </c>
      <c r="H29" s="704" t="n">
        <v>0</v>
      </c>
      <c r="I29" s="704" t="n">
        <v>0</v>
      </c>
      <c r="J29" s="704" t="n">
        <v>0</v>
      </c>
      <c r="K29" s="704" t="n">
        <v>0</v>
      </c>
      <c r="L29" s="704" t="n">
        <v>0</v>
      </c>
      <c r="M29" s="704" t="n">
        <v>2.74241416843862</v>
      </c>
      <c r="N29" s="704" t="n">
        <v>2.45598424417947</v>
      </c>
      <c r="O29" s="704" t="n">
        <v>0</v>
      </c>
      <c r="P29" s="704" t="n">
        <v>0</v>
      </c>
      <c r="Q29" s="704" t="n">
        <v>0</v>
      </c>
      <c r="R29" s="704" t="n">
        <v>0</v>
      </c>
      <c r="S29" s="704" t="n">
        <v>0</v>
      </c>
      <c r="T29" s="704" t="n">
        <v>0</v>
      </c>
      <c r="U29" s="704" t="n">
        <v>0</v>
      </c>
      <c r="V29" s="704" t="n">
        <v>0</v>
      </c>
      <c r="W29" s="704" t="n">
        <v>0</v>
      </c>
      <c r="X29" s="704" t="n">
        <v>0</v>
      </c>
      <c r="Y29" s="704" t="n">
        <v>0</v>
      </c>
      <c r="Z29" s="704" t="n">
        <v>0</v>
      </c>
      <c r="AA29" s="704" t="n">
        <v>0</v>
      </c>
      <c r="AB29" s="704" t="n">
        <v>0</v>
      </c>
      <c r="AC29" s="704" t="n">
        <v>0</v>
      </c>
      <c r="AD29" s="704" t="n">
        <v>0</v>
      </c>
      <c r="AE29" s="704" t="n">
        <v>0</v>
      </c>
      <c r="AF29" s="704" t="n">
        <v>0</v>
      </c>
      <c r="AG29" s="704" t="n">
        <v>0</v>
      </c>
      <c r="AH29" s="704" t="n">
        <v>0</v>
      </c>
      <c r="AI29" s="704" t="n">
        <v>0</v>
      </c>
      <c r="AJ29" s="704" t="n">
        <v>0</v>
      </c>
      <c r="AK29" s="704" t="n">
        <v>0</v>
      </c>
      <c r="AL29" s="704" t="n">
        <v>0</v>
      </c>
      <c r="AM29" s="704" t="n">
        <v>0</v>
      </c>
      <c r="AN29" s="704" t="n">
        <v>0</v>
      </c>
      <c r="AO29" s="704" t="n">
        <v>0</v>
      </c>
      <c r="AP29" s="704" t="n">
        <v>0</v>
      </c>
      <c r="AQ29" s="704" t="n">
        <v>0</v>
      </c>
      <c r="AR29" s="704" t="n">
        <v>0</v>
      </c>
      <c r="AS29" s="704" t="n">
        <v>0</v>
      </c>
      <c r="AT29" s="704" t="n">
        <v>0</v>
      </c>
      <c r="AU29" s="704" t="n">
        <v>0</v>
      </c>
      <c r="AV29" s="704" t="n">
        <v>0</v>
      </c>
      <c r="AW29" s="704" t="n">
        <v>0</v>
      </c>
      <c r="AX29" s="704" t="n">
        <v>0</v>
      </c>
      <c r="AY29" s="704" t="n">
        <v>0</v>
      </c>
      <c r="AZ29" s="704" t="n">
        <v>0</v>
      </c>
      <c r="BA29" s="704" t="n">
        <v>0</v>
      </c>
      <c r="BB29" s="704" t="n">
        <v>0</v>
      </c>
      <c r="BC29" s="704" t="n">
        <v>0</v>
      </c>
      <c r="BD29" s="704" t="n">
        <v>0</v>
      </c>
      <c r="BE29" s="704" t="n">
        <v>0</v>
      </c>
      <c r="BF29" s="704" t="n">
        <v>0</v>
      </c>
      <c r="BG29" s="704" t="n">
        <v>0</v>
      </c>
      <c r="BH29" s="704" t="n">
        <v>0</v>
      </c>
      <c r="BI29" s="704" t="n">
        <v>0</v>
      </c>
      <c r="BJ29" s="704" t="n">
        <v>0</v>
      </c>
      <c r="BK29" s="704" t="n">
        <v>0</v>
      </c>
      <c r="BL29" s="704" t="n">
        <v>0</v>
      </c>
      <c r="BM29" s="704" t="n">
        <v>0</v>
      </c>
      <c r="BN29" s="704" t="n">
        <v>0</v>
      </c>
      <c r="BO29" s="704" t="n">
        <v>0</v>
      </c>
      <c r="BP29" s="704" t="n">
        <v>0</v>
      </c>
      <c r="BQ29" s="704" t="n">
        <v>0</v>
      </c>
      <c r="BR29" s="704" t="n">
        <v>0</v>
      </c>
      <c r="BS29" s="704" t="n">
        <v>0</v>
      </c>
      <c r="BT29" s="704" t="n">
        <v>0</v>
      </c>
      <c r="BU29" s="704" t="n">
        <v>0</v>
      </c>
      <c r="BV29" s="704" t="n">
        <v>0</v>
      </c>
      <c r="BW29" s="704" t="n">
        <v>0</v>
      </c>
      <c r="BX29" s="704" t="n">
        <v>0</v>
      </c>
      <c r="BY29" s="704" t="n">
        <v>0</v>
      </c>
      <c r="BZ29" s="704" t="n">
        <v>0</v>
      </c>
      <c r="CA29" s="704" t="n">
        <v>0</v>
      </c>
      <c r="CB29" s="704" t="n">
        <v>0</v>
      </c>
      <c r="CC29" s="704" t="n">
        <v>0</v>
      </c>
      <c r="CD29" s="704" t="n">
        <v>0</v>
      </c>
      <c r="CE29" s="704" t="n">
        <v>0</v>
      </c>
      <c r="CF29" s="704" t="n">
        <v>0</v>
      </c>
      <c r="CG29" s="704" t="n">
        <v>0</v>
      </c>
      <c r="CH29" s="704" t="n">
        <v>0</v>
      </c>
      <c r="CI29" s="704" t="n">
        <v>0</v>
      </c>
      <c r="CJ29" s="704" t="n">
        <v>0</v>
      </c>
      <c r="CK29" s="704" t="n">
        <v>0</v>
      </c>
      <c r="CL29" s="704" t="n">
        <v>0</v>
      </c>
      <c r="CM29" s="704" t="n">
        <v>0</v>
      </c>
      <c r="CN29" s="704" t="n">
        <v>0</v>
      </c>
      <c r="CO29" s="704" t="n">
        <v>0</v>
      </c>
      <c r="CP29" s="704" t="n">
        <v>0</v>
      </c>
      <c r="CQ29" s="704" t="n">
        <v>0</v>
      </c>
      <c r="CR29" s="704" t="n">
        <v>0</v>
      </c>
      <c r="CS29" s="704" t="n">
        <v>0</v>
      </c>
      <c r="CT29" s="704" t="n">
        <v>0</v>
      </c>
      <c r="CU29" s="704" t="n">
        <v>0</v>
      </c>
      <c r="CV29" s="704" t="n">
        <v>0</v>
      </c>
      <c r="CW29" s="704" t="n">
        <v>0</v>
      </c>
      <c r="CX29" s="704" t="n">
        <v>0</v>
      </c>
      <c r="CY29" s="704" t="n">
        <v>0</v>
      </c>
      <c r="CZ29" s="704" t="n">
        <v>0</v>
      </c>
      <c r="DA29" s="704" t="n">
        <v>0</v>
      </c>
      <c r="DB29" s="704" t="n">
        <v>0</v>
      </c>
      <c r="DC29" s="704" t="n">
        <v>0</v>
      </c>
      <c r="DD29" s="704" t="n">
        <v>0</v>
      </c>
      <c r="DE29" s="704" t="n">
        <v>0</v>
      </c>
      <c r="DF29" s="704" t="n">
        <v>0</v>
      </c>
      <c r="DG29" s="704" t="n">
        <v>0</v>
      </c>
      <c r="DH29" s="704" t="n">
        <v>0</v>
      </c>
      <c r="DI29" s="704" t="n">
        <v>0</v>
      </c>
      <c r="DJ29" s="704" t="n">
        <v>0</v>
      </c>
      <c r="DK29" s="704" t="n">
        <v>0</v>
      </c>
      <c r="DL29" s="704" t="n">
        <v>0</v>
      </c>
      <c r="DM29" s="704" t="n">
        <v>0</v>
      </c>
    </row>
    <row r="30" ht="13.5" customHeight="1" s="355">
      <c r="B30" s="703" t="inlineStr">
        <is>
          <t>Order to Cash</t>
        </is>
      </c>
      <c r="D30" s="704" t="n">
        <v>0</v>
      </c>
      <c r="E30" s="704" t="n">
        <v>0</v>
      </c>
      <c r="F30" s="704" t="n">
        <v>0</v>
      </c>
      <c r="G30" s="704" t="n">
        <v>0</v>
      </c>
      <c r="H30" s="704" t="n">
        <v>0</v>
      </c>
      <c r="I30" s="704" t="n">
        <v>0</v>
      </c>
      <c r="J30" s="704" t="n">
        <v>0</v>
      </c>
      <c r="K30" s="704" t="n">
        <v>0</v>
      </c>
      <c r="L30" s="704" t="n">
        <v>0</v>
      </c>
      <c r="M30" s="704" t="n">
        <v>13.8989812843646</v>
      </c>
      <c r="N30" s="704" t="n">
        <v>12.4473099057754</v>
      </c>
      <c r="O30" s="704" t="n">
        <v>0</v>
      </c>
      <c r="P30" s="704" t="n">
        <v>0</v>
      </c>
      <c r="Q30" s="704" t="n">
        <v>0</v>
      </c>
      <c r="R30" s="704" t="n">
        <v>0</v>
      </c>
      <c r="S30" s="704" t="n">
        <v>0</v>
      </c>
      <c r="T30" s="704" t="n">
        <v>0</v>
      </c>
      <c r="U30" s="704" t="n">
        <v>0</v>
      </c>
      <c r="V30" s="704" t="n">
        <v>0</v>
      </c>
      <c r="W30" s="704" t="n">
        <v>0</v>
      </c>
      <c r="X30" s="704" t="n">
        <v>0</v>
      </c>
      <c r="Y30" s="704" t="n">
        <v>0</v>
      </c>
      <c r="Z30" s="704" t="n">
        <v>0</v>
      </c>
      <c r="AA30" s="704" t="n">
        <v>0</v>
      </c>
      <c r="AB30" s="704" t="n">
        <v>0</v>
      </c>
      <c r="AC30" s="704" t="n">
        <v>0</v>
      </c>
      <c r="AD30" s="704" t="n">
        <v>0</v>
      </c>
      <c r="AE30" s="704" t="n">
        <v>0</v>
      </c>
      <c r="AF30" s="704" t="n">
        <v>0</v>
      </c>
      <c r="AG30" s="704" t="n">
        <v>0</v>
      </c>
      <c r="AH30" s="704" t="n">
        <v>0</v>
      </c>
      <c r="AI30" s="704" t="n">
        <v>0</v>
      </c>
      <c r="AJ30" s="704" t="n">
        <v>0</v>
      </c>
      <c r="AK30" s="704" t="n">
        <v>0</v>
      </c>
      <c r="AL30" s="704" t="n">
        <v>0</v>
      </c>
      <c r="AM30" s="704" t="n">
        <v>0</v>
      </c>
      <c r="AN30" s="704" t="n">
        <v>0</v>
      </c>
      <c r="AO30" s="704" t="n">
        <v>0</v>
      </c>
      <c r="AP30" s="704" t="n">
        <v>0</v>
      </c>
      <c r="AQ30" s="704" t="n">
        <v>0</v>
      </c>
      <c r="AR30" s="704" t="n">
        <v>0</v>
      </c>
      <c r="AS30" s="704" t="n">
        <v>0</v>
      </c>
      <c r="AT30" s="704" t="n">
        <v>0</v>
      </c>
      <c r="AU30" s="704" t="n">
        <v>0</v>
      </c>
      <c r="AV30" s="704" t="n">
        <v>0</v>
      </c>
      <c r="AW30" s="704" t="n">
        <v>0</v>
      </c>
      <c r="AX30" s="704" t="n">
        <v>0</v>
      </c>
      <c r="AY30" s="704" t="n">
        <v>0</v>
      </c>
      <c r="AZ30" s="704" t="n">
        <v>0</v>
      </c>
      <c r="BA30" s="704" t="n">
        <v>0</v>
      </c>
      <c r="BB30" s="704" t="n">
        <v>0</v>
      </c>
      <c r="BC30" s="704" t="n">
        <v>0</v>
      </c>
      <c r="BD30" s="704" t="n">
        <v>0</v>
      </c>
      <c r="BE30" s="704" t="n">
        <v>0</v>
      </c>
      <c r="BF30" s="704" t="n">
        <v>0</v>
      </c>
      <c r="BG30" s="704" t="n">
        <v>0</v>
      </c>
      <c r="BH30" s="704" t="n">
        <v>0</v>
      </c>
      <c r="BI30" s="704" t="n">
        <v>0</v>
      </c>
      <c r="BJ30" s="704" t="n">
        <v>0</v>
      </c>
      <c r="BK30" s="704" t="n">
        <v>0</v>
      </c>
      <c r="BL30" s="704" t="n">
        <v>0</v>
      </c>
      <c r="BM30" s="704" t="n">
        <v>0</v>
      </c>
      <c r="BN30" s="704" t="n">
        <v>0</v>
      </c>
      <c r="BO30" s="704" t="n">
        <v>0</v>
      </c>
      <c r="BP30" s="704" t="n">
        <v>0</v>
      </c>
      <c r="BQ30" s="704" t="n">
        <v>0</v>
      </c>
      <c r="BR30" s="704" t="n">
        <v>0</v>
      </c>
      <c r="BS30" s="704" t="n">
        <v>0</v>
      </c>
      <c r="BT30" s="704" t="n">
        <v>0</v>
      </c>
      <c r="BU30" s="704" t="n">
        <v>0</v>
      </c>
      <c r="BV30" s="704" t="n">
        <v>0</v>
      </c>
      <c r="BW30" s="704" t="n">
        <v>0</v>
      </c>
      <c r="BX30" s="704" t="n">
        <v>0</v>
      </c>
      <c r="BY30" s="704" t="n">
        <v>0</v>
      </c>
      <c r="BZ30" s="704" t="n">
        <v>0</v>
      </c>
      <c r="CA30" s="704" t="n">
        <v>0</v>
      </c>
      <c r="CB30" s="704" t="n">
        <v>0</v>
      </c>
      <c r="CC30" s="704" t="n">
        <v>0</v>
      </c>
      <c r="CD30" s="704" t="n">
        <v>0</v>
      </c>
      <c r="CE30" s="704" t="n">
        <v>0</v>
      </c>
      <c r="CF30" s="704" t="n">
        <v>0</v>
      </c>
      <c r="CG30" s="704" t="n">
        <v>0</v>
      </c>
      <c r="CH30" s="704" t="n">
        <v>0</v>
      </c>
      <c r="CI30" s="704" t="n">
        <v>0</v>
      </c>
      <c r="CJ30" s="704" t="n">
        <v>0</v>
      </c>
      <c r="CK30" s="704" t="n">
        <v>0</v>
      </c>
      <c r="CL30" s="704" t="n">
        <v>0</v>
      </c>
      <c r="CM30" s="704" t="n">
        <v>0</v>
      </c>
      <c r="CN30" s="704" t="n">
        <v>0</v>
      </c>
      <c r="CO30" s="704" t="n">
        <v>0</v>
      </c>
      <c r="CP30" s="704" t="n">
        <v>0</v>
      </c>
      <c r="CQ30" s="704" t="n">
        <v>0</v>
      </c>
      <c r="CR30" s="704" t="n">
        <v>0</v>
      </c>
      <c r="CS30" s="704" t="n">
        <v>0</v>
      </c>
      <c r="CT30" s="704" t="n">
        <v>0</v>
      </c>
      <c r="CU30" s="704" t="n">
        <v>0</v>
      </c>
      <c r="CV30" s="704" t="n">
        <v>0</v>
      </c>
      <c r="CW30" s="704" t="n">
        <v>0</v>
      </c>
      <c r="CX30" s="704" t="n">
        <v>0</v>
      </c>
      <c r="CY30" s="704" t="n">
        <v>0</v>
      </c>
      <c r="CZ30" s="704" t="n">
        <v>0</v>
      </c>
      <c r="DA30" s="704" t="n">
        <v>0</v>
      </c>
      <c r="DB30" s="704" t="n">
        <v>0</v>
      </c>
      <c r="DC30" s="704" t="n">
        <v>0</v>
      </c>
      <c r="DD30" s="704" t="n">
        <v>0</v>
      </c>
      <c r="DE30" s="704" t="n">
        <v>0</v>
      </c>
      <c r="DF30" s="704" t="n">
        <v>0</v>
      </c>
      <c r="DG30" s="704" t="n">
        <v>0</v>
      </c>
      <c r="DH30" s="704" t="n">
        <v>0</v>
      </c>
      <c r="DI30" s="704" t="n">
        <v>0</v>
      </c>
      <c r="DJ30" s="704" t="n">
        <v>0</v>
      </c>
      <c r="DK30" s="704" t="n">
        <v>0</v>
      </c>
      <c r="DL30" s="704" t="n">
        <v>0</v>
      </c>
      <c r="DM30" s="704" t="n">
        <v>0</v>
      </c>
    </row>
    <row r="31" ht="13.5" customHeight="1" s="355">
      <c r="B31" s="703" t="inlineStr">
        <is>
          <t>Req to Pay</t>
        </is>
      </c>
      <c r="D31" s="704" t="n">
        <v>0</v>
      </c>
      <c r="E31" s="704" t="n">
        <v>0</v>
      </c>
      <c r="F31" s="704" t="n">
        <v>0</v>
      </c>
      <c r="G31" s="704" t="n">
        <v>0</v>
      </c>
      <c r="H31" s="704" t="n">
        <v>0</v>
      </c>
      <c r="I31" s="704" t="n">
        <v>0</v>
      </c>
      <c r="J31" s="704" t="n">
        <v>0</v>
      </c>
      <c r="K31" s="704" t="n">
        <v>0</v>
      </c>
      <c r="L31" s="704" t="n">
        <v>8.1892572712272</v>
      </c>
      <c r="M31" s="704" t="n">
        <v>18.8982860105243</v>
      </c>
      <c r="N31" s="704" t="n">
        <v>7.55931440420972</v>
      </c>
      <c r="O31" s="704" t="n">
        <v>0</v>
      </c>
      <c r="P31" s="704" t="n">
        <v>0</v>
      </c>
      <c r="Q31" s="704" t="n">
        <v>0</v>
      </c>
      <c r="R31" s="704" t="n">
        <v>0</v>
      </c>
      <c r="S31" s="704" t="n">
        <v>0</v>
      </c>
      <c r="T31" s="704" t="n">
        <v>0</v>
      </c>
      <c r="U31" s="704" t="n">
        <v>0</v>
      </c>
      <c r="V31" s="704" t="n">
        <v>0</v>
      </c>
      <c r="W31" s="704" t="n">
        <v>0</v>
      </c>
      <c r="X31" s="704" t="n">
        <v>0</v>
      </c>
      <c r="Y31" s="704" t="n">
        <v>0</v>
      </c>
      <c r="Z31" s="704" t="n">
        <v>0</v>
      </c>
      <c r="AA31" s="704" t="n">
        <v>0</v>
      </c>
      <c r="AB31" s="704" t="n">
        <v>0</v>
      </c>
      <c r="AC31" s="704" t="n">
        <v>0</v>
      </c>
      <c r="AD31" s="704" t="n">
        <v>0</v>
      </c>
      <c r="AE31" s="704" t="n">
        <v>0</v>
      </c>
      <c r="AF31" s="704" t="n">
        <v>0</v>
      </c>
      <c r="AG31" s="704" t="n">
        <v>0</v>
      </c>
      <c r="AH31" s="704" t="n">
        <v>0</v>
      </c>
      <c r="AI31" s="704" t="n">
        <v>0</v>
      </c>
      <c r="AJ31" s="704" t="n">
        <v>0</v>
      </c>
      <c r="AK31" s="704" t="n">
        <v>0</v>
      </c>
      <c r="AL31" s="704" t="n">
        <v>0</v>
      </c>
      <c r="AM31" s="704" t="n">
        <v>0</v>
      </c>
      <c r="AN31" s="704" t="n">
        <v>0</v>
      </c>
      <c r="AO31" s="704" t="n">
        <v>0</v>
      </c>
      <c r="AP31" s="704" t="n">
        <v>0</v>
      </c>
      <c r="AQ31" s="704" t="n">
        <v>0</v>
      </c>
      <c r="AR31" s="704" t="n">
        <v>0</v>
      </c>
      <c r="AS31" s="704" t="n">
        <v>0</v>
      </c>
      <c r="AT31" s="704" t="n">
        <v>0</v>
      </c>
      <c r="AU31" s="704" t="n">
        <v>0</v>
      </c>
      <c r="AV31" s="704" t="n">
        <v>0</v>
      </c>
      <c r="AW31" s="704" t="n">
        <v>0</v>
      </c>
      <c r="AX31" s="704" t="n">
        <v>0</v>
      </c>
      <c r="AY31" s="704" t="n">
        <v>0</v>
      </c>
      <c r="AZ31" s="704" t="n">
        <v>0</v>
      </c>
      <c r="BA31" s="704" t="n">
        <v>0</v>
      </c>
      <c r="BB31" s="704" t="n">
        <v>0</v>
      </c>
      <c r="BC31" s="704" t="n">
        <v>0</v>
      </c>
      <c r="BD31" s="704" t="n">
        <v>0</v>
      </c>
      <c r="BE31" s="704" t="n">
        <v>0</v>
      </c>
      <c r="BF31" s="704" t="n">
        <v>0</v>
      </c>
      <c r="BG31" s="704" t="n">
        <v>0</v>
      </c>
      <c r="BH31" s="704" t="n">
        <v>0</v>
      </c>
      <c r="BI31" s="704" t="n">
        <v>0</v>
      </c>
      <c r="BJ31" s="704" t="n">
        <v>0</v>
      </c>
      <c r="BK31" s="704" t="n">
        <v>0</v>
      </c>
      <c r="BL31" s="704" t="n">
        <v>0</v>
      </c>
      <c r="BM31" s="704" t="n">
        <v>0</v>
      </c>
      <c r="BN31" s="704" t="n">
        <v>0</v>
      </c>
      <c r="BO31" s="704" t="n">
        <v>0</v>
      </c>
      <c r="BP31" s="704" t="n">
        <v>0</v>
      </c>
      <c r="BQ31" s="704" t="n">
        <v>0</v>
      </c>
      <c r="BR31" s="704" t="n">
        <v>0</v>
      </c>
      <c r="BS31" s="704" t="n">
        <v>0</v>
      </c>
      <c r="BT31" s="704" t="n">
        <v>0</v>
      </c>
      <c r="BU31" s="704" t="n">
        <v>0</v>
      </c>
      <c r="BV31" s="704" t="n">
        <v>0</v>
      </c>
      <c r="BW31" s="704" t="n">
        <v>0</v>
      </c>
      <c r="BX31" s="704" t="n">
        <v>0</v>
      </c>
      <c r="BY31" s="704" t="n">
        <v>0</v>
      </c>
      <c r="BZ31" s="704" t="n">
        <v>0</v>
      </c>
      <c r="CA31" s="704" t="n">
        <v>0</v>
      </c>
      <c r="CB31" s="704" t="n">
        <v>0</v>
      </c>
      <c r="CC31" s="704" t="n">
        <v>0</v>
      </c>
      <c r="CD31" s="704" t="n">
        <v>0</v>
      </c>
      <c r="CE31" s="704" t="n">
        <v>0</v>
      </c>
      <c r="CF31" s="704" t="n">
        <v>0</v>
      </c>
      <c r="CG31" s="704" t="n">
        <v>0</v>
      </c>
      <c r="CH31" s="704" t="n">
        <v>0</v>
      </c>
      <c r="CI31" s="704" t="n">
        <v>0</v>
      </c>
      <c r="CJ31" s="704" t="n">
        <v>0</v>
      </c>
      <c r="CK31" s="704" t="n">
        <v>0</v>
      </c>
      <c r="CL31" s="704" t="n">
        <v>0</v>
      </c>
      <c r="CM31" s="704" t="n">
        <v>0</v>
      </c>
      <c r="CN31" s="704" t="n">
        <v>0</v>
      </c>
      <c r="CO31" s="704" t="n">
        <v>0</v>
      </c>
      <c r="CP31" s="704" t="n">
        <v>0</v>
      </c>
      <c r="CQ31" s="704" t="n">
        <v>0</v>
      </c>
      <c r="CR31" s="704" t="n">
        <v>0</v>
      </c>
      <c r="CS31" s="704" t="n">
        <v>0</v>
      </c>
      <c r="CT31" s="704" t="n">
        <v>0</v>
      </c>
      <c r="CU31" s="704" t="n">
        <v>0</v>
      </c>
      <c r="CV31" s="704" t="n">
        <v>0</v>
      </c>
      <c r="CW31" s="704" t="n">
        <v>0</v>
      </c>
      <c r="CX31" s="704" t="n">
        <v>0</v>
      </c>
      <c r="CY31" s="704" t="n">
        <v>0</v>
      </c>
      <c r="CZ31" s="704" t="n">
        <v>0</v>
      </c>
      <c r="DA31" s="704" t="n">
        <v>0</v>
      </c>
      <c r="DB31" s="704" t="n">
        <v>0</v>
      </c>
      <c r="DC31" s="704" t="n">
        <v>0</v>
      </c>
      <c r="DD31" s="704" t="n">
        <v>0</v>
      </c>
      <c r="DE31" s="704" t="n">
        <v>0</v>
      </c>
      <c r="DF31" s="704" t="n">
        <v>0</v>
      </c>
      <c r="DG31" s="704" t="n">
        <v>0</v>
      </c>
      <c r="DH31" s="704" t="n">
        <v>0</v>
      </c>
      <c r="DI31" s="704" t="n">
        <v>0</v>
      </c>
      <c r="DJ31" s="704" t="n">
        <v>0</v>
      </c>
      <c r="DK31" s="704" t="n">
        <v>0</v>
      </c>
      <c r="DL31" s="704" t="n">
        <v>0</v>
      </c>
      <c r="DM31" s="704" t="n">
        <v>0</v>
      </c>
    </row>
    <row r="32" ht="13.5" customHeight="1" s="355">
      <c r="B32" s="703" t="inlineStr">
        <is>
          <t>Team Leader</t>
        </is>
      </c>
      <c r="D32" s="704" t="n">
        <v>0</v>
      </c>
      <c r="E32" s="704" t="n">
        <v>0</v>
      </c>
      <c r="F32" s="704" t="n">
        <v>0</v>
      </c>
      <c r="G32" s="704" t="n">
        <v>0</v>
      </c>
      <c r="H32" s="704" t="n">
        <v>0</v>
      </c>
      <c r="I32" s="704" t="n">
        <v>0</v>
      </c>
      <c r="J32" s="704" t="n">
        <v>0</v>
      </c>
      <c r="K32" s="704" t="n">
        <v>0</v>
      </c>
      <c r="L32" s="704" t="n">
        <v>0</v>
      </c>
      <c r="M32" s="704" t="n">
        <v>0</v>
      </c>
      <c r="N32" s="704" t="n">
        <v>0</v>
      </c>
      <c r="O32" s="704" t="n">
        <v>0</v>
      </c>
      <c r="P32" s="704" t="n">
        <v>0</v>
      </c>
      <c r="Q32" s="704" t="n">
        <v>0</v>
      </c>
      <c r="R32" s="704" t="n">
        <v>0</v>
      </c>
      <c r="S32" s="704" t="n">
        <v>0</v>
      </c>
      <c r="T32" s="704" t="n">
        <v>0</v>
      </c>
      <c r="U32" s="704" t="n">
        <v>0</v>
      </c>
      <c r="V32" s="704" t="n">
        <v>0</v>
      </c>
      <c r="W32" s="704" t="n">
        <v>0</v>
      </c>
      <c r="X32" s="704" t="n">
        <v>0</v>
      </c>
      <c r="Y32" s="704" t="n">
        <v>0</v>
      </c>
      <c r="Z32" s="704" t="n">
        <v>0</v>
      </c>
      <c r="AA32" s="704" t="n">
        <v>0</v>
      </c>
      <c r="AB32" s="704" t="n">
        <v>0</v>
      </c>
      <c r="AC32" s="704" t="n">
        <v>0</v>
      </c>
      <c r="AD32" s="704" t="n">
        <v>0</v>
      </c>
      <c r="AE32" s="704" t="n">
        <v>0</v>
      </c>
      <c r="AF32" s="704" t="n">
        <v>0</v>
      </c>
      <c r="AG32" s="704" t="n">
        <v>0</v>
      </c>
      <c r="AH32" s="704" t="n">
        <v>0</v>
      </c>
      <c r="AI32" s="704" t="n">
        <v>0</v>
      </c>
      <c r="AJ32" s="704" t="n">
        <v>0</v>
      </c>
      <c r="AK32" s="704" t="n">
        <v>0</v>
      </c>
      <c r="AL32" s="704" t="n">
        <v>0</v>
      </c>
      <c r="AM32" s="704" t="n">
        <v>0</v>
      </c>
      <c r="AN32" s="704" t="n">
        <v>0</v>
      </c>
      <c r="AO32" s="704" t="n">
        <v>0</v>
      </c>
      <c r="AP32" s="704" t="n">
        <v>0</v>
      </c>
      <c r="AQ32" s="704" t="n">
        <v>0</v>
      </c>
      <c r="AR32" s="704" t="n">
        <v>0</v>
      </c>
      <c r="AS32" s="704" t="n">
        <v>0</v>
      </c>
      <c r="AT32" s="704" t="n">
        <v>0</v>
      </c>
      <c r="AU32" s="704" t="n">
        <v>0</v>
      </c>
      <c r="AV32" s="704" t="n">
        <v>0</v>
      </c>
      <c r="AW32" s="704" t="n">
        <v>0</v>
      </c>
      <c r="AX32" s="704" t="n">
        <v>0</v>
      </c>
      <c r="AY32" s="704" t="n">
        <v>0</v>
      </c>
      <c r="AZ32" s="704" t="n">
        <v>0</v>
      </c>
      <c r="BA32" s="704" t="n">
        <v>0</v>
      </c>
      <c r="BB32" s="704" t="n">
        <v>0</v>
      </c>
      <c r="BC32" s="704" t="n">
        <v>0</v>
      </c>
      <c r="BD32" s="704" t="n">
        <v>0</v>
      </c>
      <c r="BE32" s="704" t="n">
        <v>0</v>
      </c>
      <c r="BF32" s="704" t="n">
        <v>0</v>
      </c>
      <c r="BG32" s="704" t="n">
        <v>0</v>
      </c>
      <c r="BH32" s="704" t="n">
        <v>0</v>
      </c>
      <c r="BI32" s="704" t="n">
        <v>0</v>
      </c>
      <c r="BJ32" s="704" t="n">
        <v>0</v>
      </c>
      <c r="BK32" s="704" t="n">
        <v>0</v>
      </c>
      <c r="BL32" s="704" t="n">
        <v>0</v>
      </c>
      <c r="BM32" s="704" t="n">
        <v>0</v>
      </c>
      <c r="BN32" s="704" t="n">
        <v>0</v>
      </c>
      <c r="BO32" s="704" t="n">
        <v>0</v>
      </c>
      <c r="BP32" s="704" t="n">
        <v>0</v>
      </c>
      <c r="BQ32" s="704" t="n">
        <v>0</v>
      </c>
      <c r="BR32" s="704" t="n">
        <v>0</v>
      </c>
      <c r="BS32" s="704" t="n">
        <v>0</v>
      </c>
      <c r="BT32" s="704" t="n">
        <v>0</v>
      </c>
      <c r="BU32" s="704" t="n">
        <v>0</v>
      </c>
      <c r="BV32" s="704" t="n">
        <v>0</v>
      </c>
      <c r="BW32" s="704" t="n">
        <v>0</v>
      </c>
      <c r="BX32" s="704" t="n">
        <v>0</v>
      </c>
      <c r="BY32" s="704" t="n">
        <v>0</v>
      </c>
      <c r="BZ32" s="704" t="n">
        <v>0</v>
      </c>
      <c r="CA32" s="704" t="n">
        <v>0</v>
      </c>
      <c r="CB32" s="704" t="n">
        <v>0</v>
      </c>
      <c r="CC32" s="704" t="n">
        <v>0</v>
      </c>
      <c r="CD32" s="704" t="n">
        <v>0</v>
      </c>
      <c r="CE32" s="704" t="n">
        <v>0</v>
      </c>
      <c r="CF32" s="704" t="n">
        <v>0</v>
      </c>
      <c r="CG32" s="704" t="n">
        <v>0</v>
      </c>
      <c r="CH32" s="704" t="n">
        <v>0</v>
      </c>
      <c r="CI32" s="704" t="n">
        <v>0</v>
      </c>
      <c r="CJ32" s="704" t="n">
        <v>0</v>
      </c>
      <c r="CK32" s="704" t="n">
        <v>0</v>
      </c>
      <c r="CL32" s="704" t="n">
        <v>0</v>
      </c>
      <c r="CM32" s="704" t="n">
        <v>0</v>
      </c>
      <c r="CN32" s="704" t="n">
        <v>0</v>
      </c>
      <c r="CO32" s="704" t="n">
        <v>0</v>
      </c>
      <c r="CP32" s="704" t="n">
        <v>0</v>
      </c>
      <c r="CQ32" s="704" t="n">
        <v>0</v>
      </c>
      <c r="CR32" s="704" t="n">
        <v>0</v>
      </c>
      <c r="CS32" s="704" t="n">
        <v>0</v>
      </c>
      <c r="CT32" s="704" t="n">
        <v>0</v>
      </c>
      <c r="CU32" s="704" t="n">
        <v>0</v>
      </c>
      <c r="CV32" s="704" t="n">
        <v>0</v>
      </c>
      <c r="CW32" s="704" t="n">
        <v>0</v>
      </c>
      <c r="CX32" s="704" t="n">
        <v>0</v>
      </c>
      <c r="CY32" s="704" t="n">
        <v>0</v>
      </c>
      <c r="CZ32" s="704" t="n">
        <v>0</v>
      </c>
      <c r="DA32" s="704" t="n">
        <v>0</v>
      </c>
      <c r="DB32" s="704" t="n">
        <v>0</v>
      </c>
      <c r="DC32" s="704" t="n">
        <v>0</v>
      </c>
      <c r="DD32" s="704" t="n">
        <v>0</v>
      </c>
      <c r="DE32" s="704" t="n">
        <v>0</v>
      </c>
      <c r="DF32" s="704" t="n">
        <v>0</v>
      </c>
      <c r="DG32" s="704" t="n">
        <v>0</v>
      </c>
      <c r="DH32" s="704" t="n">
        <v>0</v>
      </c>
      <c r="DI32" s="704" t="n">
        <v>0</v>
      </c>
      <c r="DJ32" s="704" t="n">
        <v>0</v>
      </c>
      <c r="DK32" s="704" t="n">
        <v>0</v>
      </c>
      <c r="DL32" s="704" t="n">
        <v>0</v>
      </c>
      <c r="DM32" s="704" t="n">
        <v>0</v>
      </c>
    </row>
    <row r="33" ht="13.5" customHeight="1" s="355">
      <c r="B33" s="703" t="inlineStr">
        <is>
          <t>SLA Metric Reporting</t>
        </is>
      </c>
      <c r="D33" s="704" t="n">
        <v>0</v>
      </c>
      <c r="E33" s="704" t="n">
        <v>0</v>
      </c>
      <c r="F33" s="704" t="n">
        <v>0</v>
      </c>
      <c r="G33" s="704" t="n">
        <v>0</v>
      </c>
      <c r="H33" s="704" t="n">
        <v>0</v>
      </c>
      <c r="I33" s="704" t="n">
        <v>0</v>
      </c>
      <c r="J33" s="704" t="n">
        <v>0</v>
      </c>
      <c r="K33" s="704" t="n">
        <v>0</v>
      </c>
      <c r="L33" s="704" t="n">
        <v>0</v>
      </c>
      <c r="M33" s="704" t="n">
        <v>0</v>
      </c>
      <c r="N33" s="704" t="n">
        <v>0</v>
      </c>
      <c r="O33" s="704" t="n">
        <v>0</v>
      </c>
      <c r="P33" s="704" t="n">
        <v>0</v>
      </c>
      <c r="Q33" s="704" t="n">
        <v>0</v>
      </c>
      <c r="R33" s="704" t="n">
        <v>0</v>
      </c>
      <c r="S33" s="704" t="n">
        <v>0</v>
      </c>
      <c r="T33" s="704" t="n">
        <v>0</v>
      </c>
      <c r="U33" s="704" t="n">
        <v>0</v>
      </c>
      <c r="V33" s="704" t="n">
        <v>0</v>
      </c>
      <c r="W33" s="704" t="n">
        <v>0</v>
      </c>
      <c r="X33" s="704" t="n">
        <v>0</v>
      </c>
      <c r="Y33" s="704" t="n">
        <v>0</v>
      </c>
      <c r="Z33" s="704" t="n">
        <v>0</v>
      </c>
      <c r="AA33" s="704" t="n">
        <v>0</v>
      </c>
      <c r="AB33" s="704" t="n">
        <v>0</v>
      </c>
      <c r="AC33" s="704" t="n">
        <v>0</v>
      </c>
      <c r="AD33" s="704" t="n">
        <v>0</v>
      </c>
      <c r="AE33" s="704" t="n">
        <v>0</v>
      </c>
      <c r="AF33" s="704" t="n">
        <v>0</v>
      </c>
      <c r="AG33" s="704" t="n">
        <v>0</v>
      </c>
      <c r="AH33" s="704" t="n">
        <v>0</v>
      </c>
      <c r="AI33" s="704" t="n">
        <v>0</v>
      </c>
      <c r="AJ33" s="704" t="n">
        <v>0</v>
      </c>
      <c r="AK33" s="704" t="n">
        <v>0</v>
      </c>
      <c r="AL33" s="704" t="n">
        <v>0</v>
      </c>
      <c r="AM33" s="704" t="n">
        <v>0</v>
      </c>
      <c r="AN33" s="704" t="n">
        <v>0</v>
      </c>
      <c r="AO33" s="704" t="n">
        <v>0</v>
      </c>
      <c r="AP33" s="704" t="n">
        <v>0</v>
      </c>
      <c r="AQ33" s="704" t="n">
        <v>0</v>
      </c>
      <c r="AR33" s="704" t="n">
        <v>0</v>
      </c>
      <c r="AS33" s="704" t="n">
        <v>0</v>
      </c>
      <c r="AT33" s="704" t="n">
        <v>0</v>
      </c>
      <c r="AU33" s="704" t="n">
        <v>0</v>
      </c>
      <c r="AV33" s="704" t="n">
        <v>0</v>
      </c>
      <c r="AW33" s="704" t="n">
        <v>0</v>
      </c>
      <c r="AX33" s="704" t="n">
        <v>0</v>
      </c>
      <c r="AY33" s="704" t="n">
        <v>0</v>
      </c>
      <c r="AZ33" s="704" t="n">
        <v>0</v>
      </c>
      <c r="BA33" s="704" t="n">
        <v>0</v>
      </c>
      <c r="BB33" s="704" t="n">
        <v>0</v>
      </c>
      <c r="BC33" s="704" t="n">
        <v>0</v>
      </c>
      <c r="BD33" s="704" t="n">
        <v>0</v>
      </c>
      <c r="BE33" s="704" t="n">
        <v>0</v>
      </c>
      <c r="BF33" s="704" t="n">
        <v>0</v>
      </c>
      <c r="BG33" s="704" t="n">
        <v>0</v>
      </c>
      <c r="BH33" s="704" t="n">
        <v>0</v>
      </c>
      <c r="BI33" s="704" t="n">
        <v>0</v>
      </c>
      <c r="BJ33" s="704" t="n">
        <v>0</v>
      </c>
      <c r="BK33" s="704" t="n">
        <v>0</v>
      </c>
      <c r="BL33" s="704" t="n">
        <v>0</v>
      </c>
      <c r="BM33" s="704" t="n">
        <v>0</v>
      </c>
      <c r="BN33" s="704" t="n">
        <v>0</v>
      </c>
      <c r="BO33" s="704" t="n">
        <v>0</v>
      </c>
      <c r="BP33" s="704" t="n">
        <v>0</v>
      </c>
      <c r="BQ33" s="704" t="n">
        <v>0</v>
      </c>
      <c r="BR33" s="704" t="n">
        <v>0</v>
      </c>
      <c r="BS33" s="704" t="n">
        <v>0</v>
      </c>
      <c r="BT33" s="704" t="n">
        <v>0</v>
      </c>
      <c r="BU33" s="704" t="n">
        <v>0</v>
      </c>
      <c r="BV33" s="704" t="n">
        <v>0</v>
      </c>
      <c r="BW33" s="704" t="n">
        <v>0</v>
      </c>
      <c r="BX33" s="704" t="n">
        <v>0</v>
      </c>
      <c r="BY33" s="704" t="n">
        <v>0</v>
      </c>
      <c r="BZ33" s="704" t="n">
        <v>0</v>
      </c>
      <c r="CA33" s="704" t="n">
        <v>0</v>
      </c>
      <c r="CB33" s="704" t="n">
        <v>0</v>
      </c>
      <c r="CC33" s="704" t="n">
        <v>0</v>
      </c>
      <c r="CD33" s="704" t="n">
        <v>0</v>
      </c>
      <c r="CE33" s="704" t="n">
        <v>0</v>
      </c>
      <c r="CF33" s="704" t="n">
        <v>0</v>
      </c>
      <c r="CG33" s="704" t="n">
        <v>0</v>
      </c>
      <c r="CH33" s="704" t="n">
        <v>0</v>
      </c>
      <c r="CI33" s="704" t="n">
        <v>0</v>
      </c>
      <c r="CJ33" s="704" t="n">
        <v>0</v>
      </c>
      <c r="CK33" s="704" t="n">
        <v>0</v>
      </c>
      <c r="CL33" s="704" t="n">
        <v>0</v>
      </c>
      <c r="CM33" s="704" t="n">
        <v>0</v>
      </c>
      <c r="CN33" s="704" t="n">
        <v>0</v>
      </c>
      <c r="CO33" s="704" t="n">
        <v>0</v>
      </c>
      <c r="CP33" s="704" t="n">
        <v>0</v>
      </c>
      <c r="CQ33" s="704" t="n">
        <v>0</v>
      </c>
      <c r="CR33" s="704" t="n">
        <v>0</v>
      </c>
      <c r="CS33" s="704" t="n">
        <v>0</v>
      </c>
      <c r="CT33" s="704" t="n">
        <v>0</v>
      </c>
      <c r="CU33" s="704" t="n">
        <v>0</v>
      </c>
      <c r="CV33" s="704" t="n">
        <v>0</v>
      </c>
      <c r="CW33" s="704" t="n">
        <v>0</v>
      </c>
      <c r="CX33" s="704" t="n">
        <v>0</v>
      </c>
      <c r="CY33" s="704" t="n">
        <v>0</v>
      </c>
      <c r="CZ33" s="704" t="n">
        <v>0</v>
      </c>
      <c r="DA33" s="704" t="n">
        <v>0</v>
      </c>
      <c r="DB33" s="704" t="n">
        <v>0</v>
      </c>
      <c r="DC33" s="704" t="n">
        <v>0</v>
      </c>
      <c r="DD33" s="704" t="n">
        <v>0</v>
      </c>
      <c r="DE33" s="704" t="n">
        <v>0</v>
      </c>
      <c r="DF33" s="704" t="n">
        <v>0</v>
      </c>
      <c r="DG33" s="704" t="n">
        <v>0</v>
      </c>
      <c r="DH33" s="704" t="n">
        <v>0</v>
      </c>
      <c r="DI33" s="704" t="n">
        <v>0</v>
      </c>
      <c r="DJ33" s="704" t="n">
        <v>0</v>
      </c>
      <c r="DK33" s="704" t="n">
        <v>0</v>
      </c>
      <c r="DL33" s="704" t="n">
        <v>0</v>
      </c>
      <c r="DM33" s="704" t="n">
        <v>0</v>
      </c>
    </row>
    <row r="34" ht="13.5" customHeight="1" s="355">
      <c r="B34" s="705" t="inlineStr">
        <is>
          <t>Grand Total</t>
        </is>
      </c>
      <c r="C34" s="706" t="n"/>
      <c r="D34" s="707" t="n">
        <v>0</v>
      </c>
      <c r="E34" s="707" t="n">
        <v>0</v>
      </c>
      <c r="F34" s="707" t="n">
        <v>0</v>
      </c>
      <c r="G34" s="707" t="n">
        <v>0</v>
      </c>
      <c r="H34" s="707" t="n">
        <v>0</v>
      </c>
      <c r="I34" s="707" t="n">
        <v>0</v>
      </c>
      <c r="J34" s="707" t="n">
        <v>0</v>
      </c>
      <c r="K34" s="707" t="n">
        <v>0</v>
      </c>
      <c r="L34" s="707" t="n">
        <v>8.1892572712272</v>
      </c>
      <c r="M34" s="707" t="n">
        <v>62.3442801526278</v>
      </c>
      <c r="N34" s="707" t="n">
        <v>51.5369728573211</v>
      </c>
      <c r="O34" s="707" t="n">
        <v>3.04080333861958</v>
      </c>
      <c r="P34" s="707" t="n">
        <v>0</v>
      </c>
      <c r="Q34" s="707" t="n">
        <v>0</v>
      </c>
      <c r="R34" s="707" t="n">
        <v>0</v>
      </c>
      <c r="S34" s="707" t="n">
        <v>0</v>
      </c>
      <c r="T34" s="707" t="n">
        <v>0</v>
      </c>
      <c r="U34" s="707" t="n">
        <v>0</v>
      </c>
      <c r="V34" s="707" t="n">
        <v>0</v>
      </c>
      <c r="W34" s="707" t="n">
        <v>0</v>
      </c>
      <c r="X34" s="707" t="n">
        <v>0</v>
      </c>
      <c r="Y34" s="707" t="n">
        <v>0</v>
      </c>
      <c r="Z34" s="707" t="n">
        <v>0</v>
      </c>
      <c r="AA34" s="707" t="n">
        <v>0</v>
      </c>
      <c r="AB34" s="707" t="n">
        <v>0</v>
      </c>
      <c r="AC34" s="707" t="n">
        <v>0</v>
      </c>
      <c r="AD34" s="707" t="n">
        <v>0</v>
      </c>
      <c r="AE34" s="707" t="n">
        <v>0</v>
      </c>
      <c r="AF34" s="707" t="n">
        <v>0</v>
      </c>
      <c r="AG34" s="707" t="n">
        <v>0</v>
      </c>
      <c r="AH34" s="707" t="n">
        <v>0</v>
      </c>
      <c r="AI34" s="707" t="n">
        <v>0</v>
      </c>
      <c r="AJ34" s="707" t="n">
        <v>0</v>
      </c>
      <c r="AK34" s="707" t="n">
        <v>0</v>
      </c>
      <c r="AL34" s="707" t="n">
        <v>0</v>
      </c>
      <c r="AM34" s="707" t="n">
        <v>0</v>
      </c>
      <c r="AN34" s="707" t="n">
        <v>0</v>
      </c>
      <c r="AO34" s="707" t="n">
        <v>0</v>
      </c>
      <c r="AP34" s="707" t="n">
        <v>0</v>
      </c>
      <c r="AQ34" s="707" t="n">
        <v>0</v>
      </c>
      <c r="AR34" s="707" t="n">
        <v>0</v>
      </c>
      <c r="AS34" s="707" t="n">
        <v>0</v>
      </c>
      <c r="AT34" s="707" t="n">
        <v>0</v>
      </c>
      <c r="AU34" s="707" t="n">
        <v>0</v>
      </c>
      <c r="AV34" s="707" t="n">
        <v>0</v>
      </c>
      <c r="AW34" s="707" t="n">
        <v>0</v>
      </c>
      <c r="AX34" s="707" t="n">
        <v>0</v>
      </c>
      <c r="AY34" s="707" t="n">
        <v>0</v>
      </c>
      <c r="AZ34" s="707" t="n">
        <v>0</v>
      </c>
      <c r="BA34" s="707" t="n">
        <v>0</v>
      </c>
      <c r="BB34" s="707" t="n">
        <v>0</v>
      </c>
      <c r="BC34" s="707" t="n">
        <v>0</v>
      </c>
      <c r="BD34" s="707" t="n">
        <v>0</v>
      </c>
      <c r="BE34" s="707" t="n">
        <v>0</v>
      </c>
      <c r="BF34" s="707" t="n">
        <v>0</v>
      </c>
      <c r="BG34" s="707" t="n">
        <v>0</v>
      </c>
      <c r="BH34" s="707" t="n">
        <v>0</v>
      </c>
      <c r="BI34" s="707" t="n">
        <v>0</v>
      </c>
      <c r="BJ34" s="707" t="n">
        <v>0</v>
      </c>
      <c r="BK34" s="707" t="n">
        <v>0</v>
      </c>
      <c r="BL34" s="707" t="n">
        <v>0</v>
      </c>
      <c r="BM34" s="707" t="n">
        <v>0</v>
      </c>
      <c r="BN34" s="707" t="n">
        <v>0</v>
      </c>
      <c r="BO34" s="707" t="n">
        <v>0</v>
      </c>
      <c r="BP34" s="707" t="n">
        <v>0</v>
      </c>
      <c r="BQ34" s="707" t="n">
        <v>0</v>
      </c>
      <c r="BR34" s="707" t="n">
        <v>0</v>
      </c>
      <c r="BS34" s="707" t="n">
        <v>0</v>
      </c>
      <c r="BT34" s="707" t="n">
        <v>0</v>
      </c>
      <c r="BU34" s="707" t="n">
        <v>0</v>
      </c>
      <c r="BV34" s="707" t="n">
        <v>0</v>
      </c>
      <c r="BW34" s="707" t="n">
        <v>0</v>
      </c>
      <c r="BX34" s="707" t="n">
        <v>0</v>
      </c>
      <c r="BY34" s="707" t="n">
        <v>0</v>
      </c>
      <c r="BZ34" s="707" t="n">
        <v>0</v>
      </c>
      <c r="CA34" s="707" t="n">
        <v>0</v>
      </c>
      <c r="CB34" s="707" t="n">
        <v>0</v>
      </c>
      <c r="CC34" s="707" t="n">
        <v>0</v>
      </c>
      <c r="CD34" s="707" t="n">
        <v>0</v>
      </c>
      <c r="CE34" s="707" t="n">
        <v>0</v>
      </c>
      <c r="CF34" s="707" t="n">
        <v>0</v>
      </c>
      <c r="CG34" s="707" t="n">
        <v>0</v>
      </c>
      <c r="CH34" s="707" t="n">
        <v>0</v>
      </c>
      <c r="CI34" s="707" t="n">
        <v>0</v>
      </c>
      <c r="CJ34" s="707" t="n">
        <v>0</v>
      </c>
      <c r="CK34" s="707" t="n">
        <v>0</v>
      </c>
      <c r="CL34" s="707" t="n">
        <v>0</v>
      </c>
      <c r="CM34" s="707" t="n">
        <v>0</v>
      </c>
      <c r="CN34" s="707" t="n">
        <v>0</v>
      </c>
      <c r="CO34" s="707" t="n">
        <v>0</v>
      </c>
      <c r="CP34" s="707" t="n">
        <v>0</v>
      </c>
      <c r="CQ34" s="707" t="n">
        <v>0</v>
      </c>
      <c r="CR34" s="707" t="n">
        <v>0</v>
      </c>
      <c r="CS34" s="707" t="n">
        <v>0</v>
      </c>
      <c r="CT34" s="707" t="n">
        <v>0</v>
      </c>
      <c r="CU34" s="707" t="n">
        <v>0</v>
      </c>
      <c r="CV34" s="707" t="n">
        <v>0</v>
      </c>
      <c r="CW34" s="707" t="n">
        <v>0</v>
      </c>
      <c r="CX34" s="707" t="n">
        <v>0</v>
      </c>
      <c r="CY34" s="707" t="n">
        <v>0</v>
      </c>
      <c r="CZ34" s="707" t="n">
        <v>0</v>
      </c>
      <c r="DA34" s="707" t="n">
        <v>0</v>
      </c>
      <c r="DB34" s="707" t="n">
        <v>0</v>
      </c>
      <c r="DC34" s="707" t="n">
        <v>0</v>
      </c>
      <c r="DD34" s="707" t="n">
        <v>0</v>
      </c>
      <c r="DE34" s="707" t="n">
        <v>0</v>
      </c>
      <c r="DF34" s="707" t="n">
        <v>0</v>
      </c>
      <c r="DG34" s="707" t="n">
        <v>0</v>
      </c>
      <c r="DH34" s="707" t="n">
        <v>0</v>
      </c>
      <c r="DI34" s="707" t="n">
        <v>0</v>
      </c>
      <c r="DJ34" s="707" t="n">
        <v>0</v>
      </c>
      <c r="DK34" s="707" t="n">
        <v>0</v>
      </c>
      <c r="DL34" s="707" t="n">
        <v>0</v>
      </c>
      <c r="DM34" s="707" t="n">
        <v>0</v>
      </c>
    </row>
    <row r="35" ht="13.5" customHeight="1" s="355">
      <c r="A35" s="702" t="inlineStr">
        <is>
          <t>Germany</t>
        </is>
      </c>
      <c r="B35" s="703" t="inlineStr">
        <is>
          <t>Gen Acctg</t>
        </is>
      </c>
      <c r="D35" s="704" t="n">
        <v>0</v>
      </c>
      <c r="E35" s="704" t="n">
        <v>0</v>
      </c>
      <c r="F35" s="704" t="n">
        <v>0</v>
      </c>
      <c r="G35" s="704" t="n">
        <v>0</v>
      </c>
      <c r="H35" s="704" t="n">
        <v>0</v>
      </c>
      <c r="I35" s="704" t="n">
        <v>0</v>
      </c>
      <c r="J35" s="704" t="n">
        <v>0</v>
      </c>
      <c r="K35" s="704" t="n">
        <v>0</v>
      </c>
      <c r="L35" s="704" t="n">
        <v>0</v>
      </c>
      <c r="M35" s="704" t="n">
        <v>0</v>
      </c>
      <c r="N35" s="704" t="n">
        <v>0</v>
      </c>
      <c r="O35" s="704" t="n">
        <v>0</v>
      </c>
      <c r="P35" s="704" t="n">
        <v>0</v>
      </c>
      <c r="Q35" s="704" t="n">
        <v>0</v>
      </c>
      <c r="R35" s="704" t="n">
        <v>0</v>
      </c>
      <c r="S35" s="704" t="n">
        <v>0</v>
      </c>
      <c r="T35" s="704" t="n">
        <v>0</v>
      </c>
      <c r="U35" s="704" t="n">
        <v>0</v>
      </c>
      <c r="V35" s="704" t="n">
        <v>0</v>
      </c>
      <c r="W35" s="704" t="n">
        <v>0</v>
      </c>
      <c r="X35" s="704" t="n">
        <v>0</v>
      </c>
      <c r="Y35" s="704" t="n">
        <v>0</v>
      </c>
      <c r="Z35" s="704" t="n">
        <v>0</v>
      </c>
      <c r="AA35" s="704" t="n">
        <v>0</v>
      </c>
      <c r="AB35" s="704" t="n">
        <v>0</v>
      </c>
      <c r="AC35" s="704" t="n">
        <v>0</v>
      </c>
      <c r="AD35" s="704" t="n">
        <v>0</v>
      </c>
      <c r="AE35" s="704" t="n">
        <v>0</v>
      </c>
      <c r="AF35" s="704" t="n">
        <v>0</v>
      </c>
      <c r="AG35" s="704" t="n">
        <v>0</v>
      </c>
      <c r="AH35" s="704" t="n">
        <v>0</v>
      </c>
      <c r="AI35" s="704" t="n">
        <v>0</v>
      </c>
      <c r="AJ35" s="704" t="n">
        <v>0</v>
      </c>
      <c r="AK35" s="704" t="n">
        <v>0</v>
      </c>
      <c r="AL35" s="704" t="n">
        <v>0</v>
      </c>
      <c r="AM35" s="704" t="n">
        <v>0</v>
      </c>
      <c r="AN35" s="704" t="n">
        <v>0</v>
      </c>
      <c r="AO35" s="704" t="n">
        <v>0</v>
      </c>
      <c r="AP35" s="704" t="n">
        <v>0</v>
      </c>
      <c r="AQ35" s="704" t="n">
        <v>0</v>
      </c>
      <c r="AR35" s="704" t="n">
        <v>0</v>
      </c>
      <c r="AS35" s="704" t="n">
        <v>0</v>
      </c>
      <c r="AT35" s="704" t="n">
        <v>0</v>
      </c>
      <c r="AU35" s="704" t="n">
        <v>0</v>
      </c>
      <c r="AV35" s="704" t="n">
        <v>0</v>
      </c>
      <c r="AW35" s="704" t="n">
        <v>0</v>
      </c>
      <c r="AX35" s="704" t="n">
        <v>0</v>
      </c>
      <c r="AY35" s="704" t="n">
        <v>0</v>
      </c>
      <c r="AZ35" s="704" t="n">
        <v>0</v>
      </c>
      <c r="BA35" s="704" t="n">
        <v>0</v>
      </c>
      <c r="BB35" s="704" t="n">
        <v>0</v>
      </c>
      <c r="BC35" s="704" t="n">
        <v>0</v>
      </c>
      <c r="BD35" s="704" t="n">
        <v>0</v>
      </c>
      <c r="BE35" s="704" t="n">
        <v>0</v>
      </c>
      <c r="BF35" s="704" t="n">
        <v>0</v>
      </c>
      <c r="BG35" s="704" t="n">
        <v>0</v>
      </c>
      <c r="BH35" s="704" t="n">
        <v>0</v>
      </c>
      <c r="BI35" s="704" t="n">
        <v>0</v>
      </c>
      <c r="BJ35" s="704" t="n">
        <v>0</v>
      </c>
      <c r="BK35" s="704" t="n">
        <v>0</v>
      </c>
      <c r="BL35" s="704" t="n">
        <v>0</v>
      </c>
      <c r="BM35" s="704" t="n">
        <v>0</v>
      </c>
      <c r="BN35" s="704" t="n">
        <v>0</v>
      </c>
      <c r="BO35" s="704" t="n">
        <v>0</v>
      </c>
      <c r="BP35" s="704" t="n">
        <v>0</v>
      </c>
      <c r="BQ35" s="704" t="n">
        <v>0</v>
      </c>
      <c r="BR35" s="704" t="n">
        <v>0</v>
      </c>
      <c r="BS35" s="704" t="n">
        <v>0</v>
      </c>
      <c r="BT35" s="704" t="n">
        <v>0</v>
      </c>
      <c r="BU35" s="704" t="n">
        <v>0</v>
      </c>
      <c r="BV35" s="704" t="n">
        <v>0</v>
      </c>
      <c r="BW35" s="704" t="n">
        <v>0</v>
      </c>
      <c r="BX35" s="704" t="n">
        <v>0</v>
      </c>
      <c r="BY35" s="704" t="n">
        <v>0</v>
      </c>
      <c r="BZ35" s="704" t="n">
        <v>0</v>
      </c>
      <c r="CA35" s="704" t="n">
        <v>0</v>
      </c>
      <c r="CB35" s="704" t="n">
        <v>0</v>
      </c>
      <c r="CC35" s="704" t="n">
        <v>0</v>
      </c>
      <c r="CD35" s="704" t="n">
        <v>0</v>
      </c>
      <c r="CE35" s="704" t="n">
        <v>0</v>
      </c>
      <c r="CF35" s="704" t="n">
        <v>0</v>
      </c>
      <c r="CG35" s="704" t="n">
        <v>0</v>
      </c>
      <c r="CH35" s="704" t="n">
        <v>0</v>
      </c>
      <c r="CI35" s="704" t="n">
        <v>0</v>
      </c>
      <c r="CJ35" s="704" t="n">
        <v>0</v>
      </c>
      <c r="CK35" s="704" t="n">
        <v>0</v>
      </c>
      <c r="CL35" s="704" t="n">
        <v>0</v>
      </c>
      <c r="CM35" s="704" t="n">
        <v>0</v>
      </c>
      <c r="CN35" s="704" t="n">
        <v>0</v>
      </c>
      <c r="CO35" s="704" t="n">
        <v>0</v>
      </c>
      <c r="CP35" s="704" t="n">
        <v>0</v>
      </c>
      <c r="CQ35" s="704" t="n">
        <v>0</v>
      </c>
      <c r="CR35" s="704" t="n">
        <v>0</v>
      </c>
      <c r="CS35" s="704" t="n">
        <v>0</v>
      </c>
      <c r="CT35" s="704" t="n">
        <v>0</v>
      </c>
      <c r="CU35" s="704" t="n">
        <v>0</v>
      </c>
      <c r="CV35" s="704" t="n">
        <v>0</v>
      </c>
      <c r="CW35" s="704" t="n">
        <v>0</v>
      </c>
      <c r="CX35" s="704" t="n">
        <v>0</v>
      </c>
      <c r="CY35" s="704" t="n">
        <v>0</v>
      </c>
      <c r="CZ35" s="704" t="n">
        <v>0</v>
      </c>
      <c r="DA35" s="704" t="n">
        <v>0</v>
      </c>
      <c r="DB35" s="704" t="n">
        <v>0</v>
      </c>
      <c r="DC35" s="704" t="n">
        <v>0</v>
      </c>
      <c r="DD35" s="704" t="n">
        <v>0</v>
      </c>
      <c r="DE35" s="704" t="n">
        <v>0</v>
      </c>
      <c r="DF35" s="704" t="n">
        <v>0</v>
      </c>
      <c r="DG35" s="704" t="n">
        <v>0</v>
      </c>
      <c r="DH35" s="704" t="n">
        <v>0</v>
      </c>
      <c r="DI35" s="704" t="n">
        <v>0</v>
      </c>
      <c r="DJ35" s="704" t="n">
        <v>0</v>
      </c>
      <c r="DK35" s="704" t="n">
        <v>0</v>
      </c>
      <c r="DL35" s="704" t="n">
        <v>0</v>
      </c>
      <c r="DM35" s="704" t="n">
        <v>0</v>
      </c>
    </row>
    <row r="36" ht="13.5" customHeight="1" s="355">
      <c r="B36" s="703" t="inlineStr">
        <is>
          <t>Reporting</t>
        </is>
      </c>
      <c r="D36" s="704" t="n">
        <v>0</v>
      </c>
      <c r="E36" s="704" t="n">
        <v>0</v>
      </c>
      <c r="F36" s="704" t="n">
        <v>0</v>
      </c>
      <c r="G36" s="704" t="n">
        <v>0</v>
      </c>
      <c r="H36" s="704" t="n">
        <v>0</v>
      </c>
      <c r="I36" s="704" t="n">
        <v>0</v>
      </c>
      <c r="J36" s="704" t="n">
        <v>0</v>
      </c>
      <c r="K36" s="704" t="n">
        <v>0</v>
      </c>
      <c r="L36" s="704" t="n">
        <v>0</v>
      </c>
      <c r="M36" s="704" t="n">
        <v>0</v>
      </c>
      <c r="N36" s="704" t="n">
        <v>0</v>
      </c>
      <c r="O36" s="704" t="n">
        <v>0</v>
      </c>
      <c r="P36" s="704" t="n">
        <v>0</v>
      </c>
      <c r="Q36" s="704" t="n">
        <v>0</v>
      </c>
      <c r="R36" s="704" t="n">
        <v>0</v>
      </c>
      <c r="S36" s="704" t="n">
        <v>0</v>
      </c>
      <c r="T36" s="704" t="n">
        <v>0</v>
      </c>
      <c r="U36" s="704" t="n">
        <v>0</v>
      </c>
      <c r="V36" s="704" t="n">
        <v>0</v>
      </c>
      <c r="W36" s="704" t="n">
        <v>0</v>
      </c>
      <c r="X36" s="704" t="n">
        <v>0</v>
      </c>
      <c r="Y36" s="704" t="n">
        <v>0</v>
      </c>
      <c r="Z36" s="704" t="n">
        <v>0</v>
      </c>
      <c r="AA36" s="704" t="n">
        <v>0</v>
      </c>
      <c r="AB36" s="704" t="n">
        <v>0</v>
      </c>
      <c r="AC36" s="704" t="n">
        <v>0</v>
      </c>
      <c r="AD36" s="704" t="n">
        <v>0</v>
      </c>
      <c r="AE36" s="704" t="n">
        <v>0</v>
      </c>
      <c r="AF36" s="704" t="n">
        <v>0</v>
      </c>
      <c r="AG36" s="704" t="n">
        <v>0</v>
      </c>
      <c r="AH36" s="704" t="n">
        <v>0</v>
      </c>
      <c r="AI36" s="704" t="n">
        <v>0</v>
      </c>
      <c r="AJ36" s="704" t="n">
        <v>0</v>
      </c>
      <c r="AK36" s="704" t="n">
        <v>0</v>
      </c>
      <c r="AL36" s="704" t="n">
        <v>0</v>
      </c>
      <c r="AM36" s="704" t="n">
        <v>0</v>
      </c>
      <c r="AN36" s="704" t="n">
        <v>0</v>
      </c>
      <c r="AO36" s="704" t="n">
        <v>0</v>
      </c>
      <c r="AP36" s="704" t="n">
        <v>0</v>
      </c>
      <c r="AQ36" s="704" t="n">
        <v>0</v>
      </c>
      <c r="AR36" s="704" t="n">
        <v>0</v>
      </c>
      <c r="AS36" s="704" t="n">
        <v>0</v>
      </c>
      <c r="AT36" s="704" t="n">
        <v>0</v>
      </c>
      <c r="AU36" s="704" t="n">
        <v>0</v>
      </c>
      <c r="AV36" s="704" t="n">
        <v>0</v>
      </c>
      <c r="AW36" s="704" t="n">
        <v>0</v>
      </c>
      <c r="AX36" s="704" t="n">
        <v>0</v>
      </c>
      <c r="AY36" s="704" t="n">
        <v>0</v>
      </c>
      <c r="AZ36" s="704" t="n">
        <v>0</v>
      </c>
      <c r="BA36" s="704" t="n">
        <v>0</v>
      </c>
      <c r="BB36" s="704" t="n">
        <v>0</v>
      </c>
      <c r="BC36" s="704" t="n">
        <v>0</v>
      </c>
      <c r="BD36" s="704" t="n">
        <v>0</v>
      </c>
      <c r="BE36" s="704" t="n">
        <v>0</v>
      </c>
      <c r="BF36" s="704" t="n">
        <v>0</v>
      </c>
      <c r="BG36" s="704" t="n">
        <v>0</v>
      </c>
      <c r="BH36" s="704" t="n">
        <v>0</v>
      </c>
      <c r="BI36" s="704" t="n">
        <v>0</v>
      </c>
      <c r="BJ36" s="704" t="n">
        <v>0</v>
      </c>
      <c r="BK36" s="704" t="n">
        <v>0</v>
      </c>
      <c r="BL36" s="704" t="n">
        <v>0</v>
      </c>
      <c r="BM36" s="704" t="n">
        <v>0</v>
      </c>
      <c r="BN36" s="704" t="n">
        <v>0</v>
      </c>
      <c r="BO36" s="704" t="n">
        <v>0</v>
      </c>
      <c r="BP36" s="704" t="n">
        <v>0</v>
      </c>
      <c r="BQ36" s="704" t="n">
        <v>0</v>
      </c>
      <c r="BR36" s="704" t="n">
        <v>0</v>
      </c>
      <c r="BS36" s="704" t="n">
        <v>0</v>
      </c>
      <c r="BT36" s="704" t="n">
        <v>0</v>
      </c>
      <c r="BU36" s="704" t="n">
        <v>0</v>
      </c>
      <c r="BV36" s="704" t="n">
        <v>0</v>
      </c>
      <c r="BW36" s="704" t="n">
        <v>0</v>
      </c>
      <c r="BX36" s="704" t="n">
        <v>0</v>
      </c>
      <c r="BY36" s="704" t="n">
        <v>0</v>
      </c>
      <c r="BZ36" s="704" t="n">
        <v>0</v>
      </c>
      <c r="CA36" s="704" t="n">
        <v>0</v>
      </c>
      <c r="CB36" s="704" t="n">
        <v>0</v>
      </c>
      <c r="CC36" s="704" t="n">
        <v>0</v>
      </c>
      <c r="CD36" s="704" t="n">
        <v>0</v>
      </c>
      <c r="CE36" s="704" t="n">
        <v>0</v>
      </c>
      <c r="CF36" s="704" t="n">
        <v>0</v>
      </c>
      <c r="CG36" s="704" t="n">
        <v>0</v>
      </c>
      <c r="CH36" s="704" t="n">
        <v>0</v>
      </c>
      <c r="CI36" s="704" t="n">
        <v>0</v>
      </c>
      <c r="CJ36" s="704" t="n">
        <v>0</v>
      </c>
      <c r="CK36" s="704" t="n">
        <v>0</v>
      </c>
      <c r="CL36" s="704" t="n">
        <v>0</v>
      </c>
      <c r="CM36" s="704" t="n">
        <v>0</v>
      </c>
      <c r="CN36" s="704" t="n">
        <v>0</v>
      </c>
      <c r="CO36" s="704" t="n">
        <v>0</v>
      </c>
      <c r="CP36" s="704" t="n">
        <v>0</v>
      </c>
      <c r="CQ36" s="704" t="n">
        <v>0</v>
      </c>
      <c r="CR36" s="704" t="n">
        <v>0</v>
      </c>
      <c r="CS36" s="704" t="n">
        <v>0</v>
      </c>
      <c r="CT36" s="704" t="n">
        <v>0</v>
      </c>
      <c r="CU36" s="704" t="n">
        <v>0</v>
      </c>
      <c r="CV36" s="704" t="n">
        <v>0</v>
      </c>
      <c r="CW36" s="704" t="n">
        <v>0</v>
      </c>
      <c r="CX36" s="704" t="n">
        <v>0</v>
      </c>
      <c r="CY36" s="704" t="n">
        <v>0</v>
      </c>
      <c r="CZ36" s="704" t="n">
        <v>0</v>
      </c>
      <c r="DA36" s="704" t="n">
        <v>0</v>
      </c>
      <c r="DB36" s="704" t="n">
        <v>0</v>
      </c>
      <c r="DC36" s="704" t="n">
        <v>0</v>
      </c>
      <c r="DD36" s="704" t="n">
        <v>0</v>
      </c>
      <c r="DE36" s="704" t="n">
        <v>0</v>
      </c>
      <c r="DF36" s="704" t="n">
        <v>0</v>
      </c>
      <c r="DG36" s="704" t="n">
        <v>0</v>
      </c>
      <c r="DH36" s="704" t="n">
        <v>0</v>
      </c>
      <c r="DI36" s="704" t="n">
        <v>0</v>
      </c>
      <c r="DJ36" s="704" t="n">
        <v>0</v>
      </c>
      <c r="DK36" s="704" t="n">
        <v>0</v>
      </c>
      <c r="DL36" s="704" t="n">
        <v>0</v>
      </c>
      <c r="DM36" s="704" t="n">
        <v>0</v>
      </c>
    </row>
    <row r="37" ht="13.5" customHeight="1" s="355">
      <c r="B37" s="703" t="inlineStr">
        <is>
          <t>Fixed Assets</t>
        </is>
      </c>
      <c r="D37" s="704" t="n">
        <v>0</v>
      </c>
      <c r="E37" s="704" t="n">
        <v>0</v>
      </c>
      <c r="F37" s="704" t="n">
        <v>0</v>
      </c>
      <c r="G37" s="704" t="n">
        <v>0</v>
      </c>
      <c r="H37" s="704" t="n">
        <v>0</v>
      </c>
      <c r="I37" s="704" t="n">
        <v>0</v>
      </c>
      <c r="J37" s="704" t="n">
        <v>0</v>
      </c>
      <c r="K37" s="704" t="n">
        <v>3.1421634499069</v>
      </c>
      <c r="L37" s="704" t="n">
        <v>3.1421634499069</v>
      </c>
      <c r="M37" s="704" t="n">
        <v>3.1421634499069</v>
      </c>
      <c r="N37" s="704" t="n">
        <v>3.1421634499069</v>
      </c>
      <c r="O37" s="704" t="n">
        <v>2.07788228139004</v>
      </c>
      <c r="P37" s="704" t="n">
        <v>1.61821417670205</v>
      </c>
      <c r="Q37" s="704" t="n">
        <v>0</v>
      </c>
      <c r="R37" s="704" t="n">
        <v>0</v>
      </c>
      <c r="S37" s="704" t="n">
        <v>0</v>
      </c>
      <c r="T37" s="704" t="n">
        <v>0</v>
      </c>
      <c r="U37" s="704" t="n">
        <v>0</v>
      </c>
      <c r="V37" s="704" t="n">
        <v>0</v>
      </c>
      <c r="W37" s="704" t="n">
        <v>0</v>
      </c>
      <c r="X37" s="704" t="n">
        <v>0</v>
      </c>
      <c r="Y37" s="704" t="n">
        <v>0</v>
      </c>
      <c r="Z37" s="704" t="n">
        <v>0</v>
      </c>
      <c r="AA37" s="704" t="n">
        <v>0</v>
      </c>
      <c r="AB37" s="704" t="n">
        <v>0</v>
      </c>
      <c r="AC37" s="704" t="n">
        <v>0</v>
      </c>
      <c r="AD37" s="704" t="n">
        <v>0</v>
      </c>
      <c r="AE37" s="704" t="n">
        <v>0</v>
      </c>
      <c r="AF37" s="704" t="n">
        <v>0</v>
      </c>
      <c r="AG37" s="704" t="n">
        <v>0</v>
      </c>
      <c r="AH37" s="704" t="n">
        <v>0</v>
      </c>
      <c r="AI37" s="704" t="n">
        <v>0</v>
      </c>
      <c r="AJ37" s="704" t="n">
        <v>0</v>
      </c>
      <c r="AK37" s="704" t="n">
        <v>0</v>
      </c>
      <c r="AL37" s="704" t="n">
        <v>0</v>
      </c>
      <c r="AM37" s="704" t="n">
        <v>0</v>
      </c>
      <c r="AN37" s="704" t="n">
        <v>0</v>
      </c>
      <c r="AO37" s="704" t="n">
        <v>0</v>
      </c>
      <c r="AP37" s="704" t="n">
        <v>0</v>
      </c>
      <c r="AQ37" s="704" t="n">
        <v>0</v>
      </c>
      <c r="AR37" s="704" t="n">
        <v>0</v>
      </c>
      <c r="AS37" s="704" t="n">
        <v>0</v>
      </c>
      <c r="AT37" s="704" t="n">
        <v>0</v>
      </c>
      <c r="AU37" s="704" t="n">
        <v>0</v>
      </c>
      <c r="AV37" s="704" t="n">
        <v>0</v>
      </c>
      <c r="AW37" s="704" t="n">
        <v>0</v>
      </c>
      <c r="AX37" s="704" t="n">
        <v>0</v>
      </c>
      <c r="AY37" s="704" t="n">
        <v>0</v>
      </c>
      <c r="AZ37" s="704" t="n">
        <v>0</v>
      </c>
      <c r="BA37" s="704" t="n">
        <v>0</v>
      </c>
      <c r="BB37" s="704" t="n">
        <v>0</v>
      </c>
      <c r="BC37" s="704" t="n">
        <v>0</v>
      </c>
      <c r="BD37" s="704" t="n">
        <v>0</v>
      </c>
      <c r="BE37" s="704" t="n">
        <v>0</v>
      </c>
      <c r="BF37" s="704" t="n">
        <v>0</v>
      </c>
      <c r="BG37" s="704" t="n">
        <v>0</v>
      </c>
      <c r="BH37" s="704" t="n">
        <v>0</v>
      </c>
      <c r="BI37" s="704" t="n">
        <v>0</v>
      </c>
      <c r="BJ37" s="704" t="n">
        <v>0</v>
      </c>
      <c r="BK37" s="704" t="n">
        <v>0</v>
      </c>
      <c r="BL37" s="704" t="n">
        <v>0</v>
      </c>
      <c r="BM37" s="704" t="n">
        <v>0</v>
      </c>
      <c r="BN37" s="704" t="n">
        <v>0</v>
      </c>
      <c r="BO37" s="704" t="n">
        <v>0</v>
      </c>
      <c r="BP37" s="704" t="n">
        <v>0</v>
      </c>
      <c r="BQ37" s="704" t="n">
        <v>0</v>
      </c>
      <c r="BR37" s="704" t="n">
        <v>0</v>
      </c>
      <c r="BS37" s="704" t="n">
        <v>0</v>
      </c>
      <c r="BT37" s="704" t="n">
        <v>0</v>
      </c>
      <c r="BU37" s="704" t="n">
        <v>0</v>
      </c>
      <c r="BV37" s="704" t="n">
        <v>0</v>
      </c>
      <c r="BW37" s="704" t="n">
        <v>0</v>
      </c>
      <c r="BX37" s="704" t="n">
        <v>0</v>
      </c>
      <c r="BY37" s="704" t="n">
        <v>0</v>
      </c>
      <c r="BZ37" s="704" t="n">
        <v>0</v>
      </c>
      <c r="CA37" s="704" t="n">
        <v>0</v>
      </c>
      <c r="CB37" s="704" t="n">
        <v>0</v>
      </c>
      <c r="CC37" s="704" t="n">
        <v>0</v>
      </c>
      <c r="CD37" s="704" t="n">
        <v>0</v>
      </c>
      <c r="CE37" s="704" t="n">
        <v>0</v>
      </c>
      <c r="CF37" s="704" t="n">
        <v>0</v>
      </c>
      <c r="CG37" s="704" t="n">
        <v>0</v>
      </c>
      <c r="CH37" s="704" t="n">
        <v>0</v>
      </c>
      <c r="CI37" s="704" t="n">
        <v>0</v>
      </c>
      <c r="CJ37" s="704" t="n">
        <v>0</v>
      </c>
      <c r="CK37" s="704" t="n">
        <v>0</v>
      </c>
      <c r="CL37" s="704" t="n">
        <v>0</v>
      </c>
      <c r="CM37" s="704" t="n">
        <v>0</v>
      </c>
      <c r="CN37" s="704" t="n">
        <v>0</v>
      </c>
      <c r="CO37" s="704" t="n">
        <v>0</v>
      </c>
      <c r="CP37" s="704" t="n">
        <v>0</v>
      </c>
      <c r="CQ37" s="704" t="n">
        <v>0</v>
      </c>
      <c r="CR37" s="704" t="n">
        <v>0</v>
      </c>
      <c r="CS37" s="704" t="n">
        <v>0</v>
      </c>
      <c r="CT37" s="704" t="n">
        <v>0</v>
      </c>
      <c r="CU37" s="704" t="n">
        <v>0</v>
      </c>
      <c r="CV37" s="704" t="n">
        <v>0</v>
      </c>
      <c r="CW37" s="704" t="n">
        <v>0</v>
      </c>
      <c r="CX37" s="704" t="n">
        <v>0</v>
      </c>
      <c r="CY37" s="704" t="n">
        <v>0</v>
      </c>
      <c r="CZ37" s="704" t="n">
        <v>0</v>
      </c>
      <c r="DA37" s="704" t="n">
        <v>0</v>
      </c>
      <c r="DB37" s="704" t="n">
        <v>0</v>
      </c>
      <c r="DC37" s="704" t="n">
        <v>0</v>
      </c>
      <c r="DD37" s="704" t="n">
        <v>0</v>
      </c>
      <c r="DE37" s="704" t="n">
        <v>0</v>
      </c>
      <c r="DF37" s="704" t="n">
        <v>0</v>
      </c>
      <c r="DG37" s="704" t="n">
        <v>0</v>
      </c>
      <c r="DH37" s="704" t="n">
        <v>0</v>
      </c>
      <c r="DI37" s="704" t="n">
        <v>0</v>
      </c>
      <c r="DJ37" s="704" t="n">
        <v>0</v>
      </c>
      <c r="DK37" s="704" t="n">
        <v>0</v>
      </c>
      <c r="DL37" s="704" t="n">
        <v>0</v>
      </c>
      <c r="DM37" s="704" t="n">
        <v>0</v>
      </c>
    </row>
    <row r="38" ht="13.5" customHeight="1" s="355">
      <c r="B38" s="703" t="inlineStr">
        <is>
          <t>Acct Payable</t>
        </is>
      </c>
      <c r="D38" s="704" t="n">
        <v>0</v>
      </c>
      <c r="E38" s="704" t="n">
        <v>0</v>
      </c>
      <c r="F38" s="704" t="n">
        <v>0</v>
      </c>
      <c r="G38" s="704" t="n">
        <v>0</v>
      </c>
      <c r="H38" s="704" t="n">
        <v>0</v>
      </c>
      <c r="I38" s="704" t="n">
        <v>0</v>
      </c>
      <c r="J38" s="704" t="n">
        <v>0</v>
      </c>
      <c r="K38" s="704" t="n">
        <v>17.0029678443194</v>
      </c>
      <c r="L38" s="704" t="n">
        <v>17.0029678443194</v>
      </c>
      <c r="M38" s="704" t="n">
        <v>17.0029678443194</v>
      </c>
      <c r="N38" s="704" t="n">
        <v>13.6023742754555</v>
      </c>
      <c r="O38" s="704" t="n">
        <v>0</v>
      </c>
      <c r="P38" s="704" t="n">
        <v>0</v>
      </c>
      <c r="Q38" s="704" t="n">
        <v>0</v>
      </c>
      <c r="R38" s="704" t="n">
        <v>0</v>
      </c>
      <c r="S38" s="704" t="n">
        <v>0</v>
      </c>
      <c r="T38" s="704" t="n">
        <v>0</v>
      </c>
      <c r="U38" s="704" t="n">
        <v>0</v>
      </c>
      <c r="V38" s="704" t="n">
        <v>0</v>
      </c>
      <c r="W38" s="704" t="n">
        <v>0</v>
      </c>
      <c r="X38" s="704" t="n">
        <v>0</v>
      </c>
      <c r="Y38" s="704" t="n">
        <v>0</v>
      </c>
      <c r="Z38" s="704" t="n">
        <v>0</v>
      </c>
      <c r="AA38" s="704" t="n">
        <v>0</v>
      </c>
      <c r="AB38" s="704" t="n">
        <v>0</v>
      </c>
      <c r="AC38" s="704" t="n">
        <v>0</v>
      </c>
      <c r="AD38" s="704" t="n">
        <v>0</v>
      </c>
      <c r="AE38" s="704" t="n">
        <v>0</v>
      </c>
      <c r="AF38" s="704" t="n">
        <v>0</v>
      </c>
      <c r="AG38" s="704" t="n">
        <v>0</v>
      </c>
      <c r="AH38" s="704" t="n">
        <v>0</v>
      </c>
      <c r="AI38" s="704" t="n">
        <v>0</v>
      </c>
      <c r="AJ38" s="704" t="n">
        <v>0</v>
      </c>
      <c r="AK38" s="704" t="n">
        <v>0</v>
      </c>
      <c r="AL38" s="704" t="n">
        <v>0</v>
      </c>
      <c r="AM38" s="704" t="n">
        <v>0</v>
      </c>
      <c r="AN38" s="704" t="n">
        <v>0</v>
      </c>
      <c r="AO38" s="704" t="n">
        <v>0</v>
      </c>
      <c r="AP38" s="704" t="n">
        <v>0</v>
      </c>
      <c r="AQ38" s="704" t="n">
        <v>0</v>
      </c>
      <c r="AR38" s="704" t="n">
        <v>0</v>
      </c>
      <c r="AS38" s="704" t="n">
        <v>0</v>
      </c>
      <c r="AT38" s="704" t="n">
        <v>0</v>
      </c>
      <c r="AU38" s="704" t="n">
        <v>0</v>
      </c>
      <c r="AV38" s="704" t="n">
        <v>0</v>
      </c>
      <c r="AW38" s="704" t="n">
        <v>0</v>
      </c>
      <c r="AX38" s="704" t="n">
        <v>0</v>
      </c>
      <c r="AY38" s="704" t="n">
        <v>0</v>
      </c>
      <c r="AZ38" s="704" t="n">
        <v>0</v>
      </c>
      <c r="BA38" s="704" t="n">
        <v>0</v>
      </c>
      <c r="BB38" s="704" t="n">
        <v>0</v>
      </c>
      <c r="BC38" s="704" t="n">
        <v>0</v>
      </c>
      <c r="BD38" s="704" t="n">
        <v>0</v>
      </c>
      <c r="BE38" s="704" t="n">
        <v>0</v>
      </c>
      <c r="BF38" s="704" t="n">
        <v>0</v>
      </c>
      <c r="BG38" s="704" t="n">
        <v>0</v>
      </c>
      <c r="BH38" s="704" t="n">
        <v>0</v>
      </c>
      <c r="BI38" s="704" t="n">
        <v>0</v>
      </c>
      <c r="BJ38" s="704" t="n">
        <v>0</v>
      </c>
      <c r="BK38" s="704" t="n">
        <v>0</v>
      </c>
      <c r="BL38" s="704" t="n">
        <v>0</v>
      </c>
      <c r="BM38" s="704" t="n">
        <v>0</v>
      </c>
      <c r="BN38" s="704" t="n">
        <v>0</v>
      </c>
      <c r="BO38" s="704" t="n">
        <v>0</v>
      </c>
      <c r="BP38" s="704" t="n">
        <v>0</v>
      </c>
      <c r="BQ38" s="704" t="n">
        <v>0</v>
      </c>
      <c r="BR38" s="704" t="n">
        <v>0</v>
      </c>
      <c r="BS38" s="704" t="n">
        <v>0</v>
      </c>
      <c r="BT38" s="704" t="n">
        <v>0</v>
      </c>
      <c r="BU38" s="704" t="n">
        <v>0</v>
      </c>
      <c r="BV38" s="704" t="n">
        <v>0</v>
      </c>
      <c r="BW38" s="704" t="n">
        <v>0</v>
      </c>
      <c r="BX38" s="704" t="n">
        <v>0</v>
      </c>
      <c r="BY38" s="704" t="n">
        <v>0</v>
      </c>
      <c r="BZ38" s="704" t="n">
        <v>0</v>
      </c>
      <c r="CA38" s="704" t="n">
        <v>0</v>
      </c>
      <c r="CB38" s="704" t="n">
        <v>0</v>
      </c>
      <c r="CC38" s="704" t="n">
        <v>0</v>
      </c>
      <c r="CD38" s="704" t="n">
        <v>0</v>
      </c>
      <c r="CE38" s="704" t="n">
        <v>0</v>
      </c>
      <c r="CF38" s="704" t="n">
        <v>0</v>
      </c>
      <c r="CG38" s="704" t="n">
        <v>0</v>
      </c>
      <c r="CH38" s="704" t="n">
        <v>0</v>
      </c>
      <c r="CI38" s="704" t="n">
        <v>0</v>
      </c>
      <c r="CJ38" s="704" t="n">
        <v>0</v>
      </c>
      <c r="CK38" s="704" t="n">
        <v>0</v>
      </c>
      <c r="CL38" s="704" t="n">
        <v>0</v>
      </c>
      <c r="CM38" s="704" t="n">
        <v>0</v>
      </c>
      <c r="CN38" s="704" t="n">
        <v>0</v>
      </c>
      <c r="CO38" s="704" t="n">
        <v>0</v>
      </c>
      <c r="CP38" s="704" t="n">
        <v>0</v>
      </c>
      <c r="CQ38" s="704" t="n">
        <v>0</v>
      </c>
      <c r="CR38" s="704" t="n">
        <v>0</v>
      </c>
      <c r="CS38" s="704" t="n">
        <v>0</v>
      </c>
      <c r="CT38" s="704" t="n">
        <v>0</v>
      </c>
      <c r="CU38" s="704" t="n">
        <v>0</v>
      </c>
      <c r="CV38" s="704" t="n">
        <v>0</v>
      </c>
      <c r="CW38" s="704" t="n">
        <v>0</v>
      </c>
      <c r="CX38" s="704" t="n">
        <v>0</v>
      </c>
      <c r="CY38" s="704" t="n">
        <v>0</v>
      </c>
      <c r="CZ38" s="704" t="n">
        <v>0</v>
      </c>
      <c r="DA38" s="704" t="n">
        <v>0</v>
      </c>
      <c r="DB38" s="704" t="n">
        <v>0</v>
      </c>
      <c r="DC38" s="704" t="n">
        <v>0</v>
      </c>
      <c r="DD38" s="704" t="n">
        <v>0</v>
      </c>
      <c r="DE38" s="704" t="n">
        <v>0</v>
      </c>
      <c r="DF38" s="704" t="n">
        <v>0</v>
      </c>
      <c r="DG38" s="704" t="n">
        <v>0</v>
      </c>
      <c r="DH38" s="704" t="n">
        <v>0</v>
      </c>
      <c r="DI38" s="704" t="n">
        <v>0</v>
      </c>
      <c r="DJ38" s="704" t="n">
        <v>0</v>
      </c>
      <c r="DK38" s="704" t="n">
        <v>0</v>
      </c>
      <c r="DL38" s="704" t="n">
        <v>0</v>
      </c>
      <c r="DM38" s="704" t="n">
        <v>0</v>
      </c>
    </row>
    <row r="39" ht="13.5" customHeight="1" s="355">
      <c r="B39" s="703" t="inlineStr">
        <is>
          <t>Cash&amp;Bank</t>
        </is>
      </c>
      <c r="D39" s="704" t="n">
        <v>0</v>
      </c>
      <c r="E39" s="704" t="n">
        <v>0</v>
      </c>
      <c r="F39" s="704" t="n">
        <v>0</v>
      </c>
      <c r="G39" s="704" t="n">
        <v>0</v>
      </c>
      <c r="H39" s="704" t="n">
        <v>0</v>
      </c>
      <c r="I39" s="704" t="n">
        <v>0</v>
      </c>
      <c r="J39" s="704" t="n">
        <v>0</v>
      </c>
      <c r="K39" s="704" t="n">
        <v>3.1421634499069</v>
      </c>
      <c r="L39" s="704" t="n">
        <v>3.1421634499069</v>
      </c>
      <c r="M39" s="704" t="n">
        <v>3.1421634499069</v>
      </c>
      <c r="N39" s="704" t="n">
        <v>3.1421634499069</v>
      </c>
      <c r="O39" s="704" t="n">
        <v>0</v>
      </c>
      <c r="P39" s="704" t="n">
        <v>0</v>
      </c>
      <c r="Q39" s="704" t="n">
        <v>0</v>
      </c>
      <c r="R39" s="704" t="n">
        <v>0</v>
      </c>
      <c r="S39" s="704" t="n">
        <v>0</v>
      </c>
      <c r="T39" s="704" t="n">
        <v>0</v>
      </c>
      <c r="U39" s="704" t="n">
        <v>0</v>
      </c>
      <c r="V39" s="704" t="n">
        <v>0</v>
      </c>
      <c r="W39" s="704" t="n">
        <v>0</v>
      </c>
      <c r="X39" s="704" t="n">
        <v>0</v>
      </c>
      <c r="Y39" s="704" t="n">
        <v>0</v>
      </c>
      <c r="Z39" s="704" t="n">
        <v>0</v>
      </c>
      <c r="AA39" s="704" t="n">
        <v>0</v>
      </c>
      <c r="AB39" s="704" t="n">
        <v>0</v>
      </c>
      <c r="AC39" s="704" t="n">
        <v>0</v>
      </c>
      <c r="AD39" s="704" t="n">
        <v>0</v>
      </c>
      <c r="AE39" s="704" t="n">
        <v>0</v>
      </c>
      <c r="AF39" s="704" t="n">
        <v>0</v>
      </c>
      <c r="AG39" s="704" t="n">
        <v>0</v>
      </c>
      <c r="AH39" s="704" t="n">
        <v>0</v>
      </c>
      <c r="AI39" s="704" t="n">
        <v>0</v>
      </c>
      <c r="AJ39" s="704" t="n">
        <v>0</v>
      </c>
      <c r="AK39" s="704" t="n">
        <v>0</v>
      </c>
      <c r="AL39" s="704" t="n">
        <v>0</v>
      </c>
      <c r="AM39" s="704" t="n">
        <v>0</v>
      </c>
      <c r="AN39" s="704" t="n">
        <v>0</v>
      </c>
      <c r="AO39" s="704" t="n">
        <v>0</v>
      </c>
      <c r="AP39" s="704" t="n">
        <v>0</v>
      </c>
      <c r="AQ39" s="704" t="n">
        <v>0</v>
      </c>
      <c r="AR39" s="704" t="n">
        <v>0</v>
      </c>
      <c r="AS39" s="704" t="n">
        <v>0</v>
      </c>
      <c r="AT39" s="704" t="n">
        <v>0</v>
      </c>
      <c r="AU39" s="704" t="n">
        <v>0</v>
      </c>
      <c r="AV39" s="704" t="n">
        <v>0</v>
      </c>
      <c r="AW39" s="704" t="n">
        <v>0</v>
      </c>
      <c r="AX39" s="704" t="n">
        <v>0</v>
      </c>
      <c r="AY39" s="704" t="n">
        <v>0</v>
      </c>
      <c r="AZ39" s="704" t="n">
        <v>0</v>
      </c>
      <c r="BA39" s="704" t="n">
        <v>0</v>
      </c>
      <c r="BB39" s="704" t="n">
        <v>0</v>
      </c>
      <c r="BC39" s="704" t="n">
        <v>0</v>
      </c>
      <c r="BD39" s="704" t="n">
        <v>0</v>
      </c>
      <c r="BE39" s="704" t="n">
        <v>0</v>
      </c>
      <c r="BF39" s="704" t="n">
        <v>0</v>
      </c>
      <c r="BG39" s="704" t="n">
        <v>0</v>
      </c>
      <c r="BH39" s="704" t="n">
        <v>0</v>
      </c>
      <c r="BI39" s="704" t="n">
        <v>0</v>
      </c>
      <c r="BJ39" s="704" t="n">
        <v>0</v>
      </c>
      <c r="BK39" s="704" t="n">
        <v>0</v>
      </c>
      <c r="BL39" s="704" t="n">
        <v>0</v>
      </c>
      <c r="BM39" s="704" t="n">
        <v>0</v>
      </c>
      <c r="BN39" s="704" t="n">
        <v>0</v>
      </c>
      <c r="BO39" s="704" t="n">
        <v>0</v>
      </c>
      <c r="BP39" s="704" t="n">
        <v>0</v>
      </c>
      <c r="BQ39" s="704" t="n">
        <v>0</v>
      </c>
      <c r="BR39" s="704" t="n">
        <v>0</v>
      </c>
      <c r="BS39" s="704" t="n">
        <v>0</v>
      </c>
      <c r="BT39" s="704" t="n">
        <v>0</v>
      </c>
      <c r="BU39" s="704" t="n">
        <v>0</v>
      </c>
      <c r="BV39" s="704" t="n">
        <v>0</v>
      </c>
      <c r="BW39" s="704" t="n">
        <v>0</v>
      </c>
      <c r="BX39" s="704" t="n">
        <v>0</v>
      </c>
      <c r="BY39" s="704" t="n">
        <v>0</v>
      </c>
      <c r="BZ39" s="704" t="n">
        <v>0</v>
      </c>
      <c r="CA39" s="704" t="n">
        <v>0</v>
      </c>
      <c r="CB39" s="704" t="n">
        <v>0</v>
      </c>
      <c r="CC39" s="704" t="n">
        <v>0</v>
      </c>
      <c r="CD39" s="704" t="n">
        <v>0</v>
      </c>
      <c r="CE39" s="704" t="n">
        <v>0</v>
      </c>
      <c r="CF39" s="704" t="n">
        <v>0</v>
      </c>
      <c r="CG39" s="704" t="n">
        <v>0</v>
      </c>
      <c r="CH39" s="704" t="n">
        <v>0</v>
      </c>
      <c r="CI39" s="704" t="n">
        <v>0</v>
      </c>
      <c r="CJ39" s="704" t="n">
        <v>0</v>
      </c>
      <c r="CK39" s="704" t="n">
        <v>0</v>
      </c>
      <c r="CL39" s="704" t="n">
        <v>0</v>
      </c>
      <c r="CM39" s="704" t="n">
        <v>0</v>
      </c>
      <c r="CN39" s="704" t="n">
        <v>0</v>
      </c>
      <c r="CO39" s="704" t="n">
        <v>0</v>
      </c>
      <c r="CP39" s="704" t="n">
        <v>0</v>
      </c>
      <c r="CQ39" s="704" t="n">
        <v>0</v>
      </c>
      <c r="CR39" s="704" t="n">
        <v>0</v>
      </c>
      <c r="CS39" s="704" t="n">
        <v>0</v>
      </c>
      <c r="CT39" s="704" t="n">
        <v>0</v>
      </c>
      <c r="CU39" s="704" t="n">
        <v>0</v>
      </c>
      <c r="CV39" s="704" t="n">
        <v>0</v>
      </c>
      <c r="CW39" s="704" t="n">
        <v>0</v>
      </c>
      <c r="CX39" s="704" t="n">
        <v>0</v>
      </c>
      <c r="CY39" s="704" t="n">
        <v>0</v>
      </c>
      <c r="CZ39" s="704" t="n">
        <v>0</v>
      </c>
      <c r="DA39" s="704" t="n">
        <v>0</v>
      </c>
      <c r="DB39" s="704" t="n">
        <v>0</v>
      </c>
      <c r="DC39" s="704" t="n">
        <v>0</v>
      </c>
      <c r="DD39" s="704" t="n">
        <v>0</v>
      </c>
      <c r="DE39" s="704" t="n">
        <v>0</v>
      </c>
      <c r="DF39" s="704" t="n">
        <v>0</v>
      </c>
      <c r="DG39" s="704" t="n">
        <v>0</v>
      </c>
      <c r="DH39" s="704" t="n">
        <v>0</v>
      </c>
      <c r="DI39" s="704" t="n">
        <v>0</v>
      </c>
      <c r="DJ39" s="704" t="n">
        <v>0</v>
      </c>
      <c r="DK39" s="704" t="n">
        <v>0</v>
      </c>
      <c r="DL39" s="704" t="n">
        <v>0</v>
      </c>
      <c r="DM39" s="704" t="n">
        <v>0</v>
      </c>
    </row>
    <row r="40" ht="13.5" customHeight="1" s="355">
      <c r="B40" s="703" t="inlineStr">
        <is>
          <t>T&amp;E</t>
        </is>
      </c>
      <c r="D40" s="704" t="n">
        <v>0</v>
      </c>
      <c r="E40" s="704" t="n">
        <v>0</v>
      </c>
      <c r="F40" s="704" t="n">
        <v>0</v>
      </c>
      <c r="G40" s="704" t="n">
        <v>0</v>
      </c>
      <c r="H40" s="704" t="n">
        <v>0</v>
      </c>
      <c r="I40" s="704" t="n">
        <v>0</v>
      </c>
      <c r="J40" s="704" t="n">
        <v>0</v>
      </c>
      <c r="K40" s="704" t="n">
        <v>0</v>
      </c>
      <c r="L40" s="704" t="n">
        <v>0</v>
      </c>
      <c r="M40" s="704" t="n">
        <v>8.22724250531585</v>
      </c>
      <c r="N40" s="704" t="n">
        <v>7.36795273253842</v>
      </c>
      <c r="O40" s="704" t="n">
        <v>0</v>
      </c>
      <c r="P40" s="704" t="n">
        <v>0</v>
      </c>
      <c r="Q40" s="704" t="n">
        <v>0</v>
      </c>
      <c r="R40" s="704" t="n">
        <v>0</v>
      </c>
      <c r="S40" s="704" t="n">
        <v>0</v>
      </c>
      <c r="T40" s="704" t="n">
        <v>0</v>
      </c>
      <c r="U40" s="704" t="n">
        <v>0</v>
      </c>
      <c r="V40" s="704" t="n">
        <v>0</v>
      </c>
      <c r="W40" s="704" t="n">
        <v>0</v>
      </c>
      <c r="X40" s="704" t="n">
        <v>0</v>
      </c>
      <c r="Y40" s="704" t="n">
        <v>0</v>
      </c>
      <c r="Z40" s="704" t="n">
        <v>0</v>
      </c>
      <c r="AA40" s="704" t="n">
        <v>0</v>
      </c>
      <c r="AB40" s="704" t="n">
        <v>0</v>
      </c>
      <c r="AC40" s="704" t="n">
        <v>0</v>
      </c>
      <c r="AD40" s="704" t="n">
        <v>0</v>
      </c>
      <c r="AE40" s="704" t="n">
        <v>0</v>
      </c>
      <c r="AF40" s="704" t="n">
        <v>0</v>
      </c>
      <c r="AG40" s="704" t="n">
        <v>0</v>
      </c>
      <c r="AH40" s="704" t="n">
        <v>0</v>
      </c>
      <c r="AI40" s="704" t="n">
        <v>0</v>
      </c>
      <c r="AJ40" s="704" t="n">
        <v>0</v>
      </c>
      <c r="AK40" s="704" t="n">
        <v>0</v>
      </c>
      <c r="AL40" s="704" t="n">
        <v>0</v>
      </c>
      <c r="AM40" s="704" t="n">
        <v>0</v>
      </c>
      <c r="AN40" s="704" t="n">
        <v>0</v>
      </c>
      <c r="AO40" s="704" t="n">
        <v>0</v>
      </c>
      <c r="AP40" s="704" t="n">
        <v>0</v>
      </c>
      <c r="AQ40" s="704" t="n">
        <v>0</v>
      </c>
      <c r="AR40" s="704" t="n">
        <v>0</v>
      </c>
      <c r="AS40" s="704" t="n">
        <v>0</v>
      </c>
      <c r="AT40" s="704" t="n">
        <v>0</v>
      </c>
      <c r="AU40" s="704" t="n">
        <v>0</v>
      </c>
      <c r="AV40" s="704" t="n">
        <v>0</v>
      </c>
      <c r="AW40" s="704" t="n">
        <v>0</v>
      </c>
      <c r="AX40" s="704" t="n">
        <v>0</v>
      </c>
      <c r="AY40" s="704" t="n">
        <v>0</v>
      </c>
      <c r="AZ40" s="704" t="n">
        <v>0</v>
      </c>
      <c r="BA40" s="704" t="n">
        <v>0</v>
      </c>
      <c r="BB40" s="704" t="n">
        <v>0</v>
      </c>
      <c r="BC40" s="704" t="n">
        <v>0</v>
      </c>
      <c r="BD40" s="704" t="n">
        <v>0</v>
      </c>
      <c r="BE40" s="704" t="n">
        <v>0</v>
      </c>
      <c r="BF40" s="704" t="n">
        <v>0</v>
      </c>
      <c r="BG40" s="704" t="n">
        <v>0</v>
      </c>
      <c r="BH40" s="704" t="n">
        <v>0</v>
      </c>
      <c r="BI40" s="704" t="n">
        <v>0</v>
      </c>
      <c r="BJ40" s="704" t="n">
        <v>0</v>
      </c>
      <c r="BK40" s="704" t="n">
        <v>0</v>
      </c>
      <c r="BL40" s="704" t="n">
        <v>0</v>
      </c>
      <c r="BM40" s="704" t="n">
        <v>0</v>
      </c>
      <c r="BN40" s="704" t="n">
        <v>0</v>
      </c>
      <c r="BO40" s="704" t="n">
        <v>0</v>
      </c>
      <c r="BP40" s="704" t="n">
        <v>0</v>
      </c>
      <c r="BQ40" s="704" t="n">
        <v>0</v>
      </c>
      <c r="BR40" s="704" t="n">
        <v>0</v>
      </c>
      <c r="BS40" s="704" t="n">
        <v>0</v>
      </c>
      <c r="BT40" s="704" t="n">
        <v>0</v>
      </c>
      <c r="BU40" s="704" t="n">
        <v>0</v>
      </c>
      <c r="BV40" s="704" t="n">
        <v>0</v>
      </c>
      <c r="BW40" s="704" t="n">
        <v>0</v>
      </c>
      <c r="BX40" s="704" t="n">
        <v>0</v>
      </c>
      <c r="BY40" s="704" t="n">
        <v>0</v>
      </c>
      <c r="BZ40" s="704" t="n">
        <v>0</v>
      </c>
      <c r="CA40" s="704" t="n">
        <v>0</v>
      </c>
      <c r="CB40" s="704" t="n">
        <v>0</v>
      </c>
      <c r="CC40" s="704" t="n">
        <v>0</v>
      </c>
      <c r="CD40" s="704" t="n">
        <v>0</v>
      </c>
      <c r="CE40" s="704" t="n">
        <v>0</v>
      </c>
      <c r="CF40" s="704" t="n">
        <v>0</v>
      </c>
      <c r="CG40" s="704" t="n">
        <v>0</v>
      </c>
      <c r="CH40" s="704" t="n">
        <v>0</v>
      </c>
      <c r="CI40" s="704" t="n">
        <v>0</v>
      </c>
      <c r="CJ40" s="704" t="n">
        <v>0</v>
      </c>
      <c r="CK40" s="704" t="n">
        <v>0</v>
      </c>
      <c r="CL40" s="704" t="n">
        <v>0</v>
      </c>
      <c r="CM40" s="704" t="n">
        <v>0</v>
      </c>
      <c r="CN40" s="704" t="n">
        <v>0</v>
      </c>
      <c r="CO40" s="704" t="n">
        <v>0</v>
      </c>
      <c r="CP40" s="704" t="n">
        <v>0</v>
      </c>
      <c r="CQ40" s="704" t="n">
        <v>0</v>
      </c>
      <c r="CR40" s="704" t="n">
        <v>0</v>
      </c>
      <c r="CS40" s="704" t="n">
        <v>0</v>
      </c>
      <c r="CT40" s="704" t="n">
        <v>0</v>
      </c>
      <c r="CU40" s="704" t="n">
        <v>0</v>
      </c>
      <c r="CV40" s="704" t="n">
        <v>0</v>
      </c>
      <c r="CW40" s="704" t="n">
        <v>0</v>
      </c>
      <c r="CX40" s="704" t="n">
        <v>0</v>
      </c>
      <c r="CY40" s="704" t="n">
        <v>0</v>
      </c>
      <c r="CZ40" s="704" t="n">
        <v>0</v>
      </c>
      <c r="DA40" s="704" t="n">
        <v>0</v>
      </c>
      <c r="DB40" s="704" t="n">
        <v>0</v>
      </c>
      <c r="DC40" s="704" t="n">
        <v>0</v>
      </c>
      <c r="DD40" s="704" t="n">
        <v>0</v>
      </c>
      <c r="DE40" s="704" t="n">
        <v>0</v>
      </c>
      <c r="DF40" s="704" t="n">
        <v>0</v>
      </c>
      <c r="DG40" s="704" t="n">
        <v>0</v>
      </c>
      <c r="DH40" s="704" t="n">
        <v>0</v>
      </c>
      <c r="DI40" s="704" t="n">
        <v>0</v>
      </c>
      <c r="DJ40" s="704" t="n">
        <v>0</v>
      </c>
      <c r="DK40" s="704" t="n">
        <v>0</v>
      </c>
      <c r="DL40" s="704" t="n">
        <v>0</v>
      </c>
      <c r="DM40" s="704" t="n">
        <v>0</v>
      </c>
    </row>
    <row r="41" ht="13.5" customHeight="1" s="355">
      <c r="B41" s="703" t="inlineStr">
        <is>
          <t>Order to Cash</t>
        </is>
      </c>
      <c r="D41" s="704" t="n">
        <v>0</v>
      </c>
      <c r="E41" s="704" t="n">
        <v>0</v>
      </c>
      <c r="F41" s="704" t="n">
        <v>0</v>
      </c>
      <c r="G41" s="704" t="n">
        <v>0</v>
      </c>
      <c r="H41" s="704" t="n">
        <v>0</v>
      </c>
      <c r="I41" s="704" t="n">
        <v>0</v>
      </c>
      <c r="J41" s="704" t="n">
        <v>0</v>
      </c>
      <c r="K41" s="704" t="n">
        <v>0</v>
      </c>
      <c r="L41" s="704" t="n">
        <v>0</v>
      </c>
      <c r="M41" s="704" t="n">
        <v>5.55959251374584</v>
      </c>
      <c r="N41" s="704" t="n">
        <v>4.97892396231017</v>
      </c>
      <c r="O41" s="704" t="n">
        <v>0</v>
      </c>
      <c r="P41" s="704" t="n">
        <v>0</v>
      </c>
      <c r="Q41" s="704" t="n">
        <v>0</v>
      </c>
      <c r="R41" s="704" t="n">
        <v>0</v>
      </c>
      <c r="S41" s="704" t="n">
        <v>0</v>
      </c>
      <c r="T41" s="704" t="n">
        <v>0</v>
      </c>
      <c r="U41" s="704" t="n">
        <v>0</v>
      </c>
      <c r="V41" s="704" t="n">
        <v>0</v>
      </c>
      <c r="W41" s="704" t="n">
        <v>0</v>
      </c>
      <c r="X41" s="704" t="n">
        <v>0</v>
      </c>
      <c r="Y41" s="704" t="n">
        <v>0</v>
      </c>
      <c r="Z41" s="704" t="n">
        <v>0</v>
      </c>
      <c r="AA41" s="704" t="n">
        <v>0</v>
      </c>
      <c r="AB41" s="704" t="n">
        <v>0</v>
      </c>
      <c r="AC41" s="704" t="n">
        <v>0</v>
      </c>
      <c r="AD41" s="704" t="n">
        <v>0</v>
      </c>
      <c r="AE41" s="704" t="n">
        <v>0</v>
      </c>
      <c r="AF41" s="704" t="n">
        <v>0</v>
      </c>
      <c r="AG41" s="704" t="n">
        <v>0</v>
      </c>
      <c r="AH41" s="704" t="n">
        <v>0</v>
      </c>
      <c r="AI41" s="704" t="n">
        <v>0</v>
      </c>
      <c r="AJ41" s="704" t="n">
        <v>0</v>
      </c>
      <c r="AK41" s="704" t="n">
        <v>0</v>
      </c>
      <c r="AL41" s="704" t="n">
        <v>0</v>
      </c>
      <c r="AM41" s="704" t="n">
        <v>0</v>
      </c>
      <c r="AN41" s="704" t="n">
        <v>0</v>
      </c>
      <c r="AO41" s="704" t="n">
        <v>0</v>
      </c>
      <c r="AP41" s="704" t="n">
        <v>0</v>
      </c>
      <c r="AQ41" s="704" t="n">
        <v>0</v>
      </c>
      <c r="AR41" s="704" t="n">
        <v>0</v>
      </c>
      <c r="AS41" s="704" t="n">
        <v>0</v>
      </c>
      <c r="AT41" s="704" t="n">
        <v>0</v>
      </c>
      <c r="AU41" s="704" t="n">
        <v>0</v>
      </c>
      <c r="AV41" s="704" t="n">
        <v>0</v>
      </c>
      <c r="AW41" s="704" t="n">
        <v>0</v>
      </c>
      <c r="AX41" s="704" t="n">
        <v>0</v>
      </c>
      <c r="AY41" s="704" t="n">
        <v>0</v>
      </c>
      <c r="AZ41" s="704" t="n">
        <v>0</v>
      </c>
      <c r="BA41" s="704" t="n">
        <v>0</v>
      </c>
      <c r="BB41" s="704" t="n">
        <v>0</v>
      </c>
      <c r="BC41" s="704" t="n">
        <v>0</v>
      </c>
      <c r="BD41" s="704" t="n">
        <v>0</v>
      </c>
      <c r="BE41" s="704" t="n">
        <v>0</v>
      </c>
      <c r="BF41" s="704" t="n">
        <v>0</v>
      </c>
      <c r="BG41" s="704" t="n">
        <v>0</v>
      </c>
      <c r="BH41" s="704" t="n">
        <v>0</v>
      </c>
      <c r="BI41" s="704" t="n">
        <v>0</v>
      </c>
      <c r="BJ41" s="704" t="n">
        <v>0</v>
      </c>
      <c r="BK41" s="704" t="n">
        <v>0</v>
      </c>
      <c r="BL41" s="704" t="n">
        <v>0</v>
      </c>
      <c r="BM41" s="704" t="n">
        <v>0</v>
      </c>
      <c r="BN41" s="704" t="n">
        <v>0</v>
      </c>
      <c r="BO41" s="704" t="n">
        <v>0</v>
      </c>
      <c r="BP41" s="704" t="n">
        <v>0</v>
      </c>
      <c r="BQ41" s="704" t="n">
        <v>0</v>
      </c>
      <c r="BR41" s="704" t="n">
        <v>0</v>
      </c>
      <c r="BS41" s="704" t="n">
        <v>0</v>
      </c>
      <c r="BT41" s="704" t="n">
        <v>0</v>
      </c>
      <c r="BU41" s="704" t="n">
        <v>0</v>
      </c>
      <c r="BV41" s="704" t="n">
        <v>0</v>
      </c>
      <c r="BW41" s="704" t="n">
        <v>0</v>
      </c>
      <c r="BX41" s="704" t="n">
        <v>0</v>
      </c>
      <c r="BY41" s="704" t="n">
        <v>0</v>
      </c>
      <c r="BZ41" s="704" t="n">
        <v>0</v>
      </c>
      <c r="CA41" s="704" t="n">
        <v>0</v>
      </c>
      <c r="CB41" s="704" t="n">
        <v>0</v>
      </c>
      <c r="CC41" s="704" t="n">
        <v>0</v>
      </c>
      <c r="CD41" s="704" t="n">
        <v>0</v>
      </c>
      <c r="CE41" s="704" t="n">
        <v>0</v>
      </c>
      <c r="CF41" s="704" t="n">
        <v>0</v>
      </c>
      <c r="CG41" s="704" t="n">
        <v>0</v>
      </c>
      <c r="CH41" s="704" t="n">
        <v>0</v>
      </c>
      <c r="CI41" s="704" t="n">
        <v>0</v>
      </c>
      <c r="CJ41" s="704" t="n">
        <v>0</v>
      </c>
      <c r="CK41" s="704" t="n">
        <v>0</v>
      </c>
      <c r="CL41" s="704" t="n">
        <v>0</v>
      </c>
      <c r="CM41" s="704" t="n">
        <v>0</v>
      </c>
      <c r="CN41" s="704" t="n">
        <v>0</v>
      </c>
      <c r="CO41" s="704" t="n">
        <v>0</v>
      </c>
      <c r="CP41" s="704" t="n">
        <v>0</v>
      </c>
      <c r="CQ41" s="704" t="n">
        <v>0</v>
      </c>
      <c r="CR41" s="704" t="n">
        <v>0</v>
      </c>
      <c r="CS41" s="704" t="n">
        <v>0</v>
      </c>
      <c r="CT41" s="704" t="n">
        <v>0</v>
      </c>
      <c r="CU41" s="704" t="n">
        <v>0</v>
      </c>
      <c r="CV41" s="704" t="n">
        <v>0</v>
      </c>
      <c r="CW41" s="704" t="n">
        <v>0</v>
      </c>
      <c r="CX41" s="704" t="n">
        <v>0</v>
      </c>
      <c r="CY41" s="704" t="n">
        <v>0</v>
      </c>
      <c r="CZ41" s="704" t="n">
        <v>0</v>
      </c>
      <c r="DA41" s="704" t="n">
        <v>0</v>
      </c>
      <c r="DB41" s="704" t="n">
        <v>0</v>
      </c>
      <c r="DC41" s="704" t="n">
        <v>0</v>
      </c>
      <c r="DD41" s="704" t="n">
        <v>0</v>
      </c>
      <c r="DE41" s="704" t="n">
        <v>0</v>
      </c>
      <c r="DF41" s="704" t="n">
        <v>0</v>
      </c>
      <c r="DG41" s="704" t="n">
        <v>0</v>
      </c>
      <c r="DH41" s="704" t="n">
        <v>0</v>
      </c>
      <c r="DI41" s="704" t="n">
        <v>0</v>
      </c>
      <c r="DJ41" s="704" t="n">
        <v>0</v>
      </c>
      <c r="DK41" s="704" t="n">
        <v>0</v>
      </c>
      <c r="DL41" s="704" t="n">
        <v>0</v>
      </c>
      <c r="DM41" s="704" t="n">
        <v>0</v>
      </c>
    </row>
    <row r="42" ht="13.5" customHeight="1" s="355">
      <c r="B42" s="703" t="inlineStr">
        <is>
          <t>Req to Pay</t>
        </is>
      </c>
      <c r="D42" s="704" t="n">
        <v>0</v>
      </c>
      <c r="E42" s="704" t="n">
        <v>0</v>
      </c>
      <c r="F42" s="704" t="n">
        <v>0</v>
      </c>
      <c r="G42" s="704" t="n">
        <v>0</v>
      </c>
      <c r="H42" s="704" t="n">
        <v>0</v>
      </c>
      <c r="I42" s="704" t="n">
        <v>0</v>
      </c>
      <c r="J42" s="704" t="n">
        <v>3.14971433508738</v>
      </c>
      <c r="K42" s="704" t="n">
        <v>3.14971433508738</v>
      </c>
      <c r="L42" s="704" t="n">
        <v>3.14971433508738</v>
      </c>
      <c r="M42" s="704" t="n">
        <v>3.14971433508738</v>
      </c>
      <c r="N42" s="704" t="n">
        <v>1.25988573403495</v>
      </c>
      <c r="O42" s="704" t="n">
        <v>0</v>
      </c>
      <c r="P42" s="704" t="n">
        <v>0</v>
      </c>
      <c r="Q42" s="704" t="n">
        <v>0</v>
      </c>
      <c r="R42" s="704" t="n">
        <v>0</v>
      </c>
      <c r="S42" s="704" t="n">
        <v>0</v>
      </c>
      <c r="T42" s="704" t="n">
        <v>0</v>
      </c>
      <c r="U42" s="704" t="n">
        <v>0</v>
      </c>
      <c r="V42" s="704" t="n">
        <v>0</v>
      </c>
      <c r="W42" s="704" t="n">
        <v>0</v>
      </c>
      <c r="X42" s="704" t="n">
        <v>0</v>
      </c>
      <c r="Y42" s="704" t="n">
        <v>0</v>
      </c>
      <c r="Z42" s="704" t="n">
        <v>0</v>
      </c>
      <c r="AA42" s="704" t="n">
        <v>0</v>
      </c>
      <c r="AB42" s="704" t="n">
        <v>0</v>
      </c>
      <c r="AC42" s="704" t="n">
        <v>0</v>
      </c>
      <c r="AD42" s="704" t="n">
        <v>0</v>
      </c>
      <c r="AE42" s="704" t="n">
        <v>0</v>
      </c>
      <c r="AF42" s="704" t="n">
        <v>0</v>
      </c>
      <c r="AG42" s="704" t="n">
        <v>0</v>
      </c>
      <c r="AH42" s="704" t="n">
        <v>0</v>
      </c>
      <c r="AI42" s="704" t="n">
        <v>0</v>
      </c>
      <c r="AJ42" s="704" t="n">
        <v>0</v>
      </c>
      <c r="AK42" s="704" t="n">
        <v>0</v>
      </c>
      <c r="AL42" s="704" t="n">
        <v>0</v>
      </c>
      <c r="AM42" s="704" t="n">
        <v>0</v>
      </c>
      <c r="AN42" s="704" t="n">
        <v>0</v>
      </c>
      <c r="AO42" s="704" t="n">
        <v>0</v>
      </c>
      <c r="AP42" s="704" t="n">
        <v>0</v>
      </c>
      <c r="AQ42" s="704" t="n">
        <v>0</v>
      </c>
      <c r="AR42" s="704" t="n">
        <v>0</v>
      </c>
      <c r="AS42" s="704" t="n">
        <v>0</v>
      </c>
      <c r="AT42" s="704" t="n">
        <v>0</v>
      </c>
      <c r="AU42" s="704" t="n">
        <v>0</v>
      </c>
      <c r="AV42" s="704" t="n">
        <v>0</v>
      </c>
      <c r="AW42" s="704" t="n">
        <v>0</v>
      </c>
      <c r="AX42" s="704" t="n">
        <v>0</v>
      </c>
      <c r="AY42" s="704" t="n">
        <v>0</v>
      </c>
      <c r="AZ42" s="704" t="n">
        <v>0</v>
      </c>
      <c r="BA42" s="704" t="n">
        <v>0</v>
      </c>
      <c r="BB42" s="704" t="n">
        <v>0</v>
      </c>
      <c r="BC42" s="704" t="n">
        <v>0</v>
      </c>
      <c r="BD42" s="704" t="n">
        <v>0</v>
      </c>
      <c r="BE42" s="704" t="n">
        <v>0</v>
      </c>
      <c r="BF42" s="704" t="n">
        <v>0</v>
      </c>
      <c r="BG42" s="704" t="n">
        <v>0</v>
      </c>
      <c r="BH42" s="704" t="n">
        <v>0</v>
      </c>
      <c r="BI42" s="704" t="n">
        <v>0</v>
      </c>
      <c r="BJ42" s="704" t="n">
        <v>0</v>
      </c>
      <c r="BK42" s="704" t="n">
        <v>0</v>
      </c>
      <c r="BL42" s="704" t="n">
        <v>0</v>
      </c>
      <c r="BM42" s="704" t="n">
        <v>0</v>
      </c>
      <c r="BN42" s="704" t="n">
        <v>0</v>
      </c>
      <c r="BO42" s="704" t="n">
        <v>0</v>
      </c>
      <c r="BP42" s="704" t="n">
        <v>0</v>
      </c>
      <c r="BQ42" s="704" t="n">
        <v>0</v>
      </c>
      <c r="BR42" s="704" t="n">
        <v>0</v>
      </c>
      <c r="BS42" s="704" t="n">
        <v>0</v>
      </c>
      <c r="BT42" s="704" t="n">
        <v>0</v>
      </c>
      <c r="BU42" s="704" t="n">
        <v>0</v>
      </c>
      <c r="BV42" s="704" t="n">
        <v>0</v>
      </c>
      <c r="BW42" s="704" t="n">
        <v>0</v>
      </c>
      <c r="BX42" s="704" t="n">
        <v>0</v>
      </c>
      <c r="BY42" s="704" t="n">
        <v>0</v>
      </c>
      <c r="BZ42" s="704" t="n">
        <v>0</v>
      </c>
      <c r="CA42" s="704" t="n">
        <v>0</v>
      </c>
      <c r="CB42" s="704" t="n">
        <v>0</v>
      </c>
      <c r="CC42" s="704" t="n">
        <v>0</v>
      </c>
      <c r="CD42" s="704" t="n">
        <v>0</v>
      </c>
      <c r="CE42" s="704" t="n">
        <v>0</v>
      </c>
      <c r="CF42" s="704" t="n">
        <v>0</v>
      </c>
      <c r="CG42" s="704" t="n">
        <v>0</v>
      </c>
      <c r="CH42" s="704" t="n">
        <v>0</v>
      </c>
      <c r="CI42" s="704" t="n">
        <v>0</v>
      </c>
      <c r="CJ42" s="704" t="n">
        <v>0</v>
      </c>
      <c r="CK42" s="704" t="n">
        <v>0</v>
      </c>
      <c r="CL42" s="704" t="n">
        <v>0</v>
      </c>
      <c r="CM42" s="704" t="n">
        <v>0</v>
      </c>
      <c r="CN42" s="704" t="n">
        <v>0</v>
      </c>
      <c r="CO42" s="704" t="n">
        <v>0</v>
      </c>
      <c r="CP42" s="704" t="n">
        <v>0</v>
      </c>
      <c r="CQ42" s="704" t="n">
        <v>0</v>
      </c>
      <c r="CR42" s="704" t="n">
        <v>0</v>
      </c>
      <c r="CS42" s="704" t="n">
        <v>0</v>
      </c>
      <c r="CT42" s="704" t="n">
        <v>0</v>
      </c>
      <c r="CU42" s="704" t="n">
        <v>0</v>
      </c>
      <c r="CV42" s="704" t="n">
        <v>0</v>
      </c>
      <c r="CW42" s="704" t="n">
        <v>0</v>
      </c>
      <c r="CX42" s="704" t="n">
        <v>0</v>
      </c>
      <c r="CY42" s="704" t="n">
        <v>0</v>
      </c>
      <c r="CZ42" s="704" t="n">
        <v>0</v>
      </c>
      <c r="DA42" s="704" t="n">
        <v>0</v>
      </c>
      <c r="DB42" s="704" t="n">
        <v>0</v>
      </c>
      <c r="DC42" s="704" t="n">
        <v>0</v>
      </c>
      <c r="DD42" s="704" t="n">
        <v>0</v>
      </c>
      <c r="DE42" s="704" t="n">
        <v>0</v>
      </c>
      <c r="DF42" s="704" t="n">
        <v>0</v>
      </c>
      <c r="DG42" s="704" t="n">
        <v>0</v>
      </c>
      <c r="DH42" s="704" t="n">
        <v>0</v>
      </c>
      <c r="DI42" s="704" t="n">
        <v>0</v>
      </c>
      <c r="DJ42" s="704" t="n">
        <v>0</v>
      </c>
      <c r="DK42" s="704" t="n">
        <v>0</v>
      </c>
      <c r="DL42" s="704" t="n">
        <v>0</v>
      </c>
      <c r="DM42" s="704" t="n">
        <v>0</v>
      </c>
    </row>
    <row r="43" ht="13.5" customHeight="1" s="355">
      <c r="B43" s="703" t="inlineStr">
        <is>
          <t>Team Leader</t>
        </is>
      </c>
      <c r="D43" s="704" t="n">
        <v>0</v>
      </c>
      <c r="E43" s="704" t="n">
        <v>0</v>
      </c>
      <c r="F43" s="704" t="n">
        <v>0</v>
      </c>
      <c r="G43" s="704" t="n">
        <v>0</v>
      </c>
      <c r="H43" s="704" t="n">
        <v>0</v>
      </c>
      <c r="I43" s="704" t="n">
        <v>0</v>
      </c>
      <c r="J43" s="704" t="n">
        <v>0</v>
      </c>
      <c r="K43" s="704" t="n">
        <v>0</v>
      </c>
      <c r="L43" s="704" t="n">
        <v>0</v>
      </c>
      <c r="M43" s="704" t="n">
        <v>0</v>
      </c>
      <c r="N43" s="704" t="n">
        <v>0</v>
      </c>
      <c r="O43" s="704" t="n">
        <v>0</v>
      </c>
      <c r="P43" s="704" t="n">
        <v>0</v>
      </c>
      <c r="Q43" s="704" t="n">
        <v>0</v>
      </c>
      <c r="R43" s="704" t="n">
        <v>0</v>
      </c>
      <c r="S43" s="704" t="n">
        <v>0</v>
      </c>
      <c r="T43" s="704" t="n">
        <v>0</v>
      </c>
      <c r="U43" s="704" t="n">
        <v>0</v>
      </c>
      <c r="V43" s="704" t="n">
        <v>0</v>
      </c>
      <c r="W43" s="704" t="n">
        <v>0</v>
      </c>
      <c r="X43" s="704" t="n">
        <v>0</v>
      </c>
      <c r="Y43" s="704" t="n">
        <v>0</v>
      </c>
      <c r="Z43" s="704" t="n">
        <v>0</v>
      </c>
      <c r="AA43" s="704" t="n">
        <v>0</v>
      </c>
      <c r="AB43" s="704" t="n">
        <v>0</v>
      </c>
      <c r="AC43" s="704" t="n">
        <v>0</v>
      </c>
      <c r="AD43" s="704" t="n">
        <v>0</v>
      </c>
      <c r="AE43" s="704" t="n">
        <v>0</v>
      </c>
      <c r="AF43" s="704" t="n">
        <v>0</v>
      </c>
      <c r="AG43" s="704" t="n">
        <v>0</v>
      </c>
      <c r="AH43" s="704" t="n">
        <v>0</v>
      </c>
      <c r="AI43" s="704" t="n">
        <v>0</v>
      </c>
      <c r="AJ43" s="704" t="n">
        <v>0</v>
      </c>
      <c r="AK43" s="704" t="n">
        <v>0</v>
      </c>
      <c r="AL43" s="704" t="n">
        <v>0</v>
      </c>
      <c r="AM43" s="704" t="n">
        <v>0</v>
      </c>
      <c r="AN43" s="704" t="n">
        <v>0</v>
      </c>
      <c r="AO43" s="704" t="n">
        <v>0</v>
      </c>
      <c r="AP43" s="704" t="n">
        <v>0</v>
      </c>
      <c r="AQ43" s="704" t="n">
        <v>0</v>
      </c>
      <c r="AR43" s="704" t="n">
        <v>0</v>
      </c>
      <c r="AS43" s="704" t="n">
        <v>0</v>
      </c>
      <c r="AT43" s="704" t="n">
        <v>0</v>
      </c>
      <c r="AU43" s="704" t="n">
        <v>0</v>
      </c>
      <c r="AV43" s="704" t="n">
        <v>0</v>
      </c>
      <c r="AW43" s="704" t="n">
        <v>0</v>
      </c>
      <c r="AX43" s="704" t="n">
        <v>0</v>
      </c>
      <c r="AY43" s="704" t="n">
        <v>0</v>
      </c>
      <c r="AZ43" s="704" t="n">
        <v>0</v>
      </c>
      <c r="BA43" s="704" t="n">
        <v>0</v>
      </c>
      <c r="BB43" s="704" t="n">
        <v>0</v>
      </c>
      <c r="BC43" s="704" t="n">
        <v>0</v>
      </c>
      <c r="BD43" s="704" t="n">
        <v>0</v>
      </c>
      <c r="BE43" s="704" t="n">
        <v>0</v>
      </c>
      <c r="BF43" s="704" t="n">
        <v>0</v>
      </c>
      <c r="BG43" s="704" t="n">
        <v>0</v>
      </c>
      <c r="BH43" s="704" t="n">
        <v>0</v>
      </c>
      <c r="BI43" s="704" t="n">
        <v>0</v>
      </c>
      <c r="BJ43" s="704" t="n">
        <v>0</v>
      </c>
      <c r="BK43" s="704" t="n">
        <v>0</v>
      </c>
      <c r="BL43" s="704" t="n">
        <v>0</v>
      </c>
      <c r="BM43" s="704" t="n">
        <v>0</v>
      </c>
      <c r="BN43" s="704" t="n">
        <v>0</v>
      </c>
      <c r="BO43" s="704" t="n">
        <v>0</v>
      </c>
      <c r="BP43" s="704" t="n">
        <v>0</v>
      </c>
      <c r="BQ43" s="704" t="n">
        <v>0</v>
      </c>
      <c r="BR43" s="704" t="n">
        <v>0</v>
      </c>
      <c r="BS43" s="704" t="n">
        <v>0</v>
      </c>
      <c r="BT43" s="704" t="n">
        <v>0</v>
      </c>
      <c r="BU43" s="704" t="n">
        <v>0</v>
      </c>
      <c r="BV43" s="704" t="n">
        <v>0</v>
      </c>
      <c r="BW43" s="704" t="n">
        <v>0</v>
      </c>
      <c r="BX43" s="704" t="n">
        <v>0</v>
      </c>
      <c r="BY43" s="704" t="n">
        <v>0</v>
      </c>
      <c r="BZ43" s="704" t="n">
        <v>0</v>
      </c>
      <c r="CA43" s="704" t="n">
        <v>0</v>
      </c>
      <c r="CB43" s="704" t="n">
        <v>0</v>
      </c>
      <c r="CC43" s="704" t="n">
        <v>0</v>
      </c>
      <c r="CD43" s="704" t="n">
        <v>0</v>
      </c>
      <c r="CE43" s="704" t="n">
        <v>0</v>
      </c>
      <c r="CF43" s="704" t="n">
        <v>0</v>
      </c>
      <c r="CG43" s="704" t="n">
        <v>0</v>
      </c>
      <c r="CH43" s="704" t="n">
        <v>0</v>
      </c>
      <c r="CI43" s="704" t="n">
        <v>0</v>
      </c>
      <c r="CJ43" s="704" t="n">
        <v>0</v>
      </c>
      <c r="CK43" s="704" t="n">
        <v>0</v>
      </c>
      <c r="CL43" s="704" t="n">
        <v>0</v>
      </c>
      <c r="CM43" s="704" t="n">
        <v>0</v>
      </c>
      <c r="CN43" s="704" t="n">
        <v>0</v>
      </c>
      <c r="CO43" s="704" t="n">
        <v>0</v>
      </c>
      <c r="CP43" s="704" t="n">
        <v>0</v>
      </c>
      <c r="CQ43" s="704" t="n">
        <v>0</v>
      </c>
      <c r="CR43" s="704" t="n">
        <v>0</v>
      </c>
      <c r="CS43" s="704" t="n">
        <v>0</v>
      </c>
      <c r="CT43" s="704" t="n">
        <v>0</v>
      </c>
      <c r="CU43" s="704" t="n">
        <v>0</v>
      </c>
      <c r="CV43" s="704" t="n">
        <v>0</v>
      </c>
      <c r="CW43" s="704" t="n">
        <v>0</v>
      </c>
      <c r="CX43" s="704" t="n">
        <v>0</v>
      </c>
      <c r="CY43" s="704" t="n">
        <v>0</v>
      </c>
      <c r="CZ43" s="704" t="n">
        <v>0</v>
      </c>
      <c r="DA43" s="704" t="n">
        <v>0</v>
      </c>
      <c r="DB43" s="704" t="n">
        <v>0</v>
      </c>
      <c r="DC43" s="704" t="n">
        <v>0</v>
      </c>
      <c r="DD43" s="704" t="n">
        <v>0</v>
      </c>
      <c r="DE43" s="704" t="n">
        <v>0</v>
      </c>
      <c r="DF43" s="704" t="n">
        <v>0</v>
      </c>
      <c r="DG43" s="704" t="n">
        <v>0</v>
      </c>
      <c r="DH43" s="704" t="n">
        <v>0</v>
      </c>
      <c r="DI43" s="704" t="n">
        <v>0</v>
      </c>
      <c r="DJ43" s="704" t="n">
        <v>0</v>
      </c>
      <c r="DK43" s="704" t="n">
        <v>0</v>
      </c>
      <c r="DL43" s="704" t="n">
        <v>0</v>
      </c>
      <c r="DM43" s="704" t="n">
        <v>0</v>
      </c>
    </row>
    <row r="44" ht="13.5" customHeight="1" s="355">
      <c r="B44" s="703" t="inlineStr">
        <is>
          <t>SLA Metric Reporting</t>
        </is>
      </c>
      <c r="D44" s="704" t="n">
        <v>0</v>
      </c>
      <c r="E44" s="704" t="n">
        <v>0</v>
      </c>
      <c r="F44" s="704" t="n">
        <v>0</v>
      </c>
      <c r="G44" s="704" t="n">
        <v>0</v>
      </c>
      <c r="H44" s="704" t="n">
        <v>0</v>
      </c>
      <c r="I44" s="704" t="n">
        <v>0</v>
      </c>
      <c r="J44" s="704" t="n">
        <v>0</v>
      </c>
      <c r="K44" s="704" t="n">
        <v>0</v>
      </c>
      <c r="L44" s="704" t="n">
        <v>0</v>
      </c>
      <c r="M44" s="704" t="n">
        <v>0</v>
      </c>
      <c r="N44" s="704" t="n">
        <v>0</v>
      </c>
      <c r="O44" s="704" t="n">
        <v>0</v>
      </c>
      <c r="P44" s="704" t="n">
        <v>0</v>
      </c>
      <c r="Q44" s="704" t="n">
        <v>0</v>
      </c>
      <c r="R44" s="704" t="n">
        <v>0</v>
      </c>
      <c r="S44" s="704" t="n">
        <v>0</v>
      </c>
      <c r="T44" s="704" t="n">
        <v>0</v>
      </c>
      <c r="U44" s="704" t="n">
        <v>0</v>
      </c>
      <c r="V44" s="704" t="n">
        <v>0</v>
      </c>
      <c r="W44" s="704" t="n">
        <v>0</v>
      </c>
      <c r="X44" s="704" t="n">
        <v>0</v>
      </c>
      <c r="Y44" s="704" t="n">
        <v>0</v>
      </c>
      <c r="Z44" s="704" t="n">
        <v>0</v>
      </c>
      <c r="AA44" s="704" t="n">
        <v>0</v>
      </c>
      <c r="AB44" s="704" t="n">
        <v>0</v>
      </c>
      <c r="AC44" s="704" t="n">
        <v>0</v>
      </c>
      <c r="AD44" s="704" t="n">
        <v>0</v>
      </c>
      <c r="AE44" s="704" t="n">
        <v>0</v>
      </c>
      <c r="AF44" s="704" t="n">
        <v>0</v>
      </c>
      <c r="AG44" s="704" t="n">
        <v>0</v>
      </c>
      <c r="AH44" s="704" t="n">
        <v>0</v>
      </c>
      <c r="AI44" s="704" t="n">
        <v>0</v>
      </c>
      <c r="AJ44" s="704" t="n">
        <v>0</v>
      </c>
      <c r="AK44" s="704" t="n">
        <v>0</v>
      </c>
      <c r="AL44" s="704" t="n">
        <v>0</v>
      </c>
      <c r="AM44" s="704" t="n">
        <v>0</v>
      </c>
      <c r="AN44" s="704" t="n">
        <v>0</v>
      </c>
      <c r="AO44" s="704" t="n">
        <v>0</v>
      </c>
      <c r="AP44" s="704" t="n">
        <v>0</v>
      </c>
      <c r="AQ44" s="704" t="n">
        <v>0</v>
      </c>
      <c r="AR44" s="704" t="n">
        <v>0</v>
      </c>
      <c r="AS44" s="704" t="n">
        <v>0</v>
      </c>
      <c r="AT44" s="704" t="n">
        <v>0</v>
      </c>
      <c r="AU44" s="704" t="n">
        <v>0</v>
      </c>
      <c r="AV44" s="704" t="n">
        <v>0</v>
      </c>
      <c r="AW44" s="704" t="n">
        <v>0</v>
      </c>
      <c r="AX44" s="704" t="n">
        <v>0</v>
      </c>
      <c r="AY44" s="704" t="n">
        <v>0</v>
      </c>
      <c r="AZ44" s="704" t="n">
        <v>0</v>
      </c>
      <c r="BA44" s="704" t="n">
        <v>0</v>
      </c>
      <c r="BB44" s="704" t="n">
        <v>0</v>
      </c>
      <c r="BC44" s="704" t="n">
        <v>0</v>
      </c>
      <c r="BD44" s="704" t="n">
        <v>0</v>
      </c>
      <c r="BE44" s="704" t="n">
        <v>0</v>
      </c>
      <c r="BF44" s="704" t="n">
        <v>0</v>
      </c>
      <c r="BG44" s="704" t="n">
        <v>0</v>
      </c>
      <c r="BH44" s="704" t="n">
        <v>0</v>
      </c>
      <c r="BI44" s="704" t="n">
        <v>0</v>
      </c>
      <c r="BJ44" s="704" t="n">
        <v>0</v>
      </c>
      <c r="BK44" s="704" t="n">
        <v>0</v>
      </c>
      <c r="BL44" s="704" t="n">
        <v>0</v>
      </c>
      <c r="BM44" s="704" t="n">
        <v>0</v>
      </c>
      <c r="BN44" s="704" t="n">
        <v>0</v>
      </c>
      <c r="BO44" s="704" t="n">
        <v>0</v>
      </c>
      <c r="BP44" s="704" t="n">
        <v>0</v>
      </c>
      <c r="BQ44" s="704" t="n">
        <v>0</v>
      </c>
      <c r="BR44" s="704" t="n">
        <v>0</v>
      </c>
      <c r="BS44" s="704" t="n">
        <v>0</v>
      </c>
      <c r="BT44" s="704" t="n">
        <v>0</v>
      </c>
      <c r="BU44" s="704" t="n">
        <v>0</v>
      </c>
      <c r="BV44" s="704" t="n">
        <v>0</v>
      </c>
      <c r="BW44" s="704" t="n">
        <v>0</v>
      </c>
      <c r="BX44" s="704" t="n">
        <v>0</v>
      </c>
      <c r="BY44" s="704" t="n">
        <v>0</v>
      </c>
      <c r="BZ44" s="704" t="n">
        <v>0</v>
      </c>
      <c r="CA44" s="704" t="n">
        <v>0</v>
      </c>
      <c r="CB44" s="704" t="n">
        <v>0</v>
      </c>
      <c r="CC44" s="704" t="n">
        <v>0</v>
      </c>
      <c r="CD44" s="704" t="n">
        <v>0</v>
      </c>
      <c r="CE44" s="704" t="n">
        <v>0</v>
      </c>
      <c r="CF44" s="704" t="n">
        <v>0</v>
      </c>
      <c r="CG44" s="704" t="n">
        <v>0</v>
      </c>
      <c r="CH44" s="704" t="n">
        <v>0</v>
      </c>
      <c r="CI44" s="704" t="n">
        <v>0</v>
      </c>
      <c r="CJ44" s="704" t="n">
        <v>0</v>
      </c>
      <c r="CK44" s="704" t="n">
        <v>0</v>
      </c>
      <c r="CL44" s="704" t="n">
        <v>0</v>
      </c>
      <c r="CM44" s="704" t="n">
        <v>0</v>
      </c>
      <c r="CN44" s="704" t="n">
        <v>0</v>
      </c>
      <c r="CO44" s="704" t="n">
        <v>0</v>
      </c>
      <c r="CP44" s="704" t="n">
        <v>0</v>
      </c>
      <c r="CQ44" s="704" t="n">
        <v>0</v>
      </c>
      <c r="CR44" s="704" t="n">
        <v>0</v>
      </c>
      <c r="CS44" s="704" t="n">
        <v>0</v>
      </c>
      <c r="CT44" s="704" t="n">
        <v>0</v>
      </c>
      <c r="CU44" s="704" t="n">
        <v>0</v>
      </c>
      <c r="CV44" s="704" t="n">
        <v>0</v>
      </c>
      <c r="CW44" s="704" t="n">
        <v>0</v>
      </c>
      <c r="CX44" s="704" t="n">
        <v>0</v>
      </c>
      <c r="CY44" s="704" t="n">
        <v>0</v>
      </c>
      <c r="CZ44" s="704" t="n">
        <v>0</v>
      </c>
      <c r="DA44" s="704" t="n">
        <v>0</v>
      </c>
      <c r="DB44" s="704" t="n">
        <v>0</v>
      </c>
      <c r="DC44" s="704" t="n">
        <v>0</v>
      </c>
      <c r="DD44" s="704" t="n">
        <v>0</v>
      </c>
      <c r="DE44" s="704" t="n">
        <v>0</v>
      </c>
      <c r="DF44" s="704" t="n">
        <v>0</v>
      </c>
      <c r="DG44" s="704" t="n">
        <v>0</v>
      </c>
      <c r="DH44" s="704" t="n">
        <v>0</v>
      </c>
      <c r="DI44" s="704" t="n">
        <v>0</v>
      </c>
      <c r="DJ44" s="704" t="n">
        <v>0</v>
      </c>
      <c r="DK44" s="704" t="n">
        <v>0</v>
      </c>
      <c r="DL44" s="704" t="n">
        <v>0</v>
      </c>
      <c r="DM44" s="704" t="n">
        <v>0</v>
      </c>
    </row>
    <row r="45" ht="13.5" customHeight="1" s="355">
      <c r="B45" s="705" t="inlineStr">
        <is>
          <t>Grand Total</t>
        </is>
      </c>
      <c r="C45" s="706" t="n"/>
      <c r="D45" s="707" t="n">
        <v>0</v>
      </c>
      <c r="E45" s="707" t="n">
        <v>0</v>
      </c>
      <c r="F45" s="707" t="n">
        <v>0</v>
      </c>
      <c r="G45" s="707" t="n">
        <v>0</v>
      </c>
      <c r="H45" s="707" t="n">
        <v>0</v>
      </c>
      <c r="I45" s="707" t="n">
        <v>0</v>
      </c>
      <c r="J45" s="707" t="n">
        <v>3.14971433508738</v>
      </c>
      <c r="K45" s="707" t="n">
        <v>26.4370090792206</v>
      </c>
      <c r="L45" s="707" t="n">
        <v>26.4370090792206</v>
      </c>
      <c r="M45" s="707" t="n">
        <v>40.2238440982823</v>
      </c>
      <c r="N45" s="707" t="n">
        <v>33.4934636041529</v>
      </c>
      <c r="O45" s="707" t="n">
        <v>2.07788228139004</v>
      </c>
      <c r="P45" s="707" t="n">
        <v>1.61821417670205</v>
      </c>
      <c r="Q45" s="707" t="n">
        <v>0</v>
      </c>
      <c r="R45" s="707" t="n">
        <v>0</v>
      </c>
      <c r="S45" s="707" t="n">
        <v>0</v>
      </c>
      <c r="T45" s="707" t="n">
        <v>0</v>
      </c>
      <c r="U45" s="707" t="n">
        <v>0</v>
      </c>
      <c r="V45" s="707" t="n">
        <v>0</v>
      </c>
      <c r="W45" s="707" t="n">
        <v>0</v>
      </c>
      <c r="X45" s="707" t="n">
        <v>0</v>
      </c>
      <c r="Y45" s="707" t="n">
        <v>0</v>
      </c>
      <c r="Z45" s="707" t="n">
        <v>0</v>
      </c>
      <c r="AA45" s="707" t="n">
        <v>0</v>
      </c>
      <c r="AB45" s="707" t="n">
        <v>0</v>
      </c>
      <c r="AC45" s="707" t="n">
        <v>0</v>
      </c>
      <c r="AD45" s="707" t="n">
        <v>0</v>
      </c>
      <c r="AE45" s="707" t="n">
        <v>0</v>
      </c>
      <c r="AF45" s="707" t="n">
        <v>0</v>
      </c>
      <c r="AG45" s="707" t="n">
        <v>0</v>
      </c>
      <c r="AH45" s="707" t="n">
        <v>0</v>
      </c>
      <c r="AI45" s="707" t="n">
        <v>0</v>
      </c>
      <c r="AJ45" s="707" t="n">
        <v>0</v>
      </c>
      <c r="AK45" s="707" t="n">
        <v>0</v>
      </c>
      <c r="AL45" s="707" t="n">
        <v>0</v>
      </c>
      <c r="AM45" s="707" t="n">
        <v>0</v>
      </c>
      <c r="AN45" s="707" t="n">
        <v>0</v>
      </c>
      <c r="AO45" s="707" t="n">
        <v>0</v>
      </c>
      <c r="AP45" s="707" t="n">
        <v>0</v>
      </c>
      <c r="AQ45" s="707" t="n">
        <v>0</v>
      </c>
      <c r="AR45" s="707" t="n">
        <v>0</v>
      </c>
      <c r="AS45" s="707" t="n">
        <v>0</v>
      </c>
      <c r="AT45" s="707" t="n">
        <v>0</v>
      </c>
      <c r="AU45" s="707" t="n">
        <v>0</v>
      </c>
      <c r="AV45" s="707" t="n">
        <v>0</v>
      </c>
      <c r="AW45" s="707" t="n">
        <v>0</v>
      </c>
      <c r="AX45" s="707" t="n">
        <v>0</v>
      </c>
      <c r="AY45" s="707" t="n">
        <v>0</v>
      </c>
      <c r="AZ45" s="707" t="n">
        <v>0</v>
      </c>
      <c r="BA45" s="707" t="n">
        <v>0</v>
      </c>
      <c r="BB45" s="707" t="n">
        <v>0</v>
      </c>
      <c r="BC45" s="707" t="n">
        <v>0</v>
      </c>
      <c r="BD45" s="707" t="n">
        <v>0</v>
      </c>
      <c r="BE45" s="707" t="n">
        <v>0</v>
      </c>
      <c r="BF45" s="707" t="n">
        <v>0</v>
      </c>
      <c r="BG45" s="707" t="n">
        <v>0</v>
      </c>
      <c r="BH45" s="707" t="n">
        <v>0</v>
      </c>
      <c r="BI45" s="707" t="n">
        <v>0</v>
      </c>
      <c r="BJ45" s="707" t="n">
        <v>0</v>
      </c>
      <c r="BK45" s="707" t="n">
        <v>0</v>
      </c>
      <c r="BL45" s="707" t="n">
        <v>0</v>
      </c>
      <c r="BM45" s="707" t="n">
        <v>0</v>
      </c>
      <c r="BN45" s="707" t="n">
        <v>0</v>
      </c>
      <c r="BO45" s="707" t="n">
        <v>0</v>
      </c>
      <c r="BP45" s="707" t="n">
        <v>0</v>
      </c>
      <c r="BQ45" s="707" t="n">
        <v>0</v>
      </c>
      <c r="BR45" s="707" t="n">
        <v>0</v>
      </c>
      <c r="BS45" s="707" t="n">
        <v>0</v>
      </c>
      <c r="BT45" s="707" t="n">
        <v>0</v>
      </c>
      <c r="BU45" s="707" t="n">
        <v>0</v>
      </c>
      <c r="BV45" s="707" t="n">
        <v>0</v>
      </c>
      <c r="BW45" s="707" t="n">
        <v>0</v>
      </c>
      <c r="BX45" s="707" t="n">
        <v>0</v>
      </c>
      <c r="BY45" s="707" t="n">
        <v>0</v>
      </c>
      <c r="BZ45" s="707" t="n">
        <v>0</v>
      </c>
      <c r="CA45" s="707" t="n">
        <v>0</v>
      </c>
      <c r="CB45" s="707" t="n">
        <v>0</v>
      </c>
      <c r="CC45" s="707" t="n">
        <v>0</v>
      </c>
      <c r="CD45" s="707" t="n">
        <v>0</v>
      </c>
      <c r="CE45" s="707" t="n">
        <v>0</v>
      </c>
      <c r="CF45" s="707" t="n">
        <v>0</v>
      </c>
      <c r="CG45" s="707" t="n">
        <v>0</v>
      </c>
      <c r="CH45" s="707" t="n">
        <v>0</v>
      </c>
      <c r="CI45" s="707" t="n">
        <v>0</v>
      </c>
      <c r="CJ45" s="707" t="n">
        <v>0</v>
      </c>
      <c r="CK45" s="707" t="n">
        <v>0</v>
      </c>
      <c r="CL45" s="707" t="n">
        <v>0</v>
      </c>
      <c r="CM45" s="707" t="n">
        <v>0</v>
      </c>
      <c r="CN45" s="707" t="n">
        <v>0</v>
      </c>
      <c r="CO45" s="707" t="n">
        <v>0</v>
      </c>
      <c r="CP45" s="707" t="n">
        <v>0</v>
      </c>
      <c r="CQ45" s="707" t="n">
        <v>0</v>
      </c>
      <c r="CR45" s="707" t="n">
        <v>0</v>
      </c>
      <c r="CS45" s="707" t="n">
        <v>0</v>
      </c>
      <c r="CT45" s="707" t="n">
        <v>0</v>
      </c>
      <c r="CU45" s="707" t="n">
        <v>0</v>
      </c>
      <c r="CV45" s="707" t="n">
        <v>0</v>
      </c>
      <c r="CW45" s="707" t="n">
        <v>0</v>
      </c>
      <c r="CX45" s="707" t="n">
        <v>0</v>
      </c>
      <c r="CY45" s="707" t="n">
        <v>0</v>
      </c>
      <c r="CZ45" s="707" t="n">
        <v>0</v>
      </c>
      <c r="DA45" s="707" t="n">
        <v>0</v>
      </c>
      <c r="DB45" s="707" t="n">
        <v>0</v>
      </c>
      <c r="DC45" s="707" t="n">
        <v>0</v>
      </c>
      <c r="DD45" s="707" t="n">
        <v>0</v>
      </c>
      <c r="DE45" s="707" t="n">
        <v>0</v>
      </c>
      <c r="DF45" s="707" t="n">
        <v>0</v>
      </c>
      <c r="DG45" s="707" t="n">
        <v>0</v>
      </c>
      <c r="DH45" s="707" t="n">
        <v>0</v>
      </c>
      <c r="DI45" s="707" t="n">
        <v>0</v>
      </c>
      <c r="DJ45" s="707" t="n">
        <v>0</v>
      </c>
      <c r="DK45" s="707" t="n">
        <v>0</v>
      </c>
      <c r="DL45" s="707" t="n">
        <v>0</v>
      </c>
      <c r="DM45" s="707" t="n">
        <v>0</v>
      </c>
    </row>
    <row r="46" ht="13.5" customHeight="1" s="355">
      <c r="A46" s="702" t="inlineStr">
        <is>
          <t>Spain</t>
        </is>
      </c>
      <c r="B46" s="703" t="inlineStr">
        <is>
          <t>Gen Acctg</t>
        </is>
      </c>
      <c r="D46" s="704" t="n">
        <v>0</v>
      </c>
      <c r="E46" s="704" t="n">
        <v>0</v>
      </c>
      <c r="F46" s="704" t="n">
        <v>0</v>
      </c>
      <c r="G46" s="704" t="n">
        <v>0</v>
      </c>
      <c r="H46" s="704" t="n">
        <v>0</v>
      </c>
      <c r="I46" s="704" t="n">
        <v>0</v>
      </c>
      <c r="J46" s="704" t="n">
        <v>0</v>
      </c>
      <c r="K46" s="704" t="n">
        <v>9.426490349720691</v>
      </c>
      <c r="L46" s="704" t="n">
        <v>9.426490349720691</v>
      </c>
      <c r="M46" s="704" t="n">
        <v>2.43264267089566</v>
      </c>
      <c r="N46" s="704" t="n">
        <v>0</v>
      </c>
      <c r="O46" s="704" t="n">
        <v>0</v>
      </c>
      <c r="P46" s="704" t="n">
        <v>0</v>
      </c>
      <c r="Q46" s="704" t="n">
        <v>0</v>
      </c>
      <c r="R46" s="704" t="n">
        <v>0</v>
      </c>
      <c r="S46" s="704" t="n">
        <v>0</v>
      </c>
      <c r="T46" s="704" t="n">
        <v>0</v>
      </c>
      <c r="U46" s="704" t="n">
        <v>0</v>
      </c>
      <c r="V46" s="704" t="n">
        <v>0</v>
      </c>
      <c r="W46" s="704" t="n">
        <v>0</v>
      </c>
      <c r="X46" s="704" t="n">
        <v>0</v>
      </c>
      <c r="Y46" s="704" t="n">
        <v>0</v>
      </c>
      <c r="Z46" s="704" t="n">
        <v>0</v>
      </c>
      <c r="AA46" s="704" t="n">
        <v>0</v>
      </c>
      <c r="AB46" s="704" t="n">
        <v>0</v>
      </c>
      <c r="AC46" s="704" t="n">
        <v>0</v>
      </c>
      <c r="AD46" s="704" t="n">
        <v>0</v>
      </c>
      <c r="AE46" s="704" t="n">
        <v>0</v>
      </c>
      <c r="AF46" s="704" t="n">
        <v>0</v>
      </c>
      <c r="AG46" s="704" t="n">
        <v>0</v>
      </c>
      <c r="AH46" s="704" t="n">
        <v>0</v>
      </c>
      <c r="AI46" s="704" t="n">
        <v>0</v>
      </c>
      <c r="AJ46" s="704" t="n">
        <v>0</v>
      </c>
      <c r="AK46" s="704" t="n">
        <v>0</v>
      </c>
      <c r="AL46" s="704" t="n">
        <v>0</v>
      </c>
      <c r="AM46" s="704" t="n">
        <v>0</v>
      </c>
      <c r="AN46" s="704" t="n">
        <v>0</v>
      </c>
      <c r="AO46" s="704" t="n">
        <v>0</v>
      </c>
      <c r="AP46" s="704" t="n">
        <v>0</v>
      </c>
      <c r="AQ46" s="704" t="n">
        <v>0</v>
      </c>
      <c r="AR46" s="704" t="n">
        <v>0</v>
      </c>
      <c r="AS46" s="704" t="n">
        <v>0</v>
      </c>
      <c r="AT46" s="704" t="n">
        <v>0</v>
      </c>
      <c r="AU46" s="704" t="n">
        <v>0</v>
      </c>
      <c r="AV46" s="704" t="n">
        <v>0</v>
      </c>
      <c r="AW46" s="704" t="n">
        <v>0</v>
      </c>
      <c r="AX46" s="704" t="n">
        <v>0</v>
      </c>
      <c r="AY46" s="704" t="n">
        <v>0</v>
      </c>
      <c r="AZ46" s="704" t="n">
        <v>0</v>
      </c>
      <c r="BA46" s="704" t="n">
        <v>0</v>
      </c>
      <c r="BB46" s="704" t="n">
        <v>0</v>
      </c>
      <c r="BC46" s="704" t="n">
        <v>0</v>
      </c>
      <c r="BD46" s="704" t="n">
        <v>0</v>
      </c>
      <c r="BE46" s="704" t="n">
        <v>0</v>
      </c>
      <c r="BF46" s="704" t="n">
        <v>0</v>
      </c>
      <c r="BG46" s="704" t="n">
        <v>0</v>
      </c>
      <c r="BH46" s="704" t="n">
        <v>0</v>
      </c>
      <c r="BI46" s="704" t="n">
        <v>0</v>
      </c>
      <c r="BJ46" s="704" t="n">
        <v>0</v>
      </c>
      <c r="BK46" s="704" t="n">
        <v>0</v>
      </c>
      <c r="BL46" s="704" t="n">
        <v>0</v>
      </c>
      <c r="BM46" s="704" t="n">
        <v>0</v>
      </c>
      <c r="BN46" s="704" t="n">
        <v>0</v>
      </c>
      <c r="BO46" s="704" t="n">
        <v>0</v>
      </c>
      <c r="BP46" s="704" t="n">
        <v>0</v>
      </c>
      <c r="BQ46" s="704" t="n">
        <v>0</v>
      </c>
      <c r="BR46" s="704" t="n">
        <v>0</v>
      </c>
      <c r="BS46" s="704" t="n">
        <v>0</v>
      </c>
      <c r="BT46" s="704" t="n">
        <v>0</v>
      </c>
      <c r="BU46" s="704" t="n">
        <v>0</v>
      </c>
      <c r="BV46" s="704" t="n">
        <v>0</v>
      </c>
      <c r="BW46" s="704" t="n">
        <v>0</v>
      </c>
      <c r="BX46" s="704" t="n">
        <v>0</v>
      </c>
      <c r="BY46" s="704" t="n">
        <v>0</v>
      </c>
      <c r="BZ46" s="704" t="n">
        <v>0</v>
      </c>
      <c r="CA46" s="704" t="n">
        <v>0</v>
      </c>
      <c r="CB46" s="704" t="n">
        <v>0</v>
      </c>
      <c r="CC46" s="704" t="n">
        <v>0</v>
      </c>
      <c r="CD46" s="704" t="n">
        <v>0</v>
      </c>
      <c r="CE46" s="704" t="n">
        <v>0</v>
      </c>
      <c r="CF46" s="704" t="n">
        <v>0</v>
      </c>
      <c r="CG46" s="704" t="n">
        <v>0</v>
      </c>
      <c r="CH46" s="704" t="n">
        <v>0</v>
      </c>
      <c r="CI46" s="704" t="n">
        <v>0</v>
      </c>
      <c r="CJ46" s="704" t="n">
        <v>0</v>
      </c>
      <c r="CK46" s="704" t="n">
        <v>0</v>
      </c>
      <c r="CL46" s="704" t="n">
        <v>0</v>
      </c>
      <c r="CM46" s="704" t="n">
        <v>0</v>
      </c>
      <c r="CN46" s="704" t="n">
        <v>0</v>
      </c>
      <c r="CO46" s="704" t="n">
        <v>0</v>
      </c>
      <c r="CP46" s="704" t="n">
        <v>0</v>
      </c>
      <c r="CQ46" s="704" t="n">
        <v>0</v>
      </c>
      <c r="CR46" s="704" t="n">
        <v>0</v>
      </c>
      <c r="CS46" s="704" t="n">
        <v>0</v>
      </c>
      <c r="CT46" s="704" t="n">
        <v>0</v>
      </c>
      <c r="CU46" s="704" t="n">
        <v>0</v>
      </c>
      <c r="CV46" s="704" t="n">
        <v>0</v>
      </c>
      <c r="CW46" s="704" t="n">
        <v>0</v>
      </c>
      <c r="CX46" s="704" t="n">
        <v>0</v>
      </c>
      <c r="CY46" s="704" t="n">
        <v>0</v>
      </c>
      <c r="CZ46" s="704" t="n">
        <v>0</v>
      </c>
      <c r="DA46" s="704" t="n">
        <v>0</v>
      </c>
      <c r="DB46" s="704" t="n">
        <v>0</v>
      </c>
      <c r="DC46" s="704" t="n">
        <v>0</v>
      </c>
      <c r="DD46" s="704" t="n">
        <v>0</v>
      </c>
      <c r="DE46" s="704" t="n">
        <v>0</v>
      </c>
      <c r="DF46" s="704" t="n">
        <v>0</v>
      </c>
      <c r="DG46" s="704" t="n">
        <v>0</v>
      </c>
      <c r="DH46" s="704" t="n">
        <v>0</v>
      </c>
      <c r="DI46" s="704" t="n">
        <v>0</v>
      </c>
      <c r="DJ46" s="704" t="n">
        <v>0</v>
      </c>
      <c r="DK46" s="704" t="n">
        <v>0</v>
      </c>
      <c r="DL46" s="704" t="n">
        <v>0</v>
      </c>
      <c r="DM46" s="704" t="n">
        <v>0</v>
      </c>
    </row>
    <row r="47" ht="13.5" customHeight="1" s="355">
      <c r="B47" s="703" t="inlineStr">
        <is>
          <t>Reporting</t>
        </is>
      </c>
      <c r="D47" s="704" t="n">
        <v>0</v>
      </c>
      <c r="E47" s="704" t="n">
        <v>0</v>
      </c>
      <c r="F47" s="704" t="n">
        <v>0</v>
      </c>
      <c r="G47" s="704" t="n">
        <v>0</v>
      </c>
      <c r="H47" s="704" t="n">
        <v>0</v>
      </c>
      <c r="I47" s="704" t="n">
        <v>0</v>
      </c>
      <c r="J47" s="704" t="n">
        <v>0</v>
      </c>
      <c r="K47" s="704" t="n">
        <v>0</v>
      </c>
      <c r="L47" s="704" t="n">
        <v>0</v>
      </c>
      <c r="M47" s="704" t="n">
        <v>0</v>
      </c>
      <c r="N47" s="704" t="n">
        <v>0</v>
      </c>
      <c r="O47" s="704" t="n">
        <v>0</v>
      </c>
      <c r="P47" s="704" t="n">
        <v>0</v>
      </c>
      <c r="Q47" s="704" t="n">
        <v>0</v>
      </c>
      <c r="R47" s="704" t="n">
        <v>0</v>
      </c>
      <c r="S47" s="704" t="n">
        <v>0</v>
      </c>
      <c r="T47" s="704" t="n">
        <v>0</v>
      </c>
      <c r="U47" s="704" t="n">
        <v>0</v>
      </c>
      <c r="V47" s="704" t="n">
        <v>0</v>
      </c>
      <c r="W47" s="704" t="n">
        <v>0</v>
      </c>
      <c r="X47" s="704" t="n">
        <v>0</v>
      </c>
      <c r="Y47" s="704" t="n">
        <v>0</v>
      </c>
      <c r="Z47" s="704" t="n">
        <v>0</v>
      </c>
      <c r="AA47" s="704" t="n">
        <v>0</v>
      </c>
      <c r="AB47" s="704" t="n">
        <v>0</v>
      </c>
      <c r="AC47" s="704" t="n">
        <v>0</v>
      </c>
      <c r="AD47" s="704" t="n">
        <v>0</v>
      </c>
      <c r="AE47" s="704" t="n">
        <v>0</v>
      </c>
      <c r="AF47" s="704" t="n">
        <v>0</v>
      </c>
      <c r="AG47" s="704" t="n">
        <v>0</v>
      </c>
      <c r="AH47" s="704" t="n">
        <v>0</v>
      </c>
      <c r="AI47" s="704" t="n">
        <v>0</v>
      </c>
      <c r="AJ47" s="704" t="n">
        <v>0</v>
      </c>
      <c r="AK47" s="704" t="n">
        <v>0</v>
      </c>
      <c r="AL47" s="704" t="n">
        <v>0</v>
      </c>
      <c r="AM47" s="704" t="n">
        <v>0</v>
      </c>
      <c r="AN47" s="704" t="n">
        <v>0</v>
      </c>
      <c r="AO47" s="704" t="n">
        <v>0</v>
      </c>
      <c r="AP47" s="704" t="n">
        <v>0</v>
      </c>
      <c r="AQ47" s="704" t="n">
        <v>0</v>
      </c>
      <c r="AR47" s="704" t="n">
        <v>0</v>
      </c>
      <c r="AS47" s="704" t="n">
        <v>0</v>
      </c>
      <c r="AT47" s="704" t="n">
        <v>0</v>
      </c>
      <c r="AU47" s="704" t="n">
        <v>0</v>
      </c>
      <c r="AV47" s="704" t="n">
        <v>0</v>
      </c>
      <c r="AW47" s="704" t="n">
        <v>0</v>
      </c>
      <c r="AX47" s="704" t="n">
        <v>0</v>
      </c>
      <c r="AY47" s="704" t="n">
        <v>0</v>
      </c>
      <c r="AZ47" s="704" t="n">
        <v>0</v>
      </c>
      <c r="BA47" s="704" t="n">
        <v>0</v>
      </c>
      <c r="BB47" s="704" t="n">
        <v>0</v>
      </c>
      <c r="BC47" s="704" t="n">
        <v>0</v>
      </c>
      <c r="BD47" s="704" t="n">
        <v>0</v>
      </c>
      <c r="BE47" s="704" t="n">
        <v>0</v>
      </c>
      <c r="BF47" s="704" t="n">
        <v>0</v>
      </c>
      <c r="BG47" s="704" t="n">
        <v>0</v>
      </c>
      <c r="BH47" s="704" t="n">
        <v>0</v>
      </c>
      <c r="BI47" s="704" t="n">
        <v>0</v>
      </c>
      <c r="BJ47" s="704" t="n">
        <v>0</v>
      </c>
      <c r="BK47" s="704" t="n">
        <v>0</v>
      </c>
      <c r="BL47" s="704" t="n">
        <v>0</v>
      </c>
      <c r="BM47" s="704" t="n">
        <v>0</v>
      </c>
      <c r="BN47" s="704" t="n">
        <v>0</v>
      </c>
      <c r="BO47" s="704" t="n">
        <v>0</v>
      </c>
      <c r="BP47" s="704" t="n">
        <v>0</v>
      </c>
      <c r="BQ47" s="704" t="n">
        <v>0</v>
      </c>
      <c r="BR47" s="704" t="n">
        <v>0</v>
      </c>
      <c r="BS47" s="704" t="n">
        <v>0</v>
      </c>
      <c r="BT47" s="704" t="n">
        <v>0</v>
      </c>
      <c r="BU47" s="704" t="n">
        <v>0</v>
      </c>
      <c r="BV47" s="704" t="n">
        <v>0</v>
      </c>
      <c r="BW47" s="704" t="n">
        <v>0</v>
      </c>
      <c r="BX47" s="704" t="n">
        <v>0</v>
      </c>
      <c r="BY47" s="704" t="n">
        <v>0</v>
      </c>
      <c r="BZ47" s="704" t="n">
        <v>0</v>
      </c>
      <c r="CA47" s="704" t="n">
        <v>0</v>
      </c>
      <c r="CB47" s="704" t="n">
        <v>0</v>
      </c>
      <c r="CC47" s="704" t="n">
        <v>0</v>
      </c>
      <c r="CD47" s="704" t="n">
        <v>0</v>
      </c>
      <c r="CE47" s="704" t="n">
        <v>0</v>
      </c>
      <c r="CF47" s="704" t="n">
        <v>0</v>
      </c>
      <c r="CG47" s="704" t="n">
        <v>0</v>
      </c>
      <c r="CH47" s="704" t="n">
        <v>0</v>
      </c>
      <c r="CI47" s="704" t="n">
        <v>0</v>
      </c>
      <c r="CJ47" s="704" t="n">
        <v>0</v>
      </c>
      <c r="CK47" s="704" t="n">
        <v>0</v>
      </c>
      <c r="CL47" s="704" t="n">
        <v>0</v>
      </c>
      <c r="CM47" s="704" t="n">
        <v>0</v>
      </c>
      <c r="CN47" s="704" t="n">
        <v>0</v>
      </c>
      <c r="CO47" s="704" t="n">
        <v>0</v>
      </c>
      <c r="CP47" s="704" t="n">
        <v>0</v>
      </c>
      <c r="CQ47" s="704" t="n">
        <v>0</v>
      </c>
      <c r="CR47" s="704" t="n">
        <v>0</v>
      </c>
      <c r="CS47" s="704" t="n">
        <v>0</v>
      </c>
      <c r="CT47" s="704" t="n">
        <v>0</v>
      </c>
      <c r="CU47" s="704" t="n">
        <v>0</v>
      </c>
      <c r="CV47" s="704" t="n">
        <v>0</v>
      </c>
      <c r="CW47" s="704" t="n">
        <v>0</v>
      </c>
      <c r="CX47" s="704" t="n">
        <v>0</v>
      </c>
      <c r="CY47" s="704" t="n">
        <v>0</v>
      </c>
      <c r="CZ47" s="704" t="n">
        <v>0</v>
      </c>
      <c r="DA47" s="704" t="n">
        <v>0</v>
      </c>
      <c r="DB47" s="704" t="n">
        <v>0</v>
      </c>
      <c r="DC47" s="704" t="n">
        <v>0</v>
      </c>
      <c r="DD47" s="704" t="n">
        <v>0</v>
      </c>
      <c r="DE47" s="704" t="n">
        <v>0</v>
      </c>
      <c r="DF47" s="704" t="n">
        <v>0</v>
      </c>
      <c r="DG47" s="704" t="n">
        <v>0</v>
      </c>
      <c r="DH47" s="704" t="n">
        <v>0</v>
      </c>
      <c r="DI47" s="704" t="n">
        <v>0</v>
      </c>
      <c r="DJ47" s="704" t="n">
        <v>0</v>
      </c>
      <c r="DK47" s="704" t="n">
        <v>0</v>
      </c>
      <c r="DL47" s="704" t="n">
        <v>0</v>
      </c>
      <c r="DM47" s="704" t="n">
        <v>0</v>
      </c>
    </row>
    <row r="48" ht="13.5" customHeight="1" s="355">
      <c r="B48" s="703" t="inlineStr">
        <is>
          <t>Fixed Assets</t>
        </is>
      </c>
      <c r="D48" s="704" t="n">
        <v>0</v>
      </c>
      <c r="E48" s="704" t="n">
        <v>0</v>
      </c>
      <c r="F48" s="704" t="n">
        <v>0</v>
      </c>
      <c r="G48" s="704" t="n">
        <v>0</v>
      </c>
      <c r="H48" s="704" t="n">
        <v>0</v>
      </c>
      <c r="I48" s="704" t="n">
        <v>0</v>
      </c>
      <c r="J48" s="704" t="n">
        <v>0</v>
      </c>
      <c r="K48" s="704" t="n">
        <v>0</v>
      </c>
      <c r="L48" s="704" t="n">
        <v>0</v>
      </c>
      <c r="M48" s="704" t="n">
        <v>0</v>
      </c>
      <c r="N48" s="704" t="n">
        <v>0</v>
      </c>
      <c r="O48" s="704" t="n">
        <v>0</v>
      </c>
      <c r="P48" s="704" t="n">
        <v>0</v>
      </c>
      <c r="Q48" s="704" t="n">
        <v>0</v>
      </c>
      <c r="R48" s="704" t="n">
        <v>0</v>
      </c>
      <c r="S48" s="704" t="n">
        <v>0</v>
      </c>
      <c r="T48" s="704" t="n">
        <v>0</v>
      </c>
      <c r="U48" s="704" t="n">
        <v>0</v>
      </c>
      <c r="V48" s="704" t="n">
        <v>0</v>
      </c>
      <c r="W48" s="704" t="n">
        <v>0</v>
      </c>
      <c r="X48" s="704" t="n">
        <v>0</v>
      </c>
      <c r="Y48" s="704" t="n">
        <v>0</v>
      </c>
      <c r="Z48" s="704" t="n">
        <v>0</v>
      </c>
      <c r="AA48" s="704" t="n">
        <v>0</v>
      </c>
      <c r="AB48" s="704" t="n">
        <v>0</v>
      </c>
      <c r="AC48" s="704" t="n">
        <v>0</v>
      </c>
      <c r="AD48" s="704" t="n">
        <v>0</v>
      </c>
      <c r="AE48" s="704" t="n">
        <v>0</v>
      </c>
      <c r="AF48" s="704" t="n">
        <v>0</v>
      </c>
      <c r="AG48" s="704" t="n">
        <v>0</v>
      </c>
      <c r="AH48" s="704" t="n">
        <v>0</v>
      </c>
      <c r="AI48" s="704" t="n">
        <v>0</v>
      </c>
      <c r="AJ48" s="704" t="n">
        <v>0</v>
      </c>
      <c r="AK48" s="704" t="n">
        <v>0</v>
      </c>
      <c r="AL48" s="704" t="n">
        <v>0</v>
      </c>
      <c r="AM48" s="704" t="n">
        <v>0</v>
      </c>
      <c r="AN48" s="704" t="n">
        <v>0</v>
      </c>
      <c r="AO48" s="704" t="n">
        <v>0</v>
      </c>
      <c r="AP48" s="704" t="n">
        <v>0</v>
      </c>
      <c r="AQ48" s="704" t="n">
        <v>0</v>
      </c>
      <c r="AR48" s="704" t="n">
        <v>0</v>
      </c>
      <c r="AS48" s="704" t="n">
        <v>0</v>
      </c>
      <c r="AT48" s="704" t="n">
        <v>0</v>
      </c>
      <c r="AU48" s="704" t="n">
        <v>0</v>
      </c>
      <c r="AV48" s="704" t="n">
        <v>0</v>
      </c>
      <c r="AW48" s="704" t="n">
        <v>0</v>
      </c>
      <c r="AX48" s="704" t="n">
        <v>0</v>
      </c>
      <c r="AY48" s="704" t="n">
        <v>0</v>
      </c>
      <c r="AZ48" s="704" t="n">
        <v>0</v>
      </c>
      <c r="BA48" s="704" t="n">
        <v>0</v>
      </c>
      <c r="BB48" s="704" t="n">
        <v>0</v>
      </c>
      <c r="BC48" s="704" t="n">
        <v>0</v>
      </c>
      <c r="BD48" s="704" t="n">
        <v>0</v>
      </c>
      <c r="BE48" s="704" t="n">
        <v>0</v>
      </c>
      <c r="BF48" s="704" t="n">
        <v>0</v>
      </c>
      <c r="BG48" s="704" t="n">
        <v>0</v>
      </c>
      <c r="BH48" s="704" t="n">
        <v>0</v>
      </c>
      <c r="BI48" s="704" t="n">
        <v>0</v>
      </c>
      <c r="BJ48" s="704" t="n">
        <v>0</v>
      </c>
      <c r="BK48" s="704" t="n">
        <v>0</v>
      </c>
      <c r="BL48" s="704" t="n">
        <v>0</v>
      </c>
      <c r="BM48" s="704" t="n">
        <v>0</v>
      </c>
      <c r="BN48" s="704" t="n">
        <v>0</v>
      </c>
      <c r="BO48" s="704" t="n">
        <v>0</v>
      </c>
      <c r="BP48" s="704" t="n">
        <v>0</v>
      </c>
      <c r="BQ48" s="704" t="n">
        <v>0</v>
      </c>
      <c r="BR48" s="704" t="n">
        <v>0</v>
      </c>
      <c r="BS48" s="704" t="n">
        <v>0</v>
      </c>
      <c r="BT48" s="704" t="n">
        <v>0</v>
      </c>
      <c r="BU48" s="704" t="n">
        <v>0</v>
      </c>
      <c r="BV48" s="704" t="n">
        <v>0</v>
      </c>
      <c r="BW48" s="704" t="n">
        <v>0</v>
      </c>
      <c r="BX48" s="704" t="n">
        <v>0</v>
      </c>
      <c r="BY48" s="704" t="n">
        <v>0</v>
      </c>
      <c r="BZ48" s="704" t="n">
        <v>0</v>
      </c>
      <c r="CA48" s="704" t="n">
        <v>0</v>
      </c>
      <c r="CB48" s="704" t="n">
        <v>0</v>
      </c>
      <c r="CC48" s="704" t="n">
        <v>0</v>
      </c>
      <c r="CD48" s="704" t="n">
        <v>0</v>
      </c>
      <c r="CE48" s="704" t="n">
        <v>0</v>
      </c>
      <c r="CF48" s="704" t="n">
        <v>0</v>
      </c>
      <c r="CG48" s="704" t="n">
        <v>0</v>
      </c>
      <c r="CH48" s="704" t="n">
        <v>0</v>
      </c>
      <c r="CI48" s="704" t="n">
        <v>0</v>
      </c>
      <c r="CJ48" s="704" t="n">
        <v>0</v>
      </c>
      <c r="CK48" s="704" t="n">
        <v>0</v>
      </c>
      <c r="CL48" s="704" t="n">
        <v>0</v>
      </c>
      <c r="CM48" s="704" t="n">
        <v>0</v>
      </c>
      <c r="CN48" s="704" t="n">
        <v>0</v>
      </c>
      <c r="CO48" s="704" t="n">
        <v>0</v>
      </c>
      <c r="CP48" s="704" t="n">
        <v>0</v>
      </c>
      <c r="CQ48" s="704" t="n">
        <v>0</v>
      </c>
      <c r="CR48" s="704" t="n">
        <v>0</v>
      </c>
      <c r="CS48" s="704" t="n">
        <v>0</v>
      </c>
      <c r="CT48" s="704" t="n">
        <v>0</v>
      </c>
      <c r="CU48" s="704" t="n">
        <v>0</v>
      </c>
      <c r="CV48" s="704" t="n">
        <v>0</v>
      </c>
      <c r="CW48" s="704" t="n">
        <v>0</v>
      </c>
      <c r="CX48" s="704" t="n">
        <v>0</v>
      </c>
      <c r="CY48" s="704" t="n">
        <v>0</v>
      </c>
      <c r="CZ48" s="704" t="n">
        <v>0</v>
      </c>
      <c r="DA48" s="704" t="n">
        <v>0</v>
      </c>
      <c r="DB48" s="704" t="n">
        <v>0</v>
      </c>
      <c r="DC48" s="704" t="n">
        <v>0</v>
      </c>
      <c r="DD48" s="704" t="n">
        <v>0</v>
      </c>
      <c r="DE48" s="704" t="n">
        <v>0</v>
      </c>
      <c r="DF48" s="704" t="n">
        <v>0</v>
      </c>
      <c r="DG48" s="704" t="n">
        <v>0</v>
      </c>
      <c r="DH48" s="704" t="n">
        <v>0</v>
      </c>
      <c r="DI48" s="704" t="n">
        <v>0</v>
      </c>
      <c r="DJ48" s="704" t="n">
        <v>0</v>
      </c>
      <c r="DK48" s="704" t="n">
        <v>0</v>
      </c>
      <c r="DL48" s="704" t="n">
        <v>0</v>
      </c>
      <c r="DM48" s="704" t="n">
        <v>0</v>
      </c>
    </row>
    <row r="49" ht="13.5" customHeight="1" s="355">
      <c r="B49" s="703" t="inlineStr">
        <is>
          <t>Acct Payable</t>
        </is>
      </c>
      <c r="D49" s="704" t="n">
        <v>0</v>
      </c>
      <c r="E49" s="704" t="n">
        <v>0</v>
      </c>
      <c r="F49" s="704" t="n">
        <v>0</v>
      </c>
      <c r="G49" s="704" t="n">
        <v>0</v>
      </c>
      <c r="H49" s="704" t="n">
        <v>0</v>
      </c>
      <c r="I49" s="704" t="n">
        <v>0</v>
      </c>
      <c r="J49" s="704" t="n">
        <v>0.319948319651172</v>
      </c>
      <c r="K49" s="704" t="n">
        <v>11.335311896213</v>
      </c>
      <c r="L49" s="704" t="n">
        <v>9.35163231437569</v>
      </c>
      <c r="M49" s="704" t="n">
        <v>1.41691398702662</v>
      </c>
      <c r="N49" s="704" t="n">
        <v>1.41691398702662</v>
      </c>
      <c r="O49" s="704" t="n">
        <v>1.41691398702662</v>
      </c>
      <c r="P49" s="704" t="n">
        <v>1.45942140663742</v>
      </c>
      <c r="Q49" s="704" t="n">
        <v>0</v>
      </c>
      <c r="R49" s="704" t="n">
        <v>0</v>
      </c>
      <c r="S49" s="704" t="n">
        <v>0</v>
      </c>
      <c r="T49" s="704" t="n">
        <v>0</v>
      </c>
      <c r="U49" s="704" t="n">
        <v>0</v>
      </c>
      <c r="V49" s="704" t="n">
        <v>0</v>
      </c>
      <c r="W49" s="704" t="n">
        <v>0</v>
      </c>
      <c r="X49" s="704" t="n">
        <v>0</v>
      </c>
      <c r="Y49" s="704" t="n">
        <v>0</v>
      </c>
      <c r="Z49" s="704" t="n">
        <v>0</v>
      </c>
      <c r="AA49" s="704" t="n">
        <v>0</v>
      </c>
      <c r="AB49" s="704" t="n">
        <v>0</v>
      </c>
      <c r="AC49" s="704" t="n">
        <v>0</v>
      </c>
      <c r="AD49" s="704" t="n">
        <v>0</v>
      </c>
      <c r="AE49" s="704" t="n">
        <v>0</v>
      </c>
      <c r="AF49" s="704" t="n">
        <v>0</v>
      </c>
      <c r="AG49" s="704" t="n">
        <v>0</v>
      </c>
      <c r="AH49" s="704" t="n">
        <v>0</v>
      </c>
      <c r="AI49" s="704" t="n">
        <v>0</v>
      </c>
      <c r="AJ49" s="704" t="n">
        <v>0</v>
      </c>
      <c r="AK49" s="704" t="n">
        <v>0</v>
      </c>
      <c r="AL49" s="704" t="n">
        <v>0</v>
      </c>
      <c r="AM49" s="704" t="n">
        <v>0</v>
      </c>
      <c r="AN49" s="704" t="n">
        <v>0</v>
      </c>
      <c r="AO49" s="704" t="n">
        <v>0</v>
      </c>
      <c r="AP49" s="704" t="n">
        <v>0</v>
      </c>
      <c r="AQ49" s="704" t="n">
        <v>0</v>
      </c>
      <c r="AR49" s="704" t="n">
        <v>0</v>
      </c>
      <c r="AS49" s="704" t="n">
        <v>0</v>
      </c>
      <c r="AT49" s="704" t="n">
        <v>0</v>
      </c>
      <c r="AU49" s="704" t="n">
        <v>0</v>
      </c>
      <c r="AV49" s="704" t="n">
        <v>0</v>
      </c>
      <c r="AW49" s="704" t="n">
        <v>0</v>
      </c>
      <c r="AX49" s="704" t="n">
        <v>0</v>
      </c>
      <c r="AY49" s="704" t="n">
        <v>0</v>
      </c>
      <c r="AZ49" s="704" t="n">
        <v>0</v>
      </c>
      <c r="BA49" s="704" t="n">
        <v>0</v>
      </c>
      <c r="BB49" s="704" t="n">
        <v>0</v>
      </c>
      <c r="BC49" s="704" t="n">
        <v>0</v>
      </c>
      <c r="BD49" s="704" t="n">
        <v>0</v>
      </c>
      <c r="BE49" s="704" t="n">
        <v>0</v>
      </c>
      <c r="BF49" s="704" t="n">
        <v>0</v>
      </c>
      <c r="BG49" s="704" t="n">
        <v>0</v>
      </c>
      <c r="BH49" s="704" t="n">
        <v>0</v>
      </c>
      <c r="BI49" s="704" t="n">
        <v>0</v>
      </c>
      <c r="BJ49" s="704" t="n">
        <v>0</v>
      </c>
      <c r="BK49" s="704" t="n">
        <v>0</v>
      </c>
      <c r="BL49" s="704" t="n">
        <v>0</v>
      </c>
      <c r="BM49" s="704" t="n">
        <v>0</v>
      </c>
      <c r="BN49" s="704" t="n">
        <v>0</v>
      </c>
      <c r="BO49" s="704" t="n">
        <v>0</v>
      </c>
      <c r="BP49" s="704" t="n">
        <v>0</v>
      </c>
      <c r="BQ49" s="704" t="n">
        <v>0</v>
      </c>
      <c r="BR49" s="704" t="n">
        <v>0</v>
      </c>
      <c r="BS49" s="704" t="n">
        <v>0</v>
      </c>
      <c r="BT49" s="704" t="n">
        <v>0</v>
      </c>
      <c r="BU49" s="704" t="n">
        <v>0</v>
      </c>
      <c r="BV49" s="704" t="n">
        <v>0</v>
      </c>
      <c r="BW49" s="704" t="n">
        <v>0</v>
      </c>
      <c r="BX49" s="704" t="n">
        <v>0</v>
      </c>
      <c r="BY49" s="704" t="n">
        <v>0</v>
      </c>
      <c r="BZ49" s="704" t="n">
        <v>0</v>
      </c>
      <c r="CA49" s="704" t="n">
        <v>0</v>
      </c>
      <c r="CB49" s="704" t="n">
        <v>0</v>
      </c>
      <c r="CC49" s="704" t="n">
        <v>0</v>
      </c>
      <c r="CD49" s="704" t="n">
        <v>0</v>
      </c>
      <c r="CE49" s="704" t="n">
        <v>0</v>
      </c>
      <c r="CF49" s="704" t="n">
        <v>0</v>
      </c>
      <c r="CG49" s="704" t="n">
        <v>0</v>
      </c>
      <c r="CH49" s="704" t="n">
        <v>0</v>
      </c>
      <c r="CI49" s="704" t="n">
        <v>0</v>
      </c>
      <c r="CJ49" s="704" t="n">
        <v>0</v>
      </c>
      <c r="CK49" s="704" t="n">
        <v>0</v>
      </c>
      <c r="CL49" s="704" t="n">
        <v>0</v>
      </c>
      <c r="CM49" s="704" t="n">
        <v>0</v>
      </c>
      <c r="CN49" s="704" t="n">
        <v>0</v>
      </c>
      <c r="CO49" s="704" t="n">
        <v>0</v>
      </c>
      <c r="CP49" s="704" t="n">
        <v>0</v>
      </c>
      <c r="CQ49" s="704" t="n">
        <v>0</v>
      </c>
      <c r="CR49" s="704" t="n">
        <v>0</v>
      </c>
      <c r="CS49" s="704" t="n">
        <v>0</v>
      </c>
      <c r="CT49" s="704" t="n">
        <v>0</v>
      </c>
      <c r="CU49" s="704" t="n">
        <v>0</v>
      </c>
      <c r="CV49" s="704" t="n">
        <v>0</v>
      </c>
      <c r="CW49" s="704" t="n">
        <v>0</v>
      </c>
      <c r="CX49" s="704" t="n">
        <v>0</v>
      </c>
      <c r="CY49" s="704" t="n">
        <v>0</v>
      </c>
      <c r="CZ49" s="704" t="n">
        <v>0</v>
      </c>
      <c r="DA49" s="704" t="n">
        <v>0</v>
      </c>
      <c r="DB49" s="704" t="n">
        <v>0</v>
      </c>
      <c r="DC49" s="704" t="n">
        <v>0</v>
      </c>
      <c r="DD49" s="704" t="n">
        <v>0</v>
      </c>
      <c r="DE49" s="704" t="n">
        <v>0</v>
      </c>
      <c r="DF49" s="704" t="n">
        <v>0</v>
      </c>
      <c r="DG49" s="704" t="n">
        <v>0</v>
      </c>
      <c r="DH49" s="704" t="n">
        <v>0</v>
      </c>
      <c r="DI49" s="704" t="n">
        <v>0</v>
      </c>
      <c r="DJ49" s="704" t="n">
        <v>0</v>
      </c>
      <c r="DK49" s="704" t="n">
        <v>0</v>
      </c>
      <c r="DL49" s="704" t="n">
        <v>0</v>
      </c>
      <c r="DM49" s="704" t="n">
        <v>0</v>
      </c>
    </row>
    <row r="50" ht="13.5" customHeight="1" s="355">
      <c r="B50" s="703" t="inlineStr">
        <is>
          <t>Cash&amp;Bank</t>
        </is>
      </c>
      <c r="D50" s="704" t="n">
        <v>0</v>
      </c>
      <c r="E50" s="704" t="n">
        <v>0</v>
      </c>
      <c r="F50" s="704" t="n">
        <v>0</v>
      </c>
      <c r="G50" s="704" t="n">
        <v>0</v>
      </c>
      <c r="H50" s="704" t="n">
        <v>0</v>
      </c>
      <c r="I50" s="704" t="n">
        <v>0</v>
      </c>
      <c r="J50" s="704" t="n">
        <v>0</v>
      </c>
      <c r="K50" s="704" t="n">
        <v>0</v>
      </c>
      <c r="L50" s="704" t="n">
        <v>0</v>
      </c>
      <c r="M50" s="704" t="n">
        <v>0</v>
      </c>
      <c r="N50" s="704" t="n">
        <v>0</v>
      </c>
      <c r="O50" s="704" t="n">
        <v>0</v>
      </c>
      <c r="P50" s="704" t="n">
        <v>0</v>
      </c>
      <c r="Q50" s="704" t="n">
        <v>0</v>
      </c>
      <c r="R50" s="704" t="n">
        <v>0</v>
      </c>
      <c r="S50" s="704" t="n">
        <v>0</v>
      </c>
      <c r="T50" s="704" t="n">
        <v>0</v>
      </c>
      <c r="U50" s="704" t="n">
        <v>0</v>
      </c>
      <c r="V50" s="704" t="n">
        <v>0</v>
      </c>
      <c r="W50" s="704" t="n">
        <v>0</v>
      </c>
      <c r="X50" s="704" t="n">
        <v>0</v>
      </c>
      <c r="Y50" s="704" t="n">
        <v>0</v>
      </c>
      <c r="Z50" s="704" t="n">
        <v>0</v>
      </c>
      <c r="AA50" s="704" t="n">
        <v>0</v>
      </c>
      <c r="AB50" s="704" t="n">
        <v>0</v>
      </c>
      <c r="AC50" s="704" t="n">
        <v>0</v>
      </c>
      <c r="AD50" s="704" t="n">
        <v>0</v>
      </c>
      <c r="AE50" s="704" t="n">
        <v>0</v>
      </c>
      <c r="AF50" s="704" t="n">
        <v>0</v>
      </c>
      <c r="AG50" s="704" t="n">
        <v>0</v>
      </c>
      <c r="AH50" s="704" t="n">
        <v>0</v>
      </c>
      <c r="AI50" s="704" t="n">
        <v>0</v>
      </c>
      <c r="AJ50" s="704" t="n">
        <v>0</v>
      </c>
      <c r="AK50" s="704" t="n">
        <v>0</v>
      </c>
      <c r="AL50" s="704" t="n">
        <v>0</v>
      </c>
      <c r="AM50" s="704" t="n">
        <v>0</v>
      </c>
      <c r="AN50" s="704" t="n">
        <v>0</v>
      </c>
      <c r="AO50" s="704" t="n">
        <v>0</v>
      </c>
      <c r="AP50" s="704" t="n">
        <v>0</v>
      </c>
      <c r="AQ50" s="704" t="n">
        <v>0</v>
      </c>
      <c r="AR50" s="704" t="n">
        <v>0</v>
      </c>
      <c r="AS50" s="704" t="n">
        <v>0</v>
      </c>
      <c r="AT50" s="704" t="n">
        <v>0</v>
      </c>
      <c r="AU50" s="704" t="n">
        <v>0</v>
      </c>
      <c r="AV50" s="704" t="n">
        <v>0</v>
      </c>
      <c r="AW50" s="704" t="n">
        <v>0</v>
      </c>
      <c r="AX50" s="704" t="n">
        <v>0</v>
      </c>
      <c r="AY50" s="704" t="n">
        <v>0</v>
      </c>
      <c r="AZ50" s="704" t="n">
        <v>0</v>
      </c>
      <c r="BA50" s="704" t="n">
        <v>0</v>
      </c>
      <c r="BB50" s="704" t="n">
        <v>0</v>
      </c>
      <c r="BC50" s="704" t="n">
        <v>0</v>
      </c>
      <c r="BD50" s="704" t="n">
        <v>0</v>
      </c>
      <c r="BE50" s="704" t="n">
        <v>0</v>
      </c>
      <c r="BF50" s="704" t="n">
        <v>0</v>
      </c>
      <c r="BG50" s="704" t="n">
        <v>0</v>
      </c>
      <c r="BH50" s="704" t="n">
        <v>0</v>
      </c>
      <c r="BI50" s="704" t="n">
        <v>0</v>
      </c>
      <c r="BJ50" s="704" t="n">
        <v>0</v>
      </c>
      <c r="BK50" s="704" t="n">
        <v>0</v>
      </c>
      <c r="BL50" s="704" t="n">
        <v>0</v>
      </c>
      <c r="BM50" s="704" t="n">
        <v>0</v>
      </c>
      <c r="BN50" s="704" t="n">
        <v>0</v>
      </c>
      <c r="BO50" s="704" t="n">
        <v>0</v>
      </c>
      <c r="BP50" s="704" t="n">
        <v>0</v>
      </c>
      <c r="BQ50" s="704" t="n">
        <v>0</v>
      </c>
      <c r="BR50" s="704" t="n">
        <v>0</v>
      </c>
      <c r="BS50" s="704" t="n">
        <v>0</v>
      </c>
      <c r="BT50" s="704" t="n">
        <v>0</v>
      </c>
      <c r="BU50" s="704" t="n">
        <v>0</v>
      </c>
      <c r="BV50" s="704" t="n">
        <v>0</v>
      </c>
      <c r="BW50" s="704" t="n">
        <v>0</v>
      </c>
      <c r="BX50" s="704" t="n">
        <v>0</v>
      </c>
      <c r="BY50" s="704" t="n">
        <v>0</v>
      </c>
      <c r="BZ50" s="704" t="n">
        <v>0</v>
      </c>
      <c r="CA50" s="704" t="n">
        <v>0</v>
      </c>
      <c r="CB50" s="704" t="n">
        <v>0</v>
      </c>
      <c r="CC50" s="704" t="n">
        <v>0</v>
      </c>
      <c r="CD50" s="704" t="n">
        <v>0</v>
      </c>
      <c r="CE50" s="704" t="n">
        <v>0</v>
      </c>
      <c r="CF50" s="704" t="n">
        <v>0</v>
      </c>
      <c r="CG50" s="704" t="n">
        <v>0</v>
      </c>
      <c r="CH50" s="704" t="n">
        <v>0</v>
      </c>
      <c r="CI50" s="704" t="n">
        <v>0</v>
      </c>
      <c r="CJ50" s="704" t="n">
        <v>0</v>
      </c>
      <c r="CK50" s="704" t="n">
        <v>0</v>
      </c>
      <c r="CL50" s="704" t="n">
        <v>0</v>
      </c>
      <c r="CM50" s="704" t="n">
        <v>0</v>
      </c>
      <c r="CN50" s="704" t="n">
        <v>0</v>
      </c>
      <c r="CO50" s="704" t="n">
        <v>0</v>
      </c>
      <c r="CP50" s="704" t="n">
        <v>0</v>
      </c>
      <c r="CQ50" s="704" t="n">
        <v>0</v>
      </c>
      <c r="CR50" s="704" t="n">
        <v>0</v>
      </c>
      <c r="CS50" s="704" t="n">
        <v>0</v>
      </c>
      <c r="CT50" s="704" t="n">
        <v>0</v>
      </c>
      <c r="CU50" s="704" t="n">
        <v>0</v>
      </c>
      <c r="CV50" s="704" t="n">
        <v>0</v>
      </c>
      <c r="CW50" s="704" t="n">
        <v>0</v>
      </c>
      <c r="CX50" s="704" t="n">
        <v>0</v>
      </c>
      <c r="CY50" s="704" t="n">
        <v>0</v>
      </c>
      <c r="CZ50" s="704" t="n">
        <v>0</v>
      </c>
      <c r="DA50" s="704" t="n">
        <v>0</v>
      </c>
      <c r="DB50" s="704" t="n">
        <v>0</v>
      </c>
      <c r="DC50" s="704" t="n">
        <v>0</v>
      </c>
      <c r="DD50" s="704" t="n">
        <v>0</v>
      </c>
      <c r="DE50" s="704" t="n">
        <v>0</v>
      </c>
      <c r="DF50" s="704" t="n">
        <v>0</v>
      </c>
      <c r="DG50" s="704" t="n">
        <v>0</v>
      </c>
      <c r="DH50" s="704" t="n">
        <v>0</v>
      </c>
      <c r="DI50" s="704" t="n">
        <v>0</v>
      </c>
      <c r="DJ50" s="704" t="n">
        <v>0</v>
      </c>
      <c r="DK50" s="704" t="n">
        <v>0</v>
      </c>
      <c r="DL50" s="704" t="n">
        <v>0</v>
      </c>
      <c r="DM50" s="704" t="n">
        <v>0</v>
      </c>
    </row>
    <row r="51" ht="13.5" customHeight="1" s="355">
      <c r="B51" s="703" t="inlineStr">
        <is>
          <t>T&amp;E</t>
        </is>
      </c>
      <c r="D51" s="704" t="n">
        <v>0</v>
      </c>
      <c r="E51" s="704" t="n">
        <v>0</v>
      </c>
      <c r="F51" s="704" t="n">
        <v>0</v>
      </c>
      <c r="G51" s="704" t="n">
        <v>0</v>
      </c>
      <c r="H51" s="704" t="n">
        <v>0</v>
      </c>
      <c r="I51" s="704" t="n">
        <v>0</v>
      </c>
      <c r="J51" s="704" t="n">
        <v>0.0457069028073103</v>
      </c>
      <c r="K51" s="704" t="n">
        <v>2.83382797405324</v>
      </c>
      <c r="L51" s="704" t="n">
        <v>2.55044517664791</v>
      </c>
      <c r="M51" s="704" t="n">
        <v>1.41691398702662</v>
      </c>
      <c r="N51" s="704" t="n">
        <v>1.41691398702662</v>
      </c>
      <c r="O51" s="704" t="n">
        <v>1.41691398702662</v>
      </c>
      <c r="P51" s="704" t="n">
        <v>1.45942140663742</v>
      </c>
      <c r="Q51" s="704" t="n">
        <v>0</v>
      </c>
      <c r="R51" s="704" t="n">
        <v>0</v>
      </c>
      <c r="S51" s="704" t="n">
        <v>0</v>
      </c>
      <c r="T51" s="704" t="n">
        <v>0</v>
      </c>
      <c r="U51" s="704" t="n">
        <v>0</v>
      </c>
      <c r="V51" s="704" t="n">
        <v>0</v>
      </c>
      <c r="W51" s="704" t="n">
        <v>0</v>
      </c>
      <c r="X51" s="704" t="n">
        <v>0</v>
      </c>
      <c r="Y51" s="704" t="n">
        <v>0</v>
      </c>
      <c r="Z51" s="704" t="n">
        <v>0</v>
      </c>
      <c r="AA51" s="704" t="n">
        <v>0</v>
      </c>
      <c r="AB51" s="704" t="n">
        <v>0</v>
      </c>
      <c r="AC51" s="704" t="n">
        <v>0</v>
      </c>
      <c r="AD51" s="704" t="n">
        <v>0</v>
      </c>
      <c r="AE51" s="704" t="n">
        <v>0</v>
      </c>
      <c r="AF51" s="704" t="n">
        <v>0</v>
      </c>
      <c r="AG51" s="704" t="n">
        <v>0</v>
      </c>
      <c r="AH51" s="704" t="n">
        <v>0</v>
      </c>
      <c r="AI51" s="704" t="n">
        <v>0</v>
      </c>
      <c r="AJ51" s="704" t="n">
        <v>0</v>
      </c>
      <c r="AK51" s="704" t="n">
        <v>0</v>
      </c>
      <c r="AL51" s="704" t="n">
        <v>0</v>
      </c>
      <c r="AM51" s="704" t="n">
        <v>0</v>
      </c>
      <c r="AN51" s="704" t="n">
        <v>0</v>
      </c>
      <c r="AO51" s="704" t="n">
        <v>0</v>
      </c>
      <c r="AP51" s="704" t="n">
        <v>0</v>
      </c>
      <c r="AQ51" s="704" t="n">
        <v>0</v>
      </c>
      <c r="AR51" s="704" t="n">
        <v>0</v>
      </c>
      <c r="AS51" s="704" t="n">
        <v>0</v>
      </c>
      <c r="AT51" s="704" t="n">
        <v>0</v>
      </c>
      <c r="AU51" s="704" t="n">
        <v>0</v>
      </c>
      <c r="AV51" s="704" t="n">
        <v>0</v>
      </c>
      <c r="AW51" s="704" t="n">
        <v>0</v>
      </c>
      <c r="AX51" s="704" t="n">
        <v>0</v>
      </c>
      <c r="AY51" s="704" t="n">
        <v>0</v>
      </c>
      <c r="AZ51" s="704" t="n">
        <v>0</v>
      </c>
      <c r="BA51" s="704" t="n">
        <v>0</v>
      </c>
      <c r="BB51" s="704" t="n">
        <v>0</v>
      </c>
      <c r="BC51" s="704" t="n">
        <v>0</v>
      </c>
      <c r="BD51" s="704" t="n">
        <v>0</v>
      </c>
      <c r="BE51" s="704" t="n">
        <v>0</v>
      </c>
      <c r="BF51" s="704" t="n">
        <v>0</v>
      </c>
      <c r="BG51" s="704" t="n">
        <v>0</v>
      </c>
      <c r="BH51" s="704" t="n">
        <v>0</v>
      </c>
      <c r="BI51" s="704" t="n">
        <v>0</v>
      </c>
      <c r="BJ51" s="704" t="n">
        <v>0</v>
      </c>
      <c r="BK51" s="704" t="n">
        <v>0</v>
      </c>
      <c r="BL51" s="704" t="n">
        <v>0</v>
      </c>
      <c r="BM51" s="704" t="n">
        <v>0</v>
      </c>
      <c r="BN51" s="704" t="n">
        <v>0</v>
      </c>
      <c r="BO51" s="704" t="n">
        <v>0</v>
      </c>
      <c r="BP51" s="704" t="n">
        <v>0</v>
      </c>
      <c r="BQ51" s="704" t="n">
        <v>0</v>
      </c>
      <c r="BR51" s="704" t="n">
        <v>0</v>
      </c>
      <c r="BS51" s="704" t="n">
        <v>0</v>
      </c>
      <c r="BT51" s="704" t="n">
        <v>0</v>
      </c>
      <c r="BU51" s="704" t="n">
        <v>0</v>
      </c>
      <c r="BV51" s="704" t="n">
        <v>0</v>
      </c>
      <c r="BW51" s="704" t="n">
        <v>0</v>
      </c>
      <c r="BX51" s="704" t="n">
        <v>0</v>
      </c>
      <c r="BY51" s="704" t="n">
        <v>0</v>
      </c>
      <c r="BZ51" s="704" t="n">
        <v>0</v>
      </c>
      <c r="CA51" s="704" t="n">
        <v>0</v>
      </c>
      <c r="CB51" s="704" t="n">
        <v>0</v>
      </c>
      <c r="CC51" s="704" t="n">
        <v>0</v>
      </c>
      <c r="CD51" s="704" t="n">
        <v>0</v>
      </c>
      <c r="CE51" s="704" t="n">
        <v>0</v>
      </c>
      <c r="CF51" s="704" t="n">
        <v>0</v>
      </c>
      <c r="CG51" s="704" t="n">
        <v>0</v>
      </c>
      <c r="CH51" s="704" t="n">
        <v>0</v>
      </c>
      <c r="CI51" s="704" t="n">
        <v>0</v>
      </c>
      <c r="CJ51" s="704" t="n">
        <v>0</v>
      </c>
      <c r="CK51" s="704" t="n">
        <v>0</v>
      </c>
      <c r="CL51" s="704" t="n">
        <v>0</v>
      </c>
      <c r="CM51" s="704" t="n">
        <v>0</v>
      </c>
      <c r="CN51" s="704" t="n">
        <v>0</v>
      </c>
      <c r="CO51" s="704" t="n">
        <v>0</v>
      </c>
      <c r="CP51" s="704" t="n">
        <v>0</v>
      </c>
      <c r="CQ51" s="704" t="n">
        <v>0</v>
      </c>
      <c r="CR51" s="704" t="n">
        <v>0</v>
      </c>
      <c r="CS51" s="704" t="n">
        <v>0</v>
      </c>
      <c r="CT51" s="704" t="n">
        <v>0</v>
      </c>
      <c r="CU51" s="704" t="n">
        <v>0</v>
      </c>
      <c r="CV51" s="704" t="n">
        <v>0</v>
      </c>
      <c r="CW51" s="704" t="n">
        <v>0</v>
      </c>
      <c r="CX51" s="704" t="n">
        <v>0</v>
      </c>
      <c r="CY51" s="704" t="n">
        <v>0</v>
      </c>
      <c r="CZ51" s="704" t="n">
        <v>0</v>
      </c>
      <c r="DA51" s="704" t="n">
        <v>0</v>
      </c>
      <c r="DB51" s="704" t="n">
        <v>0</v>
      </c>
      <c r="DC51" s="704" t="n">
        <v>0</v>
      </c>
      <c r="DD51" s="704" t="n">
        <v>0</v>
      </c>
      <c r="DE51" s="704" t="n">
        <v>0</v>
      </c>
      <c r="DF51" s="704" t="n">
        <v>0</v>
      </c>
      <c r="DG51" s="704" t="n">
        <v>0</v>
      </c>
      <c r="DH51" s="704" t="n">
        <v>0</v>
      </c>
      <c r="DI51" s="704" t="n">
        <v>0</v>
      </c>
      <c r="DJ51" s="704" t="n">
        <v>0</v>
      </c>
      <c r="DK51" s="704" t="n">
        <v>0</v>
      </c>
      <c r="DL51" s="704" t="n">
        <v>0</v>
      </c>
      <c r="DM51" s="704" t="n">
        <v>0</v>
      </c>
    </row>
    <row r="52" ht="13.5" customHeight="1" s="355">
      <c r="B52" s="703" t="inlineStr">
        <is>
          <t>Order to Cash</t>
        </is>
      </c>
      <c r="D52" s="704" t="n">
        <v>0</v>
      </c>
      <c r="E52" s="704" t="n">
        <v>0</v>
      </c>
      <c r="F52" s="704" t="n">
        <v>0</v>
      </c>
      <c r="G52" s="704" t="n">
        <v>0</v>
      </c>
      <c r="H52" s="704" t="n">
        <v>0</v>
      </c>
      <c r="I52" s="704" t="n">
        <v>0</v>
      </c>
      <c r="J52" s="704" t="n">
        <v>0.0926598752290974</v>
      </c>
      <c r="K52" s="704" t="n">
        <v>2.87245613210202</v>
      </c>
      <c r="L52" s="704" t="n">
        <v>2.29796490568161</v>
      </c>
      <c r="M52" s="704" t="n">
        <v>0</v>
      </c>
      <c r="N52" s="704" t="n">
        <v>0</v>
      </c>
      <c r="O52" s="704" t="n">
        <v>0</v>
      </c>
      <c r="P52" s="704" t="n">
        <v>0</v>
      </c>
      <c r="Q52" s="704" t="n">
        <v>0</v>
      </c>
      <c r="R52" s="704" t="n">
        <v>0</v>
      </c>
      <c r="S52" s="704" t="n">
        <v>0</v>
      </c>
      <c r="T52" s="704" t="n">
        <v>0</v>
      </c>
      <c r="U52" s="704" t="n">
        <v>0</v>
      </c>
      <c r="V52" s="704" t="n">
        <v>0</v>
      </c>
      <c r="W52" s="704" t="n">
        <v>0</v>
      </c>
      <c r="X52" s="704" t="n">
        <v>0</v>
      </c>
      <c r="Y52" s="704" t="n">
        <v>0</v>
      </c>
      <c r="Z52" s="704" t="n">
        <v>0</v>
      </c>
      <c r="AA52" s="704" t="n">
        <v>0</v>
      </c>
      <c r="AB52" s="704" t="n">
        <v>0</v>
      </c>
      <c r="AC52" s="704" t="n">
        <v>0</v>
      </c>
      <c r="AD52" s="704" t="n">
        <v>0</v>
      </c>
      <c r="AE52" s="704" t="n">
        <v>0</v>
      </c>
      <c r="AF52" s="704" t="n">
        <v>0</v>
      </c>
      <c r="AG52" s="704" t="n">
        <v>0</v>
      </c>
      <c r="AH52" s="704" t="n">
        <v>0</v>
      </c>
      <c r="AI52" s="704" t="n">
        <v>0</v>
      </c>
      <c r="AJ52" s="704" t="n">
        <v>0</v>
      </c>
      <c r="AK52" s="704" t="n">
        <v>0</v>
      </c>
      <c r="AL52" s="704" t="n">
        <v>0</v>
      </c>
      <c r="AM52" s="704" t="n">
        <v>0</v>
      </c>
      <c r="AN52" s="704" t="n">
        <v>0</v>
      </c>
      <c r="AO52" s="704" t="n">
        <v>0</v>
      </c>
      <c r="AP52" s="704" t="n">
        <v>0</v>
      </c>
      <c r="AQ52" s="704" t="n">
        <v>0</v>
      </c>
      <c r="AR52" s="704" t="n">
        <v>0</v>
      </c>
      <c r="AS52" s="704" t="n">
        <v>0</v>
      </c>
      <c r="AT52" s="704" t="n">
        <v>0</v>
      </c>
      <c r="AU52" s="704" t="n">
        <v>0</v>
      </c>
      <c r="AV52" s="704" t="n">
        <v>0</v>
      </c>
      <c r="AW52" s="704" t="n">
        <v>0</v>
      </c>
      <c r="AX52" s="704" t="n">
        <v>0</v>
      </c>
      <c r="AY52" s="704" t="n">
        <v>0</v>
      </c>
      <c r="AZ52" s="704" t="n">
        <v>0</v>
      </c>
      <c r="BA52" s="704" t="n">
        <v>0</v>
      </c>
      <c r="BB52" s="704" t="n">
        <v>0</v>
      </c>
      <c r="BC52" s="704" t="n">
        <v>0</v>
      </c>
      <c r="BD52" s="704" t="n">
        <v>0</v>
      </c>
      <c r="BE52" s="704" t="n">
        <v>0</v>
      </c>
      <c r="BF52" s="704" t="n">
        <v>0</v>
      </c>
      <c r="BG52" s="704" t="n">
        <v>0</v>
      </c>
      <c r="BH52" s="704" t="n">
        <v>0</v>
      </c>
      <c r="BI52" s="704" t="n">
        <v>0</v>
      </c>
      <c r="BJ52" s="704" t="n">
        <v>0</v>
      </c>
      <c r="BK52" s="704" t="n">
        <v>0</v>
      </c>
      <c r="BL52" s="704" t="n">
        <v>0</v>
      </c>
      <c r="BM52" s="704" t="n">
        <v>0</v>
      </c>
      <c r="BN52" s="704" t="n">
        <v>0</v>
      </c>
      <c r="BO52" s="704" t="n">
        <v>0</v>
      </c>
      <c r="BP52" s="704" t="n">
        <v>0</v>
      </c>
      <c r="BQ52" s="704" t="n">
        <v>0</v>
      </c>
      <c r="BR52" s="704" t="n">
        <v>0</v>
      </c>
      <c r="BS52" s="704" t="n">
        <v>0</v>
      </c>
      <c r="BT52" s="704" t="n">
        <v>0</v>
      </c>
      <c r="BU52" s="704" t="n">
        <v>0</v>
      </c>
      <c r="BV52" s="704" t="n">
        <v>0</v>
      </c>
      <c r="BW52" s="704" t="n">
        <v>0</v>
      </c>
      <c r="BX52" s="704" t="n">
        <v>0</v>
      </c>
      <c r="BY52" s="704" t="n">
        <v>0</v>
      </c>
      <c r="BZ52" s="704" t="n">
        <v>0</v>
      </c>
      <c r="CA52" s="704" t="n">
        <v>0</v>
      </c>
      <c r="CB52" s="704" t="n">
        <v>0</v>
      </c>
      <c r="CC52" s="704" t="n">
        <v>0</v>
      </c>
      <c r="CD52" s="704" t="n">
        <v>0</v>
      </c>
      <c r="CE52" s="704" t="n">
        <v>0</v>
      </c>
      <c r="CF52" s="704" t="n">
        <v>0</v>
      </c>
      <c r="CG52" s="704" t="n">
        <v>0</v>
      </c>
      <c r="CH52" s="704" t="n">
        <v>0</v>
      </c>
      <c r="CI52" s="704" t="n">
        <v>0</v>
      </c>
      <c r="CJ52" s="704" t="n">
        <v>0</v>
      </c>
      <c r="CK52" s="704" t="n">
        <v>0</v>
      </c>
      <c r="CL52" s="704" t="n">
        <v>0</v>
      </c>
      <c r="CM52" s="704" t="n">
        <v>0</v>
      </c>
      <c r="CN52" s="704" t="n">
        <v>0</v>
      </c>
      <c r="CO52" s="704" t="n">
        <v>0</v>
      </c>
      <c r="CP52" s="704" t="n">
        <v>0</v>
      </c>
      <c r="CQ52" s="704" t="n">
        <v>0</v>
      </c>
      <c r="CR52" s="704" t="n">
        <v>0</v>
      </c>
      <c r="CS52" s="704" t="n">
        <v>0</v>
      </c>
      <c r="CT52" s="704" t="n">
        <v>0</v>
      </c>
      <c r="CU52" s="704" t="n">
        <v>0</v>
      </c>
      <c r="CV52" s="704" t="n">
        <v>0</v>
      </c>
      <c r="CW52" s="704" t="n">
        <v>0</v>
      </c>
      <c r="CX52" s="704" t="n">
        <v>0</v>
      </c>
      <c r="CY52" s="704" t="n">
        <v>0</v>
      </c>
      <c r="CZ52" s="704" t="n">
        <v>0</v>
      </c>
      <c r="DA52" s="704" t="n">
        <v>0</v>
      </c>
      <c r="DB52" s="704" t="n">
        <v>0</v>
      </c>
      <c r="DC52" s="704" t="n">
        <v>0</v>
      </c>
      <c r="DD52" s="704" t="n">
        <v>0</v>
      </c>
      <c r="DE52" s="704" t="n">
        <v>0</v>
      </c>
      <c r="DF52" s="704" t="n">
        <v>0</v>
      </c>
      <c r="DG52" s="704" t="n">
        <v>0</v>
      </c>
      <c r="DH52" s="704" t="n">
        <v>0</v>
      </c>
      <c r="DI52" s="704" t="n">
        <v>0</v>
      </c>
      <c r="DJ52" s="704" t="n">
        <v>0</v>
      </c>
      <c r="DK52" s="704" t="n">
        <v>0</v>
      </c>
      <c r="DL52" s="704" t="n">
        <v>0</v>
      </c>
      <c r="DM52" s="704" t="n">
        <v>0</v>
      </c>
    </row>
    <row r="53" ht="13.5" customHeight="1" s="355">
      <c r="B53" s="703" t="inlineStr">
        <is>
          <t>Req to Pay</t>
        </is>
      </c>
      <c r="D53" s="704" t="n">
        <v>0</v>
      </c>
      <c r="E53" s="704" t="n">
        <v>0</v>
      </c>
      <c r="F53" s="704" t="n">
        <v>0</v>
      </c>
      <c r="G53" s="704" t="n">
        <v>0</v>
      </c>
      <c r="H53" s="704" t="n">
        <v>0</v>
      </c>
      <c r="I53" s="704" t="n">
        <v>0</v>
      </c>
      <c r="J53" s="704" t="n">
        <v>6.09622129371752</v>
      </c>
      <c r="K53" s="704" t="n">
        <v>12.5988573403495</v>
      </c>
      <c r="L53" s="704" t="n">
        <v>4.19961911344985</v>
      </c>
      <c r="M53" s="704" t="n">
        <v>0</v>
      </c>
      <c r="N53" s="704" t="n">
        <v>0</v>
      </c>
      <c r="O53" s="704" t="n">
        <v>0</v>
      </c>
      <c r="P53" s="704" t="n">
        <v>0</v>
      </c>
      <c r="Q53" s="704" t="n">
        <v>0</v>
      </c>
      <c r="R53" s="704" t="n">
        <v>0</v>
      </c>
      <c r="S53" s="704" t="n">
        <v>0</v>
      </c>
      <c r="T53" s="704" t="n">
        <v>0</v>
      </c>
      <c r="U53" s="704" t="n">
        <v>0</v>
      </c>
      <c r="V53" s="704" t="n">
        <v>0</v>
      </c>
      <c r="W53" s="704" t="n">
        <v>0</v>
      </c>
      <c r="X53" s="704" t="n">
        <v>0</v>
      </c>
      <c r="Y53" s="704" t="n">
        <v>0</v>
      </c>
      <c r="Z53" s="704" t="n">
        <v>0</v>
      </c>
      <c r="AA53" s="704" t="n">
        <v>0</v>
      </c>
      <c r="AB53" s="704" t="n">
        <v>0</v>
      </c>
      <c r="AC53" s="704" t="n">
        <v>0</v>
      </c>
      <c r="AD53" s="704" t="n">
        <v>0</v>
      </c>
      <c r="AE53" s="704" t="n">
        <v>0</v>
      </c>
      <c r="AF53" s="704" t="n">
        <v>0</v>
      </c>
      <c r="AG53" s="704" t="n">
        <v>0</v>
      </c>
      <c r="AH53" s="704" t="n">
        <v>0</v>
      </c>
      <c r="AI53" s="704" t="n">
        <v>0</v>
      </c>
      <c r="AJ53" s="704" t="n">
        <v>0</v>
      </c>
      <c r="AK53" s="704" t="n">
        <v>0</v>
      </c>
      <c r="AL53" s="704" t="n">
        <v>0</v>
      </c>
      <c r="AM53" s="704" t="n">
        <v>0</v>
      </c>
      <c r="AN53" s="704" t="n">
        <v>0</v>
      </c>
      <c r="AO53" s="704" t="n">
        <v>0</v>
      </c>
      <c r="AP53" s="704" t="n">
        <v>0</v>
      </c>
      <c r="AQ53" s="704" t="n">
        <v>0</v>
      </c>
      <c r="AR53" s="704" t="n">
        <v>0</v>
      </c>
      <c r="AS53" s="704" t="n">
        <v>0</v>
      </c>
      <c r="AT53" s="704" t="n">
        <v>0</v>
      </c>
      <c r="AU53" s="704" t="n">
        <v>0</v>
      </c>
      <c r="AV53" s="704" t="n">
        <v>0</v>
      </c>
      <c r="AW53" s="704" t="n">
        <v>0</v>
      </c>
      <c r="AX53" s="704" t="n">
        <v>0</v>
      </c>
      <c r="AY53" s="704" t="n">
        <v>0</v>
      </c>
      <c r="AZ53" s="704" t="n">
        <v>0</v>
      </c>
      <c r="BA53" s="704" t="n">
        <v>0</v>
      </c>
      <c r="BB53" s="704" t="n">
        <v>0</v>
      </c>
      <c r="BC53" s="704" t="n">
        <v>0</v>
      </c>
      <c r="BD53" s="704" t="n">
        <v>0</v>
      </c>
      <c r="BE53" s="704" t="n">
        <v>0</v>
      </c>
      <c r="BF53" s="704" t="n">
        <v>0</v>
      </c>
      <c r="BG53" s="704" t="n">
        <v>0</v>
      </c>
      <c r="BH53" s="704" t="n">
        <v>0</v>
      </c>
      <c r="BI53" s="704" t="n">
        <v>0</v>
      </c>
      <c r="BJ53" s="704" t="n">
        <v>0</v>
      </c>
      <c r="BK53" s="704" t="n">
        <v>0</v>
      </c>
      <c r="BL53" s="704" t="n">
        <v>0</v>
      </c>
      <c r="BM53" s="704" t="n">
        <v>0</v>
      </c>
      <c r="BN53" s="704" t="n">
        <v>0</v>
      </c>
      <c r="BO53" s="704" t="n">
        <v>0</v>
      </c>
      <c r="BP53" s="704" t="n">
        <v>0</v>
      </c>
      <c r="BQ53" s="704" t="n">
        <v>0</v>
      </c>
      <c r="BR53" s="704" t="n">
        <v>0</v>
      </c>
      <c r="BS53" s="704" t="n">
        <v>0</v>
      </c>
      <c r="BT53" s="704" t="n">
        <v>0</v>
      </c>
      <c r="BU53" s="704" t="n">
        <v>0</v>
      </c>
      <c r="BV53" s="704" t="n">
        <v>0</v>
      </c>
      <c r="BW53" s="704" t="n">
        <v>0</v>
      </c>
      <c r="BX53" s="704" t="n">
        <v>0</v>
      </c>
      <c r="BY53" s="704" t="n">
        <v>0</v>
      </c>
      <c r="BZ53" s="704" t="n">
        <v>0</v>
      </c>
      <c r="CA53" s="704" t="n">
        <v>0</v>
      </c>
      <c r="CB53" s="704" t="n">
        <v>0</v>
      </c>
      <c r="CC53" s="704" t="n">
        <v>0</v>
      </c>
      <c r="CD53" s="704" t="n">
        <v>0</v>
      </c>
      <c r="CE53" s="704" t="n">
        <v>0</v>
      </c>
      <c r="CF53" s="704" t="n">
        <v>0</v>
      </c>
      <c r="CG53" s="704" t="n">
        <v>0</v>
      </c>
      <c r="CH53" s="704" t="n">
        <v>0</v>
      </c>
      <c r="CI53" s="704" t="n">
        <v>0</v>
      </c>
      <c r="CJ53" s="704" t="n">
        <v>0</v>
      </c>
      <c r="CK53" s="704" t="n">
        <v>0</v>
      </c>
      <c r="CL53" s="704" t="n">
        <v>0</v>
      </c>
      <c r="CM53" s="704" t="n">
        <v>0</v>
      </c>
      <c r="CN53" s="704" t="n">
        <v>0</v>
      </c>
      <c r="CO53" s="704" t="n">
        <v>0</v>
      </c>
      <c r="CP53" s="704" t="n">
        <v>0</v>
      </c>
      <c r="CQ53" s="704" t="n">
        <v>0</v>
      </c>
      <c r="CR53" s="704" t="n">
        <v>0</v>
      </c>
      <c r="CS53" s="704" t="n">
        <v>0</v>
      </c>
      <c r="CT53" s="704" t="n">
        <v>0</v>
      </c>
      <c r="CU53" s="704" t="n">
        <v>0</v>
      </c>
      <c r="CV53" s="704" t="n">
        <v>0</v>
      </c>
      <c r="CW53" s="704" t="n">
        <v>0</v>
      </c>
      <c r="CX53" s="704" t="n">
        <v>0</v>
      </c>
      <c r="CY53" s="704" t="n">
        <v>0</v>
      </c>
      <c r="CZ53" s="704" t="n">
        <v>0</v>
      </c>
      <c r="DA53" s="704" t="n">
        <v>0</v>
      </c>
      <c r="DB53" s="704" t="n">
        <v>0</v>
      </c>
      <c r="DC53" s="704" t="n">
        <v>0</v>
      </c>
      <c r="DD53" s="704" t="n">
        <v>0</v>
      </c>
      <c r="DE53" s="704" t="n">
        <v>0</v>
      </c>
      <c r="DF53" s="704" t="n">
        <v>0</v>
      </c>
      <c r="DG53" s="704" t="n">
        <v>0</v>
      </c>
      <c r="DH53" s="704" t="n">
        <v>0</v>
      </c>
      <c r="DI53" s="704" t="n">
        <v>0</v>
      </c>
      <c r="DJ53" s="704" t="n">
        <v>0</v>
      </c>
      <c r="DK53" s="704" t="n">
        <v>0</v>
      </c>
      <c r="DL53" s="704" t="n">
        <v>0</v>
      </c>
      <c r="DM53" s="704" t="n">
        <v>0</v>
      </c>
    </row>
    <row r="54" ht="13.5" customHeight="1" s="355">
      <c r="B54" s="703" t="inlineStr">
        <is>
          <t>Team Leader</t>
        </is>
      </c>
      <c r="D54" s="704" t="n">
        <v>0</v>
      </c>
      <c r="E54" s="704" t="n">
        <v>0</v>
      </c>
      <c r="F54" s="704" t="n">
        <v>0</v>
      </c>
      <c r="G54" s="704" t="n">
        <v>0</v>
      </c>
      <c r="H54" s="704" t="n">
        <v>0</v>
      </c>
      <c r="I54" s="704" t="n">
        <v>0</v>
      </c>
      <c r="J54" s="704" t="n">
        <v>0</v>
      </c>
      <c r="K54" s="704" t="n">
        <v>0</v>
      </c>
      <c r="L54" s="704" t="n">
        <v>0</v>
      </c>
      <c r="M54" s="704" t="n">
        <v>0</v>
      </c>
      <c r="N54" s="704" t="n">
        <v>0</v>
      </c>
      <c r="O54" s="704" t="n">
        <v>0</v>
      </c>
      <c r="P54" s="704" t="n">
        <v>0</v>
      </c>
      <c r="Q54" s="704" t="n">
        <v>0</v>
      </c>
      <c r="R54" s="704" t="n">
        <v>0</v>
      </c>
      <c r="S54" s="704" t="n">
        <v>0</v>
      </c>
      <c r="T54" s="704" t="n">
        <v>0</v>
      </c>
      <c r="U54" s="704" t="n">
        <v>0</v>
      </c>
      <c r="V54" s="704" t="n">
        <v>0</v>
      </c>
      <c r="W54" s="704" t="n">
        <v>0</v>
      </c>
      <c r="X54" s="704" t="n">
        <v>0</v>
      </c>
      <c r="Y54" s="704" t="n">
        <v>0</v>
      </c>
      <c r="Z54" s="704" t="n">
        <v>0</v>
      </c>
      <c r="AA54" s="704" t="n">
        <v>0</v>
      </c>
      <c r="AB54" s="704" t="n">
        <v>0</v>
      </c>
      <c r="AC54" s="704" t="n">
        <v>0</v>
      </c>
      <c r="AD54" s="704" t="n">
        <v>0</v>
      </c>
      <c r="AE54" s="704" t="n">
        <v>0</v>
      </c>
      <c r="AF54" s="704" t="n">
        <v>0</v>
      </c>
      <c r="AG54" s="704" t="n">
        <v>0</v>
      </c>
      <c r="AH54" s="704" t="n">
        <v>0</v>
      </c>
      <c r="AI54" s="704" t="n">
        <v>0</v>
      </c>
      <c r="AJ54" s="704" t="n">
        <v>0</v>
      </c>
      <c r="AK54" s="704" t="n">
        <v>0</v>
      </c>
      <c r="AL54" s="704" t="n">
        <v>0</v>
      </c>
      <c r="AM54" s="704" t="n">
        <v>0</v>
      </c>
      <c r="AN54" s="704" t="n">
        <v>0</v>
      </c>
      <c r="AO54" s="704" t="n">
        <v>0</v>
      </c>
      <c r="AP54" s="704" t="n">
        <v>0</v>
      </c>
      <c r="AQ54" s="704" t="n">
        <v>0</v>
      </c>
      <c r="AR54" s="704" t="n">
        <v>0</v>
      </c>
      <c r="AS54" s="704" t="n">
        <v>0</v>
      </c>
      <c r="AT54" s="704" t="n">
        <v>0</v>
      </c>
      <c r="AU54" s="704" t="n">
        <v>0</v>
      </c>
      <c r="AV54" s="704" t="n">
        <v>0</v>
      </c>
      <c r="AW54" s="704" t="n">
        <v>0</v>
      </c>
      <c r="AX54" s="704" t="n">
        <v>0</v>
      </c>
      <c r="AY54" s="704" t="n">
        <v>0</v>
      </c>
      <c r="AZ54" s="704" t="n">
        <v>0</v>
      </c>
      <c r="BA54" s="704" t="n">
        <v>0</v>
      </c>
      <c r="BB54" s="704" t="n">
        <v>0</v>
      </c>
      <c r="BC54" s="704" t="n">
        <v>0</v>
      </c>
      <c r="BD54" s="704" t="n">
        <v>0</v>
      </c>
      <c r="BE54" s="704" t="n">
        <v>0</v>
      </c>
      <c r="BF54" s="704" t="n">
        <v>0</v>
      </c>
      <c r="BG54" s="704" t="n">
        <v>0</v>
      </c>
      <c r="BH54" s="704" t="n">
        <v>0</v>
      </c>
      <c r="BI54" s="704" t="n">
        <v>0</v>
      </c>
      <c r="BJ54" s="704" t="n">
        <v>0</v>
      </c>
      <c r="BK54" s="704" t="n">
        <v>0</v>
      </c>
      <c r="BL54" s="704" t="n">
        <v>0</v>
      </c>
      <c r="BM54" s="704" t="n">
        <v>0</v>
      </c>
      <c r="BN54" s="704" t="n">
        <v>0</v>
      </c>
      <c r="BO54" s="704" t="n">
        <v>0</v>
      </c>
      <c r="BP54" s="704" t="n">
        <v>0</v>
      </c>
      <c r="BQ54" s="704" t="n">
        <v>0</v>
      </c>
      <c r="BR54" s="704" t="n">
        <v>0</v>
      </c>
      <c r="BS54" s="704" t="n">
        <v>0</v>
      </c>
      <c r="BT54" s="704" t="n">
        <v>0</v>
      </c>
      <c r="BU54" s="704" t="n">
        <v>0</v>
      </c>
      <c r="BV54" s="704" t="n">
        <v>0</v>
      </c>
      <c r="BW54" s="704" t="n">
        <v>0</v>
      </c>
      <c r="BX54" s="704" t="n">
        <v>0</v>
      </c>
      <c r="BY54" s="704" t="n">
        <v>0</v>
      </c>
      <c r="BZ54" s="704" t="n">
        <v>0</v>
      </c>
      <c r="CA54" s="704" t="n">
        <v>0</v>
      </c>
      <c r="CB54" s="704" t="n">
        <v>0</v>
      </c>
      <c r="CC54" s="704" t="n">
        <v>0</v>
      </c>
      <c r="CD54" s="704" t="n">
        <v>0</v>
      </c>
      <c r="CE54" s="704" t="n">
        <v>0</v>
      </c>
      <c r="CF54" s="704" t="n">
        <v>0</v>
      </c>
      <c r="CG54" s="704" t="n">
        <v>0</v>
      </c>
      <c r="CH54" s="704" t="n">
        <v>0</v>
      </c>
      <c r="CI54" s="704" t="n">
        <v>0</v>
      </c>
      <c r="CJ54" s="704" t="n">
        <v>0</v>
      </c>
      <c r="CK54" s="704" t="n">
        <v>0</v>
      </c>
      <c r="CL54" s="704" t="n">
        <v>0</v>
      </c>
      <c r="CM54" s="704" t="n">
        <v>0</v>
      </c>
      <c r="CN54" s="704" t="n">
        <v>0</v>
      </c>
      <c r="CO54" s="704" t="n">
        <v>0</v>
      </c>
      <c r="CP54" s="704" t="n">
        <v>0</v>
      </c>
      <c r="CQ54" s="704" t="n">
        <v>0</v>
      </c>
      <c r="CR54" s="704" t="n">
        <v>0</v>
      </c>
      <c r="CS54" s="704" t="n">
        <v>0</v>
      </c>
      <c r="CT54" s="704" t="n">
        <v>0</v>
      </c>
      <c r="CU54" s="704" t="n">
        <v>0</v>
      </c>
      <c r="CV54" s="704" t="n">
        <v>0</v>
      </c>
      <c r="CW54" s="704" t="n">
        <v>0</v>
      </c>
      <c r="CX54" s="704" t="n">
        <v>0</v>
      </c>
      <c r="CY54" s="704" t="n">
        <v>0</v>
      </c>
      <c r="CZ54" s="704" t="n">
        <v>0</v>
      </c>
      <c r="DA54" s="704" t="n">
        <v>0</v>
      </c>
      <c r="DB54" s="704" t="n">
        <v>0</v>
      </c>
      <c r="DC54" s="704" t="n">
        <v>0</v>
      </c>
      <c r="DD54" s="704" t="n">
        <v>0</v>
      </c>
      <c r="DE54" s="704" t="n">
        <v>0</v>
      </c>
      <c r="DF54" s="704" t="n">
        <v>0</v>
      </c>
      <c r="DG54" s="704" t="n">
        <v>0</v>
      </c>
      <c r="DH54" s="704" t="n">
        <v>0</v>
      </c>
      <c r="DI54" s="704" t="n">
        <v>0</v>
      </c>
      <c r="DJ54" s="704" t="n">
        <v>0</v>
      </c>
      <c r="DK54" s="704" t="n">
        <v>0</v>
      </c>
      <c r="DL54" s="704" t="n">
        <v>0</v>
      </c>
      <c r="DM54" s="704" t="n">
        <v>0</v>
      </c>
    </row>
    <row r="55" ht="13.5" customHeight="1" s="355">
      <c r="B55" s="703" t="inlineStr">
        <is>
          <t>SLA Metric Reporting</t>
        </is>
      </c>
      <c r="D55" s="704" t="n">
        <v>0</v>
      </c>
      <c r="E55" s="704" t="n">
        <v>0</v>
      </c>
      <c r="F55" s="704" t="n">
        <v>0</v>
      </c>
      <c r="G55" s="704" t="n">
        <v>0</v>
      </c>
      <c r="H55" s="704" t="n">
        <v>0</v>
      </c>
      <c r="I55" s="704" t="n">
        <v>0</v>
      </c>
      <c r="J55" s="704" t="n">
        <v>0</v>
      </c>
      <c r="K55" s="704" t="n">
        <v>0</v>
      </c>
      <c r="L55" s="704" t="n">
        <v>0</v>
      </c>
      <c r="M55" s="704" t="n">
        <v>0</v>
      </c>
      <c r="N55" s="704" t="n">
        <v>0</v>
      </c>
      <c r="O55" s="704" t="n">
        <v>0</v>
      </c>
      <c r="P55" s="704" t="n">
        <v>0</v>
      </c>
      <c r="Q55" s="704" t="n">
        <v>0</v>
      </c>
      <c r="R55" s="704" t="n">
        <v>0</v>
      </c>
      <c r="S55" s="704" t="n">
        <v>0</v>
      </c>
      <c r="T55" s="704" t="n">
        <v>0</v>
      </c>
      <c r="U55" s="704" t="n">
        <v>0</v>
      </c>
      <c r="V55" s="704" t="n">
        <v>0</v>
      </c>
      <c r="W55" s="704" t="n">
        <v>0</v>
      </c>
      <c r="X55" s="704" t="n">
        <v>0</v>
      </c>
      <c r="Y55" s="704" t="n">
        <v>0</v>
      </c>
      <c r="Z55" s="704" t="n">
        <v>0</v>
      </c>
      <c r="AA55" s="704" t="n">
        <v>0</v>
      </c>
      <c r="AB55" s="704" t="n">
        <v>0</v>
      </c>
      <c r="AC55" s="704" t="n">
        <v>0</v>
      </c>
      <c r="AD55" s="704" t="n">
        <v>0</v>
      </c>
      <c r="AE55" s="704" t="n">
        <v>0</v>
      </c>
      <c r="AF55" s="704" t="n">
        <v>0</v>
      </c>
      <c r="AG55" s="704" t="n">
        <v>0</v>
      </c>
      <c r="AH55" s="704" t="n">
        <v>0</v>
      </c>
      <c r="AI55" s="704" t="n">
        <v>0</v>
      </c>
      <c r="AJ55" s="704" t="n">
        <v>0</v>
      </c>
      <c r="AK55" s="704" t="n">
        <v>0</v>
      </c>
      <c r="AL55" s="704" t="n">
        <v>0</v>
      </c>
      <c r="AM55" s="704" t="n">
        <v>0</v>
      </c>
      <c r="AN55" s="704" t="n">
        <v>0</v>
      </c>
      <c r="AO55" s="704" t="n">
        <v>0</v>
      </c>
      <c r="AP55" s="704" t="n">
        <v>0</v>
      </c>
      <c r="AQ55" s="704" t="n">
        <v>0</v>
      </c>
      <c r="AR55" s="704" t="n">
        <v>0</v>
      </c>
      <c r="AS55" s="704" t="n">
        <v>0</v>
      </c>
      <c r="AT55" s="704" t="n">
        <v>0</v>
      </c>
      <c r="AU55" s="704" t="n">
        <v>0</v>
      </c>
      <c r="AV55" s="704" t="n">
        <v>0</v>
      </c>
      <c r="AW55" s="704" t="n">
        <v>0</v>
      </c>
      <c r="AX55" s="704" t="n">
        <v>0</v>
      </c>
      <c r="AY55" s="704" t="n">
        <v>0</v>
      </c>
      <c r="AZ55" s="704" t="n">
        <v>0</v>
      </c>
      <c r="BA55" s="704" t="n">
        <v>0</v>
      </c>
      <c r="BB55" s="704" t="n">
        <v>0</v>
      </c>
      <c r="BC55" s="704" t="n">
        <v>0</v>
      </c>
      <c r="BD55" s="704" t="n">
        <v>0</v>
      </c>
      <c r="BE55" s="704" t="n">
        <v>0</v>
      </c>
      <c r="BF55" s="704" t="n">
        <v>0</v>
      </c>
      <c r="BG55" s="704" t="n">
        <v>0</v>
      </c>
      <c r="BH55" s="704" t="n">
        <v>0</v>
      </c>
      <c r="BI55" s="704" t="n">
        <v>0</v>
      </c>
      <c r="BJ55" s="704" t="n">
        <v>0</v>
      </c>
      <c r="BK55" s="704" t="n">
        <v>0</v>
      </c>
      <c r="BL55" s="704" t="n">
        <v>0</v>
      </c>
      <c r="BM55" s="704" t="n">
        <v>0</v>
      </c>
      <c r="BN55" s="704" t="n">
        <v>0</v>
      </c>
      <c r="BO55" s="704" t="n">
        <v>0</v>
      </c>
      <c r="BP55" s="704" t="n">
        <v>0</v>
      </c>
      <c r="BQ55" s="704" t="n">
        <v>0</v>
      </c>
      <c r="BR55" s="704" t="n">
        <v>0</v>
      </c>
      <c r="BS55" s="704" t="n">
        <v>0</v>
      </c>
      <c r="BT55" s="704" t="n">
        <v>0</v>
      </c>
      <c r="BU55" s="704" t="n">
        <v>0</v>
      </c>
      <c r="BV55" s="704" t="n">
        <v>0</v>
      </c>
      <c r="BW55" s="704" t="n">
        <v>0</v>
      </c>
      <c r="BX55" s="704" t="n">
        <v>0</v>
      </c>
      <c r="BY55" s="704" t="n">
        <v>0</v>
      </c>
      <c r="BZ55" s="704" t="n">
        <v>0</v>
      </c>
      <c r="CA55" s="704" t="n">
        <v>0</v>
      </c>
      <c r="CB55" s="704" t="n">
        <v>0</v>
      </c>
      <c r="CC55" s="704" t="n">
        <v>0</v>
      </c>
      <c r="CD55" s="704" t="n">
        <v>0</v>
      </c>
      <c r="CE55" s="704" t="n">
        <v>0</v>
      </c>
      <c r="CF55" s="704" t="n">
        <v>0</v>
      </c>
      <c r="CG55" s="704" t="n">
        <v>0</v>
      </c>
      <c r="CH55" s="704" t="n">
        <v>0</v>
      </c>
      <c r="CI55" s="704" t="n">
        <v>0</v>
      </c>
      <c r="CJ55" s="704" t="n">
        <v>0</v>
      </c>
      <c r="CK55" s="704" t="n">
        <v>0</v>
      </c>
      <c r="CL55" s="704" t="n">
        <v>0</v>
      </c>
      <c r="CM55" s="704" t="n">
        <v>0</v>
      </c>
      <c r="CN55" s="704" t="n">
        <v>0</v>
      </c>
      <c r="CO55" s="704" t="n">
        <v>0</v>
      </c>
      <c r="CP55" s="704" t="n">
        <v>0</v>
      </c>
      <c r="CQ55" s="704" t="n">
        <v>0</v>
      </c>
      <c r="CR55" s="704" t="n">
        <v>0</v>
      </c>
      <c r="CS55" s="704" t="n">
        <v>0</v>
      </c>
      <c r="CT55" s="704" t="n">
        <v>0</v>
      </c>
      <c r="CU55" s="704" t="n">
        <v>0</v>
      </c>
      <c r="CV55" s="704" t="n">
        <v>0</v>
      </c>
      <c r="CW55" s="704" t="n">
        <v>0</v>
      </c>
      <c r="CX55" s="704" t="n">
        <v>0</v>
      </c>
      <c r="CY55" s="704" t="n">
        <v>0</v>
      </c>
      <c r="CZ55" s="704" t="n">
        <v>0</v>
      </c>
      <c r="DA55" s="704" t="n">
        <v>0</v>
      </c>
      <c r="DB55" s="704" t="n">
        <v>0</v>
      </c>
      <c r="DC55" s="704" t="n">
        <v>0</v>
      </c>
      <c r="DD55" s="704" t="n">
        <v>0</v>
      </c>
      <c r="DE55" s="704" t="n">
        <v>0</v>
      </c>
      <c r="DF55" s="704" t="n">
        <v>0</v>
      </c>
      <c r="DG55" s="704" t="n">
        <v>0</v>
      </c>
      <c r="DH55" s="704" t="n">
        <v>0</v>
      </c>
      <c r="DI55" s="704" t="n">
        <v>0</v>
      </c>
      <c r="DJ55" s="704" t="n">
        <v>0</v>
      </c>
      <c r="DK55" s="704" t="n">
        <v>0</v>
      </c>
      <c r="DL55" s="704" t="n">
        <v>0</v>
      </c>
      <c r="DM55" s="704" t="n">
        <v>0</v>
      </c>
    </row>
    <row r="56" ht="13.5" customHeight="1" s="355">
      <c r="B56" s="705" t="inlineStr">
        <is>
          <t>Grand Total</t>
        </is>
      </c>
      <c r="C56" s="706" t="n"/>
      <c r="D56" s="707" t="n">
        <v>0</v>
      </c>
      <c r="E56" s="707" t="n">
        <v>0</v>
      </c>
      <c r="F56" s="707" t="n">
        <v>0</v>
      </c>
      <c r="G56" s="707" t="n">
        <v>0</v>
      </c>
      <c r="H56" s="707" t="n">
        <v>0</v>
      </c>
      <c r="I56" s="707" t="n">
        <v>0</v>
      </c>
      <c r="J56" s="707" t="n">
        <v>6.5545363914051</v>
      </c>
      <c r="K56" s="707" t="n">
        <v>39.0669436924384</v>
      </c>
      <c r="L56" s="707" t="n">
        <v>27.8261518598757</v>
      </c>
      <c r="M56" s="707" t="n">
        <v>5.2664706449489</v>
      </c>
      <c r="N56" s="707" t="n">
        <v>2.83382797405324</v>
      </c>
      <c r="O56" s="707" t="n">
        <v>2.83382797405324</v>
      </c>
      <c r="P56" s="707" t="n">
        <v>2.91884281327484</v>
      </c>
      <c r="Q56" s="707" t="n">
        <v>0</v>
      </c>
      <c r="R56" s="707" t="n">
        <v>0</v>
      </c>
      <c r="S56" s="707" t="n">
        <v>0</v>
      </c>
      <c r="T56" s="707" t="n">
        <v>0</v>
      </c>
      <c r="U56" s="707" t="n">
        <v>0</v>
      </c>
      <c r="V56" s="707" t="n">
        <v>0</v>
      </c>
      <c r="W56" s="707" t="n">
        <v>0</v>
      </c>
      <c r="X56" s="707" t="n">
        <v>0</v>
      </c>
      <c r="Y56" s="707" t="n">
        <v>0</v>
      </c>
      <c r="Z56" s="707" t="n">
        <v>0</v>
      </c>
      <c r="AA56" s="707" t="n">
        <v>0</v>
      </c>
      <c r="AB56" s="707" t="n">
        <v>0</v>
      </c>
      <c r="AC56" s="707" t="n">
        <v>0</v>
      </c>
      <c r="AD56" s="707" t="n">
        <v>0</v>
      </c>
      <c r="AE56" s="707" t="n">
        <v>0</v>
      </c>
      <c r="AF56" s="707" t="n">
        <v>0</v>
      </c>
      <c r="AG56" s="707" t="n">
        <v>0</v>
      </c>
      <c r="AH56" s="707" t="n">
        <v>0</v>
      </c>
      <c r="AI56" s="707" t="n">
        <v>0</v>
      </c>
      <c r="AJ56" s="707" t="n">
        <v>0</v>
      </c>
      <c r="AK56" s="707" t="n">
        <v>0</v>
      </c>
      <c r="AL56" s="707" t="n">
        <v>0</v>
      </c>
      <c r="AM56" s="707" t="n">
        <v>0</v>
      </c>
      <c r="AN56" s="707" t="n">
        <v>0</v>
      </c>
      <c r="AO56" s="707" t="n">
        <v>0</v>
      </c>
      <c r="AP56" s="707" t="n">
        <v>0</v>
      </c>
      <c r="AQ56" s="707" t="n">
        <v>0</v>
      </c>
      <c r="AR56" s="707" t="n">
        <v>0</v>
      </c>
      <c r="AS56" s="707" t="n">
        <v>0</v>
      </c>
      <c r="AT56" s="707" t="n">
        <v>0</v>
      </c>
      <c r="AU56" s="707" t="n">
        <v>0</v>
      </c>
      <c r="AV56" s="707" t="n">
        <v>0</v>
      </c>
      <c r="AW56" s="707" t="n">
        <v>0</v>
      </c>
      <c r="AX56" s="707" t="n">
        <v>0</v>
      </c>
      <c r="AY56" s="707" t="n">
        <v>0</v>
      </c>
      <c r="AZ56" s="707" t="n">
        <v>0</v>
      </c>
      <c r="BA56" s="707" t="n">
        <v>0</v>
      </c>
      <c r="BB56" s="707" t="n">
        <v>0</v>
      </c>
      <c r="BC56" s="707" t="n">
        <v>0</v>
      </c>
      <c r="BD56" s="707" t="n">
        <v>0</v>
      </c>
      <c r="BE56" s="707" t="n">
        <v>0</v>
      </c>
      <c r="BF56" s="707" t="n">
        <v>0</v>
      </c>
      <c r="BG56" s="707" t="n">
        <v>0</v>
      </c>
      <c r="BH56" s="707" t="n">
        <v>0</v>
      </c>
      <c r="BI56" s="707" t="n">
        <v>0</v>
      </c>
      <c r="BJ56" s="707" t="n">
        <v>0</v>
      </c>
      <c r="BK56" s="707" t="n">
        <v>0</v>
      </c>
      <c r="BL56" s="707" t="n">
        <v>0</v>
      </c>
      <c r="BM56" s="707" t="n">
        <v>0</v>
      </c>
      <c r="BN56" s="707" t="n">
        <v>0</v>
      </c>
      <c r="BO56" s="707" t="n">
        <v>0</v>
      </c>
      <c r="BP56" s="707" t="n">
        <v>0</v>
      </c>
      <c r="BQ56" s="707" t="n">
        <v>0</v>
      </c>
      <c r="BR56" s="707" t="n">
        <v>0</v>
      </c>
      <c r="BS56" s="707" t="n">
        <v>0</v>
      </c>
      <c r="BT56" s="707" t="n">
        <v>0</v>
      </c>
      <c r="BU56" s="707" t="n">
        <v>0</v>
      </c>
      <c r="BV56" s="707" t="n">
        <v>0</v>
      </c>
      <c r="BW56" s="707" t="n">
        <v>0</v>
      </c>
      <c r="BX56" s="707" t="n">
        <v>0</v>
      </c>
      <c r="BY56" s="707" t="n">
        <v>0</v>
      </c>
      <c r="BZ56" s="707" t="n">
        <v>0</v>
      </c>
      <c r="CA56" s="707" t="n">
        <v>0</v>
      </c>
      <c r="CB56" s="707" t="n">
        <v>0</v>
      </c>
      <c r="CC56" s="707" t="n">
        <v>0</v>
      </c>
      <c r="CD56" s="707" t="n">
        <v>0</v>
      </c>
      <c r="CE56" s="707" t="n">
        <v>0</v>
      </c>
      <c r="CF56" s="707" t="n">
        <v>0</v>
      </c>
      <c r="CG56" s="707" t="n">
        <v>0</v>
      </c>
      <c r="CH56" s="707" t="n">
        <v>0</v>
      </c>
      <c r="CI56" s="707" t="n">
        <v>0</v>
      </c>
      <c r="CJ56" s="707" t="n">
        <v>0</v>
      </c>
      <c r="CK56" s="707" t="n">
        <v>0</v>
      </c>
      <c r="CL56" s="707" t="n">
        <v>0</v>
      </c>
      <c r="CM56" s="707" t="n">
        <v>0</v>
      </c>
      <c r="CN56" s="707" t="n">
        <v>0</v>
      </c>
      <c r="CO56" s="707" t="n">
        <v>0</v>
      </c>
      <c r="CP56" s="707" t="n">
        <v>0</v>
      </c>
      <c r="CQ56" s="707" t="n">
        <v>0</v>
      </c>
      <c r="CR56" s="707" t="n">
        <v>0</v>
      </c>
      <c r="CS56" s="707" t="n">
        <v>0</v>
      </c>
      <c r="CT56" s="707" t="n">
        <v>0</v>
      </c>
      <c r="CU56" s="707" t="n">
        <v>0</v>
      </c>
      <c r="CV56" s="707" t="n">
        <v>0</v>
      </c>
      <c r="CW56" s="707" t="n">
        <v>0</v>
      </c>
      <c r="CX56" s="707" t="n">
        <v>0</v>
      </c>
      <c r="CY56" s="707" t="n">
        <v>0</v>
      </c>
      <c r="CZ56" s="707" t="n">
        <v>0</v>
      </c>
      <c r="DA56" s="707" t="n">
        <v>0</v>
      </c>
      <c r="DB56" s="707" t="n">
        <v>0</v>
      </c>
      <c r="DC56" s="707" t="n">
        <v>0</v>
      </c>
      <c r="DD56" s="707" t="n">
        <v>0</v>
      </c>
      <c r="DE56" s="707" t="n">
        <v>0</v>
      </c>
      <c r="DF56" s="707" t="n">
        <v>0</v>
      </c>
      <c r="DG56" s="707" t="n">
        <v>0</v>
      </c>
      <c r="DH56" s="707" t="n">
        <v>0</v>
      </c>
      <c r="DI56" s="707" t="n">
        <v>0</v>
      </c>
      <c r="DJ56" s="707" t="n">
        <v>0</v>
      </c>
      <c r="DK56" s="707" t="n">
        <v>0</v>
      </c>
      <c r="DL56" s="707" t="n">
        <v>0</v>
      </c>
      <c r="DM56" s="707" t="n">
        <v>0</v>
      </c>
    </row>
    <row r="57" ht="13.5" customHeight="1" s="355">
      <c r="A57" s="702" t="inlineStr">
        <is>
          <t>Italy</t>
        </is>
      </c>
      <c r="B57" s="703" t="inlineStr">
        <is>
          <t>Gen Acctg</t>
        </is>
      </c>
      <c r="D57" s="704" t="n">
        <v>0</v>
      </c>
      <c r="E57" s="704" t="n">
        <v>0</v>
      </c>
      <c r="F57" s="704" t="n">
        <v>0</v>
      </c>
      <c r="G57" s="704" t="n">
        <v>0</v>
      </c>
      <c r="H57" s="704" t="n">
        <v>0</v>
      </c>
      <c r="I57" s="704" t="n">
        <v>0</v>
      </c>
      <c r="J57" s="704" t="n">
        <v>0</v>
      </c>
      <c r="K57" s="704" t="n">
        <v>3.1421634499069</v>
      </c>
      <c r="L57" s="704" t="n">
        <v>3.1421634499069</v>
      </c>
      <c r="M57" s="704" t="n">
        <v>0.810880890298554</v>
      </c>
      <c r="N57" s="704" t="n">
        <v>0</v>
      </c>
      <c r="O57" s="704" t="n">
        <v>0</v>
      </c>
      <c r="P57" s="704" t="n">
        <v>0</v>
      </c>
      <c r="Q57" s="704" t="n">
        <v>0</v>
      </c>
      <c r="R57" s="704" t="n">
        <v>0</v>
      </c>
      <c r="S57" s="704" t="n">
        <v>0</v>
      </c>
      <c r="T57" s="704" t="n">
        <v>0</v>
      </c>
      <c r="U57" s="704" t="n">
        <v>0</v>
      </c>
      <c r="V57" s="704" t="n">
        <v>0</v>
      </c>
      <c r="W57" s="704" t="n">
        <v>0</v>
      </c>
      <c r="X57" s="704" t="n">
        <v>0</v>
      </c>
      <c r="Y57" s="704" t="n">
        <v>0</v>
      </c>
      <c r="Z57" s="704" t="n">
        <v>0</v>
      </c>
      <c r="AA57" s="704" t="n">
        <v>0</v>
      </c>
      <c r="AB57" s="704" t="n">
        <v>0</v>
      </c>
      <c r="AC57" s="704" t="n">
        <v>0</v>
      </c>
      <c r="AD57" s="704" t="n">
        <v>0</v>
      </c>
      <c r="AE57" s="704" t="n">
        <v>0</v>
      </c>
      <c r="AF57" s="704" t="n">
        <v>0</v>
      </c>
      <c r="AG57" s="704" t="n">
        <v>0</v>
      </c>
      <c r="AH57" s="704" t="n">
        <v>0</v>
      </c>
      <c r="AI57" s="704" t="n">
        <v>0</v>
      </c>
      <c r="AJ57" s="704" t="n">
        <v>0</v>
      </c>
      <c r="AK57" s="704" t="n">
        <v>0</v>
      </c>
      <c r="AL57" s="704" t="n">
        <v>0</v>
      </c>
      <c r="AM57" s="704" t="n">
        <v>0</v>
      </c>
      <c r="AN57" s="704" t="n">
        <v>0</v>
      </c>
      <c r="AO57" s="704" t="n">
        <v>0</v>
      </c>
      <c r="AP57" s="704" t="n">
        <v>0</v>
      </c>
      <c r="AQ57" s="704" t="n">
        <v>0</v>
      </c>
      <c r="AR57" s="704" t="n">
        <v>0</v>
      </c>
      <c r="AS57" s="704" t="n">
        <v>0</v>
      </c>
      <c r="AT57" s="704" t="n">
        <v>0</v>
      </c>
      <c r="AU57" s="704" t="n">
        <v>0</v>
      </c>
      <c r="AV57" s="704" t="n">
        <v>0</v>
      </c>
      <c r="AW57" s="704" t="n">
        <v>0</v>
      </c>
      <c r="AX57" s="704" t="n">
        <v>0</v>
      </c>
      <c r="AY57" s="704" t="n">
        <v>0</v>
      </c>
      <c r="AZ57" s="704" t="n">
        <v>0</v>
      </c>
      <c r="BA57" s="704" t="n">
        <v>0</v>
      </c>
      <c r="BB57" s="704" t="n">
        <v>0</v>
      </c>
      <c r="BC57" s="704" t="n">
        <v>0</v>
      </c>
      <c r="BD57" s="704" t="n">
        <v>0</v>
      </c>
      <c r="BE57" s="704" t="n">
        <v>0</v>
      </c>
      <c r="BF57" s="704" t="n">
        <v>0</v>
      </c>
      <c r="BG57" s="704" t="n">
        <v>0</v>
      </c>
      <c r="BH57" s="704" t="n">
        <v>0</v>
      </c>
      <c r="BI57" s="704" t="n">
        <v>0</v>
      </c>
      <c r="BJ57" s="704" t="n">
        <v>0</v>
      </c>
      <c r="BK57" s="704" t="n">
        <v>0</v>
      </c>
      <c r="BL57" s="704" t="n">
        <v>0</v>
      </c>
      <c r="BM57" s="704" t="n">
        <v>0</v>
      </c>
      <c r="BN57" s="704" t="n">
        <v>0</v>
      </c>
      <c r="BO57" s="704" t="n">
        <v>0</v>
      </c>
      <c r="BP57" s="704" t="n">
        <v>0</v>
      </c>
      <c r="BQ57" s="704" t="n">
        <v>0</v>
      </c>
      <c r="BR57" s="704" t="n">
        <v>0</v>
      </c>
      <c r="BS57" s="704" t="n">
        <v>0</v>
      </c>
      <c r="BT57" s="704" t="n">
        <v>0</v>
      </c>
      <c r="BU57" s="704" t="n">
        <v>0</v>
      </c>
      <c r="BV57" s="704" t="n">
        <v>0</v>
      </c>
      <c r="BW57" s="704" t="n">
        <v>0</v>
      </c>
      <c r="BX57" s="704" t="n">
        <v>0</v>
      </c>
      <c r="BY57" s="704" t="n">
        <v>0</v>
      </c>
      <c r="BZ57" s="704" t="n">
        <v>0</v>
      </c>
      <c r="CA57" s="704" t="n">
        <v>0</v>
      </c>
      <c r="CB57" s="704" t="n">
        <v>0</v>
      </c>
      <c r="CC57" s="704" t="n">
        <v>0</v>
      </c>
      <c r="CD57" s="704" t="n">
        <v>0</v>
      </c>
      <c r="CE57" s="704" t="n">
        <v>0</v>
      </c>
      <c r="CF57" s="704" t="n">
        <v>0</v>
      </c>
      <c r="CG57" s="704" t="n">
        <v>0</v>
      </c>
      <c r="CH57" s="704" t="n">
        <v>0</v>
      </c>
      <c r="CI57" s="704" t="n">
        <v>0</v>
      </c>
      <c r="CJ57" s="704" t="n">
        <v>0</v>
      </c>
      <c r="CK57" s="704" t="n">
        <v>0</v>
      </c>
      <c r="CL57" s="704" t="n">
        <v>0</v>
      </c>
      <c r="CM57" s="704" t="n">
        <v>0</v>
      </c>
      <c r="CN57" s="704" t="n">
        <v>0</v>
      </c>
      <c r="CO57" s="704" t="n">
        <v>0</v>
      </c>
      <c r="CP57" s="704" t="n">
        <v>0</v>
      </c>
      <c r="CQ57" s="704" t="n">
        <v>0</v>
      </c>
      <c r="CR57" s="704" t="n">
        <v>0</v>
      </c>
      <c r="CS57" s="704" t="n">
        <v>0</v>
      </c>
      <c r="CT57" s="704" t="n">
        <v>0</v>
      </c>
      <c r="CU57" s="704" t="n">
        <v>0</v>
      </c>
      <c r="CV57" s="704" t="n">
        <v>0</v>
      </c>
      <c r="CW57" s="704" t="n">
        <v>0</v>
      </c>
      <c r="CX57" s="704" t="n">
        <v>0</v>
      </c>
      <c r="CY57" s="704" t="n">
        <v>0</v>
      </c>
      <c r="CZ57" s="704" t="n">
        <v>0</v>
      </c>
      <c r="DA57" s="704" t="n">
        <v>0</v>
      </c>
      <c r="DB57" s="704" t="n">
        <v>0</v>
      </c>
      <c r="DC57" s="704" t="n">
        <v>0</v>
      </c>
      <c r="DD57" s="704" t="n">
        <v>0</v>
      </c>
      <c r="DE57" s="704" t="n">
        <v>0</v>
      </c>
      <c r="DF57" s="704" t="n">
        <v>0</v>
      </c>
      <c r="DG57" s="704" t="n">
        <v>0</v>
      </c>
      <c r="DH57" s="704" t="n">
        <v>0</v>
      </c>
      <c r="DI57" s="704" t="n">
        <v>0</v>
      </c>
      <c r="DJ57" s="704" t="n">
        <v>0</v>
      </c>
      <c r="DK57" s="704" t="n">
        <v>0</v>
      </c>
      <c r="DL57" s="704" t="n">
        <v>0</v>
      </c>
      <c r="DM57" s="704" t="n">
        <v>0</v>
      </c>
    </row>
    <row r="58" ht="13.5" customHeight="1" s="355">
      <c r="B58" s="703" t="inlineStr">
        <is>
          <t>Reporting</t>
        </is>
      </c>
      <c r="D58" s="704" t="n">
        <v>0</v>
      </c>
      <c r="E58" s="704" t="n">
        <v>0</v>
      </c>
      <c r="F58" s="704" t="n">
        <v>0</v>
      </c>
      <c r="G58" s="704" t="n">
        <v>0</v>
      </c>
      <c r="H58" s="704" t="n">
        <v>0</v>
      </c>
      <c r="I58" s="704" t="n">
        <v>0</v>
      </c>
      <c r="J58" s="704" t="n">
        <v>0</v>
      </c>
      <c r="K58" s="704" t="n">
        <v>0</v>
      </c>
      <c r="L58" s="704" t="n">
        <v>0</v>
      </c>
      <c r="M58" s="704" t="n">
        <v>0</v>
      </c>
      <c r="N58" s="704" t="n">
        <v>0</v>
      </c>
      <c r="O58" s="704" t="n">
        <v>0</v>
      </c>
      <c r="P58" s="704" t="n">
        <v>0</v>
      </c>
      <c r="Q58" s="704" t="n">
        <v>0</v>
      </c>
      <c r="R58" s="704" t="n">
        <v>0</v>
      </c>
      <c r="S58" s="704" t="n">
        <v>0</v>
      </c>
      <c r="T58" s="704" t="n">
        <v>0</v>
      </c>
      <c r="U58" s="704" t="n">
        <v>0</v>
      </c>
      <c r="V58" s="704" t="n">
        <v>0</v>
      </c>
      <c r="W58" s="704" t="n">
        <v>0</v>
      </c>
      <c r="X58" s="704" t="n">
        <v>0</v>
      </c>
      <c r="Y58" s="704" t="n">
        <v>0</v>
      </c>
      <c r="Z58" s="704" t="n">
        <v>0</v>
      </c>
      <c r="AA58" s="704" t="n">
        <v>0</v>
      </c>
      <c r="AB58" s="704" t="n">
        <v>0</v>
      </c>
      <c r="AC58" s="704" t="n">
        <v>0</v>
      </c>
      <c r="AD58" s="704" t="n">
        <v>0</v>
      </c>
      <c r="AE58" s="704" t="n">
        <v>0</v>
      </c>
      <c r="AF58" s="704" t="n">
        <v>0</v>
      </c>
      <c r="AG58" s="704" t="n">
        <v>0</v>
      </c>
      <c r="AH58" s="704" t="n">
        <v>0</v>
      </c>
      <c r="AI58" s="704" t="n">
        <v>0</v>
      </c>
      <c r="AJ58" s="704" t="n">
        <v>0</v>
      </c>
      <c r="AK58" s="704" t="n">
        <v>0</v>
      </c>
      <c r="AL58" s="704" t="n">
        <v>0</v>
      </c>
      <c r="AM58" s="704" t="n">
        <v>0</v>
      </c>
      <c r="AN58" s="704" t="n">
        <v>0</v>
      </c>
      <c r="AO58" s="704" t="n">
        <v>0</v>
      </c>
      <c r="AP58" s="704" t="n">
        <v>0</v>
      </c>
      <c r="AQ58" s="704" t="n">
        <v>0</v>
      </c>
      <c r="AR58" s="704" t="n">
        <v>0</v>
      </c>
      <c r="AS58" s="704" t="n">
        <v>0</v>
      </c>
      <c r="AT58" s="704" t="n">
        <v>0</v>
      </c>
      <c r="AU58" s="704" t="n">
        <v>0</v>
      </c>
      <c r="AV58" s="704" t="n">
        <v>0</v>
      </c>
      <c r="AW58" s="704" t="n">
        <v>0</v>
      </c>
      <c r="AX58" s="704" t="n">
        <v>0</v>
      </c>
      <c r="AY58" s="704" t="n">
        <v>0</v>
      </c>
      <c r="AZ58" s="704" t="n">
        <v>0</v>
      </c>
      <c r="BA58" s="704" t="n">
        <v>0</v>
      </c>
      <c r="BB58" s="704" t="n">
        <v>0</v>
      </c>
      <c r="BC58" s="704" t="n">
        <v>0</v>
      </c>
      <c r="BD58" s="704" t="n">
        <v>0</v>
      </c>
      <c r="BE58" s="704" t="n">
        <v>0</v>
      </c>
      <c r="BF58" s="704" t="n">
        <v>0</v>
      </c>
      <c r="BG58" s="704" t="n">
        <v>0</v>
      </c>
      <c r="BH58" s="704" t="n">
        <v>0</v>
      </c>
      <c r="BI58" s="704" t="n">
        <v>0</v>
      </c>
      <c r="BJ58" s="704" t="n">
        <v>0</v>
      </c>
      <c r="BK58" s="704" t="n">
        <v>0</v>
      </c>
      <c r="BL58" s="704" t="n">
        <v>0</v>
      </c>
      <c r="BM58" s="704" t="n">
        <v>0</v>
      </c>
      <c r="BN58" s="704" t="n">
        <v>0</v>
      </c>
      <c r="BO58" s="704" t="n">
        <v>0</v>
      </c>
      <c r="BP58" s="704" t="n">
        <v>0</v>
      </c>
      <c r="BQ58" s="704" t="n">
        <v>0</v>
      </c>
      <c r="BR58" s="704" t="n">
        <v>0</v>
      </c>
      <c r="BS58" s="704" t="n">
        <v>0</v>
      </c>
      <c r="BT58" s="704" t="n">
        <v>0</v>
      </c>
      <c r="BU58" s="704" t="n">
        <v>0</v>
      </c>
      <c r="BV58" s="704" t="n">
        <v>0</v>
      </c>
      <c r="BW58" s="704" t="n">
        <v>0</v>
      </c>
      <c r="BX58" s="704" t="n">
        <v>0</v>
      </c>
      <c r="BY58" s="704" t="n">
        <v>0</v>
      </c>
      <c r="BZ58" s="704" t="n">
        <v>0</v>
      </c>
      <c r="CA58" s="704" t="n">
        <v>0</v>
      </c>
      <c r="CB58" s="704" t="n">
        <v>0</v>
      </c>
      <c r="CC58" s="704" t="n">
        <v>0</v>
      </c>
      <c r="CD58" s="704" t="n">
        <v>0</v>
      </c>
      <c r="CE58" s="704" t="n">
        <v>0</v>
      </c>
      <c r="CF58" s="704" t="n">
        <v>0</v>
      </c>
      <c r="CG58" s="704" t="n">
        <v>0</v>
      </c>
      <c r="CH58" s="704" t="n">
        <v>0</v>
      </c>
      <c r="CI58" s="704" t="n">
        <v>0</v>
      </c>
      <c r="CJ58" s="704" t="n">
        <v>0</v>
      </c>
      <c r="CK58" s="704" t="n">
        <v>0</v>
      </c>
      <c r="CL58" s="704" t="n">
        <v>0</v>
      </c>
      <c r="CM58" s="704" t="n">
        <v>0</v>
      </c>
      <c r="CN58" s="704" t="n">
        <v>0</v>
      </c>
      <c r="CO58" s="704" t="n">
        <v>0</v>
      </c>
      <c r="CP58" s="704" t="n">
        <v>0</v>
      </c>
      <c r="CQ58" s="704" t="n">
        <v>0</v>
      </c>
      <c r="CR58" s="704" t="n">
        <v>0</v>
      </c>
      <c r="CS58" s="704" t="n">
        <v>0</v>
      </c>
      <c r="CT58" s="704" t="n">
        <v>0</v>
      </c>
      <c r="CU58" s="704" t="n">
        <v>0</v>
      </c>
      <c r="CV58" s="704" t="n">
        <v>0</v>
      </c>
      <c r="CW58" s="704" t="n">
        <v>0</v>
      </c>
      <c r="CX58" s="704" t="n">
        <v>0</v>
      </c>
      <c r="CY58" s="704" t="n">
        <v>0</v>
      </c>
      <c r="CZ58" s="704" t="n">
        <v>0</v>
      </c>
      <c r="DA58" s="704" t="n">
        <v>0</v>
      </c>
      <c r="DB58" s="704" t="n">
        <v>0</v>
      </c>
      <c r="DC58" s="704" t="n">
        <v>0</v>
      </c>
      <c r="DD58" s="704" t="n">
        <v>0</v>
      </c>
      <c r="DE58" s="704" t="n">
        <v>0</v>
      </c>
      <c r="DF58" s="704" t="n">
        <v>0</v>
      </c>
      <c r="DG58" s="704" t="n">
        <v>0</v>
      </c>
      <c r="DH58" s="704" t="n">
        <v>0</v>
      </c>
      <c r="DI58" s="704" t="n">
        <v>0</v>
      </c>
      <c r="DJ58" s="704" t="n">
        <v>0</v>
      </c>
      <c r="DK58" s="704" t="n">
        <v>0</v>
      </c>
      <c r="DL58" s="704" t="n">
        <v>0</v>
      </c>
      <c r="DM58" s="704" t="n">
        <v>0</v>
      </c>
    </row>
    <row r="59" ht="13.5" customHeight="1" s="355">
      <c r="B59" s="703" t="inlineStr">
        <is>
          <t>Fixed Assets</t>
        </is>
      </c>
      <c r="D59" s="704" t="n">
        <v>0</v>
      </c>
      <c r="E59" s="704" t="n">
        <v>0</v>
      </c>
      <c r="F59" s="704" t="n">
        <v>0</v>
      </c>
      <c r="G59" s="704" t="n">
        <v>0</v>
      </c>
      <c r="H59" s="704" t="n">
        <v>0</v>
      </c>
      <c r="I59" s="704" t="n">
        <v>0</v>
      </c>
      <c r="J59" s="704" t="n">
        <v>0</v>
      </c>
      <c r="K59" s="704" t="n">
        <v>0</v>
      </c>
      <c r="L59" s="704" t="n">
        <v>0</v>
      </c>
      <c r="M59" s="704" t="n">
        <v>0</v>
      </c>
      <c r="N59" s="704" t="n">
        <v>0</v>
      </c>
      <c r="O59" s="704" t="n">
        <v>0</v>
      </c>
      <c r="P59" s="704" t="n">
        <v>0</v>
      </c>
      <c r="Q59" s="704" t="n">
        <v>0</v>
      </c>
      <c r="R59" s="704" t="n">
        <v>0</v>
      </c>
      <c r="S59" s="704" t="n">
        <v>0</v>
      </c>
      <c r="T59" s="704" t="n">
        <v>0</v>
      </c>
      <c r="U59" s="704" t="n">
        <v>0</v>
      </c>
      <c r="V59" s="704" t="n">
        <v>0</v>
      </c>
      <c r="W59" s="704" t="n">
        <v>0</v>
      </c>
      <c r="X59" s="704" t="n">
        <v>0</v>
      </c>
      <c r="Y59" s="704" t="n">
        <v>0</v>
      </c>
      <c r="Z59" s="704" t="n">
        <v>0</v>
      </c>
      <c r="AA59" s="704" t="n">
        <v>0</v>
      </c>
      <c r="AB59" s="704" t="n">
        <v>0</v>
      </c>
      <c r="AC59" s="704" t="n">
        <v>0</v>
      </c>
      <c r="AD59" s="704" t="n">
        <v>0</v>
      </c>
      <c r="AE59" s="704" t="n">
        <v>0</v>
      </c>
      <c r="AF59" s="704" t="n">
        <v>0</v>
      </c>
      <c r="AG59" s="704" t="n">
        <v>0</v>
      </c>
      <c r="AH59" s="704" t="n">
        <v>0</v>
      </c>
      <c r="AI59" s="704" t="n">
        <v>0</v>
      </c>
      <c r="AJ59" s="704" t="n">
        <v>0</v>
      </c>
      <c r="AK59" s="704" t="n">
        <v>0</v>
      </c>
      <c r="AL59" s="704" t="n">
        <v>0</v>
      </c>
      <c r="AM59" s="704" t="n">
        <v>0</v>
      </c>
      <c r="AN59" s="704" t="n">
        <v>0</v>
      </c>
      <c r="AO59" s="704" t="n">
        <v>0</v>
      </c>
      <c r="AP59" s="704" t="n">
        <v>0</v>
      </c>
      <c r="AQ59" s="704" t="n">
        <v>0</v>
      </c>
      <c r="AR59" s="704" t="n">
        <v>0</v>
      </c>
      <c r="AS59" s="704" t="n">
        <v>0</v>
      </c>
      <c r="AT59" s="704" t="n">
        <v>0</v>
      </c>
      <c r="AU59" s="704" t="n">
        <v>0</v>
      </c>
      <c r="AV59" s="704" t="n">
        <v>0</v>
      </c>
      <c r="AW59" s="704" t="n">
        <v>0</v>
      </c>
      <c r="AX59" s="704" t="n">
        <v>0</v>
      </c>
      <c r="AY59" s="704" t="n">
        <v>0</v>
      </c>
      <c r="AZ59" s="704" t="n">
        <v>0</v>
      </c>
      <c r="BA59" s="704" t="n">
        <v>0</v>
      </c>
      <c r="BB59" s="704" t="n">
        <v>0</v>
      </c>
      <c r="BC59" s="704" t="n">
        <v>0</v>
      </c>
      <c r="BD59" s="704" t="n">
        <v>0</v>
      </c>
      <c r="BE59" s="704" t="n">
        <v>0</v>
      </c>
      <c r="BF59" s="704" t="n">
        <v>0</v>
      </c>
      <c r="BG59" s="704" t="n">
        <v>0</v>
      </c>
      <c r="BH59" s="704" t="n">
        <v>0</v>
      </c>
      <c r="BI59" s="704" t="n">
        <v>0</v>
      </c>
      <c r="BJ59" s="704" t="n">
        <v>0</v>
      </c>
      <c r="BK59" s="704" t="n">
        <v>0</v>
      </c>
      <c r="BL59" s="704" t="n">
        <v>0</v>
      </c>
      <c r="BM59" s="704" t="n">
        <v>0</v>
      </c>
      <c r="BN59" s="704" t="n">
        <v>0</v>
      </c>
      <c r="BO59" s="704" t="n">
        <v>0</v>
      </c>
      <c r="BP59" s="704" t="n">
        <v>0</v>
      </c>
      <c r="BQ59" s="704" t="n">
        <v>0</v>
      </c>
      <c r="BR59" s="704" t="n">
        <v>0</v>
      </c>
      <c r="BS59" s="704" t="n">
        <v>0</v>
      </c>
      <c r="BT59" s="704" t="n">
        <v>0</v>
      </c>
      <c r="BU59" s="704" t="n">
        <v>0</v>
      </c>
      <c r="BV59" s="704" t="n">
        <v>0</v>
      </c>
      <c r="BW59" s="704" t="n">
        <v>0</v>
      </c>
      <c r="BX59" s="704" t="n">
        <v>0</v>
      </c>
      <c r="BY59" s="704" t="n">
        <v>0</v>
      </c>
      <c r="BZ59" s="704" t="n">
        <v>0</v>
      </c>
      <c r="CA59" s="704" t="n">
        <v>0</v>
      </c>
      <c r="CB59" s="704" t="n">
        <v>0</v>
      </c>
      <c r="CC59" s="704" t="n">
        <v>0</v>
      </c>
      <c r="CD59" s="704" t="n">
        <v>0</v>
      </c>
      <c r="CE59" s="704" t="n">
        <v>0</v>
      </c>
      <c r="CF59" s="704" t="n">
        <v>0</v>
      </c>
      <c r="CG59" s="704" t="n">
        <v>0</v>
      </c>
      <c r="CH59" s="704" t="n">
        <v>0</v>
      </c>
      <c r="CI59" s="704" t="n">
        <v>0</v>
      </c>
      <c r="CJ59" s="704" t="n">
        <v>0</v>
      </c>
      <c r="CK59" s="704" t="n">
        <v>0</v>
      </c>
      <c r="CL59" s="704" t="n">
        <v>0</v>
      </c>
      <c r="CM59" s="704" t="n">
        <v>0</v>
      </c>
      <c r="CN59" s="704" t="n">
        <v>0</v>
      </c>
      <c r="CO59" s="704" t="n">
        <v>0</v>
      </c>
      <c r="CP59" s="704" t="n">
        <v>0</v>
      </c>
      <c r="CQ59" s="704" t="n">
        <v>0</v>
      </c>
      <c r="CR59" s="704" t="n">
        <v>0</v>
      </c>
      <c r="CS59" s="704" t="n">
        <v>0</v>
      </c>
      <c r="CT59" s="704" t="n">
        <v>0</v>
      </c>
      <c r="CU59" s="704" t="n">
        <v>0</v>
      </c>
      <c r="CV59" s="704" t="n">
        <v>0</v>
      </c>
      <c r="CW59" s="704" t="n">
        <v>0</v>
      </c>
      <c r="CX59" s="704" t="n">
        <v>0</v>
      </c>
      <c r="CY59" s="704" t="n">
        <v>0</v>
      </c>
      <c r="CZ59" s="704" t="n">
        <v>0</v>
      </c>
      <c r="DA59" s="704" t="n">
        <v>0</v>
      </c>
      <c r="DB59" s="704" t="n">
        <v>0</v>
      </c>
      <c r="DC59" s="704" t="n">
        <v>0</v>
      </c>
      <c r="DD59" s="704" t="n">
        <v>0</v>
      </c>
      <c r="DE59" s="704" t="n">
        <v>0</v>
      </c>
      <c r="DF59" s="704" t="n">
        <v>0</v>
      </c>
      <c r="DG59" s="704" t="n">
        <v>0</v>
      </c>
      <c r="DH59" s="704" t="n">
        <v>0</v>
      </c>
      <c r="DI59" s="704" t="n">
        <v>0</v>
      </c>
      <c r="DJ59" s="704" t="n">
        <v>0</v>
      </c>
      <c r="DK59" s="704" t="n">
        <v>0</v>
      </c>
      <c r="DL59" s="704" t="n">
        <v>0</v>
      </c>
      <c r="DM59" s="704" t="n">
        <v>0</v>
      </c>
    </row>
    <row r="60" ht="13.5" customHeight="1" s="355">
      <c r="B60" s="703" t="inlineStr">
        <is>
          <t>Acct Payable</t>
        </is>
      </c>
      <c r="D60" s="704" t="n">
        <v>0</v>
      </c>
      <c r="E60" s="704" t="n">
        <v>0</v>
      </c>
      <c r="F60" s="704" t="n">
        <v>0</v>
      </c>
      <c r="G60" s="704" t="n">
        <v>0</v>
      </c>
      <c r="H60" s="704" t="n">
        <v>0</v>
      </c>
      <c r="I60" s="704" t="n">
        <v>0</v>
      </c>
      <c r="J60" s="704" t="n">
        <v>0.5027759308804129</v>
      </c>
      <c r="K60" s="704" t="n">
        <v>15.5860538572928</v>
      </c>
      <c r="L60" s="704" t="n">
        <v>12.4688430858343</v>
      </c>
      <c r="M60" s="704" t="n">
        <v>0</v>
      </c>
      <c r="N60" s="704" t="n">
        <v>0</v>
      </c>
      <c r="O60" s="704" t="n">
        <v>0</v>
      </c>
      <c r="P60" s="704" t="n">
        <v>0</v>
      </c>
      <c r="Q60" s="704" t="n">
        <v>0</v>
      </c>
      <c r="R60" s="704" t="n">
        <v>0</v>
      </c>
      <c r="S60" s="704" t="n">
        <v>0</v>
      </c>
      <c r="T60" s="704" t="n">
        <v>0</v>
      </c>
      <c r="U60" s="704" t="n">
        <v>0</v>
      </c>
      <c r="V60" s="704" t="n">
        <v>0</v>
      </c>
      <c r="W60" s="704" t="n">
        <v>0</v>
      </c>
      <c r="X60" s="704" t="n">
        <v>0</v>
      </c>
      <c r="Y60" s="704" t="n">
        <v>0</v>
      </c>
      <c r="Z60" s="704" t="n">
        <v>0</v>
      </c>
      <c r="AA60" s="704" t="n">
        <v>0</v>
      </c>
      <c r="AB60" s="704" t="n">
        <v>0</v>
      </c>
      <c r="AC60" s="704" t="n">
        <v>0</v>
      </c>
      <c r="AD60" s="704" t="n">
        <v>0</v>
      </c>
      <c r="AE60" s="704" t="n">
        <v>0</v>
      </c>
      <c r="AF60" s="704" t="n">
        <v>0</v>
      </c>
      <c r="AG60" s="704" t="n">
        <v>0</v>
      </c>
      <c r="AH60" s="704" t="n">
        <v>0</v>
      </c>
      <c r="AI60" s="704" t="n">
        <v>0</v>
      </c>
      <c r="AJ60" s="704" t="n">
        <v>0</v>
      </c>
      <c r="AK60" s="704" t="n">
        <v>0</v>
      </c>
      <c r="AL60" s="704" t="n">
        <v>0</v>
      </c>
      <c r="AM60" s="704" t="n">
        <v>0</v>
      </c>
      <c r="AN60" s="704" t="n">
        <v>0</v>
      </c>
      <c r="AO60" s="704" t="n">
        <v>0</v>
      </c>
      <c r="AP60" s="704" t="n">
        <v>0</v>
      </c>
      <c r="AQ60" s="704" t="n">
        <v>0</v>
      </c>
      <c r="AR60" s="704" t="n">
        <v>0</v>
      </c>
      <c r="AS60" s="704" t="n">
        <v>0</v>
      </c>
      <c r="AT60" s="704" t="n">
        <v>0</v>
      </c>
      <c r="AU60" s="704" t="n">
        <v>0</v>
      </c>
      <c r="AV60" s="704" t="n">
        <v>0</v>
      </c>
      <c r="AW60" s="704" t="n">
        <v>0</v>
      </c>
      <c r="AX60" s="704" t="n">
        <v>0</v>
      </c>
      <c r="AY60" s="704" t="n">
        <v>0</v>
      </c>
      <c r="AZ60" s="704" t="n">
        <v>0</v>
      </c>
      <c r="BA60" s="704" t="n">
        <v>0</v>
      </c>
      <c r="BB60" s="704" t="n">
        <v>0</v>
      </c>
      <c r="BC60" s="704" t="n">
        <v>0</v>
      </c>
      <c r="BD60" s="704" t="n">
        <v>0</v>
      </c>
      <c r="BE60" s="704" t="n">
        <v>0</v>
      </c>
      <c r="BF60" s="704" t="n">
        <v>0</v>
      </c>
      <c r="BG60" s="704" t="n">
        <v>0</v>
      </c>
      <c r="BH60" s="704" t="n">
        <v>0</v>
      </c>
      <c r="BI60" s="704" t="n">
        <v>0</v>
      </c>
      <c r="BJ60" s="704" t="n">
        <v>0</v>
      </c>
      <c r="BK60" s="704" t="n">
        <v>0</v>
      </c>
      <c r="BL60" s="704" t="n">
        <v>0</v>
      </c>
      <c r="BM60" s="704" t="n">
        <v>0</v>
      </c>
      <c r="BN60" s="704" t="n">
        <v>0</v>
      </c>
      <c r="BO60" s="704" t="n">
        <v>0</v>
      </c>
      <c r="BP60" s="704" t="n">
        <v>0</v>
      </c>
      <c r="BQ60" s="704" t="n">
        <v>0</v>
      </c>
      <c r="BR60" s="704" t="n">
        <v>0</v>
      </c>
      <c r="BS60" s="704" t="n">
        <v>0</v>
      </c>
      <c r="BT60" s="704" t="n">
        <v>0</v>
      </c>
      <c r="BU60" s="704" t="n">
        <v>0</v>
      </c>
      <c r="BV60" s="704" t="n">
        <v>0</v>
      </c>
      <c r="BW60" s="704" t="n">
        <v>0</v>
      </c>
      <c r="BX60" s="704" t="n">
        <v>0</v>
      </c>
      <c r="BY60" s="704" t="n">
        <v>0</v>
      </c>
      <c r="BZ60" s="704" t="n">
        <v>0</v>
      </c>
      <c r="CA60" s="704" t="n">
        <v>0</v>
      </c>
      <c r="CB60" s="704" t="n">
        <v>0</v>
      </c>
      <c r="CC60" s="704" t="n">
        <v>0</v>
      </c>
      <c r="CD60" s="704" t="n">
        <v>0</v>
      </c>
      <c r="CE60" s="704" t="n">
        <v>0</v>
      </c>
      <c r="CF60" s="704" t="n">
        <v>0</v>
      </c>
      <c r="CG60" s="704" t="n">
        <v>0</v>
      </c>
      <c r="CH60" s="704" t="n">
        <v>0</v>
      </c>
      <c r="CI60" s="704" t="n">
        <v>0</v>
      </c>
      <c r="CJ60" s="704" t="n">
        <v>0</v>
      </c>
      <c r="CK60" s="704" t="n">
        <v>0</v>
      </c>
      <c r="CL60" s="704" t="n">
        <v>0</v>
      </c>
      <c r="CM60" s="704" t="n">
        <v>0</v>
      </c>
      <c r="CN60" s="704" t="n">
        <v>0</v>
      </c>
      <c r="CO60" s="704" t="n">
        <v>0</v>
      </c>
      <c r="CP60" s="704" t="n">
        <v>0</v>
      </c>
      <c r="CQ60" s="704" t="n">
        <v>0</v>
      </c>
      <c r="CR60" s="704" t="n">
        <v>0</v>
      </c>
      <c r="CS60" s="704" t="n">
        <v>0</v>
      </c>
      <c r="CT60" s="704" t="n">
        <v>0</v>
      </c>
      <c r="CU60" s="704" t="n">
        <v>0</v>
      </c>
      <c r="CV60" s="704" t="n">
        <v>0</v>
      </c>
      <c r="CW60" s="704" t="n">
        <v>0</v>
      </c>
      <c r="CX60" s="704" t="n">
        <v>0</v>
      </c>
      <c r="CY60" s="704" t="n">
        <v>0</v>
      </c>
      <c r="CZ60" s="704" t="n">
        <v>0</v>
      </c>
      <c r="DA60" s="704" t="n">
        <v>0</v>
      </c>
      <c r="DB60" s="704" t="n">
        <v>0</v>
      </c>
      <c r="DC60" s="704" t="n">
        <v>0</v>
      </c>
      <c r="DD60" s="704" t="n">
        <v>0</v>
      </c>
      <c r="DE60" s="704" t="n">
        <v>0</v>
      </c>
      <c r="DF60" s="704" t="n">
        <v>0</v>
      </c>
      <c r="DG60" s="704" t="n">
        <v>0</v>
      </c>
      <c r="DH60" s="704" t="n">
        <v>0</v>
      </c>
      <c r="DI60" s="704" t="n">
        <v>0</v>
      </c>
      <c r="DJ60" s="704" t="n">
        <v>0</v>
      </c>
      <c r="DK60" s="704" t="n">
        <v>0</v>
      </c>
      <c r="DL60" s="704" t="n">
        <v>0</v>
      </c>
      <c r="DM60" s="704" t="n">
        <v>0</v>
      </c>
    </row>
    <row r="61" ht="13.5" customHeight="1" s="355">
      <c r="B61" s="703" t="inlineStr">
        <is>
          <t>Cash&amp;Bank</t>
        </is>
      </c>
      <c r="D61" s="704" t="n">
        <v>0</v>
      </c>
      <c r="E61" s="704" t="n">
        <v>0</v>
      </c>
      <c r="F61" s="704" t="n">
        <v>0</v>
      </c>
      <c r="G61" s="704" t="n">
        <v>0</v>
      </c>
      <c r="H61" s="704" t="n">
        <v>0</v>
      </c>
      <c r="I61" s="704" t="n">
        <v>0</v>
      </c>
      <c r="J61" s="704" t="n">
        <v>0</v>
      </c>
      <c r="K61" s="704" t="n">
        <v>0</v>
      </c>
      <c r="L61" s="704" t="n">
        <v>0</v>
      </c>
      <c r="M61" s="704" t="n">
        <v>0</v>
      </c>
      <c r="N61" s="704" t="n">
        <v>0</v>
      </c>
      <c r="O61" s="704" t="n">
        <v>0</v>
      </c>
      <c r="P61" s="704" t="n">
        <v>0</v>
      </c>
      <c r="Q61" s="704" t="n">
        <v>0</v>
      </c>
      <c r="R61" s="704" t="n">
        <v>0</v>
      </c>
      <c r="S61" s="704" t="n">
        <v>0</v>
      </c>
      <c r="T61" s="704" t="n">
        <v>0</v>
      </c>
      <c r="U61" s="704" t="n">
        <v>0</v>
      </c>
      <c r="V61" s="704" t="n">
        <v>0</v>
      </c>
      <c r="W61" s="704" t="n">
        <v>0</v>
      </c>
      <c r="X61" s="704" t="n">
        <v>0</v>
      </c>
      <c r="Y61" s="704" t="n">
        <v>0</v>
      </c>
      <c r="Z61" s="704" t="n">
        <v>0</v>
      </c>
      <c r="AA61" s="704" t="n">
        <v>0</v>
      </c>
      <c r="AB61" s="704" t="n">
        <v>0</v>
      </c>
      <c r="AC61" s="704" t="n">
        <v>0</v>
      </c>
      <c r="AD61" s="704" t="n">
        <v>0</v>
      </c>
      <c r="AE61" s="704" t="n">
        <v>0</v>
      </c>
      <c r="AF61" s="704" t="n">
        <v>0</v>
      </c>
      <c r="AG61" s="704" t="n">
        <v>0</v>
      </c>
      <c r="AH61" s="704" t="n">
        <v>0</v>
      </c>
      <c r="AI61" s="704" t="n">
        <v>0</v>
      </c>
      <c r="AJ61" s="704" t="n">
        <v>0</v>
      </c>
      <c r="AK61" s="704" t="n">
        <v>0</v>
      </c>
      <c r="AL61" s="704" t="n">
        <v>0</v>
      </c>
      <c r="AM61" s="704" t="n">
        <v>0</v>
      </c>
      <c r="AN61" s="704" t="n">
        <v>0</v>
      </c>
      <c r="AO61" s="704" t="n">
        <v>0</v>
      </c>
      <c r="AP61" s="704" t="n">
        <v>0</v>
      </c>
      <c r="AQ61" s="704" t="n">
        <v>0</v>
      </c>
      <c r="AR61" s="704" t="n">
        <v>0</v>
      </c>
      <c r="AS61" s="704" t="n">
        <v>0</v>
      </c>
      <c r="AT61" s="704" t="n">
        <v>0</v>
      </c>
      <c r="AU61" s="704" t="n">
        <v>0</v>
      </c>
      <c r="AV61" s="704" t="n">
        <v>0</v>
      </c>
      <c r="AW61" s="704" t="n">
        <v>0</v>
      </c>
      <c r="AX61" s="704" t="n">
        <v>0</v>
      </c>
      <c r="AY61" s="704" t="n">
        <v>0</v>
      </c>
      <c r="AZ61" s="704" t="n">
        <v>0</v>
      </c>
      <c r="BA61" s="704" t="n">
        <v>0</v>
      </c>
      <c r="BB61" s="704" t="n">
        <v>0</v>
      </c>
      <c r="BC61" s="704" t="n">
        <v>0</v>
      </c>
      <c r="BD61" s="704" t="n">
        <v>0</v>
      </c>
      <c r="BE61" s="704" t="n">
        <v>0</v>
      </c>
      <c r="BF61" s="704" t="n">
        <v>0</v>
      </c>
      <c r="BG61" s="704" t="n">
        <v>0</v>
      </c>
      <c r="BH61" s="704" t="n">
        <v>0</v>
      </c>
      <c r="BI61" s="704" t="n">
        <v>0</v>
      </c>
      <c r="BJ61" s="704" t="n">
        <v>0</v>
      </c>
      <c r="BK61" s="704" t="n">
        <v>0</v>
      </c>
      <c r="BL61" s="704" t="n">
        <v>0</v>
      </c>
      <c r="BM61" s="704" t="n">
        <v>0</v>
      </c>
      <c r="BN61" s="704" t="n">
        <v>0</v>
      </c>
      <c r="BO61" s="704" t="n">
        <v>0</v>
      </c>
      <c r="BP61" s="704" t="n">
        <v>0</v>
      </c>
      <c r="BQ61" s="704" t="n">
        <v>0</v>
      </c>
      <c r="BR61" s="704" t="n">
        <v>0</v>
      </c>
      <c r="BS61" s="704" t="n">
        <v>0</v>
      </c>
      <c r="BT61" s="704" t="n">
        <v>0</v>
      </c>
      <c r="BU61" s="704" t="n">
        <v>0</v>
      </c>
      <c r="BV61" s="704" t="n">
        <v>0</v>
      </c>
      <c r="BW61" s="704" t="n">
        <v>0</v>
      </c>
      <c r="BX61" s="704" t="n">
        <v>0</v>
      </c>
      <c r="BY61" s="704" t="n">
        <v>0</v>
      </c>
      <c r="BZ61" s="704" t="n">
        <v>0</v>
      </c>
      <c r="CA61" s="704" t="n">
        <v>0</v>
      </c>
      <c r="CB61" s="704" t="n">
        <v>0</v>
      </c>
      <c r="CC61" s="704" t="n">
        <v>0</v>
      </c>
      <c r="CD61" s="704" t="n">
        <v>0</v>
      </c>
      <c r="CE61" s="704" t="n">
        <v>0</v>
      </c>
      <c r="CF61" s="704" t="n">
        <v>0</v>
      </c>
      <c r="CG61" s="704" t="n">
        <v>0</v>
      </c>
      <c r="CH61" s="704" t="n">
        <v>0</v>
      </c>
      <c r="CI61" s="704" t="n">
        <v>0</v>
      </c>
      <c r="CJ61" s="704" t="n">
        <v>0</v>
      </c>
      <c r="CK61" s="704" t="n">
        <v>0</v>
      </c>
      <c r="CL61" s="704" t="n">
        <v>0</v>
      </c>
      <c r="CM61" s="704" t="n">
        <v>0</v>
      </c>
      <c r="CN61" s="704" t="n">
        <v>0</v>
      </c>
      <c r="CO61" s="704" t="n">
        <v>0</v>
      </c>
      <c r="CP61" s="704" t="n">
        <v>0</v>
      </c>
      <c r="CQ61" s="704" t="n">
        <v>0</v>
      </c>
      <c r="CR61" s="704" t="n">
        <v>0</v>
      </c>
      <c r="CS61" s="704" t="n">
        <v>0</v>
      </c>
      <c r="CT61" s="704" t="n">
        <v>0</v>
      </c>
      <c r="CU61" s="704" t="n">
        <v>0</v>
      </c>
      <c r="CV61" s="704" t="n">
        <v>0</v>
      </c>
      <c r="CW61" s="704" t="n">
        <v>0</v>
      </c>
      <c r="CX61" s="704" t="n">
        <v>0</v>
      </c>
      <c r="CY61" s="704" t="n">
        <v>0</v>
      </c>
      <c r="CZ61" s="704" t="n">
        <v>0</v>
      </c>
      <c r="DA61" s="704" t="n">
        <v>0</v>
      </c>
      <c r="DB61" s="704" t="n">
        <v>0</v>
      </c>
      <c r="DC61" s="704" t="n">
        <v>0</v>
      </c>
      <c r="DD61" s="704" t="n">
        <v>0</v>
      </c>
      <c r="DE61" s="704" t="n">
        <v>0</v>
      </c>
      <c r="DF61" s="704" t="n">
        <v>0</v>
      </c>
      <c r="DG61" s="704" t="n">
        <v>0</v>
      </c>
      <c r="DH61" s="704" t="n">
        <v>0</v>
      </c>
      <c r="DI61" s="704" t="n">
        <v>0</v>
      </c>
      <c r="DJ61" s="704" t="n">
        <v>0</v>
      </c>
      <c r="DK61" s="704" t="n">
        <v>0</v>
      </c>
      <c r="DL61" s="704" t="n">
        <v>0</v>
      </c>
      <c r="DM61" s="704" t="n">
        <v>0</v>
      </c>
    </row>
    <row r="62" ht="13.5" customHeight="1" s="355">
      <c r="B62" s="703" t="inlineStr">
        <is>
          <t>T&amp;E</t>
        </is>
      </c>
      <c r="D62" s="704" t="n">
        <v>0</v>
      </c>
      <c r="E62" s="704" t="n">
        <v>0</v>
      </c>
      <c r="F62" s="704" t="n">
        <v>0</v>
      </c>
      <c r="G62" s="704" t="n">
        <v>0</v>
      </c>
      <c r="H62" s="704" t="n">
        <v>0</v>
      </c>
      <c r="I62" s="704" t="n">
        <v>0</v>
      </c>
      <c r="J62" s="704" t="n">
        <v>0.228534514036551</v>
      </c>
      <c r="K62" s="704" t="n">
        <v>5.66765594810648</v>
      </c>
      <c r="L62" s="704" t="n">
        <v>4.25074196107986</v>
      </c>
      <c r="M62" s="704" t="n">
        <v>0</v>
      </c>
      <c r="N62" s="704" t="n">
        <v>0</v>
      </c>
      <c r="O62" s="704" t="n">
        <v>0</v>
      </c>
      <c r="P62" s="704" t="n">
        <v>0</v>
      </c>
      <c r="Q62" s="704" t="n">
        <v>0</v>
      </c>
      <c r="R62" s="704" t="n">
        <v>0</v>
      </c>
      <c r="S62" s="704" t="n">
        <v>0</v>
      </c>
      <c r="T62" s="704" t="n">
        <v>0</v>
      </c>
      <c r="U62" s="704" t="n">
        <v>0</v>
      </c>
      <c r="V62" s="704" t="n">
        <v>0</v>
      </c>
      <c r="W62" s="704" t="n">
        <v>0</v>
      </c>
      <c r="X62" s="704" t="n">
        <v>0</v>
      </c>
      <c r="Y62" s="704" t="n">
        <v>0</v>
      </c>
      <c r="Z62" s="704" t="n">
        <v>0</v>
      </c>
      <c r="AA62" s="704" t="n">
        <v>0</v>
      </c>
      <c r="AB62" s="704" t="n">
        <v>0</v>
      </c>
      <c r="AC62" s="704" t="n">
        <v>0</v>
      </c>
      <c r="AD62" s="704" t="n">
        <v>0</v>
      </c>
      <c r="AE62" s="704" t="n">
        <v>0</v>
      </c>
      <c r="AF62" s="704" t="n">
        <v>0</v>
      </c>
      <c r="AG62" s="704" t="n">
        <v>0</v>
      </c>
      <c r="AH62" s="704" t="n">
        <v>0</v>
      </c>
      <c r="AI62" s="704" t="n">
        <v>0</v>
      </c>
      <c r="AJ62" s="704" t="n">
        <v>0</v>
      </c>
      <c r="AK62" s="704" t="n">
        <v>0</v>
      </c>
      <c r="AL62" s="704" t="n">
        <v>0</v>
      </c>
      <c r="AM62" s="704" t="n">
        <v>0</v>
      </c>
      <c r="AN62" s="704" t="n">
        <v>0</v>
      </c>
      <c r="AO62" s="704" t="n">
        <v>0</v>
      </c>
      <c r="AP62" s="704" t="n">
        <v>0</v>
      </c>
      <c r="AQ62" s="704" t="n">
        <v>0</v>
      </c>
      <c r="AR62" s="704" t="n">
        <v>0</v>
      </c>
      <c r="AS62" s="704" t="n">
        <v>0</v>
      </c>
      <c r="AT62" s="704" t="n">
        <v>0</v>
      </c>
      <c r="AU62" s="704" t="n">
        <v>0</v>
      </c>
      <c r="AV62" s="704" t="n">
        <v>0</v>
      </c>
      <c r="AW62" s="704" t="n">
        <v>0</v>
      </c>
      <c r="AX62" s="704" t="n">
        <v>0</v>
      </c>
      <c r="AY62" s="704" t="n">
        <v>0</v>
      </c>
      <c r="AZ62" s="704" t="n">
        <v>0</v>
      </c>
      <c r="BA62" s="704" t="n">
        <v>0</v>
      </c>
      <c r="BB62" s="704" t="n">
        <v>0</v>
      </c>
      <c r="BC62" s="704" t="n">
        <v>0</v>
      </c>
      <c r="BD62" s="704" t="n">
        <v>0</v>
      </c>
      <c r="BE62" s="704" t="n">
        <v>0</v>
      </c>
      <c r="BF62" s="704" t="n">
        <v>0</v>
      </c>
      <c r="BG62" s="704" t="n">
        <v>0</v>
      </c>
      <c r="BH62" s="704" t="n">
        <v>0</v>
      </c>
      <c r="BI62" s="704" t="n">
        <v>0</v>
      </c>
      <c r="BJ62" s="704" t="n">
        <v>0</v>
      </c>
      <c r="BK62" s="704" t="n">
        <v>0</v>
      </c>
      <c r="BL62" s="704" t="n">
        <v>0</v>
      </c>
      <c r="BM62" s="704" t="n">
        <v>0</v>
      </c>
      <c r="BN62" s="704" t="n">
        <v>0</v>
      </c>
      <c r="BO62" s="704" t="n">
        <v>0</v>
      </c>
      <c r="BP62" s="704" t="n">
        <v>0</v>
      </c>
      <c r="BQ62" s="704" t="n">
        <v>0</v>
      </c>
      <c r="BR62" s="704" t="n">
        <v>0</v>
      </c>
      <c r="BS62" s="704" t="n">
        <v>0</v>
      </c>
      <c r="BT62" s="704" t="n">
        <v>0</v>
      </c>
      <c r="BU62" s="704" t="n">
        <v>0</v>
      </c>
      <c r="BV62" s="704" t="n">
        <v>0</v>
      </c>
      <c r="BW62" s="704" t="n">
        <v>0</v>
      </c>
      <c r="BX62" s="704" t="n">
        <v>0</v>
      </c>
      <c r="BY62" s="704" t="n">
        <v>0</v>
      </c>
      <c r="BZ62" s="704" t="n">
        <v>0</v>
      </c>
      <c r="CA62" s="704" t="n">
        <v>0</v>
      </c>
      <c r="CB62" s="704" t="n">
        <v>0</v>
      </c>
      <c r="CC62" s="704" t="n">
        <v>0</v>
      </c>
      <c r="CD62" s="704" t="n">
        <v>0</v>
      </c>
      <c r="CE62" s="704" t="n">
        <v>0</v>
      </c>
      <c r="CF62" s="704" t="n">
        <v>0</v>
      </c>
      <c r="CG62" s="704" t="n">
        <v>0</v>
      </c>
      <c r="CH62" s="704" t="n">
        <v>0</v>
      </c>
      <c r="CI62" s="704" t="n">
        <v>0</v>
      </c>
      <c r="CJ62" s="704" t="n">
        <v>0</v>
      </c>
      <c r="CK62" s="704" t="n">
        <v>0</v>
      </c>
      <c r="CL62" s="704" t="n">
        <v>0</v>
      </c>
      <c r="CM62" s="704" t="n">
        <v>0</v>
      </c>
      <c r="CN62" s="704" t="n">
        <v>0</v>
      </c>
      <c r="CO62" s="704" t="n">
        <v>0</v>
      </c>
      <c r="CP62" s="704" t="n">
        <v>0</v>
      </c>
      <c r="CQ62" s="704" t="n">
        <v>0</v>
      </c>
      <c r="CR62" s="704" t="n">
        <v>0</v>
      </c>
      <c r="CS62" s="704" t="n">
        <v>0</v>
      </c>
      <c r="CT62" s="704" t="n">
        <v>0</v>
      </c>
      <c r="CU62" s="704" t="n">
        <v>0</v>
      </c>
      <c r="CV62" s="704" t="n">
        <v>0</v>
      </c>
      <c r="CW62" s="704" t="n">
        <v>0</v>
      </c>
      <c r="CX62" s="704" t="n">
        <v>0</v>
      </c>
      <c r="CY62" s="704" t="n">
        <v>0</v>
      </c>
      <c r="CZ62" s="704" t="n">
        <v>0</v>
      </c>
      <c r="DA62" s="704" t="n">
        <v>0</v>
      </c>
      <c r="DB62" s="704" t="n">
        <v>0</v>
      </c>
      <c r="DC62" s="704" t="n">
        <v>0</v>
      </c>
      <c r="DD62" s="704" t="n">
        <v>0</v>
      </c>
      <c r="DE62" s="704" t="n">
        <v>0</v>
      </c>
      <c r="DF62" s="704" t="n">
        <v>0</v>
      </c>
      <c r="DG62" s="704" t="n">
        <v>0</v>
      </c>
      <c r="DH62" s="704" t="n">
        <v>0</v>
      </c>
      <c r="DI62" s="704" t="n">
        <v>0</v>
      </c>
      <c r="DJ62" s="704" t="n">
        <v>0</v>
      </c>
      <c r="DK62" s="704" t="n">
        <v>0</v>
      </c>
      <c r="DL62" s="704" t="n">
        <v>0</v>
      </c>
      <c r="DM62" s="704" t="n">
        <v>0</v>
      </c>
    </row>
    <row r="63" ht="13.5" customHeight="1" s="355">
      <c r="B63" s="703" t="inlineStr">
        <is>
          <t>Order to Cash</t>
        </is>
      </c>
      <c r="D63" s="704" t="n">
        <v>0</v>
      </c>
      <c r="E63" s="704" t="n">
        <v>0</v>
      </c>
      <c r="F63" s="704" t="n">
        <v>0</v>
      </c>
      <c r="G63" s="704" t="n">
        <v>0</v>
      </c>
      <c r="H63" s="704" t="n">
        <v>0</v>
      </c>
      <c r="I63" s="704" t="n">
        <v>0</v>
      </c>
      <c r="J63" s="704" t="n">
        <v>0.185319750458195</v>
      </c>
      <c r="K63" s="704" t="n">
        <v>5.74491226420404</v>
      </c>
      <c r="L63" s="704" t="n">
        <v>4.59592981136323</v>
      </c>
      <c r="M63" s="704" t="n">
        <v>0</v>
      </c>
      <c r="N63" s="704" t="n">
        <v>0</v>
      </c>
      <c r="O63" s="704" t="n">
        <v>0</v>
      </c>
      <c r="P63" s="704" t="n">
        <v>0</v>
      </c>
      <c r="Q63" s="704" t="n">
        <v>0</v>
      </c>
      <c r="R63" s="704" t="n">
        <v>0</v>
      </c>
      <c r="S63" s="704" t="n">
        <v>0</v>
      </c>
      <c r="T63" s="704" t="n">
        <v>0</v>
      </c>
      <c r="U63" s="704" t="n">
        <v>0</v>
      </c>
      <c r="V63" s="704" t="n">
        <v>0</v>
      </c>
      <c r="W63" s="704" t="n">
        <v>0</v>
      </c>
      <c r="X63" s="704" t="n">
        <v>0</v>
      </c>
      <c r="Y63" s="704" t="n">
        <v>0</v>
      </c>
      <c r="Z63" s="704" t="n">
        <v>0</v>
      </c>
      <c r="AA63" s="704" t="n">
        <v>0</v>
      </c>
      <c r="AB63" s="704" t="n">
        <v>0</v>
      </c>
      <c r="AC63" s="704" t="n">
        <v>0</v>
      </c>
      <c r="AD63" s="704" t="n">
        <v>0</v>
      </c>
      <c r="AE63" s="704" t="n">
        <v>0</v>
      </c>
      <c r="AF63" s="704" t="n">
        <v>0</v>
      </c>
      <c r="AG63" s="704" t="n">
        <v>0</v>
      </c>
      <c r="AH63" s="704" t="n">
        <v>0</v>
      </c>
      <c r="AI63" s="704" t="n">
        <v>0</v>
      </c>
      <c r="AJ63" s="704" t="n">
        <v>0</v>
      </c>
      <c r="AK63" s="704" t="n">
        <v>0</v>
      </c>
      <c r="AL63" s="704" t="n">
        <v>0</v>
      </c>
      <c r="AM63" s="704" t="n">
        <v>0</v>
      </c>
      <c r="AN63" s="704" t="n">
        <v>0</v>
      </c>
      <c r="AO63" s="704" t="n">
        <v>0</v>
      </c>
      <c r="AP63" s="704" t="n">
        <v>0</v>
      </c>
      <c r="AQ63" s="704" t="n">
        <v>0</v>
      </c>
      <c r="AR63" s="704" t="n">
        <v>0</v>
      </c>
      <c r="AS63" s="704" t="n">
        <v>0</v>
      </c>
      <c r="AT63" s="704" t="n">
        <v>0</v>
      </c>
      <c r="AU63" s="704" t="n">
        <v>0</v>
      </c>
      <c r="AV63" s="704" t="n">
        <v>0</v>
      </c>
      <c r="AW63" s="704" t="n">
        <v>0</v>
      </c>
      <c r="AX63" s="704" t="n">
        <v>0</v>
      </c>
      <c r="AY63" s="704" t="n">
        <v>0</v>
      </c>
      <c r="AZ63" s="704" t="n">
        <v>0</v>
      </c>
      <c r="BA63" s="704" t="n">
        <v>0</v>
      </c>
      <c r="BB63" s="704" t="n">
        <v>0</v>
      </c>
      <c r="BC63" s="704" t="n">
        <v>0</v>
      </c>
      <c r="BD63" s="704" t="n">
        <v>0</v>
      </c>
      <c r="BE63" s="704" t="n">
        <v>0</v>
      </c>
      <c r="BF63" s="704" t="n">
        <v>0</v>
      </c>
      <c r="BG63" s="704" t="n">
        <v>0</v>
      </c>
      <c r="BH63" s="704" t="n">
        <v>0</v>
      </c>
      <c r="BI63" s="704" t="n">
        <v>0</v>
      </c>
      <c r="BJ63" s="704" t="n">
        <v>0</v>
      </c>
      <c r="BK63" s="704" t="n">
        <v>0</v>
      </c>
      <c r="BL63" s="704" t="n">
        <v>0</v>
      </c>
      <c r="BM63" s="704" t="n">
        <v>0</v>
      </c>
      <c r="BN63" s="704" t="n">
        <v>0</v>
      </c>
      <c r="BO63" s="704" t="n">
        <v>0</v>
      </c>
      <c r="BP63" s="704" t="n">
        <v>0</v>
      </c>
      <c r="BQ63" s="704" t="n">
        <v>0</v>
      </c>
      <c r="BR63" s="704" t="n">
        <v>0</v>
      </c>
      <c r="BS63" s="704" t="n">
        <v>0</v>
      </c>
      <c r="BT63" s="704" t="n">
        <v>0</v>
      </c>
      <c r="BU63" s="704" t="n">
        <v>0</v>
      </c>
      <c r="BV63" s="704" t="n">
        <v>0</v>
      </c>
      <c r="BW63" s="704" t="n">
        <v>0</v>
      </c>
      <c r="BX63" s="704" t="n">
        <v>0</v>
      </c>
      <c r="BY63" s="704" t="n">
        <v>0</v>
      </c>
      <c r="BZ63" s="704" t="n">
        <v>0</v>
      </c>
      <c r="CA63" s="704" t="n">
        <v>0</v>
      </c>
      <c r="CB63" s="704" t="n">
        <v>0</v>
      </c>
      <c r="CC63" s="704" t="n">
        <v>0</v>
      </c>
      <c r="CD63" s="704" t="n">
        <v>0</v>
      </c>
      <c r="CE63" s="704" t="n">
        <v>0</v>
      </c>
      <c r="CF63" s="704" t="n">
        <v>0</v>
      </c>
      <c r="CG63" s="704" t="n">
        <v>0</v>
      </c>
      <c r="CH63" s="704" t="n">
        <v>0</v>
      </c>
      <c r="CI63" s="704" t="n">
        <v>0</v>
      </c>
      <c r="CJ63" s="704" t="n">
        <v>0</v>
      </c>
      <c r="CK63" s="704" t="n">
        <v>0</v>
      </c>
      <c r="CL63" s="704" t="n">
        <v>0</v>
      </c>
      <c r="CM63" s="704" t="n">
        <v>0</v>
      </c>
      <c r="CN63" s="704" t="n">
        <v>0</v>
      </c>
      <c r="CO63" s="704" t="n">
        <v>0</v>
      </c>
      <c r="CP63" s="704" t="n">
        <v>0</v>
      </c>
      <c r="CQ63" s="704" t="n">
        <v>0</v>
      </c>
      <c r="CR63" s="704" t="n">
        <v>0</v>
      </c>
      <c r="CS63" s="704" t="n">
        <v>0</v>
      </c>
      <c r="CT63" s="704" t="n">
        <v>0</v>
      </c>
      <c r="CU63" s="704" t="n">
        <v>0</v>
      </c>
      <c r="CV63" s="704" t="n">
        <v>0</v>
      </c>
      <c r="CW63" s="704" t="n">
        <v>0</v>
      </c>
      <c r="CX63" s="704" t="n">
        <v>0</v>
      </c>
      <c r="CY63" s="704" t="n">
        <v>0</v>
      </c>
      <c r="CZ63" s="704" t="n">
        <v>0</v>
      </c>
      <c r="DA63" s="704" t="n">
        <v>0</v>
      </c>
      <c r="DB63" s="704" t="n">
        <v>0</v>
      </c>
      <c r="DC63" s="704" t="n">
        <v>0</v>
      </c>
      <c r="DD63" s="704" t="n">
        <v>0</v>
      </c>
      <c r="DE63" s="704" t="n">
        <v>0</v>
      </c>
      <c r="DF63" s="704" t="n">
        <v>0</v>
      </c>
      <c r="DG63" s="704" t="n">
        <v>0</v>
      </c>
      <c r="DH63" s="704" t="n">
        <v>0</v>
      </c>
      <c r="DI63" s="704" t="n">
        <v>0</v>
      </c>
      <c r="DJ63" s="704" t="n">
        <v>0</v>
      </c>
      <c r="DK63" s="704" t="n">
        <v>0</v>
      </c>
      <c r="DL63" s="704" t="n">
        <v>0</v>
      </c>
      <c r="DM63" s="704" t="n">
        <v>0</v>
      </c>
    </row>
    <row r="64" ht="13.5" customHeight="1" s="355">
      <c r="B64" s="703" t="inlineStr">
        <is>
          <t>Req to Pay</t>
        </is>
      </c>
      <c r="D64" s="704" t="n">
        <v>0</v>
      </c>
      <c r="E64" s="704" t="n">
        <v>0</v>
      </c>
      <c r="F64" s="704" t="n">
        <v>0</v>
      </c>
      <c r="G64" s="704" t="n">
        <v>0</v>
      </c>
      <c r="H64" s="704" t="n">
        <v>0</v>
      </c>
      <c r="I64" s="704" t="n">
        <v>0</v>
      </c>
      <c r="J64" s="704" t="n">
        <v>4.57216597028814</v>
      </c>
      <c r="K64" s="704" t="n">
        <v>6.29942867017477</v>
      </c>
      <c r="L64" s="704" t="n">
        <v>0</v>
      </c>
      <c r="M64" s="704" t="n">
        <v>0</v>
      </c>
      <c r="N64" s="704" t="n">
        <v>0</v>
      </c>
      <c r="O64" s="704" t="n">
        <v>0</v>
      </c>
      <c r="P64" s="704" t="n">
        <v>0</v>
      </c>
      <c r="Q64" s="704" t="n">
        <v>0</v>
      </c>
      <c r="R64" s="704" t="n">
        <v>0</v>
      </c>
      <c r="S64" s="704" t="n">
        <v>0</v>
      </c>
      <c r="T64" s="704" t="n">
        <v>0</v>
      </c>
      <c r="U64" s="704" t="n">
        <v>0</v>
      </c>
      <c r="V64" s="704" t="n">
        <v>0</v>
      </c>
      <c r="W64" s="704" t="n">
        <v>0</v>
      </c>
      <c r="X64" s="704" t="n">
        <v>0</v>
      </c>
      <c r="Y64" s="704" t="n">
        <v>0</v>
      </c>
      <c r="Z64" s="704" t="n">
        <v>0</v>
      </c>
      <c r="AA64" s="704" t="n">
        <v>0</v>
      </c>
      <c r="AB64" s="704" t="n">
        <v>0</v>
      </c>
      <c r="AC64" s="704" t="n">
        <v>0</v>
      </c>
      <c r="AD64" s="704" t="n">
        <v>0</v>
      </c>
      <c r="AE64" s="704" t="n">
        <v>0</v>
      </c>
      <c r="AF64" s="704" t="n">
        <v>0</v>
      </c>
      <c r="AG64" s="704" t="n">
        <v>0</v>
      </c>
      <c r="AH64" s="704" t="n">
        <v>0</v>
      </c>
      <c r="AI64" s="704" t="n">
        <v>0</v>
      </c>
      <c r="AJ64" s="704" t="n">
        <v>0</v>
      </c>
      <c r="AK64" s="704" t="n">
        <v>0</v>
      </c>
      <c r="AL64" s="704" t="n">
        <v>0</v>
      </c>
      <c r="AM64" s="704" t="n">
        <v>0</v>
      </c>
      <c r="AN64" s="704" t="n">
        <v>0</v>
      </c>
      <c r="AO64" s="704" t="n">
        <v>0</v>
      </c>
      <c r="AP64" s="704" t="n">
        <v>0</v>
      </c>
      <c r="AQ64" s="704" t="n">
        <v>0</v>
      </c>
      <c r="AR64" s="704" t="n">
        <v>0</v>
      </c>
      <c r="AS64" s="704" t="n">
        <v>0</v>
      </c>
      <c r="AT64" s="704" t="n">
        <v>0</v>
      </c>
      <c r="AU64" s="704" t="n">
        <v>0</v>
      </c>
      <c r="AV64" s="704" t="n">
        <v>0</v>
      </c>
      <c r="AW64" s="704" t="n">
        <v>0</v>
      </c>
      <c r="AX64" s="704" t="n">
        <v>0</v>
      </c>
      <c r="AY64" s="704" t="n">
        <v>0</v>
      </c>
      <c r="AZ64" s="704" t="n">
        <v>0</v>
      </c>
      <c r="BA64" s="704" t="n">
        <v>0</v>
      </c>
      <c r="BB64" s="704" t="n">
        <v>0</v>
      </c>
      <c r="BC64" s="704" t="n">
        <v>0</v>
      </c>
      <c r="BD64" s="704" t="n">
        <v>0</v>
      </c>
      <c r="BE64" s="704" t="n">
        <v>0</v>
      </c>
      <c r="BF64" s="704" t="n">
        <v>0</v>
      </c>
      <c r="BG64" s="704" t="n">
        <v>0</v>
      </c>
      <c r="BH64" s="704" t="n">
        <v>0</v>
      </c>
      <c r="BI64" s="704" t="n">
        <v>0</v>
      </c>
      <c r="BJ64" s="704" t="n">
        <v>0</v>
      </c>
      <c r="BK64" s="704" t="n">
        <v>0</v>
      </c>
      <c r="BL64" s="704" t="n">
        <v>0</v>
      </c>
      <c r="BM64" s="704" t="n">
        <v>0</v>
      </c>
      <c r="BN64" s="704" t="n">
        <v>0</v>
      </c>
      <c r="BO64" s="704" t="n">
        <v>0</v>
      </c>
      <c r="BP64" s="704" t="n">
        <v>0</v>
      </c>
      <c r="BQ64" s="704" t="n">
        <v>0</v>
      </c>
      <c r="BR64" s="704" t="n">
        <v>0</v>
      </c>
      <c r="BS64" s="704" t="n">
        <v>0</v>
      </c>
      <c r="BT64" s="704" t="n">
        <v>0</v>
      </c>
      <c r="BU64" s="704" t="n">
        <v>0</v>
      </c>
      <c r="BV64" s="704" t="n">
        <v>0</v>
      </c>
      <c r="BW64" s="704" t="n">
        <v>0</v>
      </c>
      <c r="BX64" s="704" t="n">
        <v>0</v>
      </c>
      <c r="BY64" s="704" t="n">
        <v>0</v>
      </c>
      <c r="BZ64" s="704" t="n">
        <v>0</v>
      </c>
      <c r="CA64" s="704" t="n">
        <v>0</v>
      </c>
      <c r="CB64" s="704" t="n">
        <v>0</v>
      </c>
      <c r="CC64" s="704" t="n">
        <v>0</v>
      </c>
      <c r="CD64" s="704" t="n">
        <v>0</v>
      </c>
      <c r="CE64" s="704" t="n">
        <v>0</v>
      </c>
      <c r="CF64" s="704" t="n">
        <v>0</v>
      </c>
      <c r="CG64" s="704" t="n">
        <v>0</v>
      </c>
      <c r="CH64" s="704" t="n">
        <v>0</v>
      </c>
      <c r="CI64" s="704" t="n">
        <v>0</v>
      </c>
      <c r="CJ64" s="704" t="n">
        <v>0</v>
      </c>
      <c r="CK64" s="704" t="n">
        <v>0</v>
      </c>
      <c r="CL64" s="704" t="n">
        <v>0</v>
      </c>
      <c r="CM64" s="704" t="n">
        <v>0</v>
      </c>
      <c r="CN64" s="704" t="n">
        <v>0</v>
      </c>
      <c r="CO64" s="704" t="n">
        <v>0</v>
      </c>
      <c r="CP64" s="704" t="n">
        <v>0</v>
      </c>
      <c r="CQ64" s="704" t="n">
        <v>0</v>
      </c>
      <c r="CR64" s="704" t="n">
        <v>0</v>
      </c>
      <c r="CS64" s="704" t="n">
        <v>0</v>
      </c>
      <c r="CT64" s="704" t="n">
        <v>0</v>
      </c>
      <c r="CU64" s="704" t="n">
        <v>0</v>
      </c>
      <c r="CV64" s="704" t="n">
        <v>0</v>
      </c>
      <c r="CW64" s="704" t="n">
        <v>0</v>
      </c>
      <c r="CX64" s="704" t="n">
        <v>0</v>
      </c>
      <c r="CY64" s="704" t="n">
        <v>0</v>
      </c>
      <c r="CZ64" s="704" t="n">
        <v>0</v>
      </c>
      <c r="DA64" s="704" t="n">
        <v>0</v>
      </c>
      <c r="DB64" s="704" t="n">
        <v>0</v>
      </c>
      <c r="DC64" s="704" t="n">
        <v>0</v>
      </c>
      <c r="DD64" s="704" t="n">
        <v>0</v>
      </c>
      <c r="DE64" s="704" t="n">
        <v>0</v>
      </c>
      <c r="DF64" s="704" t="n">
        <v>0</v>
      </c>
      <c r="DG64" s="704" t="n">
        <v>0</v>
      </c>
      <c r="DH64" s="704" t="n">
        <v>0</v>
      </c>
      <c r="DI64" s="704" t="n">
        <v>0</v>
      </c>
      <c r="DJ64" s="704" t="n">
        <v>0</v>
      </c>
      <c r="DK64" s="704" t="n">
        <v>0</v>
      </c>
      <c r="DL64" s="704" t="n">
        <v>0</v>
      </c>
      <c r="DM64" s="704" t="n">
        <v>0</v>
      </c>
    </row>
    <row r="65" ht="13.5" customHeight="1" s="355">
      <c r="B65" s="703" t="inlineStr">
        <is>
          <t>Team Leader</t>
        </is>
      </c>
      <c r="D65" s="704" t="n">
        <v>0</v>
      </c>
      <c r="E65" s="704" t="n">
        <v>0</v>
      </c>
      <c r="F65" s="704" t="n">
        <v>0</v>
      </c>
      <c r="G65" s="704" t="n">
        <v>0</v>
      </c>
      <c r="H65" s="704" t="n">
        <v>0</v>
      </c>
      <c r="I65" s="704" t="n">
        <v>0</v>
      </c>
      <c r="J65" s="704" t="n">
        <v>0</v>
      </c>
      <c r="K65" s="704" t="n">
        <v>0</v>
      </c>
      <c r="L65" s="704" t="n">
        <v>0</v>
      </c>
      <c r="M65" s="704" t="n">
        <v>0</v>
      </c>
      <c r="N65" s="704" t="n">
        <v>0</v>
      </c>
      <c r="O65" s="704" t="n">
        <v>0</v>
      </c>
      <c r="P65" s="704" t="n">
        <v>0</v>
      </c>
      <c r="Q65" s="704" t="n">
        <v>0</v>
      </c>
      <c r="R65" s="704" t="n">
        <v>0</v>
      </c>
      <c r="S65" s="704" t="n">
        <v>0</v>
      </c>
      <c r="T65" s="704" t="n">
        <v>0</v>
      </c>
      <c r="U65" s="704" t="n">
        <v>0</v>
      </c>
      <c r="V65" s="704" t="n">
        <v>0</v>
      </c>
      <c r="W65" s="704" t="n">
        <v>0</v>
      </c>
      <c r="X65" s="704" t="n">
        <v>0</v>
      </c>
      <c r="Y65" s="704" t="n">
        <v>0</v>
      </c>
      <c r="Z65" s="704" t="n">
        <v>0</v>
      </c>
      <c r="AA65" s="704" t="n">
        <v>0</v>
      </c>
      <c r="AB65" s="704" t="n">
        <v>0</v>
      </c>
      <c r="AC65" s="704" t="n">
        <v>0</v>
      </c>
      <c r="AD65" s="704" t="n">
        <v>0</v>
      </c>
      <c r="AE65" s="704" t="n">
        <v>0</v>
      </c>
      <c r="AF65" s="704" t="n">
        <v>0</v>
      </c>
      <c r="AG65" s="704" t="n">
        <v>0</v>
      </c>
      <c r="AH65" s="704" t="n">
        <v>0</v>
      </c>
      <c r="AI65" s="704" t="n">
        <v>0</v>
      </c>
      <c r="AJ65" s="704" t="n">
        <v>0</v>
      </c>
      <c r="AK65" s="704" t="n">
        <v>0</v>
      </c>
      <c r="AL65" s="704" t="n">
        <v>0</v>
      </c>
      <c r="AM65" s="704" t="n">
        <v>0</v>
      </c>
      <c r="AN65" s="704" t="n">
        <v>0</v>
      </c>
      <c r="AO65" s="704" t="n">
        <v>0</v>
      </c>
      <c r="AP65" s="704" t="n">
        <v>0</v>
      </c>
      <c r="AQ65" s="704" t="n">
        <v>0</v>
      </c>
      <c r="AR65" s="704" t="n">
        <v>0</v>
      </c>
      <c r="AS65" s="704" t="n">
        <v>0</v>
      </c>
      <c r="AT65" s="704" t="n">
        <v>0</v>
      </c>
      <c r="AU65" s="704" t="n">
        <v>0</v>
      </c>
      <c r="AV65" s="704" t="n">
        <v>0</v>
      </c>
      <c r="AW65" s="704" t="n">
        <v>0</v>
      </c>
      <c r="AX65" s="704" t="n">
        <v>0</v>
      </c>
      <c r="AY65" s="704" t="n">
        <v>0</v>
      </c>
      <c r="AZ65" s="704" t="n">
        <v>0</v>
      </c>
      <c r="BA65" s="704" t="n">
        <v>0</v>
      </c>
      <c r="BB65" s="704" t="n">
        <v>0</v>
      </c>
      <c r="BC65" s="704" t="n">
        <v>0</v>
      </c>
      <c r="BD65" s="704" t="n">
        <v>0</v>
      </c>
      <c r="BE65" s="704" t="n">
        <v>0</v>
      </c>
      <c r="BF65" s="704" t="n">
        <v>0</v>
      </c>
      <c r="BG65" s="704" t="n">
        <v>0</v>
      </c>
      <c r="BH65" s="704" t="n">
        <v>0</v>
      </c>
      <c r="BI65" s="704" t="n">
        <v>0</v>
      </c>
      <c r="BJ65" s="704" t="n">
        <v>0</v>
      </c>
      <c r="BK65" s="704" t="n">
        <v>0</v>
      </c>
      <c r="BL65" s="704" t="n">
        <v>0</v>
      </c>
      <c r="BM65" s="704" t="n">
        <v>0</v>
      </c>
      <c r="BN65" s="704" t="n">
        <v>0</v>
      </c>
      <c r="BO65" s="704" t="n">
        <v>0</v>
      </c>
      <c r="BP65" s="704" t="n">
        <v>0</v>
      </c>
      <c r="BQ65" s="704" t="n">
        <v>0</v>
      </c>
      <c r="BR65" s="704" t="n">
        <v>0</v>
      </c>
      <c r="BS65" s="704" t="n">
        <v>0</v>
      </c>
      <c r="BT65" s="704" t="n">
        <v>0</v>
      </c>
      <c r="BU65" s="704" t="n">
        <v>0</v>
      </c>
      <c r="BV65" s="704" t="n">
        <v>0</v>
      </c>
      <c r="BW65" s="704" t="n">
        <v>0</v>
      </c>
      <c r="BX65" s="704" t="n">
        <v>0</v>
      </c>
      <c r="BY65" s="704" t="n">
        <v>0</v>
      </c>
      <c r="BZ65" s="704" t="n">
        <v>0</v>
      </c>
      <c r="CA65" s="704" t="n">
        <v>0</v>
      </c>
      <c r="CB65" s="704" t="n">
        <v>0</v>
      </c>
      <c r="CC65" s="704" t="n">
        <v>0</v>
      </c>
      <c r="CD65" s="704" t="n">
        <v>0</v>
      </c>
      <c r="CE65" s="704" t="n">
        <v>0</v>
      </c>
      <c r="CF65" s="704" t="n">
        <v>0</v>
      </c>
      <c r="CG65" s="704" t="n">
        <v>0</v>
      </c>
      <c r="CH65" s="704" t="n">
        <v>0</v>
      </c>
      <c r="CI65" s="704" t="n">
        <v>0</v>
      </c>
      <c r="CJ65" s="704" t="n">
        <v>0</v>
      </c>
      <c r="CK65" s="704" t="n">
        <v>0</v>
      </c>
      <c r="CL65" s="704" t="n">
        <v>0</v>
      </c>
      <c r="CM65" s="704" t="n">
        <v>0</v>
      </c>
      <c r="CN65" s="704" t="n">
        <v>0</v>
      </c>
      <c r="CO65" s="704" t="n">
        <v>0</v>
      </c>
      <c r="CP65" s="704" t="n">
        <v>0</v>
      </c>
      <c r="CQ65" s="704" t="n">
        <v>0</v>
      </c>
      <c r="CR65" s="704" t="n">
        <v>0</v>
      </c>
      <c r="CS65" s="704" t="n">
        <v>0</v>
      </c>
      <c r="CT65" s="704" t="n">
        <v>0</v>
      </c>
      <c r="CU65" s="704" t="n">
        <v>0</v>
      </c>
      <c r="CV65" s="704" t="n">
        <v>0</v>
      </c>
      <c r="CW65" s="704" t="n">
        <v>0</v>
      </c>
      <c r="CX65" s="704" t="n">
        <v>0</v>
      </c>
      <c r="CY65" s="704" t="n">
        <v>0</v>
      </c>
      <c r="CZ65" s="704" t="n">
        <v>0</v>
      </c>
      <c r="DA65" s="704" t="n">
        <v>0</v>
      </c>
      <c r="DB65" s="704" t="n">
        <v>0</v>
      </c>
      <c r="DC65" s="704" t="n">
        <v>0</v>
      </c>
      <c r="DD65" s="704" t="n">
        <v>0</v>
      </c>
      <c r="DE65" s="704" t="n">
        <v>0</v>
      </c>
      <c r="DF65" s="704" t="n">
        <v>0</v>
      </c>
      <c r="DG65" s="704" t="n">
        <v>0</v>
      </c>
      <c r="DH65" s="704" t="n">
        <v>0</v>
      </c>
      <c r="DI65" s="704" t="n">
        <v>0</v>
      </c>
      <c r="DJ65" s="704" t="n">
        <v>0</v>
      </c>
      <c r="DK65" s="704" t="n">
        <v>0</v>
      </c>
      <c r="DL65" s="704" t="n">
        <v>0</v>
      </c>
      <c r="DM65" s="704" t="n">
        <v>0</v>
      </c>
    </row>
    <row r="66" ht="13.5" customHeight="1" s="355">
      <c r="B66" s="703" t="inlineStr">
        <is>
          <t>SLA Metric Reporting</t>
        </is>
      </c>
      <c r="D66" s="704" t="n">
        <v>0</v>
      </c>
      <c r="E66" s="704" t="n">
        <v>0</v>
      </c>
      <c r="F66" s="704" t="n">
        <v>0</v>
      </c>
      <c r="G66" s="704" t="n">
        <v>0</v>
      </c>
      <c r="H66" s="704" t="n">
        <v>0</v>
      </c>
      <c r="I66" s="704" t="n">
        <v>0</v>
      </c>
      <c r="J66" s="704" t="n">
        <v>0</v>
      </c>
      <c r="K66" s="704" t="n">
        <v>0</v>
      </c>
      <c r="L66" s="704" t="n">
        <v>0</v>
      </c>
      <c r="M66" s="704" t="n">
        <v>0</v>
      </c>
      <c r="N66" s="704" t="n">
        <v>0</v>
      </c>
      <c r="O66" s="704" t="n">
        <v>0</v>
      </c>
      <c r="P66" s="704" t="n">
        <v>0</v>
      </c>
      <c r="Q66" s="704" t="n">
        <v>0</v>
      </c>
      <c r="R66" s="704" t="n">
        <v>0</v>
      </c>
      <c r="S66" s="704" t="n">
        <v>0</v>
      </c>
      <c r="T66" s="704" t="n">
        <v>0</v>
      </c>
      <c r="U66" s="704" t="n">
        <v>0</v>
      </c>
      <c r="V66" s="704" t="n">
        <v>0</v>
      </c>
      <c r="W66" s="704" t="n">
        <v>0</v>
      </c>
      <c r="X66" s="704" t="n">
        <v>0</v>
      </c>
      <c r="Y66" s="704" t="n">
        <v>0</v>
      </c>
      <c r="Z66" s="704" t="n">
        <v>0</v>
      </c>
      <c r="AA66" s="704" t="n">
        <v>0</v>
      </c>
      <c r="AB66" s="704" t="n">
        <v>0</v>
      </c>
      <c r="AC66" s="704" t="n">
        <v>0</v>
      </c>
      <c r="AD66" s="704" t="n">
        <v>0</v>
      </c>
      <c r="AE66" s="704" t="n">
        <v>0</v>
      </c>
      <c r="AF66" s="704" t="n">
        <v>0</v>
      </c>
      <c r="AG66" s="704" t="n">
        <v>0</v>
      </c>
      <c r="AH66" s="704" t="n">
        <v>0</v>
      </c>
      <c r="AI66" s="704" t="n">
        <v>0</v>
      </c>
      <c r="AJ66" s="704" t="n">
        <v>0</v>
      </c>
      <c r="AK66" s="704" t="n">
        <v>0</v>
      </c>
      <c r="AL66" s="704" t="n">
        <v>0</v>
      </c>
      <c r="AM66" s="704" t="n">
        <v>0</v>
      </c>
      <c r="AN66" s="704" t="n">
        <v>0</v>
      </c>
      <c r="AO66" s="704" t="n">
        <v>0</v>
      </c>
      <c r="AP66" s="704" t="n">
        <v>0</v>
      </c>
      <c r="AQ66" s="704" t="n">
        <v>0</v>
      </c>
      <c r="AR66" s="704" t="n">
        <v>0</v>
      </c>
      <c r="AS66" s="704" t="n">
        <v>0</v>
      </c>
      <c r="AT66" s="704" t="n">
        <v>0</v>
      </c>
      <c r="AU66" s="704" t="n">
        <v>0</v>
      </c>
      <c r="AV66" s="704" t="n">
        <v>0</v>
      </c>
      <c r="AW66" s="704" t="n">
        <v>0</v>
      </c>
      <c r="AX66" s="704" t="n">
        <v>0</v>
      </c>
      <c r="AY66" s="704" t="n">
        <v>0</v>
      </c>
      <c r="AZ66" s="704" t="n">
        <v>0</v>
      </c>
      <c r="BA66" s="704" t="n">
        <v>0</v>
      </c>
      <c r="BB66" s="704" t="n">
        <v>0</v>
      </c>
      <c r="BC66" s="704" t="n">
        <v>0</v>
      </c>
      <c r="BD66" s="704" t="n">
        <v>0</v>
      </c>
      <c r="BE66" s="704" t="n">
        <v>0</v>
      </c>
      <c r="BF66" s="704" t="n">
        <v>0</v>
      </c>
      <c r="BG66" s="704" t="n">
        <v>0</v>
      </c>
      <c r="BH66" s="704" t="n">
        <v>0</v>
      </c>
      <c r="BI66" s="704" t="n">
        <v>0</v>
      </c>
      <c r="BJ66" s="704" t="n">
        <v>0</v>
      </c>
      <c r="BK66" s="704" t="n">
        <v>0</v>
      </c>
      <c r="BL66" s="704" t="n">
        <v>0</v>
      </c>
      <c r="BM66" s="704" t="n">
        <v>0</v>
      </c>
      <c r="BN66" s="704" t="n">
        <v>0</v>
      </c>
      <c r="BO66" s="704" t="n">
        <v>0</v>
      </c>
      <c r="BP66" s="704" t="n">
        <v>0</v>
      </c>
      <c r="BQ66" s="704" t="n">
        <v>0</v>
      </c>
      <c r="BR66" s="704" t="n">
        <v>0</v>
      </c>
      <c r="BS66" s="704" t="n">
        <v>0</v>
      </c>
      <c r="BT66" s="704" t="n">
        <v>0</v>
      </c>
      <c r="BU66" s="704" t="n">
        <v>0</v>
      </c>
      <c r="BV66" s="704" t="n">
        <v>0</v>
      </c>
      <c r="BW66" s="704" t="n">
        <v>0</v>
      </c>
      <c r="BX66" s="704" t="n">
        <v>0</v>
      </c>
      <c r="BY66" s="704" t="n">
        <v>0</v>
      </c>
      <c r="BZ66" s="704" t="n">
        <v>0</v>
      </c>
      <c r="CA66" s="704" t="n">
        <v>0</v>
      </c>
      <c r="CB66" s="704" t="n">
        <v>0</v>
      </c>
      <c r="CC66" s="704" t="n">
        <v>0</v>
      </c>
      <c r="CD66" s="704" t="n">
        <v>0</v>
      </c>
      <c r="CE66" s="704" t="n">
        <v>0</v>
      </c>
      <c r="CF66" s="704" t="n">
        <v>0</v>
      </c>
      <c r="CG66" s="704" t="n">
        <v>0</v>
      </c>
      <c r="CH66" s="704" t="n">
        <v>0</v>
      </c>
      <c r="CI66" s="704" t="n">
        <v>0</v>
      </c>
      <c r="CJ66" s="704" t="n">
        <v>0</v>
      </c>
      <c r="CK66" s="704" t="n">
        <v>0</v>
      </c>
      <c r="CL66" s="704" t="n">
        <v>0</v>
      </c>
      <c r="CM66" s="704" t="n">
        <v>0</v>
      </c>
      <c r="CN66" s="704" t="n">
        <v>0</v>
      </c>
      <c r="CO66" s="704" t="n">
        <v>0</v>
      </c>
      <c r="CP66" s="704" t="n">
        <v>0</v>
      </c>
      <c r="CQ66" s="704" t="n">
        <v>0</v>
      </c>
      <c r="CR66" s="704" t="n">
        <v>0</v>
      </c>
      <c r="CS66" s="704" t="n">
        <v>0</v>
      </c>
      <c r="CT66" s="704" t="n">
        <v>0</v>
      </c>
      <c r="CU66" s="704" t="n">
        <v>0</v>
      </c>
      <c r="CV66" s="704" t="n">
        <v>0</v>
      </c>
      <c r="CW66" s="704" t="n">
        <v>0</v>
      </c>
      <c r="CX66" s="704" t="n">
        <v>0</v>
      </c>
      <c r="CY66" s="704" t="n">
        <v>0</v>
      </c>
      <c r="CZ66" s="704" t="n">
        <v>0</v>
      </c>
      <c r="DA66" s="704" t="n">
        <v>0</v>
      </c>
      <c r="DB66" s="704" t="n">
        <v>0</v>
      </c>
      <c r="DC66" s="704" t="n">
        <v>0</v>
      </c>
      <c r="DD66" s="704" t="n">
        <v>0</v>
      </c>
      <c r="DE66" s="704" t="n">
        <v>0</v>
      </c>
      <c r="DF66" s="704" t="n">
        <v>0</v>
      </c>
      <c r="DG66" s="704" t="n">
        <v>0</v>
      </c>
      <c r="DH66" s="704" t="n">
        <v>0</v>
      </c>
      <c r="DI66" s="704" t="n">
        <v>0</v>
      </c>
      <c r="DJ66" s="704" t="n">
        <v>0</v>
      </c>
      <c r="DK66" s="704" t="n">
        <v>0</v>
      </c>
      <c r="DL66" s="704" t="n">
        <v>0</v>
      </c>
      <c r="DM66" s="704" t="n">
        <v>0</v>
      </c>
    </row>
    <row r="67" ht="13.5" customHeight="1" s="355">
      <c r="B67" s="705" t="inlineStr">
        <is>
          <t>Grand Total</t>
        </is>
      </c>
      <c r="C67" s="706" t="n"/>
      <c r="D67" s="707" t="n">
        <v>0</v>
      </c>
      <c r="E67" s="707" t="n">
        <v>0</v>
      </c>
      <c r="F67" s="707" t="n">
        <v>0</v>
      </c>
      <c r="G67" s="707" t="n">
        <v>0</v>
      </c>
      <c r="H67" s="707" t="n">
        <v>0</v>
      </c>
      <c r="I67" s="707" t="n">
        <v>0</v>
      </c>
      <c r="J67" s="707" t="n">
        <v>5.4887961656633</v>
      </c>
      <c r="K67" s="707" t="n">
        <v>36.440214189685</v>
      </c>
      <c r="L67" s="707" t="n">
        <v>24.4576783081842</v>
      </c>
      <c r="M67" s="707" t="n">
        <v>0.810880890298554</v>
      </c>
      <c r="N67" s="707" t="n">
        <v>0</v>
      </c>
      <c r="O67" s="707" t="n">
        <v>0</v>
      </c>
      <c r="P67" s="707" t="n">
        <v>0</v>
      </c>
      <c r="Q67" s="707" t="n">
        <v>0</v>
      </c>
      <c r="R67" s="707" t="n">
        <v>0</v>
      </c>
      <c r="S67" s="707" t="n">
        <v>0</v>
      </c>
      <c r="T67" s="707" t="n">
        <v>0</v>
      </c>
      <c r="U67" s="707" t="n">
        <v>0</v>
      </c>
      <c r="V67" s="707" t="n">
        <v>0</v>
      </c>
      <c r="W67" s="707" t="n">
        <v>0</v>
      </c>
      <c r="X67" s="707" t="n">
        <v>0</v>
      </c>
      <c r="Y67" s="707" t="n">
        <v>0</v>
      </c>
      <c r="Z67" s="707" t="n">
        <v>0</v>
      </c>
      <c r="AA67" s="707" t="n">
        <v>0</v>
      </c>
      <c r="AB67" s="707" t="n">
        <v>0</v>
      </c>
      <c r="AC67" s="707" t="n">
        <v>0</v>
      </c>
      <c r="AD67" s="707" t="n">
        <v>0</v>
      </c>
      <c r="AE67" s="707" t="n">
        <v>0</v>
      </c>
      <c r="AF67" s="707" t="n">
        <v>0</v>
      </c>
      <c r="AG67" s="707" t="n">
        <v>0</v>
      </c>
      <c r="AH67" s="707" t="n">
        <v>0</v>
      </c>
      <c r="AI67" s="707" t="n">
        <v>0</v>
      </c>
      <c r="AJ67" s="707" t="n">
        <v>0</v>
      </c>
      <c r="AK67" s="707" t="n">
        <v>0</v>
      </c>
      <c r="AL67" s="707" t="n">
        <v>0</v>
      </c>
      <c r="AM67" s="707" t="n">
        <v>0</v>
      </c>
      <c r="AN67" s="707" t="n">
        <v>0</v>
      </c>
      <c r="AO67" s="707" t="n">
        <v>0</v>
      </c>
      <c r="AP67" s="707" t="n">
        <v>0</v>
      </c>
      <c r="AQ67" s="707" t="n">
        <v>0</v>
      </c>
      <c r="AR67" s="707" t="n">
        <v>0</v>
      </c>
      <c r="AS67" s="707" t="n">
        <v>0</v>
      </c>
      <c r="AT67" s="707" t="n">
        <v>0</v>
      </c>
      <c r="AU67" s="707" t="n">
        <v>0</v>
      </c>
      <c r="AV67" s="707" t="n">
        <v>0</v>
      </c>
      <c r="AW67" s="707" t="n">
        <v>0</v>
      </c>
      <c r="AX67" s="707" t="n">
        <v>0</v>
      </c>
      <c r="AY67" s="707" t="n">
        <v>0</v>
      </c>
      <c r="AZ67" s="707" t="n">
        <v>0</v>
      </c>
      <c r="BA67" s="707" t="n">
        <v>0</v>
      </c>
      <c r="BB67" s="707" t="n">
        <v>0</v>
      </c>
      <c r="BC67" s="707" t="n">
        <v>0</v>
      </c>
      <c r="BD67" s="707" t="n">
        <v>0</v>
      </c>
      <c r="BE67" s="707" t="n">
        <v>0</v>
      </c>
      <c r="BF67" s="707" t="n">
        <v>0</v>
      </c>
      <c r="BG67" s="707" t="n">
        <v>0</v>
      </c>
      <c r="BH67" s="707" t="n">
        <v>0</v>
      </c>
      <c r="BI67" s="707" t="n">
        <v>0</v>
      </c>
      <c r="BJ67" s="707" t="n">
        <v>0</v>
      </c>
      <c r="BK67" s="707" t="n">
        <v>0</v>
      </c>
      <c r="BL67" s="707" t="n">
        <v>0</v>
      </c>
      <c r="BM67" s="707" t="n">
        <v>0</v>
      </c>
      <c r="BN67" s="707" t="n">
        <v>0</v>
      </c>
      <c r="BO67" s="707" t="n">
        <v>0</v>
      </c>
      <c r="BP67" s="707" t="n">
        <v>0</v>
      </c>
      <c r="BQ67" s="707" t="n">
        <v>0</v>
      </c>
      <c r="BR67" s="707" t="n">
        <v>0</v>
      </c>
      <c r="BS67" s="707" t="n">
        <v>0</v>
      </c>
      <c r="BT67" s="707" t="n">
        <v>0</v>
      </c>
      <c r="BU67" s="707" t="n">
        <v>0</v>
      </c>
      <c r="BV67" s="707" t="n">
        <v>0</v>
      </c>
      <c r="BW67" s="707" t="n">
        <v>0</v>
      </c>
      <c r="BX67" s="707" t="n">
        <v>0</v>
      </c>
      <c r="BY67" s="707" t="n">
        <v>0</v>
      </c>
      <c r="BZ67" s="707" t="n">
        <v>0</v>
      </c>
      <c r="CA67" s="707" t="n">
        <v>0</v>
      </c>
      <c r="CB67" s="707" t="n">
        <v>0</v>
      </c>
      <c r="CC67" s="707" t="n">
        <v>0</v>
      </c>
      <c r="CD67" s="707" t="n">
        <v>0</v>
      </c>
      <c r="CE67" s="707" t="n">
        <v>0</v>
      </c>
      <c r="CF67" s="707" t="n">
        <v>0</v>
      </c>
      <c r="CG67" s="707" t="n">
        <v>0</v>
      </c>
      <c r="CH67" s="707" t="n">
        <v>0</v>
      </c>
      <c r="CI67" s="707" t="n">
        <v>0</v>
      </c>
      <c r="CJ67" s="707" t="n">
        <v>0</v>
      </c>
      <c r="CK67" s="707" t="n">
        <v>0</v>
      </c>
      <c r="CL67" s="707" t="n">
        <v>0</v>
      </c>
      <c r="CM67" s="707" t="n">
        <v>0</v>
      </c>
      <c r="CN67" s="707" t="n">
        <v>0</v>
      </c>
      <c r="CO67" s="707" t="n">
        <v>0</v>
      </c>
      <c r="CP67" s="707" t="n">
        <v>0</v>
      </c>
      <c r="CQ67" s="707" t="n">
        <v>0</v>
      </c>
      <c r="CR67" s="707" t="n">
        <v>0</v>
      </c>
      <c r="CS67" s="707" t="n">
        <v>0</v>
      </c>
      <c r="CT67" s="707" t="n">
        <v>0</v>
      </c>
      <c r="CU67" s="707" t="n">
        <v>0</v>
      </c>
      <c r="CV67" s="707" t="n">
        <v>0</v>
      </c>
      <c r="CW67" s="707" t="n">
        <v>0</v>
      </c>
      <c r="CX67" s="707" t="n">
        <v>0</v>
      </c>
      <c r="CY67" s="707" t="n">
        <v>0</v>
      </c>
      <c r="CZ67" s="707" t="n">
        <v>0</v>
      </c>
      <c r="DA67" s="707" t="n">
        <v>0</v>
      </c>
      <c r="DB67" s="707" t="n">
        <v>0</v>
      </c>
      <c r="DC67" s="707" t="n">
        <v>0</v>
      </c>
      <c r="DD67" s="707" t="n">
        <v>0</v>
      </c>
      <c r="DE67" s="707" t="n">
        <v>0</v>
      </c>
      <c r="DF67" s="707" t="n">
        <v>0</v>
      </c>
      <c r="DG67" s="707" t="n">
        <v>0</v>
      </c>
      <c r="DH67" s="707" t="n">
        <v>0</v>
      </c>
      <c r="DI67" s="707" t="n">
        <v>0</v>
      </c>
      <c r="DJ67" s="707" t="n">
        <v>0</v>
      </c>
      <c r="DK67" s="707" t="n">
        <v>0</v>
      </c>
      <c r="DL67" s="707" t="n">
        <v>0</v>
      </c>
      <c r="DM67" s="707" t="n">
        <v>0</v>
      </c>
    </row>
    <row r="68" ht="13.5" customHeight="1" s="355">
      <c r="A68" s="702" t="inlineStr">
        <is>
          <t>UK</t>
        </is>
      </c>
      <c r="B68" s="703" t="inlineStr">
        <is>
          <t>Gen Acctg</t>
        </is>
      </c>
      <c r="D68" s="704" t="n">
        <v>0</v>
      </c>
      <c r="E68" s="704" t="n">
        <v>0</v>
      </c>
      <c r="F68" s="704" t="n">
        <v>0</v>
      </c>
      <c r="G68" s="704" t="n">
        <v>0</v>
      </c>
      <c r="H68" s="704" t="n">
        <v>0</v>
      </c>
      <c r="I68" s="704" t="n">
        <v>0</v>
      </c>
      <c r="J68" s="704" t="n">
        <v>1.68432389628455</v>
      </c>
      <c r="K68" s="704" t="n">
        <v>0.755041746610315</v>
      </c>
      <c r="L68" s="704" t="n">
        <v>0</v>
      </c>
      <c r="M68" s="704" t="n">
        <v>0</v>
      </c>
      <c r="N68" s="704" t="n">
        <v>0</v>
      </c>
      <c r="O68" s="704" t="n">
        <v>0</v>
      </c>
      <c r="P68" s="704" t="n">
        <v>0</v>
      </c>
      <c r="Q68" s="704" t="n">
        <v>0</v>
      </c>
      <c r="R68" s="704" t="n">
        <v>0</v>
      </c>
      <c r="S68" s="704" t="n">
        <v>0</v>
      </c>
      <c r="T68" s="704" t="n">
        <v>0</v>
      </c>
      <c r="U68" s="704" t="n">
        <v>0</v>
      </c>
      <c r="V68" s="704" t="n">
        <v>0</v>
      </c>
      <c r="W68" s="704" t="n">
        <v>0</v>
      </c>
      <c r="X68" s="704" t="n">
        <v>0</v>
      </c>
      <c r="Y68" s="704" t="n">
        <v>0</v>
      </c>
      <c r="Z68" s="704" t="n">
        <v>0</v>
      </c>
      <c r="AA68" s="704" t="n">
        <v>0</v>
      </c>
      <c r="AB68" s="704" t="n">
        <v>0</v>
      </c>
      <c r="AC68" s="704" t="n">
        <v>0</v>
      </c>
      <c r="AD68" s="704" t="n">
        <v>0</v>
      </c>
      <c r="AE68" s="704" t="n">
        <v>0</v>
      </c>
      <c r="AF68" s="704" t="n">
        <v>0</v>
      </c>
      <c r="AG68" s="704" t="n">
        <v>0</v>
      </c>
      <c r="AH68" s="704" t="n">
        <v>0</v>
      </c>
      <c r="AI68" s="704" t="n">
        <v>0</v>
      </c>
      <c r="AJ68" s="704" t="n">
        <v>0</v>
      </c>
      <c r="AK68" s="704" t="n">
        <v>0</v>
      </c>
      <c r="AL68" s="704" t="n">
        <v>0</v>
      </c>
      <c r="AM68" s="704" t="n">
        <v>0</v>
      </c>
      <c r="AN68" s="704" t="n">
        <v>0</v>
      </c>
      <c r="AO68" s="704" t="n">
        <v>0</v>
      </c>
      <c r="AP68" s="704" t="n">
        <v>0</v>
      </c>
      <c r="AQ68" s="704" t="n">
        <v>0</v>
      </c>
      <c r="AR68" s="704" t="n">
        <v>0</v>
      </c>
      <c r="AS68" s="704" t="n">
        <v>0</v>
      </c>
      <c r="AT68" s="704" t="n">
        <v>0</v>
      </c>
      <c r="AU68" s="704" t="n">
        <v>0</v>
      </c>
      <c r="AV68" s="704" t="n">
        <v>0</v>
      </c>
      <c r="AW68" s="704" t="n">
        <v>0</v>
      </c>
      <c r="AX68" s="704" t="n">
        <v>0</v>
      </c>
      <c r="AY68" s="704" t="n">
        <v>0</v>
      </c>
      <c r="AZ68" s="704" t="n">
        <v>0</v>
      </c>
      <c r="BA68" s="704" t="n">
        <v>0</v>
      </c>
      <c r="BB68" s="704" t="n">
        <v>0</v>
      </c>
      <c r="BC68" s="704" t="n">
        <v>0</v>
      </c>
      <c r="BD68" s="704" t="n">
        <v>0</v>
      </c>
      <c r="BE68" s="704" t="n">
        <v>0</v>
      </c>
      <c r="BF68" s="704" t="n">
        <v>0</v>
      </c>
      <c r="BG68" s="704" t="n">
        <v>0</v>
      </c>
      <c r="BH68" s="704" t="n">
        <v>0</v>
      </c>
      <c r="BI68" s="704" t="n">
        <v>0</v>
      </c>
      <c r="BJ68" s="704" t="n">
        <v>0</v>
      </c>
      <c r="BK68" s="704" t="n">
        <v>0</v>
      </c>
      <c r="BL68" s="704" t="n">
        <v>0</v>
      </c>
      <c r="BM68" s="704" t="n">
        <v>0</v>
      </c>
      <c r="BN68" s="704" t="n">
        <v>0</v>
      </c>
      <c r="BO68" s="704" t="n">
        <v>0</v>
      </c>
      <c r="BP68" s="704" t="n">
        <v>0</v>
      </c>
      <c r="BQ68" s="704" t="n">
        <v>0</v>
      </c>
      <c r="BR68" s="704" t="n">
        <v>0</v>
      </c>
      <c r="BS68" s="704" t="n">
        <v>0</v>
      </c>
      <c r="BT68" s="704" t="n">
        <v>0</v>
      </c>
      <c r="BU68" s="704" t="n">
        <v>0</v>
      </c>
      <c r="BV68" s="704" t="n">
        <v>0</v>
      </c>
      <c r="BW68" s="704" t="n">
        <v>0</v>
      </c>
      <c r="BX68" s="704" t="n">
        <v>0</v>
      </c>
      <c r="BY68" s="704" t="n">
        <v>0</v>
      </c>
      <c r="BZ68" s="704" t="n">
        <v>0</v>
      </c>
      <c r="CA68" s="704" t="n">
        <v>0</v>
      </c>
      <c r="CB68" s="704" t="n">
        <v>0</v>
      </c>
      <c r="CC68" s="704" t="n">
        <v>0</v>
      </c>
      <c r="CD68" s="704" t="n">
        <v>0</v>
      </c>
      <c r="CE68" s="704" t="n">
        <v>0</v>
      </c>
      <c r="CF68" s="704" t="n">
        <v>0</v>
      </c>
      <c r="CG68" s="704" t="n">
        <v>0</v>
      </c>
      <c r="CH68" s="704" t="n">
        <v>0</v>
      </c>
      <c r="CI68" s="704" t="n">
        <v>0</v>
      </c>
      <c r="CJ68" s="704" t="n">
        <v>0</v>
      </c>
      <c r="CK68" s="704" t="n">
        <v>0</v>
      </c>
      <c r="CL68" s="704" t="n">
        <v>0</v>
      </c>
      <c r="CM68" s="704" t="n">
        <v>0</v>
      </c>
      <c r="CN68" s="704" t="n">
        <v>0</v>
      </c>
      <c r="CO68" s="704" t="n">
        <v>0</v>
      </c>
      <c r="CP68" s="704" t="n">
        <v>0</v>
      </c>
      <c r="CQ68" s="704" t="n">
        <v>0</v>
      </c>
      <c r="CR68" s="704" t="n">
        <v>0</v>
      </c>
      <c r="CS68" s="704" t="n">
        <v>0</v>
      </c>
      <c r="CT68" s="704" t="n">
        <v>0</v>
      </c>
      <c r="CU68" s="704" t="n">
        <v>0</v>
      </c>
      <c r="CV68" s="704" t="n">
        <v>0</v>
      </c>
      <c r="CW68" s="704" t="n">
        <v>0</v>
      </c>
      <c r="CX68" s="704" t="n">
        <v>0</v>
      </c>
      <c r="CY68" s="704" t="n">
        <v>0</v>
      </c>
      <c r="CZ68" s="704" t="n">
        <v>0</v>
      </c>
      <c r="DA68" s="704" t="n">
        <v>0</v>
      </c>
      <c r="DB68" s="704" t="n">
        <v>0</v>
      </c>
      <c r="DC68" s="704" t="n">
        <v>0</v>
      </c>
      <c r="DD68" s="704" t="n">
        <v>0</v>
      </c>
      <c r="DE68" s="704" t="n">
        <v>0</v>
      </c>
      <c r="DF68" s="704" t="n">
        <v>0</v>
      </c>
      <c r="DG68" s="704" t="n">
        <v>0</v>
      </c>
      <c r="DH68" s="704" t="n">
        <v>0</v>
      </c>
      <c r="DI68" s="704" t="n">
        <v>0</v>
      </c>
      <c r="DJ68" s="704" t="n">
        <v>0</v>
      </c>
      <c r="DK68" s="704" t="n">
        <v>0</v>
      </c>
      <c r="DL68" s="704" t="n">
        <v>0</v>
      </c>
      <c r="DM68" s="704" t="n">
        <v>0</v>
      </c>
    </row>
    <row r="69" ht="13.5" customHeight="1" s="355">
      <c r="B69" s="703" t="inlineStr">
        <is>
          <t>Reporting</t>
        </is>
      </c>
      <c r="D69" s="704" t="n">
        <v>0</v>
      </c>
      <c r="E69" s="704" t="n">
        <v>0</v>
      </c>
      <c r="F69" s="704" t="n">
        <v>0</v>
      </c>
      <c r="G69" s="704" t="n">
        <v>0</v>
      </c>
      <c r="H69" s="704" t="n">
        <v>0</v>
      </c>
      <c r="I69" s="704" t="n">
        <v>0</v>
      </c>
      <c r="J69" s="704" t="n">
        <v>0</v>
      </c>
      <c r="K69" s="704" t="n">
        <v>0</v>
      </c>
      <c r="L69" s="704" t="n">
        <v>0</v>
      </c>
      <c r="M69" s="704" t="n">
        <v>0</v>
      </c>
      <c r="N69" s="704" t="n">
        <v>0</v>
      </c>
      <c r="O69" s="704" t="n">
        <v>0</v>
      </c>
      <c r="P69" s="704" t="n">
        <v>0</v>
      </c>
      <c r="Q69" s="704" t="n">
        <v>0</v>
      </c>
      <c r="R69" s="704" t="n">
        <v>0</v>
      </c>
      <c r="S69" s="704" t="n">
        <v>0</v>
      </c>
      <c r="T69" s="704" t="n">
        <v>0</v>
      </c>
      <c r="U69" s="704" t="n">
        <v>0</v>
      </c>
      <c r="V69" s="704" t="n">
        <v>0</v>
      </c>
      <c r="W69" s="704" t="n">
        <v>0</v>
      </c>
      <c r="X69" s="704" t="n">
        <v>0</v>
      </c>
      <c r="Y69" s="704" t="n">
        <v>0</v>
      </c>
      <c r="Z69" s="704" t="n">
        <v>0</v>
      </c>
      <c r="AA69" s="704" t="n">
        <v>0</v>
      </c>
      <c r="AB69" s="704" t="n">
        <v>0</v>
      </c>
      <c r="AC69" s="704" t="n">
        <v>0</v>
      </c>
      <c r="AD69" s="704" t="n">
        <v>0</v>
      </c>
      <c r="AE69" s="704" t="n">
        <v>0</v>
      </c>
      <c r="AF69" s="704" t="n">
        <v>0</v>
      </c>
      <c r="AG69" s="704" t="n">
        <v>0</v>
      </c>
      <c r="AH69" s="704" t="n">
        <v>0</v>
      </c>
      <c r="AI69" s="704" t="n">
        <v>0</v>
      </c>
      <c r="AJ69" s="704" t="n">
        <v>0</v>
      </c>
      <c r="AK69" s="704" t="n">
        <v>0</v>
      </c>
      <c r="AL69" s="704" t="n">
        <v>0</v>
      </c>
      <c r="AM69" s="704" t="n">
        <v>0</v>
      </c>
      <c r="AN69" s="704" t="n">
        <v>0</v>
      </c>
      <c r="AO69" s="704" t="n">
        <v>0</v>
      </c>
      <c r="AP69" s="704" t="n">
        <v>0</v>
      </c>
      <c r="AQ69" s="704" t="n">
        <v>0</v>
      </c>
      <c r="AR69" s="704" t="n">
        <v>0</v>
      </c>
      <c r="AS69" s="704" t="n">
        <v>0</v>
      </c>
      <c r="AT69" s="704" t="n">
        <v>0</v>
      </c>
      <c r="AU69" s="704" t="n">
        <v>0</v>
      </c>
      <c r="AV69" s="704" t="n">
        <v>0</v>
      </c>
      <c r="AW69" s="704" t="n">
        <v>0</v>
      </c>
      <c r="AX69" s="704" t="n">
        <v>0</v>
      </c>
      <c r="AY69" s="704" t="n">
        <v>0</v>
      </c>
      <c r="AZ69" s="704" t="n">
        <v>0</v>
      </c>
      <c r="BA69" s="704" t="n">
        <v>0</v>
      </c>
      <c r="BB69" s="704" t="n">
        <v>0</v>
      </c>
      <c r="BC69" s="704" t="n">
        <v>0</v>
      </c>
      <c r="BD69" s="704" t="n">
        <v>0</v>
      </c>
      <c r="BE69" s="704" t="n">
        <v>0</v>
      </c>
      <c r="BF69" s="704" t="n">
        <v>0</v>
      </c>
      <c r="BG69" s="704" t="n">
        <v>0</v>
      </c>
      <c r="BH69" s="704" t="n">
        <v>0</v>
      </c>
      <c r="BI69" s="704" t="n">
        <v>0</v>
      </c>
      <c r="BJ69" s="704" t="n">
        <v>0</v>
      </c>
      <c r="BK69" s="704" t="n">
        <v>0</v>
      </c>
      <c r="BL69" s="704" t="n">
        <v>0</v>
      </c>
      <c r="BM69" s="704" t="n">
        <v>0</v>
      </c>
      <c r="BN69" s="704" t="n">
        <v>0</v>
      </c>
      <c r="BO69" s="704" t="n">
        <v>0</v>
      </c>
      <c r="BP69" s="704" t="n">
        <v>0</v>
      </c>
      <c r="BQ69" s="704" t="n">
        <v>0</v>
      </c>
      <c r="BR69" s="704" t="n">
        <v>0</v>
      </c>
      <c r="BS69" s="704" t="n">
        <v>0</v>
      </c>
      <c r="BT69" s="704" t="n">
        <v>0</v>
      </c>
      <c r="BU69" s="704" t="n">
        <v>0</v>
      </c>
      <c r="BV69" s="704" t="n">
        <v>0</v>
      </c>
      <c r="BW69" s="704" t="n">
        <v>0</v>
      </c>
      <c r="BX69" s="704" t="n">
        <v>0</v>
      </c>
      <c r="BY69" s="704" t="n">
        <v>0</v>
      </c>
      <c r="BZ69" s="704" t="n">
        <v>0</v>
      </c>
      <c r="CA69" s="704" t="n">
        <v>0</v>
      </c>
      <c r="CB69" s="704" t="n">
        <v>0</v>
      </c>
      <c r="CC69" s="704" t="n">
        <v>0</v>
      </c>
      <c r="CD69" s="704" t="n">
        <v>0</v>
      </c>
      <c r="CE69" s="704" t="n">
        <v>0</v>
      </c>
      <c r="CF69" s="704" t="n">
        <v>0</v>
      </c>
      <c r="CG69" s="704" t="n">
        <v>0</v>
      </c>
      <c r="CH69" s="704" t="n">
        <v>0</v>
      </c>
      <c r="CI69" s="704" t="n">
        <v>0</v>
      </c>
      <c r="CJ69" s="704" t="n">
        <v>0</v>
      </c>
      <c r="CK69" s="704" t="n">
        <v>0</v>
      </c>
      <c r="CL69" s="704" t="n">
        <v>0</v>
      </c>
      <c r="CM69" s="704" t="n">
        <v>0</v>
      </c>
      <c r="CN69" s="704" t="n">
        <v>0</v>
      </c>
      <c r="CO69" s="704" t="n">
        <v>0</v>
      </c>
      <c r="CP69" s="704" t="n">
        <v>0</v>
      </c>
      <c r="CQ69" s="704" t="n">
        <v>0</v>
      </c>
      <c r="CR69" s="704" t="n">
        <v>0</v>
      </c>
      <c r="CS69" s="704" t="n">
        <v>0</v>
      </c>
      <c r="CT69" s="704" t="n">
        <v>0</v>
      </c>
      <c r="CU69" s="704" t="n">
        <v>0</v>
      </c>
      <c r="CV69" s="704" t="n">
        <v>0</v>
      </c>
      <c r="CW69" s="704" t="n">
        <v>0</v>
      </c>
      <c r="CX69" s="704" t="n">
        <v>0</v>
      </c>
      <c r="CY69" s="704" t="n">
        <v>0</v>
      </c>
      <c r="CZ69" s="704" t="n">
        <v>0</v>
      </c>
      <c r="DA69" s="704" t="n">
        <v>0</v>
      </c>
      <c r="DB69" s="704" t="n">
        <v>0</v>
      </c>
      <c r="DC69" s="704" t="n">
        <v>0</v>
      </c>
      <c r="DD69" s="704" t="n">
        <v>0</v>
      </c>
      <c r="DE69" s="704" t="n">
        <v>0</v>
      </c>
      <c r="DF69" s="704" t="n">
        <v>0</v>
      </c>
      <c r="DG69" s="704" t="n">
        <v>0</v>
      </c>
      <c r="DH69" s="704" t="n">
        <v>0</v>
      </c>
      <c r="DI69" s="704" t="n">
        <v>0</v>
      </c>
      <c r="DJ69" s="704" t="n">
        <v>0</v>
      </c>
      <c r="DK69" s="704" t="n">
        <v>0</v>
      </c>
      <c r="DL69" s="704" t="n">
        <v>0</v>
      </c>
      <c r="DM69" s="704" t="n">
        <v>0</v>
      </c>
    </row>
    <row r="70" ht="13.5" customHeight="1" s="355">
      <c r="B70" s="703" t="inlineStr">
        <is>
          <t>Fixed Assets</t>
        </is>
      </c>
      <c r="D70" s="704" t="n">
        <v>0</v>
      </c>
      <c r="E70" s="704" t="n">
        <v>0</v>
      </c>
      <c r="F70" s="704" t="n">
        <v>0</v>
      </c>
      <c r="G70" s="704" t="n">
        <v>0</v>
      </c>
      <c r="H70" s="704" t="n">
        <v>0</v>
      </c>
      <c r="I70" s="704" t="n">
        <v>0</v>
      </c>
      <c r="J70" s="704" t="n">
        <v>0</v>
      </c>
      <c r="K70" s="704" t="n">
        <v>0</v>
      </c>
      <c r="L70" s="704" t="n">
        <v>0</v>
      </c>
      <c r="M70" s="704" t="n">
        <v>0</v>
      </c>
      <c r="N70" s="704" t="n">
        <v>0</v>
      </c>
      <c r="O70" s="704" t="n">
        <v>0</v>
      </c>
      <c r="P70" s="704" t="n">
        <v>0</v>
      </c>
      <c r="Q70" s="704" t="n">
        <v>0</v>
      </c>
      <c r="R70" s="704" t="n">
        <v>0</v>
      </c>
      <c r="S70" s="704" t="n">
        <v>0</v>
      </c>
      <c r="T70" s="704" t="n">
        <v>0</v>
      </c>
      <c r="U70" s="704" t="n">
        <v>0</v>
      </c>
      <c r="V70" s="704" t="n">
        <v>0</v>
      </c>
      <c r="W70" s="704" t="n">
        <v>0</v>
      </c>
      <c r="X70" s="704" t="n">
        <v>0</v>
      </c>
      <c r="Y70" s="704" t="n">
        <v>0</v>
      </c>
      <c r="Z70" s="704" t="n">
        <v>0</v>
      </c>
      <c r="AA70" s="704" t="n">
        <v>0</v>
      </c>
      <c r="AB70" s="704" t="n">
        <v>0</v>
      </c>
      <c r="AC70" s="704" t="n">
        <v>0</v>
      </c>
      <c r="AD70" s="704" t="n">
        <v>0</v>
      </c>
      <c r="AE70" s="704" t="n">
        <v>0</v>
      </c>
      <c r="AF70" s="704" t="n">
        <v>0</v>
      </c>
      <c r="AG70" s="704" t="n">
        <v>0</v>
      </c>
      <c r="AH70" s="704" t="n">
        <v>0</v>
      </c>
      <c r="AI70" s="704" t="n">
        <v>0</v>
      </c>
      <c r="AJ70" s="704" t="n">
        <v>0</v>
      </c>
      <c r="AK70" s="704" t="n">
        <v>0</v>
      </c>
      <c r="AL70" s="704" t="n">
        <v>0</v>
      </c>
      <c r="AM70" s="704" t="n">
        <v>0</v>
      </c>
      <c r="AN70" s="704" t="n">
        <v>0</v>
      </c>
      <c r="AO70" s="704" t="n">
        <v>0</v>
      </c>
      <c r="AP70" s="704" t="n">
        <v>0</v>
      </c>
      <c r="AQ70" s="704" t="n">
        <v>0</v>
      </c>
      <c r="AR70" s="704" t="n">
        <v>0</v>
      </c>
      <c r="AS70" s="704" t="n">
        <v>0</v>
      </c>
      <c r="AT70" s="704" t="n">
        <v>0</v>
      </c>
      <c r="AU70" s="704" t="n">
        <v>0</v>
      </c>
      <c r="AV70" s="704" t="n">
        <v>0</v>
      </c>
      <c r="AW70" s="704" t="n">
        <v>0</v>
      </c>
      <c r="AX70" s="704" t="n">
        <v>0</v>
      </c>
      <c r="AY70" s="704" t="n">
        <v>0</v>
      </c>
      <c r="AZ70" s="704" t="n">
        <v>0</v>
      </c>
      <c r="BA70" s="704" t="n">
        <v>0</v>
      </c>
      <c r="BB70" s="704" t="n">
        <v>0</v>
      </c>
      <c r="BC70" s="704" t="n">
        <v>0</v>
      </c>
      <c r="BD70" s="704" t="n">
        <v>0</v>
      </c>
      <c r="BE70" s="704" t="n">
        <v>0</v>
      </c>
      <c r="BF70" s="704" t="n">
        <v>0</v>
      </c>
      <c r="BG70" s="704" t="n">
        <v>0</v>
      </c>
      <c r="BH70" s="704" t="n">
        <v>0</v>
      </c>
      <c r="BI70" s="704" t="n">
        <v>0</v>
      </c>
      <c r="BJ70" s="704" t="n">
        <v>0</v>
      </c>
      <c r="BK70" s="704" t="n">
        <v>0</v>
      </c>
      <c r="BL70" s="704" t="n">
        <v>0</v>
      </c>
      <c r="BM70" s="704" t="n">
        <v>0</v>
      </c>
      <c r="BN70" s="704" t="n">
        <v>0</v>
      </c>
      <c r="BO70" s="704" t="n">
        <v>0</v>
      </c>
      <c r="BP70" s="704" t="n">
        <v>0</v>
      </c>
      <c r="BQ70" s="704" t="n">
        <v>0</v>
      </c>
      <c r="BR70" s="704" t="n">
        <v>0</v>
      </c>
      <c r="BS70" s="704" t="n">
        <v>0</v>
      </c>
      <c r="BT70" s="704" t="n">
        <v>0</v>
      </c>
      <c r="BU70" s="704" t="n">
        <v>0</v>
      </c>
      <c r="BV70" s="704" t="n">
        <v>0</v>
      </c>
      <c r="BW70" s="704" t="n">
        <v>0</v>
      </c>
      <c r="BX70" s="704" t="n">
        <v>0</v>
      </c>
      <c r="BY70" s="704" t="n">
        <v>0</v>
      </c>
      <c r="BZ70" s="704" t="n">
        <v>0</v>
      </c>
      <c r="CA70" s="704" t="n">
        <v>0</v>
      </c>
      <c r="CB70" s="704" t="n">
        <v>0</v>
      </c>
      <c r="CC70" s="704" t="n">
        <v>0</v>
      </c>
      <c r="CD70" s="704" t="n">
        <v>0</v>
      </c>
      <c r="CE70" s="704" t="n">
        <v>0</v>
      </c>
      <c r="CF70" s="704" t="n">
        <v>0</v>
      </c>
      <c r="CG70" s="704" t="n">
        <v>0</v>
      </c>
      <c r="CH70" s="704" t="n">
        <v>0</v>
      </c>
      <c r="CI70" s="704" t="n">
        <v>0</v>
      </c>
      <c r="CJ70" s="704" t="n">
        <v>0</v>
      </c>
      <c r="CK70" s="704" t="n">
        <v>0</v>
      </c>
      <c r="CL70" s="704" t="n">
        <v>0</v>
      </c>
      <c r="CM70" s="704" t="n">
        <v>0</v>
      </c>
      <c r="CN70" s="704" t="n">
        <v>0</v>
      </c>
      <c r="CO70" s="704" t="n">
        <v>0</v>
      </c>
      <c r="CP70" s="704" t="n">
        <v>0</v>
      </c>
      <c r="CQ70" s="704" t="n">
        <v>0</v>
      </c>
      <c r="CR70" s="704" t="n">
        <v>0</v>
      </c>
      <c r="CS70" s="704" t="n">
        <v>0</v>
      </c>
      <c r="CT70" s="704" t="n">
        <v>0</v>
      </c>
      <c r="CU70" s="704" t="n">
        <v>0</v>
      </c>
      <c r="CV70" s="704" t="n">
        <v>0</v>
      </c>
      <c r="CW70" s="704" t="n">
        <v>0</v>
      </c>
      <c r="CX70" s="704" t="n">
        <v>0</v>
      </c>
      <c r="CY70" s="704" t="n">
        <v>0</v>
      </c>
      <c r="CZ70" s="704" t="n">
        <v>0</v>
      </c>
      <c r="DA70" s="704" t="n">
        <v>0</v>
      </c>
      <c r="DB70" s="704" t="n">
        <v>0</v>
      </c>
      <c r="DC70" s="704" t="n">
        <v>0</v>
      </c>
      <c r="DD70" s="704" t="n">
        <v>0</v>
      </c>
      <c r="DE70" s="704" t="n">
        <v>0</v>
      </c>
      <c r="DF70" s="704" t="n">
        <v>0</v>
      </c>
      <c r="DG70" s="704" t="n">
        <v>0</v>
      </c>
      <c r="DH70" s="704" t="n">
        <v>0</v>
      </c>
      <c r="DI70" s="704" t="n">
        <v>0</v>
      </c>
      <c r="DJ70" s="704" t="n">
        <v>0</v>
      </c>
      <c r="DK70" s="704" t="n">
        <v>0</v>
      </c>
      <c r="DL70" s="704" t="n">
        <v>0</v>
      </c>
      <c r="DM70" s="704" t="n">
        <v>0</v>
      </c>
    </row>
    <row r="71" ht="13.5" customHeight="1" s="355">
      <c r="B71" s="703" t="inlineStr">
        <is>
          <t>Acct Payable</t>
        </is>
      </c>
      <c r="D71" s="704" t="n">
        <v>0</v>
      </c>
      <c r="E71" s="704" t="n">
        <v>0</v>
      </c>
      <c r="F71" s="704" t="n">
        <v>0</v>
      </c>
      <c r="G71" s="704" t="n">
        <v>0</v>
      </c>
      <c r="H71" s="704" t="n">
        <v>0</v>
      </c>
      <c r="I71" s="704" t="n">
        <v>0</v>
      </c>
      <c r="J71" s="704" t="n">
        <v>9.95937892194164</v>
      </c>
      <c r="K71" s="704" t="n">
        <v>9.95937892194164</v>
      </c>
      <c r="L71" s="704" t="n">
        <v>3.31979297398055</v>
      </c>
      <c r="M71" s="704" t="n">
        <v>0</v>
      </c>
      <c r="N71" s="704" t="n">
        <v>0</v>
      </c>
      <c r="O71" s="704" t="n">
        <v>0</v>
      </c>
      <c r="P71" s="704" t="n">
        <v>0</v>
      </c>
      <c r="Q71" s="704" t="n">
        <v>0</v>
      </c>
      <c r="R71" s="704" t="n">
        <v>0</v>
      </c>
      <c r="S71" s="704" t="n">
        <v>0</v>
      </c>
      <c r="T71" s="704" t="n">
        <v>0</v>
      </c>
      <c r="U71" s="704" t="n">
        <v>0</v>
      </c>
      <c r="V71" s="704" t="n">
        <v>0</v>
      </c>
      <c r="W71" s="704" t="n">
        <v>0</v>
      </c>
      <c r="X71" s="704" t="n">
        <v>0</v>
      </c>
      <c r="Y71" s="704" t="n">
        <v>0</v>
      </c>
      <c r="Z71" s="704" t="n">
        <v>0</v>
      </c>
      <c r="AA71" s="704" t="n">
        <v>0</v>
      </c>
      <c r="AB71" s="704" t="n">
        <v>0</v>
      </c>
      <c r="AC71" s="704" t="n">
        <v>0</v>
      </c>
      <c r="AD71" s="704" t="n">
        <v>0</v>
      </c>
      <c r="AE71" s="704" t="n">
        <v>0</v>
      </c>
      <c r="AF71" s="704" t="n">
        <v>0</v>
      </c>
      <c r="AG71" s="704" t="n">
        <v>0</v>
      </c>
      <c r="AH71" s="704" t="n">
        <v>0</v>
      </c>
      <c r="AI71" s="704" t="n">
        <v>0</v>
      </c>
      <c r="AJ71" s="704" t="n">
        <v>0</v>
      </c>
      <c r="AK71" s="704" t="n">
        <v>0</v>
      </c>
      <c r="AL71" s="704" t="n">
        <v>0</v>
      </c>
      <c r="AM71" s="704" t="n">
        <v>0</v>
      </c>
      <c r="AN71" s="704" t="n">
        <v>0</v>
      </c>
      <c r="AO71" s="704" t="n">
        <v>0</v>
      </c>
      <c r="AP71" s="704" t="n">
        <v>0</v>
      </c>
      <c r="AQ71" s="704" t="n">
        <v>0</v>
      </c>
      <c r="AR71" s="704" t="n">
        <v>0</v>
      </c>
      <c r="AS71" s="704" t="n">
        <v>0</v>
      </c>
      <c r="AT71" s="704" t="n">
        <v>0</v>
      </c>
      <c r="AU71" s="704" t="n">
        <v>0</v>
      </c>
      <c r="AV71" s="704" t="n">
        <v>0</v>
      </c>
      <c r="AW71" s="704" t="n">
        <v>0</v>
      </c>
      <c r="AX71" s="704" t="n">
        <v>0</v>
      </c>
      <c r="AY71" s="704" t="n">
        <v>0</v>
      </c>
      <c r="AZ71" s="704" t="n">
        <v>0</v>
      </c>
      <c r="BA71" s="704" t="n">
        <v>0</v>
      </c>
      <c r="BB71" s="704" t="n">
        <v>0</v>
      </c>
      <c r="BC71" s="704" t="n">
        <v>0</v>
      </c>
      <c r="BD71" s="704" t="n">
        <v>0</v>
      </c>
      <c r="BE71" s="704" t="n">
        <v>0</v>
      </c>
      <c r="BF71" s="704" t="n">
        <v>0</v>
      </c>
      <c r="BG71" s="704" t="n">
        <v>0</v>
      </c>
      <c r="BH71" s="704" t="n">
        <v>0</v>
      </c>
      <c r="BI71" s="704" t="n">
        <v>0</v>
      </c>
      <c r="BJ71" s="704" t="n">
        <v>0</v>
      </c>
      <c r="BK71" s="704" t="n">
        <v>0</v>
      </c>
      <c r="BL71" s="704" t="n">
        <v>0</v>
      </c>
      <c r="BM71" s="704" t="n">
        <v>0</v>
      </c>
      <c r="BN71" s="704" t="n">
        <v>0</v>
      </c>
      <c r="BO71" s="704" t="n">
        <v>0</v>
      </c>
      <c r="BP71" s="704" t="n">
        <v>0</v>
      </c>
      <c r="BQ71" s="704" t="n">
        <v>0</v>
      </c>
      <c r="BR71" s="704" t="n">
        <v>0</v>
      </c>
      <c r="BS71" s="704" t="n">
        <v>0</v>
      </c>
      <c r="BT71" s="704" t="n">
        <v>0</v>
      </c>
      <c r="BU71" s="704" t="n">
        <v>0</v>
      </c>
      <c r="BV71" s="704" t="n">
        <v>0</v>
      </c>
      <c r="BW71" s="704" t="n">
        <v>0</v>
      </c>
      <c r="BX71" s="704" t="n">
        <v>0</v>
      </c>
      <c r="BY71" s="704" t="n">
        <v>0</v>
      </c>
      <c r="BZ71" s="704" t="n">
        <v>0</v>
      </c>
      <c r="CA71" s="704" t="n">
        <v>0</v>
      </c>
      <c r="CB71" s="704" t="n">
        <v>0</v>
      </c>
      <c r="CC71" s="704" t="n">
        <v>0</v>
      </c>
      <c r="CD71" s="704" t="n">
        <v>0</v>
      </c>
      <c r="CE71" s="704" t="n">
        <v>0</v>
      </c>
      <c r="CF71" s="704" t="n">
        <v>0</v>
      </c>
      <c r="CG71" s="704" t="n">
        <v>0</v>
      </c>
      <c r="CH71" s="704" t="n">
        <v>0</v>
      </c>
      <c r="CI71" s="704" t="n">
        <v>0</v>
      </c>
      <c r="CJ71" s="704" t="n">
        <v>0</v>
      </c>
      <c r="CK71" s="704" t="n">
        <v>0</v>
      </c>
      <c r="CL71" s="704" t="n">
        <v>0</v>
      </c>
      <c r="CM71" s="704" t="n">
        <v>0</v>
      </c>
      <c r="CN71" s="704" t="n">
        <v>0</v>
      </c>
      <c r="CO71" s="704" t="n">
        <v>0</v>
      </c>
      <c r="CP71" s="704" t="n">
        <v>0</v>
      </c>
      <c r="CQ71" s="704" t="n">
        <v>0</v>
      </c>
      <c r="CR71" s="704" t="n">
        <v>0</v>
      </c>
      <c r="CS71" s="704" t="n">
        <v>0</v>
      </c>
      <c r="CT71" s="704" t="n">
        <v>0</v>
      </c>
      <c r="CU71" s="704" t="n">
        <v>0</v>
      </c>
      <c r="CV71" s="704" t="n">
        <v>0</v>
      </c>
      <c r="CW71" s="704" t="n">
        <v>0</v>
      </c>
      <c r="CX71" s="704" t="n">
        <v>0</v>
      </c>
      <c r="CY71" s="704" t="n">
        <v>0</v>
      </c>
      <c r="CZ71" s="704" t="n">
        <v>0</v>
      </c>
      <c r="DA71" s="704" t="n">
        <v>0</v>
      </c>
      <c r="DB71" s="704" t="n">
        <v>0</v>
      </c>
      <c r="DC71" s="704" t="n">
        <v>0</v>
      </c>
      <c r="DD71" s="704" t="n">
        <v>0</v>
      </c>
      <c r="DE71" s="704" t="n">
        <v>0</v>
      </c>
      <c r="DF71" s="704" t="n">
        <v>0</v>
      </c>
      <c r="DG71" s="704" t="n">
        <v>0</v>
      </c>
      <c r="DH71" s="704" t="n">
        <v>0</v>
      </c>
      <c r="DI71" s="704" t="n">
        <v>0</v>
      </c>
      <c r="DJ71" s="704" t="n">
        <v>0</v>
      </c>
      <c r="DK71" s="704" t="n">
        <v>0</v>
      </c>
      <c r="DL71" s="704" t="n">
        <v>0</v>
      </c>
      <c r="DM71" s="704" t="n">
        <v>0</v>
      </c>
    </row>
    <row r="72" ht="13.5" customHeight="1" s="355">
      <c r="B72" s="703" t="inlineStr">
        <is>
          <t>Cash&amp;Bank</t>
        </is>
      </c>
      <c r="D72" s="704" t="n">
        <v>0</v>
      </c>
      <c r="E72" s="704" t="n">
        <v>0</v>
      </c>
      <c r="F72" s="704" t="n">
        <v>0</v>
      </c>
      <c r="G72" s="704" t="n">
        <v>0</v>
      </c>
      <c r="H72" s="704" t="n">
        <v>0</v>
      </c>
      <c r="I72" s="704" t="n">
        <v>0</v>
      </c>
      <c r="J72" s="704" t="n">
        <v>0</v>
      </c>
      <c r="K72" s="704" t="n">
        <v>0</v>
      </c>
      <c r="L72" s="704" t="n">
        <v>0</v>
      </c>
      <c r="M72" s="704" t="n">
        <v>0</v>
      </c>
      <c r="N72" s="704" t="n">
        <v>0</v>
      </c>
      <c r="O72" s="704" t="n">
        <v>0</v>
      </c>
      <c r="P72" s="704" t="n">
        <v>0</v>
      </c>
      <c r="Q72" s="704" t="n">
        <v>0</v>
      </c>
      <c r="R72" s="704" t="n">
        <v>0</v>
      </c>
      <c r="S72" s="704" t="n">
        <v>0</v>
      </c>
      <c r="T72" s="704" t="n">
        <v>0</v>
      </c>
      <c r="U72" s="704" t="n">
        <v>0</v>
      </c>
      <c r="V72" s="704" t="n">
        <v>0</v>
      </c>
      <c r="W72" s="704" t="n">
        <v>0</v>
      </c>
      <c r="X72" s="704" t="n">
        <v>0</v>
      </c>
      <c r="Y72" s="704" t="n">
        <v>0</v>
      </c>
      <c r="Z72" s="704" t="n">
        <v>0</v>
      </c>
      <c r="AA72" s="704" t="n">
        <v>0</v>
      </c>
      <c r="AB72" s="704" t="n">
        <v>0</v>
      </c>
      <c r="AC72" s="704" t="n">
        <v>0</v>
      </c>
      <c r="AD72" s="704" t="n">
        <v>0</v>
      </c>
      <c r="AE72" s="704" t="n">
        <v>0</v>
      </c>
      <c r="AF72" s="704" t="n">
        <v>0</v>
      </c>
      <c r="AG72" s="704" t="n">
        <v>0</v>
      </c>
      <c r="AH72" s="704" t="n">
        <v>0</v>
      </c>
      <c r="AI72" s="704" t="n">
        <v>0</v>
      </c>
      <c r="AJ72" s="704" t="n">
        <v>0</v>
      </c>
      <c r="AK72" s="704" t="n">
        <v>0</v>
      </c>
      <c r="AL72" s="704" t="n">
        <v>0</v>
      </c>
      <c r="AM72" s="704" t="n">
        <v>0</v>
      </c>
      <c r="AN72" s="704" t="n">
        <v>0</v>
      </c>
      <c r="AO72" s="704" t="n">
        <v>0</v>
      </c>
      <c r="AP72" s="704" t="n">
        <v>0</v>
      </c>
      <c r="AQ72" s="704" t="n">
        <v>0</v>
      </c>
      <c r="AR72" s="704" t="n">
        <v>0</v>
      </c>
      <c r="AS72" s="704" t="n">
        <v>0</v>
      </c>
      <c r="AT72" s="704" t="n">
        <v>0</v>
      </c>
      <c r="AU72" s="704" t="n">
        <v>0</v>
      </c>
      <c r="AV72" s="704" t="n">
        <v>0</v>
      </c>
      <c r="AW72" s="704" t="n">
        <v>0</v>
      </c>
      <c r="AX72" s="704" t="n">
        <v>0</v>
      </c>
      <c r="AY72" s="704" t="n">
        <v>0</v>
      </c>
      <c r="AZ72" s="704" t="n">
        <v>0</v>
      </c>
      <c r="BA72" s="704" t="n">
        <v>0</v>
      </c>
      <c r="BB72" s="704" t="n">
        <v>0</v>
      </c>
      <c r="BC72" s="704" t="n">
        <v>0</v>
      </c>
      <c r="BD72" s="704" t="n">
        <v>0</v>
      </c>
      <c r="BE72" s="704" t="n">
        <v>0</v>
      </c>
      <c r="BF72" s="704" t="n">
        <v>0</v>
      </c>
      <c r="BG72" s="704" t="n">
        <v>0</v>
      </c>
      <c r="BH72" s="704" t="n">
        <v>0</v>
      </c>
      <c r="BI72" s="704" t="n">
        <v>0</v>
      </c>
      <c r="BJ72" s="704" t="n">
        <v>0</v>
      </c>
      <c r="BK72" s="704" t="n">
        <v>0</v>
      </c>
      <c r="BL72" s="704" t="n">
        <v>0</v>
      </c>
      <c r="BM72" s="704" t="n">
        <v>0</v>
      </c>
      <c r="BN72" s="704" t="n">
        <v>0</v>
      </c>
      <c r="BO72" s="704" t="n">
        <v>0</v>
      </c>
      <c r="BP72" s="704" t="n">
        <v>0</v>
      </c>
      <c r="BQ72" s="704" t="n">
        <v>0</v>
      </c>
      <c r="BR72" s="704" t="n">
        <v>0</v>
      </c>
      <c r="BS72" s="704" t="n">
        <v>0</v>
      </c>
      <c r="BT72" s="704" t="n">
        <v>0</v>
      </c>
      <c r="BU72" s="704" t="n">
        <v>0</v>
      </c>
      <c r="BV72" s="704" t="n">
        <v>0</v>
      </c>
      <c r="BW72" s="704" t="n">
        <v>0</v>
      </c>
      <c r="BX72" s="704" t="n">
        <v>0</v>
      </c>
      <c r="BY72" s="704" t="n">
        <v>0</v>
      </c>
      <c r="BZ72" s="704" t="n">
        <v>0</v>
      </c>
      <c r="CA72" s="704" t="n">
        <v>0</v>
      </c>
      <c r="CB72" s="704" t="n">
        <v>0</v>
      </c>
      <c r="CC72" s="704" t="n">
        <v>0</v>
      </c>
      <c r="CD72" s="704" t="n">
        <v>0</v>
      </c>
      <c r="CE72" s="704" t="n">
        <v>0</v>
      </c>
      <c r="CF72" s="704" t="n">
        <v>0</v>
      </c>
      <c r="CG72" s="704" t="n">
        <v>0</v>
      </c>
      <c r="CH72" s="704" t="n">
        <v>0</v>
      </c>
      <c r="CI72" s="704" t="n">
        <v>0</v>
      </c>
      <c r="CJ72" s="704" t="n">
        <v>0</v>
      </c>
      <c r="CK72" s="704" t="n">
        <v>0</v>
      </c>
      <c r="CL72" s="704" t="n">
        <v>0</v>
      </c>
      <c r="CM72" s="704" t="n">
        <v>0</v>
      </c>
      <c r="CN72" s="704" t="n">
        <v>0</v>
      </c>
      <c r="CO72" s="704" t="n">
        <v>0</v>
      </c>
      <c r="CP72" s="704" t="n">
        <v>0</v>
      </c>
      <c r="CQ72" s="704" t="n">
        <v>0</v>
      </c>
      <c r="CR72" s="704" t="n">
        <v>0</v>
      </c>
      <c r="CS72" s="704" t="n">
        <v>0</v>
      </c>
      <c r="CT72" s="704" t="n">
        <v>0</v>
      </c>
      <c r="CU72" s="704" t="n">
        <v>0</v>
      </c>
      <c r="CV72" s="704" t="n">
        <v>0</v>
      </c>
      <c r="CW72" s="704" t="n">
        <v>0</v>
      </c>
      <c r="CX72" s="704" t="n">
        <v>0</v>
      </c>
      <c r="CY72" s="704" t="n">
        <v>0</v>
      </c>
      <c r="CZ72" s="704" t="n">
        <v>0</v>
      </c>
      <c r="DA72" s="704" t="n">
        <v>0</v>
      </c>
      <c r="DB72" s="704" t="n">
        <v>0</v>
      </c>
      <c r="DC72" s="704" t="n">
        <v>0</v>
      </c>
      <c r="DD72" s="704" t="n">
        <v>0</v>
      </c>
      <c r="DE72" s="704" t="n">
        <v>0</v>
      </c>
      <c r="DF72" s="704" t="n">
        <v>0</v>
      </c>
      <c r="DG72" s="704" t="n">
        <v>0</v>
      </c>
      <c r="DH72" s="704" t="n">
        <v>0</v>
      </c>
      <c r="DI72" s="704" t="n">
        <v>0</v>
      </c>
      <c r="DJ72" s="704" t="n">
        <v>0</v>
      </c>
      <c r="DK72" s="704" t="n">
        <v>0</v>
      </c>
      <c r="DL72" s="704" t="n">
        <v>0</v>
      </c>
      <c r="DM72" s="704" t="n">
        <v>0</v>
      </c>
    </row>
    <row r="73" ht="13.5" customHeight="1" s="355">
      <c r="B73" s="703" t="inlineStr">
        <is>
          <t>T&amp;E</t>
        </is>
      </c>
      <c r="D73" s="704" t="n">
        <v>0</v>
      </c>
      <c r="E73" s="704" t="n">
        <v>0</v>
      </c>
      <c r="F73" s="704" t="n">
        <v>0</v>
      </c>
      <c r="G73" s="704" t="n">
        <v>0</v>
      </c>
      <c r="H73" s="704" t="n">
        <v>0</v>
      </c>
      <c r="I73" s="704" t="n">
        <v>1.32791718959222</v>
      </c>
      <c r="J73" s="704" t="n">
        <v>3.21270287804569</v>
      </c>
      <c r="K73" s="704" t="n">
        <v>0</v>
      </c>
      <c r="L73" s="704" t="n">
        <v>0</v>
      </c>
      <c r="M73" s="704" t="n">
        <v>0</v>
      </c>
      <c r="N73" s="704" t="n">
        <v>0</v>
      </c>
      <c r="O73" s="704" t="n">
        <v>0</v>
      </c>
      <c r="P73" s="704" t="n">
        <v>0</v>
      </c>
      <c r="Q73" s="704" t="n">
        <v>0</v>
      </c>
      <c r="R73" s="704" t="n">
        <v>0</v>
      </c>
      <c r="S73" s="704" t="n">
        <v>0</v>
      </c>
      <c r="T73" s="704" t="n">
        <v>0</v>
      </c>
      <c r="U73" s="704" t="n">
        <v>0</v>
      </c>
      <c r="V73" s="704" t="n">
        <v>0</v>
      </c>
      <c r="W73" s="704" t="n">
        <v>0</v>
      </c>
      <c r="X73" s="704" t="n">
        <v>0</v>
      </c>
      <c r="Y73" s="704" t="n">
        <v>0</v>
      </c>
      <c r="Z73" s="704" t="n">
        <v>0</v>
      </c>
      <c r="AA73" s="704" t="n">
        <v>0</v>
      </c>
      <c r="AB73" s="704" t="n">
        <v>0</v>
      </c>
      <c r="AC73" s="704" t="n">
        <v>0</v>
      </c>
      <c r="AD73" s="704" t="n">
        <v>0</v>
      </c>
      <c r="AE73" s="704" t="n">
        <v>0</v>
      </c>
      <c r="AF73" s="704" t="n">
        <v>0</v>
      </c>
      <c r="AG73" s="704" t="n">
        <v>0</v>
      </c>
      <c r="AH73" s="704" t="n">
        <v>0</v>
      </c>
      <c r="AI73" s="704" t="n">
        <v>0</v>
      </c>
      <c r="AJ73" s="704" t="n">
        <v>0</v>
      </c>
      <c r="AK73" s="704" t="n">
        <v>0</v>
      </c>
      <c r="AL73" s="704" t="n">
        <v>0</v>
      </c>
      <c r="AM73" s="704" t="n">
        <v>0</v>
      </c>
      <c r="AN73" s="704" t="n">
        <v>0</v>
      </c>
      <c r="AO73" s="704" t="n">
        <v>0</v>
      </c>
      <c r="AP73" s="704" t="n">
        <v>0</v>
      </c>
      <c r="AQ73" s="704" t="n">
        <v>0</v>
      </c>
      <c r="AR73" s="704" t="n">
        <v>0</v>
      </c>
      <c r="AS73" s="704" t="n">
        <v>0</v>
      </c>
      <c r="AT73" s="704" t="n">
        <v>0</v>
      </c>
      <c r="AU73" s="704" t="n">
        <v>0</v>
      </c>
      <c r="AV73" s="704" t="n">
        <v>0</v>
      </c>
      <c r="AW73" s="704" t="n">
        <v>0</v>
      </c>
      <c r="AX73" s="704" t="n">
        <v>0</v>
      </c>
      <c r="AY73" s="704" t="n">
        <v>0</v>
      </c>
      <c r="AZ73" s="704" t="n">
        <v>0</v>
      </c>
      <c r="BA73" s="704" t="n">
        <v>0</v>
      </c>
      <c r="BB73" s="704" t="n">
        <v>0</v>
      </c>
      <c r="BC73" s="704" t="n">
        <v>0</v>
      </c>
      <c r="BD73" s="704" t="n">
        <v>0</v>
      </c>
      <c r="BE73" s="704" t="n">
        <v>0</v>
      </c>
      <c r="BF73" s="704" t="n">
        <v>0</v>
      </c>
      <c r="BG73" s="704" t="n">
        <v>0</v>
      </c>
      <c r="BH73" s="704" t="n">
        <v>0</v>
      </c>
      <c r="BI73" s="704" t="n">
        <v>0</v>
      </c>
      <c r="BJ73" s="704" t="n">
        <v>0</v>
      </c>
      <c r="BK73" s="704" t="n">
        <v>0</v>
      </c>
      <c r="BL73" s="704" t="n">
        <v>0</v>
      </c>
      <c r="BM73" s="704" t="n">
        <v>0</v>
      </c>
      <c r="BN73" s="704" t="n">
        <v>0</v>
      </c>
      <c r="BO73" s="704" t="n">
        <v>0</v>
      </c>
      <c r="BP73" s="704" t="n">
        <v>0</v>
      </c>
      <c r="BQ73" s="704" t="n">
        <v>0</v>
      </c>
      <c r="BR73" s="704" t="n">
        <v>0</v>
      </c>
      <c r="BS73" s="704" t="n">
        <v>0</v>
      </c>
      <c r="BT73" s="704" t="n">
        <v>0</v>
      </c>
      <c r="BU73" s="704" t="n">
        <v>0</v>
      </c>
      <c r="BV73" s="704" t="n">
        <v>0</v>
      </c>
      <c r="BW73" s="704" t="n">
        <v>0</v>
      </c>
      <c r="BX73" s="704" t="n">
        <v>0</v>
      </c>
      <c r="BY73" s="704" t="n">
        <v>0</v>
      </c>
      <c r="BZ73" s="704" t="n">
        <v>0</v>
      </c>
      <c r="CA73" s="704" t="n">
        <v>0</v>
      </c>
      <c r="CB73" s="704" t="n">
        <v>0</v>
      </c>
      <c r="CC73" s="704" t="n">
        <v>0</v>
      </c>
      <c r="CD73" s="704" t="n">
        <v>0</v>
      </c>
      <c r="CE73" s="704" t="n">
        <v>0</v>
      </c>
      <c r="CF73" s="704" t="n">
        <v>0</v>
      </c>
      <c r="CG73" s="704" t="n">
        <v>0</v>
      </c>
      <c r="CH73" s="704" t="n">
        <v>0</v>
      </c>
      <c r="CI73" s="704" t="n">
        <v>0</v>
      </c>
      <c r="CJ73" s="704" t="n">
        <v>0</v>
      </c>
      <c r="CK73" s="704" t="n">
        <v>0</v>
      </c>
      <c r="CL73" s="704" t="n">
        <v>0</v>
      </c>
      <c r="CM73" s="704" t="n">
        <v>0</v>
      </c>
      <c r="CN73" s="704" t="n">
        <v>0</v>
      </c>
      <c r="CO73" s="704" t="n">
        <v>0</v>
      </c>
      <c r="CP73" s="704" t="n">
        <v>0</v>
      </c>
      <c r="CQ73" s="704" t="n">
        <v>0</v>
      </c>
      <c r="CR73" s="704" t="n">
        <v>0</v>
      </c>
      <c r="CS73" s="704" t="n">
        <v>0</v>
      </c>
      <c r="CT73" s="704" t="n">
        <v>0</v>
      </c>
      <c r="CU73" s="704" t="n">
        <v>0</v>
      </c>
      <c r="CV73" s="704" t="n">
        <v>0</v>
      </c>
      <c r="CW73" s="704" t="n">
        <v>0</v>
      </c>
      <c r="CX73" s="704" t="n">
        <v>0</v>
      </c>
      <c r="CY73" s="704" t="n">
        <v>0</v>
      </c>
      <c r="CZ73" s="704" t="n">
        <v>0</v>
      </c>
      <c r="DA73" s="704" t="n">
        <v>0</v>
      </c>
      <c r="DB73" s="704" t="n">
        <v>0</v>
      </c>
      <c r="DC73" s="704" t="n">
        <v>0</v>
      </c>
      <c r="DD73" s="704" t="n">
        <v>0</v>
      </c>
      <c r="DE73" s="704" t="n">
        <v>0</v>
      </c>
      <c r="DF73" s="704" t="n">
        <v>0</v>
      </c>
      <c r="DG73" s="704" t="n">
        <v>0</v>
      </c>
      <c r="DH73" s="704" t="n">
        <v>0</v>
      </c>
      <c r="DI73" s="704" t="n">
        <v>0</v>
      </c>
      <c r="DJ73" s="704" t="n">
        <v>0</v>
      </c>
      <c r="DK73" s="704" t="n">
        <v>0</v>
      </c>
      <c r="DL73" s="704" t="n">
        <v>0</v>
      </c>
      <c r="DM73" s="704" t="n">
        <v>0</v>
      </c>
    </row>
    <row r="74" ht="13.5" customHeight="1" s="355">
      <c r="B74" s="703" t="inlineStr">
        <is>
          <t>Order to Cash</t>
        </is>
      </c>
      <c r="D74" s="704" t="n">
        <v>0</v>
      </c>
      <c r="E74" s="704" t="n">
        <v>0</v>
      </c>
      <c r="F74" s="704" t="n">
        <v>0</v>
      </c>
      <c r="G74" s="704" t="n">
        <v>0</v>
      </c>
      <c r="H74" s="704" t="n">
        <v>0</v>
      </c>
      <c r="I74" s="704" t="n">
        <v>1.32791718959222</v>
      </c>
      <c r="J74" s="704" t="n">
        <v>3.21270287804569</v>
      </c>
      <c r="K74" s="704" t="n">
        <v>0</v>
      </c>
      <c r="L74" s="704" t="n">
        <v>0</v>
      </c>
      <c r="M74" s="704" t="n">
        <v>0</v>
      </c>
      <c r="N74" s="704" t="n">
        <v>0</v>
      </c>
      <c r="O74" s="704" t="n">
        <v>0</v>
      </c>
      <c r="P74" s="704" t="n">
        <v>0</v>
      </c>
      <c r="Q74" s="704" t="n">
        <v>0</v>
      </c>
      <c r="R74" s="704" t="n">
        <v>0</v>
      </c>
      <c r="S74" s="704" t="n">
        <v>0</v>
      </c>
      <c r="T74" s="704" t="n">
        <v>0</v>
      </c>
      <c r="U74" s="704" t="n">
        <v>0</v>
      </c>
      <c r="V74" s="704" t="n">
        <v>0</v>
      </c>
      <c r="W74" s="704" t="n">
        <v>0</v>
      </c>
      <c r="X74" s="704" t="n">
        <v>0</v>
      </c>
      <c r="Y74" s="704" t="n">
        <v>0</v>
      </c>
      <c r="Z74" s="704" t="n">
        <v>0</v>
      </c>
      <c r="AA74" s="704" t="n">
        <v>0</v>
      </c>
      <c r="AB74" s="704" t="n">
        <v>0</v>
      </c>
      <c r="AC74" s="704" t="n">
        <v>0</v>
      </c>
      <c r="AD74" s="704" t="n">
        <v>0</v>
      </c>
      <c r="AE74" s="704" t="n">
        <v>0</v>
      </c>
      <c r="AF74" s="704" t="n">
        <v>0</v>
      </c>
      <c r="AG74" s="704" t="n">
        <v>0</v>
      </c>
      <c r="AH74" s="704" t="n">
        <v>0</v>
      </c>
      <c r="AI74" s="704" t="n">
        <v>0</v>
      </c>
      <c r="AJ74" s="704" t="n">
        <v>0</v>
      </c>
      <c r="AK74" s="704" t="n">
        <v>0</v>
      </c>
      <c r="AL74" s="704" t="n">
        <v>0</v>
      </c>
      <c r="AM74" s="704" t="n">
        <v>0</v>
      </c>
      <c r="AN74" s="704" t="n">
        <v>0</v>
      </c>
      <c r="AO74" s="704" t="n">
        <v>0</v>
      </c>
      <c r="AP74" s="704" t="n">
        <v>0</v>
      </c>
      <c r="AQ74" s="704" t="n">
        <v>0</v>
      </c>
      <c r="AR74" s="704" t="n">
        <v>0</v>
      </c>
      <c r="AS74" s="704" t="n">
        <v>0</v>
      </c>
      <c r="AT74" s="704" t="n">
        <v>0</v>
      </c>
      <c r="AU74" s="704" t="n">
        <v>0</v>
      </c>
      <c r="AV74" s="704" t="n">
        <v>0</v>
      </c>
      <c r="AW74" s="704" t="n">
        <v>0</v>
      </c>
      <c r="AX74" s="704" t="n">
        <v>0</v>
      </c>
      <c r="AY74" s="704" t="n">
        <v>0</v>
      </c>
      <c r="AZ74" s="704" t="n">
        <v>0</v>
      </c>
      <c r="BA74" s="704" t="n">
        <v>0</v>
      </c>
      <c r="BB74" s="704" t="n">
        <v>0</v>
      </c>
      <c r="BC74" s="704" t="n">
        <v>0</v>
      </c>
      <c r="BD74" s="704" t="n">
        <v>0</v>
      </c>
      <c r="BE74" s="704" t="n">
        <v>0</v>
      </c>
      <c r="BF74" s="704" t="n">
        <v>0</v>
      </c>
      <c r="BG74" s="704" t="n">
        <v>0</v>
      </c>
      <c r="BH74" s="704" t="n">
        <v>0</v>
      </c>
      <c r="BI74" s="704" t="n">
        <v>0</v>
      </c>
      <c r="BJ74" s="704" t="n">
        <v>0</v>
      </c>
      <c r="BK74" s="704" t="n">
        <v>0</v>
      </c>
      <c r="BL74" s="704" t="n">
        <v>0</v>
      </c>
      <c r="BM74" s="704" t="n">
        <v>0</v>
      </c>
      <c r="BN74" s="704" t="n">
        <v>0</v>
      </c>
      <c r="BO74" s="704" t="n">
        <v>0</v>
      </c>
      <c r="BP74" s="704" t="n">
        <v>0</v>
      </c>
      <c r="BQ74" s="704" t="n">
        <v>0</v>
      </c>
      <c r="BR74" s="704" t="n">
        <v>0</v>
      </c>
      <c r="BS74" s="704" t="n">
        <v>0</v>
      </c>
      <c r="BT74" s="704" t="n">
        <v>0</v>
      </c>
      <c r="BU74" s="704" t="n">
        <v>0</v>
      </c>
      <c r="BV74" s="704" t="n">
        <v>0</v>
      </c>
      <c r="BW74" s="704" t="n">
        <v>0</v>
      </c>
      <c r="BX74" s="704" t="n">
        <v>0</v>
      </c>
      <c r="BY74" s="704" t="n">
        <v>0</v>
      </c>
      <c r="BZ74" s="704" t="n">
        <v>0</v>
      </c>
      <c r="CA74" s="704" t="n">
        <v>0</v>
      </c>
      <c r="CB74" s="704" t="n">
        <v>0</v>
      </c>
      <c r="CC74" s="704" t="n">
        <v>0</v>
      </c>
      <c r="CD74" s="704" t="n">
        <v>0</v>
      </c>
      <c r="CE74" s="704" t="n">
        <v>0</v>
      </c>
      <c r="CF74" s="704" t="n">
        <v>0</v>
      </c>
      <c r="CG74" s="704" t="n">
        <v>0</v>
      </c>
      <c r="CH74" s="704" t="n">
        <v>0</v>
      </c>
      <c r="CI74" s="704" t="n">
        <v>0</v>
      </c>
      <c r="CJ74" s="704" t="n">
        <v>0</v>
      </c>
      <c r="CK74" s="704" t="n">
        <v>0</v>
      </c>
      <c r="CL74" s="704" t="n">
        <v>0</v>
      </c>
      <c r="CM74" s="704" t="n">
        <v>0</v>
      </c>
      <c r="CN74" s="704" t="n">
        <v>0</v>
      </c>
      <c r="CO74" s="704" t="n">
        <v>0</v>
      </c>
      <c r="CP74" s="704" t="n">
        <v>0</v>
      </c>
      <c r="CQ74" s="704" t="n">
        <v>0</v>
      </c>
      <c r="CR74" s="704" t="n">
        <v>0</v>
      </c>
      <c r="CS74" s="704" t="n">
        <v>0</v>
      </c>
      <c r="CT74" s="704" t="n">
        <v>0</v>
      </c>
      <c r="CU74" s="704" t="n">
        <v>0</v>
      </c>
      <c r="CV74" s="704" t="n">
        <v>0</v>
      </c>
      <c r="CW74" s="704" t="n">
        <v>0</v>
      </c>
      <c r="CX74" s="704" t="n">
        <v>0</v>
      </c>
      <c r="CY74" s="704" t="n">
        <v>0</v>
      </c>
      <c r="CZ74" s="704" t="n">
        <v>0</v>
      </c>
      <c r="DA74" s="704" t="n">
        <v>0</v>
      </c>
      <c r="DB74" s="704" t="n">
        <v>0</v>
      </c>
      <c r="DC74" s="704" t="n">
        <v>0</v>
      </c>
      <c r="DD74" s="704" t="n">
        <v>0</v>
      </c>
      <c r="DE74" s="704" t="n">
        <v>0</v>
      </c>
      <c r="DF74" s="704" t="n">
        <v>0</v>
      </c>
      <c r="DG74" s="704" t="n">
        <v>0</v>
      </c>
      <c r="DH74" s="704" t="n">
        <v>0</v>
      </c>
      <c r="DI74" s="704" t="n">
        <v>0</v>
      </c>
      <c r="DJ74" s="704" t="n">
        <v>0</v>
      </c>
      <c r="DK74" s="704" t="n">
        <v>0</v>
      </c>
      <c r="DL74" s="704" t="n">
        <v>0</v>
      </c>
      <c r="DM74" s="704" t="n">
        <v>0</v>
      </c>
    </row>
    <row r="75" ht="13.5" customHeight="1" s="355">
      <c r="B75" s="703" t="inlineStr">
        <is>
          <t>Req to Pay</t>
        </is>
      </c>
      <c r="D75" s="704" t="n">
        <v>0</v>
      </c>
      <c r="E75" s="704" t="n">
        <v>0</v>
      </c>
      <c r="F75" s="704" t="n">
        <v>0</v>
      </c>
      <c r="G75" s="704" t="n">
        <v>0</v>
      </c>
      <c r="H75" s="704" t="n">
        <v>0</v>
      </c>
      <c r="I75" s="704" t="n">
        <v>0</v>
      </c>
      <c r="J75" s="704" t="n">
        <v>3.31979297398055</v>
      </c>
      <c r="K75" s="704" t="n">
        <v>3.31979297398055</v>
      </c>
      <c r="L75" s="704" t="n">
        <v>3.31979297398055</v>
      </c>
      <c r="M75" s="704" t="n">
        <v>3.31979297398055</v>
      </c>
      <c r="N75" s="704" t="n">
        <v>3.31979297398055</v>
      </c>
      <c r="O75" s="704" t="n">
        <v>3.31979297398055</v>
      </c>
      <c r="P75" s="704" t="n">
        <v>3.41938676319996</v>
      </c>
      <c r="Q75" s="704" t="n">
        <v>0</v>
      </c>
      <c r="R75" s="704" t="n">
        <v>0</v>
      </c>
      <c r="S75" s="704" t="n">
        <v>0</v>
      </c>
      <c r="T75" s="704" t="n">
        <v>0</v>
      </c>
      <c r="U75" s="704" t="n">
        <v>0</v>
      </c>
      <c r="V75" s="704" t="n">
        <v>0</v>
      </c>
      <c r="W75" s="704" t="n">
        <v>0</v>
      </c>
      <c r="X75" s="704" t="n">
        <v>0</v>
      </c>
      <c r="Y75" s="704" t="n">
        <v>0</v>
      </c>
      <c r="Z75" s="704" t="n">
        <v>0</v>
      </c>
      <c r="AA75" s="704" t="n">
        <v>0</v>
      </c>
      <c r="AB75" s="704" t="n">
        <v>0</v>
      </c>
      <c r="AC75" s="704" t="n">
        <v>0</v>
      </c>
      <c r="AD75" s="704" t="n">
        <v>0</v>
      </c>
      <c r="AE75" s="704" t="n">
        <v>0</v>
      </c>
      <c r="AF75" s="704" t="n">
        <v>0</v>
      </c>
      <c r="AG75" s="704" t="n">
        <v>0</v>
      </c>
      <c r="AH75" s="704" t="n">
        <v>0</v>
      </c>
      <c r="AI75" s="704" t="n">
        <v>0</v>
      </c>
      <c r="AJ75" s="704" t="n">
        <v>0</v>
      </c>
      <c r="AK75" s="704" t="n">
        <v>0</v>
      </c>
      <c r="AL75" s="704" t="n">
        <v>0</v>
      </c>
      <c r="AM75" s="704" t="n">
        <v>0</v>
      </c>
      <c r="AN75" s="704" t="n">
        <v>0</v>
      </c>
      <c r="AO75" s="704" t="n">
        <v>0</v>
      </c>
      <c r="AP75" s="704" t="n">
        <v>0</v>
      </c>
      <c r="AQ75" s="704" t="n">
        <v>0</v>
      </c>
      <c r="AR75" s="704" t="n">
        <v>0</v>
      </c>
      <c r="AS75" s="704" t="n">
        <v>0</v>
      </c>
      <c r="AT75" s="704" t="n">
        <v>0</v>
      </c>
      <c r="AU75" s="704" t="n">
        <v>0</v>
      </c>
      <c r="AV75" s="704" t="n">
        <v>0</v>
      </c>
      <c r="AW75" s="704" t="n">
        <v>0</v>
      </c>
      <c r="AX75" s="704" t="n">
        <v>0</v>
      </c>
      <c r="AY75" s="704" t="n">
        <v>0</v>
      </c>
      <c r="AZ75" s="704" t="n">
        <v>0</v>
      </c>
      <c r="BA75" s="704" t="n">
        <v>0</v>
      </c>
      <c r="BB75" s="704" t="n">
        <v>0</v>
      </c>
      <c r="BC75" s="704" t="n">
        <v>0</v>
      </c>
      <c r="BD75" s="704" t="n">
        <v>0</v>
      </c>
      <c r="BE75" s="704" t="n">
        <v>0</v>
      </c>
      <c r="BF75" s="704" t="n">
        <v>0</v>
      </c>
      <c r="BG75" s="704" t="n">
        <v>0</v>
      </c>
      <c r="BH75" s="704" t="n">
        <v>0</v>
      </c>
      <c r="BI75" s="704" t="n">
        <v>0</v>
      </c>
      <c r="BJ75" s="704" t="n">
        <v>0</v>
      </c>
      <c r="BK75" s="704" t="n">
        <v>0</v>
      </c>
      <c r="BL75" s="704" t="n">
        <v>0</v>
      </c>
      <c r="BM75" s="704" t="n">
        <v>0</v>
      </c>
      <c r="BN75" s="704" t="n">
        <v>0</v>
      </c>
      <c r="BO75" s="704" t="n">
        <v>0</v>
      </c>
      <c r="BP75" s="704" t="n">
        <v>0</v>
      </c>
      <c r="BQ75" s="704" t="n">
        <v>0</v>
      </c>
      <c r="BR75" s="704" t="n">
        <v>0</v>
      </c>
      <c r="BS75" s="704" t="n">
        <v>0</v>
      </c>
      <c r="BT75" s="704" t="n">
        <v>0</v>
      </c>
      <c r="BU75" s="704" t="n">
        <v>0</v>
      </c>
      <c r="BV75" s="704" t="n">
        <v>0</v>
      </c>
      <c r="BW75" s="704" t="n">
        <v>0</v>
      </c>
      <c r="BX75" s="704" t="n">
        <v>0</v>
      </c>
      <c r="BY75" s="704" t="n">
        <v>0</v>
      </c>
      <c r="BZ75" s="704" t="n">
        <v>0</v>
      </c>
      <c r="CA75" s="704" t="n">
        <v>0</v>
      </c>
      <c r="CB75" s="704" t="n">
        <v>0</v>
      </c>
      <c r="CC75" s="704" t="n">
        <v>0</v>
      </c>
      <c r="CD75" s="704" t="n">
        <v>0</v>
      </c>
      <c r="CE75" s="704" t="n">
        <v>0</v>
      </c>
      <c r="CF75" s="704" t="n">
        <v>0</v>
      </c>
      <c r="CG75" s="704" t="n">
        <v>0</v>
      </c>
      <c r="CH75" s="704" t="n">
        <v>0</v>
      </c>
      <c r="CI75" s="704" t="n">
        <v>0</v>
      </c>
      <c r="CJ75" s="704" t="n">
        <v>0</v>
      </c>
      <c r="CK75" s="704" t="n">
        <v>0</v>
      </c>
      <c r="CL75" s="704" t="n">
        <v>0</v>
      </c>
      <c r="CM75" s="704" t="n">
        <v>0</v>
      </c>
      <c r="CN75" s="704" t="n">
        <v>0</v>
      </c>
      <c r="CO75" s="704" t="n">
        <v>0</v>
      </c>
      <c r="CP75" s="704" t="n">
        <v>0</v>
      </c>
      <c r="CQ75" s="704" t="n">
        <v>0</v>
      </c>
      <c r="CR75" s="704" t="n">
        <v>0</v>
      </c>
      <c r="CS75" s="704" t="n">
        <v>0</v>
      </c>
      <c r="CT75" s="704" t="n">
        <v>0</v>
      </c>
      <c r="CU75" s="704" t="n">
        <v>0</v>
      </c>
      <c r="CV75" s="704" t="n">
        <v>0</v>
      </c>
      <c r="CW75" s="704" t="n">
        <v>0</v>
      </c>
      <c r="CX75" s="704" t="n">
        <v>0</v>
      </c>
      <c r="CY75" s="704" t="n">
        <v>0</v>
      </c>
      <c r="CZ75" s="704" t="n">
        <v>0</v>
      </c>
      <c r="DA75" s="704" t="n">
        <v>0</v>
      </c>
      <c r="DB75" s="704" t="n">
        <v>0</v>
      </c>
      <c r="DC75" s="704" t="n">
        <v>0</v>
      </c>
      <c r="DD75" s="704" t="n">
        <v>0</v>
      </c>
      <c r="DE75" s="704" t="n">
        <v>0</v>
      </c>
      <c r="DF75" s="704" t="n">
        <v>0</v>
      </c>
      <c r="DG75" s="704" t="n">
        <v>0</v>
      </c>
      <c r="DH75" s="704" t="n">
        <v>0</v>
      </c>
      <c r="DI75" s="704" t="n">
        <v>0</v>
      </c>
      <c r="DJ75" s="704" t="n">
        <v>0</v>
      </c>
      <c r="DK75" s="704" t="n">
        <v>0</v>
      </c>
      <c r="DL75" s="704" t="n">
        <v>0</v>
      </c>
      <c r="DM75" s="704" t="n">
        <v>0</v>
      </c>
    </row>
    <row r="76" ht="13.5" customHeight="1" s="355">
      <c r="B76" s="703" t="inlineStr">
        <is>
          <t>Team Leader</t>
        </is>
      </c>
      <c r="D76" s="704" t="n">
        <v>0</v>
      </c>
      <c r="E76" s="704" t="n">
        <v>0</v>
      </c>
      <c r="F76" s="704" t="n">
        <v>0</v>
      </c>
      <c r="G76" s="704" t="n">
        <v>0</v>
      </c>
      <c r="H76" s="704" t="n">
        <v>0</v>
      </c>
      <c r="I76" s="704" t="n">
        <v>0</v>
      </c>
      <c r="J76" s="704" t="n">
        <v>0</v>
      </c>
      <c r="K76" s="704" t="n">
        <v>0</v>
      </c>
      <c r="L76" s="704" t="n">
        <v>0</v>
      </c>
      <c r="M76" s="704" t="n">
        <v>0</v>
      </c>
      <c r="N76" s="704" t="n">
        <v>0</v>
      </c>
      <c r="O76" s="704" t="n">
        <v>0</v>
      </c>
      <c r="P76" s="704" t="n">
        <v>0</v>
      </c>
      <c r="Q76" s="704" t="n">
        <v>0</v>
      </c>
      <c r="R76" s="704" t="n">
        <v>0</v>
      </c>
      <c r="S76" s="704" t="n">
        <v>0</v>
      </c>
      <c r="T76" s="704" t="n">
        <v>0</v>
      </c>
      <c r="U76" s="704" t="n">
        <v>0</v>
      </c>
      <c r="V76" s="704" t="n">
        <v>0</v>
      </c>
      <c r="W76" s="704" t="n">
        <v>0</v>
      </c>
      <c r="X76" s="704" t="n">
        <v>0</v>
      </c>
      <c r="Y76" s="704" t="n">
        <v>0</v>
      </c>
      <c r="Z76" s="704" t="n">
        <v>0</v>
      </c>
      <c r="AA76" s="704" t="n">
        <v>0</v>
      </c>
      <c r="AB76" s="704" t="n">
        <v>0</v>
      </c>
      <c r="AC76" s="704" t="n">
        <v>0</v>
      </c>
      <c r="AD76" s="704" t="n">
        <v>0</v>
      </c>
      <c r="AE76" s="704" t="n">
        <v>0</v>
      </c>
      <c r="AF76" s="704" t="n">
        <v>0</v>
      </c>
      <c r="AG76" s="704" t="n">
        <v>0</v>
      </c>
      <c r="AH76" s="704" t="n">
        <v>0</v>
      </c>
      <c r="AI76" s="704" t="n">
        <v>0</v>
      </c>
      <c r="AJ76" s="704" t="n">
        <v>0</v>
      </c>
      <c r="AK76" s="704" t="n">
        <v>0</v>
      </c>
      <c r="AL76" s="704" t="n">
        <v>0</v>
      </c>
      <c r="AM76" s="704" t="n">
        <v>0</v>
      </c>
      <c r="AN76" s="704" t="n">
        <v>0</v>
      </c>
      <c r="AO76" s="704" t="n">
        <v>0</v>
      </c>
      <c r="AP76" s="704" t="n">
        <v>0</v>
      </c>
      <c r="AQ76" s="704" t="n">
        <v>0</v>
      </c>
      <c r="AR76" s="704" t="n">
        <v>0</v>
      </c>
      <c r="AS76" s="704" t="n">
        <v>0</v>
      </c>
      <c r="AT76" s="704" t="n">
        <v>0</v>
      </c>
      <c r="AU76" s="704" t="n">
        <v>0</v>
      </c>
      <c r="AV76" s="704" t="n">
        <v>0</v>
      </c>
      <c r="AW76" s="704" t="n">
        <v>0</v>
      </c>
      <c r="AX76" s="704" t="n">
        <v>0</v>
      </c>
      <c r="AY76" s="704" t="n">
        <v>0</v>
      </c>
      <c r="AZ76" s="704" t="n">
        <v>0</v>
      </c>
      <c r="BA76" s="704" t="n">
        <v>0</v>
      </c>
      <c r="BB76" s="704" t="n">
        <v>0</v>
      </c>
      <c r="BC76" s="704" t="n">
        <v>0</v>
      </c>
      <c r="BD76" s="704" t="n">
        <v>0</v>
      </c>
      <c r="BE76" s="704" t="n">
        <v>0</v>
      </c>
      <c r="BF76" s="704" t="n">
        <v>0</v>
      </c>
      <c r="BG76" s="704" t="n">
        <v>0</v>
      </c>
      <c r="BH76" s="704" t="n">
        <v>0</v>
      </c>
      <c r="BI76" s="704" t="n">
        <v>0</v>
      </c>
      <c r="BJ76" s="704" t="n">
        <v>0</v>
      </c>
      <c r="BK76" s="704" t="n">
        <v>0</v>
      </c>
      <c r="BL76" s="704" t="n">
        <v>0</v>
      </c>
      <c r="BM76" s="704" t="n">
        <v>0</v>
      </c>
      <c r="BN76" s="704" t="n">
        <v>0</v>
      </c>
      <c r="BO76" s="704" t="n">
        <v>0</v>
      </c>
      <c r="BP76" s="704" t="n">
        <v>0</v>
      </c>
      <c r="BQ76" s="704" t="n">
        <v>0</v>
      </c>
      <c r="BR76" s="704" t="n">
        <v>0</v>
      </c>
      <c r="BS76" s="704" t="n">
        <v>0</v>
      </c>
      <c r="BT76" s="704" t="n">
        <v>0</v>
      </c>
      <c r="BU76" s="704" t="n">
        <v>0</v>
      </c>
      <c r="BV76" s="704" t="n">
        <v>0</v>
      </c>
      <c r="BW76" s="704" t="n">
        <v>0</v>
      </c>
      <c r="BX76" s="704" t="n">
        <v>0</v>
      </c>
      <c r="BY76" s="704" t="n">
        <v>0</v>
      </c>
      <c r="BZ76" s="704" t="n">
        <v>0</v>
      </c>
      <c r="CA76" s="704" t="n">
        <v>0</v>
      </c>
      <c r="CB76" s="704" t="n">
        <v>0</v>
      </c>
      <c r="CC76" s="704" t="n">
        <v>0</v>
      </c>
      <c r="CD76" s="704" t="n">
        <v>0</v>
      </c>
      <c r="CE76" s="704" t="n">
        <v>0</v>
      </c>
      <c r="CF76" s="704" t="n">
        <v>0</v>
      </c>
      <c r="CG76" s="704" t="n">
        <v>0</v>
      </c>
      <c r="CH76" s="704" t="n">
        <v>0</v>
      </c>
      <c r="CI76" s="704" t="n">
        <v>0</v>
      </c>
      <c r="CJ76" s="704" t="n">
        <v>0</v>
      </c>
      <c r="CK76" s="704" t="n">
        <v>0</v>
      </c>
      <c r="CL76" s="704" t="n">
        <v>0</v>
      </c>
      <c r="CM76" s="704" t="n">
        <v>0</v>
      </c>
      <c r="CN76" s="704" t="n">
        <v>0</v>
      </c>
      <c r="CO76" s="704" t="n">
        <v>0</v>
      </c>
      <c r="CP76" s="704" t="n">
        <v>0</v>
      </c>
      <c r="CQ76" s="704" t="n">
        <v>0</v>
      </c>
      <c r="CR76" s="704" t="n">
        <v>0</v>
      </c>
      <c r="CS76" s="704" t="n">
        <v>0</v>
      </c>
      <c r="CT76" s="704" t="n">
        <v>0</v>
      </c>
      <c r="CU76" s="704" t="n">
        <v>0</v>
      </c>
      <c r="CV76" s="704" t="n">
        <v>0</v>
      </c>
      <c r="CW76" s="704" t="n">
        <v>0</v>
      </c>
      <c r="CX76" s="704" t="n">
        <v>0</v>
      </c>
      <c r="CY76" s="704" t="n">
        <v>0</v>
      </c>
      <c r="CZ76" s="704" t="n">
        <v>0</v>
      </c>
      <c r="DA76" s="704" t="n">
        <v>0</v>
      </c>
      <c r="DB76" s="704" t="n">
        <v>0</v>
      </c>
      <c r="DC76" s="704" t="n">
        <v>0</v>
      </c>
      <c r="DD76" s="704" t="n">
        <v>0</v>
      </c>
      <c r="DE76" s="704" t="n">
        <v>0</v>
      </c>
      <c r="DF76" s="704" t="n">
        <v>0</v>
      </c>
      <c r="DG76" s="704" t="n">
        <v>0</v>
      </c>
      <c r="DH76" s="704" t="n">
        <v>0</v>
      </c>
      <c r="DI76" s="704" t="n">
        <v>0</v>
      </c>
      <c r="DJ76" s="704" t="n">
        <v>0</v>
      </c>
      <c r="DK76" s="704" t="n">
        <v>0</v>
      </c>
      <c r="DL76" s="704" t="n">
        <v>0</v>
      </c>
      <c r="DM76" s="704" t="n">
        <v>0</v>
      </c>
    </row>
    <row r="77" ht="13.5" customHeight="1" s="355">
      <c r="B77" s="703" t="inlineStr">
        <is>
          <t>SLA Metric Reporting</t>
        </is>
      </c>
      <c r="D77" s="704" t="n">
        <v>0</v>
      </c>
      <c r="E77" s="704" t="n">
        <v>0</v>
      </c>
      <c r="F77" s="704" t="n">
        <v>0</v>
      </c>
      <c r="G77" s="704" t="n">
        <v>0</v>
      </c>
      <c r="H77" s="704" t="n">
        <v>0</v>
      </c>
      <c r="I77" s="704" t="n">
        <v>0</v>
      </c>
      <c r="J77" s="704" t="n">
        <v>0</v>
      </c>
      <c r="K77" s="704" t="n">
        <v>0</v>
      </c>
      <c r="L77" s="704" t="n">
        <v>0</v>
      </c>
      <c r="M77" s="704" t="n">
        <v>0</v>
      </c>
      <c r="N77" s="704" t="n">
        <v>0</v>
      </c>
      <c r="O77" s="704" t="n">
        <v>0</v>
      </c>
      <c r="P77" s="704" t="n">
        <v>0</v>
      </c>
      <c r="Q77" s="704" t="n">
        <v>0</v>
      </c>
      <c r="R77" s="704" t="n">
        <v>0</v>
      </c>
      <c r="S77" s="704" t="n">
        <v>0</v>
      </c>
      <c r="T77" s="704" t="n">
        <v>0</v>
      </c>
      <c r="U77" s="704" t="n">
        <v>0</v>
      </c>
      <c r="V77" s="704" t="n">
        <v>0</v>
      </c>
      <c r="W77" s="704" t="n">
        <v>0</v>
      </c>
      <c r="X77" s="704" t="n">
        <v>0</v>
      </c>
      <c r="Y77" s="704" t="n">
        <v>0</v>
      </c>
      <c r="Z77" s="704" t="n">
        <v>0</v>
      </c>
      <c r="AA77" s="704" t="n">
        <v>0</v>
      </c>
      <c r="AB77" s="704" t="n">
        <v>0</v>
      </c>
      <c r="AC77" s="704" t="n">
        <v>0</v>
      </c>
      <c r="AD77" s="704" t="n">
        <v>0</v>
      </c>
      <c r="AE77" s="704" t="n">
        <v>0</v>
      </c>
      <c r="AF77" s="704" t="n">
        <v>0</v>
      </c>
      <c r="AG77" s="704" t="n">
        <v>0</v>
      </c>
      <c r="AH77" s="704" t="n">
        <v>0</v>
      </c>
      <c r="AI77" s="704" t="n">
        <v>0</v>
      </c>
      <c r="AJ77" s="704" t="n">
        <v>0</v>
      </c>
      <c r="AK77" s="704" t="n">
        <v>0</v>
      </c>
      <c r="AL77" s="704" t="n">
        <v>0</v>
      </c>
      <c r="AM77" s="704" t="n">
        <v>0</v>
      </c>
      <c r="AN77" s="704" t="n">
        <v>0</v>
      </c>
      <c r="AO77" s="704" t="n">
        <v>0</v>
      </c>
      <c r="AP77" s="704" t="n">
        <v>0</v>
      </c>
      <c r="AQ77" s="704" t="n">
        <v>0</v>
      </c>
      <c r="AR77" s="704" t="n">
        <v>0</v>
      </c>
      <c r="AS77" s="704" t="n">
        <v>0</v>
      </c>
      <c r="AT77" s="704" t="n">
        <v>0</v>
      </c>
      <c r="AU77" s="704" t="n">
        <v>0</v>
      </c>
      <c r="AV77" s="704" t="n">
        <v>0</v>
      </c>
      <c r="AW77" s="704" t="n">
        <v>0</v>
      </c>
      <c r="AX77" s="704" t="n">
        <v>0</v>
      </c>
      <c r="AY77" s="704" t="n">
        <v>0</v>
      </c>
      <c r="AZ77" s="704" t="n">
        <v>0</v>
      </c>
      <c r="BA77" s="704" t="n">
        <v>0</v>
      </c>
      <c r="BB77" s="704" t="n">
        <v>0</v>
      </c>
      <c r="BC77" s="704" t="n">
        <v>0</v>
      </c>
      <c r="BD77" s="704" t="n">
        <v>0</v>
      </c>
      <c r="BE77" s="704" t="n">
        <v>0</v>
      </c>
      <c r="BF77" s="704" t="n">
        <v>0</v>
      </c>
      <c r="BG77" s="704" t="n">
        <v>0</v>
      </c>
      <c r="BH77" s="704" t="n">
        <v>0</v>
      </c>
      <c r="BI77" s="704" t="n">
        <v>0</v>
      </c>
      <c r="BJ77" s="704" t="n">
        <v>0</v>
      </c>
      <c r="BK77" s="704" t="n">
        <v>0</v>
      </c>
      <c r="BL77" s="704" t="n">
        <v>0</v>
      </c>
      <c r="BM77" s="704" t="n">
        <v>0</v>
      </c>
      <c r="BN77" s="704" t="n">
        <v>0</v>
      </c>
      <c r="BO77" s="704" t="n">
        <v>0</v>
      </c>
      <c r="BP77" s="704" t="n">
        <v>0</v>
      </c>
      <c r="BQ77" s="704" t="n">
        <v>0</v>
      </c>
      <c r="BR77" s="704" t="n">
        <v>0</v>
      </c>
      <c r="BS77" s="704" t="n">
        <v>0</v>
      </c>
      <c r="BT77" s="704" t="n">
        <v>0</v>
      </c>
      <c r="BU77" s="704" t="n">
        <v>0</v>
      </c>
      <c r="BV77" s="704" t="n">
        <v>0</v>
      </c>
      <c r="BW77" s="704" t="n">
        <v>0</v>
      </c>
      <c r="BX77" s="704" t="n">
        <v>0</v>
      </c>
      <c r="BY77" s="704" t="n">
        <v>0</v>
      </c>
      <c r="BZ77" s="704" t="n">
        <v>0</v>
      </c>
      <c r="CA77" s="704" t="n">
        <v>0</v>
      </c>
      <c r="CB77" s="704" t="n">
        <v>0</v>
      </c>
      <c r="CC77" s="704" t="n">
        <v>0</v>
      </c>
      <c r="CD77" s="704" t="n">
        <v>0</v>
      </c>
      <c r="CE77" s="704" t="n">
        <v>0</v>
      </c>
      <c r="CF77" s="704" t="n">
        <v>0</v>
      </c>
      <c r="CG77" s="704" t="n">
        <v>0</v>
      </c>
      <c r="CH77" s="704" t="n">
        <v>0</v>
      </c>
      <c r="CI77" s="704" t="n">
        <v>0</v>
      </c>
      <c r="CJ77" s="704" t="n">
        <v>0</v>
      </c>
      <c r="CK77" s="704" t="n">
        <v>0</v>
      </c>
      <c r="CL77" s="704" t="n">
        <v>0</v>
      </c>
      <c r="CM77" s="704" t="n">
        <v>0</v>
      </c>
      <c r="CN77" s="704" t="n">
        <v>0</v>
      </c>
      <c r="CO77" s="704" t="n">
        <v>0</v>
      </c>
      <c r="CP77" s="704" t="n">
        <v>0</v>
      </c>
      <c r="CQ77" s="704" t="n">
        <v>0</v>
      </c>
      <c r="CR77" s="704" t="n">
        <v>0</v>
      </c>
      <c r="CS77" s="704" t="n">
        <v>0</v>
      </c>
      <c r="CT77" s="704" t="n">
        <v>0</v>
      </c>
      <c r="CU77" s="704" t="n">
        <v>0</v>
      </c>
      <c r="CV77" s="704" t="n">
        <v>0</v>
      </c>
      <c r="CW77" s="704" t="n">
        <v>0</v>
      </c>
      <c r="CX77" s="704" t="n">
        <v>0</v>
      </c>
      <c r="CY77" s="704" t="n">
        <v>0</v>
      </c>
      <c r="CZ77" s="704" t="n">
        <v>0</v>
      </c>
      <c r="DA77" s="704" t="n">
        <v>0</v>
      </c>
      <c r="DB77" s="704" t="n">
        <v>0</v>
      </c>
      <c r="DC77" s="704" t="n">
        <v>0</v>
      </c>
      <c r="DD77" s="704" t="n">
        <v>0</v>
      </c>
      <c r="DE77" s="704" t="n">
        <v>0</v>
      </c>
      <c r="DF77" s="704" t="n">
        <v>0</v>
      </c>
      <c r="DG77" s="704" t="n">
        <v>0</v>
      </c>
      <c r="DH77" s="704" t="n">
        <v>0</v>
      </c>
      <c r="DI77" s="704" t="n">
        <v>0</v>
      </c>
      <c r="DJ77" s="704" t="n">
        <v>0</v>
      </c>
      <c r="DK77" s="704" t="n">
        <v>0</v>
      </c>
      <c r="DL77" s="704" t="n">
        <v>0</v>
      </c>
      <c r="DM77" s="704" t="n">
        <v>0</v>
      </c>
    </row>
    <row r="78" ht="13.5" customHeight="1" s="355">
      <c r="B78" s="705" t="inlineStr">
        <is>
          <t>Grand Total</t>
        </is>
      </c>
      <c r="C78" s="706" t="n"/>
      <c r="D78" s="707" t="n">
        <v>0</v>
      </c>
      <c r="E78" s="707" t="n">
        <v>0</v>
      </c>
      <c r="F78" s="707" t="n">
        <v>0</v>
      </c>
      <c r="G78" s="707" t="n">
        <v>0</v>
      </c>
      <c r="H78" s="707" t="n">
        <v>0</v>
      </c>
      <c r="I78" s="707" t="n">
        <v>2.65583437918444</v>
      </c>
      <c r="J78" s="707" t="n">
        <v>21.3889015482981</v>
      </c>
      <c r="K78" s="707" t="n">
        <v>14.0342136425325</v>
      </c>
      <c r="L78" s="707" t="n">
        <v>6.63958594796109</v>
      </c>
      <c r="M78" s="707" t="n">
        <v>3.31979297398055</v>
      </c>
      <c r="N78" s="707" t="n">
        <v>3.31979297398055</v>
      </c>
      <c r="O78" s="707" t="n">
        <v>3.31979297398055</v>
      </c>
      <c r="P78" s="707" t="n">
        <v>3.41938676319996</v>
      </c>
      <c r="Q78" s="707" t="n">
        <v>0</v>
      </c>
      <c r="R78" s="707" t="n">
        <v>0</v>
      </c>
      <c r="S78" s="707" t="n">
        <v>0</v>
      </c>
      <c r="T78" s="707" t="n">
        <v>0</v>
      </c>
      <c r="U78" s="707" t="n">
        <v>0</v>
      </c>
      <c r="V78" s="707" t="n">
        <v>0</v>
      </c>
      <c r="W78" s="707" t="n">
        <v>0</v>
      </c>
      <c r="X78" s="707" t="n">
        <v>0</v>
      </c>
      <c r="Y78" s="707" t="n">
        <v>0</v>
      </c>
      <c r="Z78" s="707" t="n">
        <v>0</v>
      </c>
      <c r="AA78" s="707" t="n">
        <v>0</v>
      </c>
      <c r="AB78" s="707" t="n">
        <v>0</v>
      </c>
      <c r="AC78" s="707" t="n">
        <v>0</v>
      </c>
      <c r="AD78" s="707" t="n">
        <v>0</v>
      </c>
      <c r="AE78" s="707" t="n">
        <v>0</v>
      </c>
      <c r="AF78" s="707" t="n">
        <v>0</v>
      </c>
      <c r="AG78" s="707" t="n">
        <v>0</v>
      </c>
      <c r="AH78" s="707" t="n">
        <v>0</v>
      </c>
      <c r="AI78" s="707" t="n">
        <v>0</v>
      </c>
      <c r="AJ78" s="707" t="n">
        <v>0</v>
      </c>
      <c r="AK78" s="707" t="n">
        <v>0</v>
      </c>
      <c r="AL78" s="707" t="n">
        <v>0</v>
      </c>
      <c r="AM78" s="707" t="n">
        <v>0</v>
      </c>
      <c r="AN78" s="707" t="n">
        <v>0</v>
      </c>
      <c r="AO78" s="707" t="n">
        <v>0</v>
      </c>
      <c r="AP78" s="707" t="n">
        <v>0</v>
      </c>
      <c r="AQ78" s="707" t="n">
        <v>0</v>
      </c>
      <c r="AR78" s="707" t="n">
        <v>0</v>
      </c>
      <c r="AS78" s="707" t="n">
        <v>0</v>
      </c>
      <c r="AT78" s="707" t="n">
        <v>0</v>
      </c>
      <c r="AU78" s="707" t="n">
        <v>0</v>
      </c>
      <c r="AV78" s="707" t="n">
        <v>0</v>
      </c>
      <c r="AW78" s="707" t="n">
        <v>0</v>
      </c>
      <c r="AX78" s="707" t="n">
        <v>0</v>
      </c>
      <c r="AY78" s="707" t="n">
        <v>0</v>
      </c>
      <c r="AZ78" s="707" t="n">
        <v>0</v>
      </c>
      <c r="BA78" s="707" t="n">
        <v>0</v>
      </c>
      <c r="BB78" s="707" t="n">
        <v>0</v>
      </c>
      <c r="BC78" s="707" t="n">
        <v>0</v>
      </c>
      <c r="BD78" s="707" t="n">
        <v>0</v>
      </c>
      <c r="BE78" s="707" t="n">
        <v>0</v>
      </c>
      <c r="BF78" s="707" t="n">
        <v>0</v>
      </c>
      <c r="BG78" s="707" t="n">
        <v>0</v>
      </c>
      <c r="BH78" s="707" t="n">
        <v>0</v>
      </c>
      <c r="BI78" s="707" t="n">
        <v>0</v>
      </c>
      <c r="BJ78" s="707" t="n">
        <v>0</v>
      </c>
      <c r="BK78" s="707" t="n">
        <v>0</v>
      </c>
      <c r="BL78" s="707" t="n">
        <v>0</v>
      </c>
      <c r="BM78" s="707" t="n">
        <v>0</v>
      </c>
      <c r="BN78" s="707" t="n">
        <v>0</v>
      </c>
      <c r="BO78" s="707" t="n">
        <v>0</v>
      </c>
      <c r="BP78" s="707" t="n">
        <v>0</v>
      </c>
      <c r="BQ78" s="707" t="n">
        <v>0</v>
      </c>
      <c r="BR78" s="707" t="n">
        <v>0</v>
      </c>
      <c r="BS78" s="707" t="n">
        <v>0</v>
      </c>
      <c r="BT78" s="707" t="n">
        <v>0</v>
      </c>
      <c r="BU78" s="707" t="n">
        <v>0</v>
      </c>
      <c r="BV78" s="707" t="n">
        <v>0</v>
      </c>
      <c r="BW78" s="707" t="n">
        <v>0</v>
      </c>
      <c r="BX78" s="707" t="n">
        <v>0</v>
      </c>
      <c r="BY78" s="707" t="n">
        <v>0</v>
      </c>
      <c r="BZ78" s="707" t="n">
        <v>0</v>
      </c>
      <c r="CA78" s="707" t="n">
        <v>0</v>
      </c>
      <c r="CB78" s="707" t="n">
        <v>0</v>
      </c>
      <c r="CC78" s="707" t="n">
        <v>0</v>
      </c>
      <c r="CD78" s="707" t="n">
        <v>0</v>
      </c>
      <c r="CE78" s="707" t="n">
        <v>0</v>
      </c>
      <c r="CF78" s="707" t="n">
        <v>0</v>
      </c>
      <c r="CG78" s="707" t="n">
        <v>0</v>
      </c>
      <c r="CH78" s="707" t="n">
        <v>0</v>
      </c>
      <c r="CI78" s="707" t="n">
        <v>0</v>
      </c>
      <c r="CJ78" s="707" t="n">
        <v>0</v>
      </c>
      <c r="CK78" s="707" t="n">
        <v>0</v>
      </c>
      <c r="CL78" s="707" t="n">
        <v>0</v>
      </c>
      <c r="CM78" s="707" t="n">
        <v>0</v>
      </c>
      <c r="CN78" s="707" t="n">
        <v>0</v>
      </c>
      <c r="CO78" s="707" t="n">
        <v>0</v>
      </c>
      <c r="CP78" s="707" t="n">
        <v>0</v>
      </c>
      <c r="CQ78" s="707" t="n">
        <v>0</v>
      </c>
      <c r="CR78" s="707" t="n">
        <v>0</v>
      </c>
      <c r="CS78" s="707" t="n">
        <v>0</v>
      </c>
      <c r="CT78" s="707" t="n">
        <v>0</v>
      </c>
      <c r="CU78" s="707" t="n">
        <v>0</v>
      </c>
      <c r="CV78" s="707" t="n">
        <v>0</v>
      </c>
      <c r="CW78" s="707" t="n">
        <v>0</v>
      </c>
      <c r="CX78" s="707" t="n">
        <v>0</v>
      </c>
      <c r="CY78" s="707" t="n">
        <v>0</v>
      </c>
      <c r="CZ78" s="707" t="n">
        <v>0</v>
      </c>
      <c r="DA78" s="707" t="n">
        <v>0</v>
      </c>
      <c r="DB78" s="707" t="n">
        <v>0</v>
      </c>
      <c r="DC78" s="707" t="n">
        <v>0</v>
      </c>
      <c r="DD78" s="707" t="n">
        <v>0</v>
      </c>
      <c r="DE78" s="707" t="n">
        <v>0</v>
      </c>
      <c r="DF78" s="707" t="n">
        <v>0</v>
      </c>
      <c r="DG78" s="707" t="n">
        <v>0</v>
      </c>
      <c r="DH78" s="707" t="n">
        <v>0</v>
      </c>
      <c r="DI78" s="707" t="n">
        <v>0</v>
      </c>
      <c r="DJ78" s="707" t="n">
        <v>0</v>
      </c>
      <c r="DK78" s="707" t="n">
        <v>0</v>
      </c>
      <c r="DL78" s="707" t="n">
        <v>0</v>
      </c>
      <c r="DM78" s="707" t="n">
        <v>0</v>
      </c>
    </row>
    <row r="79" ht="13.5" customHeight="1" s="355">
      <c r="A79" s="702" t="inlineStr">
        <is>
          <t>Germany Prod</t>
        </is>
      </c>
      <c r="B79" s="703" t="inlineStr">
        <is>
          <t>Gen Acctg</t>
        </is>
      </c>
      <c r="D79" s="704" t="n">
        <v>0</v>
      </c>
      <c r="E79" s="704" t="n">
        <v>0</v>
      </c>
      <c r="F79" s="704" t="n">
        <v>0</v>
      </c>
      <c r="G79" s="704" t="n">
        <v>0</v>
      </c>
      <c r="H79" s="704" t="n">
        <v>0</v>
      </c>
      <c r="I79" s="704" t="n">
        <v>0</v>
      </c>
      <c r="J79" s="704" t="n">
        <v>0</v>
      </c>
      <c r="K79" s="704" t="n">
        <v>0</v>
      </c>
      <c r="L79" s="704" t="n">
        <v>0</v>
      </c>
      <c r="M79" s="704" t="n">
        <v>1.62176178059711</v>
      </c>
      <c r="N79" s="704" t="n">
        <v>3.1421634499069</v>
      </c>
      <c r="O79" s="704" t="n">
        <v>1.01360111287319</v>
      </c>
      <c r="P79" s="704" t="n">
        <v>0</v>
      </c>
      <c r="Q79" s="704" t="n">
        <v>0</v>
      </c>
      <c r="R79" s="704" t="n">
        <v>0</v>
      </c>
      <c r="S79" s="704" t="n">
        <v>0</v>
      </c>
      <c r="T79" s="704" t="n">
        <v>0</v>
      </c>
      <c r="U79" s="704" t="n">
        <v>0</v>
      </c>
      <c r="V79" s="704" t="n">
        <v>0</v>
      </c>
      <c r="W79" s="704" t="n">
        <v>0</v>
      </c>
      <c r="X79" s="704" t="n">
        <v>0</v>
      </c>
      <c r="Y79" s="704" t="n">
        <v>0</v>
      </c>
      <c r="Z79" s="704" t="n">
        <v>0</v>
      </c>
      <c r="AA79" s="704" t="n">
        <v>0</v>
      </c>
      <c r="AB79" s="704" t="n">
        <v>0</v>
      </c>
      <c r="AC79" s="704" t="n">
        <v>0</v>
      </c>
      <c r="AD79" s="704" t="n">
        <v>0</v>
      </c>
      <c r="AE79" s="704" t="n">
        <v>0</v>
      </c>
      <c r="AF79" s="704" t="n">
        <v>0</v>
      </c>
      <c r="AG79" s="704" t="n">
        <v>0</v>
      </c>
      <c r="AH79" s="704" t="n">
        <v>0</v>
      </c>
      <c r="AI79" s="704" t="n">
        <v>0</v>
      </c>
      <c r="AJ79" s="704" t="n">
        <v>0</v>
      </c>
      <c r="AK79" s="704" t="n">
        <v>0</v>
      </c>
      <c r="AL79" s="704" t="n">
        <v>0</v>
      </c>
      <c r="AM79" s="704" t="n">
        <v>0</v>
      </c>
      <c r="AN79" s="704" t="n">
        <v>0</v>
      </c>
      <c r="AO79" s="704" t="n">
        <v>0</v>
      </c>
      <c r="AP79" s="704" t="n">
        <v>0</v>
      </c>
      <c r="AQ79" s="704" t="n">
        <v>0</v>
      </c>
      <c r="AR79" s="704" t="n">
        <v>0</v>
      </c>
      <c r="AS79" s="704" t="n">
        <v>0</v>
      </c>
      <c r="AT79" s="704" t="n">
        <v>0</v>
      </c>
      <c r="AU79" s="704" t="n">
        <v>0</v>
      </c>
      <c r="AV79" s="704" t="n">
        <v>0</v>
      </c>
      <c r="AW79" s="704" t="n">
        <v>0</v>
      </c>
      <c r="AX79" s="704" t="n">
        <v>0</v>
      </c>
      <c r="AY79" s="704" t="n">
        <v>0</v>
      </c>
      <c r="AZ79" s="704" t="n">
        <v>0</v>
      </c>
      <c r="BA79" s="704" t="n">
        <v>0</v>
      </c>
      <c r="BB79" s="704" t="n">
        <v>0</v>
      </c>
      <c r="BC79" s="704" t="n">
        <v>0</v>
      </c>
      <c r="BD79" s="704" t="n">
        <v>0</v>
      </c>
      <c r="BE79" s="704" t="n">
        <v>0</v>
      </c>
      <c r="BF79" s="704" t="n">
        <v>0</v>
      </c>
      <c r="BG79" s="704" t="n">
        <v>0</v>
      </c>
      <c r="BH79" s="704" t="n">
        <v>0</v>
      </c>
      <c r="BI79" s="704" t="n">
        <v>0</v>
      </c>
      <c r="BJ79" s="704" t="n">
        <v>0</v>
      </c>
      <c r="BK79" s="704" t="n">
        <v>0</v>
      </c>
      <c r="BL79" s="704" t="n">
        <v>0</v>
      </c>
      <c r="BM79" s="704" t="n">
        <v>0</v>
      </c>
      <c r="BN79" s="704" t="n">
        <v>0</v>
      </c>
      <c r="BO79" s="704" t="n">
        <v>0</v>
      </c>
      <c r="BP79" s="704" t="n">
        <v>0</v>
      </c>
      <c r="BQ79" s="704" t="n">
        <v>0</v>
      </c>
      <c r="BR79" s="704" t="n">
        <v>0</v>
      </c>
      <c r="BS79" s="704" t="n">
        <v>0</v>
      </c>
      <c r="BT79" s="704" t="n">
        <v>0</v>
      </c>
      <c r="BU79" s="704" t="n">
        <v>0</v>
      </c>
      <c r="BV79" s="704" t="n">
        <v>0</v>
      </c>
      <c r="BW79" s="704" t="n">
        <v>0</v>
      </c>
      <c r="BX79" s="704" t="n">
        <v>0</v>
      </c>
      <c r="BY79" s="704" t="n">
        <v>0</v>
      </c>
      <c r="BZ79" s="704" t="n">
        <v>0</v>
      </c>
      <c r="CA79" s="704" t="n">
        <v>0</v>
      </c>
      <c r="CB79" s="704" t="n">
        <v>0</v>
      </c>
      <c r="CC79" s="704" t="n">
        <v>0</v>
      </c>
      <c r="CD79" s="704" t="n">
        <v>0</v>
      </c>
      <c r="CE79" s="704" t="n">
        <v>0</v>
      </c>
      <c r="CF79" s="704" t="n">
        <v>0</v>
      </c>
      <c r="CG79" s="704" t="n">
        <v>0</v>
      </c>
      <c r="CH79" s="704" t="n">
        <v>0</v>
      </c>
      <c r="CI79" s="704" t="n">
        <v>0</v>
      </c>
      <c r="CJ79" s="704" t="n">
        <v>0</v>
      </c>
      <c r="CK79" s="704" t="n">
        <v>0</v>
      </c>
      <c r="CL79" s="704" t="n">
        <v>0</v>
      </c>
      <c r="CM79" s="704" t="n">
        <v>0</v>
      </c>
      <c r="CN79" s="704" t="n">
        <v>0</v>
      </c>
      <c r="CO79" s="704" t="n">
        <v>0</v>
      </c>
      <c r="CP79" s="704" t="n">
        <v>0</v>
      </c>
      <c r="CQ79" s="704" t="n">
        <v>0</v>
      </c>
      <c r="CR79" s="704" t="n">
        <v>0</v>
      </c>
      <c r="CS79" s="704" t="n">
        <v>0</v>
      </c>
      <c r="CT79" s="704" t="n">
        <v>0</v>
      </c>
      <c r="CU79" s="704" t="n">
        <v>0</v>
      </c>
      <c r="CV79" s="704" t="n">
        <v>0</v>
      </c>
      <c r="CW79" s="704" t="n">
        <v>0</v>
      </c>
      <c r="CX79" s="704" t="n">
        <v>0</v>
      </c>
      <c r="CY79" s="704" t="n">
        <v>0</v>
      </c>
      <c r="CZ79" s="704" t="n">
        <v>0</v>
      </c>
      <c r="DA79" s="704" t="n">
        <v>0</v>
      </c>
      <c r="DB79" s="704" t="n">
        <v>0</v>
      </c>
      <c r="DC79" s="704" t="n">
        <v>0</v>
      </c>
      <c r="DD79" s="704" t="n">
        <v>0</v>
      </c>
      <c r="DE79" s="704" t="n">
        <v>0</v>
      </c>
      <c r="DF79" s="704" t="n">
        <v>0</v>
      </c>
      <c r="DG79" s="704" t="n">
        <v>0</v>
      </c>
      <c r="DH79" s="704" t="n">
        <v>0</v>
      </c>
      <c r="DI79" s="704" t="n">
        <v>0</v>
      </c>
      <c r="DJ79" s="704" t="n">
        <v>0</v>
      </c>
      <c r="DK79" s="704" t="n">
        <v>0</v>
      </c>
      <c r="DL79" s="704" t="n">
        <v>0</v>
      </c>
      <c r="DM79" s="704" t="n">
        <v>0</v>
      </c>
    </row>
    <row r="80" ht="13.5" customHeight="1" s="355">
      <c r="B80" s="703" t="inlineStr">
        <is>
          <t>Reporting</t>
        </is>
      </c>
      <c r="D80" s="704" t="n">
        <v>0</v>
      </c>
      <c r="E80" s="704" t="n">
        <v>0</v>
      </c>
      <c r="F80" s="704" t="n">
        <v>0</v>
      </c>
      <c r="G80" s="704" t="n">
        <v>0</v>
      </c>
      <c r="H80" s="704" t="n">
        <v>0</v>
      </c>
      <c r="I80" s="704" t="n">
        <v>0</v>
      </c>
      <c r="J80" s="704" t="n">
        <v>0</v>
      </c>
      <c r="K80" s="704" t="n">
        <v>0</v>
      </c>
      <c r="L80" s="704" t="n">
        <v>0</v>
      </c>
      <c r="M80" s="704" t="n">
        <v>0</v>
      </c>
      <c r="N80" s="704" t="n">
        <v>0</v>
      </c>
      <c r="O80" s="704" t="n">
        <v>0</v>
      </c>
      <c r="P80" s="704" t="n">
        <v>0</v>
      </c>
      <c r="Q80" s="704" t="n">
        <v>0</v>
      </c>
      <c r="R80" s="704" t="n">
        <v>0</v>
      </c>
      <c r="S80" s="704" t="n">
        <v>0</v>
      </c>
      <c r="T80" s="704" t="n">
        <v>0</v>
      </c>
      <c r="U80" s="704" t="n">
        <v>0</v>
      </c>
      <c r="V80" s="704" t="n">
        <v>0</v>
      </c>
      <c r="W80" s="704" t="n">
        <v>0</v>
      </c>
      <c r="X80" s="704" t="n">
        <v>0</v>
      </c>
      <c r="Y80" s="704" t="n">
        <v>0</v>
      </c>
      <c r="Z80" s="704" t="n">
        <v>0</v>
      </c>
      <c r="AA80" s="704" t="n">
        <v>0</v>
      </c>
      <c r="AB80" s="704" t="n">
        <v>0</v>
      </c>
      <c r="AC80" s="704" t="n">
        <v>0</v>
      </c>
      <c r="AD80" s="704" t="n">
        <v>0</v>
      </c>
      <c r="AE80" s="704" t="n">
        <v>0</v>
      </c>
      <c r="AF80" s="704" t="n">
        <v>0</v>
      </c>
      <c r="AG80" s="704" t="n">
        <v>0</v>
      </c>
      <c r="AH80" s="704" t="n">
        <v>0</v>
      </c>
      <c r="AI80" s="704" t="n">
        <v>0</v>
      </c>
      <c r="AJ80" s="704" t="n">
        <v>0</v>
      </c>
      <c r="AK80" s="704" t="n">
        <v>0</v>
      </c>
      <c r="AL80" s="704" t="n">
        <v>0</v>
      </c>
      <c r="AM80" s="704" t="n">
        <v>0</v>
      </c>
      <c r="AN80" s="704" t="n">
        <v>0</v>
      </c>
      <c r="AO80" s="704" t="n">
        <v>0</v>
      </c>
      <c r="AP80" s="704" t="n">
        <v>0</v>
      </c>
      <c r="AQ80" s="704" t="n">
        <v>0</v>
      </c>
      <c r="AR80" s="704" t="n">
        <v>0</v>
      </c>
      <c r="AS80" s="704" t="n">
        <v>0</v>
      </c>
      <c r="AT80" s="704" t="n">
        <v>0</v>
      </c>
      <c r="AU80" s="704" t="n">
        <v>0</v>
      </c>
      <c r="AV80" s="704" t="n">
        <v>0</v>
      </c>
      <c r="AW80" s="704" t="n">
        <v>0</v>
      </c>
      <c r="AX80" s="704" t="n">
        <v>0</v>
      </c>
      <c r="AY80" s="704" t="n">
        <v>0</v>
      </c>
      <c r="AZ80" s="704" t="n">
        <v>0</v>
      </c>
      <c r="BA80" s="704" t="n">
        <v>0</v>
      </c>
      <c r="BB80" s="704" t="n">
        <v>0</v>
      </c>
      <c r="BC80" s="704" t="n">
        <v>0</v>
      </c>
      <c r="BD80" s="704" t="n">
        <v>0</v>
      </c>
      <c r="BE80" s="704" t="n">
        <v>0</v>
      </c>
      <c r="BF80" s="704" t="n">
        <v>0</v>
      </c>
      <c r="BG80" s="704" t="n">
        <v>0</v>
      </c>
      <c r="BH80" s="704" t="n">
        <v>0</v>
      </c>
      <c r="BI80" s="704" t="n">
        <v>0</v>
      </c>
      <c r="BJ80" s="704" t="n">
        <v>0</v>
      </c>
      <c r="BK80" s="704" t="n">
        <v>0</v>
      </c>
      <c r="BL80" s="704" t="n">
        <v>0</v>
      </c>
      <c r="BM80" s="704" t="n">
        <v>0</v>
      </c>
      <c r="BN80" s="704" t="n">
        <v>0</v>
      </c>
      <c r="BO80" s="704" t="n">
        <v>0</v>
      </c>
      <c r="BP80" s="704" t="n">
        <v>0</v>
      </c>
      <c r="BQ80" s="704" t="n">
        <v>0</v>
      </c>
      <c r="BR80" s="704" t="n">
        <v>0</v>
      </c>
      <c r="BS80" s="704" t="n">
        <v>0</v>
      </c>
      <c r="BT80" s="704" t="n">
        <v>0</v>
      </c>
      <c r="BU80" s="704" t="n">
        <v>0</v>
      </c>
      <c r="BV80" s="704" t="n">
        <v>0</v>
      </c>
      <c r="BW80" s="704" t="n">
        <v>0</v>
      </c>
      <c r="BX80" s="704" t="n">
        <v>0</v>
      </c>
      <c r="BY80" s="704" t="n">
        <v>0</v>
      </c>
      <c r="BZ80" s="704" t="n">
        <v>0</v>
      </c>
      <c r="CA80" s="704" t="n">
        <v>0</v>
      </c>
      <c r="CB80" s="704" t="n">
        <v>0</v>
      </c>
      <c r="CC80" s="704" t="n">
        <v>0</v>
      </c>
      <c r="CD80" s="704" t="n">
        <v>0</v>
      </c>
      <c r="CE80" s="704" t="n">
        <v>0</v>
      </c>
      <c r="CF80" s="704" t="n">
        <v>0</v>
      </c>
      <c r="CG80" s="704" t="n">
        <v>0</v>
      </c>
      <c r="CH80" s="704" t="n">
        <v>0</v>
      </c>
      <c r="CI80" s="704" t="n">
        <v>0</v>
      </c>
      <c r="CJ80" s="704" t="n">
        <v>0</v>
      </c>
      <c r="CK80" s="704" t="n">
        <v>0</v>
      </c>
      <c r="CL80" s="704" t="n">
        <v>0</v>
      </c>
      <c r="CM80" s="704" t="n">
        <v>0</v>
      </c>
      <c r="CN80" s="704" t="n">
        <v>0</v>
      </c>
      <c r="CO80" s="704" t="n">
        <v>0</v>
      </c>
      <c r="CP80" s="704" t="n">
        <v>0</v>
      </c>
      <c r="CQ80" s="704" t="n">
        <v>0</v>
      </c>
      <c r="CR80" s="704" t="n">
        <v>0</v>
      </c>
      <c r="CS80" s="704" t="n">
        <v>0</v>
      </c>
      <c r="CT80" s="704" t="n">
        <v>0</v>
      </c>
      <c r="CU80" s="704" t="n">
        <v>0</v>
      </c>
      <c r="CV80" s="704" t="n">
        <v>0</v>
      </c>
      <c r="CW80" s="704" t="n">
        <v>0</v>
      </c>
      <c r="CX80" s="704" t="n">
        <v>0</v>
      </c>
      <c r="CY80" s="704" t="n">
        <v>0</v>
      </c>
      <c r="CZ80" s="704" t="n">
        <v>0</v>
      </c>
      <c r="DA80" s="704" t="n">
        <v>0</v>
      </c>
      <c r="DB80" s="704" t="n">
        <v>0</v>
      </c>
      <c r="DC80" s="704" t="n">
        <v>0</v>
      </c>
      <c r="DD80" s="704" t="n">
        <v>0</v>
      </c>
      <c r="DE80" s="704" t="n">
        <v>0</v>
      </c>
      <c r="DF80" s="704" t="n">
        <v>0</v>
      </c>
      <c r="DG80" s="704" t="n">
        <v>0</v>
      </c>
      <c r="DH80" s="704" t="n">
        <v>0</v>
      </c>
      <c r="DI80" s="704" t="n">
        <v>0</v>
      </c>
      <c r="DJ80" s="704" t="n">
        <v>0</v>
      </c>
      <c r="DK80" s="704" t="n">
        <v>0</v>
      </c>
      <c r="DL80" s="704" t="n">
        <v>0</v>
      </c>
      <c r="DM80" s="704" t="n">
        <v>0</v>
      </c>
    </row>
    <row r="81" ht="13.5" customHeight="1" s="355">
      <c r="B81" s="703" t="inlineStr">
        <is>
          <t>Fixed Assets</t>
        </is>
      </c>
      <c r="D81" s="704" t="n">
        <v>0</v>
      </c>
      <c r="E81" s="704" t="n">
        <v>0</v>
      </c>
      <c r="F81" s="704" t="n">
        <v>0</v>
      </c>
      <c r="G81" s="704" t="n">
        <v>0</v>
      </c>
      <c r="H81" s="704" t="n">
        <v>0</v>
      </c>
      <c r="I81" s="704" t="n">
        <v>0</v>
      </c>
      <c r="J81" s="704" t="n">
        <v>0</v>
      </c>
      <c r="K81" s="704" t="n">
        <v>0</v>
      </c>
      <c r="L81" s="704" t="n">
        <v>0</v>
      </c>
      <c r="M81" s="704" t="n">
        <v>0</v>
      </c>
      <c r="N81" s="704" t="n">
        <v>0</v>
      </c>
      <c r="O81" s="704" t="n">
        <v>0</v>
      </c>
      <c r="P81" s="704" t="n">
        <v>0</v>
      </c>
      <c r="Q81" s="704" t="n">
        <v>0</v>
      </c>
      <c r="R81" s="704" t="n">
        <v>0</v>
      </c>
      <c r="S81" s="704" t="n">
        <v>0</v>
      </c>
      <c r="T81" s="704" t="n">
        <v>0</v>
      </c>
      <c r="U81" s="704" t="n">
        <v>0</v>
      </c>
      <c r="V81" s="704" t="n">
        <v>0</v>
      </c>
      <c r="W81" s="704" t="n">
        <v>0</v>
      </c>
      <c r="X81" s="704" t="n">
        <v>0</v>
      </c>
      <c r="Y81" s="704" t="n">
        <v>0</v>
      </c>
      <c r="Z81" s="704" t="n">
        <v>0</v>
      </c>
      <c r="AA81" s="704" t="n">
        <v>0</v>
      </c>
      <c r="AB81" s="704" t="n">
        <v>0</v>
      </c>
      <c r="AC81" s="704" t="n">
        <v>0</v>
      </c>
      <c r="AD81" s="704" t="n">
        <v>0</v>
      </c>
      <c r="AE81" s="704" t="n">
        <v>0</v>
      </c>
      <c r="AF81" s="704" t="n">
        <v>0</v>
      </c>
      <c r="AG81" s="704" t="n">
        <v>0</v>
      </c>
      <c r="AH81" s="704" t="n">
        <v>0</v>
      </c>
      <c r="AI81" s="704" t="n">
        <v>0</v>
      </c>
      <c r="AJ81" s="704" t="n">
        <v>0</v>
      </c>
      <c r="AK81" s="704" t="n">
        <v>0</v>
      </c>
      <c r="AL81" s="704" t="n">
        <v>0</v>
      </c>
      <c r="AM81" s="704" t="n">
        <v>0</v>
      </c>
      <c r="AN81" s="704" t="n">
        <v>0</v>
      </c>
      <c r="AO81" s="704" t="n">
        <v>0</v>
      </c>
      <c r="AP81" s="704" t="n">
        <v>0</v>
      </c>
      <c r="AQ81" s="704" t="n">
        <v>0</v>
      </c>
      <c r="AR81" s="704" t="n">
        <v>0</v>
      </c>
      <c r="AS81" s="704" t="n">
        <v>0</v>
      </c>
      <c r="AT81" s="704" t="n">
        <v>0</v>
      </c>
      <c r="AU81" s="704" t="n">
        <v>0</v>
      </c>
      <c r="AV81" s="704" t="n">
        <v>0</v>
      </c>
      <c r="AW81" s="704" t="n">
        <v>0</v>
      </c>
      <c r="AX81" s="704" t="n">
        <v>0</v>
      </c>
      <c r="AY81" s="704" t="n">
        <v>0</v>
      </c>
      <c r="AZ81" s="704" t="n">
        <v>0</v>
      </c>
      <c r="BA81" s="704" t="n">
        <v>0</v>
      </c>
      <c r="BB81" s="704" t="n">
        <v>0</v>
      </c>
      <c r="BC81" s="704" t="n">
        <v>0</v>
      </c>
      <c r="BD81" s="704" t="n">
        <v>0</v>
      </c>
      <c r="BE81" s="704" t="n">
        <v>0</v>
      </c>
      <c r="BF81" s="704" t="n">
        <v>0</v>
      </c>
      <c r="BG81" s="704" t="n">
        <v>0</v>
      </c>
      <c r="BH81" s="704" t="n">
        <v>0</v>
      </c>
      <c r="BI81" s="704" t="n">
        <v>0</v>
      </c>
      <c r="BJ81" s="704" t="n">
        <v>0</v>
      </c>
      <c r="BK81" s="704" t="n">
        <v>0</v>
      </c>
      <c r="BL81" s="704" t="n">
        <v>0</v>
      </c>
      <c r="BM81" s="704" t="n">
        <v>0</v>
      </c>
      <c r="BN81" s="704" t="n">
        <v>0</v>
      </c>
      <c r="BO81" s="704" t="n">
        <v>0</v>
      </c>
      <c r="BP81" s="704" t="n">
        <v>0</v>
      </c>
      <c r="BQ81" s="704" t="n">
        <v>0</v>
      </c>
      <c r="BR81" s="704" t="n">
        <v>0</v>
      </c>
      <c r="BS81" s="704" t="n">
        <v>0</v>
      </c>
      <c r="BT81" s="704" t="n">
        <v>0</v>
      </c>
      <c r="BU81" s="704" t="n">
        <v>0</v>
      </c>
      <c r="BV81" s="704" t="n">
        <v>0</v>
      </c>
      <c r="BW81" s="704" t="n">
        <v>0</v>
      </c>
      <c r="BX81" s="704" t="n">
        <v>0</v>
      </c>
      <c r="BY81" s="704" t="n">
        <v>0</v>
      </c>
      <c r="BZ81" s="704" t="n">
        <v>0</v>
      </c>
      <c r="CA81" s="704" t="n">
        <v>0</v>
      </c>
      <c r="CB81" s="704" t="n">
        <v>0</v>
      </c>
      <c r="CC81" s="704" t="n">
        <v>0</v>
      </c>
      <c r="CD81" s="704" t="n">
        <v>0</v>
      </c>
      <c r="CE81" s="704" t="n">
        <v>0</v>
      </c>
      <c r="CF81" s="704" t="n">
        <v>0</v>
      </c>
      <c r="CG81" s="704" t="n">
        <v>0</v>
      </c>
      <c r="CH81" s="704" t="n">
        <v>0</v>
      </c>
      <c r="CI81" s="704" t="n">
        <v>0</v>
      </c>
      <c r="CJ81" s="704" t="n">
        <v>0</v>
      </c>
      <c r="CK81" s="704" t="n">
        <v>0</v>
      </c>
      <c r="CL81" s="704" t="n">
        <v>0</v>
      </c>
      <c r="CM81" s="704" t="n">
        <v>0</v>
      </c>
      <c r="CN81" s="704" t="n">
        <v>0</v>
      </c>
      <c r="CO81" s="704" t="n">
        <v>0</v>
      </c>
      <c r="CP81" s="704" t="n">
        <v>0</v>
      </c>
      <c r="CQ81" s="704" t="n">
        <v>0</v>
      </c>
      <c r="CR81" s="704" t="n">
        <v>0</v>
      </c>
      <c r="CS81" s="704" t="n">
        <v>0</v>
      </c>
      <c r="CT81" s="704" t="n">
        <v>0</v>
      </c>
      <c r="CU81" s="704" t="n">
        <v>0</v>
      </c>
      <c r="CV81" s="704" t="n">
        <v>0</v>
      </c>
      <c r="CW81" s="704" t="n">
        <v>0</v>
      </c>
      <c r="CX81" s="704" t="n">
        <v>0</v>
      </c>
      <c r="CY81" s="704" t="n">
        <v>0</v>
      </c>
      <c r="CZ81" s="704" t="n">
        <v>0</v>
      </c>
      <c r="DA81" s="704" t="n">
        <v>0</v>
      </c>
      <c r="DB81" s="704" t="n">
        <v>0</v>
      </c>
      <c r="DC81" s="704" t="n">
        <v>0</v>
      </c>
      <c r="DD81" s="704" t="n">
        <v>0</v>
      </c>
      <c r="DE81" s="704" t="n">
        <v>0</v>
      </c>
      <c r="DF81" s="704" t="n">
        <v>0</v>
      </c>
      <c r="DG81" s="704" t="n">
        <v>0</v>
      </c>
      <c r="DH81" s="704" t="n">
        <v>0</v>
      </c>
      <c r="DI81" s="704" t="n">
        <v>0</v>
      </c>
      <c r="DJ81" s="704" t="n">
        <v>0</v>
      </c>
      <c r="DK81" s="704" t="n">
        <v>0</v>
      </c>
      <c r="DL81" s="704" t="n">
        <v>0</v>
      </c>
      <c r="DM81" s="704" t="n">
        <v>0</v>
      </c>
    </row>
    <row r="82" ht="13.5" customHeight="1" s="355">
      <c r="B82" s="703" t="inlineStr">
        <is>
          <t>Acct Payable</t>
        </is>
      </c>
      <c r="D82" s="704" t="n">
        <v>0</v>
      </c>
      <c r="E82" s="704" t="n">
        <v>0</v>
      </c>
      <c r="F82" s="704" t="n">
        <v>0</v>
      </c>
      <c r="G82" s="704" t="n">
        <v>0</v>
      </c>
      <c r="H82" s="704" t="n">
        <v>0</v>
      </c>
      <c r="I82" s="704" t="n">
        <v>0</v>
      </c>
      <c r="J82" s="704" t="n">
        <v>0</v>
      </c>
      <c r="K82" s="704" t="n">
        <v>0</v>
      </c>
      <c r="L82" s="704" t="n">
        <v>0</v>
      </c>
      <c r="M82" s="704" t="n">
        <v>0</v>
      </c>
      <c r="N82" s="704" t="n">
        <v>0</v>
      </c>
      <c r="O82" s="704" t="n">
        <v>0</v>
      </c>
      <c r="P82" s="704" t="n">
        <v>0</v>
      </c>
      <c r="Q82" s="704" t="n">
        <v>0</v>
      </c>
      <c r="R82" s="704" t="n">
        <v>0</v>
      </c>
      <c r="S82" s="704" t="n">
        <v>0</v>
      </c>
      <c r="T82" s="704" t="n">
        <v>0</v>
      </c>
      <c r="U82" s="704" t="n">
        <v>0</v>
      </c>
      <c r="V82" s="704" t="n">
        <v>0</v>
      </c>
      <c r="W82" s="704" t="n">
        <v>0</v>
      </c>
      <c r="X82" s="704" t="n">
        <v>0</v>
      </c>
      <c r="Y82" s="704" t="n">
        <v>0</v>
      </c>
      <c r="Z82" s="704" t="n">
        <v>0</v>
      </c>
      <c r="AA82" s="704" t="n">
        <v>0</v>
      </c>
      <c r="AB82" s="704" t="n">
        <v>0</v>
      </c>
      <c r="AC82" s="704" t="n">
        <v>0</v>
      </c>
      <c r="AD82" s="704" t="n">
        <v>0</v>
      </c>
      <c r="AE82" s="704" t="n">
        <v>0</v>
      </c>
      <c r="AF82" s="704" t="n">
        <v>0</v>
      </c>
      <c r="AG82" s="704" t="n">
        <v>0</v>
      </c>
      <c r="AH82" s="704" t="n">
        <v>0</v>
      </c>
      <c r="AI82" s="704" t="n">
        <v>0</v>
      </c>
      <c r="AJ82" s="704" t="n">
        <v>0</v>
      </c>
      <c r="AK82" s="704" t="n">
        <v>0</v>
      </c>
      <c r="AL82" s="704" t="n">
        <v>0</v>
      </c>
      <c r="AM82" s="704" t="n">
        <v>0</v>
      </c>
      <c r="AN82" s="704" t="n">
        <v>0</v>
      </c>
      <c r="AO82" s="704" t="n">
        <v>0</v>
      </c>
      <c r="AP82" s="704" t="n">
        <v>0</v>
      </c>
      <c r="AQ82" s="704" t="n">
        <v>0</v>
      </c>
      <c r="AR82" s="704" t="n">
        <v>0</v>
      </c>
      <c r="AS82" s="704" t="n">
        <v>0</v>
      </c>
      <c r="AT82" s="704" t="n">
        <v>0</v>
      </c>
      <c r="AU82" s="704" t="n">
        <v>0</v>
      </c>
      <c r="AV82" s="704" t="n">
        <v>0</v>
      </c>
      <c r="AW82" s="704" t="n">
        <v>0</v>
      </c>
      <c r="AX82" s="704" t="n">
        <v>0</v>
      </c>
      <c r="AY82" s="704" t="n">
        <v>0</v>
      </c>
      <c r="AZ82" s="704" t="n">
        <v>0</v>
      </c>
      <c r="BA82" s="704" t="n">
        <v>0</v>
      </c>
      <c r="BB82" s="704" t="n">
        <v>0</v>
      </c>
      <c r="BC82" s="704" t="n">
        <v>0</v>
      </c>
      <c r="BD82" s="704" t="n">
        <v>0</v>
      </c>
      <c r="BE82" s="704" t="n">
        <v>0</v>
      </c>
      <c r="BF82" s="704" t="n">
        <v>0</v>
      </c>
      <c r="BG82" s="704" t="n">
        <v>0</v>
      </c>
      <c r="BH82" s="704" t="n">
        <v>0</v>
      </c>
      <c r="BI82" s="704" t="n">
        <v>0</v>
      </c>
      <c r="BJ82" s="704" t="n">
        <v>0</v>
      </c>
      <c r="BK82" s="704" t="n">
        <v>0</v>
      </c>
      <c r="BL82" s="704" t="n">
        <v>0</v>
      </c>
      <c r="BM82" s="704" t="n">
        <v>0</v>
      </c>
      <c r="BN82" s="704" t="n">
        <v>0</v>
      </c>
      <c r="BO82" s="704" t="n">
        <v>0</v>
      </c>
      <c r="BP82" s="704" t="n">
        <v>0</v>
      </c>
      <c r="BQ82" s="704" t="n">
        <v>0</v>
      </c>
      <c r="BR82" s="704" t="n">
        <v>0</v>
      </c>
      <c r="BS82" s="704" t="n">
        <v>0</v>
      </c>
      <c r="BT82" s="704" t="n">
        <v>0</v>
      </c>
      <c r="BU82" s="704" t="n">
        <v>0</v>
      </c>
      <c r="BV82" s="704" t="n">
        <v>0</v>
      </c>
      <c r="BW82" s="704" t="n">
        <v>0</v>
      </c>
      <c r="BX82" s="704" t="n">
        <v>0</v>
      </c>
      <c r="BY82" s="704" t="n">
        <v>0</v>
      </c>
      <c r="BZ82" s="704" t="n">
        <v>0</v>
      </c>
      <c r="CA82" s="704" t="n">
        <v>0</v>
      </c>
      <c r="CB82" s="704" t="n">
        <v>0</v>
      </c>
      <c r="CC82" s="704" t="n">
        <v>0</v>
      </c>
      <c r="CD82" s="704" t="n">
        <v>0</v>
      </c>
      <c r="CE82" s="704" t="n">
        <v>0</v>
      </c>
      <c r="CF82" s="704" t="n">
        <v>0</v>
      </c>
      <c r="CG82" s="704" t="n">
        <v>0</v>
      </c>
      <c r="CH82" s="704" t="n">
        <v>0</v>
      </c>
      <c r="CI82" s="704" t="n">
        <v>0</v>
      </c>
      <c r="CJ82" s="704" t="n">
        <v>0</v>
      </c>
      <c r="CK82" s="704" t="n">
        <v>0</v>
      </c>
      <c r="CL82" s="704" t="n">
        <v>0</v>
      </c>
      <c r="CM82" s="704" t="n">
        <v>0</v>
      </c>
      <c r="CN82" s="704" t="n">
        <v>0</v>
      </c>
      <c r="CO82" s="704" t="n">
        <v>0</v>
      </c>
      <c r="CP82" s="704" t="n">
        <v>0</v>
      </c>
      <c r="CQ82" s="704" t="n">
        <v>0</v>
      </c>
      <c r="CR82" s="704" t="n">
        <v>0</v>
      </c>
      <c r="CS82" s="704" t="n">
        <v>0</v>
      </c>
      <c r="CT82" s="704" t="n">
        <v>0</v>
      </c>
      <c r="CU82" s="704" t="n">
        <v>0</v>
      </c>
      <c r="CV82" s="704" t="n">
        <v>0</v>
      </c>
      <c r="CW82" s="704" t="n">
        <v>0</v>
      </c>
      <c r="CX82" s="704" t="n">
        <v>0</v>
      </c>
      <c r="CY82" s="704" t="n">
        <v>0</v>
      </c>
      <c r="CZ82" s="704" t="n">
        <v>0</v>
      </c>
      <c r="DA82" s="704" t="n">
        <v>0</v>
      </c>
      <c r="DB82" s="704" t="n">
        <v>0</v>
      </c>
      <c r="DC82" s="704" t="n">
        <v>0</v>
      </c>
      <c r="DD82" s="704" t="n">
        <v>0</v>
      </c>
      <c r="DE82" s="704" t="n">
        <v>0</v>
      </c>
      <c r="DF82" s="704" t="n">
        <v>0</v>
      </c>
      <c r="DG82" s="704" t="n">
        <v>0</v>
      </c>
      <c r="DH82" s="704" t="n">
        <v>0</v>
      </c>
      <c r="DI82" s="704" t="n">
        <v>0</v>
      </c>
      <c r="DJ82" s="704" t="n">
        <v>0</v>
      </c>
      <c r="DK82" s="704" t="n">
        <v>0</v>
      </c>
      <c r="DL82" s="704" t="n">
        <v>0</v>
      </c>
      <c r="DM82" s="704" t="n">
        <v>0</v>
      </c>
    </row>
    <row r="83" ht="13.5" customHeight="1" s="355">
      <c r="B83" s="703" t="inlineStr">
        <is>
          <t>Cash&amp;Bank</t>
        </is>
      </c>
      <c r="D83" s="704" t="n">
        <v>0</v>
      </c>
      <c r="E83" s="704" t="n">
        <v>0</v>
      </c>
      <c r="F83" s="704" t="n">
        <v>0</v>
      </c>
      <c r="G83" s="704" t="n">
        <v>0</v>
      </c>
      <c r="H83" s="704" t="n">
        <v>0</v>
      </c>
      <c r="I83" s="704" t="n">
        <v>0</v>
      </c>
      <c r="J83" s="704" t="n">
        <v>0</v>
      </c>
      <c r="K83" s="704" t="n">
        <v>0</v>
      </c>
      <c r="L83" s="704" t="n">
        <v>0</v>
      </c>
      <c r="M83" s="704" t="n">
        <v>0</v>
      </c>
      <c r="N83" s="704" t="n">
        <v>0</v>
      </c>
      <c r="O83" s="704" t="n">
        <v>0</v>
      </c>
      <c r="P83" s="704" t="n">
        <v>0</v>
      </c>
      <c r="Q83" s="704" t="n">
        <v>0</v>
      </c>
      <c r="R83" s="704" t="n">
        <v>0</v>
      </c>
      <c r="S83" s="704" t="n">
        <v>0</v>
      </c>
      <c r="T83" s="704" t="n">
        <v>0</v>
      </c>
      <c r="U83" s="704" t="n">
        <v>0</v>
      </c>
      <c r="V83" s="704" t="n">
        <v>0</v>
      </c>
      <c r="W83" s="704" t="n">
        <v>0</v>
      </c>
      <c r="X83" s="704" t="n">
        <v>0</v>
      </c>
      <c r="Y83" s="704" t="n">
        <v>0</v>
      </c>
      <c r="Z83" s="704" t="n">
        <v>0</v>
      </c>
      <c r="AA83" s="704" t="n">
        <v>0</v>
      </c>
      <c r="AB83" s="704" t="n">
        <v>0</v>
      </c>
      <c r="AC83" s="704" t="n">
        <v>0</v>
      </c>
      <c r="AD83" s="704" t="n">
        <v>0</v>
      </c>
      <c r="AE83" s="704" t="n">
        <v>0</v>
      </c>
      <c r="AF83" s="704" t="n">
        <v>0</v>
      </c>
      <c r="AG83" s="704" t="n">
        <v>0</v>
      </c>
      <c r="AH83" s="704" t="n">
        <v>0</v>
      </c>
      <c r="AI83" s="704" t="n">
        <v>0</v>
      </c>
      <c r="AJ83" s="704" t="n">
        <v>0</v>
      </c>
      <c r="AK83" s="704" t="n">
        <v>0</v>
      </c>
      <c r="AL83" s="704" t="n">
        <v>0</v>
      </c>
      <c r="AM83" s="704" t="n">
        <v>0</v>
      </c>
      <c r="AN83" s="704" t="n">
        <v>0</v>
      </c>
      <c r="AO83" s="704" t="n">
        <v>0</v>
      </c>
      <c r="AP83" s="704" t="n">
        <v>0</v>
      </c>
      <c r="AQ83" s="704" t="n">
        <v>0</v>
      </c>
      <c r="AR83" s="704" t="n">
        <v>0</v>
      </c>
      <c r="AS83" s="704" t="n">
        <v>0</v>
      </c>
      <c r="AT83" s="704" t="n">
        <v>0</v>
      </c>
      <c r="AU83" s="704" t="n">
        <v>0</v>
      </c>
      <c r="AV83" s="704" t="n">
        <v>0</v>
      </c>
      <c r="AW83" s="704" t="n">
        <v>0</v>
      </c>
      <c r="AX83" s="704" t="n">
        <v>0</v>
      </c>
      <c r="AY83" s="704" t="n">
        <v>0</v>
      </c>
      <c r="AZ83" s="704" t="n">
        <v>0</v>
      </c>
      <c r="BA83" s="704" t="n">
        <v>0</v>
      </c>
      <c r="BB83" s="704" t="n">
        <v>0</v>
      </c>
      <c r="BC83" s="704" t="n">
        <v>0</v>
      </c>
      <c r="BD83" s="704" t="n">
        <v>0</v>
      </c>
      <c r="BE83" s="704" t="n">
        <v>0</v>
      </c>
      <c r="BF83" s="704" t="n">
        <v>0</v>
      </c>
      <c r="BG83" s="704" t="n">
        <v>0</v>
      </c>
      <c r="BH83" s="704" t="n">
        <v>0</v>
      </c>
      <c r="BI83" s="704" t="n">
        <v>0</v>
      </c>
      <c r="BJ83" s="704" t="n">
        <v>0</v>
      </c>
      <c r="BK83" s="704" t="n">
        <v>0</v>
      </c>
      <c r="BL83" s="704" t="n">
        <v>0</v>
      </c>
      <c r="BM83" s="704" t="n">
        <v>0</v>
      </c>
      <c r="BN83" s="704" t="n">
        <v>0</v>
      </c>
      <c r="BO83" s="704" t="n">
        <v>0</v>
      </c>
      <c r="BP83" s="704" t="n">
        <v>0</v>
      </c>
      <c r="BQ83" s="704" t="n">
        <v>0</v>
      </c>
      <c r="BR83" s="704" t="n">
        <v>0</v>
      </c>
      <c r="BS83" s="704" t="n">
        <v>0</v>
      </c>
      <c r="BT83" s="704" t="n">
        <v>0</v>
      </c>
      <c r="BU83" s="704" t="n">
        <v>0</v>
      </c>
      <c r="BV83" s="704" t="n">
        <v>0</v>
      </c>
      <c r="BW83" s="704" t="n">
        <v>0</v>
      </c>
      <c r="BX83" s="704" t="n">
        <v>0</v>
      </c>
      <c r="BY83" s="704" t="n">
        <v>0</v>
      </c>
      <c r="BZ83" s="704" t="n">
        <v>0</v>
      </c>
      <c r="CA83" s="704" t="n">
        <v>0</v>
      </c>
      <c r="CB83" s="704" t="n">
        <v>0</v>
      </c>
      <c r="CC83" s="704" t="n">
        <v>0</v>
      </c>
      <c r="CD83" s="704" t="n">
        <v>0</v>
      </c>
      <c r="CE83" s="704" t="n">
        <v>0</v>
      </c>
      <c r="CF83" s="704" t="n">
        <v>0</v>
      </c>
      <c r="CG83" s="704" t="n">
        <v>0</v>
      </c>
      <c r="CH83" s="704" t="n">
        <v>0</v>
      </c>
      <c r="CI83" s="704" t="n">
        <v>0</v>
      </c>
      <c r="CJ83" s="704" t="n">
        <v>0</v>
      </c>
      <c r="CK83" s="704" t="n">
        <v>0</v>
      </c>
      <c r="CL83" s="704" t="n">
        <v>0</v>
      </c>
      <c r="CM83" s="704" t="n">
        <v>0</v>
      </c>
      <c r="CN83" s="704" t="n">
        <v>0</v>
      </c>
      <c r="CO83" s="704" t="n">
        <v>0</v>
      </c>
      <c r="CP83" s="704" t="n">
        <v>0</v>
      </c>
      <c r="CQ83" s="704" t="n">
        <v>0</v>
      </c>
      <c r="CR83" s="704" t="n">
        <v>0</v>
      </c>
      <c r="CS83" s="704" t="n">
        <v>0</v>
      </c>
      <c r="CT83" s="704" t="n">
        <v>0</v>
      </c>
      <c r="CU83" s="704" t="n">
        <v>0</v>
      </c>
      <c r="CV83" s="704" t="n">
        <v>0</v>
      </c>
      <c r="CW83" s="704" t="n">
        <v>0</v>
      </c>
      <c r="CX83" s="704" t="n">
        <v>0</v>
      </c>
      <c r="CY83" s="704" t="n">
        <v>0</v>
      </c>
      <c r="CZ83" s="704" t="n">
        <v>0</v>
      </c>
      <c r="DA83" s="704" t="n">
        <v>0</v>
      </c>
      <c r="DB83" s="704" t="n">
        <v>0</v>
      </c>
      <c r="DC83" s="704" t="n">
        <v>0</v>
      </c>
      <c r="DD83" s="704" t="n">
        <v>0</v>
      </c>
      <c r="DE83" s="704" t="n">
        <v>0</v>
      </c>
      <c r="DF83" s="704" t="n">
        <v>0</v>
      </c>
      <c r="DG83" s="704" t="n">
        <v>0</v>
      </c>
      <c r="DH83" s="704" t="n">
        <v>0</v>
      </c>
      <c r="DI83" s="704" t="n">
        <v>0</v>
      </c>
      <c r="DJ83" s="704" t="n">
        <v>0</v>
      </c>
      <c r="DK83" s="704" t="n">
        <v>0</v>
      </c>
      <c r="DL83" s="704" t="n">
        <v>0</v>
      </c>
      <c r="DM83" s="704" t="n">
        <v>0</v>
      </c>
    </row>
    <row r="84" ht="13.5" customHeight="1" s="355">
      <c r="B84" s="703" t="inlineStr">
        <is>
          <t>T&amp;E</t>
        </is>
      </c>
      <c r="D84" s="704" t="n">
        <v>0</v>
      </c>
      <c r="E84" s="704" t="n">
        <v>0</v>
      </c>
      <c r="F84" s="704" t="n">
        <v>0</v>
      </c>
      <c r="G84" s="704" t="n">
        <v>0</v>
      </c>
      <c r="H84" s="704" t="n">
        <v>0</v>
      </c>
      <c r="I84" s="704" t="n">
        <v>0</v>
      </c>
      <c r="J84" s="704" t="n">
        <v>0</v>
      </c>
      <c r="K84" s="704" t="n">
        <v>0</v>
      </c>
      <c r="L84" s="704" t="n">
        <v>0</v>
      </c>
      <c r="M84" s="704" t="n">
        <v>0</v>
      </c>
      <c r="N84" s="704" t="n">
        <v>0</v>
      </c>
      <c r="O84" s="704" t="n">
        <v>0</v>
      </c>
      <c r="P84" s="704" t="n">
        <v>0</v>
      </c>
      <c r="Q84" s="704" t="n">
        <v>0</v>
      </c>
      <c r="R84" s="704" t="n">
        <v>0</v>
      </c>
      <c r="S84" s="704" t="n">
        <v>0</v>
      </c>
      <c r="T84" s="704" t="n">
        <v>0</v>
      </c>
      <c r="U84" s="704" t="n">
        <v>0</v>
      </c>
      <c r="V84" s="704" t="n">
        <v>0</v>
      </c>
      <c r="W84" s="704" t="n">
        <v>0</v>
      </c>
      <c r="X84" s="704" t="n">
        <v>0</v>
      </c>
      <c r="Y84" s="704" t="n">
        <v>0</v>
      </c>
      <c r="Z84" s="704" t="n">
        <v>0</v>
      </c>
      <c r="AA84" s="704" t="n">
        <v>0</v>
      </c>
      <c r="AB84" s="704" t="n">
        <v>0</v>
      </c>
      <c r="AC84" s="704" t="n">
        <v>0</v>
      </c>
      <c r="AD84" s="704" t="n">
        <v>0</v>
      </c>
      <c r="AE84" s="704" t="n">
        <v>0</v>
      </c>
      <c r="AF84" s="704" t="n">
        <v>0</v>
      </c>
      <c r="AG84" s="704" t="n">
        <v>0</v>
      </c>
      <c r="AH84" s="704" t="n">
        <v>0</v>
      </c>
      <c r="AI84" s="704" t="n">
        <v>0</v>
      </c>
      <c r="AJ84" s="704" t="n">
        <v>0</v>
      </c>
      <c r="AK84" s="704" t="n">
        <v>0</v>
      </c>
      <c r="AL84" s="704" t="n">
        <v>0</v>
      </c>
      <c r="AM84" s="704" t="n">
        <v>0</v>
      </c>
      <c r="AN84" s="704" t="n">
        <v>0</v>
      </c>
      <c r="AO84" s="704" t="n">
        <v>0</v>
      </c>
      <c r="AP84" s="704" t="n">
        <v>0</v>
      </c>
      <c r="AQ84" s="704" t="n">
        <v>0</v>
      </c>
      <c r="AR84" s="704" t="n">
        <v>0</v>
      </c>
      <c r="AS84" s="704" t="n">
        <v>0</v>
      </c>
      <c r="AT84" s="704" t="n">
        <v>0</v>
      </c>
      <c r="AU84" s="704" t="n">
        <v>0</v>
      </c>
      <c r="AV84" s="704" t="n">
        <v>0</v>
      </c>
      <c r="AW84" s="704" t="n">
        <v>0</v>
      </c>
      <c r="AX84" s="704" t="n">
        <v>0</v>
      </c>
      <c r="AY84" s="704" t="n">
        <v>0</v>
      </c>
      <c r="AZ84" s="704" t="n">
        <v>0</v>
      </c>
      <c r="BA84" s="704" t="n">
        <v>0</v>
      </c>
      <c r="BB84" s="704" t="n">
        <v>0</v>
      </c>
      <c r="BC84" s="704" t="n">
        <v>0</v>
      </c>
      <c r="BD84" s="704" t="n">
        <v>0</v>
      </c>
      <c r="BE84" s="704" t="n">
        <v>0</v>
      </c>
      <c r="BF84" s="704" t="n">
        <v>0</v>
      </c>
      <c r="BG84" s="704" t="n">
        <v>0</v>
      </c>
      <c r="BH84" s="704" t="n">
        <v>0</v>
      </c>
      <c r="BI84" s="704" t="n">
        <v>0</v>
      </c>
      <c r="BJ84" s="704" t="n">
        <v>0</v>
      </c>
      <c r="BK84" s="704" t="n">
        <v>0</v>
      </c>
      <c r="BL84" s="704" t="n">
        <v>0</v>
      </c>
      <c r="BM84" s="704" t="n">
        <v>0</v>
      </c>
      <c r="BN84" s="704" t="n">
        <v>0</v>
      </c>
      <c r="BO84" s="704" t="n">
        <v>0</v>
      </c>
      <c r="BP84" s="704" t="n">
        <v>0</v>
      </c>
      <c r="BQ84" s="704" t="n">
        <v>0</v>
      </c>
      <c r="BR84" s="704" t="n">
        <v>0</v>
      </c>
      <c r="BS84" s="704" t="n">
        <v>0</v>
      </c>
      <c r="BT84" s="704" t="n">
        <v>0</v>
      </c>
      <c r="BU84" s="704" t="n">
        <v>0</v>
      </c>
      <c r="BV84" s="704" t="n">
        <v>0</v>
      </c>
      <c r="BW84" s="704" t="n">
        <v>0</v>
      </c>
      <c r="BX84" s="704" t="n">
        <v>0</v>
      </c>
      <c r="BY84" s="704" t="n">
        <v>0</v>
      </c>
      <c r="BZ84" s="704" t="n">
        <v>0</v>
      </c>
      <c r="CA84" s="704" t="n">
        <v>0</v>
      </c>
      <c r="CB84" s="704" t="n">
        <v>0</v>
      </c>
      <c r="CC84" s="704" t="n">
        <v>0</v>
      </c>
      <c r="CD84" s="704" t="n">
        <v>0</v>
      </c>
      <c r="CE84" s="704" t="n">
        <v>0</v>
      </c>
      <c r="CF84" s="704" t="n">
        <v>0</v>
      </c>
      <c r="CG84" s="704" t="n">
        <v>0</v>
      </c>
      <c r="CH84" s="704" t="n">
        <v>0</v>
      </c>
      <c r="CI84" s="704" t="n">
        <v>0</v>
      </c>
      <c r="CJ84" s="704" t="n">
        <v>0</v>
      </c>
      <c r="CK84" s="704" t="n">
        <v>0</v>
      </c>
      <c r="CL84" s="704" t="n">
        <v>0</v>
      </c>
      <c r="CM84" s="704" t="n">
        <v>0</v>
      </c>
      <c r="CN84" s="704" t="n">
        <v>0</v>
      </c>
      <c r="CO84" s="704" t="n">
        <v>0</v>
      </c>
      <c r="CP84" s="704" t="n">
        <v>0</v>
      </c>
      <c r="CQ84" s="704" t="n">
        <v>0</v>
      </c>
      <c r="CR84" s="704" t="n">
        <v>0</v>
      </c>
      <c r="CS84" s="704" t="n">
        <v>0</v>
      </c>
      <c r="CT84" s="704" t="n">
        <v>0</v>
      </c>
      <c r="CU84" s="704" t="n">
        <v>0</v>
      </c>
      <c r="CV84" s="704" t="n">
        <v>0</v>
      </c>
      <c r="CW84" s="704" t="n">
        <v>0</v>
      </c>
      <c r="CX84" s="704" t="n">
        <v>0</v>
      </c>
      <c r="CY84" s="704" t="n">
        <v>0</v>
      </c>
      <c r="CZ84" s="704" t="n">
        <v>0</v>
      </c>
      <c r="DA84" s="704" t="n">
        <v>0</v>
      </c>
      <c r="DB84" s="704" t="n">
        <v>0</v>
      </c>
      <c r="DC84" s="704" t="n">
        <v>0</v>
      </c>
      <c r="DD84" s="704" t="n">
        <v>0</v>
      </c>
      <c r="DE84" s="704" t="n">
        <v>0</v>
      </c>
      <c r="DF84" s="704" t="n">
        <v>0</v>
      </c>
      <c r="DG84" s="704" t="n">
        <v>0</v>
      </c>
      <c r="DH84" s="704" t="n">
        <v>0</v>
      </c>
      <c r="DI84" s="704" t="n">
        <v>0</v>
      </c>
      <c r="DJ84" s="704" t="n">
        <v>0</v>
      </c>
      <c r="DK84" s="704" t="n">
        <v>0</v>
      </c>
      <c r="DL84" s="704" t="n">
        <v>0</v>
      </c>
      <c r="DM84" s="704" t="n">
        <v>0</v>
      </c>
    </row>
    <row r="85" ht="13.5" customHeight="1" s="355">
      <c r="B85" s="703" t="inlineStr">
        <is>
          <t>Order to Cash</t>
        </is>
      </c>
      <c r="D85" s="704" t="n">
        <v>0</v>
      </c>
      <c r="E85" s="704" t="n">
        <v>0</v>
      </c>
      <c r="F85" s="704" t="n">
        <v>0</v>
      </c>
      <c r="G85" s="704" t="n">
        <v>0</v>
      </c>
      <c r="H85" s="704" t="n">
        <v>0</v>
      </c>
      <c r="I85" s="704" t="n">
        <v>0</v>
      </c>
      <c r="J85" s="704" t="n">
        <v>0</v>
      </c>
      <c r="K85" s="704" t="n">
        <v>0</v>
      </c>
      <c r="L85" s="704" t="n">
        <v>0</v>
      </c>
      <c r="M85" s="704" t="n">
        <v>0</v>
      </c>
      <c r="N85" s="704" t="n">
        <v>0</v>
      </c>
      <c r="O85" s="704" t="n">
        <v>0</v>
      </c>
      <c r="P85" s="704" t="n">
        <v>0</v>
      </c>
      <c r="Q85" s="704" t="n">
        <v>0</v>
      </c>
      <c r="R85" s="704" t="n">
        <v>0</v>
      </c>
      <c r="S85" s="704" t="n">
        <v>0</v>
      </c>
      <c r="T85" s="704" t="n">
        <v>0</v>
      </c>
      <c r="U85" s="704" t="n">
        <v>0</v>
      </c>
      <c r="V85" s="704" t="n">
        <v>0</v>
      </c>
      <c r="W85" s="704" t="n">
        <v>0</v>
      </c>
      <c r="X85" s="704" t="n">
        <v>0</v>
      </c>
      <c r="Y85" s="704" t="n">
        <v>0</v>
      </c>
      <c r="Z85" s="704" t="n">
        <v>0</v>
      </c>
      <c r="AA85" s="704" t="n">
        <v>0</v>
      </c>
      <c r="AB85" s="704" t="n">
        <v>0</v>
      </c>
      <c r="AC85" s="704" t="n">
        <v>0</v>
      </c>
      <c r="AD85" s="704" t="n">
        <v>0</v>
      </c>
      <c r="AE85" s="704" t="n">
        <v>0</v>
      </c>
      <c r="AF85" s="704" t="n">
        <v>0</v>
      </c>
      <c r="AG85" s="704" t="n">
        <v>0</v>
      </c>
      <c r="AH85" s="704" t="n">
        <v>0</v>
      </c>
      <c r="AI85" s="704" t="n">
        <v>0</v>
      </c>
      <c r="AJ85" s="704" t="n">
        <v>0</v>
      </c>
      <c r="AK85" s="704" t="n">
        <v>0</v>
      </c>
      <c r="AL85" s="704" t="n">
        <v>0</v>
      </c>
      <c r="AM85" s="704" t="n">
        <v>0</v>
      </c>
      <c r="AN85" s="704" t="n">
        <v>0</v>
      </c>
      <c r="AO85" s="704" t="n">
        <v>0</v>
      </c>
      <c r="AP85" s="704" t="n">
        <v>0</v>
      </c>
      <c r="AQ85" s="704" t="n">
        <v>0</v>
      </c>
      <c r="AR85" s="704" t="n">
        <v>0</v>
      </c>
      <c r="AS85" s="704" t="n">
        <v>0</v>
      </c>
      <c r="AT85" s="704" t="n">
        <v>0</v>
      </c>
      <c r="AU85" s="704" t="n">
        <v>0</v>
      </c>
      <c r="AV85" s="704" t="n">
        <v>0</v>
      </c>
      <c r="AW85" s="704" t="n">
        <v>0</v>
      </c>
      <c r="AX85" s="704" t="n">
        <v>0</v>
      </c>
      <c r="AY85" s="704" t="n">
        <v>0</v>
      </c>
      <c r="AZ85" s="704" t="n">
        <v>0</v>
      </c>
      <c r="BA85" s="704" t="n">
        <v>0</v>
      </c>
      <c r="BB85" s="704" t="n">
        <v>0</v>
      </c>
      <c r="BC85" s="704" t="n">
        <v>0</v>
      </c>
      <c r="BD85" s="704" t="n">
        <v>0</v>
      </c>
      <c r="BE85" s="704" t="n">
        <v>0</v>
      </c>
      <c r="BF85" s="704" t="n">
        <v>0</v>
      </c>
      <c r="BG85" s="704" t="n">
        <v>0</v>
      </c>
      <c r="BH85" s="704" t="n">
        <v>0</v>
      </c>
      <c r="BI85" s="704" t="n">
        <v>0</v>
      </c>
      <c r="BJ85" s="704" t="n">
        <v>0</v>
      </c>
      <c r="BK85" s="704" t="n">
        <v>0</v>
      </c>
      <c r="BL85" s="704" t="n">
        <v>0</v>
      </c>
      <c r="BM85" s="704" t="n">
        <v>0</v>
      </c>
      <c r="BN85" s="704" t="n">
        <v>0</v>
      </c>
      <c r="BO85" s="704" t="n">
        <v>0</v>
      </c>
      <c r="BP85" s="704" t="n">
        <v>0</v>
      </c>
      <c r="BQ85" s="704" t="n">
        <v>0</v>
      </c>
      <c r="BR85" s="704" t="n">
        <v>0</v>
      </c>
      <c r="BS85" s="704" t="n">
        <v>0</v>
      </c>
      <c r="BT85" s="704" t="n">
        <v>0</v>
      </c>
      <c r="BU85" s="704" t="n">
        <v>0</v>
      </c>
      <c r="BV85" s="704" t="n">
        <v>0</v>
      </c>
      <c r="BW85" s="704" t="n">
        <v>0</v>
      </c>
      <c r="BX85" s="704" t="n">
        <v>0</v>
      </c>
      <c r="BY85" s="704" t="n">
        <v>0</v>
      </c>
      <c r="BZ85" s="704" t="n">
        <v>0</v>
      </c>
      <c r="CA85" s="704" t="n">
        <v>0</v>
      </c>
      <c r="CB85" s="704" t="n">
        <v>0</v>
      </c>
      <c r="CC85" s="704" t="n">
        <v>0</v>
      </c>
      <c r="CD85" s="704" t="n">
        <v>0</v>
      </c>
      <c r="CE85" s="704" t="n">
        <v>0</v>
      </c>
      <c r="CF85" s="704" t="n">
        <v>0</v>
      </c>
      <c r="CG85" s="704" t="n">
        <v>0</v>
      </c>
      <c r="CH85" s="704" t="n">
        <v>0</v>
      </c>
      <c r="CI85" s="704" t="n">
        <v>0</v>
      </c>
      <c r="CJ85" s="704" t="n">
        <v>0</v>
      </c>
      <c r="CK85" s="704" t="n">
        <v>0</v>
      </c>
      <c r="CL85" s="704" t="n">
        <v>0</v>
      </c>
      <c r="CM85" s="704" t="n">
        <v>0</v>
      </c>
      <c r="CN85" s="704" t="n">
        <v>0</v>
      </c>
      <c r="CO85" s="704" t="n">
        <v>0</v>
      </c>
      <c r="CP85" s="704" t="n">
        <v>0</v>
      </c>
      <c r="CQ85" s="704" t="n">
        <v>0</v>
      </c>
      <c r="CR85" s="704" t="n">
        <v>0</v>
      </c>
      <c r="CS85" s="704" t="n">
        <v>0</v>
      </c>
      <c r="CT85" s="704" t="n">
        <v>0</v>
      </c>
      <c r="CU85" s="704" t="n">
        <v>0</v>
      </c>
      <c r="CV85" s="704" t="n">
        <v>0</v>
      </c>
      <c r="CW85" s="704" t="n">
        <v>0</v>
      </c>
      <c r="CX85" s="704" t="n">
        <v>0</v>
      </c>
      <c r="CY85" s="704" t="n">
        <v>0</v>
      </c>
      <c r="CZ85" s="704" t="n">
        <v>0</v>
      </c>
      <c r="DA85" s="704" t="n">
        <v>0</v>
      </c>
      <c r="DB85" s="704" t="n">
        <v>0</v>
      </c>
      <c r="DC85" s="704" t="n">
        <v>0</v>
      </c>
      <c r="DD85" s="704" t="n">
        <v>0</v>
      </c>
      <c r="DE85" s="704" t="n">
        <v>0</v>
      </c>
      <c r="DF85" s="704" t="n">
        <v>0</v>
      </c>
      <c r="DG85" s="704" t="n">
        <v>0</v>
      </c>
      <c r="DH85" s="704" t="n">
        <v>0</v>
      </c>
      <c r="DI85" s="704" t="n">
        <v>0</v>
      </c>
      <c r="DJ85" s="704" t="n">
        <v>0</v>
      </c>
      <c r="DK85" s="704" t="n">
        <v>0</v>
      </c>
      <c r="DL85" s="704" t="n">
        <v>0</v>
      </c>
      <c r="DM85" s="704" t="n">
        <v>0</v>
      </c>
    </row>
    <row r="86" ht="13.5" customHeight="1" s="355">
      <c r="B86" s="703" t="inlineStr">
        <is>
          <t>Req to Pay</t>
        </is>
      </c>
      <c r="D86" s="704" t="n">
        <v>0</v>
      </c>
      <c r="E86" s="704" t="n">
        <v>0</v>
      </c>
      <c r="F86" s="704" t="n">
        <v>0</v>
      </c>
      <c r="G86" s="704" t="n">
        <v>0</v>
      </c>
      <c r="H86" s="704" t="n">
        <v>0</v>
      </c>
      <c r="I86" s="704" t="n">
        <v>0</v>
      </c>
      <c r="J86" s="704" t="n">
        <v>3.14971433508738</v>
      </c>
      <c r="K86" s="704" t="n">
        <v>3.14971433508738</v>
      </c>
      <c r="L86" s="704" t="n">
        <v>3.14971433508738</v>
      </c>
      <c r="M86" s="704" t="n">
        <v>3.14971433508738</v>
      </c>
      <c r="N86" s="704" t="n">
        <v>3.14971433508738</v>
      </c>
      <c r="O86" s="704" t="n">
        <v>3.14971433508738</v>
      </c>
      <c r="P86" s="704" t="n">
        <v>0</v>
      </c>
      <c r="Q86" s="704" t="n">
        <v>0</v>
      </c>
      <c r="R86" s="704" t="n">
        <v>0</v>
      </c>
      <c r="S86" s="704" t="n">
        <v>0</v>
      </c>
      <c r="T86" s="704" t="n">
        <v>0</v>
      </c>
      <c r="U86" s="704" t="n">
        <v>0</v>
      </c>
      <c r="V86" s="704" t="n">
        <v>0</v>
      </c>
      <c r="W86" s="704" t="n">
        <v>0</v>
      </c>
      <c r="X86" s="704" t="n">
        <v>0</v>
      </c>
      <c r="Y86" s="704" t="n">
        <v>0</v>
      </c>
      <c r="Z86" s="704" t="n">
        <v>0</v>
      </c>
      <c r="AA86" s="704" t="n">
        <v>0</v>
      </c>
      <c r="AB86" s="704" t="n">
        <v>0</v>
      </c>
      <c r="AC86" s="704" t="n">
        <v>0</v>
      </c>
      <c r="AD86" s="704" t="n">
        <v>0</v>
      </c>
      <c r="AE86" s="704" t="n">
        <v>0</v>
      </c>
      <c r="AF86" s="704" t="n">
        <v>0</v>
      </c>
      <c r="AG86" s="704" t="n">
        <v>0</v>
      </c>
      <c r="AH86" s="704" t="n">
        <v>0</v>
      </c>
      <c r="AI86" s="704" t="n">
        <v>0</v>
      </c>
      <c r="AJ86" s="704" t="n">
        <v>0</v>
      </c>
      <c r="AK86" s="704" t="n">
        <v>0</v>
      </c>
      <c r="AL86" s="704" t="n">
        <v>0</v>
      </c>
      <c r="AM86" s="704" t="n">
        <v>0</v>
      </c>
      <c r="AN86" s="704" t="n">
        <v>0</v>
      </c>
      <c r="AO86" s="704" t="n">
        <v>0</v>
      </c>
      <c r="AP86" s="704" t="n">
        <v>0</v>
      </c>
      <c r="AQ86" s="704" t="n">
        <v>0</v>
      </c>
      <c r="AR86" s="704" t="n">
        <v>0</v>
      </c>
      <c r="AS86" s="704" t="n">
        <v>0</v>
      </c>
      <c r="AT86" s="704" t="n">
        <v>0</v>
      </c>
      <c r="AU86" s="704" t="n">
        <v>0</v>
      </c>
      <c r="AV86" s="704" t="n">
        <v>0</v>
      </c>
      <c r="AW86" s="704" t="n">
        <v>0</v>
      </c>
      <c r="AX86" s="704" t="n">
        <v>0</v>
      </c>
      <c r="AY86" s="704" t="n">
        <v>0</v>
      </c>
      <c r="AZ86" s="704" t="n">
        <v>0</v>
      </c>
      <c r="BA86" s="704" t="n">
        <v>0</v>
      </c>
      <c r="BB86" s="704" t="n">
        <v>0</v>
      </c>
      <c r="BC86" s="704" t="n">
        <v>0</v>
      </c>
      <c r="BD86" s="704" t="n">
        <v>0</v>
      </c>
      <c r="BE86" s="704" t="n">
        <v>0</v>
      </c>
      <c r="BF86" s="704" t="n">
        <v>0</v>
      </c>
      <c r="BG86" s="704" t="n">
        <v>0</v>
      </c>
      <c r="BH86" s="704" t="n">
        <v>0</v>
      </c>
      <c r="BI86" s="704" t="n">
        <v>0</v>
      </c>
      <c r="BJ86" s="704" t="n">
        <v>0</v>
      </c>
      <c r="BK86" s="704" t="n">
        <v>0</v>
      </c>
      <c r="BL86" s="704" t="n">
        <v>0</v>
      </c>
      <c r="BM86" s="704" t="n">
        <v>0</v>
      </c>
      <c r="BN86" s="704" t="n">
        <v>0</v>
      </c>
      <c r="BO86" s="704" t="n">
        <v>0</v>
      </c>
      <c r="BP86" s="704" t="n">
        <v>0</v>
      </c>
      <c r="BQ86" s="704" t="n">
        <v>0</v>
      </c>
      <c r="BR86" s="704" t="n">
        <v>0</v>
      </c>
      <c r="BS86" s="704" t="n">
        <v>0</v>
      </c>
      <c r="BT86" s="704" t="n">
        <v>0</v>
      </c>
      <c r="BU86" s="704" t="n">
        <v>0</v>
      </c>
      <c r="BV86" s="704" t="n">
        <v>0</v>
      </c>
      <c r="BW86" s="704" t="n">
        <v>0</v>
      </c>
      <c r="BX86" s="704" t="n">
        <v>0</v>
      </c>
      <c r="BY86" s="704" t="n">
        <v>0</v>
      </c>
      <c r="BZ86" s="704" t="n">
        <v>0</v>
      </c>
      <c r="CA86" s="704" t="n">
        <v>0</v>
      </c>
      <c r="CB86" s="704" t="n">
        <v>0</v>
      </c>
      <c r="CC86" s="704" t="n">
        <v>0</v>
      </c>
      <c r="CD86" s="704" t="n">
        <v>0</v>
      </c>
      <c r="CE86" s="704" t="n">
        <v>0</v>
      </c>
      <c r="CF86" s="704" t="n">
        <v>0</v>
      </c>
      <c r="CG86" s="704" t="n">
        <v>0</v>
      </c>
      <c r="CH86" s="704" t="n">
        <v>0</v>
      </c>
      <c r="CI86" s="704" t="n">
        <v>0</v>
      </c>
      <c r="CJ86" s="704" t="n">
        <v>0</v>
      </c>
      <c r="CK86" s="704" t="n">
        <v>0</v>
      </c>
      <c r="CL86" s="704" t="n">
        <v>0</v>
      </c>
      <c r="CM86" s="704" t="n">
        <v>0</v>
      </c>
      <c r="CN86" s="704" t="n">
        <v>0</v>
      </c>
      <c r="CO86" s="704" t="n">
        <v>0</v>
      </c>
      <c r="CP86" s="704" t="n">
        <v>0</v>
      </c>
      <c r="CQ86" s="704" t="n">
        <v>0</v>
      </c>
      <c r="CR86" s="704" t="n">
        <v>0</v>
      </c>
      <c r="CS86" s="704" t="n">
        <v>0</v>
      </c>
      <c r="CT86" s="704" t="n">
        <v>0</v>
      </c>
      <c r="CU86" s="704" t="n">
        <v>0</v>
      </c>
      <c r="CV86" s="704" t="n">
        <v>0</v>
      </c>
      <c r="CW86" s="704" t="n">
        <v>0</v>
      </c>
      <c r="CX86" s="704" t="n">
        <v>0</v>
      </c>
      <c r="CY86" s="704" t="n">
        <v>0</v>
      </c>
      <c r="CZ86" s="704" t="n">
        <v>0</v>
      </c>
      <c r="DA86" s="704" t="n">
        <v>0</v>
      </c>
      <c r="DB86" s="704" t="n">
        <v>0</v>
      </c>
      <c r="DC86" s="704" t="n">
        <v>0</v>
      </c>
      <c r="DD86" s="704" t="n">
        <v>0</v>
      </c>
      <c r="DE86" s="704" t="n">
        <v>0</v>
      </c>
      <c r="DF86" s="704" t="n">
        <v>0</v>
      </c>
      <c r="DG86" s="704" t="n">
        <v>0</v>
      </c>
      <c r="DH86" s="704" t="n">
        <v>0</v>
      </c>
      <c r="DI86" s="704" t="n">
        <v>0</v>
      </c>
      <c r="DJ86" s="704" t="n">
        <v>0</v>
      </c>
      <c r="DK86" s="704" t="n">
        <v>0</v>
      </c>
      <c r="DL86" s="704" t="n">
        <v>0</v>
      </c>
      <c r="DM86" s="704" t="n">
        <v>0</v>
      </c>
    </row>
    <row r="87" ht="13.5" customHeight="1" s="355">
      <c r="B87" s="703" t="inlineStr">
        <is>
          <t>Team Leader</t>
        </is>
      </c>
      <c r="D87" s="704" t="n">
        <v>0</v>
      </c>
      <c r="E87" s="704" t="n">
        <v>0</v>
      </c>
      <c r="F87" s="704" t="n">
        <v>0</v>
      </c>
      <c r="G87" s="704" t="n">
        <v>0</v>
      </c>
      <c r="H87" s="704" t="n">
        <v>0</v>
      </c>
      <c r="I87" s="704" t="n">
        <v>0</v>
      </c>
      <c r="J87" s="704" t="n">
        <v>0</v>
      </c>
      <c r="K87" s="704" t="n">
        <v>0</v>
      </c>
      <c r="L87" s="704" t="n">
        <v>0</v>
      </c>
      <c r="M87" s="704" t="n">
        <v>0</v>
      </c>
      <c r="N87" s="704" t="n">
        <v>0</v>
      </c>
      <c r="O87" s="704" t="n">
        <v>0</v>
      </c>
      <c r="P87" s="704" t="n">
        <v>0</v>
      </c>
      <c r="Q87" s="704" t="n">
        <v>0</v>
      </c>
      <c r="R87" s="704" t="n">
        <v>0</v>
      </c>
      <c r="S87" s="704" t="n">
        <v>0</v>
      </c>
      <c r="T87" s="704" t="n">
        <v>0</v>
      </c>
      <c r="U87" s="704" t="n">
        <v>0</v>
      </c>
      <c r="V87" s="704" t="n">
        <v>0</v>
      </c>
      <c r="W87" s="704" t="n">
        <v>0</v>
      </c>
      <c r="X87" s="704" t="n">
        <v>0</v>
      </c>
      <c r="Y87" s="704" t="n">
        <v>0</v>
      </c>
      <c r="Z87" s="704" t="n">
        <v>0</v>
      </c>
      <c r="AA87" s="704" t="n">
        <v>0</v>
      </c>
      <c r="AB87" s="704" t="n">
        <v>0</v>
      </c>
      <c r="AC87" s="704" t="n">
        <v>0</v>
      </c>
      <c r="AD87" s="704" t="n">
        <v>0</v>
      </c>
      <c r="AE87" s="704" t="n">
        <v>0</v>
      </c>
      <c r="AF87" s="704" t="n">
        <v>0</v>
      </c>
      <c r="AG87" s="704" t="n">
        <v>0</v>
      </c>
      <c r="AH87" s="704" t="n">
        <v>0</v>
      </c>
      <c r="AI87" s="704" t="n">
        <v>0</v>
      </c>
      <c r="AJ87" s="704" t="n">
        <v>0</v>
      </c>
      <c r="AK87" s="704" t="n">
        <v>0</v>
      </c>
      <c r="AL87" s="704" t="n">
        <v>0</v>
      </c>
      <c r="AM87" s="704" t="n">
        <v>0</v>
      </c>
      <c r="AN87" s="704" t="n">
        <v>0</v>
      </c>
      <c r="AO87" s="704" t="n">
        <v>0</v>
      </c>
      <c r="AP87" s="704" t="n">
        <v>0</v>
      </c>
      <c r="AQ87" s="704" t="n">
        <v>0</v>
      </c>
      <c r="AR87" s="704" t="n">
        <v>0</v>
      </c>
      <c r="AS87" s="704" t="n">
        <v>0</v>
      </c>
      <c r="AT87" s="704" t="n">
        <v>0</v>
      </c>
      <c r="AU87" s="704" t="n">
        <v>0</v>
      </c>
      <c r="AV87" s="704" t="n">
        <v>0</v>
      </c>
      <c r="AW87" s="704" t="n">
        <v>0</v>
      </c>
      <c r="AX87" s="704" t="n">
        <v>0</v>
      </c>
      <c r="AY87" s="704" t="n">
        <v>0</v>
      </c>
      <c r="AZ87" s="704" t="n">
        <v>0</v>
      </c>
      <c r="BA87" s="704" t="n">
        <v>0</v>
      </c>
      <c r="BB87" s="704" t="n">
        <v>0</v>
      </c>
      <c r="BC87" s="704" t="n">
        <v>0</v>
      </c>
      <c r="BD87" s="704" t="n">
        <v>0</v>
      </c>
      <c r="BE87" s="704" t="n">
        <v>0</v>
      </c>
      <c r="BF87" s="704" t="n">
        <v>0</v>
      </c>
      <c r="BG87" s="704" t="n">
        <v>0</v>
      </c>
      <c r="BH87" s="704" t="n">
        <v>0</v>
      </c>
      <c r="BI87" s="704" t="n">
        <v>0</v>
      </c>
      <c r="BJ87" s="704" t="n">
        <v>0</v>
      </c>
      <c r="BK87" s="704" t="n">
        <v>0</v>
      </c>
      <c r="BL87" s="704" t="n">
        <v>0</v>
      </c>
      <c r="BM87" s="704" t="n">
        <v>0</v>
      </c>
      <c r="BN87" s="704" t="n">
        <v>0</v>
      </c>
      <c r="BO87" s="704" t="n">
        <v>0</v>
      </c>
      <c r="BP87" s="704" t="n">
        <v>0</v>
      </c>
      <c r="BQ87" s="704" t="n">
        <v>0</v>
      </c>
      <c r="BR87" s="704" t="n">
        <v>0</v>
      </c>
      <c r="BS87" s="704" t="n">
        <v>0</v>
      </c>
      <c r="BT87" s="704" t="n">
        <v>0</v>
      </c>
      <c r="BU87" s="704" t="n">
        <v>0</v>
      </c>
      <c r="BV87" s="704" t="n">
        <v>0</v>
      </c>
      <c r="BW87" s="704" t="n">
        <v>0</v>
      </c>
      <c r="BX87" s="704" t="n">
        <v>0</v>
      </c>
      <c r="BY87" s="704" t="n">
        <v>0</v>
      </c>
      <c r="BZ87" s="704" t="n">
        <v>0</v>
      </c>
      <c r="CA87" s="704" t="n">
        <v>0</v>
      </c>
      <c r="CB87" s="704" t="n">
        <v>0</v>
      </c>
      <c r="CC87" s="704" t="n">
        <v>0</v>
      </c>
      <c r="CD87" s="704" t="n">
        <v>0</v>
      </c>
      <c r="CE87" s="704" t="n">
        <v>0</v>
      </c>
      <c r="CF87" s="704" t="n">
        <v>0</v>
      </c>
      <c r="CG87" s="704" t="n">
        <v>0</v>
      </c>
      <c r="CH87" s="704" t="n">
        <v>0</v>
      </c>
      <c r="CI87" s="704" t="n">
        <v>0</v>
      </c>
      <c r="CJ87" s="704" t="n">
        <v>0</v>
      </c>
      <c r="CK87" s="704" t="n">
        <v>0</v>
      </c>
      <c r="CL87" s="704" t="n">
        <v>0</v>
      </c>
      <c r="CM87" s="704" t="n">
        <v>0</v>
      </c>
      <c r="CN87" s="704" t="n">
        <v>0</v>
      </c>
      <c r="CO87" s="704" t="n">
        <v>0</v>
      </c>
      <c r="CP87" s="704" t="n">
        <v>0</v>
      </c>
      <c r="CQ87" s="704" t="n">
        <v>0</v>
      </c>
      <c r="CR87" s="704" t="n">
        <v>0</v>
      </c>
      <c r="CS87" s="704" t="n">
        <v>0</v>
      </c>
      <c r="CT87" s="704" t="n">
        <v>0</v>
      </c>
      <c r="CU87" s="704" t="n">
        <v>0</v>
      </c>
      <c r="CV87" s="704" t="n">
        <v>0</v>
      </c>
      <c r="CW87" s="704" t="n">
        <v>0</v>
      </c>
      <c r="CX87" s="704" t="n">
        <v>0</v>
      </c>
      <c r="CY87" s="704" t="n">
        <v>0</v>
      </c>
      <c r="CZ87" s="704" t="n">
        <v>0</v>
      </c>
      <c r="DA87" s="704" t="n">
        <v>0</v>
      </c>
      <c r="DB87" s="704" t="n">
        <v>0</v>
      </c>
      <c r="DC87" s="704" t="n">
        <v>0</v>
      </c>
      <c r="DD87" s="704" t="n">
        <v>0</v>
      </c>
      <c r="DE87" s="704" t="n">
        <v>0</v>
      </c>
      <c r="DF87" s="704" t="n">
        <v>0</v>
      </c>
      <c r="DG87" s="704" t="n">
        <v>0</v>
      </c>
      <c r="DH87" s="704" t="n">
        <v>0</v>
      </c>
      <c r="DI87" s="704" t="n">
        <v>0</v>
      </c>
      <c r="DJ87" s="704" t="n">
        <v>0</v>
      </c>
      <c r="DK87" s="704" t="n">
        <v>0</v>
      </c>
      <c r="DL87" s="704" t="n">
        <v>0</v>
      </c>
      <c r="DM87" s="704" t="n">
        <v>0</v>
      </c>
    </row>
    <row r="88" ht="13.5" customHeight="1" s="355">
      <c r="B88" s="703" t="inlineStr">
        <is>
          <t>SLA Metric Reporting</t>
        </is>
      </c>
      <c r="D88" s="704" t="n">
        <v>0</v>
      </c>
      <c r="E88" s="704" t="n">
        <v>0</v>
      </c>
      <c r="F88" s="704" t="n">
        <v>0</v>
      </c>
      <c r="G88" s="704" t="n">
        <v>0</v>
      </c>
      <c r="H88" s="704" t="n">
        <v>0</v>
      </c>
      <c r="I88" s="704" t="n">
        <v>0</v>
      </c>
      <c r="J88" s="704" t="n">
        <v>0</v>
      </c>
      <c r="K88" s="704" t="n">
        <v>0</v>
      </c>
      <c r="L88" s="704" t="n">
        <v>0</v>
      </c>
      <c r="M88" s="704" t="n">
        <v>0</v>
      </c>
      <c r="N88" s="704" t="n">
        <v>0</v>
      </c>
      <c r="O88" s="704" t="n">
        <v>0</v>
      </c>
      <c r="P88" s="704" t="n">
        <v>0</v>
      </c>
      <c r="Q88" s="704" t="n">
        <v>0</v>
      </c>
      <c r="R88" s="704" t="n">
        <v>0</v>
      </c>
      <c r="S88" s="704" t="n">
        <v>0</v>
      </c>
      <c r="T88" s="704" t="n">
        <v>0</v>
      </c>
      <c r="U88" s="704" t="n">
        <v>0</v>
      </c>
      <c r="V88" s="704" t="n">
        <v>0</v>
      </c>
      <c r="W88" s="704" t="n">
        <v>0</v>
      </c>
      <c r="X88" s="704" t="n">
        <v>0</v>
      </c>
      <c r="Y88" s="704" t="n">
        <v>0</v>
      </c>
      <c r="Z88" s="704" t="n">
        <v>0</v>
      </c>
      <c r="AA88" s="704" t="n">
        <v>0</v>
      </c>
      <c r="AB88" s="704" t="n">
        <v>0</v>
      </c>
      <c r="AC88" s="704" t="n">
        <v>0</v>
      </c>
      <c r="AD88" s="704" t="n">
        <v>0</v>
      </c>
      <c r="AE88" s="704" t="n">
        <v>0</v>
      </c>
      <c r="AF88" s="704" t="n">
        <v>0</v>
      </c>
      <c r="AG88" s="704" t="n">
        <v>0</v>
      </c>
      <c r="AH88" s="704" t="n">
        <v>0</v>
      </c>
      <c r="AI88" s="704" t="n">
        <v>0</v>
      </c>
      <c r="AJ88" s="704" t="n">
        <v>0</v>
      </c>
      <c r="AK88" s="704" t="n">
        <v>0</v>
      </c>
      <c r="AL88" s="704" t="n">
        <v>0</v>
      </c>
      <c r="AM88" s="704" t="n">
        <v>0</v>
      </c>
      <c r="AN88" s="704" t="n">
        <v>0</v>
      </c>
      <c r="AO88" s="704" t="n">
        <v>0</v>
      </c>
      <c r="AP88" s="704" t="n">
        <v>0</v>
      </c>
      <c r="AQ88" s="704" t="n">
        <v>0</v>
      </c>
      <c r="AR88" s="704" t="n">
        <v>0</v>
      </c>
      <c r="AS88" s="704" t="n">
        <v>0</v>
      </c>
      <c r="AT88" s="704" t="n">
        <v>0</v>
      </c>
      <c r="AU88" s="704" t="n">
        <v>0</v>
      </c>
      <c r="AV88" s="704" t="n">
        <v>0</v>
      </c>
      <c r="AW88" s="704" t="n">
        <v>0</v>
      </c>
      <c r="AX88" s="704" t="n">
        <v>0</v>
      </c>
      <c r="AY88" s="704" t="n">
        <v>0</v>
      </c>
      <c r="AZ88" s="704" t="n">
        <v>0</v>
      </c>
      <c r="BA88" s="704" t="n">
        <v>0</v>
      </c>
      <c r="BB88" s="704" t="n">
        <v>0</v>
      </c>
      <c r="BC88" s="704" t="n">
        <v>0</v>
      </c>
      <c r="BD88" s="704" t="n">
        <v>0</v>
      </c>
      <c r="BE88" s="704" t="n">
        <v>0</v>
      </c>
      <c r="BF88" s="704" t="n">
        <v>0</v>
      </c>
      <c r="BG88" s="704" t="n">
        <v>0</v>
      </c>
      <c r="BH88" s="704" t="n">
        <v>0</v>
      </c>
      <c r="BI88" s="704" t="n">
        <v>0</v>
      </c>
      <c r="BJ88" s="704" t="n">
        <v>0</v>
      </c>
      <c r="BK88" s="704" t="n">
        <v>0</v>
      </c>
      <c r="BL88" s="704" t="n">
        <v>0</v>
      </c>
      <c r="BM88" s="704" t="n">
        <v>0</v>
      </c>
      <c r="BN88" s="704" t="n">
        <v>0</v>
      </c>
      <c r="BO88" s="704" t="n">
        <v>0</v>
      </c>
      <c r="BP88" s="704" t="n">
        <v>0</v>
      </c>
      <c r="BQ88" s="704" t="n">
        <v>0</v>
      </c>
      <c r="BR88" s="704" t="n">
        <v>0</v>
      </c>
      <c r="BS88" s="704" t="n">
        <v>0</v>
      </c>
      <c r="BT88" s="704" t="n">
        <v>0</v>
      </c>
      <c r="BU88" s="704" t="n">
        <v>0</v>
      </c>
      <c r="BV88" s="704" t="n">
        <v>0</v>
      </c>
      <c r="BW88" s="704" t="n">
        <v>0</v>
      </c>
      <c r="BX88" s="704" t="n">
        <v>0</v>
      </c>
      <c r="BY88" s="704" t="n">
        <v>0</v>
      </c>
      <c r="BZ88" s="704" t="n">
        <v>0</v>
      </c>
      <c r="CA88" s="704" t="n">
        <v>0</v>
      </c>
      <c r="CB88" s="704" t="n">
        <v>0</v>
      </c>
      <c r="CC88" s="704" t="n">
        <v>0</v>
      </c>
      <c r="CD88" s="704" t="n">
        <v>0</v>
      </c>
      <c r="CE88" s="704" t="n">
        <v>0</v>
      </c>
      <c r="CF88" s="704" t="n">
        <v>0</v>
      </c>
      <c r="CG88" s="704" t="n">
        <v>0</v>
      </c>
      <c r="CH88" s="704" t="n">
        <v>0</v>
      </c>
      <c r="CI88" s="704" t="n">
        <v>0</v>
      </c>
      <c r="CJ88" s="704" t="n">
        <v>0</v>
      </c>
      <c r="CK88" s="704" t="n">
        <v>0</v>
      </c>
      <c r="CL88" s="704" t="n">
        <v>0</v>
      </c>
      <c r="CM88" s="704" t="n">
        <v>0</v>
      </c>
      <c r="CN88" s="704" t="n">
        <v>0</v>
      </c>
      <c r="CO88" s="704" t="n">
        <v>0</v>
      </c>
      <c r="CP88" s="704" t="n">
        <v>0</v>
      </c>
      <c r="CQ88" s="704" t="n">
        <v>0</v>
      </c>
      <c r="CR88" s="704" t="n">
        <v>0</v>
      </c>
      <c r="CS88" s="704" t="n">
        <v>0</v>
      </c>
      <c r="CT88" s="704" t="n">
        <v>0</v>
      </c>
      <c r="CU88" s="704" t="n">
        <v>0</v>
      </c>
      <c r="CV88" s="704" t="n">
        <v>0</v>
      </c>
      <c r="CW88" s="704" t="n">
        <v>0</v>
      </c>
      <c r="CX88" s="704" t="n">
        <v>0</v>
      </c>
      <c r="CY88" s="704" t="n">
        <v>0</v>
      </c>
      <c r="CZ88" s="704" t="n">
        <v>0</v>
      </c>
      <c r="DA88" s="704" t="n">
        <v>0</v>
      </c>
      <c r="DB88" s="704" t="n">
        <v>0</v>
      </c>
      <c r="DC88" s="704" t="n">
        <v>0</v>
      </c>
      <c r="DD88" s="704" t="n">
        <v>0</v>
      </c>
      <c r="DE88" s="704" t="n">
        <v>0</v>
      </c>
      <c r="DF88" s="704" t="n">
        <v>0</v>
      </c>
      <c r="DG88" s="704" t="n">
        <v>0</v>
      </c>
      <c r="DH88" s="704" t="n">
        <v>0</v>
      </c>
      <c r="DI88" s="704" t="n">
        <v>0</v>
      </c>
      <c r="DJ88" s="704" t="n">
        <v>0</v>
      </c>
      <c r="DK88" s="704" t="n">
        <v>0</v>
      </c>
      <c r="DL88" s="704" t="n">
        <v>0</v>
      </c>
      <c r="DM88" s="704" t="n">
        <v>0</v>
      </c>
    </row>
    <row r="89" ht="13.5" customHeight="1" s="355">
      <c r="B89" s="705" t="inlineStr">
        <is>
          <t>Grand Total</t>
        </is>
      </c>
      <c r="C89" s="706" t="n"/>
      <c r="D89" s="707" t="n">
        <v>0</v>
      </c>
      <c r="E89" s="707" t="n">
        <v>0</v>
      </c>
      <c r="F89" s="707" t="n">
        <v>0</v>
      </c>
      <c r="G89" s="707" t="n">
        <v>0</v>
      </c>
      <c r="H89" s="707" t="n">
        <v>0</v>
      </c>
      <c r="I89" s="707" t="n">
        <v>0</v>
      </c>
      <c r="J89" s="707" t="n">
        <v>3.14971433508738</v>
      </c>
      <c r="K89" s="707" t="n">
        <v>3.14971433508738</v>
      </c>
      <c r="L89" s="707" t="n">
        <v>3.14971433508738</v>
      </c>
      <c r="M89" s="707" t="n">
        <v>4.77147611568449</v>
      </c>
      <c r="N89" s="707" t="n">
        <v>6.29187778499428</v>
      </c>
      <c r="O89" s="707" t="n">
        <v>4.16331544796058</v>
      </c>
      <c r="P89" s="707" t="n">
        <v>0</v>
      </c>
      <c r="Q89" s="707" t="n">
        <v>0</v>
      </c>
      <c r="R89" s="707" t="n">
        <v>0</v>
      </c>
      <c r="S89" s="707" t="n">
        <v>0</v>
      </c>
      <c r="T89" s="707" t="n">
        <v>0</v>
      </c>
      <c r="U89" s="707" t="n">
        <v>0</v>
      </c>
      <c r="V89" s="707" t="n">
        <v>0</v>
      </c>
      <c r="W89" s="707" t="n">
        <v>0</v>
      </c>
      <c r="X89" s="707" t="n">
        <v>0</v>
      </c>
      <c r="Y89" s="707" t="n">
        <v>0</v>
      </c>
      <c r="Z89" s="707" t="n">
        <v>0</v>
      </c>
      <c r="AA89" s="707" t="n">
        <v>0</v>
      </c>
      <c r="AB89" s="707" t="n">
        <v>0</v>
      </c>
      <c r="AC89" s="707" t="n">
        <v>0</v>
      </c>
      <c r="AD89" s="707" t="n">
        <v>0</v>
      </c>
      <c r="AE89" s="707" t="n">
        <v>0</v>
      </c>
      <c r="AF89" s="707" t="n">
        <v>0</v>
      </c>
      <c r="AG89" s="707" t="n">
        <v>0</v>
      </c>
      <c r="AH89" s="707" t="n">
        <v>0</v>
      </c>
      <c r="AI89" s="707" t="n">
        <v>0</v>
      </c>
      <c r="AJ89" s="707" t="n">
        <v>0</v>
      </c>
      <c r="AK89" s="707" t="n">
        <v>0</v>
      </c>
      <c r="AL89" s="707" t="n">
        <v>0</v>
      </c>
      <c r="AM89" s="707" t="n">
        <v>0</v>
      </c>
      <c r="AN89" s="707" t="n">
        <v>0</v>
      </c>
      <c r="AO89" s="707" t="n">
        <v>0</v>
      </c>
      <c r="AP89" s="707" t="n">
        <v>0</v>
      </c>
      <c r="AQ89" s="707" t="n">
        <v>0</v>
      </c>
      <c r="AR89" s="707" t="n">
        <v>0</v>
      </c>
      <c r="AS89" s="707" t="n">
        <v>0</v>
      </c>
      <c r="AT89" s="707" t="n">
        <v>0</v>
      </c>
      <c r="AU89" s="707" t="n">
        <v>0</v>
      </c>
      <c r="AV89" s="707" t="n">
        <v>0</v>
      </c>
      <c r="AW89" s="707" t="n">
        <v>0</v>
      </c>
      <c r="AX89" s="707" t="n">
        <v>0</v>
      </c>
      <c r="AY89" s="707" t="n">
        <v>0</v>
      </c>
      <c r="AZ89" s="707" t="n">
        <v>0</v>
      </c>
      <c r="BA89" s="707" t="n">
        <v>0</v>
      </c>
      <c r="BB89" s="707" t="n">
        <v>0</v>
      </c>
      <c r="BC89" s="707" t="n">
        <v>0</v>
      </c>
      <c r="BD89" s="707" t="n">
        <v>0</v>
      </c>
      <c r="BE89" s="707" t="n">
        <v>0</v>
      </c>
      <c r="BF89" s="707" t="n">
        <v>0</v>
      </c>
      <c r="BG89" s="707" t="n">
        <v>0</v>
      </c>
      <c r="BH89" s="707" t="n">
        <v>0</v>
      </c>
      <c r="BI89" s="707" t="n">
        <v>0</v>
      </c>
      <c r="BJ89" s="707" t="n">
        <v>0</v>
      </c>
      <c r="BK89" s="707" t="n">
        <v>0</v>
      </c>
      <c r="BL89" s="707" t="n">
        <v>0</v>
      </c>
      <c r="BM89" s="707" t="n">
        <v>0</v>
      </c>
      <c r="BN89" s="707" t="n">
        <v>0</v>
      </c>
      <c r="BO89" s="707" t="n">
        <v>0</v>
      </c>
      <c r="BP89" s="707" t="n">
        <v>0</v>
      </c>
      <c r="BQ89" s="707" t="n">
        <v>0</v>
      </c>
      <c r="BR89" s="707" t="n">
        <v>0</v>
      </c>
      <c r="BS89" s="707" t="n">
        <v>0</v>
      </c>
      <c r="BT89" s="707" t="n">
        <v>0</v>
      </c>
      <c r="BU89" s="707" t="n">
        <v>0</v>
      </c>
      <c r="BV89" s="707" t="n">
        <v>0</v>
      </c>
      <c r="BW89" s="707" t="n">
        <v>0</v>
      </c>
      <c r="BX89" s="707" t="n">
        <v>0</v>
      </c>
      <c r="BY89" s="707" t="n">
        <v>0</v>
      </c>
      <c r="BZ89" s="707" t="n">
        <v>0</v>
      </c>
      <c r="CA89" s="707" t="n">
        <v>0</v>
      </c>
      <c r="CB89" s="707" t="n">
        <v>0</v>
      </c>
      <c r="CC89" s="707" t="n">
        <v>0</v>
      </c>
      <c r="CD89" s="707" t="n">
        <v>0</v>
      </c>
      <c r="CE89" s="707" t="n">
        <v>0</v>
      </c>
      <c r="CF89" s="707" t="n">
        <v>0</v>
      </c>
      <c r="CG89" s="707" t="n">
        <v>0</v>
      </c>
      <c r="CH89" s="707" t="n">
        <v>0</v>
      </c>
      <c r="CI89" s="707" t="n">
        <v>0</v>
      </c>
      <c r="CJ89" s="707" t="n">
        <v>0</v>
      </c>
      <c r="CK89" s="707" t="n">
        <v>0</v>
      </c>
      <c r="CL89" s="707" t="n">
        <v>0</v>
      </c>
      <c r="CM89" s="707" t="n">
        <v>0</v>
      </c>
      <c r="CN89" s="707" t="n">
        <v>0</v>
      </c>
      <c r="CO89" s="707" t="n">
        <v>0</v>
      </c>
      <c r="CP89" s="707" t="n">
        <v>0</v>
      </c>
      <c r="CQ89" s="707" t="n">
        <v>0</v>
      </c>
      <c r="CR89" s="707" t="n">
        <v>0</v>
      </c>
      <c r="CS89" s="707" t="n">
        <v>0</v>
      </c>
      <c r="CT89" s="707" t="n">
        <v>0</v>
      </c>
      <c r="CU89" s="707" t="n">
        <v>0</v>
      </c>
      <c r="CV89" s="707" t="n">
        <v>0</v>
      </c>
      <c r="CW89" s="707" t="n">
        <v>0</v>
      </c>
      <c r="CX89" s="707" t="n">
        <v>0</v>
      </c>
      <c r="CY89" s="707" t="n">
        <v>0</v>
      </c>
      <c r="CZ89" s="707" t="n">
        <v>0</v>
      </c>
      <c r="DA89" s="707" t="n">
        <v>0</v>
      </c>
      <c r="DB89" s="707" t="n">
        <v>0</v>
      </c>
      <c r="DC89" s="707" t="n">
        <v>0</v>
      </c>
      <c r="DD89" s="707" t="n">
        <v>0</v>
      </c>
      <c r="DE89" s="707" t="n">
        <v>0</v>
      </c>
      <c r="DF89" s="707" t="n">
        <v>0</v>
      </c>
      <c r="DG89" s="707" t="n">
        <v>0</v>
      </c>
      <c r="DH89" s="707" t="n">
        <v>0</v>
      </c>
      <c r="DI89" s="707" t="n">
        <v>0</v>
      </c>
      <c r="DJ89" s="707" t="n">
        <v>0</v>
      </c>
      <c r="DK89" s="707" t="n">
        <v>0</v>
      </c>
      <c r="DL89" s="707" t="n">
        <v>0</v>
      </c>
      <c r="DM89" s="707" t="n">
        <v>0</v>
      </c>
    </row>
    <row r="90" ht="13.5" customHeight="1" s="355">
      <c r="A90" s="702" t="inlineStr">
        <is>
          <t>Country 9</t>
        </is>
      </c>
      <c r="B90" s="703" t="inlineStr">
        <is>
          <t>Gen Acctg</t>
        </is>
      </c>
      <c r="D90" s="704" t="n">
        <v>0</v>
      </c>
      <c r="E90" s="704" t="n">
        <v>0</v>
      </c>
      <c r="F90" s="704" t="n">
        <v>0</v>
      </c>
      <c r="G90" s="704" t="n">
        <v>0</v>
      </c>
      <c r="H90" s="704" t="n">
        <v>0</v>
      </c>
      <c r="I90" s="704" t="n">
        <v>0</v>
      </c>
      <c r="J90" s="704" t="n">
        <v>0</v>
      </c>
      <c r="K90" s="704" t="n">
        <v>0</v>
      </c>
      <c r="L90" s="704" t="n">
        <v>0</v>
      </c>
      <c r="M90" s="704" t="n">
        <v>0</v>
      </c>
      <c r="N90" s="704" t="n">
        <v>0</v>
      </c>
      <c r="O90" s="704" t="n">
        <v>0</v>
      </c>
      <c r="P90" s="704" t="n">
        <v>0</v>
      </c>
      <c r="Q90" s="704" t="n">
        <v>0</v>
      </c>
      <c r="R90" s="704" t="n">
        <v>0</v>
      </c>
      <c r="S90" s="704" t="n">
        <v>0</v>
      </c>
      <c r="T90" s="704" t="n">
        <v>0</v>
      </c>
      <c r="U90" s="704" t="n">
        <v>0</v>
      </c>
      <c r="V90" s="704" t="n">
        <v>0</v>
      </c>
      <c r="W90" s="704" t="n">
        <v>0</v>
      </c>
      <c r="X90" s="704" t="n">
        <v>0</v>
      </c>
      <c r="Y90" s="704" t="n">
        <v>0</v>
      </c>
      <c r="Z90" s="704" t="n">
        <v>0</v>
      </c>
      <c r="AA90" s="704" t="n">
        <v>0</v>
      </c>
      <c r="AB90" s="704" t="n">
        <v>0</v>
      </c>
      <c r="AC90" s="704" t="n">
        <v>0</v>
      </c>
      <c r="AD90" s="704" t="n">
        <v>0</v>
      </c>
      <c r="AE90" s="704" t="n">
        <v>0</v>
      </c>
      <c r="AF90" s="704" t="n">
        <v>0</v>
      </c>
      <c r="AG90" s="704" t="n">
        <v>0</v>
      </c>
      <c r="AH90" s="704" t="n">
        <v>0</v>
      </c>
      <c r="AI90" s="704" t="n">
        <v>0</v>
      </c>
      <c r="AJ90" s="704" t="n">
        <v>0</v>
      </c>
      <c r="AK90" s="704" t="n">
        <v>0</v>
      </c>
      <c r="AL90" s="704" t="n">
        <v>0</v>
      </c>
      <c r="AM90" s="704" t="n">
        <v>0</v>
      </c>
      <c r="AN90" s="704" t="n">
        <v>0</v>
      </c>
      <c r="AO90" s="704" t="n">
        <v>0</v>
      </c>
      <c r="AP90" s="704" t="n">
        <v>0</v>
      </c>
      <c r="AQ90" s="704" t="n">
        <v>0</v>
      </c>
      <c r="AR90" s="704" t="n">
        <v>0</v>
      </c>
      <c r="AS90" s="704" t="n">
        <v>0</v>
      </c>
      <c r="AT90" s="704" t="n">
        <v>0</v>
      </c>
      <c r="AU90" s="704" t="n">
        <v>0</v>
      </c>
      <c r="AV90" s="704" t="n">
        <v>0</v>
      </c>
      <c r="AW90" s="704" t="n">
        <v>0</v>
      </c>
      <c r="AX90" s="704" t="n">
        <v>0</v>
      </c>
      <c r="AY90" s="704" t="n">
        <v>0</v>
      </c>
      <c r="AZ90" s="704" t="n">
        <v>0</v>
      </c>
      <c r="BA90" s="704" t="n">
        <v>0</v>
      </c>
      <c r="BB90" s="704" t="n">
        <v>0</v>
      </c>
      <c r="BC90" s="704" t="n">
        <v>0</v>
      </c>
      <c r="BD90" s="704" t="n">
        <v>0</v>
      </c>
      <c r="BE90" s="704" t="n">
        <v>0</v>
      </c>
      <c r="BF90" s="704" t="n">
        <v>0</v>
      </c>
      <c r="BG90" s="704" t="n">
        <v>0</v>
      </c>
      <c r="BH90" s="704" t="n">
        <v>0</v>
      </c>
      <c r="BI90" s="704" t="n">
        <v>0</v>
      </c>
      <c r="BJ90" s="704" t="n">
        <v>0</v>
      </c>
      <c r="BK90" s="704" t="n">
        <v>0</v>
      </c>
      <c r="BL90" s="704" t="n">
        <v>0</v>
      </c>
      <c r="BM90" s="704" t="n">
        <v>0</v>
      </c>
      <c r="BN90" s="704" t="n">
        <v>0</v>
      </c>
      <c r="BO90" s="704" t="n">
        <v>0</v>
      </c>
      <c r="BP90" s="704" t="n">
        <v>0</v>
      </c>
      <c r="BQ90" s="704" t="n">
        <v>0</v>
      </c>
      <c r="BR90" s="704" t="n">
        <v>0</v>
      </c>
      <c r="BS90" s="704" t="n">
        <v>0</v>
      </c>
      <c r="BT90" s="704" t="n">
        <v>0</v>
      </c>
      <c r="BU90" s="704" t="n">
        <v>0</v>
      </c>
      <c r="BV90" s="704" t="n">
        <v>0</v>
      </c>
      <c r="BW90" s="704" t="n">
        <v>0</v>
      </c>
      <c r="BX90" s="704" t="n">
        <v>0</v>
      </c>
      <c r="BY90" s="704" t="n">
        <v>0</v>
      </c>
      <c r="BZ90" s="704" t="n">
        <v>0</v>
      </c>
      <c r="CA90" s="704" t="n">
        <v>0</v>
      </c>
      <c r="CB90" s="704" t="n">
        <v>0</v>
      </c>
      <c r="CC90" s="704" t="n">
        <v>0</v>
      </c>
      <c r="CD90" s="704" t="n">
        <v>0</v>
      </c>
      <c r="CE90" s="704" t="n">
        <v>0</v>
      </c>
      <c r="CF90" s="704" t="n">
        <v>0</v>
      </c>
      <c r="CG90" s="704" t="n">
        <v>0</v>
      </c>
      <c r="CH90" s="704" t="n">
        <v>0</v>
      </c>
      <c r="CI90" s="704" t="n">
        <v>0</v>
      </c>
      <c r="CJ90" s="704" t="n">
        <v>0</v>
      </c>
      <c r="CK90" s="704" t="n">
        <v>0</v>
      </c>
      <c r="CL90" s="704" t="n">
        <v>0</v>
      </c>
      <c r="CM90" s="704" t="n">
        <v>0</v>
      </c>
      <c r="CN90" s="704" t="n">
        <v>0</v>
      </c>
      <c r="CO90" s="704" t="n">
        <v>0</v>
      </c>
      <c r="CP90" s="704" t="n">
        <v>0</v>
      </c>
      <c r="CQ90" s="704" t="n">
        <v>0</v>
      </c>
      <c r="CR90" s="704" t="n">
        <v>0</v>
      </c>
      <c r="CS90" s="704" t="n">
        <v>0</v>
      </c>
      <c r="CT90" s="704" t="n">
        <v>0</v>
      </c>
      <c r="CU90" s="704" t="n">
        <v>0</v>
      </c>
      <c r="CV90" s="704" t="n">
        <v>0</v>
      </c>
      <c r="CW90" s="704" t="n">
        <v>0</v>
      </c>
      <c r="CX90" s="704" t="n">
        <v>0</v>
      </c>
      <c r="CY90" s="704" t="n">
        <v>0</v>
      </c>
      <c r="CZ90" s="704" t="n">
        <v>0</v>
      </c>
      <c r="DA90" s="704" t="n">
        <v>0</v>
      </c>
      <c r="DB90" s="704" t="n">
        <v>0</v>
      </c>
      <c r="DC90" s="704" t="n">
        <v>0</v>
      </c>
      <c r="DD90" s="704" t="n">
        <v>0</v>
      </c>
      <c r="DE90" s="704" t="n">
        <v>0</v>
      </c>
      <c r="DF90" s="704" t="n">
        <v>0</v>
      </c>
      <c r="DG90" s="704" t="n">
        <v>0</v>
      </c>
      <c r="DH90" s="704" t="n">
        <v>0</v>
      </c>
      <c r="DI90" s="704" t="n">
        <v>0</v>
      </c>
      <c r="DJ90" s="704" t="n">
        <v>0</v>
      </c>
      <c r="DK90" s="704" t="n">
        <v>0</v>
      </c>
      <c r="DL90" s="704" t="n">
        <v>0</v>
      </c>
      <c r="DM90" s="704" t="n">
        <v>0</v>
      </c>
    </row>
    <row r="91" ht="13.5" customHeight="1" s="355">
      <c r="B91" s="703" t="inlineStr">
        <is>
          <t>Reporting</t>
        </is>
      </c>
      <c r="D91" s="704" t="n">
        <v>0</v>
      </c>
      <c r="E91" s="704" t="n">
        <v>0</v>
      </c>
      <c r="F91" s="704" t="n">
        <v>0</v>
      </c>
      <c r="G91" s="704" t="n">
        <v>0</v>
      </c>
      <c r="H91" s="704" t="n">
        <v>0</v>
      </c>
      <c r="I91" s="704" t="n">
        <v>0</v>
      </c>
      <c r="J91" s="704" t="n">
        <v>0</v>
      </c>
      <c r="K91" s="704" t="n">
        <v>0</v>
      </c>
      <c r="L91" s="704" t="n">
        <v>0</v>
      </c>
      <c r="M91" s="704" t="n">
        <v>0</v>
      </c>
      <c r="N91" s="704" t="n">
        <v>0</v>
      </c>
      <c r="O91" s="704" t="n">
        <v>0</v>
      </c>
      <c r="P91" s="704" t="n">
        <v>0</v>
      </c>
      <c r="Q91" s="704" t="n">
        <v>0</v>
      </c>
      <c r="R91" s="704" t="n">
        <v>0</v>
      </c>
      <c r="S91" s="704" t="n">
        <v>0</v>
      </c>
      <c r="T91" s="704" t="n">
        <v>0</v>
      </c>
      <c r="U91" s="704" t="n">
        <v>0</v>
      </c>
      <c r="V91" s="704" t="n">
        <v>0</v>
      </c>
      <c r="W91" s="704" t="n">
        <v>0</v>
      </c>
      <c r="X91" s="704" t="n">
        <v>0</v>
      </c>
      <c r="Y91" s="704" t="n">
        <v>0</v>
      </c>
      <c r="Z91" s="704" t="n">
        <v>0</v>
      </c>
      <c r="AA91" s="704" t="n">
        <v>0</v>
      </c>
      <c r="AB91" s="704" t="n">
        <v>0</v>
      </c>
      <c r="AC91" s="704" t="n">
        <v>0</v>
      </c>
      <c r="AD91" s="704" t="n">
        <v>0</v>
      </c>
      <c r="AE91" s="704" t="n">
        <v>0</v>
      </c>
      <c r="AF91" s="704" t="n">
        <v>0</v>
      </c>
      <c r="AG91" s="704" t="n">
        <v>0</v>
      </c>
      <c r="AH91" s="704" t="n">
        <v>0</v>
      </c>
      <c r="AI91" s="704" t="n">
        <v>0</v>
      </c>
      <c r="AJ91" s="704" t="n">
        <v>0</v>
      </c>
      <c r="AK91" s="704" t="n">
        <v>0</v>
      </c>
      <c r="AL91" s="704" t="n">
        <v>0</v>
      </c>
      <c r="AM91" s="704" t="n">
        <v>0</v>
      </c>
      <c r="AN91" s="704" t="n">
        <v>0</v>
      </c>
      <c r="AO91" s="704" t="n">
        <v>0</v>
      </c>
      <c r="AP91" s="704" t="n">
        <v>0</v>
      </c>
      <c r="AQ91" s="704" t="n">
        <v>0</v>
      </c>
      <c r="AR91" s="704" t="n">
        <v>0</v>
      </c>
      <c r="AS91" s="704" t="n">
        <v>0</v>
      </c>
      <c r="AT91" s="704" t="n">
        <v>0</v>
      </c>
      <c r="AU91" s="704" t="n">
        <v>0</v>
      </c>
      <c r="AV91" s="704" t="n">
        <v>0</v>
      </c>
      <c r="AW91" s="704" t="n">
        <v>0</v>
      </c>
      <c r="AX91" s="704" t="n">
        <v>0</v>
      </c>
      <c r="AY91" s="704" t="n">
        <v>0</v>
      </c>
      <c r="AZ91" s="704" t="n">
        <v>0</v>
      </c>
      <c r="BA91" s="704" t="n">
        <v>0</v>
      </c>
      <c r="BB91" s="704" t="n">
        <v>0</v>
      </c>
      <c r="BC91" s="704" t="n">
        <v>0</v>
      </c>
      <c r="BD91" s="704" t="n">
        <v>0</v>
      </c>
      <c r="BE91" s="704" t="n">
        <v>0</v>
      </c>
      <c r="BF91" s="704" t="n">
        <v>0</v>
      </c>
      <c r="BG91" s="704" t="n">
        <v>0</v>
      </c>
      <c r="BH91" s="704" t="n">
        <v>0</v>
      </c>
      <c r="BI91" s="704" t="n">
        <v>0</v>
      </c>
      <c r="BJ91" s="704" t="n">
        <v>0</v>
      </c>
      <c r="BK91" s="704" t="n">
        <v>0</v>
      </c>
      <c r="BL91" s="704" t="n">
        <v>0</v>
      </c>
      <c r="BM91" s="704" t="n">
        <v>0</v>
      </c>
      <c r="BN91" s="704" t="n">
        <v>0</v>
      </c>
      <c r="BO91" s="704" t="n">
        <v>0</v>
      </c>
      <c r="BP91" s="704" t="n">
        <v>0</v>
      </c>
      <c r="BQ91" s="704" t="n">
        <v>0</v>
      </c>
      <c r="BR91" s="704" t="n">
        <v>0</v>
      </c>
      <c r="BS91" s="704" t="n">
        <v>0</v>
      </c>
      <c r="BT91" s="704" t="n">
        <v>0</v>
      </c>
      <c r="BU91" s="704" t="n">
        <v>0</v>
      </c>
      <c r="BV91" s="704" t="n">
        <v>0</v>
      </c>
      <c r="BW91" s="704" t="n">
        <v>0</v>
      </c>
      <c r="BX91" s="704" t="n">
        <v>0</v>
      </c>
      <c r="BY91" s="704" t="n">
        <v>0</v>
      </c>
      <c r="BZ91" s="704" t="n">
        <v>0</v>
      </c>
      <c r="CA91" s="704" t="n">
        <v>0</v>
      </c>
      <c r="CB91" s="704" t="n">
        <v>0</v>
      </c>
      <c r="CC91" s="704" t="n">
        <v>0</v>
      </c>
      <c r="CD91" s="704" t="n">
        <v>0</v>
      </c>
      <c r="CE91" s="704" t="n">
        <v>0</v>
      </c>
      <c r="CF91" s="704" t="n">
        <v>0</v>
      </c>
      <c r="CG91" s="704" t="n">
        <v>0</v>
      </c>
      <c r="CH91" s="704" t="n">
        <v>0</v>
      </c>
      <c r="CI91" s="704" t="n">
        <v>0</v>
      </c>
      <c r="CJ91" s="704" t="n">
        <v>0</v>
      </c>
      <c r="CK91" s="704" t="n">
        <v>0</v>
      </c>
      <c r="CL91" s="704" t="n">
        <v>0</v>
      </c>
      <c r="CM91" s="704" t="n">
        <v>0</v>
      </c>
      <c r="CN91" s="704" t="n">
        <v>0</v>
      </c>
      <c r="CO91" s="704" t="n">
        <v>0</v>
      </c>
      <c r="CP91" s="704" t="n">
        <v>0</v>
      </c>
      <c r="CQ91" s="704" t="n">
        <v>0</v>
      </c>
      <c r="CR91" s="704" t="n">
        <v>0</v>
      </c>
      <c r="CS91" s="704" t="n">
        <v>0</v>
      </c>
      <c r="CT91" s="704" t="n">
        <v>0</v>
      </c>
      <c r="CU91" s="704" t="n">
        <v>0</v>
      </c>
      <c r="CV91" s="704" t="n">
        <v>0</v>
      </c>
      <c r="CW91" s="704" t="n">
        <v>0</v>
      </c>
      <c r="CX91" s="704" t="n">
        <v>0</v>
      </c>
      <c r="CY91" s="704" t="n">
        <v>0</v>
      </c>
      <c r="CZ91" s="704" t="n">
        <v>0</v>
      </c>
      <c r="DA91" s="704" t="n">
        <v>0</v>
      </c>
      <c r="DB91" s="704" t="n">
        <v>0</v>
      </c>
      <c r="DC91" s="704" t="n">
        <v>0</v>
      </c>
      <c r="DD91" s="704" t="n">
        <v>0</v>
      </c>
      <c r="DE91" s="704" t="n">
        <v>0</v>
      </c>
      <c r="DF91" s="704" t="n">
        <v>0</v>
      </c>
      <c r="DG91" s="704" t="n">
        <v>0</v>
      </c>
      <c r="DH91" s="704" t="n">
        <v>0</v>
      </c>
      <c r="DI91" s="704" t="n">
        <v>0</v>
      </c>
      <c r="DJ91" s="704" t="n">
        <v>0</v>
      </c>
      <c r="DK91" s="704" t="n">
        <v>0</v>
      </c>
      <c r="DL91" s="704" t="n">
        <v>0</v>
      </c>
      <c r="DM91" s="704" t="n">
        <v>0</v>
      </c>
    </row>
    <row r="92" ht="13.5" customHeight="1" s="355">
      <c r="B92" s="703" t="inlineStr">
        <is>
          <t>Fixed Assets</t>
        </is>
      </c>
      <c r="D92" s="704" t="n">
        <v>0</v>
      </c>
      <c r="E92" s="704" t="n">
        <v>0</v>
      </c>
      <c r="F92" s="704" t="n">
        <v>0</v>
      </c>
      <c r="G92" s="704" t="n">
        <v>0</v>
      </c>
      <c r="H92" s="704" t="n">
        <v>0</v>
      </c>
      <c r="I92" s="704" t="n">
        <v>0</v>
      </c>
      <c r="J92" s="704" t="n">
        <v>0</v>
      </c>
      <c r="K92" s="704" t="n">
        <v>0</v>
      </c>
      <c r="L92" s="704" t="n">
        <v>0</v>
      </c>
      <c r="M92" s="704" t="n">
        <v>0</v>
      </c>
      <c r="N92" s="704" t="n">
        <v>0</v>
      </c>
      <c r="O92" s="704" t="n">
        <v>0</v>
      </c>
      <c r="P92" s="704" t="n">
        <v>0</v>
      </c>
      <c r="Q92" s="704" t="n">
        <v>0</v>
      </c>
      <c r="R92" s="704" t="n">
        <v>0</v>
      </c>
      <c r="S92" s="704" t="n">
        <v>0</v>
      </c>
      <c r="T92" s="704" t="n">
        <v>0</v>
      </c>
      <c r="U92" s="704" t="n">
        <v>0</v>
      </c>
      <c r="V92" s="704" t="n">
        <v>0</v>
      </c>
      <c r="W92" s="704" t="n">
        <v>0</v>
      </c>
      <c r="X92" s="704" t="n">
        <v>0</v>
      </c>
      <c r="Y92" s="704" t="n">
        <v>0</v>
      </c>
      <c r="Z92" s="704" t="n">
        <v>0</v>
      </c>
      <c r="AA92" s="704" t="n">
        <v>0</v>
      </c>
      <c r="AB92" s="704" t="n">
        <v>0</v>
      </c>
      <c r="AC92" s="704" t="n">
        <v>0</v>
      </c>
      <c r="AD92" s="704" t="n">
        <v>0</v>
      </c>
      <c r="AE92" s="704" t="n">
        <v>0</v>
      </c>
      <c r="AF92" s="704" t="n">
        <v>0</v>
      </c>
      <c r="AG92" s="704" t="n">
        <v>0</v>
      </c>
      <c r="AH92" s="704" t="n">
        <v>0</v>
      </c>
      <c r="AI92" s="704" t="n">
        <v>0</v>
      </c>
      <c r="AJ92" s="704" t="n">
        <v>0</v>
      </c>
      <c r="AK92" s="704" t="n">
        <v>0</v>
      </c>
      <c r="AL92" s="704" t="n">
        <v>0</v>
      </c>
      <c r="AM92" s="704" t="n">
        <v>0</v>
      </c>
      <c r="AN92" s="704" t="n">
        <v>0</v>
      </c>
      <c r="AO92" s="704" t="n">
        <v>0</v>
      </c>
      <c r="AP92" s="704" t="n">
        <v>0</v>
      </c>
      <c r="AQ92" s="704" t="n">
        <v>0</v>
      </c>
      <c r="AR92" s="704" t="n">
        <v>0</v>
      </c>
      <c r="AS92" s="704" t="n">
        <v>0</v>
      </c>
      <c r="AT92" s="704" t="n">
        <v>0</v>
      </c>
      <c r="AU92" s="704" t="n">
        <v>0</v>
      </c>
      <c r="AV92" s="704" t="n">
        <v>0</v>
      </c>
      <c r="AW92" s="704" t="n">
        <v>0</v>
      </c>
      <c r="AX92" s="704" t="n">
        <v>0</v>
      </c>
      <c r="AY92" s="704" t="n">
        <v>0</v>
      </c>
      <c r="AZ92" s="704" t="n">
        <v>0</v>
      </c>
      <c r="BA92" s="704" t="n">
        <v>0</v>
      </c>
      <c r="BB92" s="704" t="n">
        <v>0</v>
      </c>
      <c r="BC92" s="704" t="n">
        <v>0</v>
      </c>
      <c r="BD92" s="704" t="n">
        <v>0</v>
      </c>
      <c r="BE92" s="704" t="n">
        <v>0</v>
      </c>
      <c r="BF92" s="704" t="n">
        <v>0</v>
      </c>
      <c r="BG92" s="704" t="n">
        <v>0</v>
      </c>
      <c r="BH92" s="704" t="n">
        <v>0</v>
      </c>
      <c r="BI92" s="704" t="n">
        <v>0</v>
      </c>
      <c r="BJ92" s="704" t="n">
        <v>0</v>
      </c>
      <c r="BK92" s="704" t="n">
        <v>0</v>
      </c>
      <c r="BL92" s="704" t="n">
        <v>0</v>
      </c>
      <c r="BM92" s="704" t="n">
        <v>0</v>
      </c>
      <c r="BN92" s="704" t="n">
        <v>0</v>
      </c>
      <c r="BO92" s="704" t="n">
        <v>0</v>
      </c>
      <c r="BP92" s="704" t="n">
        <v>0</v>
      </c>
      <c r="BQ92" s="704" t="n">
        <v>0</v>
      </c>
      <c r="BR92" s="704" t="n">
        <v>0</v>
      </c>
      <c r="BS92" s="704" t="n">
        <v>0</v>
      </c>
      <c r="BT92" s="704" t="n">
        <v>0</v>
      </c>
      <c r="BU92" s="704" t="n">
        <v>0</v>
      </c>
      <c r="BV92" s="704" t="n">
        <v>0</v>
      </c>
      <c r="BW92" s="704" t="n">
        <v>0</v>
      </c>
      <c r="BX92" s="704" t="n">
        <v>0</v>
      </c>
      <c r="BY92" s="704" t="n">
        <v>0</v>
      </c>
      <c r="BZ92" s="704" t="n">
        <v>0</v>
      </c>
      <c r="CA92" s="704" t="n">
        <v>0</v>
      </c>
      <c r="CB92" s="704" t="n">
        <v>0</v>
      </c>
      <c r="CC92" s="704" t="n">
        <v>0</v>
      </c>
      <c r="CD92" s="704" t="n">
        <v>0</v>
      </c>
      <c r="CE92" s="704" t="n">
        <v>0</v>
      </c>
      <c r="CF92" s="704" t="n">
        <v>0</v>
      </c>
      <c r="CG92" s="704" t="n">
        <v>0</v>
      </c>
      <c r="CH92" s="704" t="n">
        <v>0</v>
      </c>
      <c r="CI92" s="704" t="n">
        <v>0</v>
      </c>
      <c r="CJ92" s="704" t="n">
        <v>0</v>
      </c>
      <c r="CK92" s="704" t="n">
        <v>0</v>
      </c>
      <c r="CL92" s="704" t="n">
        <v>0</v>
      </c>
      <c r="CM92" s="704" t="n">
        <v>0</v>
      </c>
      <c r="CN92" s="704" t="n">
        <v>0</v>
      </c>
      <c r="CO92" s="704" t="n">
        <v>0</v>
      </c>
      <c r="CP92" s="704" t="n">
        <v>0</v>
      </c>
      <c r="CQ92" s="704" t="n">
        <v>0</v>
      </c>
      <c r="CR92" s="704" t="n">
        <v>0</v>
      </c>
      <c r="CS92" s="704" t="n">
        <v>0</v>
      </c>
      <c r="CT92" s="704" t="n">
        <v>0</v>
      </c>
      <c r="CU92" s="704" t="n">
        <v>0</v>
      </c>
      <c r="CV92" s="704" t="n">
        <v>0</v>
      </c>
      <c r="CW92" s="704" t="n">
        <v>0</v>
      </c>
      <c r="CX92" s="704" t="n">
        <v>0</v>
      </c>
      <c r="CY92" s="704" t="n">
        <v>0</v>
      </c>
      <c r="CZ92" s="704" t="n">
        <v>0</v>
      </c>
      <c r="DA92" s="704" t="n">
        <v>0</v>
      </c>
      <c r="DB92" s="704" t="n">
        <v>0</v>
      </c>
      <c r="DC92" s="704" t="n">
        <v>0</v>
      </c>
      <c r="DD92" s="704" t="n">
        <v>0</v>
      </c>
      <c r="DE92" s="704" t="n">
        <v>0</v>
      </c>
      <c r="DF92" s="704" t="n">
        <v>0</v>
      </c>
      <c r="DG92" s="704" t="n">
        <v>0</v>
      </c>
      <c r="DH92" s="704" t="n">
        <v>0</v>
      </c>
      <c r="DI92" s="704" t="n">
        <v>0</v>
      </c>
      <c r="DJ92" s="704" t="n">
        <v>0</v>
      </c>
      <c r="DK92" s="704" t="n">
        <v>0</v>
      </c>
      <c r="DL92" s="704" t="n">
        <v>0</v>
      </c>
      <c r="DM92" s="704" t="n">
        <v>0</v>
      </c>
    </row>
    <row r="93" ht="13.5" customHeight="1" s="355">
      <c r="B93" s="703" t="inlineStr">
        <is>
          <t>Acct Payable</t>
        </is>
      </c>
      <c r="D93" s="704" t="n">
        <v>0</v>
      </c>
      <c r="E93" s="704" t="n">
        <v>0</v>
      </c>
      <c r="F93" s="704" t="n">
        <v>0</v>
      </c>
      <c r="G93" s="704" t="n">
        <v>0</v>
      </c>
      <c r="H93" s="704" t="n">
        <v>0</v>
      </c>
      <c r="I93" s="704" t="n">
        <v>0</v>
      </c>
      <c r="J93" s="704" t="n">
        <v>0</v>
      </c>
      <c r="K93" s="704" t="n">
        <v>0</v>
      </c>
      <c r="L93" s="704" t="n">
        <v>0</v>
      </c>
      <c r="M93" s="704" t="n">
        <v>0</v>
      </c>
      <c r="N93" s="704" t="n">
        <v>0</v>
      </c>
      <c r="O93" s="704" t="n">
        <v>0</v>
      </c>
      <c r="P93" s="704" t="n">
        <v>0</v>
      </c>
      <c r="Q93" s="704" t="n">
        <v>0</v>
      </c>
      <c r="R93" s="704" t="n">
        <v>0</v>
      </c>
      <c r="S93" s="704" t="n">
        <v>0</v>
      </c>
      <c r="T93" s="704" t="n">
        <v>0</v>
      </c>
      <c r="U93" s="704" t="n">
        <v>0</v>
      </c>
      <c r="V93" s="704" t="n">
        <v>0</v>
      </c>
      <c r="W93" s="704" t="n">
        <v>0</v>
      </c>
      <c r="X93" s="704" t="n">
        <v>0</v>
      </c>
      <c r="Y93" s="704" t="n">
        <v>0</v>
      </c>
      <c r="Z93" s="704" t="n">
        <v>0</v>
      </c>
      <c r="AA93" s="704" t="n">
        <v>0</v>
      </c>
      <c r="AB93" s="704" t="n">
        <v>0</v>
      </c>
      <c r="AC93" s="704" t="n">
        <v>0</v>
      </c>
      <c r="AD93" s="704" t="n">
        <v>0</v>
      </c>
      <c r="AE93" s="704" t="n">
        <v>0</v>
      </c>
      <c r="AF93" s="704" t="n">
        <v>0</v>
      </c>
      <c r="AG93" s="704" t="n">
        <v>0</v>
      </c>
      <c r="AH93" s="704" t="n">
        <v>0</v>
      </c>
      <c r="AI93" s="704" t="n">
        <v>0</v>
      </c>
      <c r="AJ93" s="704" t="n">
        <v>0</v>
      </c>
      <c r="AK93" s="704" t="n">
        <v>0</v>
      </c>
      <c r="AL93" s="704" t="n">
        <v>0</v>
      </c>
      <c r="AM93" s="704" t="n">
        <v>0</v>
      </c>
      <c r="AN93" s="704" t="n">
        <v>0</v>
      </c>
      <c r="AO93" s="704" t="n">
        <v>0</v>
      </c>
      <c r="AP93" s="704" t="n">
        <v>0</v>
      </c>
      <c r="AQ93" s="704" t="n">
        <v>0</v>
      </c>
      <c r="AR93" s="704" t="n">
        <v>0</v>
      </c>
      <c r="AS93" s="704" t="n">
        <v>0</v>
      </c>
      <c r="AT93" s="704" t="n">
        <v>0</v>
      </c>
      <c r="AU93" s="704" t="n">
        <v>0</v>
      </c>
      <c r="AV93" s="704" t="n">
        <v>0</v>
      </c>
      <c r="AW93" s="704" t="n">
        <v>0</v>
      </c>
      <c r="AX93" s="704" t="n">
        <v>0</v>
      </c>
      <c r="AY93" s="704" t="n">
        <v>0</v>
      </c>
      <c r="AZ93" s="704" t="n">
        <v>0</v>
      </c>
      <c r="BA93" s="704" t="n">
        <v>0</v>
      </c>
      <c r="BB93" s="704" t="n">
        <v>0</v>
      </c>
      <c r="BC93" s="704" t="n">
        <v>0</v>
      </c>
      <c r="BD93" s="704" t="n">
        <v>0</v>
      </c>
      <c r="BE93" s="704" t="n">
        <v>0</v>
      </c>
      <c r="BF93" s="704" t="n">
        <v>0</v>
      </c>
      <c r="BG93" s="704" t="n">
        <v>0</v>
      </c>
      <c r="BH93" s="704" t="n">
        <v>0</v>
      </c>
      <c r="BI93" s="704" t="n">
        <v>0</v>
      </c>
      <c r="BJ93" s="704" t="n">
        <v>0</v>
      </c>
      <c r="BK93" s="704" t="n">
        <v>0</v>
      </c>
      <c r="BL93" s="704" t="n">
        <v>0</v>
      </c>
      <c r="BM93" s="704" t="n">
        <v>0</v>
      </c>
      <c r="BN93" s="704" t="n">
        <v>0</v>
      </c>
      <c r="BO93" s="704" t="n">
        <v>0</v>
      </c>
      <c r="BP93" s="704" t="n">
        <v>0</v>
      </c>
      <c r="BQ93" s="704" t="n">
        <v>0</v>
      </c>
      <c r="BR93" s="704" t="n">
        <v>0</v>
      </c>
      <c r="BS93" s="704" t="n">
        <v>0</v>
      </c>
      <c r="BT93" s="704" t="n">
        <v>0</v>
      </c>
      <c r="BU93" s="704" t="n">
        <v>0</v>
      </c>
      <c r="BV93" s="704" t="n">
        <v>0</v>
      </c>
      <c r="BW93" s="704" t="n">
        <v>0</v>
      </c>
      <c r="BX93" s="704" t="n">
        <v>0</v>
      </c>
      <c r="BY93" s="704" t="n">
        <v>0</v>
      </c>
      <c r="BZ93" s="704" t="n">
        <v>0</v>
      </c>
      <c r="CA93" s="704" t="n">
        <v>0</v>
      </c>
      <c r="CB93" s="704" t="n">
        <v>0</v>
      </c>
      <c r="CC93" s="704" t="n">
        <v>0</v>
      </c>
      <c r="CD93" s="704" t="n">
        <v>0</v>
      </c>
      <c r="CE93" s="704" t="n">
        <v>0</v>
      </c>
      <c r="CF93" s="704" t="n">
        <v>0</v>
      </c>
      <c r="CG93" s="704" t="n">
        <v>0</v>
      </c>
      <c r="CH93" s="704" t="n">
        <v>0</v>
      </c>
      <c r="CI93" s="704" t="n">
        <v>0</v>
      </c>
      <c r="CJ93" s="704" t="n">
        <v>0</v>
      </c>
      <c r="CK93" s="704" t="n">
        <v>0</v>
      </c>
      <c r="CL93" s="704" t="n">
        <v>0</v>
      </c>
      <c r="CM93" s="704" t="n">
        <v>0</v>
      </c>
      <c r="CN93" s="704" t="n">
        <v>0</v>
      </c>
      <c r="CO93" s="704" t="n">
        <v>0</v>
      </c>
      <c r="CP93" s="704" t="n">
        <v>0</v>
      </c>
      <c r="CQ93" s="704" t="n">
        <v>0</v>
      </c>
      <c r="CR93" s="704" t="n">
        <v>0</v>
      </c>
      <c r="CS93" s="704" t="n">
        <v>0</v>
      </c>
      <c r="CT93" s="704" t="n">
        <v>0</v>
      </c>
      <c r="CU93" s="704" t="n">
        <v>0</v>
      </c>
      <c r="CV93" s="704" t="n">
        <v>0</v>
      </c>
      <c r="CW93" s="704" t="n">
        <v>0</v>
      </c>
      <c r="CX93" s="704" t="n">
        <v>0</v>
      </c>
      <c r="CY93" s="704" t="n">
        <v>0</v>
      </c>
      <c r="CZ93" s="704" t="n">
        <v>0</v>
      </c>
      <c r="DA93" s="704" t="n">
        <v>0</v>
      </c>
      <c r="DB93" s="704" t="n">
        <v>0</v>
      </c>
      <c r="DC93" s="704" t="n">
        <v>0</v>
      </c>
      <c r="DD93" s="704" t="n">
        <v>0</v>
      </c>
      <c r="DE93" s="704" t="n">
        <v>0</v>
      </c>
      <c r="DF93" s="704" t="n">
        <v>0</v>
      </c>
      <c r="DG93" s="704" t="n">
        <v>0</v>
      </c>
      <c r="DH93" s="704" t="n">
        <v>0</v>
      </c>
      <c r="DI93" s="704" t="n">
        <v>0</v>
      </c>
      <c r="DJ93" s="704" t="n">
        <v>0</v>
      </c>
      <c r="DK93" s="704" t="n">
        <v>0</v>
      </c>
      <c r="DL93" s="704" t="n">
        <v>0</v>
      </c>
      <c r="DM93" s="704" t="n">
        <v>0</v>
      </c>
    </row>
    <row r="94" ht="13.5" customHeight="1" s="355">
      <c r="B94" s="703" t="inlineStr">
        <is>
          <t>Cash&amp;Bank</t>
        </is>
      </c>
      <c r="D94" s="704" t="n">
        <v>0</v>
      </c>
      <c r="E94" s="704" t="n">
        <v>0</v>
      </c>
      <c r="F94" s="704" t="n">
        <v>0</v>
      </c>
      <c r="G94" s="704" t="n">
        <v>0</v>
      </c>
      <c r="H94" s="704" t="n">
        <v>0</v>
      </c>
      <c r="I94" s="704" t="n">
        <v>0</v>
      </c>
      <c r="J94" s="704" t="n">
        <v>0</v>
      </c>
      <c r="K94" s="704" t="n">
        <v>0</v>
      </c>
      <c r="L94" s="704" t="n">
        <v>0</v>
      </c>
      <c r="M94" s="704" t="n">
        <v>0</v>
      </c>
      <c r="N94" s="704" t="n">
        <v>0</v>
      </c>
      <c r="O94" s="704" t="n">
        <v>0</v>
      </c>
      <c r="P94" s="704" t="n">
        <v>0</v>
      </c>
      <c r="Q94" s="704" t="n">
        <v>0</v>
      </c>
      <c r="R94" s="704" t="n">
        <v>0</v>
      </c>
      <c r="S94" s="704" t="n">
        <v>0</v>
      </c>
      <c r="T94" s="704" t="n">
        <v>0</v>
      </c>
      <c r="U94" s="704" t="n">
        <v>0</v>
      </c>
      <c r="V94" s="704" t="n">
        <v>0</v>
      </c>
      <c r="W94" s="704" t="n">
        <v>0</v>
      </c>
      <c r="X94" s="704" t="n">
        <v>0</v>
      </c>
      <c r="Y94" s="704" t="n">
        <v>0</v>
      </c>
      <c r="Z94" s="704" t="n">
        <v>0</v>
      </c>
      <c r="AA94" s="704" t="n">
        <v>0</v>
      </c>
      <c r="AB94" s="704" t="n">
        <v>0</v>
      </c>
      <c r="AC94" s="704" t="n">
        <v>0</v>
      </c>
      <c r="AD94" s="704" t="n">
        <v>0</v>
      </c>
      <c r="AE94" s="704" t="n">
        <v>0</v>
      </c>
      <c r="AF94" s="704" t="n">
        <v>0</v>
      </c>
      <c r="AG94" s="704" t="n">
        <v>0</v>
      </c>
      <c r="AH94" s="704" t="n">
        <v>0</v>
      </c>
      <c r="AI94" s="704" t="n">
        <v>0</v>
      </c>
      <c r="AJ94" s="704" t="n">
        <v>0</v>
      </c>
      <c r="AK94" s="704" t="n">
        <v>0</v>
      </c>
      <c r="AL94" s="704" t="n">
        <v>0</v>
      </c>
      <c r="AM94" s="704" t="n">
        <v>0</v>
      </c>
      <c r="AN94" s="704" t="n">
        <v>0</v>
      </c>
      <c r="AO94" s="704" t="n">
        <v>0</v>
      </c>
      <c r="AP94" s="704" t="n">
        <v>0</v>
      </c>
      <c r="AQ94" s="704" t="n">
        <v>0</v>
      </c>
      <c r="AR94" s="704" t="n">
        <v>0</v>
      </c>
      <c r="AS94" s="704" t="n">
        <v>0</v>
      </c>
      <c r="AT94" s="704" t="n">
        <v>0</v>
      </c>
      <c r="AU94" s="704" t="n">
        <v>0</v>
      </c>
      <c r="AV94" s="704" t="n">
        <v>0</v>
      </c>
      <c r="AW94" s="704" t="n">
        <v>0</v>
      </c>
      <c r="AX94" s="704" t="n">
        <v>0</v>
      </c>
      <c r="AY94" s="704" t="n">
        <v>0</v>
      </c>
      <c r="AZ94" s="704" t="n">
        <v>0</v>
      </c>
      <c r="BA94" s="704" t="n">
        <v>0</v>
      </c>
      <c r="BB94" s="704" t="n">
        <v>0</v>
      </c>
      <c r="BC94" s="704" t="n">
        <v>0</v>
      </c>
      <c r="BD94" s="704" t="n">
        <v>0</v>
      </c>
      <c r="BE94" s="704" t="n">
        <v>0</v>
      </c>
      <c r="BF94" s="704" t="n">
        <v>0</v>
      </c>
      <c r="BG94" s="704" t="n">
        <v>0</v>
      </c>
      <c r="BH94" s="704" t="n">
        <v>0</v>
      </c>
      <c r="BI94" s="704" t="n">
        <v>0</v>
      </c>
      <c r="BJ94" s="704" t="n">
        <v>0</v>
      </c>
      <c r="BK94" s="704" t="n">
        <v>0</v>
      </c>
      <c r="BL94" s="704" t="n">
        <v>0</v>
      </c>
      <c r="BM94" s="704" t="n">
        <v>0</v>
      </c>
      <c r="BN94" s="704" t="n">
        <v>0</v>
      </c>
      <c r="BO94" s="704" t="n">
        <v>0</v>
      </c>
      <c r="BP94" s="704" t="n">
        <v>0</v>
      </c>
      <c r="BQ94" s="704" t="n">
        <v>0</v>
      </c>
      <c r="BR94" s="704" t="n">
        <v>0</v>
      </c>
      <c r="BS94" s="704" t="n">
        <v>0</v>
      </c>
      <c r="BT94" s="704" t="n">
        <v>0</v>
      </c>
      <c r="BU94" s="704" t="n">
        <v>0</v>
      </c>
      <c r="BV94" s="704" t="n">
        <v>0</v>
      </c>
      <c r="BW94" s="704" t="n">
        <v>0</v>
      </c>
      <c r="BX94" s="704" t="n">
        <v>0</v>
      </c>
      <c r="BY94" s="704" t="n">
        <v>0</v>
      </c>
      <c r="BZ94" s="704" t="n">
        <v>0</v>
      </c>
      <c r="CA94" s="704" t="n">
        <v>0</v>
      </c>
      <c r="CB94" s="704" t="n">
        <v>0</v>
      </c>
      <c r="CC94" s="704" t="n">
        <v>0</v>
      </c>
      <c r="CD94" s="704" t="n">
        <v>0</v>
      </c>
      <c r="CE94" s="704" t="n">
        <v>0</v>
      </c>
      <c r="CF94" s="704" t="n">
        <v>0</v>
      </c>
      <c r="CG94" s="704" t="n">
        <v>0</v>
      </c>
      <c r="CH94" s="704" t="n">
        <v>0</v>
      </c>
      <c r="CI94" s="704" t="n">
        <v>0</v>
      </c>
      <c r="CJ94" s="704" t="n">
        <v>0</v>
      </c>
      <c r="CK94" s="704" t="n">
        <v>0</v>
      </c>
      <c r="CL94" s="704" t="n">
        <v>0</v>
      </c>
      <c r="CM94" s="704" t="n">
        <v>0</v>
      </c>
      <c r="CN94" s="704" t="n">
        <v>0</v>
      </c>
      <c r="CO94" s="704" t="n">
        <v>0</v>
      </c>
      <c r="CP94" s="704" t="n">
        <v>0</v>
      </c>
      <c r="CQ94" s="704" t="n">
        <v>0</v>
      </c>
      <c r="CR94" s="704" t="n">
        <v>0</v>
      </c>
      <c r="CS94" s="704" t="n">
        <v>0</v>
      </c>
      <c r="CT94" s="704" t="n">
        <v>0</v>
      </c>
      <c r="CU94" s="704" t="n">
        <v>0</v>
      </c>
      <c r="CV94" s="704" t="n">
        <v>0</v>
      </c>
      <c r="CW94" s="704" t="n">
        <v>0</v>
      </c>
      <c r="CX94" s="704" t="n">
        <v>0</v>
      </c>
      <c r="CY94" s="704" t="n">
        <v>0</v>
      </c>
      <c r="CZ94" s="704" t="n">
        <v>0</v>
      </c>
      <c r="DA94" s="704" t="n">
        <v>0</v>
      </c>
      <c r="DB94" s="704" t="n">
        <v>0</v>
      </c>
      <c r="DC94" s="704" t="n">
        <v>0</v>
      </c>
      <c r="DD94" s="704" t="n">
        <v>0</v>
      </c>
      <c r="DE94" s="704" t="n">
        <v>0</v>
      </c>
      <c r="DF94" s="704" t="n">
        <v>0</v>
      </c>
      <c r="DG94" s="704" t="n">
        <v>0</v>
      </c>
      <c r="DH94" s="704" t="n">
        <v>0</v>
      </c>
      <c r="DI94" s="704" t="n">
        <v>0</v>
      </c>
      <c r="DJ94" s="704" t="n">
        <v>0</v>
      </c>
      <c r="DK94" s="704" t="n">
        <v>0</v>
      </c>
      <c r="DL94" s="704" t="n">
        <v>0</v>
      </c>
      <c r="DM94" s="704" t="n">
        <v>0</v>
      </c>
    </row>
    <row r="95" ht="13.5" customHeight="1" s="355">
      <c r="B95" s="703" t="inlineStr">
        <is>
          <t>T&amp;E</t>
        </is>
      </c>
      <c r="D95" s="704" t="n">
        <v>0</v>
      </c>
      <c r="E95" s="704" t="n">
        <v>0</v>
      </c>
      <c r="F95" s="704" t="n">
        <v>0</v>
      </c>
      <c r="G95" s="704" t="n">
        <v>0</v>
      </c>
      <c r="H95" s="704" t="n">
        <v>0</v>
      </c>
      <c r="I95" s="704" t="n">
        <v>0</v>
      </c>
      <c r="J95" s="704" t="n">
        <v>0</v>
      </c>
      <c r="K95" s="704" t="n">
        <v>0</v>
      </c>
      <c r="L95" s="704" t="n">
        <v>0</v>
      </c>
      <c r="M95" s="704" t="n">
        <v>0</v>
      </c>
      <c r="N95" s="704" t="n">
        <v>0</v>
      </c>
      <c r="O95" s="704" t="n">
        <v>0</v>
      </c>
      <c r="P95" s="704" t="n">
        <v>0</v>
      </c>
      <c r="Q95" s="704" t="n">
        <v>0</v>
      </c>
      <c r="R95" s="704" t="n">
        <v>0</v>
      </c>
      <c r="S95" s="704" t="n">
        <v>0</v>
      </c>
      <c r="T95" s="704" t="n">
        <v>0</v>
      </c>
      <c r="U95" s="704" t="n">
        <v>0</v>
      </c>
      <c r="V95" s="704" t="n">
        <v>0</v>
      </c>
      <c r="W95" s="704" t="n">
        <v>0</v>
      </c>
      <c r="X95" s="704" t="n">
        <v>0</v>
      </c>
      <c r="Y95" s="704" t="n">
        <v>0</v>
      </c>
      <c r="Z95" s="704" t="n">
        <v>0</v>
      </c>
      <c r="AA95" s="704" t="n">
        <v>0</v>
      </c>
      <c r="AB95" s="704" t="n">
        <v>0</v>
      </c>
      <c r="AC95" s="704" t="n">
        <v>0</v>
      </c>
      <c r="AD95" s="704" t="n">
        <v>0</v>
      </c>
      <c r="AE95" s="704" t="n">
        <v>0</v>
      </c>
      <c r="AF95" s="704" t="n">
        <v>0</v>
      </c>
      <c r="AG95" s="704" t="n">
        <v>0</v>
      </c>
      <c r="AH95" s="704" t="n">
        <v>0</v>
      </c>
      <c r="AI95" s="704" t="n">
        <v>0</v>
      </c>
      <c r="AJ95" s="704" t="n">
        <v>0</v>
      </c>
      <c r="AK95" s="704" t="n">
        <v>0</v>
      </c>
      <c r="AL95" s="704" t="n">
        <v>0</v>
      </c>
      <c r="AM95" s="704" t="n">
        <v>0</v>
      </c>
      <c r="AN95" s="704" t="n">
        <v>0</v>
      </c>
      <c r="AO95" s="704" t="n">
        <v>0</v>
      </c>
      <c r="AP95" s="704" t="n">
        <v>0</v>
      </c>
      <c r="AQ95" s="704" t="n">
        <v>0</v>
      </c>
      <c r="AR95" s="704" t="n">
        <v>0</v>
      </c>
      <c r="AS95" s="704" t="n">
        <v>0</v>
      </c>
      <c r="AT95" s="704" t="n">
        <v>0</v>
      </c>
      <c r="AU95" s="704" t="n">
        <v>0</v>
      </c>
      <c r="AV95" s="704" t="n">
        <v>0</v>
      </c>
      <c r="AW95" s="704" t="n">
        <v>0</v>
      </c>
      <c r="AX95" s="704" t="n">
        <v>0</v>
      </c>
      <c r="AY95" s="704" t="n">
        <v>0</v>
      </c>
      <c r="AZ95" s="704" t="n">
        <v>0</v>
      </c>
      <c r="BA95" s="704" t="n">
        <v>0</v>
      </c>
      <c r="BB95" s="704" t="n">
        <v>0</v>
      </c>
      <c r="BC95" s="704" t="n">
        <v>0</v>
      </c>
      <c r="BD95" s="704" t="n">
        <v>0</v>
      </c>
      <c r="BE95" s="704" t="n">
        <v>0</v>
      </c>
      <c r="BF95" s="704" t="n">
        <v>0</v>
      </c>
      <c r="BG95" s="704" t="n">
        <v>0</v>
      </c>
      <c r="BH95" s="704" t="n">
        <v>0</v>
      </c>
      <c r="BI95" s="704" t="n">
        <v>0</v>
      </c>
      <c r="BJ95" s="704" t="n">
        <v>0</v>
      </c>
      <c r="BK95" s="704" t="n">
        <v>0</v>
      </c>
      <c r="BL95" s="704" t="n">
        <v>0</v>
      </c>
      <c r="BM95" s="704" t="n">
        <v>0</v>
      </c>
      <c r="BN95" s="704" t="n">
        <v>0</v>
      </c>
      <c r="BO95" s="704" t="n">
        <v>0</v>
      </c>
      <c r="BP95" s="704" t="n">
        <v>0</v>
      </c>
      <c r="BQ95" s="704" t="n">
        <v>0</v>
      </c>
      <c r="BR95" s="704" t="n">
        <v>0</v>
      </c>
      <c r="BS95" s="704" t="n">
        <v>0</v>
      </c>
      <c r="BT95" s="704" t="n">
        <v>0</v>
      </c>
      <c r="BU95" s="704" t="n">
        <v>0</v>
      </c>
      <c r="BV95" s="704" t="n">
        <v>0</v>
      </c>
      <c r="BW95" s="704" t="n">
        <v>0</v>
      </c>
      <c r="BX95" s="704" t="n">
        <v>0</v>
      </c>
      <c r="BY95" s="704" t="n">
        <v>0</v>
      </c>
      <c r="BZ95" s="704" t="n">
        <v>0</v>
      </c>
      <c r="CA95" s="704" t="n">
        <v>0</v>
      </c>
      <c r="CB95" s="704" t="n">
        <v>0</v>
      </c>
      <c r="CC95" s="704" t="n">
        <v>0</v>
      </c>
      <c r="CD95" s="704" t="n">
        <v>0</v>
      </c>
      <c r="CE95" s="704" t="n">
        <v>0</v>
      </c>
      <c r="CF95" s="704" t="n">
        <v>0</v>
      </c>
      <c r="CG95" s="704" t="n">
        <v>0</v>
      </c>
      <c r="CH95" s="704" t="n">
        <v>0</v>
      </c>
      <c r="CI95" s="704" t="n">
        <v>0</v>
      </c>
      <c r="CJ95" s="704" t="n">
        <v>0</v>
      </c>
      <c r="CK95" s="704" t="n">
        <v>0</v>
      </c>
      <c r="CL95" s="704" t="n">
        <v>0</v>
      </c>
      <c r="CM95" s="704" t="n">
        <v>0</v>
      </c>
      <c r="CN95" s="704" t="n">
        <v>0</v>
      </c>
      <c r="CO95" s="704" t="n">
        <v>0</v>
      </c>
      <c r="CP95" s="704" t="n">
        <v>0</v>
      </c>
      <c r="CQ95" s="704" t="n">
        <v>0</v>
      </c>
      <c r="CR95" s="704" t="n">
        <v>0</v>
      </c>
      <c r="CS95" s="704" t="n">
        <v>0</v>
      </c>
      <c r="CT95" s="704" t="n">
        <v>0</v>
      </c>
      <c r="CU95" s="704" t="n">
        <v>0</v>
      </c>
      <c r="CV95" s="704" t="n">
        <v>0</v>
      </c>
      <c r="CW95" s="704" t="n">
        <v>0</v>
      </c>
      <c r="CX95" s="704" t="n">
        <v>0</v>
      </c>
      <c r="CY95" s="704" t="n">
        <v>0</v>
      </c>
      <c r="CZ95" s="704" t="n">
        <v>0</v>
      </c>
      <c r="DA95" s="704" t="n">
        <v>0</v>
      </c>
      <c r="DB95" s="704" t="n">
        <v>0</v>
      </c>
      <c r="DC95" s="704" t="n">
        <v>0</v>
      </c>
      <c r="DD95" s="704" t="n">
        <v>0</v>
      </c>
      <c r="DE95" s="704" t="n">
        <v>0</v>
      </c>
      <c r="DF95" s="704" t="n">
        <v>0</v>
      </c>
      <c r="DG95" s="704" t="n">
        <v>0</v>
      </c>
      <c r="DH95" s="704" t="n">
        <v>0</v>
      </c>
      <c r="DI95" s="704" t="n">
        <v>0</v>
      </c>
      <c r="DJ95" s="704" t="n">
        <v>0</v>
      </c>
      <c r="DK95" s="704" t="n">
        <v>0</v>
      </c>
      <c r="DL95" s="704" t="n">
        <v>0</v>
      </c>
      <c r="DM95" s="704" t="n">
        <v>0</v>
      </c>
    </row>
    <row r="96" ht="13.5" customHeight="1" s="355">
      <c r="B96" s="703" t="inlineStr">
        <is>
          <t>Order to Cash</t>
        </is>
      </c>
      <c r="D96" s="704" t="n">
        <v>0</v>
      </c>
      <c r="E96" s="704" t="n">
        <v>0</v>
      </c>
      <c r="F96" s="704" t="n">
        <v>0</v>
      </c>
      <c r="G96" s="704" t="n">
        <v>0</v>
      </c>
      <c r="H96" s="704" t="n">
        <v>0</v>
      </c>
      <c r="I96" s="704" t="n">
        <v>0</v>
      </c>
      <c r="J96" s="704" t="n">
        <v>0</v>
      </c>
      <c r="K96" s="704" t="n">
        <v>0</v>
      </c>
      <c r="L96" s="704" t="n">
        <v>0</v>
      </c>
      <c r="M96" s="704" t="n">
        <v>0</v>
      </c>
      <c r="N96" s="704" t="n">
        <v>0</v>
      </c>
      <c r="O96" s="704" t="n">
        <v>0</v>
      </c>
      <c r="P96" s="704" t="n">
        <v>0</v>
      </c>
      <c r="Q96" s="704" t="n">
        <v>0</v>
      </c>
      <c r="R96" s="704" t="n">
        <v>0</v>
      </c>
      <c r="S96" s="704" t="n">
        <v>0</v>
      </c>
      <c r="T96" s="704" t="n">
        <v>0</v>
      </c>
      <c r="U96" s="704" t="n">
        <v>0</v>
      </c>
      <c r="V96" s="704" t="n">
        <v>0</v>
      </c>
      <c r="W96" s="704" t="n">
        <v>0</v>
      </c>
      <c r="X96" s="704" t="n">
        <v>0</v>
      </c>
      <c r="Y96" s="704" t="n">
        <v>0</v>
      </c>
      <c r="Z96" s="704" t="n">
        <v>0</v>
      </c>
      <c r="AA96" s="704" t="n">
        <v>0</v>
      </c>
      <c r="AB96" s="704" t="n">
        <v>0</v>
      </c>
      <c r="AC96" s="704" t="n">
        <v>0</v>
      </c>
      <c r="AD96" s="704" t="n">
        <v>0</v>
      </c>
      <c r="AE96" s="704" t="n">
        <v>0</v>
      </c>
      <c r="AF96" s="704" t="n">
        <v>0</v>
      </c>
      <c r="AG96" s="704" t="n">
        <v>0</v>
      </c>
      <c r="AH96" s="704" t="n">
        <v>0</v>
      </c>
      <c r="AI96" s="704" t="n">
        <v>0</v>
      </c>
      <c r="AJ96" s="704" t="n">
        <v>0</v>
      </c>
      <c r="AK96" s="704" t="n">
        <v>0</v>
      </c>
      <c r="AL96" s="704" t="n">
        <v>0</v>
      </c>
      <c r="AM96" s="704" t="n">
        <v>0</v>
      </c>
      <c r="AN96" s="704" t="n">
        <v>0</v>
      </c>
      <c r="AO96" s="704" t="n">
        <v>0</v>
      </c>
      <c r="AP96" s="704" t="n">
        <v>0</v>
      </c>
      <c r="AQ96" s="704" t="n">
        <v>0</v>
      </c>
      <c r="AR96" s="704" t="n">
        <v>0</v>
      </c>
      <c r="AS96" s="704" t="n">
        <v>0</v>
      </c>
      <c r="AT96" s="704" t="n">
        <v>0</v>
      </c>
      <c r="AU96" s="704" t="n">
        <v>0</v>
      </c>
      <c r="AV96" s="704" t="n">
        <v>0</v>
      </c>
      <c r="AW96" s="704" t="n">
        <v>0</v>
      </c>
      <c r="AX96" s="704" t="n">
        <v>0</v>
      </c>
      <c r="AY96" s="704" t="n">
        <v>0</v>
      </c>
      <c r="AZ96" s="704" t="n">
        <v>0</v>
      </c>
      <c r="BA96" s="704" t="n">
        <v>0</v>
      </c>
      <c r="BB96" s="704" t="n">
        <v>0</v>
      </c>
      <c r="BC96" s="704" t="n">
        <v>0</v>
      </c>
      <c r="BD96" s="704" t="n">
        <v>0</v>
      </c>
      <c r="BE96" s="704" t="n">
        <v>0</v>
      </c>
      <c r="BF96" s="704" t="n">
        <v>0</v>
      </c>
      <c r="BG96" s="704" t="n">
        <v>0</v>
      </c>
      <c r="BH96" s="704" t="n">
        <v>0</v>
      </c>
      <c r="BI96" s="704" t="n">
        <v>0</v>
      </c>
      <c r="BJ96" s="704" t="n">
        <v>0</v>
      </c>
      <c r="BK96" s="704" t="n">
        <v>0</v>
      </c>
      <c r="BL96" s="704" t="n">
        <v>0</v>
      </c>
      <c r="BM96" s="704" t="n">
        <v>0</v>
      </c>
      <c r="BN96" s="704" t="n">
        <v>0</v>
      </c>
      <c r="BO96" s="704" t="n">
        <v>0</v>
      </c>
      <c r="BP96" s="704" t="n">
        <v>0</v>
      </c>
      <c r="BQ96" s="704" t="n">
        <v>0</v>
      </c>
      <c r="BR96" s="704" t="n">
        <v>0</v>
      </c>
      <c r="BS96" s="704" t="n">
        <v>0</v>
      </c>
      <c r="BT96" s="704" t="n">
        <v>0</v>
      </c>
      <c r="BU96" s="704" t="n">
        <v>0</v>
      </c>
      <c r="BV96" s="704" t="n">
        <v>0</v>
      </c>
      <c r="BW96" s="704" t="n">
        <v>0</v>
      </c>
      <c r="BX96" s="704" t="n">
        <v>0</v>
      </c>
      <c r="BY96" s="704" t="n">
        <v>0</v>
      </c>
      <c r="BZ96" s="704" t="n">
        <v>0</v>
      </c>
      <c r="CA96" s="704" t="n">
        <v>0</v>
      </c>
      <c r="CB96" s="704" t="n">
        <v>0</v>
      </c>
      <c r="CC96" s="704" t="n">
        <v>0</v>
      </c>
      <c r="CD96" s="704" t="n">
        <v>0</v>
      </c>
      <c r="CE96" s="704" t="n">
        <v>0</v>
      </c>
      <c r="CF96" s="704" t="n">
        <v>0</v>
      </c>
      <c r="CG96" s="704" t="n">
        <v>0</v>
      </c>
      <c r="CH96" s="704" t="n">
        <v>0</v>
      </c>
      <c r="CI96" s="704" t="n">
        <v>0</v>
      </c>
      <c r="CJ96" s="704" t="n">
        <v>0</v>
      </c>
      <c r="CK96" s="704" t="n">
        <v>0</v>
      </c>
      <c r="CL96" s="704" t="n">
        <v>0</v>
      </c>
      <c r="CM96" s="704" t="n">
        <v>0</v>
      </c>
      <c r="CN96" s="704" t="n">
        <v>0</v>
      </c>
      <c r="CO96" s="704" t="n">
        <v>0</v>
      </c>
      <c r="CP96" s="704" t="n">
        <v>0</v>
      </c>
      <c r="CQ96" s="704" t="n">
        <v>0</v>
      </c>
      <c r="CR96" s="704" t="n">
        <v>0</v>
      </c>
      <c r="CS96" s="704" t="n">
        <v>0</v>
      </c>
      <c r="CT96" s="704" t="n">
        <v>0</v>
      </c>
      <c r="CU96" s="704" t="n">
        <v>0</v>
      </c>
      <c r="CV96" s="704" t="n">
        <v>0</v>
      </c>
      <c r="CW96" s="704" t="n">
        <v>0</v>
      </c>
      <c r="CX96" s="704" t="n">
        <v>0</v>
      </c>
      <c r="CY96" s="704" t="n">
        <v>0</v>
      </c>
      <c r="CZ96" s="704" t="n">
        <v>0</v>
      </c>
      <c r="DA96" s="704" t="n">
        <v>0</v>
      </c>
      <c r="DB96" s="704" t="n">
        <v>0</v>
      </c>
      <c r="DC96" s="704" t="n">
        <v>0</v>
      </c>
      <c r="DD96" s="704" t="n">
        <v>0</v>
      </c>
      <c r="DE96" s="704" t="n">
        <v>0</v>
      </c>
      <c r="DF96" s="704" t="n">
        <v>0</v>
      </c>
      <c r="DG96" s="704" t="n">
        <v>0</v>
      </c>
      <c r="DH96" s="704" t="n">
        <v>0</v>
      </c>
      <c r="DI96" s="704" t="n">
        <v>0</v>
      </c>
      <c r="DJ96" s="704" t="n">
        <v>0</v>
      </c>
      <c r="DK96" s="704" t="n">
        <v>0</v>
      </c>
      <c r="DL96" s="704" t="n">
        <v>0</v>
      </c>
      <c r="DM96" s="704" t="n">
        <v>0</v>
      </c>
    </row>
    <row r="97" ht="13.5" customHeight="1" s="355">
      <c r="B97" s="703" t="inlineStr">
        <is>
          <t>Req to Pay</t>
        </is>
      </c>
      <c r="D97" s="704" t="n">
        <v>0</v>
      </c>
      <c r="E97" s="704" t="n">
        <v>0</v>
      </c>
      <c r="F97" s="704" t="n">
        <v>0</v>
      </c>
      <c r="G97" s="704" t="n">
        <v>0</v>
      </c>
      <c r="H97" s="704" t="n">
        <v>0</v>
      </c>
      <c r="I97" s="704" t="n">
        <v>0</v>
      </c>
      <c r="J97" s="704" t="n">
        <v>0</v>
      </c>
      <c r="K97" s="704" t="n">
        <v>0</v>
      </c>
      <c r="L97" s="704" t="n">
        <v>0</v>
      </c>
      <c r="M97" s="704" t="n">
        <v>0</v>
      </c>
      <c r="N97" s="704" t="n">
        <v>0</v>
      </c>
      <c r="O97" s="704" t="n">
        <v>0</v>
      </c>
      <c r="P97" s="704" t="n">
        <v>0</v>
      </c>
      <c r="Q97" s="704" t="n">
        <v>0</v>
      </c>
      <c r="R97" s="704" t="n">
        <v>0</v>
      </c>
      <c r="S97" s="704" t="n">
        <v>0</v>
      </c>
      <c r="T97" s="704" t="n">
        <v>0</v>
      </c>
      <c r="U97" s="704" t="n">
        <v>0</v>
      </c>
      <c r="V97" s="704" t="n">
        <v>0</v>
      </c>
      <c r="W97" s="704" t="n">
        <v>0</v>
      </c>
      <c r="X97" s="704" t="n">
        <v>0</v>
      </c>
      <c r="Y97" s="704" t="n">
        <v>0</v>
      </c>
      <c r="Z97" s="704" t="n">
        <v>0</v>
      </c>
      <c r="AA97" s="704" t="n">
        <v>0</v>
      </c>
      <c r="AB97" s="704" t="n">
        <v>0</v>
      </c>
      <c r="AC97" s="704" t="n">
        <v>0</v>
      </c>
      <c r="AD97" s="704" t="n">
        <v>0</v>
      </c>
      <c r="AE97" s="704" t="n">
        <v>0</v>
      </c>
      <c r="AF97" s="704" t="n">
        <v>0</v>
      </c>
      <c r="AG97" s="704" t="n">
        <v>0</v>
      </c>
      <c r="AH97" s="704" t="n">
        <v>0</v>
      </c>
      <c r="AI97" s="704" t="n">
        <v>0</v>
      </c>
      <c r="AJ97" s="704" t="n">
        <v>0</v>
      </c>
      <c r="AK97" s="704" t="n">
        <v>0</v>
      </c>
      <c r="AL97" s="704" t="n">
        <v>0</v>
      </c>
      <c r="AM97" s="704" t="n">
        <v>0</v>
      </c>
      <c r="AN97" s="704" t="n">
        <v>0</v>
      </c>
      <c r="AO97" s="704" t="n">
        <v>0</v>
      </c>
      <c r="AP97" s="704" t="n">
        <v>0</v>
      </c>
      <c r="AQ97" s="704" t="n">
        <v>0</v>
      </c>
      <c r="AR97" s="704" t="n">
        <v>0</v>
      </c>
      <c r="AS97" s="704" t="n">
        <v>0</v>
      </c>
      <c r="AT97" s="704" t="n">
        <v>0</v>
      </c>
      <c r="AU97" s="704" t="n">
        <v>0</v>
      </c>
      <c r="AV97" s="704" t="n">
        <v>0</v>
      </c>
      <c r="AW97" s="704" t="n">
        <v>0</v>
      </c>
      <c r="AX97" s="704" t="n">
        <v>0</v>
      </c>
      <c r="AY97" s="704" t="n">
        <v>0</v>
      </c>
      <c r="AZ97" s="704" t="n">
        <v>0</v>
      </c>
      <c r="BA97" s="704" t="n">
        <v>0</v>
      </c>
      <c r="BB97" s="704" t="n">
        <v>0</v>
      </c>
      <c r="BC97" s="704" t="n">
        <v>0</v>
      </c>
      <c r="BD97" s="704" t="n">
        <v>0</v>
      </c>
      <c r="BE97" s="704" t="n">
        <v>0</v>
      </c>
      <c r="BF97" s="704" t="n">
        <v>0</v>
      </c>
      <c r="BG97" s="704" t="n">
        <v>0</v>
      </c>
      <c r="BH97" s="704" t="n">
        <v>0</v>
      </c>
      <c r="BI97" s="704" t="n">
        <v>0</v>
      </c>
      <c r="BJ97" s="704" t="n">
        <v>0</v>
      </c>
      <c r="BK97" s="704" t="n">
        <v>0</v>
      </c>
      <c r="BL97" s="704" t="n">
        <v>0</v>
      </c>
      <c r="BM97" s="704" t="n">
        <v>0</v>
      </c>
      <c r="BN97" s="704" t="n">
        <v>0</v>
      </c>
      <c r="BO97" s="704" t="n">
        <v>0</v>
      </c>
      <c r="BP97" s="704" t="n">
        <v>0</v>
      </c>
      <c r="BQ97" s="704" t="n">
        <v>0</v>
      </c>
      <c r="BR97" s="704" t="n">
        <v>0</v>
      </c>
      <c r="BS97" s="704" t="n">
        <v>0</v>
      </c>
      <c r="BT97" s="704" t="n">
        <v>0</v>
      </c>
      <c r="BU97" s="704" t="n">
        <v>0</v>
      </c>
      <c r="BV97" s="704" t="n">
        <v>0</v>
      </c>
      <c r="BW97" s="704" t="n">
        <v>0</v>
      </c>
      <c r="BX97" s="704" t="n">
        <v>0</v>
      </c>
      <c r="BY97" s="704" t="n">
        <v>0</v>
      </c>
      <c r="BZ97" s="704" t="n">
        <v>0</v>
      </c>
      <c r="CA97" s="704" t="n">
        <v>0</v>
      </c>
      <c r="CB97" s="704" t="n">
        <v>0</v>
      </c>
      <c r="CC97" s="704" t="n">
        <v>0</v>
      </c>
      <c r="CD97" s="704" t="n">
        <v>0</v>
      </c>
      <c r="CE97" s="704" t="n">
        <v>0</v>
      </c>
      <c r="CF97" s="704" t="n">
        <v>0</v>
      </c>
      <c r="CG97" s="704" t="n">
        <v>0</v>
      </c>
      <c r="CH97" s="704" t="n">
        <v>0</v>
      </c>
      <c r="CI97" s="704" t="n">
        <v>0</v>
      </c>
      <c r="CJ97" s="704" t="n">
        <v>0</v>
      </c>
      <c r="CK97" s="704" t="n">
        <v>0</v>
      </c>
      <c r="CL97" s="704" t="n">
        <v>0</v>
      </c>
      <c r="CM97" s="704" t="n">
        <v>0</v>
      </c>
      <c r="CN97" s="704" t="n">
        <v>0</v>
      </c>
      <c r="CO97" s="704" t="n">
        <v>0</v>
      </c>
      <c r="CP97" s="704" t="n">
        <v>0</v>
      </c>
      <c r="CQ97" s="704" t="n">
        <v>0</v>
      </c>
      <c r="CR97" s="704" t="n">
        <v>0</v>
      </c>
      <c r="CS97" s="704" t="n">
        <v>0</v>
      </c>
      <c r="CT97" s="704" t="n">
        <v>0</v>
      </c>
      <c r="CU97" s="704" t="n">
        <v>0</v>
      </c>
      <c r="CV97" s="704" t="n">
        <v>0</v>
      </c>
      <c r="CW97" s="704" t="n">
        <v>0</v>
      </c>
      <c r="CX97" s="704" t="n">
        <v>0</v>
      </c>
      <c r="CY97" s="704" t="n">
        <v>0</v>
      </c>
      <c r="CZ97" s="704" t="n">
        <v>0</v>
      </c>
      <c r="DA97" s="704" t="n">
        <v>0</v>
      </c>
      <c r="DB97" s="704" t="n">
        <v>0</v>
      </c>
      <c r="DC97" s="704" t="n">
        <v>0</v>
      </c>
      <c r="DD97" s="704" t="n">
        <v>0</v>
      </c>
      <c r="DE97" s="704" t="n">
        <v>0</v>
      </c>
      <c r="DF97" s="704" t="n">
        <v>0</v>
      </c>
      <c r="DG97" s="704" t="n">
        <v>0</v>
      </c>
      <c r="DH97" s="704" t="n">
        <v>0</v>
      </c>
      <c r="DI97" s="704" t="n">
        <v>0</v>
      </c>
      <c r="DJ97" s="704" t="n">
        <v>0</v>
      </c>
      <c r="DK97" s="704" t="n">
        <v>0</v>
      </c>
      <c r="DL97" s="704" t="n">
        <v>0</v>
      </c>
      <c r="DM97" s="704" t="n">
        <v>0</v>
      </c>
    </row>
    <row r="98" ht="13.5" customHeight="1" s="355">
      <c r="B98" s="703" t="inlineStr">
        <is>
          <t>Team Leader</t>
        </is>
      </c>
      <c r="D98" s="704" t="n">
        <v>0</v>
      </c>
      <c r="E98" s="704" t="n">
        <v>0</v>
      </c>
      <c r="F98" s="704" t="n">
        <v>0</v>
      </c>
      <c r="G98" s="704" t="n">
        <v>0</v>
      </c>
      <c r="H98" s="704" t="n">
        <v>0</v>
      </c>
      <c r="I98" s="704" t="n">
        <v>0</v>
      </c>
      <c r="J98" s="704" t="n">
        <v>0</v>
      </c>
      <c r="K98" s="704" t="n">
        <v>0</v>
      </c>
      <c r="L98" s="704" t="n">
        <v>0</v>
      </c>
      <c r="M98" s="704" t="n">
        <v>0</v>
      </c>
      <c r="N98" s="704" t="n">
        <v>0</v>
      </c>
      <c r="O98" s="704" t="n">
        <v>0</v>
      </c>
      <c r="P98" s="704" t="n">
        <v>0</v>
      </c>
      <c r="Q98" s="704" t="n">
        <v>0</v>
      </c>
      <c r="R98" s="704" t="n">
        <v>0</v>
      </c>
      <c r="S98" s="704" t="n">
        <v>0</v>
      </c>
      <c r="T98" s="704" t="n">
        <v>0</v>
      </c>
      <c r="U98" s="704" t="n">
        <v>0</v>
      </c>
      <c r="V98" s="704" t="n">
        <v>0</v>
      </c>
      <c r="W98" s="704" t="n">
        <v>0</v>
      </c>
      <c r="X98" s="704" t="n">
        <v>0</v>
      </c>
      <c r="Y98" s="704" t="n">
        <v>0</v>
      </c>
      <c r="Z98" s="704" t="n">
        <v>0</v>
      </c>
      <c r="AA98" s="704" t="n">
        <v>0</v>
      </c>
      <c r="AB98" s="704" t="n">
        <v>0</v>
      </c>
      <c r="AC98" s="704" t="n">
        <v>0</v>
      </c>
      <c r="AD98" s="704" t="n">
        <v>0</v>
      </c>
      <c r="AE98" s="704" t="n">
        <v>0</v>
      </c>
      <c r="AF98" s="704" t="n">
        <v>0</v>
      </c>
      <c r="AG98" s="704" t="n">
        <v>0</v>
      </c>
      <c r="AH98" s="704" t="n">
        <v>0</v>
      </c>
      <c r="AI98" s="704" t="n">
        <v>0</v>
      </c>
      <c r="AJ98" s="704" t="n">
        <v>0</v>
      </c>
      <c r="AK98" s="704" t="n">
        <v>0</v>
      </c>
      <c r="AL98" s="704" t="n">
        <v>0</v>
      </c>
      <c r="AM98" s="704" t="n">
        <v>0</v>
      </c>
      <c r="AN98" s="704" t="n">
        <v>0</v>
      </c>
      <c r="AO98" s="704" t="n">
        <v>0</v>
      </c>
      <c r="AP98" s="704" t="n">
        <v>0</v>
      </c>
      <c r="AQ98" s="704" t="n">
        <v>0</v>
      </c>
      <c r="AR98" s="704" t="n">
        <v>0</v>
      </c>
      <c r="AS98" s="704" t="n">
        <v>0</v>
      </c>
      <c r="AT98" s="704" t="n">
        <v>0</v>
      </c>
      <c r="AU98" s="704" t="n">
        <v>0</v>
      </c>
      <c r="AV98" s="704" t="n">
        <v>0</v>
      </c>
      <c r="AW98" s="704" t="n">
        <v>0</v>
      </c>
      <c r="AX98" s="704" t="n">
        <v>0</v>
      </c>
      <c r="AY98" s="704" t="n">
        <v>0</v>
      </c>
      <c r="AZ98" s="704" t="n">
        <v>0</v>
      </c>
      <c r="BA98" s="704" t="n">
        <v>0</v>
      </c>
      <c r="BB98" s="704" t="n">
        <v>0</v>
      </c>
      <c r="BC98" s="704" t="n">
        <v>0</v>
      </c>
      <c r="BD98" s="704" t="n">
        <v>0</v>
      </c>
      <c r="BE98" s="704" t="n">
        <v>0</v>
      </c>
      <c r="BF98" s="704" t="n">
        <v>0</v>
      </c>
      <c r="BG98" s="704" t="n">
        <v>0</v>
      </c>
      <c r="BH98" s="704" t="n">
        <v>0</v>
      </c>
      <c r="BI98" s="704" t="n">
        <v>0</v>
      </c>
      <c r="BJ98" s="704" t="n">
        <v>0</v>
      </c>
      <c r="BK98" s="704" t="n">
        <v>0</v>
      </c>
      <c r="BL98" s="704" t="n">
        <v>0</v>
      </c>
      <c r="BM98" s="704" t="n">
        <v>0</v>
      </c>
      <c r="BN98" s="704" t="n">
        <v>0</v>
      </c>
      <c r="BO98" s="704" t="n">
        <v>0</v>
      </c>
      <c r="BP98" s="704" t="n">
        <v>0</v>
      </c>
      <c r="BQ98" s="704" t="n">
        <v>0</v>
      </c>
      <c r="BR98" s="704" t="n">
        <v>0</v>
      </c>
      <c r="BS98" s="704" t="n">
        <v>0</v>
      </c>
      <c r="BT98" s="704" t="n">
        <v>0</v>
      </c>
      <c r="BU98" s="704" t="n">
        <v>0</v>
      </c>
      <c r="BV98" s="704" t="n">
        <v>0</v>
      </c>
      <c r="BW98" s="704" t="n">
        <v>0</v>
      </c>
      <c r="BX98" s="704" t="n">
        <v>0</v>
      </c>
      <c r="BY98" s="704" t="n">
        <v>0</v>
      </c>
      <c r="BZ98" s="704" t="n">
        <v>0</v>
      </c>
      <c r="CA98" s="704" t="n">
        <v>0</v>
      </c>
      <c r="CB98" s="704" t="n">
        <v>0</v>
      </c>
      <c r="CC98" s="704" t="n">
        <v>0</v>
      </c>
      <c r="CD98" s="704" t="n">
        <v>0</v>
      </c>
      <c r="CE98" s="704" t="n">
        <v>0</v>
      </c>
      <c r="CF98" s="704" t="n">
        <v>0</v>
      </c>
      <c r="CG98" s="704" t="n">
        <v>0</v>
      </c>
      <c r="CH98" s="704" t="n">
        <v>0</v>
      </c>
      <c r="CI98" s="704" t="n">
        <v>0</v>
      </c>
      <c r="CJ98" s="704" t="n">
        <v>0</v>
      </c>
      <c r="CK98" s="704" t="n">
        <v>0</v>
      </c>
      <c r="CL98" s="704" t="n">
        <v>0</v>
      </c>
      <c r="CM98" s="704" t="n">
        <v>0</v>
      </c>
      <c r="CN98" s="704" t="n">
        <v>0</v>
      </c>
      <c r="CO98" s="704" t="n">
        <v>0</v>
      </c>
      <c r="CP98" s="704" t="n">
        <v>0</v>
      </c>
      <c r="CQ98" s="704" t="n">
        <v>0</v>
      </c>
      <c r="CR98" s="704" t="n">
        <v>0</v>
      </c>
      <c r="CS98" s="704" t="n">
        <v>0</v>
      </c>
      <c r="CT98" s="704" t="n">
        <v>0</v>
      </c>
      <c r="CU98" s="704" t="n">
        <v>0</v>
      </c>
      <c r="CV98" s="704" t="n">
        <v>0</v>
      </c>
      <c r="CW98" s="704" t="n">
        <v>0</v>
      </c>
      <c r="CX98" s="704" t="n">
        <v>0</v>
      </c>
      <c r="CY98" s="704" t="n">
        <v>0</v>
      </c>
      <c r="CZ98" s="704" t="n">
        <v>0</v>
      </c>
      <c r="DA98" s="704" t="n">
        <v>0</v>
      </c>
      <c r="DB98" s="704" t="n">
        <v>0</v>
      </c>
      <c r="DC98" s="704" t="n">
        <v>0</v>
      </c>
      <c r="DD98" s="704" t="n">
        <v>0</v>
      </c>
      <c r="DE98" s="704" t="n">
        <v>0</v>
      </c>
      <c r="DF98" s="704" t="n">
        <v>0</v>
      </c>
      <c r="DG98" s="704" t="n">
        <v>0</v>
      </c>
      <c r="DH98" s="704" t="n">
        <v>0</v>
      </c>
      <c r="DI98" s="704" t="n">
        <v>0</v>
      </c>
      <c r="DJ98" s="704" t="n">
        <v>0</v>
      </c>
      <c r="DK98" s="704" t="n">
        <v>0</v>
      </c>
      <c r="DL98" s="704" t="n">
        <v>0</v>
      </c>
      <c r="DM98" s="704" t="n">
        <v>0</v>
      </c>
    </row>
    <row r="99" ht="13.5" customHeight="1" s="355">
      <c r="B99" s="703" t="inlineStr">
        <is>
          <t>SLA Metric Reporting</t>
        </is>
      </c>
      <c r="D99" s="704" t="n">
        <v>0</v>
      </c>
      <c r="E99" s="704" t="n">
        <v>0</v>
      </c>
      <c r="F99" s="704" t="n">
        <v>0</v>
      </c>
      <c r="G99" s="704" t="n">
        <v>0</v>
      </c>
      <c r="H99" s="704" t="n">
        <v>0</v>
      </c>
      <c r="I99" s="704" t="n">
        <v>0</v>
      </c>
      <c r="J99" s="704" t="n">
        <v>0</v>
      </c>
      <c r="K99" s="704" t="n">
        <v>0</v>
      </c>
      <c r="L99" s="704" t="n">
        <v>0</v>
      </c>
      <c r="M99" s="704" t="n">
        <v>0</v>
      </c>
      <c r="N99" s="704" t="n">
        <v>0</v>
      </c>
      <c r="O99" s="704" t="n">
        <v>0</v>
      </c>
      <c r="P99" s="704" t="n">
        <v>0</v>
      </c>
      <c r="Q99" s="704" t="n">
        <v>0</v>
      </c>
      <c r="R99" s="704" t="n">
        <v>0</v>
      </c>
      <c r="S99" s="704" t="n">
        <v>0</v>
      </c>
      <c r="T99" s="704" t="n">
        <v>0</v>
      </c>
      <c r="U99" s="704" t="n">
        <v>0</v>
      </c>
      <c r="V99" s="704" t="n">
        <v>0</v>
      </c>
      <c r="W99" s="704" t="n">
        <v>0</v>
      </c>
      <c r="X99" s="704" t="n">
        <v>0</v>
      </c>
      <c r="Y99" s="704" t="n">
        <v>0</v>
      </c>
      <c r="Z99" s="704" t="n">
        <v>0</v>
      </c>
      <c r="AA99" s="704" t="n">
        <v>0</v>
      </c>
      <c r="AB99" s="704" t="n">
        <v>0</v>
      </c>
      <c r="AC99" s="704" t="n">
        <v>0</v>
      </c>
      <c r="AD99" s="704" t="n">
        <v>0</v>
      </c>
      <c r="AE99" s="704" t="n">
        <v>0</v>
      </c>
      <c r="AF99" s="704" t="n">
        <v>0</v>
      </c>
      <c r="AG99" s="704" t="n">
        <v>0</v>
      </c>
      <c r="AH99" s="704" t="n">
        <v>0</v>
      </c>
      <c r="AI99" s="704" t="n">
        <v>0</v>
      </c>
      <c r="AJ99" s="704" t="n">
        <v>0</v>
      </c>
      <c r="AK99" s="704" t="n">
        <v>0</v>
      </c>
      <c r="AL99" s="704" t="n">
        <v>0</v>
      </c>
      <c r="AM99" s="704" t="n">
        <v>0</v>
      </c>
      <c r="AN99" s="704" t="n">
        <v>0</v>
      </c>
      <c r="AO99" s="704" t="n">
        <v>0</v>
      </c>
      <c r="AP99" s="704" t="n">
        <v>0</v>
      </c>
      <c r="AQ99" s="704" t="n">
        <v>0</v>
      </c>
      <c r="AR99" s="704" t="n">
        <v>0</v>
      </c>
      <c r="AS99" s="704" t="n">
        <v>0</v>
      </c>
      <c r="AT99" s="704" t="n">
        <v>0</v>
      </c>
      <c r="AU99" s="704" t="n">
        <v>0</v>
      </c>
      <c r="AV99" s="704" t="n">
        <v>0</v>
      </c>
      <c r="AW99" s="704" t="n">
        <v>0</v>
      </c>
      <c r="AX99" s="704" t="n">
        <v>0</v>
      </c>
      <c r="AY99" s="704" t="n">
        <v>0</v>
      </c>
      <c r="AZ99" s="704" t="n">
        <v>0</v>
      </c>
      <c r="BA99" s="704" t="n">
        <v>0</v>
      </c>
      <c r="BB99" s="704" t="n">
        <v>0</v>
      </c>
      <c r="BC99" s="704" t="n">
        <v>0</v>
      </c>
      <c r="BD99" s="704" t="n">
        <v>0</v>
      </c>
      <c r="BE99" s="704" t="n">
        <v>0</v>
      </c>
      <c r="BF99" s="704" t="n">
        <v>0</v>
      </c>
      <c r="BG99" s="704" t="n">
        <v>0</v>
      </c>
      <c r="BH99" s="704" t="n">
        <v>0</v>
      </c>
      <c r="BI99" s="704" t="n">
        <v>0</v>
      </c>
      <c r="BJ99" s="704" t="n">
        <v>0</v>
      </c>
      <c r="BK99" s="704" t="n">
        <v>0</v>
      </c>
      <c r="BL99" s="704" t="n">
        <v>0</v>
      </c>
      <c r="BM99" s="704" t="n">
        <v>0</v>
      </c>
      <c r="BN99" s="704" t="n">
        <v>0</v>
      </c>
      <c r="BO99" s="704" t="n">
        <v>0</v>
      </c>
      <c r="BP99" s="704" t="n">
        <v>0</v>
      </c>
      <c r="BQ99" s="704" t="n">
        <v>0</v>
      </c>
      <c r="BR99" s="704" t="n">
        <v>0</v>
      </c>
      <c r="BS99" s="704" t="n">
        <v>0</v>
      </c>
      <c r="BT99" s="704" t="n">
        <v>0</v>
      </c>
      <c r="BU99" s="704" t="n">
        <v>0</v>
      </c>
      <c r="BV99" s="704" t="n">
        <v>0</v>
      </c>
      <c r="BW99" s="704" t="n">
        <v>0</v>
      </c>
      <c r="BX99" s="704" t="n">
        <v>0</v>
      </c>
      <c r="BY99" s="704" t="n">
        <v>0</v>
      </c>
      <c r="BZ99" s="704" t="n">
        <v>0</v>
      </c>
      <c r="CA99" s="704" t="n">
        <v>0</v>
      </c>
      <c r="CB99" s="704" t="n">
        <v>0</v>
      </c>
      <c r="CC99" s="704" t="n">
        <v>0</v>
      </c>
      <c r="CD99" s="704" t="n">
        <v>0</v>
      </c>
      <c r="CE99" s="704" t="n">
        <v>0</v>
      </c>
      <c r="CF99" s="704" t="n">
        <v>0</v>
      </c>
      <c r="CG99" s="704" t="n">
        <v>0</v>
      </c>
      <c r="CH99" s="704" t="n">
        <v>0</v>
      </c>
      <c r="CI99" s="704" t="n">
        <v>0</v>
      </c>
      <c r="CJ99" s="704" t="n">
        <v>0</v>
      </c>
      <c r="CK99" s="704" t="n">
        <v>0</v>
      </c>
      <c r="CL99" s="704" t="n">
        <v>0</v>
      </c>
      <c r="CM99" s="704" t="n">
        <v>0</v>
      </c>
      <c r="CN99" s="704" t="n">
        <v>0</v>
      </c>
      <c r="CO99" s="704" t="n">
        <v>0</v>
      </c>
      <c r="CP99" s="704" t="n">
        <v>0</v>
      </c>
      <c r="CQ99" s="704" t="n">
        <v>0</v>
      </c>
      <c r="CR99" s="704" t="n">
        <v>0</v>
      </c>
      <c r="CS99" s="704" t="n">
        <v>0</v>
      </c>
      <c r="CT99" s="704" t="n">
        <v>0</v>
      </c>
      <c r="CU99" s="704" t="n">
        <v>0</v>
      </c>
      <c r="CV99" s="704" t="n">
        <v>0</v>
      </c>
      <c r="CW99" s="704" t="n">
        <v>0</v>
      </c>
      <c r="CX99" s="704" t="n">
        <v>0</v>
      </c>
      <c r="CY99" s="704" t="n">
        <v>0</v>
      </c>
      <c r="CZ99" s="704" t="n">
        <v>0</v>
      </c>
      <c r="DA99" s="704" t="n">
        <v>0</v>
      </c>
      <c r="DB99" s="704" t="n">
        <v>0</v>
      </c>
      <c r="DC99" s="704" t="n">
        <v>0</v>
      </c>
      <c r="DD99" s="704" t="n">
        <v>0</v>
      </c>
      <c r="DE99" s="704" t="n">
        <v>0</v>
      </c>
      <c r="DF99" s="704" t="n">
        <v>0</v>
      </c>
      <c r="DG99" s="704" t="n">
        <v>0</v>
      </c>
      <c r="DH99" s="704" t="n">
        <v>0</v>
      </c>
      <c r="DI99" s="704" t="n">
        <v>0</v>
      </c>
      <c r="DJ99" s="704" t="n">
        <v>0</v>
      </c>
      <c r="DK99" s="704" t="n">
        <v>0</v>
      </c>
      <c r="DL99" s="704" t="n">
        <v>0</v>
      </c>
      <c r="DM99" s="704" t="n">
        <v>0</v>
      </c>
    </row>
    <row r="100" ht="13.5" customHeight="1" s="355">
      <c r="B100" s="705" t="inlineStr">
        <is>
          <t>Grand Total</t>
        </is>
      </c>
      <c r="C100" s="706" t="n"/>
      <c r="D100" s="707" t="n">
        <v>0</v>
      </c>
      <c r="E100" s="707" t="n">
        <v>0</v>
      </c>
      <c r="F100" s="707" t="n">
        <v>0</v>
      </c>
      <c r="G100" s="707" t="n">
        <v>0</v>
      </c>
      <c r="H100" s="707" t="n">
        <v>0</v>
      </c>
      <c r="I100" s="707" t="n">
        <v>0</v>
      </c>
      <c r="J100" s="707" t="n">
        <v>0</v>
      </c>
      <c r="K100" s="707" t="n">
        <v>0</v>
      </c>
      <c r="L100" s="707" t="n">
        <v>0</v>
      </c>
      <c r="M100" s="707" t="n">
        <v>0</v>
      </c>
      <c r="N100" s="707" t="n">
        <v>0</v>
      </c>
      <c r="O100" s="707" t="n">
        <v>0</v>
      </c>
      <c r="P100" s="707" t="n">
        <v>0</v>
      </c>
      <c r="Q100" s="707" t="n">
        <v>0</v>
      </c>
      <c r="R100" s="707" t="n">
        <v>0</v>
      </c>
      <c r="S100" s="707" t="n">
        <v>0</v>
      </c>
      <c r="T100" s="707" t="n">
        <v>0</v>
      </c>
      <c r="U100" s="707" t="n">
        <v>0</v>
      </c>
      <c r="V100" s="707" t="n">
        <v>0</v>
      </c>
      <c r="W100" s="707" t="n">
        <v>0</v>
      </c>
      <c r="X100" s="707" t="n">
        <v>0</v>
      </c>
      <c r="Y100" s="707" t="n">
        <v>0</v>
      </c>
      <c r="Z100" s="707" t="n">
        <v>0</v>
      </c>
      <c r="AA100" s="707" t="n">
        <v>0</v>
      </c>
      <c r="AB100" s="707" t="n">
        <v>0</v>
      </c>
      <c r="AC100" s="707" t="n">
        <v>0</v>
      </c>
      <c r="AD100" s="707" t="n">
        <v>0</v>
      </c>
      <c r="AE100" s="707" t="n">
        <v>0</v>
      </c>
      <c r="AF100" s="707" t="n">
        <v>0</v>
      </c>
      <c r="AG100" s="707" t="n">
        <v>0</v>
      </c>
      <c r="AH100" s="707" t="n">
        <v>0</v>
      </c>
      <c r="AI100" s="707" t="n">
        <v>0</v>
      </c>
      <c r="AJ100" s="707" t="n">
        <v>0</v>
      </c>
      <c r="AK100" s="707" t="n">
        <v>0</v>
      </c>
      <c r="AL100" s="707" t="n">
        <v>0</v>
      </c>
      <c r="AM100" s="707" t="n">
        <v>0</v>
      </c>
      <c r="AN100" s="707" t="n">
        <v>0</v>
      </c>
      <c r="AO100" s="707" t="n">
        <v>0</v>
      </c>
      <c r="AP100" s="707" t="n">
        <v>0</v>
      </c>
      <c r="AQ100" s="707" t="n">
        <v>0</v>
      </c>
      <c r="AR100" s="707" t="n">
        <v>0</v>
      </c>
      <c r="AS100" s="707" t="n">
        <v>0</v>
      </c>
      <c r="AT100" s="707" t="n">
        <v>0</v>
      </c>
      <c r="AU100" s="707" t="n">
        <v>0</v>
      </c>
      <c r="AV100" s="707" t="n">
        <v>0</v>
      </c>
      <c r="AW100" s="707" t="n">
        <v>0</v>
      </c>
      <c r="AX100" s="707" t="n">
        <v>0</v>
      </c>
      <c r="AY100" s="707" t="n">
        <v>0</v>
      </c>
      <c r="AZ100" s="707" t="n">
        <v>0</v>
      </c>
      <c r="BA100" s="707" t="n">
        <v>0</v>
      </c>
      <c r="BB100" s="707" t="n">
        <v>0</v>
      </c>
      <c r="BC100" s="707" t="n">
        <v>0</v>
      </c>
      <c r="BD100" s="707" t="n">
        <v>0</v>
      </c>
      <c r="BE100" s="707" t="n">
        <v>0</v>
      </c>
      <c r="BF100" s="707" t="n">
        <v>0</v>
      </c>
      <c r="BG100" s="707" t="n">
        <v>0</v>
      </c>
      <c r="BH100" s="707" t="n">
        <v>0</v>
      </c>
      <c r="BI100" s="707" t="n">
        <v>0</v>
      </c>
      <c r="BJ100" s="707" t="n">
        <v>0</v>
      </c>
      <c r="BK100" s="707" t="n">
        <v>0</v>
      </c>
      <c r="BL100" s="707" t="n">
        <v>0</v>
      </c>
      <c r="BM100" s="707" t="n">
        <v>0</v>
      </c>
      <c r="BN100" s="707" t="n">
        <v>0</v>
      </c>
      <c r="BO100" s="707" t="n">
        <v>0</v>
      </c>
      <c r="BP100" s="707" t="n">
        <v>0</v>
      </c>
      <c r="BQ100" s="707" t="n">
        <v>0</v>
      </c>
      <c r="BR100" s="707" t="n">
        <v>0</v>
      </c>
      <c r="BS100" s="707" t="n">
        <v>0</v>
      </c>
      <c r="BT100" s="707" t="n">
        <v>0</v>
      </c>
      <c r="BU100" s="707" t="n">
        <v>0</v>
      </c>
      <c r="BV100" s="707" t="n">
        <v>0</v>
      </c>
      <c r="BW100" s="707" t="n">
        <v>0</v>
      </c>
      <c r="BX100" s="707" t="n">
        <v>0</v>
      </c>
      <c r="BY100" s="707" t="n">
        <v>0</v>
      </c>
      <c r="BZ100" s="707" t="n">
        <v>0</v>
      </c>
      <c r="CA100" s="707" t="n">
        <v>0</v>
      </c>
      <c r="CB100" s="707" t="n">
        <v>0</v>
      </c>
      <c r="CC100" s="707" t="n">
        <v>0</v>
      </c>
      <c r="CD100" s="707" t="n">
        <v>0</v>
      </c>
      <c r="CE100" s="707" t="n">
        <v>0</v>
      </c>
      <c r="CF100" s="707" t="n">
        <v>0</v>
      </c>
      <c r="CG100" s="707" t="n">
        <v>0</v>
      </c>
      <c r="CH100" s="707" t="n">
        <v>0</v>
      </c>
      <c r="CI100" s="707" t="n">
        <v>0</v>
      </c>
      <c r="CJ100" s="707" t="n">
        <v>0</v>
      </c>
      <c r="CK100" s="707" t="n">
        <v>0</v>
      </c>
      <c r="CL100" s="707" t="n">
        <v>0</v>
      </c>
      <c r="CM100" s="707" t="n">
        <v>0</v>
      </c>
      <c r="CN100" s="707" t="n">
        <v>0</v>
      </c>
      <c r="CO100" s="707" t="n">
        <v>0</v>
      </c>
      <c r="CP100" s="707" t="n">
        <v>0</v>
      </c>
      <c r="CQ100" s="707" t="n">
        <v>0</v>
      </c>
      <c r="CR100" s="707" t="n">
        <v>0</v>
      </c>
      <c r="CS100" s="707" t="n">
        <v>0</v>
      </c>
      <c r="CT100" s="707" t="n">
        <v>0</v>
      </c>
      <c r="CU100" s="707" t="n">
        <v>0</v>
      </c>
      <c r="CV100" s="707" t="n">
        <v>0</v>
      </c>
      <c r="CW100" s="707" t="n">
        <v>0</v>
      </c>
      <c r="CX100" s="707" t="n">
        <v>0</v>
      </c>
      <c r="CY100" s="707" t="n">
        <v>0</v>
      </c>
      <c r="CZ100" s="707" t="n">
        <v>0</v>
      </c>
      <c r="DA100" s="707" t="n">
        <v>0</v>
      </c>
      <c r="DB100" s="707" t="n">
        <v>0</v>
      </c>
      <c r="DC100" s="707" t="n">
        <v>0</v>
      </c>
      <c r="DD100" s="707" t="n">
        <v>0</v>
      </c>
      <c r="DE100" s="707" t="n">
        <v>0</v>
      </c>
      <c r="DF100" s="707" t="n">
        <v>0</v>
      </c>
      <c r="DG100" s="707" t="n">
        <v>0</v>
      </c>
      <c r="DH100" s="707" t="n">
        <v>0</v>
      </c>
      <c r="DI100" s="707" t="n">
        <v>0</v>
      </c>
      <c r="DJ100" s="707" t="n">
        <v>0</v>
      </c>
      <c r="DK100" s="707" t="n">
        <v>0</v>
      </c>
      <c r="DL100" s="707" t="n">
        <v>0</v>
      </c>
      <c r="DM100" s="707" t="n">
        <v>0</v>
      </c>
    </row>
    <row r="101" ht="13.5" customHeight="1" s="355">
      <c r="A101" s="702" t="inlineStr">
        <is>
          <t>Country 10</t>
        </is>
      </c>
      <c r="B101" s="703" t="inlineStr">
        <is>
          <t>Gen Acctg</t>
        </is>
      </c>
      <c r="D101" s="704" t="n">
        <v>0</v>
      </c>
      <c r="E101" s="704" t="n">
        <v>0</v>
      </c>
      <c r="F101" s="704" t="n">
        <v>0</v>
      </c>
      <c r="G101" s="704" t="n">
        <v>0</v>
      </c>
      <c r="H101" s="704" t="n">
        <v>0</v>
      </c>
      <c r="I101" s="704" t="n">
        <v>0</v>
      </c>
      <c r="J101" s="704" t="n">
        <v>0</v>
      </c>
      <c r="K101" s="704" t="n">
        <v>0</v>
      </c>
      <c r="L101" s="704" t="n">
        <v>0</v>
      </c>
      <c r="M101" s="704" t="n">
        <v>0</v>
      </c>
      <c r="N101" s="704" t="n">
        <v>0</v>
      </c>
      <c r="O101" s="704" t="n">
        <v>0</v>
      </c>
      <c r="P101" s="704" t="n">
        <v>0</v>
      </c>
      <c r="Q101" s="704" t="n">
        <v>0</v>
      </c>
      <c r="R101" s="704" t="n">
        <v>0</v>
      </c>
      <c r="S101" s="704" t="n">
        <v>0</v>
      </c>
      <c r="T101" s="704" t="n">
        <v>0</v>
      </c>
      <c r="U101" s="704" t="n">
        <v>0</v>
      </c>
      <c r="V101" s="704" t="n">
        <v>0</v>
      </c>
      <c r="W101" s="704" t="n">
        <v>0</v>
      </c>
      <c r="X101" s="704" t="n">
        <v>0</v>
      </c>
      <c r="Y101" s="704" t="n">
        <v>0</v>
      </c>
      <c r="Z101" s="704" t="n">
        <v>0</v>
      </c>
      <c r="AA101" s="704" t="n">
        <v>0</v>
      </c>
      <c r="AB101" s="704" t="n">
        <v>0</v>
      </c>
      <c r="AC101" s="704" t="n">
        <v>0</v>
      </c>
      <c r="AD101" s="704" t="n">
        <v>0</v>
      </c>
      <c r="AE101" s="704" t="n">
        <v>0</v>
      </c>
      <c r="AF101" s="704" t="n">
        <v>0</v>
      </c>
      <c r="AG101" s="704" t="n">
        <v>0</v>
      </c>
      <c r="AH101" s="704" t="n">
        <v>0</v>
      </c>
      <c r="AI101" s="704" t="n">
        <v>0</v>
      </c>
      <c r="AJ101" s="704" t="n">
        <v>0</v>
      </c>
      <c r="AK101" s="704" t="n">
        <v>0</v>
      </c>
      <c r="AL101" s="704" t="n">
        <v>0</v>
      </c>
      <c r="AM101" s="704" t="n">
        <v>0</v>
      </c>
      <c r="AN101" s="704" t="n">
        <v>0</v>
      </c>
      <c r="AO101" s="704" t="n">
        <v>0</v>
      </c>
      <c r="AP101" s="704" t="n">
        <v>0</v>
      </c>
      <c r="AQ101" s="704" t="n">
        <v>0</v>
      </c>
      <c r="AR101" s="704" t="n">
        <v>0</v>
      </c>
      <c r="AS101" s="704" t="n">
        <v>0</v>
      </c>
      <c r="AT101" s="704" t="n">
        <v>0</v>
      </c>
      <c r="AU101" s="704" t="n">
        <v>0</v>
      </c>
      <c r="AV101" s="704" t="n">
        <v>0</v>
      </c>
      <c r="AW101" s="704" t="n">
        <v>0</v>
      </c>
      <c r="AX101" s="704" t="n">
        <v>0</v>
      </c>
      <c r="AY101" s="704" t="n">
        <v>0</v>
      </c>
      <c r="AZ101" s="704" t="n">
        <v>0</v>
      </c>
      <c r="BA101" s="704" t="n">
        <v>0</v>
      </c>
      <c r="BB101" s="704" t="n">
        <v>0</v>
      </c>
      <c r="BC101" s="704" t="n">
        <v>0</v>
      </c>
      <c r="BD101" s="704" t="n">
        <v>0</v>
      </c>
      <c r="BE101" s="704" t="n">
        <v>0</v>
      </c>
      <c r="BF101" s="704" t="n">
        <v>0</v>
      </c>
      <c r="BG101" s="704" t="n">
        <v>0</v>
      </c>
      <c r="BH101" s="704" t="n">
        <v>0</v>
      </c>
      <c r="BI101" s="704" t="n">
        <v>0</v>
      </c>
      <c r="BJ101" s="704" t="n">
        <v>0</v>
      </c>
      <c r="BK101" s="704" t="n">
        <v>0</v>
      </c>
      <c r="BL101" s="704" t="n">
        <v>0</v>
      </c>
      <c r="BM101" s="704" t="n">
        <v>0</v>
      </c>
      <c r="BN101" s="704" t="n">
        <v>0</v>
      </c>
      <c r="BO101" s="704" t="n">
        <v>0</v>
      </c>
      <c r="BP101" s="704" t="n">
        <v>0</v>
      </c>
      <c r="BQ101" s="704" t="n">
        <v>0</v>
      </c>
      <c r="BR101" s="704" t="n">
        <v>0</v>
      </c>
      <c r="BS101" s="704" t="n">
        <v>0</v>
      </c>
      <c r="BT101" s="704" t="n">
        <v>0</v>
      </c>
      <c r="BU101" s="704" t="n">
        <v>0</v>
      </c>
      <c r="BV101" s="704" t="n">
        <v>0</v>
      </c>
      <c r="BW101" s="704" t="n">
        <v>0</v>
      </c>
      <c r="BX101" s="704" t="n">
        <v>0</v>
      </c>
      <c r="BY101" s="704" t="n">
        <v>0</v>
      </c>
      <c r="BZ101" s="704" t="n">
        <v>0</v>
      </c>
      <c r="CA101" s="704" t="n">
        <v>0</v>
      </c>
      <c r="CB101" s="704" t="n">
        <v>0</v>
      </c>
      <c r="CC101" s="704" t="n">
        <v>0</v>
      </c>
      <c r="CD101" s="704" t="n">
        <v>0</v>
      </c>
      <c r="CE101" s="704" t="n">
        <v>0</v>
      </c>
      <c r="CF101" s="704" t="n">
        <v>0</v>
      </c>
      <c r="CG101" s="704" t="n">
        <v>0</v>
      </c>
      <c r="CH101" s="704" t="n">
        <v>0</v>
      </c>
      <c r="CI101" s="704" t="n">
        <v>0</v>
      </c>
      <c r="CJ101" s="704" t="n">
        <v>0</v>
      </c>
      <c r="CK101" s="704" t="n">
        <v>0</v>
      </c>
      <c r="CL101" s="704" t="n">
        <v>0</v>
      </c>
      <c r="CM101" s="704" t="n">
        <v>0</v>
      </c>
      <c r="CN101" s="704" t="n">
        <v>0</v>
      </c>
      <c r="CO101" s="704" t="n">
        <v>0</v>
      </c>
      <c r="CP101" s="704" t="n">
        <v>0</v>
      </c>
      <c r="CQ101" s="704" t="n">
        <v>0</v>
      </c>
      <c r="CR101" s="704" t="n">
        <v>0</v>
      </c>
      <c r="CS101" s="704" t="n">
        <v>0</v>
      </c>
      <c r="CT101" s="704" t="n">
        <v>0</v>
      </c>
      <c r="CU101" s="704" t="n">
        <v>0</v>
      </c>
      <c r="CV101" s="704" t="n">
        <v>0</v>
      </c>
      <c r="CW101" s="704" t="n">
        <v>0</v>
      </c>
      <c r="CX101" s="704" t="n">
        <v>0</v>
      </c>
      <c r="CY101" s="704" t="n">
        <v>0</v>
      </c>
      <c r="CZ101" s="704" t="n">
        <v>0</v>
      </c>
      <c r="DA101" s="704" t="n">
        <v>0</v>
      </c>
      <c r="DB101" s="704" t="n">
        <v>0</v>
      </c>
      <c r="DC101" s="704" t="n">
        <v>0</v>
      </c>
      <c r="DD101" s="704" t="n">
        <v>0</v>
      </c>
      <c r="DE101" s="704" t="n">
        <v>0</v>
      </c>
      <c r="DF101" s="704" t="n">
        <v>0</v>
      </c>
      <c r="DG101" s="704" t="n">
        <v>0</v>
      </c>
      <c r="DH101" s="704" t="n">
        <v>0</v>
      </c>
      <c r="DI101" s="704" t="n">
        <v>0</v>
      </c>
      <c r="DJ101" s="704" t="n">
        <v>0</v>
      </c>
      <c r="DK101" s="704" t="n">
        <v>0</v>
      </c>
      <c r="DL101" s="704" t="n">
        <v>0</v>
      </c>
      <c r="DM101" s="704" t="n">
        <v>0</v>
      </c>
    </row>
    <row r="102" ht="13.5" customHeight="1" s="355">
      <c r="B102" s="703" t="inlineStr">
        <is>
          <t>Reporting</t>
        </is>
      </c>
      <c r="D102" s="704" t="n">
        <v>0</v>
      </c>
      <c r="E102" s="704" t="n">
        <v>0</v>
      </c>
      <c r="F102" s="704" t="n">
        <v>0</v>
      </c>
      <c r="G102" s="704" t="n">
        <v>0</v>
      </c>
      <c r="H102" s="704" t="n">
        <v>0</v>
      </c>
      <c r="I102" s="704" t="n">
        <v>0</v>
      </c>
      <c r="J102" s="704" t="n">
        <v>0</v>
      </c>
      <c r="K102" s="704" t="n">
        <v>0</v>
      </c>
      <c r="L102" s="704" t="n">
        <v>0</v>
      </c>
      <c r="M102" s="704" t="n">
        <v>0</v>
      </c>
      <c r="N102" s="704" t="n">
        <v>0</v>
      </c>
      <c r="O102" s="704" t="n">
        <v>0</v>
      </c>
      <c r="P102" s="704" t="n">
        <v>0</v>
      </c>
      <c r="Q102" s="704" t="n">
        <v>0</v>
      </c>
      <c r="R102" s="704" t="n">
        <v>0</v>
      </c>
      <c r="S102" s="704" t="n">
        <v>0</v>
      </c>
      <c r="T102" s="704" t="n">
        <v>0</v>
      </c>
      <c r="U102" s="704" t="n">
        <v>0</v>
      </c>
      <c r="V102" s="704" t="n">
        <v>0</v>
      </c>
      <c r="W102" s="704" t="n">
        <v>0</v>
      </c>
      <c r="X102" s="704" t="n">
        <v>0</v>
      </c>
      <c r="Y102" s="704" t="n">
        <v>0</v>
      </c>
      <c r="Z102" s="704" t="n">
        <v>0</v>
      </c>
      <c r="AA102" s="704" t="n">
        <v>0</v>
      </c>
      <c r="AB102" s="704" t="n">
        <v>0</v>
      </c>
      <c r="AC102" s="704" t="n">
        <v>0</v>
      </c>
      <c r="AD102" s="704" t="n">
        <v>0</v>
      </c>
      <c r="AE102" s="704" t="n">
        <v>0</v>
      </c>
      <c r="AF102" s="704" t="n">
        <v>0</v>
      </c>
      <c r="AG102" s="704" t="n">
        <v>0</v>
      </c>
      <c r="AH102" s="704" t="n">
        <v>0</v>
      </c>
      <c r="AI102" s="704" t="n">
        <v>0</v>
      </c>
      <c r="AJ102" s="704" t="n">
        <v>0</v>
      </c>
      <c r="AK102" s="704" t="n">
        <v>0</v>
      </c>
      <c r="AL102" s="704" t="n">
        <v>0</v>
      </c>
      <c r="AM102" s="704" t="n">
        <v>0</v>
      </c>
      <c r="AN102" s="704" t="n">
        <v>0</v>
      </c>
      <c r="AO102" s="704" t="n">
        <v>0</v>
      </c>
      <c r="AP102" s="704" t="n">
        <v>0</v>
      </c>
      <c r="AQ102" s="704" t="n">
        <v>0</v>
      </c>
      <c r="AR102" s="704" t="n">
        <v>0</v>
      </c>
      <c r="AS102" s="704" t="n">
        <v>0</v>
      </c>
      <c r="AT102" s="704" t="n">
        <v>0</v>
      </c>
      <c r="AU102" s="704" t="n">
        <v>0</v>
      </c>
      <c r="AV102" s="704" t="n">
        <v>0</v>
      </c>
      <c r="AW102" s="704" t="n">
        <v>0</v>
      </c>
      <c r="AX102" s="704" t="n">
        <v>0</v>
      </c>
      <c r="AY102" s="704" t="n">
        <v>0</v>
      </c>
      <c r="AZ102" s="704" t="n">
        <v>0</v>
      </c>
      <c r="BA102" s="704" t="n">
        <v>0</v>
      </c>
      <c r="BB102" s="704" t="n">
        <v>0</v>
      </c>
      <c r="BC102" s="704" t="n">
        <v>0</v>
      </c>
      <c r="BD102" s="704" t="n">
        <v>0</v>
      </c>
      <c r="BE102" s="704" t="n">
        <v>0</v>
      </c>
      <c r="BF102" s="704" t="n">
        <v>0</v>
      </c>
      <c r="BG102" s="704" t="n">
        <v>0</v>
      </c>
      <c r="BH102" s="704" t="n">
        <v>0</v>
      </c>
      <c r="BI102" s="704" t="n">
        <v>0</v>
      </c>
      <c r="BJ102" s="704" t="n">
        <v>0</v>
      </c>
      <c r="BK102" s="704" t="n">
        <v>0</v>
      </c>
      <c r="BL102" s="704" t="n">
        <v>0</v>
      </c>
      <c r="BM102" s="704" t="n">
        <v>0</v>
      </c>
      <c r="BN102" s="704" t="n">
        <v>0</v>
      </c>
      <c r="BO102" s="704" t="n">
        <v>0</v>
      </c>
      <c r="BP102" s="704" t="n">
        <v>0</v>
      </c>
      <c r="BQ102" s="704" t="n">
        <v>0</v>
      </c>
      <c r="BR102" s="704" t="n">
        <v>0</v>
      </c>
      <c r="BS102" s="704" t="n">
        <v>0</v>
      </c>
      <c r="BT102" s="704" t="n">
        <v>0</v>
      </c>
      <c r="BU102" s="704" t="n">
        <v>0</v>
      </c>
      <c r="BV102" s="704" t="n">
        <v>0</v>
      </c>
      <c r="BW102" s="704" t="n">
        <v>0</v>
      </c>
      <c r="BX102" s="704" t="n">
        <v>0</v>
      </c>
      <c r="BY102" s="704" t="n">
        <v>0</v>
      </c>
      <c r="BZ102" s="704" t="n">
        <v>0</v>
      </c>
      <c r="CA102" s="704" t="n">
        <v>0</v>
      </c>
      <c r="CB102" s="704" t="n">
        <v>0</v>
      </c>
      <c r="CC102" s="704" t="n">
        <v>0</v>
      </c>
      <c r="CD102" s="704" t="n">
        <v>0</v>
      </c>
      <c r="CE102" s="704" t="n">
        <v>0</v>
      </c>
      <c r="CF102" s="704" t="n">
        <v>0</v>
      </c>
      <c r="CG102" s="704" t="n">
        <v>0</v>
      </c>
      <c r="CH102" s="704" t="n">
        <v>0</v>
      </c>
      <c r="CI102" s="704" t="n">
        <v>0</v>
      </c>
      <c r="CJ102" s="704" t="n">
        <v>0</v>
      </c>
      <c r="CK102" s="704" t="n">
        <v>0</v>
      </c>
      <c r="CL102" s="704" t="n">
        <v>0</v>
      </c>
      <c r="CM102" s="704" t="n">
        <v>0</v>
      </c>
      <c r="CN102" s="704" t="n">
        <v>0</v>
      </c>
      <c r="CO102" s="704" t="n">
        <v>0</v>
      </c>
      <c r="CP102" s="704" t="n">
        <v>0</v>
      </c>
      <c r="CQ102" s="704" t="n">
        <v>0</v>
      </c>
      <c r="CR102" s="704" t="n">
        <v>0</v>
      </c>
      <c r="CS102" s="704" t="n">
        <v>0</v>
      </c>
      <c r="CT102" s="704" t="n">
        <v>0</v>
      </c>
      <c r="CU102" s="704" t="n">
        <v>0</v>
      </c>
      <c r="CV102" s="704" t="n">
        <v>0</v>
      </c>
      <c r="CW102" s="704" t="n">
        <v>0</v>
      </c>
      <c r="CX102" s="704" t="n">
        <v>0</v>
      </c>
      <c r="CY102" s="704" t="n">
        <v>0</v>
      </c>
      <c r="CZ102" s="704" t="n">
        <v>0</v>
      </c>
      <c r="DA102" s="704" t="n">
        <v>0</v>
      </c>
      <c r="DB102" s="704" t="n">
        <v>0</v>
      </c>
      <c r="DC102" s="704" t="n">
        <v>0</v>
      </c>
      <c r="DD102" s="704" t="n">
        <v>0</v>
      </c>
      <c r="DE102" s="704" t="n">
        <v>0</v>
      </c>
      <c r="DF102" s="704" t="n">
        <v>0</v>
      </c>
      <c r="DG102" s="704" t="n">
        <v>0</v>
      </c>
      <c r="DH102" s="704" t="n">
        <v>0</v>
      </c>
      <c r="DI102" s="704" t="n">
        <v>0</v>
      </c>
      <c r="DJ102" s="704" t="n">
        <v>0</v>
      </c>
      <c r="DK102" s="704" t="n">
        <v>0</v>
      </c>
      <c r="DL102" s="704" t="n">
        <v>0</v>
      </c>
      <c r="DM102" s="704" t="n">
        <v>0</v>
      </c>
    </row>
    <row r="103" ht="13.5" customHeight="1" s="355">
      <c r="B103" s="703" t="inlineStr">
        <is>
          <t>Fixed Assets</t>
        </is>
      </c>
      <c r="D103" s="704" t="n">
        <v>0</v>
      </c>
      <c r="E103" s="704" t="n">
        <v>0</v>
      </c>
      <c r="F103" s="704" t="n">
        <v>0</v>
      </c>
      <c r="G103" s="704" t="n">
        <v>0</v>
      </c>
      <c r="H103" s="704" t="n">
        <v>0</v>
      </c>
      <c r="I103" s="704" t="n">
        <v>0</v>
      </c>
      <c r="J103" s="704" t="n">
        <v>0</v>
      </c>
      <c r="K103" s="704" t="n">
        <v>0</v>
      </c>
      <c r="L103" s="704" t="n">
        <v>0</v>
      </c>
      <c r="M103" s="704" t="n">
        <v>0</v>
      </c>
      <c r="N103" s="704" t="n">
        <v>0</v>
      </c>
      <c r="O103" s="704" t="n">
        <v>0</v>
      </c>
      <c r="P103" s="704" t="n">
        <v>0</v>
      </c>
      <c r="Q103" s="704" t="n">
        <v>0</v>
      </c>
      <c r="R103" s="704" t="n">
        <v>0</v>
      </c>
      <c r="S103" s="704" t="n">
        <v>0</v>
      </c>
      <c r="T103" s="704" t="n">
        <v>0</v>
      </c>
      <c r="U103" s="704" t="n">
        <v>0</v>
      </c>
      <c r="V103" s="704" t="n">
        <v>0</v>
      </c>
      <c r="W103" s="704" t="n">
        <v>0</v>
      </c>
      <c r="X103" s="704" t="n">
        <v>0</v>
      </c>
      <c r="Y103" s="704" t="n">
        <v>0</v>
      </c>
      <c r="Z103" s="704" t="n">
        <v>0</v>
      </c>
      <c r="AA103" s="704" t="n">
        <v>0</v>
      </c>
      <c r="AB103" s="704" t="n">
        <v>0</v>
      </c>
      <c r="AC103" s="704" t="n">
        <v>0</v>
      </c>
      <c r="AD103" s="704" t="n">
        <v>0</v>
      </c>
      <c r="AE103" s="704" t="n">
        <v>0</v>
      </c>
      <c r="AF103" s="704" t="n">
        <v>0</v>
      </c>
      <c r="AG103" s="704" t="n">
        <v>0</v>
      </c>
      <c r="AH103" s="704" t="n">
        <v>0</v>
      </c>
      <c r="AI103" s="704" t="n">
        <v>0</v>
      </c>
      <c r="AJ103" s="704" t="n">
        <v>0</v>
      </c>
      <c r="AK103" s="704" t="n">
        <v>0</v>
      </c>
      <c r="AL103" s="704" t="n">
        <v>0</v>
      </c>
      <c r="AM103" s="704" t="n">
        <v>0</v>
      </c>
      <c r="AN103" s="704" t="n">
        <v>0</v>
      </c>
      <c r="AO103" s="704" t="n">
        <v>0</v>
      </c>
      <c r="AP103" s="704" t="n">
        <v>0</v>
      </c>
      <c r="AQ103" s="704" t="n">
        <v>0</v>
      </c>
      <c r="AR103" s="704" t="n">
        <v>0</v>
      </c>
      <c r="AS103" s="704" t="n">
        <v>0</v>
      </c>
      <c r="AT103" s="704" t="n">
        <v>0</v>
      </c>
      <c r="AU103" s="704" t="n">
        <v>0</v>
      </c>
      <c r="AV103" s="704" t="n">
        <v>0</v>
      </c>
      <c r="AW103" s="704" t="n">
        <v>0</v>
      </c>
      <c r="AX103" s="704" t="n">
        <v>0</v>
      </c>
      <c r="AY103" s="704" t="n">
        <v>0</v>
      </c>
      <c r="AZ103" s="704" t="n">
        <v>0</v>
      </c>
      <c r="BA103" s="704" t="n">
        <v>0</v>
      </c>
      <c r="BB103" s="704" t="n">
        <v>0</v>
      </c>
      <c r="BC103" s="704" t="n">
        <v>0</v>
      </c>
      <c r="BD103" s="704" t="n">
        <v>0</v>
      </c>
      <c r="BE103" s="704" t="n">
        <v>0</v>
      </c>
      <c r="BF103" s="704" t="n">
        <v>0</v>
      </c>
      <c r="BG103" s="704" t="n">
        <v>0</v>
      </c>
      <c r="BH103" s="704" t="n">
        <v>0</v>
      </c>
      <c r="BI103" s="704" t="n">
        <v>0</v>
      </c>
      <c r="BJ103" s="704" t="n">
        <v>0</v>
      </c>
      <c r="BK103" s="704" t="n">
        <v>0</v>
      </c>
      <c r="BL103" s="704" t="n">
        <v>0</v>
      </c>
      <c r="BM103" s="704" t="n">
        <v>0</v>
      </c>
      <c r="BN103" s="704" t="n">
        <v>0</v>
      </c>
      <c r="BO103" s="704" t="n">
        <v>0</v>
      </c>
      <c r="BP103" s="704" t="n">
        <v>0</v>
      </c>
      <c r="BQ103" s="704" t="n">
        <v>0</v>
      </c>
      <c r="BR103" s="704" t="n">
        <v>0</v>
      </c>
      <c r="BS103" s="704" t="n">
        <v>0</v>
      </c>
      <c r="BT103" s="704" t="n">
        <v>0</v>
      </c>
      <c r="BU103" s="704" t="n">
        <v>0</v>
      </c>
      <c r="BV103" s="704" t="n">
        <v>0</v>
      </c>
      <c r="BW103" s="704" t="n">
        <v>0</v>
      </c>
      <c r="BX103" s="704" t="n">
        <v>0</v>
      </c>
      <c r="BY103" s="704" t="n">
        <v>0</v>
      </c>
      <c r="BZ103" s="704" t="n">
        <v>0</v>
      </c>
      <c r="CA103" s="704" t="n">
        <v>0</v>
      </c>
      <c r="CB103" s="704" t="n">
        <v>0</v>
      </c>
      <c r="CC103" s="704" t="n">
        <v>0</v>
      </c>
      <c r="CD103" s="704" t="n">
        <v>0</v>
      </c>
      <c r="CE103" s="704" t="n">
        <v>0</v>
      </c>
      <c r="CF103" s="704" t="n">
        <v>0</v>
      </c>
      <c r="CG103" s="704" t="n">
        <v>0</v>
      </c>
      <c r="CH103" s="704" t="n">
        <v>0</v>
      </c>
      <c r="CI103" s="704" t="n">
        <v>0</v>
      </c>
      <c r="CJ103" s="704" t="n">
        <v>0</v>
      </c>
      <c r="CK103" s="704" t="n">
        <v>0</v>
      </c>
      <c r="CL103" s="704" t="n">
        <v>0</v>
      </c>
      <c r="CM103" s="704" t="n">
        <v>0</v>
      </c>
      <c r="CN103" s="704" t="n">
        <v>0</v>
      </c>
      <c r="CO103" s="704" t="n">
        <v>0</v>
      </c>
      <c r="CP103" s="704" t="n">
        <v>0</v>
      </c>
      <c r="CQ103" s="704" t="n">
        <v>0</v>
      </c>
      <c r="CR103" s="704" t="n">
        <v>0</v>
      </c>
      <c r="CS103" s="704" t="n">
        <v>0</v>
      </c>
      <c r="CT103" s="704" t="n">
        <v>0</v>
      </c>
      <c r="CU103" s="704" t="n">
        <v>0</v>
      </c>
      <c r="CV103" s="704" t="n">
        <v>0</v>
      </c>
      <c r="CW103" s="704" t="n">
        <v>0</v>
      </c>
      <c r="CX103" s="704" t="n">
        <v>0</v>
      </c>
      <c r="CY103" s="704" t="n">
        <v>0</v>
      </c>
      <c r="CZ103" s="704" t="n">
        <v>0</v>
      </c>
      <c r="DA103" s="704" t="n">
        <v>0</v>
      </c>
      <c r="DB103" s="704" t="n">
        <v>0</v>
      </c>
      <c r="DC103" s="704" t="n">
        <v>0</v>
      </c>
      <c r="DD103" s="704" t="n">
        <v>0</v>
      </c>
      <c r="DE103" s="704" t="n">
        <v>0</v>
      </c>
      <c r="DF103" s="704" t="n">
        <v>0</v>
      </c>
      <c r="DG103" s="704" t="n">
        <v>0</v>
      </c>
      <c r="DH103" s="704" t="n">
        <v>0</v>
      </c>
      <c r="DI103" s="704" t="n">
        <v>0</v>
      </c>
      <c r="DJ103" s="704" t="n">
        <v>0</v>
      </c>
      <c r="DK103" s="704" t="n">
        <v>0</v>
      </c>
      <c r="DL103" s="704" t="n">
        <v>0</v>
      </c>
      <c r="DM103" s="704" t="n">
        <v>0</v>
      </c>
    </row>
    <row r="104" ht="13.5" customHeight="1" s="355">
      <c r="B104" s="703" t="inlineStr">
        <is>
          <t>Acct Payable</t>
        </is>
      </c>
      <c r="D104" s="704" t="n">
        <v>0</v>
      </c>
      <c r="E104" s="704" t="n">
        <v>0</v>
      </c>
      <c r="F104" s="704" t="n">
        <v>0</v>
      </c>
      <c r="G104" s="704" t="n">
        <v>0</v>
      </c>
      <c r="H104" s="704" t="n">
        <v>0</v>
      </c>
      <c r="I104" s="704" t="n">
        <v>0</v>
      </c>
      <c r="J104" s="704" t="n">
        <v>0</v>
      </c>
      <c r="K104" s="704" t="n">
        <v>0</v>
      </c>
      <c r="L104" s="704" t="n">
        <v>0</v>
      </c>
      <c r="M104" s="704" t="n">
        <v>0</v>
      </c>
      <c r="N104" s="704" t="n">
        <v>0</v>
      </c>
      <c r="O104" s="704" t="n">
        <v>0</v>
      </c>
      <c r="P104" s="704" t="n">
        <v>0</v>
      </c>
      <c r="Q104" s="704" t="n">
        <v>0</v>
      </c>
      <c r="R104" s="704" t="n">
        <v>0</v>
      </c>
      <c r="S104" s="704" t="n">
        <v>0</v>
      </c>
      <c r="T104" s="704" t="n">
        <v>0</v>
      </c>
      <c r="U104" s="704" t="n">
        <v>0</v>
      </c>
      <c r="V104" s="704" t="n">
        <v>0</v>
      </c>
      <c r="W104" s="704" t="n">
        <v>0</v>
      </c>
      <c r="X104" s="704" t="n">
        <v>0</v>
      </c>
      <c r="Y104" s="704" t="n">
        <v>0</v>
      </c>
      <c r="Z104" s="704" t="n">
        <v>0</v>
      </c>
      <c r="AA104" s="704" t="n">
        <v>0</v>
      </c>
      <c r="AB104" s="704" t="n">
        <v>0</v>
      </c>
      <c r="AC104" s="704" t="n">
        <v>0</v>
      </c>
      <c r="AD104" s="704" t="n">
        <v>0</v>
      </c>
      <c r="AE104" s="704" t="n">
        <v>0</v>
      </c>
      <c r="AF104" s="704" t="n">
        <v>0</v>
      </c>
      <c r="AG104" s="704" t="n">
        <v>0</v>
      </c>
      <c r="AH104" s="704" t="n">
        <v>0</v>
      </c>
      <c r="AI104" s="704" t="n">
        <v>0</v>
      </c>
      <c r="AJ104" s="704" t="n">
        <v>0</v>
      </c>
      <c r="AK104" s="704" t="n">
        <v>0</v>
      </c>
      <c r="AL104" s="704" t="n">
        <v>0</v>
      </c>
      <c r="AM104" s="704" t="n">
        <v>0</v>
      </c>
      <c r="AN104" s="704" t="n">
        <v>0</v>
      </c>
      <c r="AO104" s="704" t="n">
        <v>0</v>
      </c>
      <c r="AP104" s="704" t="n">
        <v>0</v>
      </c>
      <c r="AQ104" s="704" t="n">
        <v>0</v>
      </c>
      <c r="AR104" s="704" t="n">
        <v>0</v>
      </c>
      <c r="AS104" s="704" t="n">
        <v>0</v>
      </c>
      <c r="AT104" s="704" t="n">
        <v>0</v>
      </c>
      <c r="AU104" s="704" t="n">
        <v>0</v>
      </c>
      <c r="AV104" s="704" t="n">
        <v>0</v>
      </c>
      <c r="AW104" s="704" t="n">
        <v>0</v>
      </c>
      <c r="AX104" s="704" t="n">
        <v>0</v>
      </c>
      <c r="AY104" s="704" t="n">
        <v>0</v>
      </c>
      <c r="AZ104" s="704" t="n">
        <v>0</v>
      </c>
      <c r="BA104" s="704" t="n">
        <v>0</v>
      </c>
      <c r="BB104" s="704" t="n">
        <v>0</v>
      </c>
      <c r="BC104" s="704" t="n">
        <v>0</v>
      </c>
      <c r="BD104" s="704" t="n">
        <v>0</v>
      </c>
      <c r="BE104" s="704" t="n">
        <v>0</v>
      </c>
      <c r="BF104" s="704" t="n">
        <v>0</v>
      </c>
      <c r="BG104" s="704" t="n">
        <v>0</v>
      </c>
      <c r="BH104" s="704" t="n">
        <v>0</v>
      </c>
      <c r="BI104" s="704" t="n">
        <v>0</v>
      </c>
      <c r="BJ104" s="704" t="n">
        <v>0</v>
      </c>
      <c r="BK104" s="704" t="n">
        <v>0</v>
      </c>
      <c r="BL104" s="704" t="n">
        <v>0</v>
      </c>
      <c r="BM104" s="704" t="n">
        <v>0</v>
      </c>
      <c r="BN104" s="704" t="n">
        <v>0</v>
      </c>
      <c r="BO104" s="704" t="n">
        <v>0</v>
      </c>
      <c r="BP104" s="704" t="n">
        <v>0</v>
      </c>
      <c r="BQ104" s="704" t="n">
        <v>0</v>
      </c>
      <c r="BR104" s="704" t="n">
        <v>0</v>
      </c>
      <c r="BS104" s="704" t="n">
        <v>0</v>
      </c>
      <c r="BT104" s="704" t="n">
        <v>0</v>
      </c>
      <c r="BU104" s="704" t="n">
        <v>0</v>
      </c>
      <c r="BV104" s="704" t="n">
        <v>0</v>
      </c>
      <c r="BW104" s="704" t="n">
        <v>0</v>
      </c>
      <c r="BX104" s="704" t="n">
        <v>0</v>
      </c>
      <c r="BY104" s="704" t="n">
        <v>0</v>
      </c>
      <c r="BZ104" s="704" t="n">
        <v>0</v>
      </c>
      <c r="CA104" s="704" t="n">
        <v>0</v>
      </c>
      <c r="CB104" s="704" t="n">
        <v>0</v>
      </c>
      <c r="CC104" s="704" t="n">
        <v>0</v>
      </c>
      <c r="CD104" s="704" t="n">
        <v>0</v>
      </c>
      <c r="CE104" s="704" t="n">
        <v>0</v>
      </c>
      <c r="CF104" s="704" t="n">
        <v>0</v>
      </c>
      <c r="CG104" s="704" t="n">
        <v>0</v>
      </c>
      <c r="CH104" s="704" t="n">
        <v>0</v>
      </c>
      <c r="CI104" s="704" t="n">
        <v>0</v>
      </c>
      <c r="CJ104" s="704" t="n">
        <v>0</v>
      </c>
      <c r="CK104" s="704" t="n">
        <v>0</v>
      </c>
      <c r="CL104" s="704" t="n">
        <v>0</v>
      </c>
      <c r="CM104" s="704" t="n">
        <v>0</v>
      </c>
      <c r="CN104" s="704" t="n">
        <v>0</v>
      </c>
      <c r="CO104" s="704" t="n">
        <v>0</v>
      </c>
      <c r="CP104" s="704" t="n">
        <v>0</v>
      </c>
      <c r="CQ104" s="704" t="n">
        <v>0</v>
      </c>
      <c r="CR104" s="704" t="n">
        <v>0</v>
      </c>
      <c r="CS104" s="704" t="n">
        <v>0</v>
      </c>
      <c r="CT104" s="704" t="n">
        <v>0</v>
      </c>
      <c r="CU104" s="704" t="n">
        <v>0</v>
      </c>
      <c r="CV104" s="704" t="n">
        <v>0</v>
      </c>
      <c r="CW104" s="704" t="n">
        <v>0</v>
      </c>
      <c r="CX104" s="704" t="n">
        <v>0</v>
      </c>
      <c r="CY104" s="704" t="n">
        <v>0</v>
      </c>
      <c r="CZ104" s="704" t="n">
        <v>0</v>
      </c>
      <c r="DA104" s="704" t="n">
        <v>0</v>
      </c>
      <c r="DB104" s="704" t="n">
        <v>0</v>
      </c>
      <c r="DC104" s="704" t="n">
        <v>0</v>
      </c>
      <c r="DD104" s="704" t="n">
        <v>0</v>
      </c>
      <c r="DE104" s="704" t="n">
        <v>0</v>
      </c>
      <c r="DF104" s="704" t="n">
        <v>0</v>
      </c>
      <c r="DG104" s="704" t="n">
        <v>0</v>
      </c>
      <c r="DH104" s="704" t="n">
        <v>0</v>
      </c>
      <c r="DI104" s="704" t="n">
        <v>0</v>
      </c>
      <c r="DJ104" s="704" t="n">
        <v>0</v>
      </c>
      <c r="DK104" s="704" t="n">
        <v>0</v>
      </c>
      <c r="DL104" s="704" t="n">
        <v>0</v>
      </c>
      <c r="DM104" s="704" t="n">
        <v>0</v>
      </c>
    </row>
    <row r="105" ht="13.5" customHeight="1" s="355">
      <c r="B105" s="703" t="inlineStr">
        <is>
          <t>Cash&amp;Bank</t>
        </is>
      </c>
      <c r="D105" s="704" t="n">
        <v>0</v>
      </c>
      <c r="E105" s="704" t="n">
        <v>0</v>
      </c>
      <c r="F105" s="704" t="n">
        <v>0</v>
      </c>
      <c r="G105" s="704" t="n">
        <v>0</v>
      </c>
      <c r="H105" s="704" t="n">
        <v>0</v>
      </c>
      <c r="I105" s="704" t="n">
        <v>0</v>
      </c>
      <c r="J105" s="704" t="n">
        <v>0</v>
      </c>
      <c r="K105" s="704" t="n">
        <v>0</v>
      </c>
      <c r="L105" s="704" t="n">
        <v>0</v>
      </c>
      <c r="M105" s="704" t="n">
        <v>0</v>
      </c>
      <c r="N105" s="704" t="n">
        <v>0</v>
      </c>
      <c r="O105" s="704" t="n">
        <v>0</v>
      </c>
      <c r="P105" s="704" t="n">
        <v>0</v>
      </c>
      <c r="Q105" s="704" t="n">
        <v>0</v>
      </c>
      <c r="R105" s="704" t="n">
        <v>0</v>
      </c>
      <c r="S105" s="704" t="n">
        <v>0</v>
      </c>
      <c r="T105" s="704" t="n">
        <v>0</v>
      </c>
      <c r="U105" s="704" t="n">
        <v>0</v>
      </c>
      <c r="V105" s="704" t="n">
        <v>0</v>
      </c>
      <c r="W105" s="704" t="n">
        <v>0</v>
      </c>
      <c r="X105" s="704" t="n">
        <v>0</v>
      </c>
      <c r="Y105" s="704" t="n">
        <v>0</v>
      </c>
      <c r="Z105" s="704" t="n">
        <v>0</v>
      </c>
      <c r="AA105" s="704" t="n">
        <v>0</v>
      </c>
      <c r="AB105" s="704" t="n">
        <v>0</v>
      </c>
      <c r="AC105" s="704" t="n">
        <v>0</v>
      </c>
      <c r="AD105" s="704" t="n">
        <v>0</v>
      </c>
      <c r="AE105" s="704" t="n">
        <v>0</v>
      </c>
      <c r="AF105" s="704" t="n">
        <v>0</v>
      </c>
      <c r="AG105" s="704" t="n">
        <v>0</v>
      </c>
      <c r="AH105" s="704" t="n">
        <v>0</v>
      </c>
      <c r="AI105" s="704" t="n">
        <v>0</v>
      </c>
      <c r="AJ105" s="704" t="n">
        <v>0</v>
      </c>
      <c r="AK105" s="704" t="n">
        <v>0</v>
      </c>
      <c r="AL105" s="704" t="n">
        <v>0</v>
      </c>
      <c r="AM105" s="704" t="n">
        <v>0</v>
      </c>
      <c r="AN105" s="704" t="n">
        <v>0</v>
      </c>
      <c r="AO105" s="704" t="n">
        <v>0</v>
      </c>
      <c r="AP105" s="704" t="n">
        <v>0</v>
      </c>
      <c r="AQ105" s="704" t="n">
        <v>0</v>
      </c>
      <c r="AR105" s="704" t="n">
        <v>0</v>
      </c>
      <c r="AS105" s="704" t="n">
        <v>0</v>
      </c>
      <c r="AT105" s="704" t="n">
        <v>0</v>
      </c>
      <c r="AU105" s="704" t="n">
        <v>0</v>
      </c>
      <c r="AV105" s="704" t="n">
        <v>0</v>
      </c>
      <c r="AW105" s="704" t="n">
        <v>0</v>
      </c>
      <c r="AX105" s="704" t="n">
        <v>0</v>
      </c>
      <c r="AY105" s="704" t="n">
        <v>0</v>
      </c>
      <c r="AZ105" s="704" t="n">
        <v>0</v>
      </c>
      <c r="BA105" s="704" t="n">
        <v>0</v>
      </c>
      <c r="BB105" s="704" t="n">
        <v>0</v>
      </c>
      <c r="BC105" s="704" t="n">
        <v>0</v>
      </c>
      <c r="BD105" s="704" t="n">
        <v>0</v>
      </c>
      <c r="BE105" s="704" t="n">
        <v>0</v>
      </c>
      <c r="BF105" s="704" t="n">
        <v>0</v>
      </c>
      <c r="BG105" s="704" t="n">
        <v>0</v>
      </c>
      <c r="BH105" s="704" t="n">
        <v>0</v>
      </c>
      <c r="BI105" s="704" t="n">
        <v>0</v>
      </c>
      <c r="BJ105" s="704" t="n">
        <v>0</v>
      </c>
      <c r="BK105" s="704" t="n">
        <v>0</v>
      </c>
      <c r="BL105" s="704" t="n">
        <v>0</v>
      </c>
      <c r="BM105" s="704" t="n">
        <v>0</v>
      </c>
      <c r="BN105" s="704" t="n">
        <v>0</v>
      </c>
      <c r="BO105" s="704" t="n">
        <v>0</v>
      </c>
      <c r="BP105" s="704" t="n">
        <v>0</v>
      </c>
      <c r="BQ105" s="704" t="n">
        <v>0</v>
      </c>
      <c r="BR105" s="704" t="n">
        <v>0</v>
      </c>
      <c r="BS105" s="704" t="n">
        <v>0</v>
      </c>
      <c r="BT105" s="704" t="n">
        <v>0</v>
      </c>
      <c r="BU105" s="704" t="n">
        <v>0</v>
      </c>
      <c r="BV105" s="704" t="n">
        <v>0</v>
      </c>
      <c r="BW105" s="704" t="n">
        <v>0</v>
      </c>
      <c r="BX105" s="704" t="n">
        <v>0</v>
      </c>
      <c r="BY105" s="704" t="n">
        <v>0</v>
      </c>
      <c r="BZ105" s="704" t="n">
        <v>0</v>
      </c>
      <c r="CA105" s="704" t="n">
        <v>0</v>
      </c>
      <c r="CB105" s="704" t="n">
        <v>0</v>
      </c>
      <c r="CC105" s="704" t="n">
        <v>0</v>
      </c>
      <c r="CD105" s="704" t="n">
        <v>0</v>
      </c>
      <c r="CE105" s="704" t="n">
        <v>0</v>
      </c>
      <c r="CF105" s="704" t="n">
        <v>0</v>
      </c>
      <c r="CG105" s="704" t="n">
        <v>0</v>
      </c>
      <c r="CH105" s="704" t="n">
        <v>0</v>
      </c>
      <c r="CI105" s="704" t="n">
        <v>0</v>
      </c>
      <c r="CJ105" s="704" t="n">
        <v>0</v>
      </c>
      <c r="CK105" s="704" t="n">
        <v>0</v>
      </c>
      <c r="CL105" s="704" t="n">
        <v>0</v>
      </c>
      <c r="CM105" s="704" t="n">
        <v>0</v>
      </c>
      <c r="CN105" s="704" t="n">
        <v>0</v>
      </c>
      <c r="CO105" s="704" t="n">
        <v>0</v>
      </c>
      <c r="CP105" s="704" t="n">
        <v>0</v>
      </c>
      <c r="CQ105" s="704" t="n">
        <v>0</v>
      </c>
      <c r="CR105" s="704" t="n">
        <v>0</v>
      </c>
      <c r="CS105" s="704" t="n">
        <v>0</v>
      </c>
      <c r="CT105" s="704" t="n">
        <v>0</v>
      </c>
      <c r="CU105" s="704" t="n">
        <v>0</v>
      </c>
      <c r="CV105" s="704" t="n">
        <v>0</v>
      </c>
      <c r="CW105" s="704" t="n">
        <v>0</v>
      </c>
      <c r="CX105" s="704" t="n">
        <v>0</v>
      </c>
      <c r="CY105" s="704" t="n">
        <v>0</v>
      </c>
      <c r="CZ105" s="704" t="n">
        <v>0</v>
      </c>
      <c r="DA105" s="704" t="n">
        <v>0</v>
      </c>
      <c r="DB105" s="704" t="n">
        <v>0</v>
      </c>
      <c r="DC105" s="704" t="n">
        <v>0</v>
      </c>
      <c r="DD105" s="704" t="n">
        <v>0</v>
      </c>
      <c r="DE105" s="704" t="n">
        <v>0</v>
      </c>
      <c r="DF105" s="704" t="n">
        <v>0</v>
      </c>
      <c r="DG105" s="704" t="n">
        <v>0</v>
      </c>
      <c r="DH105" s="704" t="n">
        <v>0</v>
      </c>
      <c r="DI105" s="704" t="n">
        <v>0</v>
      </c>
      <c r="DJ105" s="704" t="n">
        <v>0</v>
      </c>
      <c r="DK105" s="704" t="n">
        <v>0</v>
      </c>
      <c r="DL105" s="704" t="n">
        <v>0</v>
      </c>
      <c r="DM105" s="704" t="n">
        <v>0</v>
      </c>
    </row>
    <row r="106" ht="13.5" customHeight="1" s="355">
      <c r="B106" s="703" t="inlineStr">
        <is>
          <t>T&amp;E</t>
        </is>
      </c>
      <c r="D106" s="704" t="n">
        <v>0</v>
      </c>
      <c r="E106" s="704" t="n">
        <v>0</v>
      </c>
      <c r="F106" s="704" t="n">
        <v>0</v>
      </c>
      <c r="G106" s="704" t="n">
        <v>0</v>
      </c>
      <c r="H106" s="704" t="n">
        <v>0</v>
      </c>
      <c r="I106" s="704" t="n">
        <v>0</v>
      </c>
      <c r="J106" s="704" t="n">
        <v>0</v>
      </c>
      <c r="K106" s="704" t="n">
        <v>0</v>
      </c>
      <c r="L106" s="704" t="n">
        <v>0</v>
      </c>
      <c r="M106" s="704" t="n">
        <v>0</v>
      </c>
      <c r="N106" s="704" t="n">
        <v>0</v>
      </c>
      <c r="O106" s="704" t="n">
        <v>0</v>
      </c>
      <c r="P106" s="704" t="n">
        <v>0</v>
      </c>
      <c r="Q106" s="704" t="n">
        <v>0</v>
      </c>
      <c r="R106" s="704" t="n">
        <v>0</v>
      </c>
      <c r="S106" s="704" t="n">
        <v>0</v>
      </c>
      <c r="T106" s="704" t="n">
        <v>0</v>
      </c>
      <c r="U106" s="704" t="n">
        <v>0</v>
      </c>
      <c r="V106" s="704" t="n">
        <v>0</v>
      </c>
      <c r="W106" s="704" t="n">
        <v>0</v>
      </c>
      <c r="X106" s="704" t="n">
        <v>0</v>
      </c>
      <c r="Y106" s="704" t="n">
        <v>0</v>
      </c>
      <c r="Z106" s="704" t="n">
        <v>0</v>
      </c>
      <c r="AA106" s="704" t="n">
        <v>0</v>
      </c>
      <c r="AB106" s="704" t="n">
        <v>0</v>
      </c>
      <c r="AC106" s="704" t="n">
        <v>0</v>
      </c>
      <c r="AD106" s="704" t="n">
        <v>0</v>
      </c>
      <c r="AE106" s="704" t="n">
        <v>0</v>
      </c>
      <c r="AF106" s="704" t="n">
        <v>0</v>
      </c>
      <c r="AG106" s="704" t="n">
        <v>0</v>
      </c>
      <c r="AH106" s="704" t="n">
        <v>0</v>
      </c>
      <c r="AI106" s="704" t="n">
        <v>0</v>
      </c>
      <c r="AJ106" s="704" t="n">
        <v>0</v>
      </c>
      <c r="AK106" s="704" t="n">
        <v>0</v>
      </c>
      <c r="AL106" s="704" t="n">
        <v>0</v>
      </c>
      <c r="AM106" s="704" t="n">
        <v>0</v>
      </c>
      <c r="AN106" s="704" t="n">
        <v>0</v>
      </c>
      <c r="AO106" s="704" t="n">
        <v>0</v>
      </c>
      <c r="AP106" s="704" t="n">
        <v>0</v>
      </c>
      <c r="AQ106" s="704" t="n">
        <v>0</v>
      </c>
      <c r="AR106" s="704" t="n">
        <v>0</v>
      </c>
      <c r="AS106" s="704" t="n">
        <v>0</v>
      </c>
      <c r="AT106" s="704" t="n">
        <v>0</v>
      </c>
      <c r="AU106" s="704" t="n">
        <v>0</v>
      </c>
      <c r="AV106" s="704" t="n">
        <v>0</v>
      </c>
      <c r="AW106" s="704" t="n">
        <v>0</v>
      </c>
      <c r="AX106" s="704" t="n">
        <v>0</v>
      </c>
      <c r="AY106" s="704" t="n">
        <v>0</v>
      </c>
      <c r="AZ106" s="704" t="n">
        <v>0</v>
      </c>
      <c r="BA106" s="704" t="n">
        <v>0</v>
      </c>
      <c r="BB106" s="704" t="n">
        <v>0</v>
      </c>
      <c r="BC106" s="704" t="n">
        <v>0</v>
      </c>
      <c r="BD106" s="704" t="n">
        <v>0</v>
      </c>
      <c r="BE106" s="704" t="n">
        <v>0</v>
      </c>
      <c r="BF106" s="704" t="n">
        <v>0</v>
      </c>
      <c r="BG106" s="704" t="n">
        <v>0</v>
      </c>
      <c r="BH106" s="704" t="n">
        <v>0</v>
      </c>
      <c r="BI106" s="704" t="n">
        <v>0</v>
      </c>
      <c r="BJ106" s="704" t="n">
        <v>0</v>
      </c>
      <c r="BK106" s="704" t="n">
        <v>0</v>
      </c>
      <c r="BL106" s="704" t="n">
        <v>0</v>
      </c>
      <c r="BM106" s="704" t="n">
        <v>0</v>
      </c>
      <c r="BN106" s="704" t="n">
        <v>0</v>
      </c>
      <c r="BO106" s="704" t="n">
        <v>0</v>
      </c>
      <c r="BP106" s="704" t="n">
        <v>0</v>
      </c>
      <c r="BQ106" s="704" t="n">
        <v>0</v>
      </c>
      <c r="BR106" s="704" t="n">
        <v>0</v>
      </c>
      <c r="BS106" s="704" t="n">
        <v>0</v>
      </c>
      <c r="BT106" s="704" t="n">
        <v>0</v>
      </c>
      <c r="BU106" s="704" t="n">
        <v>0</v>
      </c>
      <c r="BV106" s="704" t="n">
        <v>0</v>
      </c>
      <c r="BW106" s="704" t="n">
        <v>0</v>
      </c>
      <c r="BX106" s="704" t="n">
        <v>0</v>
      </c>
      <c r="BY106" s="704" t="n">
        <v>0</v>
      </c>
      <c r="BZ106" s="704" t="n">
        <v>0</v>
      </c>
      <c r="CA106" s="704" t="n">
        <v>0</v>
      </c>
      <c r="CB106" s="704" t="n">
        <v>0</v>
      </c>
      <c r="CC106" s="704" t="n">
        <v>0</v>
      </c>
      <c r="CD106" s="704" t="n">
        <v>0</v>
      </c>
      <c r="CE106" s="704" t="n">
        <v>0</v>
      </c>
      <c r="CF106" s="704" t="n">
        <v>0</v>
      </c>
      <c r="CG106" s="704" t="n">
        <v>0</v>
      </c>
      <c r="CH106" s="704" t="n">
        <v>0</v>
      </c>
      <c r="CI106" s="704" t="n">
        <v>0</v>
      </c>
      <c r="CJ106" s="704" t="n">
        <v>0</v>
      </c>
      <c r="CK106" s="704" t="n">
        <v>0</v>
      </c>
      <c r="CL106" s="704" t="n">
        <v>0</v>
      </c>
      <c r="CM106" s="704" t="n">
        <v>0</v>
      </c>
      <c r="CN106" s="704" t="n">
        <v>0</v>
      </c>
      <c r="CO106" s="704" t="n">
        <v>0</v>
      </c>
      <c r="CP106" s="704" t="n">
        <v>0</v>
      </c>
      <c r="CQ106" s="704" t="n">
        <v>0</v>
      </c>
      <c r="CR106" s="704" t="n">
        <v>0</v>
      </c>
      <c r="CS106" s="704" t="n">
        <v>0</v>
      </c>
      <c r="CT106" s="704" t="n">
        <v>0</v>
      </c>
      <c r="CU106" s="704" t="n">
        <v>0</v>
      </c>
      <c r="CV106" s="704" t="n">
        <v>0</v>
      </c>
      <c r="CW106" s="704" t="n">
        <v>0</v>
      </c>
      <c r="CX106" s="704" t="n">
        <v>0</v>
      </c>
      <c r="CY106" s="704" t="n">
        <v>0</v>
      </c>
      <c r="CZ106" s="704" t="n">
        <v>0</v>
      </c>
      <c r="DA106" s="704" t="n">
        <v>0</v>
      </c>
      <c r="DB106" s="704" t="n">
        <v>0</v>
      </c>
      <c r="DC106" s="704" t="n">
        <v>0</v>
      </c>
      <c r="DD106" s="704" t="n">
        <v>0</v>
      </c>
      <c r="DE106" s="704" t="n">
        <v>0</v>
      </c>
      <c r="DF106" s="704" t="n">
        <v>0</v>
      </c>
      <c r="DG106" s="704" t="n">
        <v>0</v>
      </c>
      <c r="DH106" s="704" t="n">
        <v>0</v>
      </c>
      <c r="DI106" s="704" t="n">
        <v>0</v>
      </c>
      <c r="DJ106" s="704" t="n">
        <v>0</v>
      </c>
      <c r="DK106" s="704" t="n">
        <v>0</v>
      </c>
      <c r="DL106" s="704" t="n">
        <v>0</v>
      </c>
      <c r="DM106" s="704" t="n">
        <v>0</v>
      </c>
    </row>
    <row r="107" ht="13.5" customHeight="1" s="355">
      <c r="B107" s="703" t="inlineStr">
        <is>
          <t>Order to Cash</t>
        </is>
      </c>
      <c r="D107" s="704" t="n">
        <v>0</v>
      </c>
      <c r="E107" s="704" t="n">
        <v>0</v>
      </c>
      <c r="F107" s="704" t="n">
        <v>0</v>
      </c>
      <c r="G107" s="704" t="n">
        <v>0</v>
      </c>
      <c r="H107" s="704" t="n">
        <v>0</v>
      </c>
      <c r="I107" s="704" t="n">
        <v>0</v>
      </c>
      <c r="J107" s="704" t="n">
        <v>0</v>
      </c>
      <c r="K107" s="704" t="n">
        <v>0</v>
      </c>
      <c r="L107" s="704" t="n">
        <v>0</v>
      </c>
      <c r="M107" s="704" t="n">
        <v>0</v>
      </c>
      <c r="N107" s="704" t="n">
        <v>0</v>
      </c>
      <c r="O107" s="704" t="n">
        <v>0</v>
      </c>
      <c r="P107" s="704" t="n">
        <v>0</v>
      </c>
      <c r="Q107" s="704" t="n">
        <v>0</v>
      </c>
      <c r="R107" s="704" t="n">
        <v>0</v>
      </c>
      <c r="S107" s="704" t="n">
        <v>0</v>
      </c>
      <c r="T107" s="704" t="n">
        <v>0</v>
      </c>
      <c r="U107" s="704" t="n">
        <v>0</v>
      </c>
      <c r="V107" s="704" t="n">
        <v>0</v>
      </c>
      <c r="W107" s="704" t="n">
        <v>0</v>
      </c>
      <c r="X107" s="704" t="n">
        <v>0</v>
      </c>
      <c r="Y107" s="704" t="n">
        <v>0</v>
      </c>
      <c r="Z107" s="704" t="n">
        <v>0</v>
      </c>
      <c r="AA107" s="704" t="n">
        <v>0</v>
      </c>
      <c r="AB107" s="704" t="n">
        <v>0</v>
      </c>
      <c r="AC107" s="704" t="n">
        <v>0</v>
      </c>
      <c r="AD107" s="704" t="n">
        <v>0</v>
      </c>
      <c r="AE107" s="704" t="n">
        <v>0</v>
      </c>
      <c r="AF107" s="704" t="n">
        <v>0</v>
      </c>
      <c r="AG107" s="704" t="n">
        <v>0</v>
      </c>
      <c r="AH107" s="704" t="n">
        <v>0</v>
      </c>
      <c r="AI107" s="704" t="n">
        <v>0</v>
      </c>
      <c r="AJ107" s="704" t="n">
        <v>0</v>
      </c>
      <c r="AK107" s="704" t="n">
        <v>0</v>
      </c>
      <c r="AL107" s="704" t="n">
        <v>0</v>
      </c>
      <c r="AM107" s="704" t="n">
        <v>0</v>
      </c>
      <c r="AN107" s="704" t="n">
        <v>0</v>
      </c>
      <c r="AO107" s="704" t="n">
        <v>0</v>
      </c>
      <c r="AP107" s="704" t="n">
        <v>0</v>
      </c>
      <c r="AQ107" s="704" t="n">
        <v>0</v>
      </c>
      <c r="AR107" s="704" t="n">
        <v>0</v>
      </c>
      <c r="AS107" s="704" t="n">
        <v>0</v>
      </c>
      <c r="AT107" s="704" t="n">
        <v>0</v>
      </c>
      <c r="AU107" s="704" t="n">
        <v>0</v>
      </c>
      <c r="AV107" s="704" t="n">
        <v>0</v>
      </c>
      <c r="AW107" s="704" t="n">
        <v>0</v>
      </c>
      <c r="AX107" s="704" t="n">
        <v>0</v>
      </c>
      <c r="AY107" s="704" t="n">
        <v>0</v>
      </c>
      <c r="AZ107" s="704" t="n">
        <v>0</v>
      </c>
      <c r="BA107" s="704" t="n">
        <v>0</v>
      </c>
      <c r="BB107" s="704" t="n">
        <v>0</v>
      </c>
      <c r="BC107" s="704" t="n">
        <v>0</v>
      </c>
      <c r="BD107" s="704" t="n">
        <v>0</v>
      </c>
      <c r="BE107" s="704" t="n">
        <v>0</v>
      </c>
      <c r="BF107" s="704" t="n">
        <v>0</v>
      </c>
      <c r="BG107" s="704" t="n">
        <v>0</v>
      </c>
      <c r="BH107" s="704" t="n">
        <v>0</v>
      </c>
      <c r="BI107" s="704" t="n">
        <v>0</v>
      </c>
      <c r="BJ107" s="704" t="n">
        <v>0</v>
      </c>
      <c r="BK107" s="704" t="n">
        <v>0</v>
      </c>
      <c r="BL107" s="704" t="n">
        <v>0</v>
      </c>
      <c r="BM107" s="704" t="n">
        <v>0</v>
      </c>
      <c r="BN107" s="704" t="n">
        <v>0</v>
      </c>
      <c r="BO107" s="704" t="n">
        <v>0</v>
      </c>
      <c r="BP107" s="704" t="n">
        <v>0</v>
      </c>
      <c r="BQ107" s="704" t="n">
        <v>0</v>
      </c>
      <c r="BR107" s="704" t="n">
        <v>0</v>
      </c>
      <c r="BS107" s="704" t="n">
        <v>0</v>
      </c>
      <c r="BT107" s="704" t="n">
        <v>0</v>
      </c>
      <c r="BU107" s="704" t="n">
        <v>0</v>
      </c>
      <c r="BV107" s="704" t="n">
        <v>0</v>
      </c>
      <c r="BW107" s="704" t="n">
        <v>0</v>
      </c>
      <c r="BX107" s="704" t="n">
        <v>0</v>
      </c>
      <c r="BY107" s="704" t="n">
        <v>0</v>
      </c>
      <c r="BZ107" s="704" t="n">
        <v>0</v>
      </c>
      <c r="CA107" s="704" t="n">
        <v>0</v>
      </c>
      <c r="CB107" s="704" t="n">
        <v>0</v>
      </c>
      <c r="CC107" s="704" t="n">
        <v>0</v>
      </c>
      <c r="CD107" s="704" t="n">
        <v>0</v>
      </c>
      <c r="CE107" s="704" t="n">
        <v>0</v>
      </c>
      <c r="CF107" s="704" t="n">
        <v>0</v>
      </c>
      <c r="CG107" s="704" t="n">
        <v>0</v>
      </c>
      <c r="CH107" s="704" t="n">
        <v>0</v>
      </c>
      <c r="CI107" s="704" t="n">
        <v>0</v>
      </c>
      <c r="CJ107" s="704" t="n">
        <v>0</v>
      </c>
      <c r="CK107" s="704" t="n">
        <v>0</v>
      </c>
      <c r="CL107" s="704" t="n">
        <v>0</v>
      </c>
      <c r="CM107" s="704" t="n">
        <v>0</v>
      </c>
      <c r="CN107" s="704" t="n">
        <v>0</v>
      </c>
      <c r="CO107" s="704" t="n">
        <v>0</v>
      </c>
      <c r="CP107" s="704" t="n">
        <v>0</v>
      </c>
      <c r="CQ107" s="704" t="n">
        <v>0</v>
      </c>
      <c r="CR107" s="704" t="n">
        <v>0</v>
      </c>
      <c r="CS107" s="704" t="n">
        <v>0</v>
      </c>
      <c r="CT107" s="704" t="n">
        <v>0</v>
      </c>
      <c r="CU107" s="704" t="n">
        <v>0</v>
      </c>
      <c r="CV107" s="704" t="n">
        <v>0</v>
      </c>
      <c r="CW107" s="704" t="n">
        <v>0</v>
      </c>
      <c r="CX107" s="704" t="n">
        <v>0</v>
      </c>
      <c r="CY107" s="704" t="n">
        <v>0</v>
      </c>
      <c r="CZ107" s="704" t="n">
        <v>0</v>
      </c>
      <c r="DA107" s="704" t="n">
        <v>0</v>
      </c>
      <c r="DB107" s="704" t="n">
        <v>0</v>
      </c>
      <c r="DC107" s="704" t="n">
        <v>0</v>
      </c>
      <c r="DD107" s="704" t="n">
        <v>0</v>
      </c>
      <c r="DE107" s="704" t="n">
        <v>0</v>
      </c>
      <c r="DF107" s="704" t="n">
        <v>0</v>
      </c>
      <c r="DG107" s="704" t="n">
        <v>0</v>
      </c>
      <c r="DH107" s="704" t="n">
        <v>0</v>
      </c>
      <c r="DI107" s="704" t="n">
        <v>0</v>
      </c>
      <c r="DJ107" s="704" t="n">
        <v>0</v>
      </c>
      <c r="DK107" s="704" t="n">
        <v>0</v>
      </c>
      <c r="DL107" s="704" t="n">
        <v>0</v>
      </c>
      <c r="DM107" s="704" t="n">
        <v>0</v>
      </c>
    </row>
    <row r="108" ht="13.5" customHeight="1" s="355">
      <c r="B108" s="703" t="inlineStr">
        <is>
          <t>Req to Pay</t>
        </is>
      </c>
      <c r="D108" s="704" t="n">
        <v>0</v>
      </c>
      <c r="E108" s="704" t="n">
        <v>0</v>
      </c>
      <c r="F108" s="704" t="n">
        <v>0</v>
      </c>
      <c r="G108" s="704" t="n">
        <v>0</v>
      </c>
      <c r="H108" s="704" t="n">
        <v>0</v>
      </c>
      <c r="I108" s="704" t="n">
        <v>0</v>
      </c>
      <c r="J108" s="704" t="n">
        <v>0</v>
      </c>
      <c r="K108" s="704" t="n">
        <v>0</v>
      </c>
      <c r="L108" s="704" t="n">
        <v>0</v>
      </c>
      <c r="M108" s="704" t="n">
        <v>0</v>
      </c>
      <c r="N108" s="704" t="n">
        <v>0</v>
      </c>
      <c r="O108" s="704" t="n">
        <v>0</v>
      </c>
      <c r="P108" s="704" t="n">
        <v>0</v>
      </c>
      <c r="Q108" s="704" t="n">
        <v>0</v>
      </c>
      <c r="R108" s="704" t="n">
        <v>0</v>
      </c>
      <c r="S108" s="704" t="n">
        <v>0</v>
      </c>
      <c r="T108" s="704" t="n">
        <v>0</v>
      </c>
      <c r="U108" s="704" t="n">
        <v>0</v>
      </c>
      <c r="V108" s="704" t="n">
        <v>0</v>
      </c>
      <c r="W108" s="704" t="n">
        <v>0</v>
      </c>
      <c r="X108" s="704" t="n">
        <v>0</v>
      </c>
      <c r="Y108" s="704" t="n">
        <v>0</v>
      </c>
      <c r="Z108" s="704" t="n">
        <v>0</v>
      </c>
      <c r="AA108" s="704" t="n">
        <v>0</v>
      </c>
      <c r="AB108" s="704" t="n">
        <v>0</v>
      </c>
      <c r="AC108" s="704" t="n">
        <v>0</v>
      </c>
      <c r="AD108" s="704" t="n">
        <v>0</v>
      </c>
      <c r="AE108" s="704" t="n">
        <v>0</v>
      </c>
      <c r="AF108" s="704" t="n">
        <v>0</v>
      </c>
      <c r="AG108" s="704" t="n">
        <v>0</v>
      </c>
      <c r="AH108" s="704" t="n">
        <v>0</v>
      </c>
      <c r="AI108" s="704" t="n">
        <v>0</v>
      </c>
      <c r="AJ108" s="704" t="n">
        <v>0</v>
      </c>
      <c r="AK108" s="704" t="n">
        <v>0</v>
      </c>
      <c r="AL108" s="704" t="n">
        <v>0</v>
      </c>
      <c r="AM108" s="704" t="n">
        <v>0</v>
      </c>
      <c r="AN108" s="704" t="n">
        <v>0</v>
      </c>
      <c r="AO108" s="704" t="n">
        <v>0</v>
      </c>
      <c r="AP108" s="704" t="n">
        <v>0</v>
      </c>
      <c r="AQ108" s="704" t="n">
        <v>0</v>
      </c>
      <c r="AR108" s="704" t="n">
        <v>0</v>
      </c>
      <c r="AS108" s="704" t="n">
        <v>0</v>
      </c>
      <c r="AT108" s="704" t="n">
        <v>0</v>
      </c>
      <c r="AU108" s="704" t="n">
        <v>0</v>
      </c>
      <c r="AV108" s="704" t="n">
        <v>0</v>
      </c>
      <c r="AW108" s="704" t="n">
        <v>0</v>
      </c>
      <c r="AX108" s="704" t="n">
        <v>0</v>
      </c>
      <c r="AY108" s="704" t="n">
        <v>0</v>
      </c>
      <c r="AZ108" s="704" t="n">
        <v>0</v>
      </c>
      <c r="BA108" s="704" t="n">
        <v>0</v>
      </c>
      <c r="BB108" s="704" t="n">
        <v>0</v>
      </c>
      <c r="BC108" s="704" t="n">
        <v>0</v>
      </c>
      <c r="BD108" s="704" t="n">
        <v>0</v>
      </c>
      <c r="BE108" s="704" t="n">
        <v>0</v>
      </c>
      <c r="BF108" s="704" t="n">
        <v>0</v>
      </c>
      <c r="BG108" s="704" t="n">
        <v>0</v>
      </c>
      <c r="BH108" s="704" t="n">
        <v>0</v>
      </c>
      <c r="BI108" s="704" t="n">
        <v>0</v>
      </c>
      <c r="BJ108" s="704" t="n">
        <v>0</v>
      </c>
      <c r="BK108" s="704" t="n">
        <v>0</v>
      </c>
      <c r="BL108" s="704" t="n">
        <v>0</v>
      </c>
      <c r="BM108" s="704" t="n">
        <v>0</v>
      </c>
      <c r="BN108" s="704" t="n">
        <v>0</v>
      </c>
      <c r="BO108" s="704" t="n">
        <v>0</v>
      </c>
      <c r="BP108" s="704" t="n">
        <v>0</v>
      </c>
      <c r="BQ108" s="704" t="n">
        <v>0</v>
      </c>
      <c r="BR108" s="704" t="n">
        <v>0</v>
      </c>
      <c r="BS108" s="704" t="n">
        <v>0</v>
      </c>
      <c r="BT108" s="704" t="n">
        <v>0</v>
      </c>
      <c r="BU108" s="704" t="n">
        <v>0</v>
      </c>
      <c r="BV108" s="704" t="n">
        <v>0</v>
      </c>
      <c r="BW108" s="704" t="n">
        <v>0</v>
      </c>
      <c r="BX108" s="704" t="n">
        <v>0</v>
      </c>
      <c r="BY108" s="704" t="n">
        <v>0</v>
      </c>
      <c r="BZ108" s="704" t="n">
        <v>0</v>
      </c>
      <c r="CA108" s="704" t="n">
        <v>0</v>
      </c>
      <c r="CB108" s="704" t="n">
        <v>0</v>
      </c>
      <c r="CC108" s="704" t="n">
        <v>0</v>
      </c>
      <c r="CD108" s="704" t="n">
        <v>0</v>
      </c>
      <c r="CE108" s="704" t="n">
        <v>0</v>
      </c>
      <c r="CF108" s="704" t="n">
        <v>0</v>
      </c>
      <c r="CG108" s="704" t="n">
        <v>0</v>
      </c>
      <c r="CH108" s="704" t="n">
        <v>0</v>
      </c>
      <c r="CI108" s="704" t="n">
        <v>0</v>
      </c>
      <c r="CJ108" s="704" t="n">
        <v>0</v>
      </c>
      <c r="CK108" s="704" t="n">
        <v>0</v>
      </c>
      <c r="CL108" s="704" t="n">
        <v>0</v>
      </c>
      <c r="CM108" s="704" t="n">
        <v>0</v>
      </c>
      <c r="CN108" s="704" t="n">
        <v>0</v>
      </c>
      <c r="CO108" s="704" t="n">
        <v>0</v>
      </c>
      <c r="CP108" s="704" t="n">
        <v>0</v>
      </c>
      <c r="CQ108" s="704" t="n">
        <v>0</v>
      </c>
      <c r="CR108" s="704" t="n">
        <v>0</v>
      </c>
      <c r="CS108" s="704" t="n">
        <v>0</v>
      </c>
      <c r="CT108" s="704" t="n">
        <v>0</v>
      </c>
      <c r="CU108" s="704" t="n">
        <v>0</v>
      </c>
      <c r="CV108" s="704" t="n">
        <v>0</v>
      </c>
      <c r="CW108" s="704" t="n">
        <v>0</v>
      </c>
      <c r="CX108" s="704" t="n">
        <v>0</v>
      </c>
      <c r="CY108" s="704" t="n">
        <v>0</v>
      </c>
      <c r="CZ108" s="704" t="n">
        <v>0</v>
      </c>
      <c r="DA108" s="704" t="n">
        <v>0</v>
      </c>
      <c r="DB108" s="704" t="n">
        <v>0</v>
      </c>
      <c r="DC108" s="704" t="n">
        <v>0</v>
      </c>
      <c r="DD108" s="704" t="n">
        <v>0</v>
      </c>
      <c r="DE108" s="704" t="n">
        <v>0</v>
      </c>
      <c r="DF108" s="704" t="n">
        <v>0</v>
      </c>
      <c r="DG108" s="704" t="n">
        <v>0</v>
      </c>
      <c r="DH108" s="704" t="n">
        <v>0</v>
      </c>
      <c r="DI108" s="704" t="n">
        <v>0</v>
      </c>
      <c r="DJ108" s="704" t="n">
        <v>0</v>
      </c>
      <c r="DK108" s="704" t="n">
        <v>0</v>
      </c>
      <c r="DL108" s="704" t="n">
        <v>0</v>
      </c>
      <c r="DM108" s="704" t="n">
        <v>0</v>
      </c>
    </row>
    <row r="109" ht="13.5" customHeight="1" s="355">
      <c r="B109" s="703" t="inlineStr">
        <is>
          <t>Team Leader</t>
        </is>
      </c>
      <c r="D109" s="704" t="n">
        <v>0</v>
      </c>
      <c r="E109" s="704" t="n">
        <v>0</v>
      </c>
      <c r="F109" s="704" t="n">
        <v>0</v>
      </c>
      <c r="G109" s="704" t="n">
        <v>0</v>
      </c>
      <c r="H109" s="704" t="n">
        <v>0</v>
      </c>
      <c r="I109" s="704" t="n">
        <v>0</v>
      </c>
      <c r="J109" s="704" t="n">
        <v>0</v>
      </c>
      <c r="K109" s="704" t="n">
        <v>0</v>
      </c>
      <c r="L109" s="704" t="n">
        <v>0</v>
      </c>
      <c r="M109" s="704" t="n">
        <v>0</v>
      </c>
      <c r="N109" s="704" t="n">
        <v>0</v>
      </c>
      <c r="O109" s="704" t="n">
        <v>0</v>
      </c>
      <c r="P109" s="704" t="n">
        <v>0</v>
      </c>
      <c r="Q109" s="704" t="n">
        <v>0</v>
      </c>
      <c r="R109" s="704" t="n">
        <v>0</v>
      </c>
      <c r="S109" s="704" t="n">
        <v>0</v>
      </c>
      <c r="T109" s="704" t="n">
        <v>0</v>
      </c>
      <c r="U109" s="704" t="n">
        <v>0</v>
      </c>
      <c r="V109" s="704" t="n">
        <v>0</v>
      </c>
      <c r="W109" s="704" t="n">
        <v>0</v>
      </c>
      <c r="X109" s="704" t="n">
        <v>0</v>
      </c>
      <c r="Y109" s="704" t="n">
        <v>0</v>
      </c>
      <c r="Z109" s="704" t="n">
        <v>0</v>
      </c>
      <c r="AA109" s="704" t="n">
        <v>0</v>
      </c>
      <c r="AB109" s="704" t="n">
        <v>0</v>
      </c>
      <c r="AC109" s="704" t="n">
        <v>0</v>
      </c>
      <c r="AD109" s="704" t="n">
        <v>0</v>
      </c>
      <c r="AE109" s="704" t="n">
        <v>0</v>
      </c>
      <c r="AF109" s="704" t="n">
        <v>0</v>
      </c>
      <c r="AG109" s="704" t="n">
        <v>0</v>
      </c>
      <c r="AH109" s="704" t="n">
        <v>0</v>
      </c>
      <c r="AI109" s="704" t="n">
        <v>0</v>
      </c>
      <c r="AJ109" s="704" t="n">
        <v>0</v>
      </c>
      <c r="AK109" s="704" t="n">
        <v>0</v>
      </c>
      <c r="AL109" s="704" t="n">
        <v>0</v>
      </c>
      <c r="AM109" s="704" t="n">
        <v>0</v>
      </c>
      <c r="AN109" s="704" t="n">
        <v>0</v>
      </c>
      <c r="AO109" s="704" t="n">
        <v>0</v>
      </c>
      <c r="AP109" s="704" t="n">
        <v>0</v>
      </c>
      <c r="AQ109" s="704" t="n">
        <v>0</v>
      </c>
      <c r="AR109" s="704" t="n">
        <v>0</v>
      </c>
      <c r="AS109" s="704" t="n">
        <v>0</v>
      </c>
      <c r="AT109" s="704" t="n">
        <v>0</v>
      </c>
      <c r="AU109" s="704" t="n">
        <v>0</v>
      </c>
      <c r="AV109" s="704" t="n">
        <v>0</v>
      </c>
      <c r="AW109" s="704" t="n">
        <v>0</v>
      </c>
      <c r="AX109" s="704" t="n">
        <v>0</v>
      </c>
      <c r="AY109" s="704" t="n">
        <v>0</v>
      </c>
      <c r="AZ109" s="704" t="n">
        <v>0</v>
      </c>
      <c r="BA109" s="704" t="n">
        <v>0</v>
      </c>
      <c r="BB109" s="704" t="n">
        <v>0</v>
      </c>
      <c r="BC109" s="704" t="n">
        <v>0</v>
      </c>
      <c r="BD109" s="704" t="n">
        <v>0</v>
      </c>
      <c r="BE109" s="704" t="n">
        <v>0</v>
      </c>
      <c r="BF109" s="704" t="n">
        <v>0</v>
      </c>
      <c r="BG109" s="704" t="n">
        <v>0</v>
      </c>
      <c r="BH109" s="704" t="n">
        <v>0</v>
      </c>
      <c r="BI109" s="704" t="n">
        <v>0</v>
      </c>
      <c r="BJ109" s="704" t="n">
        <v>0</v>
      </c>
      <c r="BK109" s="704" t="n">
        <v>0</v>
      </c>
      <c r="BL109" s="704" t="n">
        <v>0</v>
      </c>
      <c r="BM109" s="704" t="n">
        <v>0</v>
      </c>
      <c r="BN109" s="704" t="n">
        <v>0</v>
      </c>
      <c r="BO109" s="704" t="n">
        <v>0</v>
      </c>
      <c r="BP109" s="704" t="n">
        <v>0</v>
      </c>
      <c r="BQ109" s="704" t="n">
        <v>0</v>
      </c>
      <c r="BR109" s="704" t="n">
        <v>0</v>
      </c>
      <c r="BS109" s="704" t="n">
        <v>0</v>
      </c>
      <c r="BT109" s="704" t="n">
        <v>0</v>
      </c>
      <c r="BU109" s="704" t="n">
        <v>0</v>
      </c>
      <c r="BV109" s="704" t="n">
        <v>0</v>
      </c>
      <c r="BW109" s="704" t="n">
        <v>0</v>
      </c>
      <c r="BX109" s="704" t="n">
        <v>0</v>
      </c>
      <c r="BY109" s="704" t="n">
        <v>0</v>
      </c>
      <c r="BZ109" s="704" t="n">
        <v>0</v>
      </c>
      <c r="CA109" s="704" t="n">
        <v>0</v>
      </c>
      <c r="CB109" s="704" t="n">
        <v>0</v>
      </c>
      <c r="CC109" s="704" t="n">
        <v>0</v>
      </c>
      <c r="CD109" s="704" t="n">
        <v>0</v>
      </c>
      <c r="CE109" s="704" t="n">
        <v>0</v>
      </c>
      <c r="CF109" s="704" t="n">
        <v>0</v>
      </c>
      <c r="CG109" s="704" t="n">
        <v>0</v>
      </c>
      <c r="CH109" s="704" t="n">
        <v>0</v>
      </c>
      <c r="CI109" s="704" t="n">
        <v>0</v>
      </c>
      <c r="CJ109" s="704" t="n">
        <v>0</v>
      </c>
      <c r="CK109" s="704" t="n">
        <v>0</v>
      </c>
      <c r="CL109" s="704" t="n">
        <v>0</v>
      </c>
      <c r="CM109" s="704" t="n">
        <v>0</v>
      </c>
      <c r="CN109" s="704" t="n">
        <v>0</v>
      </c>
      <c r="CO109" s="704" t="n">
        <v>0</v>
      </c>
      <c r="CP109" s="704" t="n">
        <v>0</v>
      </c>
      <c r="CQ109" s="704" t="n">
        <v>0</v>
      </c>
      <c r="CR109" s="704" t="n">
        <v>0</v>
      </c>
      <c r="CS109" s="704" t="n">
        <v>0</v>
      </c>
      <c r="CT109" s="704" t="n">
        <v>0</v>
      </c>
      <c r="CU109" s="704" t="n">
        <v>0</v>
      </c>
      <c r="CV109" s="704" t="n">
        <v>0</v>
      </c>
      <c r="CW109" s="704" t="n">
        <v>0</v>
      </c>
      <c r="CX109" s="704" t="n">
        <v>0</v>
      </c>
      <c r="CY109" s="704" t="n">
        <v>0</v>
      </c>
      <c r="CZ109" s="704" t="n">
        <v>0</v>
      </c>
      <c r="DA109" s="704" t="n">
        <v>0</v>
      </c>
      <c r="DB109" s="704" t="n">
        <v>0</v>
      </c>
      <c r="DC109" s="704" t="n">
        <v>0</v>
      </c>
      <c r="DD109" s="704" t="n">
        <v>0</v>
      </c>
      <c r="DE109" s="704" t="n">
        <v>0</v>
      </c>
      <c r="DF109" s="704" t="n">
        <v>0</v>
      </c>
      <c r="DG109" s="704" t="n">
        <v>0</v>
      </c>
      <c r="DH109" s="704" t="n">
        <v>0</v>
      </c>
      <c r="DI109" s="704" t="n">
        <v>0</v>
      </c>
      <c r="DJ109" s="704" t="n">
        <v>0</v>
      </c>
      <c r="DK109" s="704" t="n">
        <v>0</v>
      </c>
      <c r="DL109" s="704" t="n">
        <v>0</v>
      </c>
      <c r="DM109" s="704" t="n">
        <v>0</v>
      </c>
    </row>
    <row r="110" ht="13.5" customHeight="1" s="355">
      <c r="B110" s="703" t="inlineStr">
        <is>
          <t>SLA Metric Reporting</t>
        </is>
      </c>
      <c r="D110" s="704" t="n">
        <v>0</v>
      </c>
      <c r="E110" s="704" t="n">
        <v>0</v>
      </c>
      <c r="F110" s="704" t="n">
        <v>0</v>
      </c>
      <c r="G110" s="704" t="n">
        <v>0</v>
      </c>
      <c r="H110" s="704" t="n">
        <v>0</v>
      </c>
      <c r="I110" s="704" t="n">
        <v>0</v>
      </c>
      <c r="J110" s="704" t="n">
        <v>0</v>
      </c>
      <c r="K110" s="704" t="n">
        <v>0</v>
      </c>
      <c r="L110" s="704" t="n">
        <v>0</v>
      </c>
      <c r="M110" s="704" t="n">
        <v>0</v>
      </c>
      <c r="N110" s="704" t="n">
        <v>0</v>
      </c>
      <c r="O110" s="704" t="n">
        <v>0</v>
      </c>
      <c r="P110" s="704" t="n">
        <v>0</v>
      </c>
      <c r="Q110" s="704" t="n">
        <v>0</v>
      </c>
      <c r="R110" s="704" t="n">
        <v>0</v>
      </c>
      <c r="S110" s="704" t="n">
        <v>0</v>
      </c>
      <c r="T110" s="704" t="n">
        <v>0</v>
      </c>
      <c r="U110" s="704" t="n">
        <v>0</v>
      </c>
      <c r="V110" s="704" t="n">
        <v>0</v>
      </c>
      <c r="W110" s="704" t="n">
        <v>0</v>
      </c>
      <c r="X110" s="704" t="n">
        <v>0</v>
      </c>
      <c r="Y110" s="704" t="n">
        <v>0</v>
      </c>
      <c r="Z110" s="704" t="n">
        <v>0</v>
      </c>
      <c r="AA110" s="704" t="n">
        <v>0</v>
      </c>
      <c r="AB110" s="704" t="n">
        <v>0</v>
      </c>
      <c r="AC110" s="704" t="n">
        <v>0</v>
      </c>
      <c r="AD110" s="704" t="n">
        <v>0</v>
      </c>
      <c r="AE110" s="704" t="n">
        <v>0</v>
      </c>
      <c r="AF110" s="704" t="n">
        <v>0</v>
      </c>
      <c r="AG110" s="704" t="n">
        <v>0</v>
      </c>
      <c r="AH110" s="704" t="n">
        <v>0</v>
      </c>
      <c r="AI110" s="704" t="n">
        <v>0</v>
      </c>
      <c r="AJ110" s="704" t="n">
        <v>0</v>
      </c>
      <c r="AK110" s="704" t="n">
        <v>0</v>
      </c>
      <c r="AL110" s="704" t="n">
        <v>0</v>
      </c>
      <c r="AM110" s="704" t="n">
        <v>0</v>
      </c>
      <c r="AN110" s="704" t="n">
        <v>0</v>
      </c>
      <c r="AO110" s="704" t="n">
        <v>0</v>
      </c>
      <c r="AP110" s="704" t="n">
        <v>0</v>
      </c>
      <c r="AQ110" s="704" t="n">
        <v>0</v>
      </c>
      <c r="AR110" s="704" t="n">
        <v>0</v>
      </c>
      <c r="AS110" s="704" t="n">
        <v>0</v>
      </c>
      <c r="AT110" s="704" t="n">
        <v>0</v>
      </c>
      <c r="AU110" s="704" t="n">
        <v>0</v>
      </c>
      <c r="AV110" s="704" t="n">
        <v>0</v>
      </c>
      <c r="AW110" s="704" t="n">
        <v>0</v>
      </c>
      <c r="AX110" s="704" t="n">
        <v>0</v>
      </c>
      <c r="AY110" s="704" t="n">
        <v>0</v>
      </c>
      <c r="AZ110" s="704" t="n">
        <v>0</v>
      </c>
      <c r="BA110" s="704" t="n">
        <v>0</v>
      </c>
      <c r="BB110" s="704" t="n">
        <v>0</v>
      </c>
      <c r="BC110" s="704" t="n">
        <v>0</v>
      </c>
      <c r="BD110" s="704" t="n">
        <v>0</v>
      </c>
      <c r="BE110" s="704" t="n">
        <v>0</v>
      </c>
      <c r="BF110" s="704" t="n">
        <v>0</v>
      </c>
      <c r="BG110" s="704" t="n">
        <v>0</v>
      </c>
      <c r="BH110" s="704" t="n">
        <v>0</v>
      </c>
      <c r="BI110" s="704" t="n">
        <v>0</v>
      </c>
      <c r="BJ110" s="704" t="n">
        <v>0</v>
      </c>
      <c r="BK110" s="704" t="n">
        <v>0</v>
      </c>
      <c r="BL110" s="704" t="n">
        <v>0</v>
      </c>
      <c r="BM110" s="704" t="n">
        <v>0</v>
      </c>
      <c r="BN110" s="704" t="n">
        <v>0</v>
      </c>
      <c r="BO110" s="704" t="n">
        <v>0</v>
      </c>
      <c r="BP110" s="704" t="n">
        <v>0</v>
      </c>
      <c r="BQ110" s="704" t="n">
        <v>0</v>
      </c>
      <c r="BR110" s="704" t="n">
        <v>0</v>
      </c>
      <c r="BS110" s="704" t="n">
        <v>0</v>
      </c>
      <c r="BT110" s="704" t="n">
        <v>0</v>
      </c>
      <c r="BU110" s="704" t="n">
        <v>0</v>
      </c>
      <c r="BV110" s="704" t="n">
        <v>0</v>
      </c>
      <c r="BW110" s="704" t="n">
        <v>0</v>
      </c>
      <c r="BX110" s="704" t="n">
        <v>0</v>
      </c>
      <c r="BY110" s="704" t="n">
        <v>0</v>
      </c>
      <c r="BZ110" s="704" t="n">
        <v>0</v>
      </c>
      <c r="CA110" s="704" t="n">
        <v>0</v>
      </c>
      <c r="CB110" s="704" t="n">
        <v>0</v>
      </c>
      <c r="CC110" s="704" t="n">
        <v>0</v>
      </c>
      <c r="CD110" s="704" t="n">
        <v>0</v>
      </c>
      <c r="CE110" s="704" t="n">
        <v>0</v>
      </c>
      <c r="CF110" s="704" t="n">
        <v>0</v>
      </c>
      <c r="CG110" s="704" t="n">
        <v>0</v>
      </c>
      <c r="CH110" s="704" t="n">
        <v>0</v>
      </c>
      <c r="CI110" s="704" t="n">
        <v>0</v>
      </c>
      <c r="CJ110" s="704" t="n">
        <v>0</v>
      </c>
      <c r="CK110" s="704" t="n">
        <v>0</v>
      </c>
      <c r="CL110" s="704" t="n">
        <v>0</v>
      </c>
      <c r="CM110" s="704" t="n">
        <v>0</v>
      </c>
      <c r="CN110" s="704" t="n">
        <v>0</v>
      </c>
      <c r="CO110" s="704" t="n">
        <v>0</v>
      </c>
      <c r="CP110" s="704" t="n">
        <v>0</v>
      </c>
      <c r="CQ110" s="704" t="n">
        <v>0</v>
      </c>
      <c r="CR110" s="704" t="n">
        <v>0</v>
      </c>
      <c r="CS110" s="704" t="n">
        <v>0</v>
      </c>
      <c r="CT110" s="704" t="n">
        <v>0</v>
      </c>
      <c r="CU110" s="704" t="n">
        <v>0</v>
      </c>
      <c r="CV110" s="704" t="n">
        <v>0</v>
      </c>
      <c r="CW110" s="704" t="n">
        <v>0</v>
      </c>
      <c r="CX110" s="704" t="n">
        <v>0</v>
      </c>
      <c r="CY110" s="704" t="n">
        <v>0</v>
      </c>
      <c r="CZ110" s="704" t="n">
        <v>0</v>
      </c>
      <c r="DA110" s="704" t="n">
        <v>0</v>
      </c>
      <c r="DB110" s="704" t="n">
        <v>0</v>
      </c>
      <c r="DC110" s="704" t="n">
        <v>0</v>
      </c>
      <c r="DD110" s="704" t="n">
        <v>0</v>
      </c>
      <c r="DE110" s="704" t="n">
        <v>0</v>
      </c>
      <c r="DF110" s="704" t="n">
        <v>0</v>
      </c>
      <c r="DG110" s="704" t="n">
        <v>0</v>
      </c>
      <c r="DH110" s="704" t="n">
        <v>0</v>
      </c>
      <c r="DI110" s="704" t="n">
        <v>0</v>
      </c>
      <c r="DJ110" s="704" t="n">
        <v>0</v>
      </c>
      <c r="DK110" s="704" t="n">
        <v>0</v>
      </c>
      <c r="DL110" s="704" t="n">
        <v>0</v>
      </c>
      <c r="DM110" s="704" t="n">
        <v>0</v>
      </c>
    </row>
    <row r="111" ht="13.5" customHeight="1" s="355">
      <c r="B111" s="705" t="inlineStr">
        <is>
          <t>Grand Total</t>
        </is>
      </c>
      <c r="C111" s="706" t="n"/>
      <c r="D111" s="707" t="n">
        <v>0</v>
      </c>
      <c r="E111" s="707" t="n">
        <v>0</v>
      </c>
      <c r="F111" s="707" t="n">
        <v>0</v>
      </c>
      <c r="G111" s="707" t="n">
        <v>0</v>
      </c>
      <c r="H111" s="707" t="n">
        <v>0</v>
      </c>
      <c r="I111" s="707" t="n">
        <v>0</v>
      </c>
      <c r="J111" s="707" t="n">
        <v>0</v>
      </c>
      <c r="K111" s="707" t="n">
        <v>0</v>
      </c>
      <c r="L111" s="707" t="n">
        <v>0</v>
      </c>
      <c r="M111" s="707" t="n">
        <v>0</v>
      </c>
      <c r="N111" s="707" t="n">
        <v>0</v>
      </c>
      <c r="O111" s="707" t="n">
        <v>0</v>
      </c>
      <c r="P111" s="707" t="n">
        <v>0</v>
      </c>
      <c r="Q111" s="707" t="n">
        <v>0</v>
      </c>
      <c r="R111" s="707" t="n">
        <v>0</v>
      </c>
      <c r="S111" s="707" t="n">
        <v>0</v>
      </c>
      <c r="T111" s="707" t="n">
        <v>0</v>
      </c>
      <c r="U111" s="707" t="n">
        <v>0</v>
      </c>
      <c r="V111" s="707" t="n">
        <v>0</v>
      </c>
      <c r="W111" s="707" t="n">
        <v>0</v>
      </c>
      <c r="X111" s="707" t="n">
        <v>0</v>
      </c>
      <c r="Y111" s="707" t="n">
        <v>0</v>
      </c>
      <c r="Z111" s="707" t="n">
        <v>0</v>
      </c>
      <c r="AA111" s="707" t="n">
        <v>0</v>
      </c>
      <c r="AB111" s="707" t="n">
        <v>0</v>
      </c>
      <c r="AC111" s="707" t="n">
        <v>0</v>
      </c>
      <c r="AD111" s="707" t="n">
        <v>0</v>
      </c>
      <c r="AE111" s="707" t="n">
        <v>0</v>
      </c>
      <c r="AF111" s="707" t="n">
        <v>0</v>
      </c>
      <c r="AG111" s="707" t="n">
        <v>0</v>
      </c>
      <c r="AH111" s="707" t="n">
        <v>0</v>
      </c>
      <c r="AI111" s="707" t="n">
        <v>0</v>
      </c>
      <c r="AJ111" s="707" t="n">
        <v>0</v>
      </c>
      <c r="AK111" s="707" t="n">
        <v>0</v>
      </c>
      <c r="AL111" s="707" t="n">
        <v>0</v>
      </c>
      <c r="AM111" s="707" t="n">
        <v>0</v>
      </c>
      <c r="AN111" s="707" t="n">
        <v>0</v>
      </c>
      <c r="AO111" s="707" t="n">
        <v>0</v>
      </c>
      <c r="AP111" s="707" t="n">
        <v>0</v>
      </c>
      <c r="AQ111" s="707" t="n">
        <v>0</v>
      </c>
      <c r="AR111" s="707" t="n">
        <v>0</v>
      </c>
      <c r="AS111" s="707" t="n">
        <v>0</v>
      </c>
      <c r="AT111" s="707" t="n">
        <v>0</v>
      </c>
      <c r="AU111" s="707" t="n">
        <v>0</v>
      </c>
      <c r="AV111" s="707" t="n">
        <v>0</v>
      </c>
      <c r="AW111" s="707" t="n">
        <v>0</v>
      </c>
      <c r="AX111" s="707" t="n">
        <v>0</v>
      </c>
      <c r="AY111" s="707" t="n">
        <v>0</v>
      </c>
      <c r="AZ111" s="707" t="n">
        <v>0</v>
      </c>
      <c r="BA111" s="707" t="n">
        <v>0</v>
      </c>
      <c r="BB111" s="707" t="n">
        <v>0</v>
      </c>
      <c r="BC111" s="707" t="n">
        <v>0</v>
      </c>
      <c r="BD111" s="707" t="n">
        <v>0</v>
      </c>
      <c r="BE111" s="707" t="n">
        <v>0</v>
      </c>
      <c r="BF111" s="707" t="n">
        <v>0</v>
      </c>
      <c r="BG111" s="707" t="n">
        <v>0</v>
      </c>
      <c r="BH111" s="707" t="n">
        <v>0</v>
      </c>
      <c r="BI111" s="707" t="n">
        <v>0</v>
      </c>
      <c r="BJ111" s="707" t="n">
        <v>0</v>
      </c>
      <c r="BK111" s="707" t="n">
        <v>0</v>
      </c>
      <c r="BL111" s="707" t="n">
        <v>0</v>
      </c>
      <c r="BM111" s="707" t="n">
        <v>0</v>
      </c>
      <c r="BN111" s="707" t="n">
        <v>0</v>
      </c>
      <c r="BO111" s="707" t="n">
        <v>0</v>
      </c>
      <c r="BP111" s="707" t="n">
        <v>0</v>
      </c>
      <c r="BQ111" s="707" t="n">
        <v>0</v>
      </c>
      <c r="BR111" s="707" t="n">
        <v>0</v>
      </c>
      <c r="BS111" s="707" t="n">
        <v>0</v>
      </c>
      <c r="BT111" s="707" t="n">
        <v>0</v>
      </c>
      <c r="BU111" s="707" t="n">
        <v>0</v>
      </c>
      <c r="BV111" s="707" t="n">
        <v>0</v>
      </c>
      <c r="BW111" s="707" t="n">
        <v>0</v>
      </c>
      <c r="BX111" s="707" t="n">
        <v>0</v>
      </c>
      <c r="BY111" s="707" t="n">
        <v>0</v>
      </c>
      <c r="BZ111" s="707" t="n">
        <v>0</v>
      </c>
      <c r="CA111" s="707" t="n">
        <v>0</v>
      </c>
      <c r="CB111" s="707" t="n">
        <v>0</v>
      </c>
      <c r="CC111" s="707" t="n">
        <v>0</v>
      </c>
      <c r="CD111" s="707" t="n">
        <v>0</v>
      </c>
      <c r="CE111" s="707" t="n">
        <v>0</v>
      </c>
      <c r="CF111" s="707" t="n">
        <v>0</v>
      </c>
      <c r="CG111" s="707" t="n">
        <v>0</v>
      </c>
      <c r="CH111" s="707" t="n">
        <v>0</v>
      </c>
      <c r="CI111" s="707" t="n">
        <v>0</v>
      </c>
      <c r="CJ111" s="707" t="n">
        <v>0</v>
      </c>
      <c r="CK111" s="707" t="n">
        <v>0</v>
      </c>
      <c r="CL111" s="707" t="n">
        <v>0</v>
      </c>
      <c r="CM111" s="707" t="n">
        <v>0</v>
      </c>
      <c r="CN111" s="707" t="n">
        <v>0</v>
      </c>
      <c r="CO111" s="707" t="n">
        <v>0</v>
      </c>
      <c r="CP111" s="707" t="n">
        <v>0</v>
      </c>
      <c r="CQ111" s="707" t="n">
        <v>0</v>
      </c>
      <c r="CR111" s="707" t="n">
        <v>0</v>
      </c>
      <c r="CS111" s="707" t="n">
        <v>0</v>
      </c>
      <c r="CT111" s="707" t="n">
        <v>0</v>
      </c>
      <c r="CU111" s="707" t="n">
        <v>0</v>
      </c>
      <c r="CV111" s="707" t="n">
        <v>0</v>
      </c>
      <c r="CW111" s="707" t="n">
        <v>0</v>
      </c>
      <c r="CX111" s="707" t="n">
        <v>0</v>
      </c>
      <c r="CY111" s="707" t="n">
        <v>0</v>
      </c>
      <c r="CZ111" s="707" t="n">
        <v>0</v>
      </c>
      <c r="DA111" s="707" t="n">
        <v>0</v>
      </c>
      <c r="DB111" s="707" t="n">
        <v>0</v>
      </c>
      <c r="DC111" s="707" t="n">
        <v>0</v>
      </c>
      <c r="DD111" s="707" t="n">
        <v>0</v>
      </c>
      <c r="DE111" s="707" t="n">
        <v>0</v>
      </c>
      <c r="DF111" s="707" t="n">
        <v>0</v>
      </c>
      <c r="DG111" s="707" t="n">
        <v>0</v>
      </c>
      <c r="DH111" s="707" t="n">
        <v>0</v>
      </c>
      <c r="DI111" s="707" t="n">
        <v>0</v>
      </c>
      <c r="DJ111" s="707" t="n">
        <v>0</v>
      </c>
      <c r="DK111" s="707" t="n">
        <v>0</v>
      </c>
      <c r="DL111" s="707" t="n">
        <v>0</v>
      </c>
      <c r="DM111" s="707" t="n">
        <v>0</v>
      </c>
    </row>
    <row r="112" ht="13.5" customHeight="1" s="355">
      <c r="A112" s="702" t="inlineStr">
        <is>
          <t>Country 11</t>
        </is>
      </c>
      <c r="B112" s="703" t="inlineStr">
        <is>
          <t>Gen Acctg</t>
        </is>
      </c>
      <c r="D112" s="704" t="n">
        <v>0</v>
      </c>
      <c r="E112" s="704" t="n">
        <v>0</v>
      </c>
      <c r="F112" s="704" t="n">
        <v>0</v>
      </c>
      <c r="G112" s="704" t="n">
        <v>0</v>
      </c>
      <c r="H112" s="704" t="n">
        <v>0</v>
      </c>
      <c r="I112" s="704" t="n">
        <v>0</v>
      </c>
      <c r="J112" s="704" t="n">
        <v>0</v>
      </c>
      <c r="K112" s="704" t="n">
        <v>0</v>
      </c>
      <c r="L112" s="704" t="n">
        <v>0</v>
      </c>
      <c r="M112" s="704" t="n">
        <v>0</v>
      </c>
      <c r="N112" s="704" t="n">
        <v>0</v>
      </c>
      <c r="O112" s="704" t="n">
        <v>0</v>
      </c>
      <c r="P112" s="704" t="n">
        <v>0</v>
      </c>
      <c r="Q112" s="704" t="n">
        <v>0</v>
      </c>
      <c r="R112" s="704" t="n">
        <v>0</v>
      </c>
      <c r="S112" s="704" t="n">
        <v>0</v>
      </c>
      <c r="T112" s="704" t="n">
        <v>0</v>
      </c>
      <c r="U112" s="704" t="n">
        <v>0</v>
      </c>
      <c r="V112" s="704" t="n">
        <v>0</v>
      </c>
      <c r="W112" s="704" t="n">
        <v>0</v>
      </c>
      <c r="X112" s="704" t="n">
        <v>0</v>
      </c>
      <c r="Y112" s="704" t="n">
        <v>0</v>
      </c>
      <c r="Z112" s="704" t="n">
        <v>0</v>
      </c>
      <c r="AA112" s="704" t="n">
        <v>0</v>
      </c>
      <c r="AB112" s="704" t="n">
        <v>0</v>
      </c>
      <c r="AC112" s="704" t="n">
        <v>0</v>
      </c>
      <c r="AD112" s="704" t="n">
        <v>0</v>
      </c>
      <c r="AE112" s="704" t="n">
        <v>0</v>
      </c>
      <c r="AF112" s="704" t="n">
        <v>0</v>
      </c>
      <c r="AG112" s="704" t="n">
        <v>0</v>
      </c>
      <c r="AH112" s="704" t="n">
        <v>0</v>
      </c>
      <c r="AI112" s="704" t="n">
        <v>0</v>
      </c>
      <c r="AJ112" s="704" t="n">
        <v>0</v>
      </c>
      <c r="AK112" s="704" t="n">
        <v>0</v>
      </c>
      <c r="AL112" s="704" t="n">
        <v>0</v>
      </c>
      <c r="AM112" s="704" t="n">
        <v>0</v>
      </c>
      <c r="AN112" s="704" t="n">
        <v>0</v>
      </c>
      <c r="AO112" s="704" t="n">
        <v>0</v>
      </c>
      <c r="AP112" s="704" t="n">
        <v>0</v>
      </c>
      <c r="AQ112" s="704" t="n">
        <v>0</v>
      </c>
      <c r="AR112" s="704" t="n">
        <v>0</v>
      </c>
      <c r="AS112" s="704" t="n">
        <v>0</v>
      </c>
      <c r="AT112" s="704" t="n">
        <v>0</v>
      </c>
      <c r="AU112" s="704" t="n">
        <v>0</v>
      </c>
      <c r="AV112" s="704" t="n">
        <v>0</v>
      </c>
      <c r="AW112" s="704" t="n">
        <v>0</v>
      </c>
      <c r="AX112" s="704" t="n">
        <v>0</v>
      </c>
      <c r="AY112" s="704" t="n">
        <v>0</v>
      </c>
      <c r="AZ112" s="704" t="n">
        <v>0</v>
      </c>
      <c r="BA112" s="704" t="n">
        <v>0</v>
      </c>
      <c r="BB112" s="704" t="n">
        <v>0</v>
      </c>
      <c r="BC112" s="704" t="n">
        <v>0</v>
      </c>
      <c r="BD112" s="704" t="n">
        <v>0</v>
      </c>
      <c r="BE112" s="704" t="n">
        <v>0</v>
      </c>
      <c r="BF112" s="704" t="n">
        <v>0</v>
      </c>
      <c r="BG112" s="704" t="n">
        <v>0</v>
      </c>
      <c r="BH112" s="704" t="n">
        <v>0</v>
      </c>
      <c r="BI112" s="704" t="n">
        <v>0</v>
      </c>
      <c r="BJ112" s="704" t="n">
        <v>0</v>
      </c>
      <c r="BK112" s="704" t="n">
        <v>0</v>
      </c>
      <c r="BL112" s="704" t="n">
        <v>0</v>
      </c>
      <c r="BM112" s="704" t="n">
        <v>0</v>
      </c>
      <c r="BN112" s="704" t="n">
        <v>0</v>
      </c>
      <c r="BO112" s="704" t="n">
        <v>0</v>
      </c>
      <c r="BP112" s="704" t="n">
        <v>0</v>
      </c>
      <c r="BQ112" s="704" t="n">
        <v>0</v>
      </c>
      <c r="BR112" s="704" t="n">
        <v>0</v>
      </c>
      <c r="BS112" s="704" t="n">
        <v>0</v>
      </c>
      <c r="BT112" s="704" t="n">
        <v>0</v>
      </c>
      <c r="BU112" s="704" t="n">
        <v>0</v>
      </c>
      <c r="BV112" s="704" t="n">
        <v>0</v>
      </c>
      <c r="BW112" s="704" t="n">
        <v>0</v>
      </c>
      <c r="BX112" s="704" t="n">
        <v>0</v>
      </c>
      <c r="BY112" s="704" t="n">
        <v>0</v>
      </c>
      <c r="BZ112" s="704" t="n">
        <v>0</v>
      </c>
      <c r="CA112" s="704" t="n">
        <v>0</v>
      </c>
      <c r="CB112" s="704" t="n">
        <v>0</v>
      </c>
      <c r="CC112" s="704" t="n">
        <v>0</v>
      </c>
      <c r="CD112" s="704" t="n">
        <v>0</v>
      </c>
      <c r="CE112" s="704" t="n">
        <v>0</v>
      </c>
      <c r="CF112" s="704" t="n">
        <v>0</v>
      </c>
      <c r="CG112" s="704" t="n">
        <v>0</v>
      </c>
      <c r="CH112" s="704" t="n">
        <v>0</v>
      </c>
      <c r="CI112" s="704" t="n">
        <v>0</v>
      </c>
      <c r="CJ112" s="704" t="n">
        <v>0</v>
      </c>
      <c r="CK112" s="704" t="n">
        <v>0</v>
      </c>
      <c r="CL112" s="704" t="n">
        <v>0</v>
      </c>
      <c r="CM112" s="704" t="n">
        <v>0</v>
      </c>
      <c r="CN112" s="704" t="n">
        <v>0</v>
      </c>
      <c r="CO112" s="704" t="n">
        <v>0</v>
      </c>
      <c r="CP112" s="704" t="n">
        <v>0</v>
      </c>
      <c r="CQ112" s="704" t="n">
        <v>0</v>
      </c>
      <c r="CR112" s="704" t="n">
        <v>0</v>
      </c>
      <c r="CS112" s="704" t="n">
        <v>0</v>
      </c>
      <c r="CT112" s="704" t="n">
        <v>0</v>
      </c>
      <c r="CU112" s="704" t="n">
        <v>0</v>
      </c>
      <c r="CV112" s="704" t="n">
        <v>0</v>
      </c>
      <c r="CW112" s="704" t="n">
        <v>0</v>
      </c>
      <c r="CX112" s="704" t="n">
        <v>0</v>
      </c>
      <c r="CY112" s="704" t="n">
        <v>0</v>
      </c>
      <c r="CZ112" s="704" t="n">
        <v>0</v>
      </c>
      <c r="DA112" s="704" t="n">
        <v>0</v>
      </c>
      <c r="DB112" s="704" t="n">
        <v>0</v>
      </c>
      <c r="DC112" s="704" t="n">
        <v>0</v>
      </c>
      <c r="DD112" s="704" t="n">
        <v>0</v>
      </c>
      <c r="DE112" s="704" t="n">
        <v>0</v>
      </c>
      <c r="DF112" s="704" t="n">
        <v>0</v>
      </c>
      <c r="DG112" s="704" t="n">
        <v>0</v>
      </c>
      <c r="DH112" s="704" t="n">
        <v>0</v>
      </c>
      <c r="DI112" s="704" t="n">
        <v>0</v>
      </c>
      <c r="DJ112" s="704" t="n">
        <v>0</v>
      </c>
      <c r="DK112" s="704" t="n">
        <v>0</v>
      </c>
      <c r="DL112" s="704" t="n">
        <v>0</v>
      </c>
      <c r="DM112" s="704" t="n">
        <v>0</v>
      </c>
    </row>
    <row r="113" ht="13.5" customHeight="1" s="355">
      <c r="B113" s="703" t="inlineStr">
        <is>
          <t>Reporting</t>
        </is>
      </c>
      <c r="D113" s="704" t="n">
        <v>0</v>
      </c>
      <c r="E113" s="704" t="n">
        <v>0</v>
      </c>
      <c r="F113" s="704" t="n">
        <v>0</v>
      </c>
      <c r="G113" s="704" t="n">
        <v>0</v>
      </c>
      <c r="H113" s="704" t="n">
        <v>0</v>
      </c>
      <c r="I113" s="704" t="n">
        <v>0</v>
      </c>
      <c r="J113" s="704" t="n">
        <v>0</v>
      </c>
      <c r="K113" s="704" t="n">
        <v>0</v>
      </c>
      <c r="L113" s="704" t="n">
        <v>0</v>
      </c>
      <c r="M113" s="704" t="n">
        <v>0</v>
      </c>
      <c r="N113" s="704" t="n">
        <v>0</v>
      </c>
      <c r="O113" s="704" t="n">
        <v>0</v>
      </c>
      <c r="P113" s="704" t="n">
        <v>0</v>
      </c>
      <c r="Q113" s="704" t="n">
        <v>0</v>
      </c>
      <c r="R113" s="704" t="n">
        <v>0</v>
      </c>
      <c r="S113" s="704" t="n">
        <v>0</v>
      </c>
      <c r="T113" s="704" t="n">
        <v>0</v>
      </c>
      <c r="U113" s="704" t="n">
        <v>0</v>
      </c>
      <c r="V113" s="704" t="n">
        <v>0</v>
      </c>
      <c r="W113" s="704" t="n">
        <v>0</v>
      </c>
      <c r="X113" s="704" t="n">
        <v>0</v>
      </c>
      <c r="Y113" s="704" t="n">
        <v>0</v>
      </c>
      <c r="Z113" s="704" t="n">
        <v>0</v>
      </c>
      <c r="AA113" s="704" t="n">
        <v>0</v>
      </c>
      <c r="AB113" s="704" t="n">
        <v>0</v>
      </c>
      <c r="AC113" s="704" t="n">
        <v>0</v>
      </c>
      <c r="AD113" s="704" t="n">
        <v>0</v>
      </c>
      <c r="AE113" s="704" t="n">
        <v>0</v>
      </c>
      <c r="AF113" s="704" t="n">
        <v>0</v>
      </c>
      <c r="AG113" s="704" t="n">
        <v>0</v>
      </c>
      <c r="AH113" s="704" t="n">
        <v>0</v>
      </c>
      <c r="AI113" s="704" t="n">
        <v>0</v>
      </c>
      <c r="AJ113" s="704" t="n">
        <v>0</v>
      </c>
      <c r="AK113" s="704" t="n">
        <v>0</v>
      </c>
      <c r="AL113" s="704" t="n">
        <v>0</v>
      </c>
      <c r="AM113" s="704" t="n">
        <v>0</v>
      </c>
      <c r="AN113" s="704" t="n">
        <v>0</v>
      </c>
      <c r="AO113" s="704" t="n">
        <v>0</v>
      </c>
      <c r="AP113" s="704" t="n">
        <v>0</v>
      </c>
      <c r="AQ113" s="704" t="n">
        <v>0</v>
      </c>
      <c r="AR113" s="704" t="n">
        <v>0</v>
      </c>
      <c r="AS113" s="704" t="n">
        <v>0</v>
      </c>
      <c r="AT113" s="704" t="n">
        <v>0</v>
      </c>
      <c r="AU113" s="704" t="n">
        <v>0</v>
      </c>
      <c r="AV113" s="704" t="n">
        <v>0</v>
      </c>
      <c r="AW113" s="704" t="n">
        <v>0</v>
      </c>
      <c r="AX113" s="704" t="n">
        <v>0</v>
      </c>
      <c r="AY113" s="704" t="n">
        <v>0</v>
      </c>
      <c r="AZ113" s="704" t="n">
        <v>0</v>
      </c>
      <c r="BA113" s="704" t="n">
        <v>0</v>
      </c>
      <c r="BB113" s="704" t="n">
        <v>0</v>
      </c>
      <c r="BC113" s="704" t="n">
        <v>0</v>
      </c>
      <c r="BD113" s="704" t="n">
        <v>0</v>
      </c>
      <c r="BE113" s="704" t="n">
        <v>0</v>
      </c>
      <c r="BF113" s="704" t="n">
        <v>0</v>
      </c>
      <c r="BG113" s="704" t="n">
        <v>0</v>
      </c>
      <c r="BH113" s="704" t="n">
        <v>0</v>
      </c>
      <c r="BI113" s="704" t="n">
        <v>0</v>
      </c>
      <c r="BJ113" s="704" t="n">
        <v>0</v>
      </c>
      <c r="BK113" s="704" t="n">
        <v>0</v>
      </c>
      <c r="BL113" s="704" t="n">
        <v>0</v>
      </c>
      <c r="BM113" s="704" t="n">
        <v>0</v>
      </c>
      <c r="BN113" s="704" t="n">
        <v>0</v>
      </c>
      <c r="BO113" s="704" t="n">
        <v>0</v>
      </c>
      <c r="BP113" s="704" t="n">
        <v>0</v>
      </c>
      <c r="BQ113" s="704" t="n">
        <v>0</v>
      </c>
      <c r="BR113" s="704" t="n">
        <v>0</v>
      </c>
      <c r="BS113" s="704" t="n">
        <v>0</v>
      </c>
      <c r="BT113" s="704" t="n">
        <v>0</v>
      </c>
      <c r="BU113" s="704" t="n">
        <v>0</v>
      </c>
      <c r="BV113" s="704" t="n">
        <v>0</v>
      </c>
      <c r="BW113" s="704" t="n">
        <v>0</v>
      </c>
      <c r="BX113" s="704" t="n">
        <v>0</v>
      </c>
      <c r="BY113" s="704" t="n">
        <v>0</v>
      </c>
      <c r="BZ113" s="704" t="n">
        <v>0</v>
      </c>
      <c r="CA113" s="704" t="n">
        <v>0</v>
      </c>
      <c r="CB113" s="704" t="n">
        <v>0</v>
      </c>
      <c r="CC113" s="704" t="n">
        <v>0</v>
      </c>
      <c r="CD113" s="704" t="n">
        <v>0</v>
      </c>
      <c r="CE113" s="704" t="n">
        <v>0</v>
      </c>
      <c r="CF113" s="704" t="n">
        <v>0</v>
      </c>
      <c r="CG113" s="704" t="n">
        <v>0</v>
      </c>
      <c r="CH113" s="704" t="n">
        <v>0</v>
      </c>
      <c r="CI113" s="704" t="n">
        <v>0</v>
      </c>
      <c r="CJ113" s="704" t="n">
        <v>0</v>
      </c>
      <c r="CK113" s="704" t="n">
        <v>0</v>
      </c>
      <c r="CL113" s="704" t="n">
        <v>0</v>
      </c>
      <c r="CM113" s="704" t="n">
        <v>0</v>
      </c>
      <c r="CN113" s="704" t="n">
        <v>0</v>
      </c>
      <c r="CO113" s="704" t="n">
        <v>0</v>
      </c>
      <c r="CP113" s="704" t="n">
        <v>0</v>
      </c>
      <c r="CQ113" s="704" t="n">
        <v>0</v>
      </c>
      <c r="CR113" s="704" t="n">
        <v>0</v>
      </c>
      <c r="CS113" s="704" t="n">
        <v>0</v>
      </c>
      <c r="CT113" s="704" t="n">
        <v>0</v>
      </c>
      <c r="CU113" s="704" t="n">
        <v>0</v>
      </c>
      <c r="CV113" s="704" t="n">
        <v>0</v>
      </c>
      <c r="CW113" s="704" t="n">
        <v>0</v>
      </c>
      <c r="CX113" s="704" t="n">
        <v>0</v>
      </c>
      <c r="CY113" s="704" t="n">
        <v>0</v>
      </c>
      <c r="CZ113" s="704" t="n">
        <v>0</v>
      </c>
      <c r="DA113" s="704" t="n">
        <v>0</v>
      </c>
      <c r="DB113" s="704" t="n">
        <v>0</v>
      </c>
      <c r="DC113" s="704" t="n">
        <v>0</v>
      </c>
      <c r="DD113" s="704" t="n">
        <v>0</v>
      </c>
      <c r="DE113" s="704" t="n">
        <v>0</v>
      </c>
      <c r="DF113" s="704" t="n">
        <v>0</v>
      </c>
      <c r="DG113" s="704" t="n">
        <v>0</v>
      </c>
      <c r="DH113" s="704" t="n">
        <v>0</v>
      </c>
      <c r="DI113" s="704" t="n">
        <v>0</v>
      </c>
      <c r="DJ113" s="704" t="n">
        <v>0</v>
      </c>
      <c r="DK113" s="704" t="n">
        <v>0</v>
      </c>
      <c r="DL113" s="704" t="n">
        <v>0</v>
      </c>
      <c r="DM113" s="704" t="n">
        <v>0</v>
      </c>
    </row>
    <row r="114" ht="13.5" customHeight="1" s="355">
      <c r="B114" s="703" t="inlineStr">
        <is>
          <t>Fixed Assets</t>
        </is>
      </c>
      <c r="D114" s="704" t="n">
        <v>0</v>
      </c>
      <c r="E114" s="704" t="n">
        <v>0</v>
      </c>
      <c r="F114" s="704" t="n">
        <v>0</v>
      </c>
      <c r="G114" s="704" t="n">
        <v>0</v>
      </c>
      <c r="H114" s="704" t="n">
        <v>0</v>
      </c>
      <c r="I114" s="704" t="n">
        <v>0</v>
      </c>
      <c r="J114" s="704" t="n">
        <v>0</v>
      </c>
      <c r="K114" s="704" t="n">
        <v>0</v>
      </c>
      <c r="L114" s="704" t="n">
        <v>0</v>
      </c>
      <c r="M114" s="704" t="n">
        <v>0</v>
      </c>
      <c r="N114" s="704" t="n">
        <v>0</v>
      </c>
      <c r="O114" s="704" t="n">
        <v>0</v>
      </c>
      <c r="P114" s="704" t="n">
        <v>0</v>
      </c>
      <c r="Q114" s="704" t="n">
        <v>0</v>
      </c>
      <c r="R114" s="704" t="n">
        <v>0</v>
      </c>
      <c r="S114" s="704" t="n">
        <v>0</v>
      </c>
      <c r="T114" s="704" t="n">
        <v>0</v>
      </c>
      <c r="U114" s="704" t="n">
        <v>0</v>
      </c>
      <c r="V114" s="704" t="n">
        <v>0</v>
      </c>
      <c r="W114" s="704" t="n">
        <v>0</v>
      </c>
      <c r="X114" s="704" t="n">
        <v>0</v>
      </c>
      <c r="Y114" s="704" t="n">
        <v>0</v>
      </c>
      <c r="Z114" s="704" t="n">
        <v>0</v>
      </c>
      <c r="AA114" s="704" t="n">
        <v>0</v>
      </c>
      <c r="AB114" s="704" t="n">
        <v>0</v>
      </c>
      <c r="AC114" s="704" t="n">
        <v>0</v>
      </c>
      <c r="AD114" s="704" t="n">
        <v>0</v>
      </c>
      <c r="AE114" s="704" t="n">
        <v>0</v>
      </c>
      <c r="AF114" s="704" t="n">
        <v>0</v>
      </c>
      <c r="AG114" s="704" t="n">
        <v>0</v>
      </c>
      <c r="AH114" s="704" t="n">
        <v>0</v>
      </c>
      <c r="AI114" s="704" t="n">
        <v>0</v>
      </c>
      <c r="AJ114" s="704" t="n">
        <v>0</v>
      </c>
      <c r="AK114" s="704" t="n">
        <v>0</v>
      </c>
      <c r="AL114" s="704" t="n">
        <v>0</v>
      </c>
      <c r="AM114" s="704" t="n">
        <v>0</v>
      </c>
      <c r="AN114" s="704" t="n">
        <v>0</v>
      </c>
      <c r="AO114" s="704" t="n">
        <v>0</v>
      </c>
      <c r="AP114" s="704" t="n">
        <v>0</v>
      </c>
      <c r="AQ114" s="704" t="n">
        <v>0</v>
      </c>
      <c r="AR114" s="704" t="n">
        <v>0</v>
      </c>
      <c r="AS114" s="704" t="n">
        <v>0</v>
      </c>
      <c r="AT114" s="704" t="n">
        <v>0</v>
      </c>
      <c r="AU114" s="704" t="n">
        <v>0</v>
      </c>
      <c r="AV114" s="704" t="n">
        <v>0</v>
      </c>
      <c r="AW114" s="704" t="n">
        <v>0</v>
      </c>
      <c r="AX114" s="704" t="n">
        <v>0</v>
      </c>
      <c r="AY114" s="704" t="n">
        <v>0</v>
      </c>
      <c r="AZ114" s="704" t="n">
        <v>0</v>
      </c>
      <c r="BA114" s="704" t="n">
        <v>0</v>
      </c>
      <c r="BB114" s="704" t="n">
        <v>0</v>
      </c>
      <c r="BC114" s="704" t="n">
        <v>0</v>
      </c>
      <c r="BD114" s="704" t="n">
        <v>0</v>
      </c>
      <c r="BE114" s="704" t="n">
        <v>0</v>
      </c>
      <c r="BF114" s="704" t="n">
        <v>0</v>
      </c>
      <c r="BG114" s="704" t="n">
        <v>0</v>
      </c>
      <c r="BH114" s="704" t="n">
        <v>0</v>
      </c>
      <c r="BI114" s="704" t="n">
        <v>0</v>
      </c>
      <c r="BJ114" s="704" t="n">
        <v>0</v>
      </c>
      <c r="BK114" s="704" t="n">
        <v>0</v>
      </c>
      <c r="BL114" s="704" t="n">
        <v>0</v>
      </c>
      <c r="BM114" s="704" t="n">
        <v>0</v>
      </c>
      <c r="BN114" s="704" t="n">
        <v>0</v>
      </c>
      <c r="BO114" s="704" t="n">
        <v>0</v>
      </c>
      <c r="BP114" s="704" t="n">
        <v>0</v>
      </c>
      <c r="BQ114" s="704" t="n">
        <v>0</v>
      </c>
      <c r="BR114" s="704" t="n">
        <v>0</v>
      </c>
      <c r="BS114" s="704" t="n">
        <v>0</v>
      </c>
      <c r="BT114" s="704" t="n">
        <v>0</v>
      </c>
      <c r="BU114" s="704" t="n">
        <v>0</v>
      </c>
      <c r="BV114" s="704" t="n">
        <v>0</v>
      </c>
      <c r="BW114" s="704" t="n">
        <v>0</v>
      </c>
      <c r="BX114" s="704" t="n">
        <v>0</v>
      </c>
      <c r="BY114" s="704" t="n">
        <v>0</v>
      </c>
      <c r="BZ114" s="704" t="n">
        <v>0</v>
      </c>
      <c r="CA114" s="704" t="n">
        <v>0</v>
      </c>
      <c r="CB114" s="704" t="n">
        <v>0</v>
      </c>
      <c r="CC114" s="704" t="n">
        <v>0</v>
      </c>
      <c r="CD114" s="704" t="n">
        <v>0</v>
      </c>
      <c r="CE114" s="704" t="n">
        <v>0</v>
      </c>
      <c r="CF114" s="704" t="n">
        <v>0</v>
      </c>
      <c r="CG114" s="704" t="n">
        <v>0</v>
      </c>
      <c r="CH114" s="704" t="n">
        <v>0</v>
      </c>
      <c r="CI114" s="704" t="n">
        <v>0</v>
      </c>
      <c r="CJ114" s="704" t="n">
        <v>0</v>
      </c>
      <c r="CK114" s="704" t="n">
        <v>0</v>
      </c>
      <c r="CL114" s="704" t="n">
        <v>0</v>
      </c>
      <c r="CM114" s="704" t="n">
        <v>0</v>
      </c>
      <c r="CN114" s="704" t="n">
        <v>0</v>
      </c>
      <c r="CO114" s="704" t="n">
        <v>0</v>
      </c>
      <c r="CP114" s="704" t="n">
        <v>0</v>
      </c>
      <c r="CQ114" s="704" t="n">
        <v>0</v>
      </c>
      <c r="CR114" s="704" t="n">
        <v>0</v>
      </c>
      <c r="CS114" s="704" t="n">
        <v>0</v>
      </c>
      <c r="CT114" s="704" t="n">
        <v>0</v>
      </c>
      <c r="CU114" s="704" t="n">
        <v>0</v>
      </c>
      <c r="CV114" s="704" t="n">
        <v>0</v>
      </c>
      <c r="CW114" s="704" t="n">
        <v>0</v>
      </c>
      <c r="CX114" s="704" t="n">
        <v>0</v>
      </c>
      <c r="CY114" s="704" t="n">
        <v>0</v>
      </c>
      <c r="CZ114" s="704" t="n">
        <v>0</v>
      </c>
      <c r="DA114" s="704" t="n">
        <v>0</v>
      </c>
      <c r="DB114" s="704" t="n">
        <v>0</v>
      </c>
      <c r="DC114" s="704" t="n">
        <v>0</v>
      </c>
      <c r="DD114" s="704" t="n">
        <v>0</v>
      </c>
      <c r="DE114" s="704" t="n">
        <v>0</v>
      </c>
      <c r="DF114" s="704" t="n">
        <v>0</v>
      </c>
      <c r="DG114" s="704" t="n">
        <v>0</v>
      </c>
      <c r="DH114" s="704" t="n">
        <v>0</v>
      </c>
      <c r="DI114" s="704" t="n">
        <v>0</v>
      </c>
      <c r="DJ114" s="704" t="n">
        <v>0</v>
      </c>
      <c r="DK114" s="704" t="n">
        <v>0</v>
      </c>
      <c r="DL114" s="704" t="n">
        <v>0</v>
      </c>
      <c r="DM114" s="704" t="n">
        <v>0</v>
      </c>
    </row>
    <row r="115" ht="13.5" customHeight="1" s="355">
      <c r="B115" s="703" t="inlineStr">
        <is>
          <t>Acct Payable</t>
        </is>
      </c>
      <c r="D115" s="704" t="n">
        <v>0</v>
      </c>
      <c r="E115" s="704" t="n">
        <v>0</v>
      </c>
      <c r="F115" s="704" t="n">
        <v>0</v>
      </c>
      <c r="G115" s="704" t="n">
        <v>0</v>
      </c>
      <c r="H115" s="704" t="n">
        <v>0</v>
      </c>
      <c r="I115" s="704" t="n">
        <v>0</v>
      </c>
      <c r="J115" s="704" t="n">
        <v>0</v>
      </c>
      <c r="K115" s="704" t="n">
        <v>0</v>
      </c>
      <c r="L115" s="704" t="n">
        <v>0</v>
      </c>
      <c r="M115" s="704" t="n">
        <v>0</v>
      </c>
      <c r="N115" s="704" t="n">
        <v>0</v>
      </c>
      <c r="O115" s="704" t="n">
        <v>0</v>
      </c>
      <c r="P115" s="704" t="n">
        <v>0</v>
      </c>
      <c r="Q115" s="704" t="n">
        <v>0</v>
      </c>
      <c r="R115" s="704" t="n">
        <v>0</v>
      </c>
      <c r="S115" s="704" t="n">
        <v>0</v>
      </c>
      <c r="T115" s="704" t="n">
        <v>0</v>
      </c>
      <c r="U115" s="704" t="n">
        <v>0</v>
      </c>
      <c r="V115" s="704" t="n">
        <v>0</v>
      </c>
      <c r="W115" s="704" t="n">
        <v>0</v>
      </c>
      <c r="X115" s="704" t="n">
        <v>0</v>
      </c>
      <c r="Y115" s="704" t="n">
        <v>0</v>
      </c>
      <c r="Z115" s="704" t="n">
        <v>0</v>
      </c>
      <c r="AA115" s="704" t="n">
        <v>0</v>
      </c>
      <c r="AB115" s="704" t="n">
        <v>0</v>
      </c>
      <c r="AC115" s="704" t="n">
        <v>0</v>
      </c>
      <c r="AD115" s="704" t="n">
        <v>0</v>
      </c>
      <c r="AE115" s="704" t="n">
        <v>0</v>
      </c>
      <c r="AF115" s="704" t="n">
        <v>0</v>
      </c>
      <c r="AG115" s="704" t="n">
        <v>0</v>
      </c>
      <c r="AH115" s="704" t="n">
        <v>0</v>
      </c>
      <c r="AI115" s="704" t="n">
        <v>0</v>
      </c>
      <c r="AJ115" s="704" t="n">
        <v>0</v>
      </c>
      <c r="AK115" s="704" t="n">
        <v>0</v>
      </c>
      <c r="AL115" s="704" t="n">
        <v>0</v>
      </c>
      <c r="AM115" s="704" t="n">
        <v>0</v>
      </c>
      <c r="AN115" s="704" t="n">
        <v>0</v>
      </c>
      <c r="AO115" s="704" t="n">
        <v>0</v>
      </c>
      <c r="AP115" s="704" t="n">
        <v>0</v>
      </c>
      <c r="AQ115" s="704" t="n">
        <v>0</v>
      </c>
      <c r="AR115" s="704" t="n">
        <v>0</v>
      </c>
      <c r="AS115" s="704" t="n">
        <v>0</v>
      </c>
      <c r="AT115" s="704" t="n">
        <v>0</v>
      </c>
      <c r="AU115" s="704" t="n">
        <v>0</v>
      </c>
      <c r="AV115" s="704" t="n">
        <v>0</v>
      </c>
      <c r="AW115" s="704" t="n">
        <v>0</v>
      </c>
      <c r="AX115" s="704" t="n">
        <v>0</v>
      </c>
      <c r="AY115" s="704" t="n">
        <v>0</v>
      </c>
      <c r="AZ115" s="704" t="n">
        <v>0</v>
      </c>
      <c r="BA115" s="704" t="n">
        <v>0</v>
      </c>
      <c r="BB115" s="704" t="n">
        <v>0</v>
      </c>
      <c r="BC115" s="704" t="n">
        <v>0</v>
      </c>
      <c r="BD115" s="704" t="n">
        <v>0</v>
      </c>
      <c r="BE115" s="704" t="n">
        <v>0</v>
      </c>
      <c r="BF115" s="704" t="n">
        <v>0</v>
      </c>
      <c r="BG115" s="704" t="n">
        <v>0</v>
      </c>
      <c r="BH115" s="704" t="n">
        <v>0</v>
      </c>
      <c r="BI115" s="704" t="n">
        <v>0</v>
      </c>
      <c r="BJ115" s="704" t="n">
        <v>0</v>
      </c>
      <c r="BK115" s="704" t="n">
        <v>0</v>
      </c>
      <c r="BL115" s="704" t="n">
        <v>0</v>
      </c>
      <c r="BM115" s="704" t="n">
        <v>0</v>
      </c>
      <c r="BN115" s="704" t="n">
        <v>0</v>
      </c>
      <c r="BO115" s="704" t="n">
        <v>0</v>
      </c>
      <c r="BP115" s="704" t="n">
        <v>0</v>
      </c>
      <c r="BQ115" s="704" t="n">
        <v>0</v>
      </c>
      <c r="BR115" s="704" t="n">
        <v>0</v>
      </c>
      <c r="BS115" s="704" t="n">
        <v>0</v>
      </c>
      <c r="BT115" s="704" t="n">
        <v>0</v>
      </c>
      <c r="BU115" s="704" t="n">
        <v>0</v>
      </c>
      <c r="BV115" s="704" t="n">
        <v>0</v>
      </c>
      <c r="BW115" s="704" t="n">
        <v>0</v>
      </c>
      <c r="BX115" s="704" t="n">
        <v>0</v>
      </c>
      <c r="BY115" s="704" t="n">
        <v>0</v>
      </c>
      <c r="BZ115" s="704" t="n">
        <v>0</v>
      </c>
      <c r="CA115" s="704" t="n">
        <v>0</v>
      </c>
      <c r="CB115" s="704" t="n">
        <v>0</v>
      </c>
      <c r="CC115" s="704" t="n">
        <v>0</v>
      </c>
      <c r="CD115" s="704" t="n">
        <v>0</v>
      </c>
      <c r="CE115" s="704" t="n">
        <v>0</v>
      </c>
      <c r="CF115" s="704" t="n">
        <v>0</v>
      </c>
      <c r="CG115" s="704" t="n">
        <v>0</v>
      </c>
      <c r="CH115" s="704" t="n">
        <v>0</v>
      </c>
      <c r="CI115" s="704" t="n">
        <v>0</v>
      </c>
      <c r="CJ115" s="704" t="n">
        <v>0</v>
      </c>
      <c r="CK115" s="704" t="n">
        <v>0</v>
      </c>
      <c r="CL115" s="704" t="n">
        <v>0</v>
      </c>
      <c r="CM115" s="704" t="n">
        <v>0</v>
      </c>
      <c r="CN115" s="704" t="n">
        <v>0</v>
      </c>
      <c r="CO115" s="704" t="n">
        <v>0</v>
      </c>
      <c r="CP115" s="704" t="n">
        <v>0</v>
      </c>
      <c r="CQ115" s="704" t="n">
        <v>0</v>
      </c>
      <c r="CR115" s="704" t="n">
        <v>0</v>
      </c>
      <c r="CS115" s="704" t="n">
        <v>0</v>
      </c>
      <c r="CT115" s="704" t="n">
        <v>0</v>
      </c>
      <c r="CU115" s="704" t="n">
        <v>0</v>
      </c>
      <c r="CV115" s="704" t="n">
        <v>0</v>
      </c>
      <c r="CW115" s="704" t="n">
        <v>0</v>
      </c>
      <c r="CX115" s="704" t="n">
        <v>0</v>
      </c>
      <c r="CY115" s="704" t="n">
        <v>0</v>
      </c>
      <c r="CZ115" s="704" t="n">
        <v>0</v>
      </c>
      <c r="DA115" s="704" t="n">
        <v>0</v>
      </c>
      <c r="DB115" s="704" t="n">
        <v>0</v>
      </c>
      <c r="DC115" s="704" t="n">
        <v>0</v>
      </c>
      <c r="DD115" s="704" t="n">
        <v>0</v>
      </c>
      <c r="DE115" s="704" t="n">
        <v>0</v>
      </c>
      <c r="DF115" s="704" t="n">
        <v>0</v>
      </c>
      <c r="DG115" s="704" t="n">
        <v>0</v>
      </c>
      <c r="DH115" s="704" t="n">
        <v>0</v>
      </c>
      <c r="DI115" s="704" t="n">
        <v>0</v>
      </c>
      <c r="DJ115" s="704" t="n">
        <v>0</v>
      </c>
      <c r="DK115" s="704" t="n">
        <v>0</v>
      </c>
      <c r="DL115" s="704" t="n">
        <v>0</v>
      </c>
      <c r="DM115" s="704" t="n">
        <v>0</v>
      </c>
    </row>
    <row r="116" ht="13.5" customHeight="1" s="355">
      <c r="B116" s="703" t="inlineStr">
        <is>
          <t>Cash&amp;Bank</t>
        </is>
      </c>
      <c r="D116" s="704" t="n">
        <v>0</v>
      </c>
      <c r="E116" s="704" t="n">
        <v>0</v>
      </c>
      <c r="F116" s="704" t="n">
        <v>0</v>
      </c>
      <c r="G116" s="704" t="n">
        <v>0</v>
      </c>
      <c r="H116" s="704" t="n">
        <v>0</v>
      </c>
      <c r="I116" s="704" t="n">
        <v>0</v>
      </c>
      <c r="J116" s="704" t="n">
        <v>0</v>
      </c>
      <c r="K116" s="704" t="n">
        <v>0</v>
      </c>
      <c r="L116" s="704" t="n">
        <v>0</v>
      </c>
      <c r="M116" s="704" t="n">
        <v>0</v>
      </c>
      <c r="N116" s="704" t="n">
        <v>0</v>
      </c>
      <c r="O116" s="704" t="n">
        <v>0</v>
      </c>
      <c r="P116" s="704" t="n">
        <v>0</v>
      </c>
      <c r="Q116" s="704" t="n">
        <v>0</v>
      </c>
      <c r="R116" s="704" t="n">
        <v>0</v>
      </c>
      <c r="S116" s="704" t="n">
        <v>0</v>
      </c>
      <c r="T116" s="704" t="n">
        <v>0</v>
      </c>
      <c r="U116" s="704" t="n">
        <v>0</v>
      </c>
      <c r="V116" s="704" t="n">
        <v>0</v>
      </c>
      <c r="W116" s="704" t="n">
        <v>0</v>
      </c>
      <c r="X116" s="704" t="n">
        <v>0</v>
      </c>
      <c r="Y116" s="704" t="n">
        <v>0</v>
      </c>
      <c r="Z116" s="704" t="n">
        <v>0</v>
      </c>
      <c r="AA116" s="704" t="n">
        <v>0</v>
      </c>
      <c r="AB116" s="704" t="n">
        <v>0</v>
      </c>
      <c r="AC116" s="704" t="n">
        <v>0</v>
      </c>
      <c r="AD116" s="704" t="n">
        <v>0</v>
      </c>
      <c r="AE116" s="704" t="n">
        <v>0</v>
      </c>
      <c r="AF116" s="704" t="n">
        <v>0</v>
      </c>
      <c r="AG116" s="704" t="n">
        <v>0</v>
      </c>
      <c r="AH116" s="704" t="n">
        <v>0</v>
      </c>
      <c r="AI116" s="704" t="n">
        <v>0</v>
      </c>
      <c r="AJ116" s="704" t="n">
        <v>0</v>
      </c>
      <c r="AK116" s="704" t="n">
        <v>0</v>
      </c>
      <c r="AL116" s="704" t="n">
        <v>0</v>
      </c>
      <c r="AM116" s="704" t="n">
        <v>0</v>
      </c>
      <c r="AN116" s="704" t="n">
        <v>0</v>
      </c>
      <c r="AO116" s="704" t="n">
        <v>0</v>
      </c>
      <c r="AP116" s="704" t="n">
        <v>0</v>
      </c>
      <c r="AQ116" s="704" t="n">
        <v>0</v>
      </c>
      <c r="AR116" s="704" t="n">
        <v>0</v>
      </c>
      <c r="AS116" s="704" t="n">
        <v>0</v>
      </c>
      <c r="AT116" s="704" t="n">
        <v>0</v>
      </c>
      <c r="AU116" s="704" t="n">
        <v>0</v>
      </c>
      <c r="AV116" s="704" t="n">
        <v>0</v>
      </c>
      <c r="AW116" s="704" t="n">
        <v>0</v>
      </c>
      <c r="AX116" s="704" t="n">
        <v>0</v>
      </c>
      <c r="AY116" s="704" t="n">
        <v>0</v>
      </c>
      <c r="AZ116" s="704" t="n">
        <v>0</v>
      </c>
      <c r="BA116" s="704" t="n">
        <v>0</v>
      </c>
      <c r="BB116" s="704" t="n">
        <v>0</v>
      </c>
      <c r="BC116" s="704" t="n">
        <v>0</v>
      </c>
      <c r="BD116" s="704" t="n">
        <v>0</v>
      </c>
      <c r="BE116" s="704" t="n">
        <v>0</v>
      </c>
      <c r="BF116" s="704" t="n">
        <v>0</v>
      </c>
      <c r="BG116" s="704" t="n">
        <v>0</v>
      </c>
      <c r="BH116" s="704" t="n">
        <v>0</v>
      </c>
      <c r="BI116" s="704" t="n">
        <v>0</v>
      </c>
      <c r="BJ116" s="704" t="n">
        <v>0</v>
      </c>
      <c r="BK116" s="704" t="n">
        <v>0</v>
      </c>
      <c r="BL116" s="704" t="n">
        <v>0</v>
      </c>
      <c r="BM116" s="704" t="n">
        <v>0</v>
      </c>
      <c r="BN116" s="704" t="n">
        <v>0</v>
      </c>
      <c r="BO116" s="704" t="n">
        <v>0</v>
      </c>
      <c r="BP116" s="704" t="n">
        <v>0</v>
      </c>
      <c r="BQ116" s="704" t="n">
        <v>0</v>
      </c>
      <c r="BR116" s="704" t="n">
        <v>0</v>
      </c>
      <c r="BS116" s="704" t="n">
        <v>0</v>
      </c>
      <c r="BT116" s="704" t="n">
        <v>0</v>
      </c>
      <c r="BU116" s="704" t="n">
        <v>0</v>
      </c>
      <c r="BV116" s="704" t="n">
        <v>0</v>
      </c>
      <c r="BW116" s="704" t="n">
        <v>0</v>
      </c>
      <c r="BX116" s="704" t="n">
        <v>0</v>
      </c>
      <c r="BY116" s="704" t="n">
        <v>0</v>
      </c>
      <c r="BZ116" s="704" t="n">
        <v>0</v>
      </c>
      <c r="CA116" s="704" t="n">
        <v>0</v>
      </c>
      <c r="CB116" s="704" t="n">
        <v>0</v>
      </c>
      <c r="CC116" s="704" t="n">
        <v>0</v>
      </c>
      <c r="CD116" s="704" t="n">
        <v>0</v>
      </c>
      <c r="CE116" s="704" t="n">
        <v>0</v>
      </c>
      <c r="CF116" s="704" t="n">
        <v>0</v>
      </c>
      <c r="CG116" s="704" t="n">
        <v>0</v>
      </c>
      <c r="CH116" s="704" t="n">
        <v>0</v>
      </c>
      <c r="CI116" s="704" t="n">
        <v>0</v>
      </c>
      <c r="CJ116" s="704" t="n">
        <v>0</v>
      </c>
      <c r="CK116" s="704" t="n">
        <v>0</v>
      </c>
      <c r="CL116" s="704" t="n">
        <v>0</v>
      </c>
      <c r="CM116" s="704" t="n">
        <v>0</v>
      </c>
      <c r="CN116" s="704" t="n">
        <v>0</v>
      </c>
      <c r="CO116" s="704" t="n">
        <v>0</v>
      </c>
      <c r="CP116" s="704" t="n">
        <v>0</v>
      </c>
      <c r="CQ116" s="704" t="n">
        <v>0</v>
      </c>
      <c r="CR116" s="704" t="n">
        <v>0</v>
      </c>
      <c r="CS116" s="704" t="n">
        <v>0</v>
      </c>
      <c r="CT116" s="704" t="n">
        <v>0</v>
      </c>
      <c r="CU116" s="704" t="n">
        <v>0</v>
      </c>
      <c r="CV116" s="704" t="n">
        <v>0</v>
      </c>
      <c r="CW116" s="704" t="n">
        <v>0</v>
      </c>
      <c r="CX116" s="704" t="n">
        <v>0</v>
      </c>
      <c r="CY116" s="704" t="n">
        <v>0</v>
      </c>
      <c r="CZ116" s="704" t="n">
        <v>0</v>
      </c>
      <c r="DA116" s="704" t="n">
        <v>0</v>
      </c>
      <c r="DB116" s="704" t="n">
        <v>0</v>
      </c>
      <c r="DC116" s="704" t="n">
        <v>0</v>
      </c>
      <c r="DD116" s="704" t="n">
        <v>0</v>
      </c>
      <c r="DE116" s="704" t="n">
        <v>0</v>
      </c>
      <c r="DF116" s="704" t="n">
        <v>0</v>
      </c>
      <c r="DG116" s="704" t="n">
        <v>0</v>
      </c>
      <c r="DH116" s="704" t="n">
        <v>0</v>
      </c>
      <c r="DI116" s="704" t="n">
        <v>0</v>
      </c>
      <c r="DJ116" s="704" t="n">
        <v>0</v>
      </c>
      <c r="DK116" s="704" t="n">
        <v>0</v>
      </c>
      <c r="DL116" s="704" t="n">
        <v>0</v>
      </c>
      <c r="DM116" s="704" t="n">
        <v>0</v>
      </c>
    </row>
    <row r="117" ht="13.5" customHeight="1" s="355">
      <c r="B117" s="703" t="inlineStr">
        <is>
          <t>T&amp;E</t>
        </is>
      </c>
      <c r="D117" s="704" t="n">
        <v>0</v>
      </c>
      <c r="E117" s="704" t="n">
        <v>0</v>
      </c>
      <c r="F117" s="704" t="n">
        <v>0</v>
      </c>
      <c r="G117" s="704" t="n">
        <v>0</v>
      </c>
      <c r="H117" s="704" t="n">
        <v>0</v>
      </c>
      <c r="I117" s="704" t="n">
        <v>0</v>
      </c>
      <c r="J117" s="704" t="n">
        <v>0</v>
      </c>
      <c r="K117" s="704" t="n">
        <v>0</v>
      </c>
      <c r="L117" s="704" t="n">
        <v>0</v>
      </c>
      <c r="M117" s="704" t="n">
        <v>0</v>
      </c>
      <c r="N117" s="704" t="n">
        <v>0</v>
      </c>
      <c r="O117" s="704" t="n">
        <v>0</v>
      </c>
      <c r="P117" s="704" t="n">
        <v>0</v>
      </c>
      <c r="Q117" s="704" t="n">
        <v>0</v>
      </c>
      <c r="R117" s="704" t="n">
        <v>0</v>
      </c>
      <c r="S117" s="704" t="n">
        <v>0</v>
      </c>
      <c r="T117" s="704" t="n">
        <v>0</v>
      </c>
      <c r="U117" s="704" t="n">
        <v>0</v>
      </c>
      <c r="V117" s="704" t="n">
        <v>0</v>
      </c>
      <c r="W117" s="704" t="n">
        <v>0</v>
      </c>
      <c r="X117" s="704" t="n">
        <v>0</v>
      </c>
      <c r="Y117" s="704" t="n">
        <v>0</v>
      </c>
      <c r="Z117" s="704" t="n">
        <v>0</v>
      </c>
      <c r="AA117" s="704" t="n">
        <v>0</v>
      </c>
      <c r="AB117" s="704" t="n">
        <v>0</v>
      </c>
      <c r="AC117" s="704" t="n">
        <v>0</v>
      </c>
      <c r="AD117" s="704" t="n">
        <v>0</v>
      </c>
      <c r="AE117" s="704" t="n">
        <v>0</v>
      </c>
      <c r="AF117" s="704" t="n">
        <v>0</v>
      </c>
      <c r="AG117" s="704" t="n">
        <v>0</v>
      </c>
      <c r="AH117" s="704" t="n">
        <v>0</v>
      </c>
      <c r="AI117" s="704" t="n">
        <v>0</v>
      </c>
      <c r="AJ117" s="704" t="n">
        <v>0</v>
      </c>
      <c r="AK117" s="704" t="n">
        <v>0</v>
      </c>
      <c r="AL117" s="704" t="n">
        <v>0</v>
      </c>
      <c r="AM117" s="704" t="n">
        <v>0</v>
      </c>
      <c r="AN117" s="704" t="n">
        <v>0</v>
      </c>
      <c r="AO117" s="704" t="n">
        <v>0</v>
      </c>
      <c r="AP117" s="704" t="n">
        <v>0</v>
      </c>
      <c r="AQ117" s="704" t="n">
        <v>0</v>
      </c>
      <c r="AR117" s="704" t="n">
        <v>0</v>
      </c>
      <c r="AS117" s="704" t="n">
        <v>0</v>
      </c>
      <c r="AT117" s="704" t="n">
        <v>0</v>
      </c>
      <c r="AU117" s="704" t="n">
        <v>0</v>
      </c>
      <c r="AV117" s="704" t="n">
        <v>0</v>
      </c>
      <c r="AW117" s="704" t="n">
        <v>0</v>
      </c>
      <c r="AX117" s="704" t="n">
        <v>0</v>
      </c>
      <c r="AY117" s="704" t="n">
        <v>0</v>
      </c>
      <c r="AZ117" s="704" t="n">
        <v>0</v>
      </c>
      <c r="BA117" s="704" t="n">
        <v>0</v>
      </c>
      <c r="BB117" s="704" t="n">
        <v>0</v>
      </c>
      <c r="BC117" s="704" t="n">
        <v>0</v>
      </c>
      <c r="BD117" s="704" t="n">
        <v>0</v>
      </c>
      <c r="BE117" s="704" t="n">
        <v>0</v>
      </c>
      <c r="BF117" s="704" t="n">
        <v>0</v>
      </c>
      <c r="BG117" s="704" t="n">
        <v>0</v>
      </c>
      <c r="BH117" s="704" t="n">
        <v>0</v>
      </c>
      <c r="BI117" s="704" t="n">
        <v>0</v>
      </c>
      <c r="BJ117" s="704" t="n">
        <v>0</v>
      </c>
      <c r="BK117" s="704" t="n">
        <v>0</v>
      </c>
      <c r="BL117" s="704" t="n">
        <v>0</v>
      </c>
      <c r="BM117" s="704" t="n">
        <v>0</v>
      </c>
      <c r="BN117" s="704" t="n">
        <v>0</v>
      </c>
      <c r="BO117" s="704" t="n">
        <v>0</v>
      </c>
      <c r="BP117" s="704" t="n">
        <v>0</v>
      </c>
      <c r="BQ117" s="704" t="n">
        <v>0</v>
      </c>
      <c r="BR117" s="704" t="n">
        <v>0</v>
      </c>
      <c r="BS117" s="704" t="n">
        <v>0</v>
      </c>
      <c r="BT117" s="704" t="n">
        <v>0</v>
      </c>
      <c r="BU117" s="704" t="n">
        <v>0</v>
      </c>
      <c r="BV117" s="704" t="n">
        <v>0</v>
      </c>
      <c r="BW117" s="704" t="n">
        <v>0</v>
      </c>
      <c r="BX117" s="704" t="n">
        <v>0</v>
      </c>
      <c r="BY117" s="704" t="n">
        <v>0</v>
      </c>
      <c r="BZ117" s="704" t="n">
        <v>0</v>
      </c>
      <c r="CA117" s="704" t="n">
        <v>0</v>
      </c>
      <c r="CB117" s="704" t="n">
        <v>0</v>
      </c>
      <c r="CC117" s="704" t="n">
        <v>0</v>
      </c>
      <c r="CD117" s="704" t="n">
        <v>0</v>
      </c>
      <c r="CE117" s="704" t="n">
        <v>0</v>
      </c>
      <c r="CF117" s="704" t="n">
        <v>0</v>
      </c>
      <c r="CG117" s="704" t="n">
        <v>0</v>
      </c>
      <c r="CH117" s="704" t="n">
        <v>0</v>
      </c>
      <c r="CI117" s="704" t="n">
        <v>0</v>
      </c>
      <c r="CJ117" s="704" t="n">
        <v>0</v>
      </c>
      <c r="CK117" s="704" t="n">
        <v>0</v>
      </c>
      <c r="CL117" s="704" t="n">
        <v>0</v>
      </c>
      <c r="CM117" s="704" t="n">
        <v>0</v>
      </c>
      <c r="CN117" s="704" t="n">
        <v>0</v>
      </c>
      <c r="CO117" s="704" t="n">
        <v>0</v>
      </c>
      <c r="CP117" s="704" t="n">
        <v>0</v>
      </c>
      <c r="CQ117" s="704" t="n">
        <v>0</v>
      </c>
      <c r="CR117" s="704" t="n">
        <v>0</v>
      </c>
      <c r="CS117" s="704" t="n">
        <v>0</v>
      </c>
      <c r="CT117" s="704" t="n">
        <v>0</v>
      </c>
      <c r="CU117" s="704" t="n">
        <v>0</v>
      </c>
      <c r="CV117" s="704" t="n">
        <v>0</v>
      </c>
      <c r="CW117" s="704" t="n">
        <v>0</v>
      </c>
      <c r="CX117" s="704" t="n">
        <v>0</v>
      </c>
      <c r="CY117" s="704" t="n">
        <v>0</v>
      </c>
      <c r="CZ117" s="704" t="n">
        <v>0</v>
      </c>
      <c r="DA117" s="704" t="n">
        <v>0</v>
      </c>
      <c r="DB117" s="704" t="n">
        <v>0</v>
      </c>
      <c r="DC117" s="704" t="n">
        <v>0</v>
      </c>
      <c r="DD117" s="704" t="n">
        <v>0</v>
      </c>
      <c r="DE117" s="704" t="n">
        <v>0</v>
      </c>
      <c r="DF117" s="704" t="n">
        <v>0</v>
      </c>
      <c r="DG117" s="704" t="n">
        <v>0</v>
      </c>
      <c r="DH117" s="704" t="n">
        <v>0</v>
      </c>
      <c r="DI117" s="704" t="n">
        <v>0</v>
      </c>
      <c r="DJ117" s="704" t="n">
        <v>0</v>
      </c>
      <c r="DK117" s="704" t="n">
        <v>0</v>
      </c>
      <c r="DL117" s="704" t="n">
        <v>0</v>
      </c>
      <c r="DM117" s="704" t="n">
        <v>0</v>
      </c>
    </row>
    <row r="118" ht="13.5" customHeight="1" s="355">
      <c r="B118" s="703" t="inlineStr">
        <is>
          <t>Order to Cash</t>
        </is>
      </c>
      <c r="D118" s="704" t="n">
        <v>0</v>
      </c>
      <c r="E118" s="704" t="n">
        <v>0</v>
      </c>
      <c r="F118" s="704" t="n">
        <v>0</v>
      </c>
      <c r="G118" s="704" t="n">
        <v>0</v>
      </c>
      <c r="H118" s="704" t="n">
        <v>0</v>
      </c>
      <c r="I118" s="704" t="n">
        <v>0</v>
      </c>
      <c r="J118" s="704" t="n">
        <v>0</v>
      </c>
      <c r="K118" s="704" t="n">
        <v>0</v>
      </c>
      <c r="L118" s="704" t="n">
        <v>0</v>
      </c>
      <c r="M118" s="704" t="n">
        <v>0</v>
      </c>
      <c r="N118" s="704" t="n">
        <v>0</v>
      </c>
      <c r="O118" s="704" t="n">
        <v>0</v>
      </c>
      <c r="P118" s="704" t="n">
        <v>0</v>
      </c>
      <c r="Q118" s="704" t="n">
        <v>0</v>
      </c>
      <c r="R118" s="704" t="n">
        <v>0</v>
      </c>
      <c r="S118" s="704" t="n">
        <v>0</v>
      </c>
      <c r="T118" s="704" t="n">
        <v>0</v>
      </c>
      <c r="U118" s="704" t="n">
        <v>0</v>
      </c>
      <c r="V118" s="704" t="n">
        <v>0</v>
      </c>
      <c r="W118" s="704" t="n">
        <v>0</v>
      </c>
      <c r="X118" s="704" t="n">
        <v>0</v>
      </c>
      <c r="Y118" s="704" t="n">
        <v>0</v>
      </c>
      <c r="Z118" s="704" t="n">
        <v>0</v>
      </c>
      <c r="AA118" s="704" t="n">
        <v>0</v>
      </c>
      <c r="AB118" s="704" t="n">
        <v>0</v>
      </c>
      <c r="AC118" s="704" t="n">
        <v>0</v>
      </c>
      <c r="AD118" s="704" t="n">
        <v>0</v>
      </c>
      <c r="AE118" s="704" t="n">
        <v>0</v>
      </c>
      <c r="AF118" s="704" t="n">
        <v>0</v>
      </c>
      <c r="AG118" s="704" t="n">
        <v>0</v>
      </c>
      <c r="AH118" s="704" t="n">
        <v>0</v>
      </c>
      <c r="AI118" s="704" t="n">
        <v>0</v>
      </c>
      <c r="AJ118" s="704" t="n">
        <v>0</v>
      </c>
      <c r="AK118" s="704" t="n">
        <v>0</v>
      </c>
      <c r="AL118" s="704" t="n">
        <v>0</v>
      </c>
      <c r="AM118" s="704" t="n">
        <v>0</v>
      </c>
      <c r="AN118" s="704" t="n">
        <v>0</v>
      </c>
      <c r="AO118" s="704" t="n">
        <v>0</v>
      </c>
      <c r="AP118" s="704" t="n">
        <v>0</v>
      </c>
      <c r="AQ118" s="704" t="n">
        <v>0</v>
      </c>
      <c r="AR118" s="704" t="n">
        <v>0</v>
      </c>
      <c r="AS118" s="704" t="n">
        <v>0</v>
      </c>
      <c r="AT118" s="704" t="n">
        <v>0</v>
      </c>
      <c r="AU118" s="704" t="n">
        <v>0</v>
      </c>
      <c r="AV118" s="704" t="n">
        <v>0</v>
      </c>
      <c r="AW118" s="704" t="n">
        <v>0</v>
      </c>
      <c r="AX118" s="704" t="n">
        <v>0</v>
      </c>
      <c r="AY118" s="704" t="n">
        <v>0</v>
      </c>
      <c r="AZ118" s="704" t="n">
        <v>0</v>
      </c>
      <c r="BA118" s="704" t="n">
        <v>0</v>
      </c>
      <c r="BB118" s="704" t="n">
        <v>0</v>
      </c>
      <c r="BC118" s="704" t="n">
        <v>0</v>
      </c>
      <c r="BD118" s="704" t="n">
        <v>0</v>
      </c>
      <c r="BE118" s="704" t="n">
        <v>0</v>
      </c>
      <c r="BF118" s="704" t="n">
        <v>0</v>
      </c>
      <c r="BG118" s="704" t="n">
        <v>0</v>
      </c>
      <c r="BH118" s="704" t="n">
        <v>0</v>
      </c>
      <c r="BI118" s="704" t="n">
        <v>0</v>
      </c>
      <c r="BJ118" s="704" t="n">
        <v>0</v>
      </c>
      <c r="BK118" s="704" t="n">
        <v>0</v>
      </c>
      <c r="BL118" s="704" t="n">
        <v>0</v>
      </c>
      <c r="BM118" s="704" t="n">
        <v>0</v>
      </c>
      <c r="BN118" s="704" t="n">
        <v>0</v>
      </c>
      <c r="BO118" s="704" t="n">
        <v>0</v>
      </c>
      <c r="BP118" s="704" t="n">
        <v>0</v>
      </c>
      <c r="BQ118" s="704" t="n">
        <v>0</v>
      </c>
      <c r="BR118" s="704" t="n">
        <v>0</v>
      </c>
      <c r="BS118" s="704" t="n">
        <v>0</v>
      </c>
      <c r="BT118" s="704" t="n">
        <v>0</v>
      </c>
      <c r="BU118" s="704" t="n">
        <v>0</v>
      </c>
      <c r="BV118" s="704" t="n">
        <v>0</v>
      </c>
      <c r="BW118" s="704" t="n">
        <v>0</v>
      </c>
      <c r="BX118" s="704" t="n">
        <v>0</v>
      </c>
      <c r="BY118" s="704" t="n">
        <v>0</v>
      </c>
      <c r="BZ118" s="704" t="n">
        <v>0</v>
      </c>
      <c r="CA118" s="704" t="n">
        <v>0</v>
      </c>
      <c r="CB118" s="704" t="n">
        <v>0</v>
      </c>
      <c r="CC118" s="704" t="n">
        <v>0</v>
      </c>
      <c r="CD118" s="704" t="n">
        <v>0</v>
      </c>
      <c r="CE118" s="704" t="n">
        <v>0</v>
      </c>
      <c r="CF118" s="704" t="n">
        <v>0</v>
      </c>
      <c r="CG118" s="704" t="n">
        <v>0</v>
      </c>
      <c r="CH118" s="704" t="n">
        <v>0</v>
      </c>
      <c r="CI118" s="704" t="n">
        <v>0</v>
      </c>
      <c r="CJ118" s="704" t="n">
        <v>0</v>
      </c>
      <c r="CK118" s="704" t="n">
        <v>0</v>
      </c>
      <c r="CL118" s="704" t="n">
        <v>0</v>
      </c>
      <c r="CM118" s="704" t="n">
        <v>0</v>
      </c>
      <c r="CN118" s="704" t="n">
        <v>0</v>
      </c>
      <c r="CO118" s="704" t="n">
        <v>0</v>
      </c>
      <c r="CP118" s="704" t="n">
        <v>0</v>
      </c>
      <c r="CQ118" s="704" t="n">
        <v>0</v>
      </c>
      <c r="CR118" s="704" t="n">
        <v>0</v>
      </c>
      <c r="CS118" s="704" t="n">
        <v>0</v>
      </c>
      <c r="CT118" s="704" t="n">
        <v>0</v>
      </c>
      <c r="CU118" s="704" t="n">
        <v>0</v>
      </c>
      <c r="CV118" s="704" t="n">
        <v>0</v>
      </c>
      <c r="CW118" s="704" t="n">
        <v>0</v>
      </c>
      <c r="CX118" s="704" t="n">
        <v>0</v>
      </c>
      <c r="CY118" s="704" t="n">
        <v>0</v>
      </c>
      <c r="CZ118" s="704" t="n">
        <v>0</v>
      </c>
      <c r="DA118" s="704" t="n">
        <v>0</v>
      </c>
      <c r="DB118" s="704" t="n">
        <v>0</v>
      </c>
      <c r="DC118" s="704" t="n">
        <v>0</v>
      </c>
      <c r="DD118" s="704" t="n">
        <v>0</v>
      </c>
      <c r="DE118" s="704" t="n">
        <v>0</v>
      </c>
      <c r="DF118" s="704" t="n">
        <v>0</v>
      </c>
      <c r="DG118" s="704" t="n">
        <v>0</v>
      </c>
      <c r="DH118" s="704" t="n">
        <v>0</v>
      </c>
      <c r="DI118" s="704" t="n">
        <v>0</v>
      </c>
      <c r="DJ118" s="704" t="n">
        <v>0</v>
      </c>
      <c r="DK118" s="704" t="n">
        <v>0</v>
      </c>
      <c r="DL118" s="704" t="n">
        <v>0</v>
      </c>
      <c r="DM118" s="704" t="n">
        <v>0</v>
      </c>
    </row>
    <row r="119" ht="13.5" customHeight="1" s="355">
      <c r="B119" s="703" t="inlineStr">
        <is>
          <t>Req to Pay</t>
        </is>
      </c>
      <c r="D119" s="704" t="n">
        <v>0</v>
      </c>
      <c r="E119" s="704" t="n">
        <v>0</v>
      </c>
      <c r="F119" s="704" t="n">
        <v>0</v>
      </c>
      <c r="G119" s="704" t="n">
        <v>0</v>
      </c>
      <c r="H119" s="704" t="n">
        <v>0</v>
      </c>
      <c r="I119" s="704" t="n">
        <v>0</v>
      </c>
      <c r="J119" s="704" t="n">
        <v>0</v>
      </c>
      <c r="K119" s="704" t="n">
        <v>0</v>
      </c>
      <c r="L119" s="704" t="n">
        <v>0</v>
      </c>
      <c r="M119" s="704" t="n">
        <v>0</v>
      </c>
      <c r="N119" s="704" t="n">
        <v>0</v>
      </c>
      <c r="O119" s="704" t="n">
        <v>0</v>
      </c>
      <c r="P119" s="704" t="n">
        <v>0</v>
      </c>
      <c r="Q119" s="704" t="n">
        <v>0</v>
      </c>
      <c r="R119" s="704" t="n">
        <v>0</v>
      </c>
      <c r="S119" s="704" t="n">
        <v>0</v>
      </c>
      <c r="T119" s="704" t="n">
        <v>0</v>
      </c>
      <c r="U119" s="704" t="n">
        <v>0</v>
      </c>
      <c r="V119" s="704" t="n">
        <v>0</v>
      </c>
      <c r="W119" s="704" t="n">
        <v>0</v>
      </c>
      <c r="X119" s="704" t="n">
        <v>0</v>
      </c>
      <c r="Y119" s="704" t="n">
        <v>0</v>
      </c>
      <c r="Z119" s="704" t="n">
        <v>0</v>
      </c>
      <c r="AA119" s="704" t="n">
        <v>0</v>
      </c>
      <c r="AB119" s="704" t="n">
        <v>0</v>
      </c>
      <c r="AC119" s="704" t="n">
        <v>0</v>
      </c>
      <c r="AD119" s="704" t="n">
        <v>0</v>
      </c>
      <c r="AE119" s="704" t="n">
        <v>0</v>
      </c>
      <c r="AF119" s="704" t="n">
        <v>0</v>
      </c>
      <c r="AG119" s="704" t="n">
        <v>0</v>
      </c>
      <c r="AH119" s="704" t="n">
        <v>0</v>
      </c>
      <c r="AI119" s="704" t="n">
        <v>0</v>
      </c>
      <c r="AJ119" s="704" t="n">
        <v>0</v>
      </c>
      <c r="AK119" s="704" t="n">
        <v>0</v>
      </c>
      <c r="AL119" s="704" t="n">
        <v>0</v>
      </c>
      <c r="AM119" s="704" t="n">
        <v>0</v>
      </c>
      <c r="AN119" s="704" t="n">
        <v>0</v>
      </c>
      <c r="AO119" s="704" t="n">
        <v>0</v>
      </c>
      <c r="AP119" s="704" t="n">
        <v>0</v>
      </c>
      <c r="AQ119" s="704" t="n">
        <v>0</v>
      </c>
      <c r="AR119" s="704" t="n">
        <v>0</v>
      </c>
      <c r="AS119" s="704" t="n">
        <v>0</v>
      </c>
      <c r="AT119" s="704" t="n">
        <v>0</v>
      </c>
      <c r="AU119" s="704" t="n">
        <v>0</v>
      </c>
      <c r="AV119" s="704" t="n">
        <v>0</v>
      </c>
      <c r="AW119" s="704" t="n">
        <v>0</v>
      </c>
      <c r="AX119" s="704" t="n">
        <v>0</v>
      </c>
      <c r="AY119" s="704" t="n">
        <v>0</v>
      </c>
      <c r="AZ119" s="704" t="n">
        <v>0</v>
      </c>
      <c r="BA119" s="704" t="n">
        <v>0</v>
      </c>
      <c r="BB119" s="704" t="n">
        <v>0</v>
      </c>
      <c r="BC119" s="704" t="n">
        <v>0</v>
      </c>
      <c r="BD119" s="704" t="n">
        <v>0</v>
      </c>
      <c r="BE119" s="704" t="n">
        <v>0</v>
      </c>
      <c r="BF119" s="704" t="n">
        <v>0</v>
      </c>
      <c r="BG119" s="704" t="n">
        <v>0</v>
      </c>
      <c r="BH119" s="704" t="n">
        <v>0</v>
      </c>
      <c r="BI119" s="704" t="n">
        <v>0</v>
      </c>
      <c r="BJ119" s="704" t="n">
        <v>0</v>
      </c>
      <c r="BK119" s="704" t="n">
        <v>0</v>
      </c>
      <c r="BL119" s="704" t="n">
        <v>0</v>
      </c>
      <c r="BM119" s="704" t="n">
        <v>0</v>
      </c>
      <c r="BN119" s="704" t="n">
        <v>0</v>
      </c>
      <c r="BO119" s="704" t="n">
        <v>0</v>
      </c>
      <c r="BP119" s="704" t="n">
        <v>0</v>
      </c>
      <c r="BQ119" s="704" t="n">
        <v>0</v>
      </c>
      <c r="BR119" s="704" t="n">
        <v>0</v>
      </c>
      <c r="BS119" s="704" t="n">
        <v>0</v>
      </c>
      <c r="BT119" s="704" t="n">
        <v>0</v>
      </c>
      <c r="BU119" s="704" t="n">
        <v>0</v>
      </c>
      <c r="BV119" s="704" t="n">
        <v>0</v>
      </c>
      <c r="BW119" s="704" t="n">
        <v>0</v>
      </c>
      <c r="BX119" s="704" t="n">
        <v>0</v>
      </c>
      <c r="BY119" s="704" t="n">
        <v>0</v>
      </c>
      <c r="BZ119" s="704" t="n">
        <v>0</v>
      </c>
      <c r="CA119" s="704" t="n">
        <v>0</v>
      </c>
      <c r="CB119" s="704" t="n">
        <v>0</v>
      </c>
      <c r="CC119" s="704" t="n">
        <v>0</v>
      </c>
      <c r="CD119" s="704" t="n">
        <v>0</v>
      </c>
      <c r="CE119" s="704" t="n">
        <v>0</v>
      </c>
      <c r="CF119" s="704" t="n">
        <v>0</v>
      </c>
      <c r="CG119" s="704" t="n">
        <v>0</v>
      </c>
      <c r="CH119" s="704" t="n">
        <v>0</v>
      </c>
      <c r="CI119" s="704" t="n">
        <v>0</v>
      </c>
      <c r="CJ119" s="704" t="n">
        <v>0</v>
      </c>
      <c r="CK119" s="704" t="n">
        <v>0</v>
      </c>
      <c r="CL119" s="704" t="n">
        <v>0</v>
      </c>
      <c r="CM119" s="704" t="n">
        <v>0</v>
      </c>
      <c r="CN119" s="704" t="n">
        <v>0</v>
      </c>
      <c r="CO119" s="704" t="n">
        <v>0</v>
      </c>
      <c r="CP119" s="704" t="n">
        <v>0</v>
      </c>
      <c r="CQ119" s="704" t="n">
        <v>0</v>
      </c>
      <c r="CR119" s="704" t="n">
        <v>0</v>
      </c>
      <c r="CS119" s="704" t="n">
        <v>0</v>
      </c>
      <c r="CT119" s="704" t="n">
        <v>0</v>
      </c>
      <c r="CU119" s="704" t="n">
        <v>0</v>
      </c>
      <c r="CV119" s="704" t="n">
        <v>0</v>
      </c>
      <c r="CW119" s="704" t="n">
        <v>0</v>
      </c>
      <c r="CX119" s="704" t="n">
        <v>0</v>
      </c>
      <c r="CY119" s="704" t="n">
        <v>0</v>
      </c>
      <c r="CZ119" s="704" t="n">
        <v>0</v>
      </c>
      <c r="DA119" s="704" t="n">
        <v>0</v>
      </c>
      <c r="DB119" s="704" t="n">
        <v>0</v>
      </c>
      <c r="DC119" s="704" t="n">
        <v>0</v>
      </c>
      <c r="DD119" s="704" t="n">
        <v>0</v>
      </c>
      <c r="DE119" s="704" t="n">
        <v>0</v>
      </c>
      <c r="DF119" s="704" t="n">
        <v>0</v>
      </c>
      <c r="DG119" s="704" t="n">
        <v>0</v>
      </c>
      <c r="DH119" s="704" t="n">
        <v>0</v>
      </c>
      <c r="DI119" s="704" t="n">
        <v>0</v>
      </c>
      <c r="DJ119" s="704" t="n">
        <v>0</v>
      </c>
      <c r="DK119" s="704" t="n">
        <v>0</v>
      </c>
      <c r="DL119" s="704" t="n">
        <v>0</v>
      </c>
      <c r="DM119" s="704" t="n">
        <v>0</v>
      </c>
    </row>
    <row r="120" ht="13.5" customHeight="1" s="355">
      <c r="B120" s="703" t="inlineStr">
        <is>
          <t>Team Leader</t>
        </is>
      </c>
      <c r="D120" s="704" t="n">
        <v>0</v>
      </c>
      <c r="E120" s="704" t="n">
        <v>0</v>
      </c>
      <c r="F120" s="704" t="n">
        <v>0</v>
      </c>
      <c r="G120" s="704" t="n">
        <v>0</v>
      </c>
      <c r="H120" s="704" t="n">
        <v>0</v>
      </c>
      <c r="I120" s="704" t="n">
        <v>0</v>
      </c>
      <c r="J120" s="704" t="n">
        <v>0</v>
      </c>
      <c r="K120" s="704" t="n">
        <v>0</v>
      </c>
      <c r="L120" s="704" t="n">
        <v>0</v>
      </c>
      <c r="M120" s="704" t="n">
        <v>0</v>
      </c>
      <c r="N120" s="704" t="n">
        <v>0</v>
      </c>
      <c r="O120" s="704" t="n">
        <v>0</v>
      </c>
      <c r="P120" s="704" t="n">
        <v>0</v>
      </c>
      <c r="Q120" s="704" t="n">
        <v>0</v>
      </c>
      <c r="R120" s="704" t="n">
        <v>0</v>
      </c>
      <c r="S120" s="704" t="n">
        <v>0</v>
      </c>
      <c r="T120" s="704" t="n">
        <v>0</v>
      </c>
      <c r="U120" s="704" t="n">
        <v>0</v>
      </c>
      <c r="V120" s="704" t="n">
        <v>0</v>
      </c>
      <c r="W120" s="704" t="n">
        <v>0</v>
      </c>
      <c r="X120" s="704" t="n">
        <v>0</v>
      </c>
      <c r="Y120" s="704" t="n">
        <v>0</v>
      </c>
      <c r="Z120" s="704" t="n">
        <v>0</v>
      </c>
      <c r="AA120" s="704" t="n">
        <v>0</v>
      </c>
      <c r="AB120" s="704" t="n">
        <v>0</v>
      </c>
      <c r="AC120" s="704" t="n">
        <v>0</v>
      </c>
      <c r="AD120" s="704" t="n">
        <v>0</v>
      </c>
      <c r="AE120" s="704" t="n">
        <v>0</v>
      </c>
      <c r="AF120" s="704" t="n">
        <v>0</v>
      </c>
      <c r="AG120" s="704" t="n">
        <v>0</v>
      </c>
      <c r="AH120" s="704" t="n">
        <v>0</v>
      </c>
      <c r="AI120" s="704" t="n">
        <v>0</v>
      </c>
      <c r="AJ120" s="704" t="n">
        <v>0</v>
      </c>
      <c r="AK120" s="704" t="n">
        <v>0</v>
      </c>
      <c r="AL120" s="704" t="n">
        <v>0</v>
      </c>
      <c r="AM120" s="704" t="n">
        <v>0</v>
      </c>
      <c r="AN120" s="704" t="n">
        <v>0</v>
      </c>
      <c r="AO120" s="704" t="n">
        <v>0</v>
      </c>
      <c r="AP120" s="704" t="n">
        <v>0</v>
      </c>
      <c r="AQ120" s="704" t="n">
        <v>0</v>
      </c>
      <c r="AR120" s="704" t="n">
        <v>0</v>
      </c>
      <c r="AS120" s="704" t="n">
        <v>0</v>
      </c>
      <c r="AT120" s="704" t="n">
        <v>0</v>
      </c>
      <c r="AU120" s="704" t="n">
        <v>0</v>
      </c>
      <c r="AV120" s="704" t="n">
        <v>0</v>
      </c>
      <c r="AW120" s="704" t="n">
        <v>0</v>
      </c>
      <c r="AX120" s="704" t="n">
        <v>0</v>
      </c>
      <c r="AY120" s="704" t="n">
        <v>0</v>
      </c>
      <c r="AZ120" s="704" t="n">
        <v>0</v>
      </c>
      <c r="BA120" s="704" t="n">
        <v>0</v>
      </c>
      <c r="BB120" s="704" t="n">
        <v>0</v>
      </c>
      <c r="BC120" s="704" t="n">
        <v>0</v>
      </c>
      <c r="BD120" s="704" t="n">
        <v>0</v>
      </c>
      <c r="BE120" s="704" t="n">
        <v>0</v>
      </c>
      <c r="BF120" s="704" t="n">
        <v>0</v>
      </c>
      <c r="BG120" s="704" t="n">
        <v>0</v>
      </c>
      <c r="BH120" s="704" t="n">
        <v>0</v>
      </c>
      <c r="BI120" s="704" t="n">
        <v>0</v>
      </c>
      <c r="BJ120" s="704" t="n">
        <v>0</v>
      </c>
      <c r="BK120" s="704" t="n">
        <v>0</v>
      </c>
      <c r="BL120" s="704" t="n">
        <v>0</v>
      </c>
      <c r="BM120" s="704" t="n">
        <v>0</v>
      </c>
      <c r="BN120" s="704" t="n">
        <v>0</v>
      </c>
      <c r="BO120" s="704" t="n">
        <v>0</v>
      </c>
      <c r="BP120" s="704" t="n">
        <v>0</v>
      </c>
      <c r="BQ120" s="704" t="n">
        <v>0</v>
      </c>
      <c r="BR120" s="704" t="n">
        <v>0</v>
      </c>
      <c r="BS120" s="704" t="n">
        <v>0</v>
      </c>
      <c r="BT120" s="704" t="n">
        <v>0</v>
      </c>
      <c r="BU120" s="704" t="n">
        <v>0</v>
      </c>
      <c r="BV120" s="704" t="n">
        <v>0</v>
      </c>
      <c r="BW120" s="704" t="n">
        <v>0</v>
      </c>
      <c r="BX120" s="704" t="n">
        <v>0</v>
      </c>
      <c r="BY120" s="704" t="n">
        <v>0</v>
      </c>
      <c r="BZ120" s="704" t="n">
        <v>0</v>
      </c>
      <c r="CA120" s="704" t="n">
        <v>0</v>
      </c>
      <c r="CB120" s="704" t="n">
        <v>0</v>
      </c>
      <c r="CC120" s="704" t="n">
        <v>0</v>
      </c>
      <c r="CD120" s="704" t="n">
        <v>0</v>
      </c>
      <c r="CE120" s="704" t="n">
        <v>0</v>
      </c>
      <c r="CF120" s="704" t="n">
        <v>0</v>
      </c>
      <c r="CG120" s="704" t="n">
        <v>0</v>
      </c>
      <c r="CH120" s="704" t="n">
        <v>0</v>
      </c>
      <c r="CI120" s="704" t="n">
        <v>0</v>
      </c>
      <c r="CJ120" s="704" t="n">
        <v>0</v>
      </c>
      <c r="CK120" s="704" t="n">
        <v>0</v>
      </c>
      <c r="CL120" s="704" t="n">
        <v>0</v>
      </c>
      <c r="CM120" s="704" t="n">
        <v>0</v>
      </c>
      <c r="CN120" s="704" t="n">
        <v>0</v>
      </c>
      <c r="CO120" s="704" t="n">
        <v>0</v>
      </c>
      <c r="CP120" s="704" t="n">
        <v>0</v>
      </c>
      <c r="CQ120" s="704" t="n">
        <v>0</v>
      </c>
      <c r="CR120" s="704" t="n">
        <v>0</v>
      </c>
      <c r="CS120" s="704" t="n">
        <v>0</v>
      </c>
      <c r="CT120" s="704" t="n">
        <v>0</v>
      </c>
      <c r="CU120" s="704" t="n">
        <v>0</v>
      </c>
      <c r="CV120" s="704" t="n">
        <v>0</v>
      </c>
      <c r="CW120" s="704" t="n">
        <v>0</v>
      </c>
      <c r="CX120" s="704" t="n">
        <v>0</v>
      </c>
      <c r="CY120" s="704" t="n">
        <v>0</v>
      </c>
      <c r="CZ120" s="704" t="n">
        <v>0</v>
      </c>
      <c r="DA120" s="704" t="n">
        <v>0</v>
      </c>
      <c r="DB120" s="704" t="n">
        <v>0</v>
      </c>
      <c r="DC120" s="704" t="n">
        <v>0</v>
      </c>
      <c r="DD120" s="704" t="n">
        <v>0</v>
      </c>
      <c r="DE120" s="704" t="n">
        <v>0</v>
      </c>
      <c r="DF120" s="704" t="n">
        <v>0</v>
      </c>
      <c r="DG120" s="704" t="n">
        <v>0</v>
      </c>
      <c r="DH120" s="704" t="n">
        <v>0</v>
      </c>
      <c r="DI120" s="704" t="n">
        <v>0</v>
      </c>
      <c r="DJ120" s="704" t="n">
        <v>0</v>
      </c>
      <c r="DK120" s="704" t="n">
        <v>0</v>
      </c>
      <c r="DL120" s="704" t="n">
        <v>0</v>
      </c>
      <c r="DM120" s="704" t="n">
        <v>0</v>
      </c>
    </row>
    <row r="121" ht="13.5" customHeight="1" s="355">
      <c r="B121" s="703" t="inlineStr">
        <is>
          <t>SLA Metric Reporting</t>
        </is>
      </c>
      <c r="D121" s="704" t="n">
        <v>0</v>
      </c>
      <c r="E121" s="704" t="n">
        <v>0</v>
      </c>
      <c r="F121" s="704" t="n">
        <v>0</v>
      </c>
      <c r="G121" s="704" t="n">
        <v>0</v>
      </c>
      <c r="H121" s="704" t="n">
        <v>0</v>
      </c>
      <c r="I121" s="704" t="n">
        <v>0</v>
      </c>
      <c r="J121" s="704" t="n">
        <v>0</v>
      </c>
      <c r="K121" s="704" t="n">
        <v>0</v>
      </c>
      <c r="L121" s="704" t="n">
        <v>0</v>
      </c>
      <c r="M121" s="704" t="n">
        <v>0</v>
      </c>
      <c r="N121" s="704" t="n">
        <v>0</v>
      </c>
      <c r="O121" s="704" t="n">
        <v>0</v>
      </c>
      <c r="P121" s="704" t="n">
        <v>0</v>
      </c>
      <c r="Q121" s="704" t="n">
        <v>0</v>
      </c>
      <c r="R121" s="704" t="n">
        <v>0</v>
      </c>
      <c r="S121" s="704" t="n">
        <v>0</v>
      </c>
      <c r="T121" s="704" t="n">
        <v>0</v>
      </c>
      <c r="U121" s="704" t="n">
        <v>0</v>
      </c>
      <c r="V121" s="704" t="n">
        <v>0</v>
      </c>
      <c r="W121" s="704" t="n">
        <v>0</v>
      </c>
      <c r="X121" s="704" t="n">
        <v>0</v>
      </c>
      <c r="Y121" s="704" t="n">
        <v>0</v>
      </c>
      <c r="Z121" s="704" t="n">
        <v>0</v>
      </c>
      <c r="AA121" s="704" t="n">
        <v>0</v>
      </c>
      <c r="AB121" s="704" t="n">
        <v>0</v>
      </c>
      <c r="AC121" s="704" t="n">
        <v>0</v>
      </c>
      <c r="AD121" s="704" t="n">
        <v>0</v>
      </c>
      <c r="AE121" s="704" t="n">
        <v>0</v>
      </c>
      <c r="AF121" s="704" t="n">
        <v>0</v>
      </c>
      <c r="AG121" s="704" t="n">
        <v>0</v>
      </c>
      <c r="AH121" s="704" t="n">
        <v>0</v>
      </c>
      <c r="AI121" s="704" t="n">
        <v>0</v>
      </c>
      <c r="AJ121" s="704" t="n">
        <v>0</v>
      </c>
      <c r="AK121" s="704" t="n">
        <v>0</v>
      </c>
      <c r="AL121" s="704" t="n">
        <v>0</v>
      </c>
      <c r="AM121" s="704" t="n">
        <v>0</v>
      </c>
      <c r="AN121" s="704" t="n">
        <v>0</v>
      </c>
      <c r="AO121" s="704" t="n">
        <v>0</v>
      </c>
      <c r="AP121" s="704" t="n">
        <v>0</v>
      </c>
      <c r="AQ121" s="704" t="n">
        <v>0</v>
      </c>
      <c r="AR121" s="704" t="n">
        <v>0</v>
      </c>
      <c r="AS121" s="704" t="n">
        <v>0</v>
      </c>
      <c r="AT121" s="704" t="n">
        <v>0</v>
      </c>
      <c r="AU121" s="704" t="n">
        <v>0</v>
      </c>
      <c r="AV121" s="704" t="n">
        <v>0</v>
      </c>
      <c r="AW121" s="704" t="n">
        <v>0</v>
      </c>
      <c r="AX121" s="704" t="n">
        <v>0</v>
      </c>
      <c r="AY121" s="704" t="n">
        <v>0</v>
      </c>
      <c r="AZ121" s="704" t="n">
        <v>0</v>
      </c>
      <c r="BA121" s="704" t="n">
        <v>0</v>
      </c>
      <c r="BB121" s="704" t="n">
        <v>0</v>
      </c>
      <c r="BC121" s="704" t="n">
        <v>0</v>
      </c>
      <c r="BD121" s="704" t="n">
        <v>0</v>
      </c>
      <c r="BE121" s="704" t="n">
        <v>0</v>
      </c>
      <c r="BF121" s="704" t="n">
        <v>0</v>
      </c>
      <c r="BG121" s="704" t="n">
        <v>0</v>
      </c>
      <c r="BH121" s="704" t="n">
        <v>0</v>
      </c>
      <c r="BI121" s="704" t="n">
        <v>0</v>
      </c>
      <c r="BJ121" s="704" t="n">
        <v>0</v>
      </c>
      <c r="BK121" s="704" t="n">
        <v>0</v>
      </c>
      <c r="BL121" s="704" t="n">
        <v>0</v>
      </c>
      <c r="BM121" s="704" t="n">
        <v>0</v>
      </c>
      <c r="BN121" s="704" t="n">
        <v>0</v>
      </c>
      <c r="BO121" s="704" t="n">
        <v>0</v>
      </c>
      <c r="BP121" s="704" t="n">
        <v>0</v>
      </c>
      <c r="BQ121" s="704" t="n">
        <v>0</v>
      </c>
      <c r="BR121" s="704" t="n">
        <v>0</v>
      </c>
      <c r="BS121" s="704" t="n">
        <v>0</v>
      </c>
      <c r="BT121" s="704" t="n">
        <v>0</v>
      </c>
      <c r="BU121" s="704" t="n">
        <v>0</v>
      </c>
      <c r="BV121" s="704" t="n">
        <v>0</v>
      </c>
      <c r="BW121" s="704" t="n">
        <v>0</v>
      </c>
      <c r="BX121" s="704" t="n">
        <v>0</v>
      </c>
      <c r="BY121" s="704" t="n">
        <v>0</v>
      </c>
      <c r="BZ121" s="704" t="n">
        <v>0</v>
      </c>
      <c r="CA121" s="704" t="n">
        <v>0</v>
      </c>
      <c r="CB121" s="704" t="n">
        <v>0</v>
      </c>
      <c r="CC121" s="704" t="n">
        <v>0</v>
      </c>
      <c r="CD121" s="704" t="n">
        <v>0</v>
      </c>
      <c r="CE121" s="704" t="n">
        <v>0</v>
      </c>
      <c r="CF121" s="704" t="n">
        <v>0</v>
      </c>
      <c r="CG121" s="704" t="n">
        <v>0</v>
      </c>
      <c r="CH121" s="704" t="n">
        <v>0</v>
      </c>
      <c r="CI121" s="704" t="n">
        <v>0</v>
      </c>
      <c r="CJ121" s="704" t="n">
        <v>0</v>
      </c>
      <c r="CK121" s="704" t="n">
        <v>0</v>
      </c>
      <c r="CL121" s="704" t="n">
        <v>0</v>
      </c>
      <c r="CM121" s="704" t="n">
        <v>0</v>
      </c>
      <c r="CN121" s="704" t="n">
        <v>0</v>
      </c>
      <c r="CO121" s="704" t="n">
        <v>0</v>
      </c>
      <c r="CP121" s="704" t="n">
        <v>0</v>
      </c>
      <c r="CQ121" s="704" t="n">
        <v>0</v>
      </c>
      <c r="CR121" s="704" t="n">
        <v>0</v>
      </c>
      <c r="CS121" s="704" t="n">
        <v>0</v>
      </c>
      <c r="CT121" s="704" t="n">
        <v>0</v>
      </c>
      <c r="CU121" s="704" t="n">
        <v>0</v>
      </c>
      <c r="CV121" s="704" t="n">
        <v>0</v>
      </c>
      <c r="CW121" s="704" t="n">
        <v>0</v>
      </c>
      <c r="CX121" s="704" t="n">
        <v>0</v>
      </c>
      <c r="CY121" s="704" t="n">
        <v>0</v>
      </c>
      <c r="CZ121" s="704" t="n">
        <v>0</v>
      </c>
      <c r="DA121" s="704" t="n">
        <v>0</v>
      </c>
      <c r="DB121" s="704" t="n">
        <v>0</v>
      </c>
      <c r="DC121" s="704" t="n">
        <v>0</v>
      </c>
      <c r="DD121" s="704" t="n">
        <v>0</v>
      </c>
      <c r="DE121" s="704" t="n">
        <v>0</v>
      </c>
      <c r="DF121" s="704" t="n">
        <v>0</v>
      </c>
      <c r="DG121" s="704" t="n">
        <v>0</v>
      </c>
      <c r="DH121" s="704" t="n">
        <v>0</v>
      </c>
      <c r="DI121" s="704" t="n">
        <v>0</v>
      </c>
      <c r="DJ121" s="704" t="n">
        <v>0</v>
      </c>
      <c r="DK121" s="704" t="n">
        <v>0</v>
      </c>
      <c r="DL121" s="704" t="n">
        <v>0</v>
      </c>
      <c r="DM121" s="704" t="n">
        <v>0</v>
      </c>
    </row>
    <row r="122" ht="13.5" customHeight="1" s="355">
      <c r="B122" s="705" t="inlineStr">
        <is>
          <t>Grand Total</t>
        </is>
      </c>
      <c r="C122" s="706" t="n"/>
      <c r="D122" s="707" t="n">
        <v>0</v>
      </c>
      <c r="E122" s="707" t="n">
        <v>0</v>
      </c>
      <c r="F122" s="707" t="n">
        <v>0</v>
      </c>
      <c r="G122" s="707" t="n">
        <v>0</v>
      </c>
      <c r="H122" s="707" t="n">
        <v>0</v>
      </c>
      <c r="I122" s="707" t="n">
        <v>0</v>
      </c>
      <c r="J122" s="707" t="n">
        <v>0</v>
      </c>
      <c r="K122" s="707" t="n">
        <v>0</v>
      </c>
      <c r="L122" s="707" t="n">
        <v>0</v>
      </c>
      <c r="M122" s="707" t="n">
        <v>0</v>
      </c>
      <c r="N122" s="707" t="n">
        <v>0</v>
      </c>
      <c r="O122" s="707" t="n">
        <v>0</v>
      </c>
      <c r="P122" s="707" t="n">
        <v>0</v>
      </c>
      <c r="Q122" s="707" t="n">
        <v>0</v>
      </c>
      <c r="R122" s="707" t="n">
        <v>0</v>
      </c>
      <c r="S122" s="707" t="n">
        <v>0</v>
      </c>
      <c r="T122" s="707" t="n">
        <v>0</v>
      </c>
      <c r="U122" s="707" t="n">
        <v>0</v>
      </c>
      <c r="V122" s="707" t="n">
        <v>0</v>
      </c>
      <c r="W122" s="707" t="n">
        <v>0</v>
      </c>
      <c r="X122" s="707" t="n">
        <v>0</v>
      </c>
      <c r="Y122" s="707" t="n">
        <v>0</v>
      </c>
      <c r="Z122" s="707" t="n">
        <v>0</v>
      </c>
      <c r="AA122" s="707" t="n">
        <v>0</v>
      </c>
      <c r="AB122" s="707" t="n">
        <v>0</v>
      </c>
      <c r="AC122" s="707" t="n">
        <v>0</v>
      </c>
      <c r="AD122" s="707" t="n">
        <v>0</v>
      </c>
      <c r="AE122" s="707" t="n">
        <v>0</v>
      </c>
      <c r="AF122" s="707" t="n">
        <v>0</v>
      </c>
      <c r="AG122" s="707" t="n">
        <v>0</v>
      </c>
      <c r="AH122" s="707" t="n">
        <v>0</v>
      </c>
      <c r="AI122" s="707" t="n">
        <v>0</v>
      </c>
      <c r="AJ122" s="707" t="n">
        <v>0</v>
      </c>
      <c r="AK122" s="707" t="n">
        <v>0</v>
      </c>
      <c r="AL122" s="707" t="n">
        <v>0</v>
      </c>
      <c r="AM122" s="707" t="n">
        <v>0</v>
      </c>
      <c r="AN122" s="707" t="n">
        <v>0</v>
      </c>
      <c r="AO122" s="707" t="n">
        <v>0</v>
      </c>
      <c r="AP122" s="707" t="n">
        <v>0</v>
      </c>
      <c r="AQ122" s="707" t="n">
        <v>0</v>
      </c>
      <c r="AR122" s="707" t="n">
        <v>0</v>
      </c>
      <c r="AS122" s="707" t="n">
        <v>0</v>
      </c>
      <c r="AT122" s="707" t="n">
        <v>0</v>
      </c>
      <c r="AU122" s="707" t="n">
        <v>0</v>
      </c>
      <c r="AV122" s="707" t="n">
        <v>0</v>
      </c>
      <c r="AW122" s="707" t="n">
        <v>0</v>
      </c>
      <c r="AX122" s="707" t="n">
        <v>0</v>
      </c>
      <c r="AY122" s="707" t="n">
        <v>0</v>
      </c>
      <c r="AZ122" s="707" t="n">
        <v>0</v>
      </c>
      <c r="BA122" s="707" t="n">
        <v>0</v>
      </c>
      <c r="BB122" s="707" t="n">
        <v>0</v>
      </c>
      <c r="BC122" s="707" t="n">
        <v>0</v>
      </c>
      <c r="BD122" s="707" t="n">
        <v>0</v>
      </c>
      <c r="BE122" s="707" t="n">
        <v>0</v>
      </c>
      <c r="BF122" s="707" t="n">
        <v>0</v>
      </c>
      <c r="BG122" s="707" t="n">
        <v>0</v>
      </c>
      <c r="BH122" s="707" t="n">
        <v>0</v>
      </c>
      <c r="BI122" s="707" t="n">
        <v>0</v>
      </c>
      <c r="BJ122" s="707" t="n">
        <v>0</v>
      </c>
      <c r="BK122" s="707" t="n">
        <v>0</v>
      </c>
      <c r="BL122" s="707" t="n">
        <v>0</v>
      </c>
      <c r="BM122" s="707" t="n">
        <v>0</v>
      </c>
      <c r="BN122" s="707" t="n">
        <v>0</v>
      </c>
      <c r="BO122" s="707" t="n">
        <v>0</v>
      </c>
      <c r="BP122" s="707" t="n">
        <v>0</v>
      </c>
      <c r="BQ122" s="707" t="n">
        <v>0</v>
      </c>
      <c r="BR122" s="707" t="n">
        <v>0</v>
      </c>
      <c r="BS122" s="707" t="n">
        <v>0</v>
      </c>
      <c r="BT122" s="707" t="n">
        <v>0</v>
      </c>
      <c r="BU122" s="707" t="n">
        <v>0</v>
      </c>
      <c r="BV122" s="707" t="n">
        <v>0</v>
      </c>
      <c r="BW122" s="707" t="n">
        <v>0</v>
      </c>
      <c r="BX122" s="707" t="n">
        <v>0</v>
      </c>
      <c r="BY122" s="707" t="n">
        <v>0</v>
      </c>
      <c r="BZ122" s="707" t="n">
        <v>0</v>
      </c>
      <c r="CA122" s="707" t="n">
        <v>0</v>
      </c>
      <c r="CB122" s="707" t="n">
        <v>0</v>
      </c>
      <c r="CC122" s="707" t="n">
        <v>0</v>
      </c>
      <c r="CD122" s="707" t="n">
        <v>0</v>
      </c>
      <c r="CE122" s="707" t="n">
        <v>0</v>
      </c>
      <c r="CF122" s="707" t="n">
        <v>0</v>
      </c>
      <c r="CG122" s="707" t="n">
        <v>0</v>
      </c>
      <c r="CH122" s="707" t="n">
        <v>0</v>
      </c>
      <c r="CI122" s="707" t="n">
        <v>0</v>
      </c>
      <c r="CJ122" s="707" t="n">
        <v>0</v>
      </c>
      <c r="CK122" s="707" t="n">
        <v>0</v>
      </c>
      <c r="CL122" s="707" t="n">
        <v>0</v>
      </c>
      <c r="CM122" s="707" t="n">
        <v>0</v>
      </c>
      <c r="CN122" s="707" t="n">
        <v>0</v>
      </c>
      <c r="CO122" s="707" t="n">
        <v>0</v>
      </c>
      <c r="CP122" s="707" t="n">
        <v>0</v>
      </c>
      <c r="CQ122" s="707" t="n">
        <v>0</v>
      </c>
      <c r="CR122" s="707" t="n">
        <v>0</v>
      </c>
      <c r="CS122" s="707" t="n">
        <v>0</v>
      </c>
      <c r="CT122" s="707" t="n">
        <v>0</v>
      </c>
      <c r="CU122" s="707" t="n">
        <v>0</v>
      </c>
      <c r="CV122" s="707" t="n">
        <v>0</v>
      </c>
      <c r="CW122" s="707" t="n">
        <v>0</v>
      </c>
      <c r="CX122" s="707" t="n">
        <v>0</v>
      </c>
      <c r="CY122" s="707" t="n">
        <v>0</v>
      </c>
      <c r="CZ122" s="707" t="n">
        <v>0</v>
      </c>
      <c r="DA122" s="707" t="n">
        <v>0</v>
      </c>
      <c r="DB122" s="707" t="n">
        <v>0</v>
      </c>
      <c r="DC122" s="707" t="n">
        <v>0</v>
      </c>
      <c r="DD122" s="707" t="n">
        <v>0</v>
      </c>
      <c r="DE122" s="707" t="n">
        <v>0</v>
      </c>
      <c r="DF122" s="707" t="n">
        <v>0</v>
      </c>
      <c r="DG122" s="707" t="n">
        <v>0</v>
      </c>
      <c r="DH122" s="707" t="n">
        <v>0</v>
      </c>
      <c r="DI122" s="707" t="n">
        <v>0</v>
      </c>
      <c r="DJ122" s="707" t="n">
        <v>0</v>
      </c>
      <c r="DK122" s="707" t="n">
        <v>0</v>
      </c>
      <c r="DL122" s="707" t="n">
        <v>0</v>
      </c>
      <c r="DM122" s="707" t="n">
        <v>0</v>
      </c>
    </row>
    <row r="123" ht="13.5" customHeight="1" s="355">
      <c r="A123" s="702" t="inlineStr">
        <is>
          <t>Country 12</t>
        </is>
      </c>
      <c r="B123" s="703" t="inlineStr">
        <is>
          <t>Gen Acctg</t>
        </is>
      </c>
      <c r="D123" s="704" t="n">
        <v>0</v>
      </c>
      <c r="E123" s="704" t="n">
        <v>0</v>
      </c>
      <c r="F123" s="704" t="n">
        <v>0</v>
      </c>
      <c r="G123" s="704" t="n">
        <v>0</v>
      </c>
      <c r="H123" s="704" t="n">
        <v>0</v>
      </c>
      <c r="I123" s="704" t="n">
        <v>0</v>
      </c>
      <c r="J123" s="704" t="n">
        <v>0</v>
      </c>
      <c r="K123" s="704" t="n">
        <v>0</v>
      </c>
      <c r="L123" s="704" t="n">
        <v>0</v>
      </c>
      <c r="M123" s="704" t="n">
        <v>0</v>
      </c>
      <c r="N123" s="704" t="n">
        <v>0</v>
      </c>
      <c r="O123" s="704" t="n">
        <v>0</v>
      </c>
      <c r="P123" s="704" t="n">
        <v>0</v>
      </c>
      <c r="Q123" s="704" t="n">
        <v>0</v>
      </c>
      <c r="R123" s="704" t="n">
        <v>0</v>
      </c>
      <c r="S123" s="704" t="n">
        <v>0</v>
      </c>
      <c r="T123" s="704" t="n">
        <v>0</v>
      </c>
      <c r="U123" s="704" t="n">
        <v>0</v>
      </c>
      <c r="V123" s="704" t="n">
        <v>0</v>
      </c>
      <c r="W123" s="704" t="n">
        <v>0</v>
      </c>
      <c r="X123" s="704" t="n">
        <v>0</v>
      </c>
      <c r="Y123" s="704" t="n">
        <v>0</v>
      </c>
      <c r="Z123" s="704" t="n">
        <v>0</v>
      </c>
      <c r="AA123" s="704" t="n">
        <v>0</v>
      </c>
      <c r="AB123" s="704" t="n">
        <v>0</v>
      </c>
      <c r="AC123" s="704" t="n">
        <v>0</v>
      </c>
      <c r="AD123" s="704" t="n">
        <v>0</v>
      </c>
      <c r="AE123" s="704" t="n">
        <v>0</v>
      </c>
      <c r="AF123" s="704" t="n">
        <v>0</v>
      </c>
      <c r="AG123" s="704" t="n">
        <v>0</v>
      </c>
      <c r="AH123" s="704" t="n">
        <v>0</v>
      </c>
      <c r="AI123" s="704" t="n">
        <v>0</v>
      </c>
      <c r="AJ123" s="704" t="n">
        <v>0</v>
      </c>
      <c r="AK123" s="704" t="n">
        <v>0</v>
      </c>
      <c r="AL123" s="704" t="n">
        <v>0</v>
      </c>
      <c r="AM123" s="704" t="n">
        <v>0</v>
      </c>
      <c r="AN123" s="704" t="n">
        <v>0</v>
      </c>
      <c r="AO123" s="704" t="n">
        <v>0</v>
      </c>
      <c r="AP123" s="704" t="n">
        <v>0</v>
      </c>
      <c r="AQ123" s="704" t="n">
        <v>0</v>
      </c>
      <c r="AR123" s="704" t="n">
        <v>0</v>
      </c>
      <c r="AS123" s="704" t="n">
        <v>0</v>
      </c>
      <c r="AT123" s="704" t="n">
        <v>0</v>
      </c>
      <c r="AU123" s="704" t="n">
        <v>0</v>
      </c>
      <c r="AV123" s="704" t="n">
        <v>0</v>
      </c>
      <c r="AW123" s="704" t="n">
        <v>0</v>
      </c>
      <c r="AX123" s="704" t="n">
        <v>0</v>
      </c>
      <c r="AY123" s="704" t="n">
        <v>0</v>
      </c>
      <c r="AZ123" s="704" t="n">
        <v>0</v>
      </c>
      <c r="BA123" s="704" t="n">
        <v>0</v>
      </c>
      <c r="BB123" s="704" t="n">
        <v>0</v>
      </c>
      <c r="BC123" s="704" t="n">
        <v>0</v>
      </c>
      <c r="BD123" s="704" t="n">
        <v>0</v>
      </c>
      <c r="BE123" s="704" t="n">
        <v>0</v>
      </c>
      <c r="BF123" s="704" t="n">
        <v>0</v>
      </c>
      <c r="BG123" s="704" t="n">
        <v>0</v>
      </c>
      <c r="BH123" s="704" t="n">
        <v>0</v>
      </c>
      <c r="BI123" s="704" t="n">
        <v>0</v>
      </c>
      <c r="BJ123" s="704" t="n">
        <v>0</v>
      </c>
      <c r="BK123" s="704" t="n">
        <v>0</v>
      </c>
      <c r="BL123" s="704" t="n">
        <v>0</v>
      </c>
      <c r="BM123" s="704" t="n">
        <v>0</v>
      </c>
      <c r="BN123" s="704" t="n">
        <v>0</v>
      </c>
      <c r="BO123" s="704" t="n">
        <v>0</v>
      </c>
      <c r="BP123" s="704" t="n">
        <v>0</v>
      </c>
      <c r="BQ123" s="704" t="n">
        <v>0</v>
      </c>
      <c r="BR123" s="704" t="n">
        <v>0</v>
      </c>
      <c r="BS123" s="704" t="n">
        <v>0</v>
      </c>
      <c r="BT123" s="704" t="n">
        <v>0</v>
      </c>
      <c r="BU123" s="704" t="n">
        <v>0</v>
      </c>
      <c r="BV123" s="704" t="n">
        <v>0</v>
      </c>
      <c r="BW123" s="704" t="n">
        <v>0</v>
      </c>
      <c r="BX123" s="704" t="n">
        <v>0</v>
      </c>
      <c r="BY123" s="704" t="n">
        <v>0</v>
      </c>
      <c r="BZ123" s="704" t="n">
        <v>0</v>
      </c>
      <c r="CA123" s="704" t="n">
        <v>0</v>
      </c>
      <c r="CB123" s="704" t="n">
        <v>0</v>
      </c>
      <c r="CC123" s="704" t="n">
        <v>0</v>
      </c>
      <c r="CD123" s="704" t="n">
        <v>0</v>
      </c>
      <c r="CE123" s="704" t="n">
        <v>0</v>
      </c>
      <c r="CF123" s="704" t="n">
        <v>0</v>
      </c>
      <c r="CG123" s="704" t="n">
        <v>0</v>
      </c>
      <c r="CH123" s="704" t="n">
        <v>0</v>
      </c>
      <c r="CI123" s="704" t="n">
        <v>0</v>
      </c>
      <c r="CJ123" s="704" t="n">
        <v>0</v>
      </c>
      <c r="CK123" s="704" t="n">
        <v>0</v>
      </c>
      <c r="CL123" s="704" t="n">
        <v>0</v>
      </c>
      <c r="CM123" s="704" t="n">
        <v>0</v>
      </c>
      <c r="CN123" s="704" t="n">
        <v>0</v>
      </c>
      <c r="CO123" s="704" t="n">
        <v>0</v>
      </c>
      <c r="CP123" s="704" t="n">
        <v>0</v>
      </c>
      <c r="CQ123" s="704" t="n">
        <v>0</v>
      </c>
      <c r="CR123" s="704" t="n">
        <v>0</v>
      </c>
      <c r="CS123" s="704" t="n">
        <v>0</v>
      </c>
      <c r="CT123" s="704" t="n">
        <v>0</v>
      </c>
      <c r="CU123" s="704" t="n">
        <v>0</v>
      </c>
      <c r="CV123" s="704" t="n">
        <v>0</v>
      </c>
      <c r="CW123" s="704" t="n">
        <v>0</v>
      </c>
      <c r="CX123" s="704" t="n">
        <v>0</v>
      </c>
      <c r="CY123" s="704" t="n">
        <v>0</v>
      </c>
      <c r="CZ123" s="704" t="n">
        <v>0</v>
      </c>
      <c r="DA123" s="704" t="n">
        <v>0</v>
      </c>
      <c r="DB123" s="704" t="n">
        <v>0</v>
      </c>
      <c r="DC123" s="704" t="n">
        <v>0</v>
      </c>
      <c r="DD123" s="704" t="n">
        <v>0</v>
      </c>
      <c r="DE123" s="704" t="n">
        <v>0</v>
      </c>
      <c r="DF123" s="704" t="n">
        <v>0</v>
      </c>
      <c r="DG123" s="704" t="n">
        <v>0</v>
      </c>
      <c r="DH123" s="704" t="n">
        <v>0</v>
      </c>
      <c r="DI123" s="704" t="n">
        <v>0</v>
      </c>
      <c r="DJ123" s="704" t="n">
        <v>0</v>
      </c>
      <c r="DK123" s="704" t="n">
        <v>0</v>
      </c>
      <c r="DL123" s="704" t="n">
        <v>0</v>
      </c>
      <c r="DM123" s="704" t="n">
        <v>0</v>
      </c>
    </row>
    <row r="124" ht="13.5" customHeight="1" s="355">
      <c r="B124" s="703" t="inlineStr">
        <is>
          <t>Reporting</t>
        </is>
      </c>
      <c r="D124" s="704" t="n">
        <v>0</v>
      </c>
      <c r="E124" s="704" t="n">
        <v>0</v>
      </c>
      <c r="F124" s="704" t="n">
        <v>0</v>
      </c>
      <c r="G124" s="704" t="n">
        <v>0</v>
      </c>
      <c r="H124" s="704" t="n">
        <v>0</v>
      </c>
      <c r="I124" s="704" t="n">
        <v>0</v>
      </c>
      <c r="J124" s="704" t="n">
        <v>0</v>
      </c>
      <c r="K124" s="704" t="n">
        <v>0</v>
      </c>
      <c r="L124" s="704" t="n">
        <v>0</v>
      </c>
      <c r="M124" s="704" t="n">
        <v>0</v>
      </c>
      <c r="N124" s="704" t="n">
        <v>0</v>
      </c>
      <c r="O124" s="704" t="n">
        <v>0</v>
      </c>
      <c r="P124" s="704" t="n">
        <v>0</v>
      </c>
      <c r="Q124" s="704" t="n">
        <v>0</v>
      </c>
      <c r="R124" s="704" t="n">
        <v>0</v>
      </c>
      <c r="S124" s="704" t="n">
        <v>0</v>
      </c>
      <c r="T124" s="704" t="n">
        <v>0</v>
      </c>
      <c r="U124" s="704" t="n">
        <v>0</v>
      </c>
      <c r="V124" s="704" t="n">
        <v>0</v>
      </c>
      <c r="W124" s="704" t="n">
        <v>0</v>
      </c>
      <c r="X124" s="704" t="n">
        <v>0</v>
      </c>
      <c r="Y124" s="704" t="n">
        <v>0</v>
      </c>
      <c r="Z124" s="704" t="n">
        <v>0</v>
      </c>
      <c r="AA124" s="704" t="n">
        <v>0</v>
      </c>
      <c r="AB124" s="704" t="n">
        <v>0</v>
      </c>
      <c r="AC124" s="704" t="n">
        <v>0</v>
      </c>
      <c r="AD124" s="704" t="n">
        <v>0</v>
      </c>
      <c r="AE124" s="704" t="n">
        <v>0</v>
      </c>
      <c r="AF124" s="704" t="n">
        <v>0</v>
      </c>
      <c r="AG124" s="704" t="n">
        <v>0</v>
      </c>
      <c r="AH124" s="704" t="n">
        <v>0</v>
      </c>
      <c r="AI124" s="704" t="n">
        <v>0</v>
      </c>
      <c r="AJ124" s="704" t="n">
        <v>0</v>
      </c>
      <c r="AK124" s="704" t="n">
        <v>0</v>
      </c>
      <c r="AL124" s="704" t="n">
        <v>0</v>
      </c>
      <c r="AM124" s="704" t="n">
        <v>0</v>
      </c>
      <c r="AN124" s="704" t="n">
        <v>0</v>
      </c>
      <c r="AO124" s="704" t="n">
        <v>0</v>
      </c>
      <c r="AP124" s="704" t="n">
        <v>0</v>
      </c>
      <c r="AQ124" s="704" t="n">
        <v>0</v>
      </c>
      <c r="AR124" s="704" t="n">
        <v>0</v>
      </c>
      <c r="AS124" s="704" t="n">
        <v>0</v>
      </c>
      <c r="AT124" s="704" t="n">
        <v>0</v>
      </c>
      <c r="AU124" s="704" t="n">
        <v>0</v>
      </c>
      <c r="AV124" s="704" t="n">
        <v>0</v>
      </c>
      <c r="AW124" s="704" t="n">
        <v>0</v>
      </c>
      <c r="AX124" s="704" t="n">
        <v>0</v>
      </c>
      <c r="AY124" s="704" t="n">
        <v>0</v>
      </c>
      <c r="AZ124" s="704" t="n">
        <v>0</v>
      </c>
      <c r="BA124" s="704" t="n">
        <v>0</v>
      </c>
      <c r="BB124" s="704" t="n">
        <v>0</v>
      </c>
      <c r="BC124" s="704" t="n">
        <v>0</v>
      </c>
      <c r="BD124" s="704" t="n">
        <v>0</v>
      </c>
      <c r="BE124" s="704" t="n">
        <v>0</v>
      </c>
      <c r="BF124" s="704" t="n">
        <v>0</v>
      </c>
      <c r="BG124" s="704" t="n">
        <v>0</v>
      </c>
      <c r="BH124" s="704" t="n">
        <v>0</v>
      </c>
      <c r="BI124" s="704" t="n">
        <v>0</v>
      </c>
      <c r="BJ124" s="704" t="n">
        <v>0</v>
      </c>
      <c r="BK124" s="704" t="n">
        <v>0</v>
      </c>
      <c r="BL124" s="704" t="n">
        <v>0</v>
      </c>
      <c r="BM124" s="704" t="n">
        <v>0</v>
      </c>
      <c r="BN124" s="704" t="n">
        <v>0</v>
      </c>
      <c r="BO124" s="704" t="n">
        <v>0</v>
      </c>
      <c r="BP124" s="704" t="n">
        <v>0</v>
      </c>
      <c r="BQ124" s="704" t="n">
        <v>0</v>
      </c>
      <c r="BR124" s="704" t="n">
        <v>0</v>
      </c>
      <c r="BS124" s="704" t="n">
        <v>0</v>
      </c>
      <c r="BT124" s="704" t="n">
        <v>0</v>
      </c>
      <c r="BU124" s="704" t="n">
        <v>0</v>
      </c>
      <c r="BV124" s="704" t="n">
        <v>0</v>
      </c>
      <c r="BW124" s="704" t="n">
        <v>0</v>
      </c>
      <c r="BX124" s="704" t="n">
        <v>0</v>
      </c>
      <c r="BY124" s="704" t="n">
        <v>0</v>
      </c>
      <c r="BZ124" s="704" t="n">
        <v>0</v>
      </c>
      <c r="CA124" s="704" t="n">
        <v>0</v>
      </c>
      <c r="CB124" s="704" t="n">
        <v>0</v>
      </c>
      <c r="CC124" s="704" t="n">
        <v>0</v>
      </c>
      <c r="CD124" s="704" t="n">
        <v>0</v>
      </c>
      <c r="CE124" s="704" t="n">
        <v>0</v>
      </c>
      <c r="CF124" s="704" t="n">
        <v>0</v>
      </c>
      <c r="CG124" s="704" t="n">
        <v>0</v>
      </c>
      <c r="CH124" s="704" t="n">
        <v>0</v>
      </c>
      <c r="CI124" s="704" t="n">
        <v>0</v>
      </c>
      <c r="CJ124" s="704" t="n">
        <v>0</v>
      </c>
      <c r="CK124" s="704" t="n">
        <v>0</v>
      </c>
      <c r="CL124" s="704" t="n">
        <v>0</v>
      </c>
      <c r="CM124" s="704" t="n">
        <v>0</v>
      </c>
      <c r="CN124" s="704" t="n">
        <v>0</v>
      </c>
      <c r="CO124" s="704" t="n">
        <v>0</v>
      </c>
      <c r="CP124" s="704" t="n">
        <v>0</v>
      </c>
      <c r="CQ124" s="704" t="n">
        <v>0</v>
      </c>
      <c r="CR124" s="704" t="n">
        <v>0</v>
      </c>
      <c r="CS124" s="704" t="n">
        <v>0</v>
      </c>
      <c r="CT124" s="704" t="n">
        <v>0</v>
      </c>
      <c r="CU124" s="704" t="n">
        <v>0</v>
      </c>
      <c r="CV124" s="704" t="n">
        <v>0</v>
      </c>
      <c r="CW124" s="704" t="n">
        <v>0</v>
      </c>
      <c r="CX124" s="704" t="n">
        <v>0</v>
      </c>
      <c r="CY124" s="704" t="n">
        <v>0</v>
      </c>
      <c r="CZ124" s="704" t="n">
        <v>0</v>
      </c>
      <c r="DA124" s="704" t="n">
        <v>0</v>
      </c>
      <c r="DB124" s="704" t="n">
        <v>0</v>
      </c>
      <c r="DC124" s="704" t="n">
        <v>0</v>
      </c>
      <c r="DD124" s="704" t="n">
        <v>0</v>
      </c>
      <c r="DE124" s="704" t="n">
        <v>0</v>
      </c>
      <c r="DF124" s="704" t="n">
        <v>0</v>
      </c>
      <c r="DG124" s="704" t="n">
        <v>0</v>
      </c>
      <c r="DH124" s="704" t="n">
        <v>0</v>
      </c>
      <c r="DI124" s="704" t="n">
        <v>0</v>
      </c>
      <c r="DJ124" s="704" t="n">
        <v>0</v>
      </c>
      <c r="DK124" s="704" t="n">
        <v>0</v>
      </c>
      <c r="DL124" s="704" t="n">
        <v>0</v>
      </c>
      <c r="DM124" s="704" t="n">
        <v>0</v>
      </c>
    </row>
    <row r="125" ht="13.5" customHeight="1" s="355">
      <c r="B125" s="703" t="inlineStr">
        <is>
          <t>Fixed Assets</t>
        </is>
      </c>
      <c r="D125" s="704" t="n">
        <v>0</v>
      </c>
      <c r="E125" s="704" t="n">
        <v>0</v>
      </c>
      <c r="F125" s="704" t="n">
        <v>0</v>
      </c>
      <c r="G125" s="704" t="n">
        <v>0</v>
      </c>
      <c r="H125" s="704" t="n">
        <v>0</v>
      </c>
      <c r="I125" s="704" t="n">
        <v>0</v>
      </c>
      <c r="J125" s="704" t="n">
        <v>0</v>
      </c>
      <c r="K125" s="704" t="n">
        <v>0</v>
      </c>
      <c r="L125" s="704" t="n">
        <v>0</v>
      </c>
      <c r="M125" s="704" t="n">
        <v>0</v>
      </c>
      <c r="N125" s="704" t="n">
        <v>0</v>
      </c>
      <c r="O125" s="704" t="n">
        <v>0</v>
      </c>
      <c r="P125" s="704" t="n">
        <v>0</v>
      </c>
      <c r="Q125" s="704" t="n">
        <v>0</v>
      </c>
      <c r="R125" s="704" t="n">
        <v>0</v>
      </c>
      <c r="S125" s="704" t="n">
        <v>0</v>
      </c>
      <c r="T125" s="704" t="n">
        <v>0</v>
      </c>
      <c r="U125" s="704" t="n">
        <v>0</v>
      </c>
      <c r="V125" s="704" t="n">
        <v>0</v>
      </c>
      <c r="W125" s="704" t="n">
        <v>0</v>
      </c>
      <c r="X125" s="704" t="n">
        <v>0</v>
      </c>
      <c r="Y125" s="704" t="n">
        <v>0</v>
      </c>
      <c r="Z125" s="704" t="n">
        <v>0</v>
      </c>
      <c r="AA125" s="704" t="n">
        <v>0</v>
      </c>
      <c r="AB125" s="704" t="n">
        <v>0</v>
      </c>
      <c r="AC125" s="704" t="n">
        <v>0</v>
      </c>
      <c r="AD125" s="704" t="n">
        <v>0</v>
      </c>
      <c r="AE125" s="704" t="n">
        <v>0</v>
      </c>
      <c r="AF125" s="704" t="n">
        <v>0</v>
      </c>
      <c r="AG125" s="704" t="n">
        <v>0</v>
      </c>
      <c r="AH125" s="704" t="n">
        <v>0</v>
      </c>
      <c r="AI125" s="704" t="n">
        <v>0</v>
      </c>
      <c r="AJ125" s="704" t="n">
        <v>0</v>
      </c>
      <c r="AK125" s="704" t="n">
        <v>0</v>
      </c>
      <c r="AL125" s="704" t="n">
        <v>0</v>
      </c>
      <c r="AM125" s="704" t="n">
        <v>0</v>
      </c>
      <c r="AN125" s="704" t="n">
        <v>0</v>
      </c>
      <c r="AO125" s="704" t="n">
        <v>0</v>
      </c>
      <c r="AP125" s="704" t="n">
        <v>0</v>
      </c>
      <c r="AQ125" s="704" t="n">
        <v>0</v>
      </c>
      <c r="AR125" s="704" t="n">
        <v>0</v>
      </c>
      <c r="AS125" s="704" t="n">
        <v>0</v>
      </c>
      <c r="AT125" s="704" t="n">
        <v>0</v>
      </c>
      <c r="AU125" s="704" t="n">
        <v>0</v>
      </c>
      <c r="AV125" s="704" t="n">
        <v>0</v>
      </c>
      <c r="AW125" s="704" t="n">
        <v>0</v>
      </c>
      <c r="AX125" s="704" t="n">
        <v>0</v>
      </c>
      <c r="AY125" s="704" t="n">
        <v>0</v>
      </c>
      <c r="AZ125" s="704" t="n">
        <v>0</v>
      </c>
      <c r="BA125" s="704" t="n">
        <v>0</v>
      </c>
      <c r="BB125" s="704" t="n">
        <v>0</v>
      </c>
      <c r="BC125" s="704" t="n">
        <v>0</v>
      </c>
      <c r="BD125" s="704" t="n">
        <v>0</v>
      </c>
      <c r="BE125" s="704" t="n">
        <v>0</v>
      </c>
      <c r="BF125" s="704" t="n">
        <v>0</v>
      </c>
      <c r="BG125" s="704" t="n">
        <v>0</v>
      </c>
      <c r="BH125" s="704" t="n">
        <v>0</v>
      </c>
      <c r="BI125" s="704" t="n">
        <v>0</v>
      </c>
      <c r="BJ125" s="704" t="n">
        <v>0</v>
      </c>
      <c r="BK125" s="704" t="n">
        <v>0</v>
      </c>
      <c r="BL125" s="704" t="n">
        <v>0</v>
      </c>
      <c r="BM125" s="704" t="n">
        <v>0</v>
      </c>
      <c r="BN125" s="704" t="n">
        <v>0</v>
      </c>
      <c r="BO125" s="704" t="n">
        <v>0</v>
      </c>
      <c r="BP125" s="704" t="n">
        <v>0</v>
      </c>
      <c r="BQ125" s="704" t="n">
        <v>0</v>
      </c>
      <c r="BR125" s="704" t="n">
        <v>0</v>
      </c>
      <c r="BS125" s="704" t="n">
        <v>0</v>
      </c>
      <c r="BT125" s="704" t="n">
        <v>0</v>
      </c>
      <c r="BU125" s="704" t="n">
        <v>0</v>
      </c>
      <c r="BV125" s="704" t="n">
        <v>0</v>
      </c>
      <c r="BW125" s="704" t="n">
        <v>0</v>
      </c>
      <c r="BX125" s="704" t="n">
        <v>0</v>
      </c>
      <c r="BY125" s="704" t="n">
        <v>0</v>
      </c>
      <c r="BZ125" s="704" t="n">
        <v>0</v>
      </c>
      <c r="CA125" s="704" t="n">
        <v>0</v>
      </c>
      <c r="CB125" s="704" t="n">
        <v>0</v>
      </c>
      <c r="CC125" s="704" t="n">
        <v>0</v>
      </c>
      <c r="CD125" s="704" t="n">
        <v>0</v>
      </c>
      <c r="CE125" s="704" t="n">
        <v>0</v>
      </c>
      <c r="CF125" s="704" t="n">
        <v>0</v>
      </c>
      <c r="CG125" s="704" t="n">
        <v>0</v>
      </c>
      <c r="CH125" s="704" t="n">
        <v>0</v>
      </c>
      <c r="CI125" s="704" t="n">
        <v>0</v>
      </c>
      <c r="CJ125" s="704" t="n">
        <v>0</v>
      </c>
      <c r="CK125" s="704" t="n">
        <v>0</v>
      </c>
      <c r="CL125" s="704" t="n">
        <v>0</v>
      </c>
      <c r="CM125" s="704" t="n">
        <v>0</v>
      </c>
      <c r="CN125" s="704" t="n">
        <v>0</v>
      </c>
      <c r="CO125" s="704" t="n">
        <v>0</v>
      </c>
      <c r="CP125" s="704" t="n">
        <v>0</v>
      </c>
      <c r="CQ125" s="704" t="n">
        <v>0</v>
      </c>
      <c r="CR125" s="704" t="n">
        <v>0</v>
      </c>
      <c r="CS125" s="704" t="n">
        <v>0</v>
      </c>
      <c r="CT125" s="704" t="n">
        <v>0</v>
      </c>
      <c r="CU125" s="704" t="n">
        <v>0</v>
      </c>
      <c r="CV125" s="704" t="n">
        <v>0</v>
      </c>
      <c r="CW125" s="704" t="n">
        <v>0</v>
      </c>
      <c r="CX125" s="704" t="n">
        <v>0</v>
      </c>
      <c r="CY125" s="704" t="n">
        <v>0</v>
      </c>
      <c r="CZ125" s="704" t="n">
        <v>0</v>
      </c>
      <c r="DA125" s="704" t="n">
        <v>0</v>
      </c>
      <c r="DB125" s="704" t="n">
        <v>0</v>
      </c>
      <c r="DC125" s="704" t="n">
        <v>0</v>
      </c>
      <c r="DD125" s="704" t="n">
        <v>0</v>
      </c>
      <c r="DE125" s="704" t="n">
        <v>0</v>
      </c>
      <c r="DF125" s="704" t="n">
        <v>0</v>
      </c>
      <c r="DG125" s="704" t="n">
        <v>0</v>
      </c>
      <c r="DH125" s="704" t="n">
        <v>0</v>
      </c>
      <c r="DI125" s="704" t="n">
        <v>0</v>
      </c>
      <c r="DJ125" s="704" t="n">
        <v>0</v>
      </c>
      <c r="DK125" s="704" t="n">
        <v>0</v>
      </c>
      <c r="DL125" s="704" t="n">
        <v>0</v>
      </c>
      <c r="DM125" s="704" t="n">
        <v>0</v>
      </c>
    </row>
    <row r="126" ht="13.5" customHeight="1" s="355">
      <c r="B126" s="703" t="inlineStr">
        <is>
          <t>Acct Payable</t>
        </is>
      </c>
      <c r="D126" s="704" t="n">
        <v>0</v>
      </c>
      <c r="E126" s="704" t="n">
        <v>0</v>
      </c>
      <c r="F126" s="704" t="n">
        <v>0</v>
      </c>
      <c r="G126" s="704" t="n">
        <v>0</v>
      </c>
      <c r="H126" s="704" t="n">
        <v>0</v>
      </c>
      <c r="I126" s="704" t="n">
        <v>0</v>
      </c>
      <c r="J126" s="704" t="n">
        <v>0</v>
      </c>
      <c r="K126" s="704" t="n">
        <v>0</v>
      </c>
      <c r="L126" s="704" t="n">
        <v>0</v>
      </c>
      <c r="M126" s="704" t="n">
        <v>0</v>
      </c>
      <c r="N126" s="704" t="n">
        <v>0</v>
      </c>
      <c r="O126" s="704" t="n">
        <v>0</v>
      </c>
      <c r="P126" s="704" t="n">
        <v>0</v>
      </c>
      <c r="Q126" s="704" t="n">
        <v>0</v>
      </c>
      <c r="R126" s="704" t="n">
        <v>0</v>
      </c>
      <c r="S126" s="704" t="n">
        <v>0</v>
      </c>
      <c r="T126" s="704" t="n">
        <v>0</v>
      </c>
      <c r="U126" s="704" t="n">
        <v>0</v>
      </c>
      <c r="V126" s="704" t="n">
        <v>0</v>
      </c>
      <c r="W126" s="704" t="n">
        <v>0</v>
      </c>
      <c r="X126" s="704" t="n">
        <v>0</v>
      </c>
      <c r="Y126" s="704" t="n">
        <v>0</v>
      </c>
      <c r="Z126" s="704" t="n">
        <v>0</v>
      </c>
      <c r="AA126" s="704" t="n">
        <v>0</v>
      </c>
      <c r="AB126" s="704" t="n">
        <v>0</v>
      </c>
      <c r="AC126" s="704" t="n">
        <v>0</v>
      </c>
      <c r="AD126" s="704" t="n">
        <v>0</v>
      </c>
      <c r="AE126" s="704" t="n">
        <v>0</v>
      </c>
      <c r="AF126" s="704" t="n">
        <v>0</v>
      </c>
      <c r="AG126" s="704" t="n">
        <v>0</v>
      </c>
      <c r="AH126" s="704" t="n">
        <v>0</v>
      </c>
      <c r="AI126" s="704" t="n">
        <v>0</v>
      </c>
      <c r="AJ126" s="704" t="n">
        <v>0</v>
      </c>
      <c r="AK126" s="704" t="n">
        <v>0</v>
      </c>
      <c r="AL126" s="704" t="n">
        <v>0</v>
      </c>
      <c r="AM126" s="704" t="n">
        <v>0</v>
      </c>
      <c r="AN126" s="704" t="n">
        <v>0</v>
      </c>
      <c r="AO126" s="704" t="n">
        <v>0</v>
      </c>
      <c r="AP126" s="704" t="n">
        <v>0</v>
      </c>
      <c r="AQ126" s="704" t="n">
        <v>0</v>
      </c>
      <c r="AR126" s="704" t="n">
        <v>0</v>
      </c>
      <c r="AS126" s="704" t="n">
        <v>0</v>
      </c>
      <c r="AT126" s="704" t="n">
        <v>0</v>
      </c>
      <c r="AU126" s="704" t="n">
        <v>0</v>
      </c>
      <c r="AV126" s="704" t="n">
        <v>0</v>
      </c>
      <c r="AW126" s="704" t="n">
        <v>0</v>
      </c>
      <c r="AX126" s="704" t="n">
        <v>0</v>
      </c>
      <c r="AY126" s="704" t="n">
        <v>0</v>
      </c>
      <c r="AZ126" s="704" t="n">
        <v>0</v>
      </c>
      <c r="BA126" s="704" t="n">
        <v>0</v>
      </c>
      <c r="BB126" s="704" t="n">
        <v>0</v>
      </c>
      <c r="BC126" s="704" t="n">
        <v>0</v>
      </c>
      <c r="BD126" s="704" t="n">
        <v>0</v>
      </c>
      <c r="BE126" s="704" t="n">
        <v>0</v>
      </c>
      <c r="BF126" s="704" t="n">
        <v>0</v>
      </c>
      <c r="BG126" s="704" t="n">
        <v>0</v>
      </c>
      <c r="BH126" s="704" t="n">
        <v>0</v>
      </c>
      <c r="BI126" s="704" t="n">
        <v>0</v>
      </c>
      <c r="BJ126" s="704" t="n">
        <v>0</v>
      </c>
      <c r="BK126" s="704" t="n">
        <v>0</v>
      </c>
      <c r="BL126" s="704" t="n">
        <v>0</v>
      </c>
      <c r="BM126" s="704" t="n">
        <v>0</v>
      </c>
      <c r="BN126" s="704" t="n">
        <v>0</v>
      </c>
      <c r="BO126" s="704" t="n">
        <v>0</v>
      </c>
      <c r="BP126" s="704" t="n">
        <v>0</v>
      </c>
      <c r="BQ126" s="704" t="n">
        <v>0</v>
      </c>
      <c r="BR126" s="704" t="n">
        <v>0</v>
      </c>
      <c r="BS126" s="704" t="n">
        <v>0</v>
      </c>
      <c r="BT126" s="704" t="n">
        <v>0</v>
      </c>
      <c r="BU126" s="704" t="n">
        <v>0</v>
      </c>
      <c r="BV126" s="704" t="n">
        <v>0</v>
      </c>
      <c r="BW126" s="704" t="n">
        <v>0</v>
      </c>
      <c r="BX126" s="704" t="n">
        <v>0</v>
      </c>
      <c r="BY126" s="704" t="n">
        <v>0</v>
      </c>
      <c r="BZ126" s="704" t="n">
        <v>0</v>
      </c>
      <c r="CA126" s="704" t="n">
        <v>0</v>
      </c>
      <c r="CB126" s="704" t="n">
        <v>0</v>
      </c>
      <c r="CC126" s="704" t="n">
        <v>0</v>
      </c>
      <c r="CD126" s="704" t="n">
        <v>0</v>
      </c>
      <c r="CE126" s="704" t="n">
        <v>0</v>
      </c>
      <c r="CF126" s="704" t="n">
        <v>0</v>
      </c>
      <c r="CG126" s="704" t="n">
        <v>0</v>
      </c>
      <c r="CH126" s="704" t="n">
        <v>0</v>
      </c>
      <c r="CI126" s="704" t="n">
        <v>0</v>
      </c>
      <c r="CJ126" s="704" t="n">
        <v>0</v>
      </c>
      <c r="CK126" s="704" t="n">
        <v>0</v>
      </c>
      <c r="CL126" s="704" t="n">
        <v>0</v>
      </c>
      <c r="CM126" s="704" t="n">
        <v>0</v>
      </c>
      <c r="CN126" s="704" t="n">
        <v>0</v>
      </c>
      <c r="CO126" s="704" t="n">
        <v>0</v>
      </c>
      <c r="CP126" s="704" t="n">
        <v>0</v>
      </c>
      <c r="CQ126" s="704" t="n">
        <v>0</v>
      </c>
      <c r="CR126" s="704" t="n">
        <v>0</v>
      </c>
      <c r="CS126" s="704" t="n">
        <v>0</v>
      </c>
      <c r="CT126" s="704" t="n">
        <v>0</v>
      </c>
      <c r="CU126" s="704" t="n">
        <v>0</v>
      </c>
      <c r="CV126" s="704" t="n">
        <v>0</v>
      </c>
      <c r="CW126" s="704" t="n">
        <v>0</v>
      </c>
      <c r="CX126" s="704" t="n">
        <v>0</v>
      </c>
      <c r="CY126" s="704" t="n">
        <v>0</v>
      </c>
      <c r="CZ126" s="704" t="n">
        <v>0</v>
      </c>
      <c r="DA126" s="704" t="n">
        <v>0</v>
      </c>
      <c r="DB126" s="704" t="n">
        <v>0</v>
      </c>
      <c r="DC126" s="704" t="n">
        <v>0</v>
      </c>
      <c r="DD126" s="704" t="n">
        <v>0</v>
      </c>
      <c r="DE126" s="704" t="n">
        <v>0</v>
      </c>
      <c r="DF126" s="704" t="n">
        <v>0</v>
      </c>
      <c r="DG126" s="704" t="n">
        <v>0</v>
      </c>
      <c r="DH126" s="704" t="n">
        <v>0</v>
      </c>
      <c r="DI126" s="704" t="n">
        <v>0</v>
      </c>
      <c r="DJ126" s="704" t="n">
        <v>0</v>
      </c>
      <c r="DK126" s="704" t="n">
        <v>0</v>
      </c>
      <c r="DL126" s="704" t="n">
        <v>0</v>
      </c>
      <c r="DM126" s="704" t="n">
        <v>0</v>
      </c>
    </row>
    <row r="127" ht="13.5" customHeight="1" s="355">
      <c r="B127" s="703" t="inlineStr">
        <is>
          <t>Cash&amp;Bank</t>
        </is>
      </c>
      <c r="D127" s="704" t="n">
        <v>0</v>
      </c>
      <c r="E127" s="704" t="n">
        <v>0</v>
      </c>
      <c r="F127" s="704" t="n">
        <v>0</v>
      </c>
      <c r="G127" s="704" t="n">
        <v>0</v>
      </c>
      <c r="H127" s="704" t="n">
        <v>0</v>
      </c>
      <c r="I127" s="704" t="n">
        <v>0</v>
      </c>
      <c r="J127" s="704" t="n">
        <v>0</v>
      </c>
      <c r="K127" s="704" t="n">
        <v>0</v>
      </c>
      <c r="L127" s="704" t="n">
        <v>0</v>
      </c>
      <c r="M127" s="704" t="n">
        <v>0</v>
      </c>
      <c r="N127" s="704" t="n">
        <v>0</v>
      </c>
      <c r="O127" s="704" t="n">
        <v>0</v>
      </c>
      <c r="P127" s="704" t="n">
        <v>0</v>
      </c>
      <c r="Q127" s="704" t="n">
        <v>0</v>
      </c>
      <c r="R127" s="704" t="n">
        <v>0</v>
      </c>
      <c r="S127" s="704" t="n">
        <v>0</v>
      </c>
      <c r="T127" s="704" t="n">
        <v>0</v>
      </c>
      <c r="U127" s="704" t="n">
        <v>0</v>
      </c>
      <c r="V127" s="704" t="n">
        <v>0</v>
      </c>
      <c r="W127" s="704" t="n">
        <v>0</v>
      </c>
      <c r="X127" s="704" t="n">
        <v>0</v>
      </c>
      <c r="Y127" s="704" t="n">
        <v>0</v>
      </c>
      <c r="Z127" s="704" t="n">
        <v>0</v>
      </c>
      <c r="AA127" s="704" t="n">
        <v>0</v>
      </c>
      <c r="AB127" s="704" t="n">
        <v>0</v>
      </c>
      <c r="AC127" s="704" t="n">
        <v>0</v>
      </c>
      <c r="AD127" s="704" t="n">
        <v>0</v>
      </c>
      <c r="AE127" s="704" t="n">
        <v>0</v>
      </c>
      <c r="AF127" s="704" t="n">
        <v>0</v>
      </c>
      <c r="AG127" s="704" t="n">
        <v>0</v>
      </c>
      <c r="AH127" s="704" t="n">
        <v>0</v>
      </c>
      <c r="AI127" s="704" t="n">
        <v>0</v>
      </c>
      <c r="AJ127" s="704" t="n">
        <v>0</v>
      </c>
      <c r="AK127" s="704" t="n">
        <v>0</v>
      </c>
      <c r="AL127" s="704" t="n">
        <v>0</v>
      </c>
      <c r="AM127" s="704" t="n">
        <v>0</v>
      </c>
      <c r="AN127" s="704" t="n">
        <v>0</v>
      </c>
      <c r="AO127" s="704" t="n">
        <v>0</v>
      </c>
      <c r="AP127" s="704" t="n">
        <v>0</v>
      </c>
      <c r="AQ127" s="704" t="n">
        <v>0</v>
      </c>
      <c r="AR127" s="704" t="n">
        <v>0</v>
      </c>
      <c r="AS127" s="704" t="n">
        <v>0</v>
      </c>
      <c r="AT127" s="704" t="n">
        <v>0</v>
      </c>
      <c r="AU127" s="704" t="n">
        <v>0</v>
      </c>
      <c r="AV127" s="704" t="n">
        <v>0</v>
      </c>
      <c r="AW127" s="704" t="n">
        <v>0</v>
      </c>
      <c r="AX127" s="704" t="n">
        <v>0</v>
      </c>
      <c r="AY127" s="704" t="n">
        <v>0</v>
      </c>
      <c r="AZ127" s="704" t="n">
        <v>0</v>
      </c>
      <c r="BA127" s="704" t="n">
        <v>0</v>
      </c>
      <c r="BB127" s="704" t="n">
        <v>0</v>
      </c>
      <c r="BC127" s="704" t="n">
        <v>0</v>
      </c>
      <c r="BD127" s="704" t="n">
        <v>0</v>
      </c>
      <c r="BE127" s="704" t="n">
        <v>0</v>
      </c>
      <c r="BF127" s="704" t="n">
        <v>0</v>
      </c>
      <c r="BG127" s="704" t="n">
        <v>0</v>
      </c>
      <c r="BH127" s="704" t="n">
        <v>0</v>
      </c>
      <c r="BI127" s="704" t="n">
        <v>0</v>
      </c>
      <c r="BJ127" s="704" t="n">
        <v>0</v>
      </c>
      <c r="BK127" s="704" t="n">
        <v>0</v>
      </c>
      <c r="BL127" s="704" t="n">
        <v>0</v>
      </c>
      <c r="BM127" s="704" t="n">
        <v>0</v>
      </c>
      <c r="BN127" s="704" t="n">
        <v>0</v>
      </c>
      <c r="BO127" s="704" t="n">
        <v>0</v>
      </c>
      <c r="BP127" s="704" t="n">
        <v>0</v>
      </c>
      <c r="BQ127" s="704" t="n">
        <v>0</v>
      </c>
      <c r="BR127" s="704" t="n">
        <v>0</v>
      </c>
      <c r="BS127" s="704" t="n">
        <v>0</v>
      </c>
      <c r="BT127" s="704" t="n">
        <v>0</v>
      </c>
      <c r="BU127" s="704" t="n">
        <v>0</v>
      </c>
      <c r="BV127" s="704" t="n">
        <v>0</v>
      </c>
      <c r="BW127" s="704" t="n">
        <v>0</v>
      </c>
      <c r="BX127" s="704" t="n">
        <v>0</v>
      </c>
      <c r="BY127" s="704" t="n">
        <v>0</v>
      </c>
      <c r="BZ127" s="704" t="n">
        <v>0</v>
      </c>
      <c r="CA127" s="704" t="n">
        <v>0</v>
      </c>
      <c r="CB127" s="704" t="n">
        <v>0</v>
      </c>
      <c r="CC127" s="704" t="n">
        <v>0</v>
      </c>
      <c r="CD127" s="704" t="n">
        <v>0</v>
      </c>
      <c r="CE127" s="704" t="n">
        <v>0</v>
      </c>
      <c r="CF127" s="704" t="n">
        <v>0</v>
      </c>
      <c r="CG127" s="704" t="n">
        <v>0</v>
      </c>
      <c r="CH127" s="704" t="n">
        <v>0</v>
      </c>
      <c r="CI127" s="704" t="n">
        <v>0</v>
      </c>
      <c r="CJ127" s="704" t="n">
        <v>0</v>
      </c>
      <c r="CK127" s="704" t="n">
        <v>0</v>
      </c>
      <c r="CL127" s="704" t="n">
        <v>0</v>
      </c>
      <c r="CM127" s="704" t="n">
        <v>0</v>
      </c>
      <c r="CN127" s="704" t="n">
        <v>0</v>
      </c>
      <c r="CO127" s="704" t="n">
        <v>0</v>
      </c>
      <c r="CP127" s="704" t="n">
        <v>0</v>
      </c>
      <c r="CQ127" s="704" t="n">
        <v>0</v>
      </c>
      <c r="CR127" s="704" t="n">
        <v>0</v>
      </c>
      <c r="CS127" s="704" t="n">
        <v>0</v>
      </c>
      <c r="CT127" s="704" t="n">
        <v>0</v>
      </c>
      <c r="CU127" s="704" t="n">
        <v>0</v>
      </c>
      <c r="CV127" s="704" t="n">
        <v>0</v>
      </c>
      <c r="CW127" s="704" t="n">
        <v>0</v>
      </c>
      <c r="CX127" s="704" t="n">
        <v>0</v>
      </c>
      <c r="CY127" s="704" t="n">
        <v>0</v>
      </c>
      <c r="CZ127" s="704" t="n">
        <v>0</v>
      </c>
      <c r="DA127" s="704" t="n">
        <v>0</v>
      </c>
      <c r="DB127" s="704" t="n">
        <v>0</v>
      </c>
      <c r="DC127" s="704" t="n">
        <v>0</v>
      </c>
      <c r="DD127" s="704" t="n">
        <v>0</v>
      </c>
      <c r="DE127" s="704" t="n">
        <v>0</v>
      </c>
      <c r="DF127" s="704" t="n">
        <v>0</v>
      </c>
      <c r="DG127" s="704" t="n">
        <v>0</v>
      </c>
      <c r="DH127" s="704" t="n">
        <v>0</v>
      </c>
      <c r="DI127" s="704" t="n">
        <v>0</v>
      </c>
      <c r="DJ127" s="704" t="n">
        <v>0</v>
      </c>
      <c r="DK127" s="704" t="n">
        <v>0</v>
      </c>
      <c r="DL127" s="704" t="n">
        <v>0</v>
      </c>
      <c r="DM127" s="704" t="n">
        <v>0</v>
      </c>
    </row>
    <row r="128" ht="13.5" customHeight="1" s="355">
      <c r="B128" s="703" t="inlineStr">
        <is>
          <t>T&amp;E</t>
        </is>
      </c>
      <c r="D128" s="704" t="n">
        <v>0</v>
      </c>
      <c r="E128" s="704" t="n">
        <v>0</v>
      </c>
      <c r="F128" s="704" t="n">
        <v>0</v>
      </c>
      <c r="G128" s="704" t="n">
        <v>0</v>
      </c>
      <c r="H128" s="704" t="n">
        <v>0</v>
      </c>
      <c r="I128" s="704" t="n">
        <v>0</v>
      </c>
      <c r="J128" s="704" t="n">
        <v>0</v>
      </c>
      <c r="K128" s="704" t="n">
        <v>0</v>
      </c>
      <c r="L128" s="704" t="n">
        <v>0</v>
      </c>
      <c r="M128" s="704" t="n">
        <v>0</v>
      </c>
      <c r="N128" s="704" t="n">
        <v>0</v>
      </c>
      <c r="O128" s="704" t="n">
        <v>0</v>
      </c>
      <c r="P128" s="704" t="n">
        <v>0</v>
      </c>
      <c r="Q128" s="704" t="n">
        <v>0</v>
      </c>
      <c r="R128" s="704" t="n">
        <v>0</v>
      </c>
      <c r="S128" s="704" t="n">
        <v>0</v>
      </c>
      <c r="T128" s="704" t="n">
        <v>0</v>
      </c>
      <c r="U128" s="704" t="n">
        <v>0</v>
      </c>
      <c r="V128" s="704" t="n">
        <v>0</v>
      </c>
      <c r="W128" s="704" t="n">
        <v>0</v>
      </c>
      <c r="X128" s="704" t="n">
        <v>0</v>
      </c>
      <c r="Y128" s="704" t="n">
        <v>0</v>
      </c>
      <c r="Z128" s="704" t="n">
        <v>0</v>
      </c>
      <c r="AA128" s="704" t="n">
        <v>0</v>
      </c>
      <c r="AB128" s="704" t="n">
        <v>0</v>
      </c>
      <c r="AC128" s="704" t="n">
        <v>0</v>
      </c>
      <c r="AD128" s="704" t="n">
        <v>0</v>
      </c>
      <c r="AE128" s="704" t="n">
        <v>0</v>
      </c>
      <c r="AF128" s="704" t="n">
        <v>0</v>
      </c>
      <c r="AG128" s="704" t="n">
        <v>0</v>
      </c>
      <c r="AH128" s="704" t="n">
        <v>0</v>
      </c>
      <c r="AI128" s="704" t="n">
        <v>0</v>
      </c>
      <c r="AJ128" s="704" t="n">
        <v>0</v>
      </c>
      <c r="AK128" s="704" t="n">
        <v>0</v>
      </c>
      <c r="AL128" s="704" t="n">
        <v>0</v>
      </c>
      <c r="AM128" s="704" t="n">
        <v>0</v>
      </c>
      <c r="AN128" s="704" t="n">
        <v>0</v>
      </c>
      <c r="AO128" s="704" t="n">
        <v>0</v>
      </c>
      <c r="AP128" s="704" t="n">
        <v>0</v>
      </c>
      <c r="AQ128" s="704" t="n">
        <v>0</v>
      </c>
      <c r="AR128" s="704" t="n">
        <v>0</v>
      </c>
      <c r="AS128" s="704" t="n">
        <v>0</v>
      </c>
      <c r="AT128" s="704" t="n">
        <v>0</v>
      </c>
      <c r="AU128" s="704" t="n">
        <v>0</v>
      </c>
      <c r="AV128" s="704" t="n">
        <v>0</v>
      </c>
      <c r="AW128" s="704" t="n">
        <v>0</v>
      </c>
      <c r="AX128" s="704" t="n">
        <v>0</v>
      </c>
      <c r="AY128" s="704" t="n">
        <v>0</v>
      </c>
      <c r="AZ128" s="704" t="n">
        <v>0</v>
      </c>
      <c r="BA128" s="704" t="n">
        <v>0</v>
      </c>
      <c r="BB128" s="704" t="n">
        <v>0</v>
      </c>
      <c r="BC128" s="704" t="n">
        <v>0</v>
      </c>
      <c r="BD128" s="704" t="n">
        <v>0</v>
      </c>
      <c r="BE128" s="704" t="n">
        <v>0</v>
      </c>
      <c r="BF128" s="704" t="n">
        <v>0</v>
      </c>
      <c r="BG128" s="704" t="n">
        <v>0</v>
      </c>
      <c r="BH128" s="704" t="n">
        <v>0</v>
      </c>
      <c r="BI128" s="704" t="n">
        <v>0</v>
      </c>
      <c r="BJ128" s="704" t="n">
        <v>0</v>
      </c>
      <c r="BK128" s="704" t="n">
        <v>0</v>
      </c>
      <c r="BL128" s="704" t="n">
        <v>0</v>
      </c>
      <c r="BM128" s="704" t="n">
        <v>0</v>
      </c>
      <c r="BN128" s="704" t="n">
        <v>0</v>
      </c>
      <c r="BO128" s="704" t="n">
        <v>0</v>
      </c>
      <c r="BP128" s="704" t="n">
        <v>0</v>
      </c>
      <c r="BQ128" s="704" t="n">
        <v>0</v>
      </c>
      <c r="BR128" s="704" t="n">
        <v>0</v>
      </c>
      <c r="BS128" s="704" t="n">
        <v>0</v>
      </c>
      <c r="BT128" s="704" t="n">
        <v>0</v>
      </c>
      <c r="BU128" s="704" t="n">
        <v>0</v>
      </c>
      <c r="BV128" s="704" t="n">
        <v>0</v>
      </c>
      <c r="BW128" s="704" t="n">
        <v>0</v>
      </c>
      <c r="BX128" s="704" t="n">
        <v>0</v>
      </c>
      <c r="BY128" s="704" t="n">
        <v>0</v>
      </c>
      <c r="BZ128" s="704" t="n">
        <v>0</v>
      </c>
      <c r="CA128" s="704" t="n">
        <v>0</v>
      </c>
      <c r="CB128" s="704" t="n">
        <v>0</v>
      </c>
      <c r="CC128" s="704" t="n">
        <v>0</v>
      </c>
      <c r="CD128" s="704" t="n">
        <v>0</v>
      </c>
      <c r="CE128" s="704" t="n">
        <v>0</v>
      </c>
      <c r="CF128" s="704" t="n">
        <v>0</v>
      </c>
      <c r="CG128" s="704" t="n">
        <v>0</v>
      </c>
      <c r="CH128" s="704" t="n">
        <v>0</v>
      </c>
      <c r="CI128" s="704" t="n">
        <v>0</v>
      </c>
      <c r="CJ128" s="704" t="n">
        <v>0</v>
      </c>
      <c r="CK128" s="704" t="n">
        <v>0</v>
      </c>
      <c r="CL128" s="704" t="n">
        <v>0</v>
      </c>
      <c r="CM128" s="704" t="n">
        <v>0</v>
      </c>
      <c r="CN128" s="704" t="n">
        <v>0</v>
      </c>
      <c r="CO128" s="704" t="n">
        <v>0</v>
      </c>
      <c r="CP128" s="704" t="n">
        <v>0</v>
      </c>
      <c r="CQ128" s="704" t="n">
        <v>0</v>
      </c>
      <c r="CR128" s="704" t="n">
        <v>0</v>
      </c>
      <c r="CS128" s="704" t="n">
        <v>0</v>
      </c>
      <c r="CT128" s="704" t="n">
        <v>0</v>
      </c>
      <c r="CU128" s="704" t="n">
        <v>0</v>
      </c>
      <c r="CV128" s="704" t="n">
        <v>0</v>
      </c>
      <c r="CW128" s="704" t="n">
        <v>0</v>
      </c>
      <c r="CX128" s="704" t="n">
        <v>0</v>
      </c>
      <c r="CY128" s="704" t="n">
        <v>0</v>
      </c>
      <c r="CZ128" s="704" t="n">
        <v>0</v>
      </c>
      <c r="DA128" s="704" t="n">
        <v>0</v>
      </c>
      <c r="DB128" s="704" t="n">
        <v>0</v>
      </c>
      <c r="DC128" s="704" t="n">
        <v>0</v>
      </c>
      <c r="DD128" s="704" t="n">
        <v>0</v>
      </c>
      <c r="DE128" s="704" t="n">
        <v>0</v>
      </c>
      <c r="DF128" s="704" t="n">
        <v>0</v>
      </c>
      <c r="DG128" s="704" t="n">
        <v>0</v>
      </c>
      <c r="DH128" s="704" t="n">
        <v>0</v>
      </c>
      <c r="DI128" s="704" t="n">
        <v>0</v>
      </c>
      <c r="DJ128" s="704" t="n">
        <v>0</v>
      </c>
      <c r="DK128" s="704" t="n">
        <v>0</v>
      </c>
      <c r="DL128" s="704" t="n">
        <v>0</v>
      </c>
      <c r="DM128" s="704" t="n">
        <v>0</v>
      </c>
    </row>
    <row r="129" ht="13.5" customHeight="1" s="355">
      <c r="B129" s="703" t="inlineStr">
        <is>
          <t>Order to Cash</t>
        </is>
      </c>
      <c r="D129" s="704" t="n">
        <v>0</v>
      </c>
      <c r="E129" s="704" t="n">
        <v>0</v>
      </c>
      <c r="F129" s="704" t="n">
        <v>0</v>
      </c>
      <c r="G129" s="704" t="n">
        <v>0</v>
      </c>
      <c r="H129" s="704" t="n">
        <v>0</v>
      </c>
      <c r="I129" s="704" t="n">
        <v>0</v>
      </c>
      <c r="J129" s="704" t="n">
        <v>0</v>
      </c>
      <c r="K129" s="704" t="n">
        <v>0</v>
      </c>
      <c r="L129" s="704" t="n">
        <v>0</v>
      </c>
      <c r="M129" s="704" t="n">
        <v>0</v>
      </c>
      <c r="N129" s="704" t="n">
        <v>0</v>
      </c>
      <c r="O129" s="704" t="n">
        <v>0</v>
      </c>
      <c r="P129" s="704" t="n">
        <v>0</v>
      </c>
      <c r="Q129" s="704" t="n">
        <v>0</v>
      </c>
      <c r="R129" s="704" t="n">
        <v>0</v>
      </c>
      <c r="S129" s="704" t="n">
        <v>0</v>
      </c>
      <c r="T129" s="704" t="n">
        <v>0</v>
      </c>
      <c r="U129" s="704" t="n">
        <v>0</v>
      </c>
      <c r="V129" s="704" t="n">
        <v>0</v>
      </c>
      <c r="W129" s="704" t="n">
        <v>0</v>
      </c>
      <c r="X129" s="704" t="n">
        <v>0</v>
      </c>
      <c r="Y129" s="704" t="n">
        <v>0</v>
      </c>
      <c r="Z129" s="704" t="n">
        <v>0</v>
      </c>
      <c r="AA129" s="704" t="n">
        <v>0</v>
      </c>
      <c r="AB129" s="704" t="n">
        <v>0</v>
      </c>
      <c r="AC129" s="704" t="n">
        <v>0</v>
      </c>
      <c r="AD129" s="704" t="n">
        <v>0</v>
      </c>
      <c r="AE129" s="704" t="n">
        <v>0</v>
      </c>
      <c r="AF129" s="704" t="n">
        <v>0</v>
      </c>
      <c r="AG129" s="704" t="n">
        <v>0</v>
      </c>
      <c r="AH129" s="704" t="n">
        <v>0</v>
      </c>
      <c r="AI129" s="704" t="n">
        <v>0</v>
      </c>
      <c r="AJ129" s="704" t="n">
        <v>0</v>
      </c>
      <c r="AK129" s="704" t="n">
        <v>0</v>
      </c>
      <c r="AL129" s="704" t="n">
        <v>0</v>
      </c>
      <c r="AM129" s="704" t="n">
        <v>0</v>
      </c>
      <c r="AN129" s="704" t="n">
        <v>0</v>
      </c>
      <c r="AO129" s="704" t="n">
        <v>0</v>
      </c>
      <c r="AP129" s="704" t="n">
        <v>0</v>
      </c>
      <c r="AQ129" s="704" t="n">
        <v>0</v>
      </c>
      <c r="AR129" s="704" t="n">
        <v>0</v>
      </c>
      <c r="AS129" s="704" t="n">
        <v>0</v>
      </c>
      <c r="AT129" s="704" t="n">
        <v>0</v>
      </c>
      <c r="AU129" s="704" t="n">
        <v>0</v>
      </c>
      <c r="AV129" s="704" t="n">
        <v>0</v>
      </c>
      <c r="AW129" s="704" t="n">
        <v>0</v>
      </c>
      <c r="AX129" s="704" t="n">
        <v>0</v>
      </c>
      <c r="AY129" s="704" t="n">
        <v>0</v>
      </c>
      <c r="AZ129" s="704" t="n">
        <v>0</v>
      </c>
      <c r="BA129" s="704" t="n">
        <v>0</v>
      </c>
      <c r="BB129" s="704" t="n">
        <v>0</v>
      </c>
      <c r="BC129" s="704" t="n">
        <v>0</v>
      </c>
      <c r="BD129" s="704" t="n">
        <v>0</v>
      </c>
      <c r="BE129" s="704" t="n">
        <v>0</v>
      </c>
      <c r="BF129" s="704" t="n">
        <v>0</v>
      </c>
      <c r="BG129" s="704" t="n">
        <v>0</v>
      </c>
      <c r="BH129" s="704" t="n">
        <v>0</v>
      </c>
      <c r="BI129" s="704" t="n">
        <v>0</v>
      </c>
      <c r="BJ129" s="704" t="n">
        <v>0</v>
      </c>
      <c r="BK129" s="704" t="n">
        <v>0</v>
      </c>
      <c r="BL129" s="704" t="n">
        <v>0</v>
      </c>
      <c r="BM129" s="704" t="n">
        <v>0</v>
      </c>
      <c r="BN129" s="704" t="n">
        <v>0</v>
      </c>
      <c r="BO129" s="704" t="n">
        <v>0</v>
      </c>
      <c r="BP129" s="704" t="n">
        <v>0</v>
      </c>
      <c r="BQ129" s="704" t="n">
        <v>0</v>
      </c>
      <c r="BR129" s="704" t="n">
        <v>0</v>
      </c>
      <c r="BS129" s="704" t="n">
        <v>0</v>
      </c>
      <c r="BT129" s="704" t="n">
        <v>0</v>
      </c>
      <c r="BU129" s="704" t="n">
        <v>0</v>
      </c>
      <c r="BV129" s="704" t="n">
        <v>0</v>
      </c>
      <c r="BW129" s="704" t="n">
        <v>0</v>
      </c>
      <c r="BX129" s="704" t="n">
        <v>0</v>
      </c>
      <c r="BY129" s="704" t="n">
        <v>0</v>
      </c>
      <c r="BZ129" s="704" t="n">
        <v>0</v>
      </c>
      <c r="CA129" s="704" t="n">
        <v>0</v>
      </c>
      <c r="CB129" s="704" t="n">
        <v>0</v>
      </c>
      <c r="CC129" s="704" t="n">
        <v>0</v>
      </c>
      <c r="CD129" s="704" t="n">
        <v>0</v>
      </c>
      <c r="CE129" s="704" t="n">
        <v>0</v>
      </c>
      <c r="CF129" s="704" t="n">
        <v>0</v>
      </c>
      <c r="CG129" s="704" t="n">
        <v>0</v>
      </c>
      <c r="CH129" s="704" t="n">
        <v>0</v>
      </c>
      <c r="CI129" s="704" t="n">
        <v>0</v>
      </c>
      <c r="CJ129" s="704" t="n">
        <v>0</v>
      </c>
      <c r="CK129" s="704" t="n">
        <v>0</v>
      </c>
      <c r="CL129" s="704" t="n">
        <v>0</v>
      </c>
      <c r="CM129" s="704" t="n">
        <v>0</v>
      </c>
      <c r="CN129" s="704" t="n">
        <v>0</v>
      </c>
      <c r="CO129" s="704" t="n">
        <v>0</v>
      </c>
      <c r="CP129" s="704" t="n">
        <v>0</v>
      </c>
      <c r="CQ129" s="704" t="n">
        <v>0</v>
      </c>
      <c r="CR129" s="704" t="n">
        <v>0</v>
      </c>
      <c r="CS129" s="704" t="n">
        <v>0</v>
      </c>
      <c r="CT129" s="704" t="n">
        <v>0</v>
      </c>
      <c r="CU129" s="704" t="n">
        <v>0</v>
      </c>
      <c r="CV129" s="704" t="n">
        <v>0</v>
      </c>
      <c r="CW129" s="704" t="n">
        <v>0</v>
      </c>
      <c r="CX129" s="704" t="n">
        <v>0</v>
      </c>
      <c r="CY129" s="704" t="n">
        <v>0</v>
      </c>
      <c r="CZ129" s="704" t="n">
        <v>0</v>
      </c>
      <c r="DA129" s="704" t="n">
        <v>0</v>
      </c>
      <c r="DB129" s="704" t="n">
        <v>0</v>
      </c>
      <c r="DC129" s="704" t="n">
        <v>0</v>
      </c>
      <c r="DD129" s="704" t="n">
        <v>0</v>
      </c>
      <c r="DE129" s="704" t="n">
        <v>0</v>
      </c>
      <c r="DF129" s="704" t="n">
        <v>0</v>
      </c>
      <c r="DG129" s="704" t="n">
        <v>0</v>
      </c>
      <c r="DH129" s="704" t="n">
        <v>0</v>
      </c>
      <c r="DI129" s="704" t="n">
        <v>0</v>
      </c>
      <c r="DJ129" s="704" t="n">
        <v>0</v>
      </c>
      <c r="DK129" s="704" t="n">
        <v>0</v>
      </c>
      <c r="DL129" s="704" t="n">
        <v>0</v>
      </c>
      <c r="DM129" s="704" t="n">
        <v>0</v>
      </c>
    </row>
    <row r="130" ht="13.5" customHeight="1" s="355">
      <c r="B130" s="703" t="inlineStr">
        <is>
          <t>Req to Pay</t>
        </is>
      </c>
      <c r="D130" s="704" t="n">
        <v>0</v>
      </c>
      <c r="E130" s="704" t="n">
        <v>0</v>
      </c>
      <c r="F130" s="704" t="n">
        <v>0</v>
      </c>
      <c r="G130" s="704" t="n">
        <v>0</v>
      </c>
      <c r="H130" s="704" t="n">
        <v>0</v>
      </c>
      <c r="I130" s="704" t="n">
        <v>0</v>
      </c>
      <c r="J130" s="704" t="n">
        <v>0</v>
      </c>
      <c r="K130" s="704" t="n">
        <v>0</v>
      </c>
      <c r="L130" s="704" t="n">
        <v>0</v>
      </c>
      <c r="M130" s="704" t="n">
        <v>0</v>
      </c>
      <c r="N130" s="704" t="n">
        <v>0</v>
      </c>
      <c r="O130" s="704" t="n">
        <v>0</v>
      </c>
      <c r="P130" s="704" t="n">
        <v>0</v>
      </c>
      <c r="Q130" s="704" t="n">
        <v>0</v>
      </c>
      <c r="R130" s="704" t="n">
        <v>0</v>
      </c>
      <c r="S130" s="704" t="n">
        <v>0</v>
      </c>
      <c r="T130" s="704" t="n">
        <v>0</v>
      </c>
      <c r="U130" s="704" t="n">
        <v>0</v>
      </c>
      <c r="V130" s="704" t="n">
        <v>0</v>
      </c>
      <c r="W130" s="704" t="n">
        <v>0</v>
      </c>
      <c r="X130" s="704" t="n">
        <v>0</v>
      </c>
      <c r="Y130" s="704" t="n">
        <v>0</v>
      </c>
      <c r="Z130" s="704" t="n">
        <v>0</v>
      </c>
      <c r="AA130" s="704" t="n">
        <v>0</v>
      </c>
      <c r="AB130" s="704" t="n">
        <v>0</v>
      </c>
      <c r="AC130" s="704" t="n">
        <v>0</v>
      </c>
      <c r="AD130" s="704" t="n">
        <v>0</v>
      </c>
      <c r="AE130" s="704" t="n">
        <v>0</v>
      </c>
      <c r="AF130" s="704" t="n">
        <v>0</v>
      </c>
      <c r="AG130" s="704" t="n">
        <v>0</v>
      </c>
      <c r="AH130" s="704" t="n">
        <v>0</v>
      </c>
      <c r="AI130" s="704" t="n">
        <v>0</v>
      </c>
      <c r="AJ130" s="704" t="n">
        <v>0</v>
      </c>
      <c r="AK130" s="704" t="n">
        <v>0</v>
      </c>
      <c r="AL130" s="704" t="n">
        <v>0</v>
      </c>
      <c r="AM130" s="704" t="n">
        <v>0</v>
      </c>
      <c r="AN130" s="704" t="n">
        <v>0</v>
      </c>
      <c r="AO130" s="704" t="n">
        <v>0</v>
      </c>
      <c r="AP130" s="704" t="n">
        <v>0</v>
      </c>
      <c r="AQ130" s="704" t="n">
        <v>0</v>
      </c>
      <c r="AR130" s="704" t="n">
        <v>0</v>
      </c>
      <c r="AS130" s="704" t="n">
        <v>0</v>
      </c>
      <c r="AT130" s="704" t="n">
        <v>0</v>
      </c>
      <c r="AU130" s="704" t="n">
        <v>0</v>
      </c>
      <c r="AV130" s="704" t="n">
        <v>0</v>
      </c>
      <c r="AW130" s="704" t="n">
        <v>0</v>
      </c>
      <c r="AX130" s="704" t="n">
        <v>0</v>
      </c>
      <c r="AY130" s="704" t="n">
        <v>0</v>
      </c>
      <c r="AZ130" s="704" t="n">
        <v>0</v>
      </c>
      <c r="BA130" s="704" t="n">
        <v>0</v>
      </c>
      <c r="BB130" s="704" t="n">
        <v>0</v>
      </c>
      <c r="BC130" s="704" t="n">
        <v>0</v>
      </c>
      <c r="BD130" s="704" t="n">
        <v>0</v>
      </c>
      <c r="BE130" s="704" t="n">
        <v>0</v>
      </c>
      <c r="BF130" s="704" t="n">
        <v>0</v>
      </c>
      <c r="BG130" s="704" t="n">
        <v>0</v>
      </c>
      <c r="BH130" s="704" t="n">
        <v>0</v>
      </c>
      <c r="BI130" s="704" t="n">
        <v>0</v>
      </c>
      <c r="BJ130" s="704" t="n">
        <v>0</v>
      </c>
      <c r="BK130" s="704" t="n">
        <v>0</v>
      </c>
      <c r="BL130" s="704" t="n">
        <v>0</v>
      </c>
      <c r="BM130" s="704" t="n">
        <v>0</v>
      </c>
      <c r="BN130" s="704" t="n">
        <v>0</v>
      </c>
      <c r="BO130" s="704" t="n">
        <v>0</v>
      </c>
      <c r="BP130" s="704" t="n">
        <v>0</v>
      </c>
      <c r="BQ130" s="704" t="n">
        <v>0</v>
      </c>
      <c r="BR130" s="704" t="n">
        <v>0</v>
      </c>
      <c r="BS130" s="704" t="n">
        <v>0</v>
      </c>
      <c r="BT130" s="704" t="n">
        <v>0</v>
      </c>
      <c r="BU130" s="704" t="n">
        <v>0</v>
      </c>
      <c r="BV130" s="704" t="n">
        <v>0</v>
      </c>
      <c r="BW130" s="704" t="n">
        <v>0</v>
      </c>
      <c r="BX130" s="704" t="n">
        <v>0</v>
      </c>
      <c r="BY130" s="704" t="n">
        <v>0</v>
      </c>
      <c r="BZ130" s="704" t="n">
        <v>0</v>
      </c>
      <c r="CA130" s="704" t="n">
        <v>0</v>
      </c>
      <c r="CB130" s="704" t="n">
        <v>0</v>
      </c>
      <c r="CC130" s="704" t="n">
        <v>0</v>
      </c>
      <c r="CD130" s="704" t="n">
        <v>0</v>
      </c>
      <c r="CE130" s="704" t="n">
        <v>0</v>
      </c>
      <c r="CF130" s="704" t="n">
        <v>0</v>
      </c>
      <c r="CG130" s="704" t="n">
        <v>0</v>
      </c>
      <c r="CH130" s="704" t="n">
        <v>0</v>
      </c>
      <c r="CI130" s="704" t="n">
        <v>0</v>
      </c>
      <c r="CJ130" s="704" t="n">
        <v>0</v>
      </c>
      <c r="CK130" s="704" t="n">
        <v>0</v>
      </c>
      <c r="CL130" s="704" t="n">
        <v>0</v>
      </c>
      <c r="CM130" s="704" t="n">
        <v>0</v>
      </c>
      <c r="CN130" s="704" t="n">
        <v>0</v>
      </c>
      <c r="CO130" s="704" t="n">
        <v>0</v>
      </c>
      <c r="CP130" s="704" t="n">
        <v>0</v>
      </c>
      <c r="CQ130" s="704" t="n">
        <v>0</v>
      </c>
      <c r="CR130" s="704" t="n">
        <v>0</v>
      </c>
      <c r="CS130" s="704" t="n">
        <v>0</v>
      </c>
      <c r="CT130" s="704" t="n">
        <v>0</v>
      </c>
      <c r="CU130" s="704" t="n">
        <v>0</v>
      </c>
      <c r="CV130" s="704" t="n">
        <v>0</v>
      </c>
      <c r="CW130" s="704" t="n">
        <v>0</v>
      </c>
      <c r="CX130" s="704" t="n">
        <v>0</v>
      </c>
      <c r="CY130" s="704" t="n">
        <v>0</v>
      </c>
      <c r="CZ130" s="704" t="n">
        <v>0</v>
      </c>
      <c r="DA130" s="704" t="n">
        <v>0</v>
      </c>
      <c r="DB130" s="704" t="n">
        <v>0</v>
      </c>
      <c r="DC130" s="704" t="n">
        <v>0</v>
      </c>
      <c r="DD130" s="704" t="n">
        <v>0</v>
      </c>
      <c r="DE130" s="704" t="n">
        <v>0</v>
      </c>
      <c r="DF130" s="704" t="n">
        <v>0</v>
      </c>
      <c r="DG130" s="704" t="n">
        <v>0</v>
      </c>
      <c r="DH130" s="704" t="n">
        <v>0</v>
      </c>
      <c r="DI130" s="704" t="n">
        <v>0</v>
      </c>
      <c r="DJ130" s="704" t="n">
        <v>0</v>
      </c>
      <c r="DK130" s="704" t="n">
        <v>0</v>
      </c>
      <c r="DL130" s="704" t="n">
        <v>0</v>
      </c>
      <c r="DM130" s="704" t="n">
        <v>0</v>
      </c>
    </row>
    <row r="131" ht="13.5" customHeight="1" s="355">
      <c r="B131" s="703" t="inlineStr">
        <is>
          <t>Team Leader</t>
        </is>
      </c>
      <c r="D131" s="704" t="n">
        <v>0</v>
      </c>
      <c r="E131" s="704" t="n">
        <v>0</v>
      </c>
      <c r="F131" s="704" t="n">
        <v>0</v>
      </c>
      <c r="G131" s="704" t="n">
        <v>0</v>
      </c>
      <c r="H131" s="704" t="n">
        <v>0</v>
      </c>
      <c r="I131" s="704" t="n">
        <v>0</v>
      </c>
      <c r="J131" s="704" t="n">
        <v>0</v>
      </c>
      <c r="K131" s="704" t="n">
        <v>0</v>
      </c>
      <c r="L131" s="704" t="n">
        <v>0</v>
      </c>
      <c r="M131" s="704" t="n">
        <v>0</v>
      </c>
      <c r="N131" s="704" t="n">
        <v>0</v>
      </c>
      <c r="O131" s="704" t="n">
        <v>0</v>
      </c>
      <c r="P131" s="704" t="n">
        <v>0</v>
      </c>
      <c r="Q131" s="704" t="n">
        <v>0</v>
      </c>
      <c r="R131" s="704" t="n">
        <v>0</v>
      </c>
      <c r="S131" s="704" t="n">
        <v>0</v>
      </c>
      <c r="T131" s="704" t="n">
        <v>0</v>
      </c>
      <c r="U131" s="704" t="n">
        <v>0</v>
      </c>
      <c r="V131" s="704" t="n">
        <v>0</v>
      </c>
      <c r="W131" s="704" t="n">
        <v>0</v>
      </c>
      <c r="X131" s="704" t="n">
        <v>0</v>
      </c>
      <c r="Y131" s="704" t="n">
        <v>0</v>
      </c>
      <c r="Z131" s="704" t="n">
        <v>0</v>
      </c>
      <c r="AA131" s="704" t="n">
        <v>0</v>
      </c>
      <c r="AB131" s="704" t="n">
        <v>0</v>
      </c>
      <c r="AC131" s="704" t="n">
        <v>0</v>
      </c>
      <c r="AD131" s="704" t="n">
        <v>0</v>
      </c>
      <c r="AE131" s="704" t="n">
        <v>0</v>
      </c>
      <c r="AF131" s="704" t="n">
        <v>0</v>
      </c>
      <c r="AG131" s="704" t="n">
        <v>0</v>
      </c>
      <c r="AH131" s="704" t="n">
        <v>0</v>
      </c>
      <c r="AI131" s="704" t="n">
        <v>0</v>
      </c>
      <c r="AJ131" s="704" t="n">
        <v>0</v>
      </c>
      <c r="AK131" s="704" t="n">
        <v>0</v>
      </c>
      <c r="AL131" s="704" t="n">
        <v>0</v>
      </c>
      <c r="AM131" s="704" t="n">
        <v>0</v>
      </c>
      <c r="AN131" s="704" t="n">
        <v>0</v>
      </c>
      <c r="AO131" s="704" t="n">
        <v>0</v>
      </c>
      <c r="AP131" s="704" t="n">
        <v>0</v>
      </c>
      <c r="AQ131" s="704" t="n">
        <v>0</v>
      </c>
      <c r="AR131" s="704" t="n">
        <v>0</v>
      </c>
      <c r="AS131" s="704" t="n">
        <v>0</v>
      </c>
      <c r="AT131" s="704" t="n">
        <v>0</v>
      </c>
      <c r="AU131" s="704" t="n">
        <v>0</v>
      </c>
      <c r="AV131" s="704" t="n">
        <v>0</v>
      </c>
      <c r="AW131" s="704" t="n">
        <v>0</v>
      </c>
      <c r="AX131" s="704" t="n">
        <v>0</v>
      </c>
      <c r="AY131" s="704" t="n">
        <v>0</v>
      </c>
      <c r="AZ131" s="704" t="n">
        <v>0</v>
      </c>
      <c r="BA131" s="704" t="n">
        <v>0</v>
      </c>
      <c r="BB131" s="704" t="n">
        <v>0</v>
      </c>
      <c r="BC131" s="704" t="n">
        <v>0</v>
      </c>
      <c r="BD131" s="704" t="n">
        <v>0</v>
      </c>
      <c r="BE131" s="704" t="n">
        <v>0</v>
      </c>
      <c r="BF131" s="704" t="n">
        <v>0</v>
      </c>
      <c r="BG131" s="704" t="n">
        <v>0</v>
      </c>
      <c r="BH131" s="704" t="n">
        <v>0</v>
      </c>
      <c r="BI131" s="704" t="n">
        <v>0</v>
      </c>
      <c r="BJ131" s="704" t="n">
        <v>0</v>
      </c>
      <c r="BK131" s="704" t="n">
        <v>0</v>
      </c>
      <c r="BL131" s="704" t="n">
        <v>0</v>
      </c>
      <c r="BM131" s="704" t="n">
        <v>0</v>
      </c>
      <c r="BN131" s="704" t="n">
        <v>0</v>
      </c>
      <c r="BO131" s="704" t="n">
        <v>0</v>
      </c>
      <c r="BP131" s="704" t="n">
        <v>0</v>
      </c>
      <c r="BQ131" s="704" t="n">
        <v>0</v>
      </c>
      <c r="BR131" s="704" t="n">
        <v>0</v>
      </c>
      <c r="BS131" s="704" t="n">
        <v>0</v>
      </c>
      <c r="BT131" s="704" t="n">
        <v>0</v>
      </c>
      <c r="BU131" s="704" t="n">
        <v>0</v>
      </c>
      <c r="BV131" s="704" t="n">
        <v>0</v>
      </c>
      <c r="BW131" s="704" t="n">
        <v>0</v>
      </c>
      <c r="BX131" s="704" t="n">
        <v>0</v>
      </c>
      <c r="BY131" s="704" t="n">
        <v>0</v>
      </c>
      <c r="BZ131" s="704" t="n">
        <v>0</v>
      </c>
      <c r="CA131" s="704" t="n">
        <v>0</v>
      </c>
      <c r="CB131" s="704" t="n">
        <v>0</v>
      </c>
      <c r="CC131" s="704" t="n">
        <v>0</v>
      </c>
      <c r="CD131" s="704" t="n">
        <v>0</v>
      </c>
      <c r="CE131" s="704" t="n">
        <v>0</v>
      </c>
      <c r="CF131" s="704" t="n">
        <v>0</v>
      </c>
      <c r="CG131" s="704" t="n">
        <v>0</v>
      </c>
      <c r="CH131" s="704" t="n">
        <v>0</v>
      </c>
      <c r="CI131" s="704" t="n">
        <v>0</v>
      </c>
      <c r="CJ131" s="704" t="n">
        <v>0</v>
      </c>
      <c r="CK131" s="704" t="n">
        <v>0</v>
      </c>
      <c r="CL131" s="704" t="n">
        <v>0</v>
      </c>
      <c r="CM131" s="704" t="n">
        <v>0</v>
      </c>
      <c r="CN131" s="704" t="n">
        <v>0</v>
      </c>
      <c r="CO131" s="704" t="n">
        <v>0</v>
      </c>
      <c r="CP131" s="704" t="n">
        <v>0</v>
      </c>
      <c r="CQ131" s="704" t="n">
        <v>0</v>
      </c>
      <c r="CR131" s="704" t="n">
        <v>0</v>
      </c>
      <c r="CS131" s="704" t="n">
        <v>0</v>
      </c>
      <c r="CT131" s="704" t="n">
        <v>0</v>
      </c>
      <c r="CU131" s="704" t="n">
        <v>0</v>
      </c>
      <c r="CV131" s="704" t="n">
        <v>0</v>
      </c>
      <c r="CW131" s="704" t="n">
        <v>0</v>
      </c>
      <c r="CX131" s="704" t="n">
        <v>0</v>
      </c>
      <c r="CY131" s="704" t="n">
        <v>0</v>
      </c>
      <c r="CZ131" s="704" t="n">
        <v>0</v>
      </c>
      <c r="DA131" s="704" t="n">
        <v>0</v>
      </c>
      <c r="DB131" s="704" t="n">
        <v>0</v>
      </c>
      <c r="DC131" s="704" t="n">
        <v>0</v>
      </c>
      <c r="DD131" s="704" t="n">
        <v>0</v>
      </c>
      <c r="DE131" s="704" t="n">
        <v>0</v>
      </c>
      <c r="DF131" s="704" t="n">
        <v>0</v>
      </c>
      <c r="DG131" s="704" t="n">
        <v>0</v>
      </c>
      <c r="DH131" s="704" t="n">
        <v>0</v>
      </c>
      <c r="DI131" s="704" t="n">
        <v>0</v>
      </c>
      <c r="DJ131" s="704" t="n">
        <v>0</v>
      </c>
      <c r="DK131" s="704" t="n">
        <v>0</v>
      </c>
      <c r="DL131" s="704" t="n">
        <v>0</v>
      </c>
      <c r="DM131" s="704" t="n">
        <v>0</v>
      </c>
    </row>
    <row r="132" ht="13.5" customHeight="1" s="355">
      <c r="B132" s="703" t="inlineStr">
        <is>
          <t>SLA Metric Reporting</t>
        </is>
      </c>
      <c r="D132" s="704" t="n">
        <v>0</v>
      </c>
      <c r="E132" s="704" t="n">
        <v>0</v>
      </c>
      <c r="F132" s="704" t="n">
        <v>0</v>
      </c>
      <c r="G132" s="704" t="n">
        <v>0</v>
      </c>
      <c r="H132" s="704" t="n">
        <v>0</v>
      </c>
      <c r="I132" s="704" t="n">
        <v>0</v>
      </c>
      <c r="J132" s="704" t="n">
        <v>0</v>
      </c>
      <c r="K132" s="704" t="n">
        <v>0</v>
      </c>
      <c r="L132" s="704" t="n">
        <v>0</v>
      </c>
      <c r="M132" s="704" t="n">
        <v>0</v>
      </c>
      <c r="N132" s="704" t="n">
        <v>0</v>
      </c>
      <c r="O132" s="704" t="n">
        <v>0</v>
      </c>
      <c r="P132" s="704" t="n">
        <v>0</v>
      </c>
      <c r="Q132" s="704" t="n">
        <v>0</v>
      </c>
      <c r="R132" s="704" t="n">
        <v>0</v>
      </c>
      <c r="S132" s="704" t="n">
        <v>0</v>
      </c>
      <c r="T132" s="704" t="n">
        <v>0</v>
      </c>
      <c r="U132" s="704" t="n">
        <v>0</v>
      </c>
      <c r="V132" s="704" t="n">
        <v>0</v>
      </c>
      <c r="W132" s="704" t="n">
        <v>0</v>
      </c>
      <c r="X132" s="704" t="n">
        <v>0</v>
      </c>
      <c r="Y132" s="704" t="n">
        <v>0</v>
      </c>
      <c r="Z132" s="704" t="n">
        <v>0</v>
      </c>
      <c r="AA132" s="704" t="n">
        <v>0</v>
      </c>
      <c r="AB132" s="704" t="n">
        <v>0</v>
      </c>
      <c r="AC132" s="704" t="n">
        <v>0</v>
      </c>
      <c r="AD132" s="704" t="n">
        <v>0</v>
      </c>
      <c r="AE132" s="704" t="n">
        <v>0</v>
      </c>
      <c r="AF132" s="704" t="n">
        <v>0</v>
      </c>
      <c r="AG132" s="704" t="n">
        <v>0</v>
      </c>
      <c r="AH132" s="704" t="n">
        <v>0</v>
      </c>
      <c r="AI132" s="704" t="n">
        <v>0</v>
      </c>
      <c r="AJ132" s="704" t="n">
        <v>0</v>
      </c>
      <c r="AK132" s="704" t="n">
        <v>0</v>
      </c>
      <c r="AL132" s="704" t="n">
        <v>0</v>
      </c>
      <c r="AM132" s="704" t="n">
        <v>0</v>
      </c>
      <c r="AN132" s="704" t="n">
        <v>0</v>
      </c>
      <c r="AO132" s="704" t="n">
        <v>0</v>
      </c>
      <c r="AP132" s="704" t="n">
        <v>0</v>
      </c>
      <c r="AQ132" s="704" t="n">
        <v>0</v>
      </c>
      <c r="AR132" s="704" t="n">
        <v>0</v>
      </c>
      <c r="AS132" s="704" t="n">
        <v>0</v>
      </c>
      <c r="AT132" s="704" t="n">
        <v>0</v>
      </c>
      <c r="AU132" s="704" t="n">
        <v>0</v>
      </c>
      <c r="AV132" s="704" t="n">
        <v>0</v>
      </c>
      <c r="AW132" s="704" t="n">
        <v>0</v>
      </c>
      <c r="AX132" s="704" t="n">
        <v>0</v>
      </c>
      <c r="AY132" s="704" t="n">
        <v>0</v>
      </c>
      <c r="AZ132" s="704" t="n">
        <v>0</v>
      </c>
      <c r="BA132" s="704" t="n">
        <v>0</v>
      </c>
      <c r="BB132" s="704" t="n">
        <v>0</v>
      </c>
      <c r="BC132" s="704" t="n">
        <v>0</v>
      </c>
      <c r="BD132" s="704" t="n">
        <v>0</v>
      </c>
      <c r="BE132" s="704" t="n">
        <v>0</v>
      </c>
      <c r="BF132" s="704" t="n">
        <v>0</v>
      </c>
      <c r="BG132" s="704" t="n">
        <v>0</v>
      </c>
      <c r="BH132" s="704" t="n">
        <v>0</v>
      </c>
      <c r="BI132" s="704" t="n">
        <v>0</v>
      </c>
      <c r="BJ132" s="704" t="n">
        <v>0</v>
      </c>
      <c r="BK132" s="704" t="n">
        <v>0</v>
      </c>
      <c r="BL132" s="704" t="n">
        <v>0</v>
      </c>
      <c r="BM132" s="704" t="n">
        <v>0</v>
      </c>
      <c r="BN132" s="704" t="n">
        <v>0</v>
      </c>
      <c r="BO132" s="704" t="n">
        <v>0</v>
      </c>
      <c r="BP132" s="704" t="n">
        <v>0</v>
      </c>
      <c r="BQ132" s="704" t="n">
        <v>0</v>
      </c>
      <c r="BR132" s="704" t="n">
        <v>0</v>
      </c>
      <c r="BS132" s="704" t="n">
        <v>0</v>
      </c>
      <c r="BT132" s="704" t="n">
        <v>0</v>
      </c>
      <c r="BU132" s="704" t="n">
        <v>0</v>
      </c>
      <c r="BV132" s="704" t="n">
        <v>0</v>
      </c>
      <c r="BW132" s="704" t="n">
        <v>0</v>
      </c>
      <c r="BX132" s="704" t="n">
        <v>0</v>
      </c>
      <c r="BY132" s="704" t="n">
        <v>0</v>
      </c>
      <c r="BZ132" s="704" t="n">
        <v>0</v>
      </c>
      <c r="CA132" s="704" t="n">
        <v>0</v>
      </c>
      <c r="CB132" s="704" t="n">
        <v>0</v>
      </c>
      <c r="CC132" s="704" t="n">
        <v>0</v>
      </c>
      <c r="CD132" s="704" t="n">
        <v>0</v>
      </c>
      <c r="CE132" s="704" t="n">
        <v>0</v>
      </c>
      <c r="CF132" s="704" t="n">
        <v>0</v>
      </c>
      <c r="CG132" s="704" t="n">
        <v>0</v>
      </c>
      <c r="CH132" s="704" t="n">
        <v>0</v>
      </c>
      <c r="CI132" s="704" t="n">
        <v>0</v>
      </c>
      <c r="CJ132" s="704" t="n">
        <v>0</v>
      </c>
      <c r="CK132" s="704" t="n">
        <v>0</v>
      </c>
      <c r="CL132" s="704" t="n">
        <v>0</v>
      </c>
      <c r="CM132" s="704" t="n">
        <v>0</v>
      </c>
      <c r="CN132" s="704" t="n">
        <v>0</v>
      </c>
      <c r="CO132" s="704" t="n">
        <v>0</v>
      </c>
      <c r="CP132" s="704" t="n">
        <v>0</v>
      </c>
      <c r="CQ132" s="704" t="n">
        <v>0</v>
      </c>
      <c r="CR132" s="704" t="n">
        <v>0</v>
      </c>
      <c r="CS132" s="704" t="n">
        <v>0</v>
      </c>
      <c r="CT132" s="704" t="n">
        <v>0</v>
      </c>
      <c r="CU132" s="704" t="n">
        <v>0</v>
      </c>
      <c r="CV132" s="704" t="n">
        <v>0</v>
      </c>
      <c r="CW132" s="704" t="n">
        <v>0</v>
      </c>
      <c r="CX132" s="704" t="n">
        <v>0</v>
      </c>
      <c r="CY132" s="704" t="n">
        <v>0</v>
      </c>
      <c r="CZ132" s="704" t="n">
        <v>0</v>
      </c>
      <c r="DA132" s="704" t="n">
        <v>0</v>
      </c>
      <c r="DB132" s="704" t="n">
        <v>0</v>
      </c>
      <c r="DC132" s="704" t="n">
        <v>0</v>
      </c>
      <c r="DD132" s="704" t="n">
        <v>0</v>
      </c>
      <c r="DE132" s="704" t="n">
        <v>0</v>
      </c>
      <c r="DF132" s="704" t="n">
        <v>0</v>
      </c>
      <c r="DG132" s="704" t="n">
        <v>0</v>
      </c>
      <c r="DH132" s="704" t="n">
        <v>0</v>
      </c>
      <c r="DI132" s="704" t="n">
        <v>0</v>
      </c>
      <c r="DJ132" s="704" t="n">
        <v>0</v>
      </c>
      <c r="DK132" s="704" t="n">
        <v>0</v>
      </c>
      <c r="DL132" s="704" t="n">
        <v>0</v>
      </c>
      <c r="DM132" s="704" t="n">
        <v>0</v>
      </c>
    </row>
    <row r="133" ht="13.5" customHeight="1" s="355">
      <c r="B133" s="705" t="inlineStr">
        <is>
          <t>Grand Total</t>
        </is>
      </c>
      <c r="C133" s="706" t="n"/>
      <c r="D133" s="707" t="n">
        <v>0</v>
      </c>
      <c r="E133" s="707" t="n">
        <v>0</v>
      </c>
      <c r="F133" s="707" t="n">
        <v>0</v>
      </c>
      <c r="G133" s="707" t="n">
        <v>0</v>
      </c>
      <c r="H133" s="707" t="n">
        <v>0</v>
      </c>
      <c r="I133" s="707" t="n">
        <v>0</v>
      </c>
      <c r="J133" s="707" t="n">
        <v>0</v>
      </c>
      <c r="K133" s="707" t="n">
        <v>0</v>
      </c>
      <c r="L133" s="707" t="n">
        <v>0</v>
      </c>
      <c r="M133" s="707" t="n">
        <v>0</v>
      </c>
      <c r="N133" s="707" t="n">
        <v>0</v>
      </c>
      <c r="O133" s="707" t="n">
        <v>0</v>
      </c>
      <c r="P133" s="707" t="n">
        <v>0</v>
      </c>
      <c r="Q133" s="707" t="n">
        <v>0</v>
      </c>
      <c r="R133" s="707" t="n">
        <v>0</v>
      </c>
      <c r="S133" s="707" t="n">
        <v>0</v>
      </c>
      <c r="T133" s="707" t="n">
        <v>0</v>
      </c>
      <c r="U133" s="707" t="n">
        <v>0</v>
      </c>
      <c r="V133" s="707" t="n">
        <v>0</v>
      </c>
      <c r="W133" s="707" t="n">
        <v>0</v>
      </c>
      <c r="X133" s="707" t="n">
        <v>0</v>
      </c>
      <c r="Y133" s="707" t="n">
        <v>0</v>
      </c>
      <c r="Z133" s="707" t="n">
        <v>0</v>
      </c>
      <c r="AA133" s="707" t="n">
        <v>0</v>
      </c>
      <c r="AB133" s="707" t="n">
        <v>0</v>
      </c>
      <c r="AC133" s="707" t="n">
        <v>0</v>
      </c>
      <c r="AD133" s="707" t="n">
        <v>0</v>
      </c>
      <c r="AE133" s="707" t="n">
        <v>0</v>
      </c>
      <c r="AF133" s="707" t="n">
        <v>0</v>
      </c>
      <c r="AG133" s="707" t="n">
        <v>0</v>
      </c>
      <c r="AH133" s="707" t="n">
        <v>0</v>
      </c>
      <c r="AI133" s="707" t="n">
        <v>0</v>
      </c>
      <c r="AJ133" s="707" t="n">
        <v>0</v>
      </c>
      <c r="AK133" s="707" t="n">
        <v>0</v>
      </c>
      <c r="AL133" s="707" t="n">
        <v>0</v>
      </c>
      <c r="AM133" s="707" t="n">
        <v>0</v>
      </c>
      <c r="AN133" s="707" t="n">
        <v>0</v>
      </c>
      <c r="AO133" s="707" t="n">
        <v>0</v>
      </c>
      <c r="AP133" s="707" t="n">
        <v>0</v>
      </c>
      <c r="AQ133" s="707" t="n">
        <v>0</v>
      </c>
      <c r="AR133" s="707" t="n">
        <v>0</v>
      </c>
      <c r="AS133" s="707" t="n">
        <v>0</v>
      </c>
      <c r="AT133" s="707" t="n">
        <v>0</v>
      </c>
      <c r="AU133" s="707" t="n">
        <v>0</v>
      </c>
      <c r="AV133" s="707" t="n">
        <v>0</v>
      </c>
      <c r="AW133" s="707" t="n">
        <v>0</v>
      </c>
      <c r="AX133" s="707" t="n">
        <v>0</v>
      </c>
      <c r="AY133" s="707" t="n">
        <v>0</v>
      </c>
      <c r="AZ133" s="707" t="n">
        <v>0</v>
      </c>
      <c r="BA133" s="707" t="n">
        <v>0</v>
      </c>
      <c r="BB133" s="707" t="n">
        <v>0</v>
      </c>
      <c r="BC133" s="707" t="n">
        <v>0</v>
      </c>
      <c r="BD133" s="707" t="n">
        <v>0</v>
      </c>
      <c r="BE133" s="707" t="n">
        <v>0</v>
      </c>
      <c r="BF133" s="707" t="n">
        <v>0</v>
      </c>
      <c r="BG133" s="707" t="n">
        <v>0</v>
      </c>
      <c r="BH133" s="707" t="n">
        <v>0</v>
      </c>
      <c r="BI133" s="707" t="n">
        <v>0</v>
      </c>
      <c r="BJ133" s="707" t="n">
        <v>0</v>
      </c>
      <c r="BK133" s="707" t="n">
        <v>0</v>
      </c>
      <c r="BL133" s="707" t="n">
        <v>0</v>
      </c>
      <c r="BM133" s="707" t="n">
        <v>0</v>
      </c>
      <c r="BN133" s="707" t="n">
        <v>0</v>
      </c>
      <c r="BO133" s="707" t="n">
        <v>0</v>
      </c>
      <c r="BP133" s="707" t="n">
        <v>0</v>
      </c>
      <c r="BQ133" s="707" t="n">
        <v>0</v>
      </c>
      <c r="BR133" s="707" t="n">
        <v>0</v>
      </c>
      <c r="BS133" s="707" t="n">
        <v>0</v>
      </c>
      <c r="BT133" s="707" t="n">
        <v>0</v>
      </c>
      <c r="BU133" s="707" t="n">
        <v>0</v>
      </c>
      <c r="BV133" s="707" t="n">
        <v>0</v>
      </c>
      <c r="BW133" s="707" t="n">
        <v>0</v>
      </c>
      <c r="BX133" s="707" t="n">
        <v>0</v>
      </c>
      <c r="BY133" s="707" t="n">
        <v>0</v>
      </c>
      <c r="BZ133" s="707" t="n">
        <v>0</v>
      </c>
      <c r="CA133" s="707" t="n">
        <v>0</v>
      </c>
      <c r="CB133" s="707" t="n">
        <v>0</v>
      </c>
      <c r="CC133" s="707" t="n">
        <v>0</v>
      </c>
      <c r="CD133" s="707" t="n">
        <v>0</v>
      </c>
      <c r="CE133" s="707" t="n">
        <v>0</v>
      </c>
      <c r="CF133" s="707" t="n">
        <v>0</v>
      </c>
      <c r="CG133" s="707" t="n">
        <v>0</v>
      </c>
      <c r="CH133" s="707" t="n">
        <v>0</v>
      </c>
      <c r="CI133" s="707" t="n">
        <v>0</v>
      </c>
      <c r="CJ133" s="707" t="n">
        <v>0</v>
      </c>
      <c r="CK133" s="707" t="n">
        <v>0</v>
      </c>
      <c r="CL133" s="707" t="n">
        <v>0</v>
      </c>
      <c r="CM133" s="707" t="n">
        <v>0</v>
      </c>
      <c r="CN133" s="707" t="n">
        <v>0</v>
      </c>
      <c r="CO133" s="707" t="n">
        <v>0</v>
      </c>
      <c r="CP133" s="707" t="n">
        <v>0</v>
      </c>
      <c r="CQ133" s="707" t="n">
        <v>0</v>
      </c>
      <c r="CR133" s="707" t="n">
        <v>0</v>
      </c>
      <c r="CS133" s="707" t="n">
        <v>0</v>
      </c>
      <c r="CT133" s="707" t="n">
        <v>0</v>
      </c>
      <c r="CU133" s="707" t="n">
        <v>0</v>
      </c>
      <c r="CV133" s="707" t="n">
        <v>0</v>
      </c>
      <c r="CW133" s="707" t="n">
        <v>0</v>
      </c>
      <c r="CX133" s="707" t="n">
        <v>0</v>
      </c>
      <c r="CY133" s="707" t="n">
        <v>0</v>
      </c>
      <c r="CZ133" s="707" t="n">
        <v>0</v>
      </c>
      <c r="DA133" s="707" t="n">
        <v>0</v>
      </c>
      <c r="DB133" s="707" t="n">
        <v>0</v>
      </c>
      <c r="DC133" s="707" t="n">
        <v>0</v>
      </c>
      <c r="DD133" s="707" t="n">
        <v>0</v>
      </c>
      <c r="DE133" s="707" t="n">
        <v>0</v>
      </c>
      <c r="DF133" s="707" t="n">
        <v>0</v>
      </c>
      <c r="DG133" s="707" t="n">
        <v>0</v>
      </c>
      <c r="DH133" s="707" t="n">
        <v>0</v>
      </c>
      <c r="DI133" s="707" t="n">
        <v>0</v>
      </c>
      <c r="DJ133" s="707" t="n">
        <v>0</v>
      </c>
      <c r="DK133" s="707" t="n">
        <v>0</v>
      </c>
      <c r="DL133" s="707" t="n">
        <v>0</v>
      </c>
      <c r="DM133" s="707" t="n">
        <v>0</v>
      </c>
    </row>
    <row r="134" ht="13.5" customHeight="1" s="355">
      <c r="A134" s="702" t="inlineStr">
        <is>
          <t>Country 13</t>
        </is>
      </c>
      <c r="B134" s="703" t="inlineStr">
        <is>
          <t>Gen Acctg</t>
        </is>
      </c>
      <c r="D134" s="704" t="n">
        <v>0</v>
      </c>
      <c r="E134" s="704" t="n">
        <v>0</v>
      </c>
      <c r="F134" s="704" t="n">
        <v>0</v>
      </c>
      <c r="G134" s="704" t="n">
        <v>0</v>
      </c>
      <c r="H134" s="704" t="n">
        <v>0</v>
      </c>
      <c r="I134" s="704" t="n">
        <v>0</v>
      </c>
      <c r="J134" s="704" t="n">
        <v>0</v>
      </c>
      <c r="K134" s="704" t="n">
        <v>0</v>
      </c>
      <c r="L134" s="704" t="n">
        <v>0</v>
      </c>
      <c r="M134" s="704" t="n">
        <v>0</v>
      </c>
      <c r="N134" s="704" t="n">
        <v>0</v>
      </c>
      <c r="O134" s="704" t="n">
        <v>0</v>
      </c>
      <c r="P134" s="704" t="n">
        <v>0</v>
      </c>
      <c r="Q134" s="704" t="n">
        <v>0</v>
      </c>
      <c r="R134" s="704" t="n">
        <v>0</v>
      </c>
      <c r="S134" s="704" t="n">
        <v>0</v>
      </c>
      <c r="T134" s="704" t="n">
        <v>0</v>
      </c>
      <c r="U134" s="704" t="n">
        <v>0</v>
      </c>
      <c r="V134" s="704" t="n">
        <v>0</v>
      </c>
      <c r="W134" s="704" t="n">
        <v>0</v>
      </c>
      <c r="X134" s="704" t="n">
        <v>0</v>
      </c>
      <c r="Y134" s="704" t="n">
        <v>0</v>
      </c>
      <c r="Z134" s="704" t="n">
        <v>0</v>
      </c>
      <c r="AA134" s="704" t="n">
        <v>0</v>
      </c>
      <c r="AB134" s="704" t="n">
        <v>0</v>
      </c>
      <c r="AC134" s="704" t="n">
        <v>0</v>
      </c>
      <c r="AD134" s="704" t="n">
        <v>0</v>
      </c>
      <c r="AE134" s="704" t="n">
        <v>0</v>
      </c>
      <c r="AF134" s="704" t="n">
        <v>0</v>
      </c>
      <c r="AG134" s="704" t="n">
        <v>0</v>
      </c>
      <c r="AH134" s="704" t="n">
        <v>0</v>
      </c>
      <c r="AI134" s="704" t="n">
        <v>0</v>
      </c>
      <c r="AJ134" s="704" t="n">
        <v>0</v>
      </c>
      <c r="AK134" s="704" t="n">
        <v>0</v>
      </c>
      <c r="AL134" s="704" t="n">
        <v>0</v>
      </c>
      <c r="AM134" s="704" t="n">
        <v>0</v>
      </c>
      <c r="AN134" s="704" t="n">
        <v>0</v>
      </c>
      <c r="AO134" s="704" t="n">
        <v>0</v>
      </c>
      <c r="AP134" s="704" t="n">
        <v>0</v>
      </c>
      <c r="AQ134" s="704" t="n">
        <v>0</v>
      </c>
      <c r="AR134" s="704" t="n">
        <v>0</v>
      </c>
      <c r="AS134" s="704" t="n">
        <v>0</v>
      </c>
      <c r="AT134" s="704" t="n">
        <v>0</v>
      </c>
      <c r="AU134" s="704" t="n">
        <v>0</v>
      </c>
      <c r="AV134" s="704" t="n">
        <v>0</v>
      </c>
      <c r="AW134" s="704" t="n">
        <v>0</v>
      </c>
      <c r="AX134" s="704" t="n">
        <v>0</v>
      </c>
      <c r="AY134" s="704" t="n">
        <v>0</v>
      </c>
      <c r="AZ134" s="704" t="n">
        <v>0</v>
      </c>
      <c r="BA134" s="704" t="n">
        <v>0</v>
      </c>
      <c r="BB134" s="704" t="n">
        <v>0</v>
      </c>
      <c r="BC134" s="704" t="n">
        <v>0</v>
      </c>
      <c r="BD134" s="704" t="n">
        <v>0</v>
      </c>
      <c r="BE134" s="704" t="n">
        <v>0</v>
      </c>
      <c r="BF134" s="704" t="n">
        <v>0</v>
      </c>
      <c r="BG134" s="704" t="n">
        <v>0</v>
      </c>
      <c r="BH134" s="704" t="n">
        <v>0</v>
      </c>
      <c r="BI134" s="704" t="n">
        <v>0</v>
      </c>
      <c r="BJ134" s="704" t="n">
        <v>0</v>
      </c>
      <c r="BK134" s="704" t="n">
        <v>0</v>
      </c>
      <c r="BL134" s="704" t="n">
        <v>0</v>
      </c>
      <c r="BM134" s="704" t="n">
        <v>0</v>
      </c>
      <c r="BN134" s="704" t="n">
        <v>0</v>
      </c>
      <c r="BO134" s="704" t="n">
        <v>0</v>
      </c>
      <c r="BP134" s="704" t="n">
        <v>0</v>
      </c>
      <c r="BQ134" s="704" t="n">
        <v>0</v>
      </c>
      <c r="BR134" s="704" t="n">
        <v>0</v>
      </c>
      <c r="BS134" s="704" t="n">
        <v>0</v>
      </c>
      <c r="BT134" s="704" t="n">
        <v>0</v>
      </c>
      <c r="BU134" s="704" t="n">
        <v>0</v>
      </c>
      <c r="BV134" s="704" t="n">
        <v>0</v>
      </c>
      <c r="BW134" s="704" t="n">
        <v>0</v>
      </c>
      <c r="BX134" s="704" t="n">
        <v>0</v>
      </c>
      <c r="BY134" s="704" t="n">
        <v>0</v>
      </c>
      <c r="BZ134" s="704" t="n">
        <v>0</v>
      </c>
      <c r="CA134" s="704" t="n">
        <v>0</v>
      </c>
      <c r="CB134" s="704" t="n">
        <v>0</v>
      </c>
      <c r="CC134" s="704" t="n">
        <v>0</v>
      </c>
      <c r="CD134" s="704" t="n">
        <v>0</v>
      </c>
      <c r="CE134" s="704" t="n">
        <v>0</v>
      </c>
      <c r="CF134" s="704" t="n">
        <v>0</v>
      </c>
      <c r="CG134" s="704" t="n">
        <v>0</v>
      </c>
      <c r="CH134" s="704" t="n">
        <v>0</v>
      </c>
      <c r="CI134" s="704" t="n">
        <v>0</v>
      </c>
      <c r="CJ134" s="704" t="n">
        <v>0</v>
      </c>
      <c r="CK134" s="704" t="n">
        <v>0</v>
      </c>
      <c r="CL134" s="704" t="n">
        <v>0</v>
      </c>
      <c r="CM134" s="704" t="n">
        <v>0</v>
      </c>
      <c r="CN134" s="704" t="n">
        <v>0</v>
      </c>
      <c r="CO134" s="704" t="n">
        <v>0</v>
      </c>
      <c r="CP134" s="704" t="n">
        <v>0</v>
      </c>
      <c r="CQ134" s="704" t="n">
        <v>0</v>
      </c>
      <c r="CR134" s="704" t="n">
        <v>0</v>
      </c>
      <c r="CS134" s="704" t="n">
        <v>0</v>
      </c>
      <c r="CT134" s="704" t="n">
        <v>0</v>
      </c>
      <c r="CU134" s="704" t="n">
        <v>0</v>
      </c>
      <c r="CV134" s="704" t="n">
        <v>0</v>
      </c>
      <c r="CW134" s="704" t="n">
        <v>0</v>
      </c>
      <c r="CX134" s="704" t="n">
        <v>0</v>
      </c>
      <c r="CY134" s="704" t="n">
        <v>0</v>
      </c>
      <c r="CZ134" s="704" t="n">
        <v>0</v>
      </c>
      <c r="DA134" s="704" t="n">
        <v>0</v>
      </c>
      <c r="DB134" s="704" t="n">
        <v>0</v>
      </c>
      <c r="DC134" s="704" t="n">
        <v>0</v>
      </c>
      <c r="DD134" s="704" t="n">
        <v>0</v>
      </c>
      <c r="DE134" s="704" t="n">
        <v>0</v>
      </c>
      <c r="DF134" s="704" t="n">
        <v>0</v>
      </c>
      <c r="DG134" s="704" t="n">
        <v>0</v>
      </c>
      <c r="DH134" s="704" t="n">
        <v>0</v>
      </c>
      <c r="DI134" s="704" t="n">
        <v>0</v>
      </c>
      <c r="DJ134" s="704" t="n">
        <v>0</v>
      </c>
      <c r="DK134" s="704" t="n">
        <v>0</v>
      </c>
      <c r="DL134" s="704" t="n">
        <v>0</v>
      </c>
      <c r="DM134" s="704" t="n">
        <v>0</v>
      </c>
    </row>
    <row r="135" ht="13.5" customHeight="1" s="355">
      <c r="B135" s="703" t="inlineStr">
        <is>
          <t>Reporting</t>
        </is>
      </c>
      <c r="D135" s="704" t="n">
        <v>0</v>
      </c>
      <c r="E135" s="704" t="n">
        <v>0</v>
      </c>
      <c r="F135" s="704" t="n">
        <v>0</v>
      </c>
      <c r="G135" s="704" t="n">
        <v>0</v>
      </c>
      <c r="H135" s="704" t="n">
        <v>0</v>
      </c>
      <c r="I135" s="704" t="n">
        <v>0</v>
      </c>
      <c r="J135" s="704" t="n">
        <v>0</v>
      </c>
      <c r="K135" s="704" t="n">
        <v>0</v>
      </c>
      <c r="L135" s="704" t="n">
        <v>0</v>
      </c>
      <c r="M135" s="704" t="n">
        <v>0</v>
      </c>
      <c r="N135" s="704" t="n">
        <v>0</v>
      </c>
      <c r="O135" s="704" t="n">
        <v>0</v>
      </c>
      <c r="P135" s="704" t="n">
        <v>0</v>
      </c>
      <c r="Q135" s="704" t="n">
        <v>0</v>
      </c>
      <c r="R135" s="704" t="n">
        <v>0</v>
      </c>
      <c r="S135" s="704" t="n">
        <v>0</v>
      </c>
      <c r="T135" s="704" t="n">
        <v>0</v>
      </c>
      <c r="U135" s="704" t="n">
        <v>0</v>
      </c>
      <c r="V135" s="704" t="n">
        <v>0</v>
      </c>
      <c r="W135" s="704" t="n">
        <v>0</v>
      </c>
      <c r="X135" s="704" t="n">
        <v>0</v>
      </c>
      <c r="Y135" s="704" t="n">
        <v>0</v>
      </c>
      <c r="Z135" s="704" t="n">
        <v>0</v>
      </c>
      <c r="AA135" s="704" t="n">
        <v>0</v>
      </c>
      <c r="AB135" s="704" t="n">
        <v>0</v>
      </c>
      <c r="AC135" s="704" t="n">
        <v>0</v>
      </c>
      <c r="AD135" s="704" t="n">
        <v>0</v>
      </c>
      <c r="AE135" s="704" t="n">
        <v>0</v>
      </c>
      <c r="AF135" s="704" t="n">
        <v>0</v>
      </c>
      <c r="AG135" s="704" t="n">
        <v>0</v>
      </c>
      <c r="AH135" s="704" t="n">
        <v>0</v>
      </c>
      <c r="AI135" s="704" t="n">
        <v>0</v>
      </c>
      <c r="AJ135" s="704" t="n">
        <v>0</v>
      </c>
      <c r="AK135" s="704" t="n">
        <v>0</v>
      </c>
      <c r="AL135" s="704" t="n">
        <v>0</v>
      </c>
      <c r="AM135" s="704" t="n">
        <v>0</v>
      </c>
      <c r="AN135" s="704" t="n">
        <v>0</v>
      </c>
      <c r="AO135" s="704" t="n">
        <v>0</v>
      </c>
      <c r="AP135" s="704" t="n">
        <v>0</v>
      </c>
      <c r="AQ135" s="704" t="n">
        <v>0</v>
      </c>
      <c r="AR135" s="704" t="n">
        <v>0</v>
      </c>
      <c r="AS135" s="704" t="n">
        <v>0</v>
      </c>
      <c r="AT135" s="704" t="n">
        <v>0</v>
      </c>
      <c r="AU135" s="704" t="n">
        <v>0</v>
      </c>
      <c r="AV135" s="704" t="n">
        <v>0</v>
      </c>
      <c r="AW135" s="704" t="n">
        <v>0</v>
      </c>
      <c r="AX135" s="704" t="n">
        <v>0</v>
      </c>
      <c r="AY135" s="704" t="n">
        <v>0</v>
      </c>
      <c r="AZ135" s="704" t="n">
        <v>0</v>
      </c>
      <c r="BA135" s="704" t="n">
        <v>0</v>
      </c>
      <c r="BB135" s="704" t="n">
        <v>0</v>
      </c>
      <c r="BC135" s="704" t="n">
        <v>0</v>
      </c>
      <c r="BD135" s="704" t="n">
        <v>0</v>
      </c>
      <c r="BE135" s="704" t="n">
        <v>0</v>
      </c>
      <c r="BF135" s="704" t="n">
        <v>0</v>
      </c>
      <c r="BG135" s="704" t="n">
        <v>0</v>
      </c>
      <c r="BH135" s="704" t="n">
        <v>0</v>
      </c>
      <c r="BI135" s="704" t="n">
        <v>0</v>
      </c>
      <c r="BJ135" s="704" t="n">
        <v>0</v>
      </c>
      <c r="BK135" s="704" t="n">
        <v>0</v>
      </c>
      <c r="BL135" s="704" t="n">
        <v>0</v>
      </c>
      <c r="BM135" s="704" t="n">
        <v>0</v>
      </c>
      <c r="BN135" s="704" t="n">
        <v>0</v>
      </c>
      <c r="BO135" s="704" t="n">
        <v>0</v>
      </c>
      <c r="BP135" s="704" t="n">
        <v>0</v>
      </c>
      <c r="BQ135" s="704" t="n">
        <v>0</v>
      </c>
      <c r="BR135" s="704" t="n">
        <v>0</v>
      </c>
      <c r="BS135" s="704" t="n">
        <v>0</v>
      </c>
      <c r="BT135" s="704" t="n">
        <v>0</v>
      </c>
      <c r="BU135" s="704" t="n">
        <v>0</v>
      </c>
      <c r="BV135" s="704" t="n">
        <v>0</v>
      </c>
      <c r="BW135" s="704" t="n">
        <v>0</v>
      </c>
      <c r="BX135" s="704" t="n">
        <v>0</v>
      </c>
      <c r="BY135" s="704" t="n">
        <v>0</v>
      </c>
      <c r="BZ135" s="704" t="n">
        <v>0</v>
      </c>
      <c r="CA135" s="704" t="n">
        <v>0</v>
      </c>
      <c r="CB135" s="704" t="n">
        <v>0</v>
      </c>
      <c r="CC135" s="704" t="n">
        <v>0</v>
      </c>
      <c r="CD135" s="704" t="n">
        <v>0</v>
      </c>
      <c r="CE135" s="704" t="n">
        <v>0</v>
      </c>
      <c r="CF135" s="704" t="n">
        <v>0</v>
      </c>
      <c r="CG135" s="704" t="n">
        <v>0</v>
      </c>
      <c r="CH135" s="704" t="n">
        <v>0</v>
      </c>
      <c r="CI135" s="704" t="n">
        <v>0</v>
      </c>
      <c r="CJ135" s="704" t="n">
        <v>0</v>
      </c>
      <c r="CK135" s="704" t="n">
        <v>0</v>
      </c>
      <c r="CL135" s="704" t="n">
        <v>0</v>
      </c>
      <c r="CM135" s="704" t="n">
        <v>0</v>
      </c>
      <c r="CN135" s="704" t="n">
        <v>0</v>
      </c>
      <c r="CO135" s="704" t="n">
        <v>0</v>
      </c>
      <c r="CP135" s="704" t="n">
        <v>0</v>
      </c>
      <c r="CQ135" s="704" t="n">
        <v>0</v>
      </c>
      <c r="CR135" s="704" t="n">
        <v>0</v>
      </c>
      <c r="CS135" s="704" t="n">
        <v>0</v>
      </c>
      <c r="CT135" s="704" t="n">
        <v>0</v>
      </c>
      <c r="CU135" s="704" t="n">
        <v>0</v>
      </c>
      <c r="CV135" s="704" t="n">
        <v>0</v>
      </c>
      <c r="CW135" s="704" t="n">
        <v>0</v>
      </c>
      <c r="CX135" s="704" t="n">
        <v>0</v>
      </c>
      <c r="CY135" s="704" t="n">
        <v>0</v>
      </c>
      <c r="CZ135" s="704" t="n">
        <v>0</v>
      </c>
      <c r="DA135" s="704" t="n">
        <v>0</v>
      </c>
      <c r="DB135" s="704" t="n">
        <v>0</v>
      </c>
      <c r="DC135" s="704" t="n">
        <v>0</v>
      </c>
      <c r="DD135" s="704" t="n">
        <v>0</v>
      </c>
      <c r="DE135" s="704" t="n">
        <v>0</v>
      </c>
      <c r="DF135" s="704" t="n">
        <v>0</v>
      </c>
      <c r="DG135" s="704" t="n">
        <v>0</v>
      </c>
      <c r="DH135" s="704" t="n">
        <v>0</v>
      </c>
      <c r="DI135" s="704" t="n">
        <v>0</v>
      </c>
      <c r="DJ135" s="704" t="n">
        <v>0</v>
      </c>
      <c r="DK135" s="704" t="n">
        <v>0</v>
      </c>
      <c r="DL135" s="704" t="n">
        <v>0</v>
      </c>
      <c r="DM135" s="704" t="n">
        <v>0</v>
      </c>
    </row>
    <row r="136" ht="13.5" customHeight="1" s="355">
      <c r="B136" s="703" t="inlineStr">
        <is>
          <t>Fixed Assets</t>
        </is>
      </c>
      <c r="D136" s="704" t="n">
        <v>0</v>
      </c>
      <c r="E136" s="704" t="n">
        <v>0</v>
      </c>
      <c r="F136" s="704" t="n">
        <v>0</v>
      </c>
      <c r="G136" s="704" t="n">
        <v>0</v>
      </c>
      <c r="H136" s="704" t="n">
        <v>0</v>
      </c>
      <c r="I136" s="704" t="n">
        <v>0</v>
      </c>
      <c r="J136" s="704" t="n">
        <v>0</v>
      </c>
      <c r="K136" s="704" t="n">
        <v>0</v>
      </c>
      <c r="L136" s="704" t="n">
        <v>0</v>
      </c>
      <c r="M136" s="704" t="n">
        <v>0</v>
      </c>
      <c r="N136" s="704" t="n">
        <v>0</v>
      </c>
      <c r="O136" s="704" t="n">
        <v>0</v>
      </c>
      <c r="P136" s="704" t="n">
        <v>0</v>
      </c>
      <c r="Q136" s="704" t="n">
        <v>0</v>
      </c>
      <c r="R136" s="704" t="n">
        <v>0</v>
      </c>
      <c r="S136" s="704" t="n">
        <v>0</v>
      </c>
      <c r="T136" s="704" t="n">
        <v>0</v>
      </c>
      <c r="U136" s="704" t="n">
        <v>0</v>
      </c>
      <c r="V136" s="704" t="n">
        <v>0</v>
      </c>
      <c r="W136" s="704" t="n">
        <v>0</v>
      </c>
      <c r="X136" s="704" t="n">
        <v>0</v>
      </c>
      <c r="Y136" s="704" t="n">
        <v>0</v>
      </c>
      <c r="Z136" s="704" t="n">
        <v>0</v>
      </c>
      <c r="AA136" s="704" t="n">
        <v>0</v>
      </c>
      <c r="AB136" s="704" t="n">
        <v>0</v>
      </c>
      <c r="AC136" s="704" t="n">
        <v>0</v>
      </c>
      <c r="AD136" s="704" t="n">
        <v>0</v>
      </c>
      <c r="AE136" s="704" t="n">
        <v>0</v>
      </c>
      <c r="AF136" s="704" t="n">
        <v>0</v>
      </c>
      <c r="AG136" s="704" t="n">
        <v>0</v>
      </c>
      <c r="AH136" s="704" t="n">
        <v>0</v>
      </c>
      <c r="AI136" s="704" t="n">
        <v>0</v>
      </c>
      <c r="AJ136" s="704" t="n">
        <v>0</v>
      </c>
      <c r="AK136" s="704" t="n">
        <v>0</v>
      </c>
      <c r="AL136" s="704" t="n">
        <v>0</v>
      </c>
      <c r="AM136" s="704" t="n">
        <v>0</v>
      </c>
      <c r="AN136" s="704" t="n">
        <v>0</v>
      </c>
      <c r="AO136" s="704" t="n">
        <v>0</v>
      </c>
      <c r="AP136" s="704" t="n">
        <v>0</v>
      </c>
      <c r="AQ136" s="704" t="n">
        <v>0</v>
      </c>
      <c r="AR136" s="704" t="n">
        <v>0</v>
      </c>
      <c r="AS136" s="704" t="n">
        <v>0</v>
      </c>
      <c r="AT136" s="704" t="n">
        <v>0</v>
      </c>
      <c r="AU136" s="704" t="n">
        <v>0</v>
      </c>
      <c r="AV136" s="704" t="n">
        <v>0</v>
      </c>
      <c r="AW136" s="704" t="n">
        <v>0</v>
      </c>
      <c r="AX136" s="704" t="n">
        <v>0</v>
      </c>
      <c r="AY136" s="704" t="n">
        <v>0</v>
      </c>
      <c r="AZ136" s="704" t="n">
        <v>0</v>
      </c>
      <c r="BA136" s="704" t="n">
        <v>0</v>
      </c>
      <c r="BB136" s="704" t="n">
        <v>0</v>
      </c>
      <c r="BC136" s="704" t="n">
        <v>0</v>
      </c>
      <c r="BD136" s="704" t="n">
        <v>0</v>
      </c>
      <c r="BE136" s="704" t="n">
        <v>0</v>
      </c>
      <c r="BF136" s="704" t="n">
        <v>0</v>
      </c>
      <c r="BG136" s="704" t="n">
        <v>0</v>
      </c>
      <c r="BH136" s="704" t="n">
        <v>0</v>
      </c>
      <c r="BI136" s="704" t="n">
        <v>0</v>
      </c>
      <c r="BJ136" s="704" t="n">
        <v>0</v>
      </c>
      <c r="BK136" s="704" t="n">
        <v>0</v>
      </c>
      <c r="BL136" s="704" t="n">
        <v>0</v>
      </c>
      <c r="BM136" s="704" t="n">
        <v>0</v>
      </c>
      <c r="BN136" s="704" t="n">
        <v>0</v>
      </c>
      <c r="BO136" s="704" t="n">
        <v>0</v>
      </c>
      <c r="BP136" s="704" t="n">
        <v>0</v>
      </c>
      <c r="BQ136" s="704" t="n">
        <v>0</v>
      </c>
      <c r="BR136" s="704" t="n">
        <v>0</v>
      </c>
      <c r="BS136" s="704" t="n">
        <v>0</v>
      </c>
      <c r="BT136" s="704" t="n">
        <v>0</v>
      </c>
      <c r="BU136" s="704" t="n">
        <v>0</v>
      </c>
      <c r="BV136" s="704" t="n">
        <v>0</v>
      </c>
      <c r="BW136" s="704" t="n">
        <v>0</v>
      </c>
      <c r="BX136" s="704" t="n">
        <v>0</v>
      </c>
      <c r="BY136" s="704" t="n">
        <v>0</v>
      </c>
      <c r="BZ136" s="704" t="n">
        <v>0</v>
      </c>
      <c r="CA136" s="704" t="n">
        <v>0</v>
      </c>
      <c r="CB136" s="704" t="n">
        <v>0</v>
      </c>
      <c r="CC136" s="704" t="n">
        <v>0</v>
      </c>
      <c r="CD136" s="704" t="n">
        <v>0</v>
      </c>
      <c r="CE136" s="704" t="n">
        <v>0</v>
      </c>
      <c r="CF136" s="704" t="n">
        <v>0</v>
      </c>
      <c r="CG136" s="704" t="n">
        <v>0</v>
      </c>
      <c r="CH136" s="704" t="n">
        <v>0</v>
      </c>
      <c r="CI136" s="704" t="n">
        <v>0</v>
      </c>
      <c r="CJ136" s="704" t="n">
        <v>0</v>
      </c>
      <c r="CK136" s="704" t="n">
        <v>0</v>
      </c>
      <c r="CL136" s="704" t="n">
        <v>0</v>
      </c>
      <c r="CM136" s="704" t="n">
        <v>0</v>
      </c>
      <c r="CN136" s="704" t="n">
        <v>0</v>
      </c>
      <c r="CO136" s="704" t="n">
        <v>0</v>
      </c>
      <c r="CP136" s="704" t="n">
        <v>0</v>
      </c>
      <c r="CQ136" s="704" t="n">
        <v>0</v>
      </c>
      <c r="CR136" s="704" t="n">
        <v>0</v>
      </c>
      <c r="CS136" s="704" t="n">
        <v>0</v>
      </c>
      <c r="CT136" s="704" t="n">
        <v>0</v>
      </c>
      <c r="CU136" s="704" t="n">
        <v>0</v>
      </c>
      <c r="CV136" s="704" t="n">
        <v>0</v>
      </c>
      <c r="CW136" s="704" t="n">
        <v>0</v>
      </c>
      <c r="CX136" s="704" t="n">
        <v>0</v>
      </c>
      <c r="CY136" s="704" t="n">
        <v>0</v>
      </c>
      <c r="CZ136" s="704" t="n">
        <v>0</v>
      </c>
      <c r="DA136" s="704" t="n">
        <v>0</v>
      </c>
      <c r="DB136" s="704" t="n">
        <v>0</v>
      </c>
      <c r="DC136" s="704" t="n">
        <v>0</v>
      </c>
      <c r="DD136" s="704" t="n">
        <v>0</v>
      </c>
      <c r="DE136" s="704" t="n">
        <v>0</v>
      </c>
      <c r="DF136" s="704" t="n">
        <v>0</v>
      </c>
      <c r="DG136" s="704" t="n">
        <v>0</v>
      </c>
      <c r="DH136" s="704" t="n">
        <v>0</v>
      </c>
      <c r="DI136" s="704" t="n">
        <v>0</v>
      </c>
      <c r="DJ136" s="704" t="n">
        <v>0</v>
      </c>
      <c r="DK136" s="704" t="n">
        <v>0</v>
      </c>
      <c r="DL136" s="704" t="n">
        <v>0</v>
      </c>
      <c r="DM136" s="704" t="n">
        <v>0</v>
      </c>
    </row>
    <row r="137" ht="13.5" customHeight="1" s="355">
      <c r="B137" s="703" t="inlineStr">
        <is>
          <t>Acct Payable</t>
        </is>
      </c>
      <c r="D137" s="704" t="n">
        <v>0</v>
      </c>
      <c r="E137" s="704" t="n">
        <v>0</v>
      </c>
      <c r="F137" s="704" t="n">
        <v>0</v>
      </c>
      <c r="G137" s="704" t="n">
        <v>0</v>
      </c>
      <c r="H137" s="704" t="n">
        <v>0</v>
      </c>
      <c r="I137" s="704" t="n">
        <v>0</v>
      </c>
      <c r="J137" s="704" t="n">
        <v>0</v>
      </c>
      <c r="K137" s="704" t="n">
        <v>0</v>
      </c>
      <c r="L137" s="704" t="n">
        <v>0</v>
      </c>
      <c r="M137" s="704" t="n">
        <v>0</v>
      </c>
      <c r="N137" s="704" t="n">
        <v>0</v>
      </c>
      <c r="O137" s="704" t="n">
        <v>0</v>
      </c>
      <c r="P137" s="704" t="n">
        <v>0</v>
      </c>
      <c r="Q137" s="704" t="n">
        <v>0</v>
      </c>
      <c r="R137" s="704" t="n">
        <v>0</v>
      </c>
      <c r="S137" s="704" t="n">
        <v>0</v>
      </c>
      <c r="T137" s="704" t="n">
        <v>0</v>
      </c>
      <c r="U137" s="704" t="n">
        <v>0</v>
      </c>
      <c r="V137" s="704" t="n">
        <v>0</v>
      </c>
      <c r="W137" s="704" t="n">
        <v>0</v>
      </c>
      <c r="X137" s="704" t="n">
        <v>0</v>
      </c>
      <c r="Y137" s="704" t="n">
        <v>0</v>
      </c>
      <c r="Z137" s="704" t="n">
        <v>0</v>
      </c>
      <c r="AA137" s="704" t="n">
        <v>0</v>
      </c>
      <c r="AB137" s="704" t="n">
        <v>0</v>
      </c>
      <c r="AC137" s="704" t="n">
        <v>0</v>
      </c>
      <c r="AD137" s="704" t="n">
        <v>0</v>
      </c>
      <c r="AE137" s="704" t="n">
        <v>0</v>
      </c>
      <c r="AF137" s="704" t="n">
        <v>0</v>
      </c>
      <c r="AG137" s="704" t="n">
        <v>0</v>
      </c>
      <c r="AH137" s="704" t="n">
        <v>0</v>
      </c>
      <c r="AI137" s="704" t="n">
        <v>0</v>
      </c>
      <c r="AJ137" s="704" t="n">
        <v>0</v>
      </c>
      <c r="AK137" s="704" t="n">
        <v>0</v>
      </c>
      <c r="AL137" s="704" t="n">
        <v>0</v>
      </c>
      <c r="AM137" s="704" t="n">
        <v>0</v>
      </c>
      <c r="AN137" s="704" t="n">
        <v>0</v>
      </c>
      <c r="AO137" s="704" t="n">
        <v>0</v>
      </c>
      <c r="AP137" s="704" t="n">
        <v>0</v>
      </c>
      <c r="AQ137" s="704" t="n">
        <v>0</v>
      </c>
      <c r="AR137" s="704" t="n">
        <v>0</v>
      </c>
      <c r="AS137" s="704" t="n">
        <v>0</v>
      </c>
      <c r="AT137" s="704" t="n">
        <v>0</v>
      </c>
      <c r="AU137" s="704" t="n">
        <v>0</v>
      </c>
      <c r="AV137" s="704" t="n">
        <v>0</v>
      </c>
      <c r="AW137" s="704" t="n">
        <v>0</v>
      </c>
      <c r="AX137" s="704" t="n">
        <v>0</v>
      </c>
      <c r="AY137" s="704" t="n">
        <v>0</v>
      </c>
      <c r="AZ137" s="704" t="n">
        <v>0</v>
      </c>
      <c r="BA137" s="704" t="n">
        <v>0</v>
      </c>
      <c r="BB137" s="704" t="n">
        <v>0</v>
      </c>
      <c r="BC137" s="704" t="n">
        <v>0</v>
      </c>
      <c r="BD137" s="704" t="n">
        <v>0</v>
      </c>
      <c r="BE137" s="704" t="n">
        <v>0</v>
      </c>
      <c r="BF137" s="704" t="n">
        <v>0</v>
      </c>
      <c r="BG137" s="704" t="n">
        <v>0</v>
      </c>
      <c r="BH137" s="704" t="n">
        <v>0</v>
      </c>
      <c r="BI137" s="704" t="n">
        <v>0</v>
      </c>
      <c r="BJ137" s="704" t="n">
        <v>0</v>
      </c>
      <c r="BK137" s="704" t="n">
        <v>0</v>
      </c>
      <c r="BL137" s="704" t="n">
        <v>0</v>
      </c>
      <c r="BM137" s="704" t="n">
        <v>0</v>
      </c>
      <c r="BN137" s="704" t="n">
        <v>0</v>
      </c>
      <c r="BO137" s="704" t="n">
        <v>0</v>
      </c>
      <c r="BP137" s="704" t="n">
        <v>0</v>
      </c>
      <c r="BQ137" s="704" t="n">
        <v>0</v>
      </c>
      <c r="BR137" s="704" t="n">
        <v>0</v>
      </c>
      <c r="BS137" s="704" t="n">
        <v>0</v>
      </c>
      <c r="BT137" s="704" t="n">
        <v>0</v>
      </c>
      <c r="BU137" s="704" t="n">
        <v>0</v>
      </c>
      <c r="BV137" s="704" t="n">
        <v>0</v>
      </c>
      <c r="BW137" s="704" t="n">
        <v>0</v>
      </c>
      <c r="BX137" s="704" t="n">
        <v>0</v>
      </c>
      <c r="BY137" s="704" t="n">
        <v>0</v>
      </c>
      <c r="BZ137" s="704" t="n">
        <v>0</v>
      </c>
      <c r="CA137" s="704" t="n">
        <v>0</v>
      </c>
      <c r="CB137" s="704" t="n">
        <v>0</v>
      </c>
      <c r="CC137" s="704" t="n">
        <v>0</v>
      </c>
      <c r="CD137" s="704" t="n">
        <v>0</v>
      </c>
      <c r="CE137" s="704" t="n">
        <v>0</v>
      </c>
      <c r="CF137" s="704" t="n">
        <v>0</v>
      </c>
      <c r="CG137" s="704" t="n">
        <v>0</v>
      </c>
      <c r="CH137" s="704" t="n">
        <v>0</v>
      </c>
      <c r="CI137" s="704" t="n">
        <v>0</v>
      </c>
      <c r="CJ137" s="704" t="n">
        <v>0</v>
      </c>
      <c r="CK137" s="704" t="n">
        <v>0</v>
      </c>
      <c r="CL137" s="704" t="n">
        <v>0</v>
      </c>
      <c r="CM137" s="704" t="n">
        <v>0</v>
      </c>
      <c r="CN137" s="704" t="n">
        <v>0</v>
      </c>
      <c r="CO137" s="704" t="n">
        <v>0</v>
      </c>
      <c r="CP137" s="704" t="n">
        <v>0</v>
      </c>
      <c r="CQ137" s="704" t="n">
        <v>0</v>
      </c>
      <c r="CR137" s="704" t="n">
        <v>0</v>
      </c>
      <c r="CS137" s="704" t="n">
        <v>0</v>
      </c>
      <c r="CT137" s="704" t="n">
        <v>0</v>
      </c>
      <c r="CU137" s="704" t="n">
        <v>0</v>
      </c>
      <c r="CV137" s="704" t="n">
        <v>0</v>
      </c>
      <c r="CW137" s="704" t="n">
        <v>0</v>
      </c>
      <c r="CX137" s="704" t="n">
        <v>0</v>
      </c>
      <c r="CY137" s="704" t="n">
        <v>0</v>
      </c>
      <c r="CZ137" s="704" t="n">
        <v>0</v>
      </c>
      <c r="DA137" s="704" t="n">
        <v>0</v>
      </c>
      <c r="DB137" s="704" t="n">
        <v>0</v>
      </c>
      <c r="DC137" s="704" t="n">
        <v>0</v>
      </c>
      <c r="DD137" s="704" t="n">
        <v>0</v>
      </c>
      <c r="DE137" s="704" t="n">
        <v>0</v>
      </c>
      <c r="DF137" s="704" t="n">
        <v>0</v>
      </c>
      <c r="DG137" s="704" t="n">
        <v>0</v>
      </c>
      <c r="DH137" s="704" t="n">
        <v>0</v>
      </c>
      <c r="DI137" s="704" t="n">
        <v>0</v>
      </c>
      <c r="DJ137" s="704" t="n">
        <v>0</v>
      </c>
      <c r="DK137" s="704" t="n">
        <v>0</v>
      </c>
      <c r="DL137" s="704" t="n">
        <v>0</v>
      </c>
      <c r="DM137" s="704" t="n">
        <v>0</v>
      </c>
    </row>
    <row r="138" ht="13.5" customHeight="1" s="355">
      <c r="B138" s="703" t="inlineStr">
        <is>
          <t>Cash&amp;Bank</t>
        </is>
      </c>
      <c r="D138" s="704" t="n">
        <v>0</v>
      </c>
      <c r="E138" s="704" t="n">
        <v>0</v>
      </c>
      <c r="F138" s="704" t="n">
        <v>0</v>
      </c>
      <c r="G138" s="704" t="n">
        <v>0</v>
      </c>
      <c r="H138" s="704" t="n">
        <v>0</v>
      </c>
      <c r="I138" s="704" t="n">
        <v>0</v>
      </c>
      <c r="J138" s="704" t="n">
        <v>0</v>
      </c>
      <c r="K138" s="704" t="n">
        <v>0</v>
      </c>
      <c r="L138" s="704" t="n">
        <v>0</v>
      </c>
      <c r="M138" s="704" t="n">
        <v>0</v>
      </c>
      <c r="N138" s="704" t="n">
        <v>0</v>
      </c>
      <c r="O138" s="704" t="n">
        <v>0</v>
      </c>
      <c r="P138" s="704" t="n">
        <v>0</v>
      </c>
      <c r="Q138" s="704" t="n">
        <v>0</v>
      </c>
      <c r="R138" s="704" t="n">
        <v>0</v>
      </c>
      <c r="S138" s="704" t="n">
        <v>0</v>
      </c>
      <c r="T138" s="704" t="n">
        <v>0</v>
      </c>
      <c r="U138" s="704" t="n">
        <v>0</v>
      </c>
      <c r="V138" s="704" t="n">
        <v>0</v>
      </c>
      <c r="W138" s="704" t="n">
        <v>0</v>
      </c>
      <c r="X138" s="704" t="n">
        <v>0</v>
      </c>
      <c r="Y138" s="704" t="n">
        <v>0</v>
      </c>
      <c r="Z138" s="704" t="n">
        <v>0</v>
      </c>
      <c r="AA138" s="704" t="n">
        <v>0</v>
      </c>
      <c r="AB138" s="704" t="n">
        <v>0</v>
      </c>
      <c r="AC138" s="704" t="n">
        <v>0</v>
      </c>
      <c r="AD138" s="704" t="n">
        <v>0</v>
      </c>
      <c r="AE138" s="704" t="n">
        <v>0</v>
      </c>
      <c r="AF138" s="704" t="n">
        <v>0</v>
      </c>
      <c r="AG138" s="704" t="n">
        <v>0</v>
      </c>
      <c r="AH138" s="704" t="n">
        <v>0</v>
      </c>
      <c r="AI138" s="704" t="n">
        <v>0</v>
      </c>
      <c r="AJ138" s="704" t="n">
        <v>0</v>
      </c>
      <c r="AK138" s="704" t="n">
        <v>0</v>
      </c>
      <c r="AL138" s="704" t="n">
        <v>0</v>
      </c>
      <c r="AM138" s="704" t="n">
        <v>0</v>
      </c>
      <c r="AN138" s="704" t="n">
        <v>0</v>
      </c>
      <c r="AO138" s="704" t="n">
        <v>0</v>
      </c>
      <c r="AP138" s="704" t="n">
        <v>0</v>
      </c>
      <c r="AQ138" s="704" t="n">
        <v>0</v>
      </c>
      <c r="AR138" s="704" t="n">
        <v>0</v>
      </c>
      <c r="AS138" s="704" t="n">
        <v>0</v>
      </c>
      <c r="AT138" s="704" t="n">
        <v>0</v>
      </c>
      <c r="AU138" s="704" t="n">
        <v>0</v>
      </c>
      <c r="AV138" s="704" t="n">
        <v>0</v>
      </c>
      <c r="AW138" s="704" t="n">
        <v>0</v>
      </c>
      <c r="AX138" s="704" t="n">
        <v>0</v>
      </c>
      <c r="AY138" s="704" t="n">
        <v>0</v>
      </c>
      <c r="AZ138" s="704" t="n">
        <v>0</v>
      </c>
      <c r="BA138" s="704" t="n">
        <v>0</v>
      </c>
      <c r="BB138" s="704" t="n">
        <v>0</v>
      </c>
      <c r="BC138" s="704" t="n">
        <v>0</v>
      </c>
      <c r="BD138" s="704" t="n">
        <v>0</v>
      </c>
      <c r="BE138" s="704" t="n">
        <v>0</v>
      </c>
      <c r="BF138" s="704" t="n">
        <v>0</v>
      </c>
      <c r="BG138" s="704" t="n">
        <v>0</v>
      </c>
      <c r="BH138" s="704" t="n">
        <v>0</v>
      </c>
      <c r="BI138" s="704" t="n">
        <v>0</v>
      </c>
      <c r="BJ138" s="704" t="n">
        <v>0</v>
      </c>
      <c r="BK138" s="704" t="n">
        <v>0</v>
      </c>
      <c r="BL138" s="704" t="n">
        <v>0</v>
      </c>
      <c r="BM138" s="704" t="n">
        <v>0</v>
      </c>
      <c r="BN138" s="704" t="n">
        <v>0</v>
      </c>
      <c r="BO138" s="704" t="n">
        <v>0</v>
      </c>
      <c r="BP138" s="704" t="n">
        <v>0</v>
      </c>
      <c r="BQ138" s="704" t="n">
        <v>0</v>
      </c>
      <c r="BR138" s="704" t="n">
        <v>0</v>
      </c>
      <c r="BS138" s="704" t="n">
        <v>0</v>
      </c>
      <c r="BT138" s="704" t="n">
        <v>0</v>
      </c>
      <c r="BU138" s="704" t="n">
        <v>0</v>
      </c>
      <c r="BV138" s="704" t="n">
        <v>0</v>
      </c>
      <c r="BW138" s="704" t="n">
        <v>0</v>
      </c>
      <c r="BX138" s="704" t="n">
        <v>0</v>
      </c>
      <c r="BY138" s="704" t="n">
        <v>0</v>
      </c>
      <c r="BZ138" s="704" t="n">
        <v>0</v>
      </c>
      <c r="CA138" s="704" t="n">
        <v>0</v>
      </c>
      <c r="CB138" s="704" t="n">
        <v>0</v>
      </c>
      <c r="CC138" s="704" t="n">
        <v>0</v>
      </c>
      <c r="CD138" s="704" t="n">
        <v>0</v>
      </c>
      <c r="CE138" s="704" t="n">
        <v>0</v>
      </c>
      <c r="CF138" s="704" t="n">
        <v>0</v>
      </c>
      <c r="CG138" s="704" t="n">
        <v>0</v>
      </c>
      <c r="CH138" s="704" t="n">
        <v>0</v>
      </c>
      <c r="CI138" s="704" t="n">
        <v>0</v>
      </c>
      <c r="CJ138" s="704" t="n">
        <v>0</v>
      </c>
      <c r="CK138" s="704" t="n">
        <v>0</v>
      </c>
      <c r="CL138" s="704" t="n">
        <v>0</v>
      </c>
      <c r="CM138" s="704" t="n">
        <v>0</v>
      </c>
      <c r="CN138" s="704" t="n">
        <v>0</v>
      </c>
      <c r="CO138" s="704" t="n">
        <v>0</v>
      </c>
      <c r="CP138" s="704" t="n">
        <v>0</v>
      </c>
      <c r="CQ138" s="704" t="n">
        <v>0</v>
      </c>
      <c r="CR138" s="704" t="n">
        <v>0</v>
      </c>
      <c r="CS138" s="704" t="n">
        <v>0</v>
      </c>
      <c r="CT138" s="704" t="n">
        <v>0</v>
      </c>
      <c r="CU138" s="704" t="n">
        <v>0</v>
      </c>
      <c r="CV138" s="704" t="n">
        <v>0</v>
      </c>
      <c r="CW138" s="704" t="n">
        <v>0</v>
      </c>
      <c r="CX138" s="704" t="n">
        <v>0</v>
      </c>
      <c r="CY138" s="704" t="n">
        <v>0</v>
      </c>
      <c r="CZ138" s="704" t="n">
        <v>0</v>
      </c>
      <c r="DA138" s="704" t="n">
        <v>0</v>
      </c>
      <c r="DB138" s="704" t="n">
        <v>0</v>
      </c>
      <c r="DC138" s="704" t="n">
        <v>0</v>
      </c>
      <c r="DD138" s="704" t="n">
        <v>0</v>
      </c>
      <c r="DE138" s="704" t="n">
        <v>0</v>
      </c>
      <c r="DF138" s="704" t="n">
        <v>0</v>
      </c>
      <c r="DG138" s="704" t="n">
        <v>0</v>
      </c>
      <c r="DH138" s="704" t="n">
        <v>0</v>
      </c>
      <c r="DI138" s="704" t="n">
        <v>0</v>
      </c>
      <c r="DJ138" s="704" t="n">
        <v>0</v>
      </c>
      <c r="DK138" s="704" t="n">
        <v>0</v>
      </c>
      <c r="DL138" s="704" t="n">
        <v>0</v>
      </c>
      <c r="DM138" s="704" t="n">
        <v>0</v>
      </c>
    </row>
    <row r="139" ht="13.5" customHeight="1" s="355">
      <c r="B139" s="703" t="inlineStr">
        <is>
          <t>T&amp;E</t>
        </is>
      </c>
      <c r="D139" s="704" t="n">
        <v>0</v>
      </c>
      <c r="E139" s="704" t="n">
        <v>0</v>
      </c>
      <c r="F139" s="704" t="n">
        <v>0</v>
      </c>
      <c r="G139" s="704" t="n">
        <v>0</v>
      </c>
      <c r="H139" s="704" t="n">
        <v>0</v>
      </c>
      <c r="I139" s="704" t="n">
        <v>0</v>
      </c>
      <c r="J139" s="704" t="n">
        <v>0</v>
      </c>
      <c r="K139" s="704" t="n">
        <v>0</v>
      </c>
      <c r="L139" s="704" t="n">
        <v>0</v>
      </c>
      <c r="M139" s="704" t="n">
        <v>0</v>
      </c>
      <c r="N139" s="704" t="n">
        <v>0</v>
      </c>
      <c r="O139" s="704" t="n">
        <v>0</v>
      </c>
      <c r="P139" s="704" t="n">
        <v>0</v>
      </c>
      <c r="Q139" s="704" t="n">
        <v>0</v>
      </c>
      <c r="R139" s="704" t="n">
        <v>0</v>
      </c>
      <c r="S139" s="704" t="n">
        <v>0</v>
      </c>
      <c r="T139" s="704" t="n">
        <v>0</v>
      </c>
      <c r="U139" s="704" t="n">
        <v>0</v>
      </c>
      <c r="V139" s="704" t="n">
        <v>0</v>
      </c>
      <c r="W139" s="704" t="n">
        <v>0</v>
      </c>
      <c r="X139" s="704" t="n">
        <v>0</v>
      </c>
      <c r="Y139" s="704" t="n">
        <v>0</v>
      </c>
      <c r="Z139" s="704" t="n">
        <v>0</v>
      </c>
      <c r="AA139" s="704" t="n">
        <v>0</v>
      </c>
      <c r="AB139" s="704" t="n">
        <v>0</v>
      </c>
      <c r="AC139" s="704" t="n">
        <v>0</v>
      </c>
      <c r="AD139" s="704" t="n">
        <v>0</v>
      </c>
      <c r="AE139" s="704" t="n">
        <v>0</v>
      </c>
      <c r="AF139" s="704" t="n">
        <v>0</v>
      </c>
      <c r="AG139" s="704" t="n">
        <v>0</v>
      </c>
      <c r="AH139" s="704" t="n">
        <v>0</v>
      </c>
      <c r="AI139" s="704" t="n">
        <v>0</v>
      </c>
      <c r="AJ139" s="704" t="n">
        <v>0</v>
      </c>
      <c r="AK139" s="704" t="n">
        <v>0</v>
      </c>
      <c r="AL139" s="704" t="n">
        <v>0</v>
      </c>
      <c r="AM139" s="704" t="n">
        <v>0</v>
      </c>
      <c r="AN139" s="704" t="n">
        <v>0</v>
      </c>
      <c r="AO139" s="704" t="n">
        <v>0</v>
      </c>
      <c r="AP139" s="704" t="n">
        <v>0</v>
      </c>
      <c r="AQ139" s="704" t="n">
        <v>0</v>
      </c>
      <c r="AR139" s="704" t="n">
        <v>0</v>
      </c>
      <c r="AS139" s="704" t="n">
        <v>0</v>
      </c>
      <c r="AT139" s="704" t="n">
        <v>0</v>
      </c>
      <c r="AU139" s="704" t="n">
        <v>0</v>
      </c>
      <c r="AV139" s="704" t="n">
        <v>0</v>
      </c>
      <c r="AW139" s="704" t="n">
        <v>0</v>
      </c>
      <c r="AX139" s="704" t="n">
        <v>0</v>
      </c>
      <c r="AY139" s="704" t="n">
        <v>0</v>
      </c>
      <c r="AZ139" s="704" t="n">
        <v>0</v>
      </c>
      <c r="BA139" s="704" t="n">
        <v>0</v>
      </c>
      <c r="BB139" s="704" t="n">
        <v>0</v>
      </c>
      <c r="BC139" s="704" t="n">
        <v>0</v>
      </c>
      <c r="BD139" s="704" t="n">
        <v>0</v>
      </c>
      <c r="BE139" s="704" t="n">
        <v>0</v>
      </c>
      <c r="BF139" s="704" t="n">
        <v>0</v>
      </c>
      <c r="BG139" s="704" t="n">
        <v>0</v>
      </c>
      <c r="BH139" s="704" t="n">
        <v>0</v>
      </c>
      <c r="BI139" s="704" t="n">
        <v>0</v>
      </c>
      <c r="BJ139" s="704" t="n">
        <v>0</v>
      </c>
      <c r="BK139" s="704" t="n">
        <v>0</v>
      </c>
      <c r="BL139" s="704" t="n">
        <v>0</v>
      </c>
      <c r="BM139" s="704" t="n">
        <v>0</v>
      </c>
      <c r="BN139" s="704" t="n">
        <v>0</v>
      </c>
      <c r="BO139" s="704" t="n">
        <v>0</v>
      </c>
      <c r="BP139" s="704" t="n">
        <v>0</v>
      </c>
      <c r="BQ139" s="704" t="n">
        <v>0</v>
      </c>
      <c r="BR139" s="704" t="n">
        <v>0</v>
      </c>
      <c r="BS139" s="704" t="n">
        <v>0</v>
      </c>
      <c r="BT139" s="704" t="n">
        <v>0</v>
      </c>
      <c r="BU139" s="704" t="n">
        <v>0</v>
      </c>
      <c r="BV139" s="704" t="n">
        <v>0</v>
      </c>
      <c r="BW139" s="704" t="n">
        <v>0</v>
      </c>
      <c r="BX139" s="704" t="n">
        <v>0</v>
      </c>
      <c r="BY139" s="704" t="n">
        <v>0</v>
      </c>
      <c r="BZ139" s="704" t="n">
        <v>0</v>
      </c>
      <c r="CA139" s="704" t="n">
        <v>0</v>
      </c>
      <c r="CB139" s="704" t="n">
        <v>0</v>
      </c>
      <c r="CC139" s="704" t="n">
        <v>0</v>
      </c>
      <c r="CD139" s="704" t="n">
        <v>0</v>
      </c>
      <c r="CE139" s="704" t="n">
        <v>0</v>
      </c>
      <c r="CF139" s="704" t="n">
        <v>0</v>
      </c>
      <c r="CG139" s="704" t="n">
        <v>0</v>
      </c>
      <c r="CH139" s="704" t="n">
        <v>0</v>
      </c>
      <c r="CI139" s="704" t="n">
        <v>0</v>
      </c>
      <c r="CJ139" s="704" t="n">
        <v>0</v>
      </c>
      <c r="CK139" s="704" t="n">
        <v>0</v>
      </c>
      <c r="CL139" s="704" t="n">
        <v>0</v>
      </c>
      <c r="CM139" s="704" t="n">
        <v>0</v>
      </c>
      <c r="CN139" s="704" t="n">
        <v>0</v>
      </c>
      <c r="CO139" s="704" t="n">
        <v>0</v>
      </c>
      <c r="CP139" s="704" t="n">
        <v>0</v>
      </c>
      <c r="CQ139" s="704" t="n">
        <v>0</v>
      </c>
      <c r="CR139" s="704" t="n">
        <v>0</v>
      </c>
      <c r="CS139" s="704" t="n">
        <v>0</v>
      </c>
      <c r="CT139" s="704" t="n">
        <v>0</v>
      </c>
      <c r="CU139" s="704" t="n">
        <v>0</v>
      </c>
      <c r="CV139" s="704" t="n">
        <v>0</v>
      </c>
      <c r="CW139" s="704" t="n">
        <v>0</v>
      </c>
      <c r="CX139" s="704" t="n">
        <v>0</v>
      </c>
      <c r="CY139" s="704" t="n">
        <v>0</v>
      </c>
      <c r="CZ139" s="704" t="n">
        <v>0</v>
      </c>
      <c r="DA139" s="704" t="n">
        <v>0</v>
      </c>
      <c r="DB139" s="704" t="n">
        <v>0</v>
      </c>
      <c r="DC139" s="704" t="n">
        <v>0</v>
      </c>
      <c r="DD139" s="704" t="n">
        <v>0</v>
      </c>
      <c r="DE139" s="704" t="n">
        <v>0</v>
      </c>
      <c r="DF139" s="704" t="n">
        <v>0</v>
      </c>
      <c r="DG139" s="704" t="n">
        <v>0</v>
      </c>
      <c r="DH139" s="704" t="n">
        <v>0</v>
      </c>
      <c r="DI139" s="704" t="n">
        <v>0</v>
      </c>
      <c r="DJ139" s="704" t="n">
        <v>0</v>
      </c>
      <c r="DK139" s="704" t="n">
        <v>0</v>
      </c>
      <c r="DL139" s="704" t="n">
        <v>0</v>
      </c>
      <c r="DM139" s="704" t="n">
        <v>0</v>
      </c>
    </row>
    <row r="140" ht="13.5" customHeight="1" s="355">
      <c r="B140" s="703" t="inlineStr">
        <is>
          <t>Order to Cash</t>
        </is>
      </c>
      <c r="D140" s="704" t="n">
        <v>0</v>
      </c>
      <c r="E140" s="704" t="n">
        <v>0</v>
      </c>
      <c r="F140" s="704" t="n">
        <v>0</v>
      </c>
      <c r="G140" s="704" t="n">
        <v>0</v>
      </c>
      <c r="H140" s="704" t="n">
        <v>0</v>
      </c>
      <c r="I140" s="704" t="n">
        <v>0</v>
      </c>
      <c r="J140" s="704" t="n">
        <v>0</v>
      </c>
      <c r="K140" s="704" t="n">
        <v>0</v>
      </c>
      <c r="L140" s="704" t="n">
        <v>0</v>
      </c>
      <c r="M140" s="704" t="n">
        <v>0</v>
      </c>
      <c r="N140" s="704" t="n">
        <v>0</v>
      </c>
      <c r="O140" s="704" t="n">
        <v>0</v>
      </c>
      <c r="P140" s="704" t="n">
        <v>0</v>
      </c>
      <c r="Q140" s="704" t="n">
        <v>0</v>
      </c>
      <c r="R140" s="704" t="n">
        <v>0</v>
      </c>
      <c r="S140" s="704" t="n">
        <v>0</v>
      </c>
      <c r="T140" s="704" t="n">
        <v>0</v>
      </c>
      <c r="U140" s="704" t="n">
        <v>0</v>
      </c>
      <c r="V140" s="704" t="n">
        <v>0</v>
      </c>
      <c r="W140" s="704" t="n">
        <v>0</v>
      </c>
      <c r="X140" s="704" t="n">
        <v>0</v>
      </c>
      <c r="Y140" s="704" t="n">
        <v>0</v>
      </c>
      <c r="Z140" s="704" t="n">
        <v>0</v>
      </c>
      <c r="AA140" s="704" t="n">
        <v>0</v>
      </c>
      <c r="AB140" s="704" t="n">
        <v>0</v>
      </c>
      <c r="AC140" s="704" t="n">
        <v>0</v>
      </c>
      <c r="AD140" s="704" t="n">
        <v>0</v>
      </c>
      <c r="AE140" s="704" t="n">
        <v>0</v>
      </c>
      <c r="AF140" s="704" t="n">
        <v>0</v>
      </c>
      <c r="AG140" s="704" t="n">
        <v>0</v>
      </c>
      <c r="AH140" s="704" t="n">
        <v>0</v>
      </c>
      <c r="AI140" s="704" t="n">
        <v>0</v>
      </c>
      <c r="AJ140" s="704" t="n">
        <v>0</v>
      </c>
      <c r="AK140" s="704" t="n">
        <v>0</v>
      </c>
      <c r="AL140" s="704" t="n">
        <v>0</v>
      </c>
      <c r="AM140" s="704" t="n">
        <v>0</v>
      </c>
      <c r="AN140" s="704" t="n">
        <v>0</v>
      </c>
      <c r="AO140" s="704" t="n">
        <v>0</v>
      </c>
      <c r="AP140" s="704" t="n">
        <v>0</v>
      </c>
      <c r="AQ140" s="704" t="n">
        <v>0</v>
      </c>
      <c r="AR140" s="704" t="n">
        <v>0</v>
      </c>
      <c r="AS140" s="704" t="n">
        <v>0</v>
      </c>
      <c r="AT140" s="704" t="n">
        <v>0</v>
      </c>
      <c r="AU140" s="704" t="n">
        <v>0</v>
      </c>
      <c r="AV140" s="704" t="n">
        <v>0</v>
      </c>
      <c r="AW140" s="704" t="n">
        <v>0</v>
      </c>
      <c r="AX140" s="704" t="n">
        <v>0</v>
      </c>
      <c r="AY140" s="704" t="n">
        <v>0</v>
      </c>
      <c r="AZ140" s="704" t="n">
        <v>0</v>
      </c>
      <c r="BA140" s="704" t="n">
        <v>0</v>
      </c>
      <c r="BB140" s="704" t="n">
        <v>0</v>
      </c>
      <c r="BC140" s="704" t="n">
        <v>0</v>
      </c>
      <c r="BD140" s="704" t="n">
        <v>0</v>
      </c>
      <c r="BE140" s="704" t="n">
        <v>0</v>
      </c>
      <c r="BF140" s="704" t="n">
        <v>0</v>
      </c>
      <c r="BG140" s="704" t="n">
        <v>0</v>
      </c>
      <c r="BH140" s="704" t="n">
        <v>0</v>
      </c>
      <c r="BI140" s="704" t="n">
        <v>0</v>
      </c>
      <c r="BJ140" s="704" t="n">
        <v>0</v>
      </c>
      <c r="BK140" s="704" t="n">
        <v>0</v>
      </c>
      <c r="BL140" s="704" t="n">
        <v>0</v>
      </c>
      <c r="BM140" s="704" t="n">
        <v>0</v>
      </c>
      <c r="BN140" s="704" t="n">
        <v>0</v>
      </c>
      <c r="BO140" s="704" t="n">
        <v>0</v>
      </c>
      <c r="BP140" s="704" t="n">
        <v>0</v>
      </c>
      <c r="BQ140" s="704" t="n">
        <v>0</v>
      </c>
      <c r="BR140" s="704" t="n">
        <v>0</v>
      </c>
      <c r="BS140" s="704" t="n">
        <v>0</v>
      </c>
      <c r="BT140" s="704" t="n">
        <v>0</v>
      </c>
      <c r="BU140" s="704" t="n">
        <v>0</v>
      </c>
      <c r="BV140" s="704" t="n">
        <v>0</v>
      </c>
      <c r="BW140" s="704" t="n">
        <v>0</v>
      </c>
      <c r="BX140" s="704" t="n">
        <v>0</v>
      </c>
      <c r="BY140" s="704" t="n">
        <v>0</v>
      </c>
      <c r="BZ140" s="704" t="n">
        <v>0</v>
      </c>
      <c r="CA140" s="704" t="n">
        <v>0</v>
      </c>
      <c r="CB140" s="704" t="n">
        <v>0</v>
      </c>
      <c r="CC140" s="704" t="n">
        <v>0</v>
      </c>
      <c r="CD140" s="704" t="n">
        <v>0</v>
      </c>
      <c r="CE140" s="704" t="n">
        <v>0</v>
      </c>
      <c r="CF140" s="704" t="n">
        <v>0</v>
      </c>
      <c r="CG140" s="704" t="n">
        <v>0</v>
      </c>
      <c r="CH140" s="704" t="n">
        <v>0</v>
      </c>
      <c r="CI140" s="704" t="n">
        <v>0</v>
      </c>
      <c r="CJ140" s="704" t="n">
        <v>0</v>
      </c>
      <c r="CK140" s="704" t="n">
        <v>0</v>
      </c>
      <c r="CL140" s="704" t="n">
        <v>0</v>
      </c>
      <c r="CM140" s="704" t="n">
        <v>0</v>
      </c>
      <c r="CN140" s="704" t="n">
        <v>0</v>
      </c>
      <c r="CO140" s="704" t="n">
        <v>0</v>
      </c>
      <c r="CP140" s="704" t="n">
        <v>0</v>
      </c>
      <c r="CQ140" s="704" t="n">
        <v>0</v>
      </c>
      <c r="CR140" s="704" t="n">
        <v>0</v>
      </c>
      <c r="CS140" s="704" t="n">
        <v>0</v>
      </c>
      <c r="CT140" s="704" t="n">
        <v>0</v>
      </c>
      <c r="CU140" s="704" t="n">
        <v>0</v>
      </c>
      <c r="CV140" s="704" t="n">
        <v>0</v>
      </c>
      <c r="CW140" s="704" t="n">
        <v>0</v>
      </c>
      <c r="CX140" s="704" t="n">
        <v>0</v>
      </c>
      <c r="CY140" s="704" t="n">
        <v>0</v>
      </c>
      <c r="CZ140" s="704" t="n">
        <v>0</v>
      </c>
      <c r="DA140" s="704" t="n">
        <v>0</v>
      </c>
      <c r="DB140" s="704" t="n">
        <v>0</v>
      </c>
      <c r="DC140" s="704" t="n">
        <v>0</v>
      </c>
      <c r="DD140" s="704" t="n">
        <v>0</v>
      </c>
      <c r="DE140" s="704" t="n">
        <v>0</v>
      </c>
      <c r="DF140" s="704" t="n">
        <v>0</v>
      </c>
      <c r="DG140" s="704" t="n">
        <v>0</v>
      </c>
      <c r="DH140" s="704" t="n">
        <v>0</v>
      </c>
      <c r="DI140" s="704" t="n">
        <v>0</v>
      </c>
      <c r="DJ140" s="704" t="n">
        <v>0</v>
      </c>
      <c r="DK140" s="704" t="n">
        <v>0</v>
      </c>
      <c r="DL140" s="704" t="n">
        <v>0</v>
      </c>
      <c r="DM140" s="704" t="n">
        <v>0</v>
      </c>
    </row>
    <row r="141" ht="13.5" customHeight="1" s="355">
      <c r="B141" s="703" t="inlineStr">
        <is>
          <t>Req to Pay</t>
        </is>
      </c>
      <c r="D141" s="704" t="n">
        <v>0</v>
      </c>
      <c r="E141" s="704" t="n">
        <v>0</v>
      </c>
      <c r="F141" s="704" t="n">
        <v>0</v>
      </c>
      <c r="G141" s="704" t="n">
        <v>0</v>
      </c>
      <c r="H141" s="704" t="n">
        <v>0</v>
      </c>
      <c r="I141" s="704" t="n">
        <v>0</v>
      </c>
      <c r="J141" s="704" t="n">
        <v>0</v>
      </c>
      <c r="K141" s="704" t="n">
        <v>0</v>
      </c>
      <c r="L141" s="704" t="n">
        <v>0</v>
      </c>
      <c r="M141" s="704" t="n">
        <v>0</v>
      </c>
      <c r="N141" s="704" t="n">
        <v>0</v>
      </c>
      <c r="O141" s="704" t="n">
        <v>0</v>
      </c>
      <c r="P141" s="704" t="n">
        <v>0</v>
      </c>
      <c r="Q141" s="704" t="n">
        <v>0</v>
      </c>
      <c r="R141" s="704" t="n">
        <v>0</v>
      </c>
      <c r="S141" s="704" t="n">
        <v>0</v>
      </c>
      <c r="T141" s="704" t="n">
        <v>0</v>
      </c>
      <c r="U141" s="704" t="n">
        <v>0</v>
      </c>
      <c r="V141" s="704" t="n">
        <v>0</v>
      </c>
      <c r="W141" s="704" t="n">
        <v>0</v>
      </c>
      <c r="X141" s="704" t="n">
        <v>0</v>
      </c>
      <c r="Y141" s="704" t="n">
        <v>0</v>
      </c>
      <c r="Z141" s="704" t="n">
        <v>0</v>
      </c>
      <c r="AA141" s="704" t="n">
        <v>0</v>
      </c>
      <c r="AB141" s="704" t="n">
        <v>0</v>
      </c>
      <c r="AC141" s="704" t="n">
        <v>0</v>
      </c>
      <c r="AD141" s="704" t="n">
        <v>0</v>
      </c>
      <c r="AE141" s="704" t="n">
        <v>0</v>
      </c>
      <c r="AF141" s="704" t="n">
        <v>0</v>
      </c>
      <c r="AG141" s="704" t="n">
        <v>0</v>
      </c>
      <c r="AH141" s="704" t="n">
        <v>0</v>
      </c>
      <c r="AI141" s="704" t="n">
        <v>0</v>
      </c>
      <c r="AJ141" s="704" t="n">
        <v>0</v>
      </c>
      <c r="AK141" s="704" t="n">
        <v>0</v>
      </c>
      <c r="AL141" s="704" t="n">
        <v>0</v>
      </c>
      <c r="AM141" s="704" t="n">
        <v>0</v>
      </c>
      <c r="AN141" s="704" t="n">
        <v>0</v>
      </c>
      <c r="AO141" s="704" t="n">
        <v>0</v>
      </c>
      <c r="AP141" s="704" t="n">
        <v>0</v>
      </c>
      <c r="AQ141" s="704" t="n">
        <v>0</v>
      </c>
      <c r="AR141" s="704" t="n">
        <v>0</v>
      </c>
      <c r="AS141" s="704" t="n">
        <v>0</v>
      </c>
      <c r="AT141" s="704" t="n">
        <v>0</v>
      </c>
      <c r="AU141" s="704" t="n">
        <v>0</v>
      </c>
      <c r="AV141" s="704" t="n">
        <v>0</v>
      </c>
      <c r="AW141" s="704" t="n">
        <v>0</v>
      </c>
      <c r="AX141" s="704" t="n">
        <v>0</v>
      </c>
      <c r="AY141" s="704" t="n">
        <v>0</v>
      </c>
      <c r="AZ141" s="704" t="n">
        <v>0</v>
      </c>
      <c r="BA141" s="704" t="n">
        <v>0</v>
      </c>
      <c r="BB141" s="704" t="n">
        <v>0</v>
      </c>
      <c r="BC141" s="704" t="n">
        <v>0</v>
      </c>
      <c r="BD141" s="704" t="n">
        <v>0</v>
      </c>
      <c r="BE141" s="704" t="n">
        <v>0</v>
      </c>
      <c r="BF141" s="704" t="n">
        <v>0</v>
      </c>
      <c r="BG141" s="704" t="n">
        <v>0</v>
      </c>
      <c r="BH141" s="704" t="n">
        <v>0</v>
      </c>
      <c r="BI141" s="704" t="n">
        <v>0</v>
      </c>
      <c r="BJ141" s="704" t="n">
        <v>0</v>
      </c>
      <c r="BK141" s="704" t="n">
        <v>0</v>
      </c>
      <c r="BL141" s="704" t="n">
        <v>0</v>
      </c>
      <c r="BM141" s="704" t="n">
        <v>0</v>
      </c>
      <c r="BN141" s="704" t="n">
        <v>0</v>
      </c>
      <c r="BO141" s="704" t="n">
        <v>0</v>
      </c>
      <c r="BP141" s="704" t="n">
        <v>0</v>
      </c>
      <c r="BQ141" s="704" t="n">
        <v>0</v>
      </c>
      <c r="BR141" s="704" t="n">
        <v>0</v>
      </c>
      <c r="BS141" s="704" t="n">
        <v>0</v>
      </c>
      <c r="BT141" s="704" t="n">
        <v>0</v>
      </c>
      <c r="BU141" s="704" t="n">
        <v>0</v>
      </c>
      <c r="BV141" s="704" t="n">
        <v>0</v>
      </c>
      <c r="BW141" s="704" t="n">
        <v>0</v>
      </c>
      <c r="BX141" s="704" t="n">
        <v>0</v>
      </c>
      <c r="BY141" s="704" t="n">
        <v>0</v>
      </c>
      <c r="BZ141" s="704" t="n">
        <v>0</v>
      </c>
      <c r="CA141" s="704" t="n">
        <v>0</v>
      </c>
      <c r="CB141" s="704" t="n">
        <v>0</v>
      </c>
      <c r="CC141" s="704" t="n">
        <v>0</v>
      </c>
      <c r="CD141" s="704" t="n">
        <v>0</v>
      </c>
      <c r="CE141" s="704" t="n">
        <v>0</v>
      </c>
      <c r="CF141" s="704" t="n">
        <v>0</v>
      </c>
      <c r="CG141" s="704" t="n">
        <v>0</v>
      </c>
      <c r="CH141" s="704" t="n">
        <v>0</v>
      </c>
      <c r="CI141" s="704" t="n">
        <v>0</v>
      </c>
      <c r="CJ141" s="704" t="n">
        <v>0</v>
      </c>
      <c r="CK141" s="704" t="n">
        <v>0</v>
      </c>
      <c r="CL141" s="704" t="n">
        <v>0</v>
      </c>
      <c r="CM141" s="704" t="n">
        <v>0</v>
      </c>
      <c r="CN141" s="704" t="n">
        <v>0</v>
      </c>
      <c r="CO141" s="704" t="n">
        <v>0</v>
      </c>
      <c r="CP141" s="704" t="n">
        <v>0</v>
      </c>
      <c r="CQ141" s="704" t="n">
        <v>0</v>
      </c>
      <c r="CR141" s="704" t="n">
        <v>0</v>
      </c>
      <c r="CS141" s="704" t="n">
        <v>0</v>
      </c>
      <c r="CT141" s="704" t="n">
        <v>0</v>
      </c>
      <c r="CU141" s="704" t="n">
        <v>0</v>
      </c>
      <c r="CV141" s="704" t="n">
        <v>0</v>
      </c>
      <c r="CW141" s="704" t="n">
        <v>0</v>
      </c>
      <c r="CX141" s="704" t="n">
        <v>0</v>
      </c>
      <c r="CY141" s="704" t="n">
        <v>0</v>
      </c>
      <c r="CZ141" s="704" t="n">
        <v>0</v>
      </c>
      <c r="DA141" s="704" t="n">
        <v>0</v>
      </c>
      <c r="DB141" s="704" t="n">
        <v>0</v>
      </c>
      <c r="DC141" s="704" t="n">
        <v>0</v>
      </c>
      <c r="DD141" s="704" t="n">
        <v>0</v>
      </c>
      <c r="DE141" s="704" t="n">
        <v>0</v>
      </c>
      <c r="DF141" s="704" t="n">
        <v>0</v>
      </c>
      <c r="DG141" s="704" t="n">
        <v>0</v>
      </c>
      <c r="DH141" s="704" t="n">
        <v>0</v>
      </c>
      <c r="DI141" s="704" t="n">
        <v>0</v>
      </c>
      <c r="DJ141" s="704" t="n">
        <v>0</v>
      </c>
      <c r="DK141" s="704" t="n">
        <v>0</v>
      </c>
      <c r="DL141" s="704" t="n">
        <v>0</v>
      </c>
      <c r="DM141" s="704" t="n">
        <v>0</v>
      </c>
    </row>
    <row r="142" ht="13.5" customHeight="1" s="355">
      <c r="B142" s="703" t="inlineStr">
        <is>
          <t>Team Leader</t>
        </is>
      </c>
      <c r="D142" s="704" t="n">
        <v>0</v>
      </c>
      <c r="E142" s="704" t="n">
        <v>0</v>
      </c>
      <c r="F142" s="704" t="n">
        <v>0</v>
      </c>
      <c r="G142" s="704" t="n">
        <v>0</v>
      </c>
      <c r="H142" s="704" t="n">
        <v>0</v>
      </c>
      <c r="I142" s="704" t="n">
        <v>0</v>
      </c>
      <c r="J142" s="704" t="n">
        <v>0</v>
      </c>
      <c r="K142" s="704" t="n">
        <v>0</v>
      </c>
      <c r="L142" s="704" t="n">
        <v>0</v>
      </c>
      <c r="M142" s="704" t="n">
        <v>0</v>
      </c>
      <c r="N142" s="704" t="n">
        <v>0</v>
      </c>
      <c r="O142" s="704" t="n">
        <v>0</v>
      </c>
      <c r="P142" s="704" t="n">
        <v>0</v>
      </c>
      <c r="Q142" s="704" t="n">
        <v>0</v>
      </c>
      <c r="R142" s="704" t="n">
        <v>0</v>
      </c>
      <c r="S142" s="704" t="n">
        <v>0</v>
      </c>
      <c r="T142" s="704" t="n">
        <v>0</v>
      </c>
      <c r="U142" s="704" t="n">
        <v>0</v>
      </c>
      <c r="V142" s="704" t="n">
        <v>0</v>
      </c>
      <c r="W142" s="704" t="n">
        <v>0</v>
      </c>
      <c r="X142" s="704" t="n">
        <v>0</v>
      </c>
      <c r="Y142" s="704" t="n">
        <v>0</v>
      </c>
      <c r="Z142" s="704" t="n">
        <v>0</v>
      </c>
      <c r="AA142" s="704" t="n">
        <v>0</v>
      </c>
      <c r="AB142" s="704" t="n">
        <v>0</v>
      </c>
      <c r="AC142" s="704" t="n">
        <v>0</v>
      </c>
      <c r="AD142" s="704" t="n">
        <v>0</v>
      </c>
      <c r="AE142" s="704" t="n">
        <v>0</v>
      </c>
      <c r="AF142" s="704" t="n">
        <v>0</v>
      </c>
      <c r="AG142" s="704" t="n">
        <v>0</v>
      </c>
      <c r="AH142" s="704" t="n">
        <v>0</v>
      </c>
      <c r="AI142" s="704" t="n">
        <v>0</v>
      </c>
      <c r="AJ142" s="704" t="n">
        <v>0</v>
      </c>
      <c r="AK142" s="704" t="n">
        <v>0</v>
      </c>
      <c r="AL142" s="704" t="n">
        <v>0</v>
      </c>
      <c r="AM142" s="704" t="n">
        <v>0</v>
      </c>
      <c r="AN142" s="704" t="n">
        <v>0</v>
      </c>
      <c r="AO142" s="704" t="n">
        <v>0</v>
      </c>
      <c r="AP142" s="704" t="n">
        <v>0</v>
      </c>
      <c r="AQ142" s="704" t="n">
        <v>0</v>
      </c>
      <c r="AR142" s="704" t="n">
        <v>0</v>
      </c>
      <c r="AS142" s="704" t="n">
        <v>0</v>
      </c>
      <c r="AT142" s="704" t="n">
        <v>0</v>
      </c>
      <c r="AU142" s="704" t="n">
        <v>0</v>
      </c>
      <c r="AV142" s="704" t="n">
        <v>0</v>
      </c>
      <c r="AW142" s="704" t="n">
        <v>0</v>
      </c>
      <c r="AX142" s="704" t="n">
        <v>0</v>
      </c>
      <c r="AY142" s="704" t="n">
        <v>0</v>
      </c>
      <c r="AZ142" s="704" t="n">
        <v>0</v>
      </c>
      <c r="BA142" s="704" t="n">
        <v>0</v>
      </c>
      <c r="BB142" s="704" t="n">
        <v>0</v>
      </c>
      <c r="BC142" s="704" t="n">
        <v>0</v>
      </c>
      <c r="BD142" s="704" t="n">
        <v>0</v>
      </c>
      <c r="BE142" s="704" t="n">
        <v>0</v>
      </c>
      <c r="BF142" s="704" t="n">
        <v>0</v>
      </c>
      <c r="BG142" s="704" t="n">
        <v>0</v>
      </c>
      <c r="BH142" s="704" t="n">
        <v>0</v>
      </c>
      <c r="BI142" s="704" t="n">
        <v>0</v>
      </c>
      <c r="BJ142" s="704" t="n">
        <v>0</v>
      </c>
      <c r="BK142" s="704" t="n">
        <v>0</v>
      </c>
      <c r="BL142" s="704" t="n">
        <v>0</v>
      </c>
      <c r="BM142" s="704" t="n">
        <v>0</v>
      </c>
      <c r="BN142" s="704" t="n">
        <v>0</v>
      </c>
      <c r="BO142" s="704" t="n">
        <v>0</v>
      </c>
      <c r="BP142" s="704" t="n">
        <v>0</v>
      </c>
      <c r="BQ142" s="704" t="n">
        <v>0</v>
      </c>
      <c r="BR142" s="704" t="n">
        <v>0</v>
      </c>
      <c r="BS142" s="704" t="n">
        <v>0</v>
      </c>
      <c r="BT142" s="704" t="n">
        <v>0</v>
      </c>
      <c r="BU142" s="704" t="n">
        <v>0</v>
      </c>
      <c r="BV142" s="704" t="n">
        <v>0</v>
      </c>
      <c r="BW142" s="704" t="n">
        <v>0</v>
      </c>
      <c r="BX142" s="704" t="n">
        <v>0</v>
      </c>
      <c r="BY142" s="704" t="n">
        <v>0</v>
      </c>
      <c r="BZ142" s="704" t="n">
        <v>0</v>
      </c>
      <c r="CA142" s="704" t="n">
        <v>0</v>
      </c>
      <c r="CB142" s="704" t="n">
        <v>0</v>
      </c>
      <c r="CC142" s="704" t="n">
        <v>0</v>
      </c>
      <c r="CD142" s="704" t="n">
        <v>0</v>
      </c>
      <c r="CE142" s="704" t="n">
        <v>0</v>
      </c>
      <c r="CF142" s="704" t="n">
        <v>0</v>
      </c>
      <c r="CG142" s="704" t="n">
        <v>0</v>
      </c>
      <c r="CH142" s="704" t="n">
        <v>0</v>
      </c>
      <c r="CI142" s="704" t="n">
        <v>0</v>
      </c>
      <c r="CJ142" s="704" t="n">
        <v>0</v>
      </c>
      <c r="CK142" s="704" t="n">
        <v>0</v>
      </c>
      <c r="CL142" s="704" t="n">
        <v>0</v>
      </c>
      <c r="CM142" s="704" t="n">
        <v>0</v>
      </c>
      <c r="CN142" s="704" t="n">
        <v>0</v>
      </c>
      <c r="CO142" s="704" t="n">
        <v>0</v>
      </c>
      <c r="CP142" s="704" t="n">
        <v>0</v>
      </c>
      <c r="CQ142" s="704" t="n">
        <v>0</v>
      </c>
      <c r="CR142" s="704" t="n">
        <v>0</v>
      </c>
      <c r="CS142" s="704" t="n">
        <v>0</v>
      </c>
      <c r="CT142" s="704" t="n">
        <v>0</v>
      </c>
      <c r="CU142" s="704" t="n">
        <v>0</v>
      </c>
      <c r="CV142" s="704" t="n">
        <v>0</v>
      </c>
      <c r="CW142" s="704" t="n">
        <v>0</v>
      </c>
      <c r="CX142" s="704" t="n">
        <v>0</v>
      </c>
      <c r="CY142" s="704" t="n">
        <v>0</v>
      </c>
      <c r="CZ142" s="704" t="n">
        <v>0</v>
      </c>
      <c r="DA142" s="704" t="n">
        <v>0</v>
      </c>
      <c r="DB142" s="704" t="n">
        <v>0</v>
      </c>
      <c r="DC142" s="704" t="n">
        <v>0</v>
      </c>
      <c r="DD142" s="704" t="n">
        <v>0</v>
      </c>
      <c r="DE142" s="704" t="n">
        <v>0</v>
      </c>
      <c r="DF142" s="704" t="n">
        <v>0</v>
      </c>
      <c r="DG142" s="704" t="n">
        <v>0</v>
      </c>
      <c r="DH142" s="704" t="n">
        <v>0</v>
      </c>
      <c r="DI142" s="704" t="n">
        <v>0</v>
      </c>
      <c r="DJ142" s="704" t="n">
        <v>0</v>
      </c>
      <c r="DK142" s="704" t="n">
        <v>0</v>
      </c>
      <c r="DL142" s="704" t="n">
        <v>0</v>
      </c>
      <c r="DM142" s="704" t="n">
        <v>0</v>
      </c>
    </row>
    <row r="143" ht="13.5" customHeight="1" s="355">
      <c r="B143" s="703" t="inlineStr">
        <is>
          <t>SLA Metric Reporting</t>
        </is>
      </c>
      <c r="D143" s="704" t="n">
        <v>0</v>
      </c>
      <c r="E143" s="704" t="n">
        <v>0</v>
      </c>
      <c r="F143" s="704" t="n">
        <v>0</v>
      </c>
      <c r="G143" s="704" t="n">
        <v>0</v>
      </c>
      <c r="H143" s="704" t="n">
        <v>0</v>
      </c>
      <c r="I143" s="704" t="n">
        <v>0</v>
      </c>
      <c r="J143" s="704" t="n">
        <v>0</v>
      </c>
      <c r="K143" s="704" t="n">
        <v>0</v>
      </c>
      <c r="L143" s="704" t="n">
        <v>0</v>
      </c>
      <c r="M143" s="704" t="n">
        <v>0</v>
      </c>
      <c r="N143" s="704" t="n">
        <v>0</v>
      </c>
      <c r="O143" s="704" t="n">
        <v>0</v>
      </c>
      <c r="P143" s="704" t="n">
        <v>0</v>
      </c>
      <c r="Q143" s="704" t="n">
        <v>0</v>
      </c>
      <c r="R143" s="704" t="n">
        <v>0</v>
      </c>
      <c r="S143" s="704" t="n">
        <v>0</v>
      </c>
      <c r="T143" s="704" t="n">
        <v>0</v>
      </c>
      <c r="U143" s="704" t="n">
        <v>0</v>
      </c>
      <c r="V143" s="704" t="n">
        <v>0</v>
      </c>
      <c r="W143" s="704" t="n">
        <v>0</v>
      </c>
      <c r="X143" s="704" t="n">
        <v>0</v>
      </c>
      <c r="Y143" s="704" t="n">
        <v>0</v>
      </c>
      <c r="Z143" s="704" t="n">
        <v>0</v>
      </c>
      <c r="AA143" s="704" t="n">
        <v>0</v>
      </c>
      <c r="AB143" s="704" t="n">
        <v>0</v>
      </c>
      <c r="AC143" s="704" t="n">
        <v>0</v>
      </c>
      <c r="AD143" s="704" t="n">
        <v>0</v>
      </c>
      <c r="AE143" s="704" t="n">
        <v>0</v>
      </c>
      <c r="AF143" s="704" t="n">
        <v>0</v>
      </c>
      <c r="AG143" s="704" t="n">
        <v>0</v>
      </c>
      <c r="AH143" s="704" t="n">
        <v>0</v>
      </c>
      <c r="AI143" s="704" t="n">
        <v>0</v>
      </c>
      <c r="AJ143" s="704" t="n">
        <v>0</v>
      </c>
      <c r="AK143" s="704" t="n">
        <v>0</v>
      </c>
      <c r="AL143" s="704" t="n">
        <v>0</v>
      </c>
      <c r="AM143" s="704" t="n">
        <v>0</v>
      </c>
      <c r="AN143" s="704" t="n">
        <v>0</v>
      </c>
      <c r="AO143" s="704" t="n">
        <v>0</v>
      </c>
      <c r="AP143" s="704" t="n">
        <v>0</v>
      </c>
      <c r="AQ143" s="704" t="n">
        <v>0</v>
      </c>
      <c r="AR143" s="704" t="n">
        <v>0</v>
      </c>
      <c r="AS143" s="704" t="n">
        <v>0</v>
      </c>
      <c r="AT143" s="704" t="n">
        <v>0</v>
      </c>
      <c r="AU143" s="704" t="n">
        <v>0</v>
      </c>
      <c r="AV143" s="704" t="n">
        <v>0</v>
      </c>
      <c r="AW143" s="704" t="n">
        <v>0</v>
      </c>
      <c r="AX143" s="704" t="n">
        <v>0</v>
      </c>
      <c r="AY143" s="704" t="n">
        <v>0</v>
      </c>
      <c r="AZ143" s="704" t="n">
        <v>0</v>
      </c>
      <c r="BA143" s="704" t="n">
        <v>0</v>
      </c>
      <c r="BB143" s="704" t="n">
        <v>0</v>
      </c>
      <c r="BC143" s="704" t="n">
        <v>0</v>
      </c>
      <c r="BD143" s="704" t="n">
        <v>0</v>
      </c>
      <c r="BE143" s="704" t="n">
        <v>0</v>
      </c>
      <c r="BF143" s="704" t="n">
        <v>0</v>
      </c>
      <c r="BG143" s="704" t="n">
        <v>0</v>
      </c>
      <c r="BH143" s="704" t="n">
        <v>0</v>
      </c>
      <c r="BI143" s="704" t="n">
        <v>0</v>
      </c>
      <c r="BJ143" s="704" t="n">
        <v>0</v>
      </c>
      <c r="BK143" s="704" t="n">
        <v>0</v>
      </c>
      <c r="BL143" s="704" t="n">
        <v>0</v>
      </c>
      <c r="BM143" s="704" t="n">
        <v>0</v>
      </c>
      <c r="BN143" s="704" t="n">
        <v>0</v>
      </c>
      <c r="BO143" s="704" t="n">
        <v>0</v>
      </c>
      <c r="BP143" s="704" t="n">
        <v>0</v>
      </c>
      <c r="BQ143" s="704" t="n">
        <v>0</v>
      </c>
      <c r="BR143" s="704" t="n">
        <v>0</v>
      </c>
      <c r="BS143" s="704" t="n">
        <v>0</v>
      </c>
      <c r="BT143" s="704" t="n">
        <v>0</v>
      </c>
      <c r="BU143" s="704" t="n">
        <v>0</v>
      </c>
      <c r="BV143" s="704" t="n">
        <v>0</v>
      </c>
      <c r="BW143" s="704" t="n">
        <v>0</v>
      </c>
      <c r="BX143" s="704" t="n">
        <v>0</v>
      </c>
      <c r="BY143" s="704" t="n">
        <v>0</v>
      </c>
      <c r="BZ143" s="704" t="n">
        <v>0</v>
      </c>
      <c r="CA143" s="704" t="n">
        <v>0</v>
      </c>
      <c r="CB143" s="704" t="n">
        <v>0</v>
      </c>
      <c r="CC143" s="704" t="n">
        <v>0</v>
      </c>
      <c r="CD143" s="704" t="n">
        <v>0</v>
      </c>
      <c r="CE143" s="704" t="n">
        <v>0</v>
      </c>
      <c r="CF143" s="704" t="n">
        <v>0</v>
      </c>
      <c r="CG143" s="704" t="n">
        <v>0</v>
      </c>
      <c r="CH143" s="704" t="n">
        <v>0</v>
      </c>
      <c r="CI143" s="704" t="n">
        <v>0</v>
      </c>
      <c r="CJ143" s="704" t="n">
        <v>0</v>
      </c>
      <c r="CK143" s="704" t="n">
        <v>0</v>
      </c>
      <c r="CL143" s="704" t="n">
        <v>0</v>
      </c>
      <c r="CM143" s="704" t="n">
        <v>0</v>
      </c>
      <c r="CN143" s="704" t="n">
        <v>0</v>
      </c>
      <c r="CO143" s="704" t="n">
        <v>0</v>
      </c>
      <c r="CP143" s="704" t="n">
        <v>0</v>
      </c>
      <c r="CQ143" s="704" t="n">
        <v>0</v>
      </c>
      <c r="CR143" s="704" t="n">
        <v>0</v>
      </c>
      <c r="CS143" s="704" t="n">
        <v>0</v>
      </c>
      <c r="CT143" s="704" t="n">
        <v>0</v>
      </c>
      <c r="CU143" s="704" t="n">
        <v>0</v>
      </c>
      <c r="CV143" s="704" t="n">
        <v>0</v>
      </c>
      <c r="CW143" s="704" t="n">
        <v>0</v>
      </c>
      <c r="CX143" s="704" t="n">
        <v>0</v>
      </c>
      <c r="CY143" s="704" t="n">
        <v>0</v>
      </c>
      <c r="CZ143" s="704" t="n">
        <v>0</v>
      </c>
      <c r="DA143" s="704" t="n">
        <v>0</v>
      </c>
      <c r="DB143" s="704" t="n">
        <v>0</v>
      </c>
      <c r="DC143" s="704" t="n">
        <v>0</v>
      </c>
      <c r="DD143" s="704" t="n">
        <v>0</v>
      </c>
      <c r="DE143" s="704" t="n">
        <v>0</v>
      </c>
      <c r="DF143" s="704" t="n">
        <v>0</v>
      </c>
      <c r="DG143" s="704" t="n">
        <v>0</v>
      </c>
      <c r="DH143" s="704" t="n">
        <v>0</v>
      </c>
      <c r="DI143" s="704" t="n">
        <v>0</v>
      </c>
      <c r="DJ143" s="704" t="n">
        <v>0</v>
      </c>
      <c r="DK143" s="704" t="n">
        <v>0</v>
      </c>
      <c r="DL143" s="704" t="n">
        <v>0</v>
      </c>
      <c r="DM143" s="704" t="n">
        <v>0</v>
      </c>
    </row>
    <row r="144" ht="13.5" customHeight="1" s="355">
      <c r="B144" s="705" t="inlineStr">
        <is>
          <t>Grand Total</t>
        </is>
      </c>
      <c r="C144" s="706" t="n"/>
      <c r="D144" s="707" t="n">
        <v>0</v>
      </c>
      <c r="E144" s="707" t="n">
        <v>0</v>
      </c>
      <c r="F144" s="707" t="n">
        <v>0</v>
      </c>
      <c r="G144" s="707" t="n">
        <v>0</v>
      </c>
      <c r="H144" s="707" t="n">
        <v>0</v>
      </c>
      <c r="I144" s="707" t="n">
        <v>0</v>
      </c>
      <c r="J144" s="707" t="n">
        <v>0</v>
      </c>
      <c r="K144" s="707" t="n">
        <v>0</v>
      </c>
      <c r="L144" s="707" t="n">
        <v>0</v>
      </c>
      <c r="M144" s="707" t="n">
        <v>0</v>
      </c>
      <c r="N144" s="707" t="n">
        <v>0</v>
      </c>
      <c r="O144" s="707" t="n">
        <v>0</v>
      </c>
      <c r="P144" s="707" t="n">
        <v>0</v>
      </c>
      <c r="Q144" s="707" t="n">
        <v>0</v>
      </c>
      <c r="R144" s="707" t="n">
        <v>0</v>
      </c>
      <c r="S144" s="707" t="n">
        <v>0</v>
      </c>
      <c r="T144" s="707" t="n">
        <v>0</v>
      </c>
      <c r="U144" s="707" t="n">
        <v>0</v>
      </c>
      <c r="V144" s="707" t="n">
        <v>0</v>
      </c>
      <c r="W144" s="707" t="n">
        <v>0</v>
      </c>
      <c r="X144" s="707" t="n">
        <v>0</v>
      </c>
      <c r="Y144" s="707" t="n">
        <v>0</v>
      </c>
      <c r="Z144" s="707" t="n">
        <v>0</v>
      </c>
      <c r="AA144" s="707" t="n">
        <v>0</v>
      </c>
      <c r="AB144" s="707" t="n">
        <v>0</v>
      </c>
      <c r="AC144" s="707" t="n">
        <v>0</v>
      </c>
      <c r="AD144" s="707" t="n">
        <v>0</v>
      </c>
      <c r="AE144" s="707" t="n">
        <v>0</v>
      </c>
      <c r="AF144" s="707" t="n">
        <v>0</v>
      </c>
      <c r="AG144" s="707" t="n">
        <v>0</v>
      </c>
      <c r="AH144" s="707" t="n">
        <v>0</v>
      </c>
      <c r="AI144" s="707" t="n">
        <v>0</v>
      </c>
      <c r="AJ144" s="707" t="n">
        <v>0</v>
      </c>
      <c r="AK144" s="707" t="n">
        <v>0</v>
      </c>
      <c r="AL144" s="707" t="n">
        <v>0</v>
      </c>
      <c r="AM144" s="707" t="n">
        <v>0</v>
      </c>
      <c r="AN144" s="707" t="n">
        <v>0</v>
      </c>
      <c r="AO144" s="707" t="n">
        <v>0</v>
      </c>
      <c r="AP144" s="707" t="n">
        <v>0</v>
      </c>
      <c r="AQ144" s="707" t="n">
        <v>0</v>
      </c>
      <c r="AR144" s="707" t="n">
        <v>0</v>
      </c>
      <c r="AS144" s="707" t="n">
        <v>0</v>
      </c>
      <c r="AT144" s="707" t="n">
        <v>0</v>
      </c>
      <c r="AU144" s="707" t="n">
        <v>0</v>
      </c>
      <c r="AV144" s="707" t="n">
        <v>0</v>
      </c>
      <c r="AW144" s="707" t="n">
        <v>0</v>
      </c>
      <c r="AX144" s="707" t="n">
        <v>0</v>
      </c>
      <c r="AY144" s="707" t="n">
        <v>0</v>
      </c>
      <c r="AZ144" s="707" t="n">
        <v>0</v>
      </c>
      <c r="BA144" s="707" t="n">
        <v>0</v>
      </c>
      <c r="BB144" s="707" t="n">
        <v>0</v>
      </c>
      <c r="BC144" s="707" t="n">
        <v>0</v>
      </c>
      <c r="BD144" s="707" t="n">
        <v>0</v>
      </c>
      <c r="BE144" s="707" t="n">
        <v>0</v>
      </c>
      <c r="BF144" s="707" t="n">
        <v>0</v>
      </c>
      <c r="BG144" s="707" t="n">
        <v>0</v>
      </c>
      <c r="BH144" s="707" t="n">
        <v>0</v>
      </c>
      <c r="BI144" s="707" t="n">
        <v>0</v>
      </c>
      <c r="BJ144" s="707" t="n">
        <v>0</v>
      </c>
      <c r="BK144" s="707" t="n">
        <v>0</v>
      </c>
      <c r="BL144" s="707" t="n">
        <v>0</v>
      </c>
      <c r="BM144" s="707" t="n">
        <v>0</v>
      </c>
      <c r="BN144" s="707" t="n">
        <v>0</v>
      </c>
      <c r="BO144" s="707" t="n">
        <v>0</v>
      </c>
      <c r="BP144" s="707" t="n">
        <v>0</v>
      </c>
      <c r="BQ144" s="707" t="n">
        <v>0</v>
      </c>
      <c r="BR144" s="707" t="n">
        <v>0</v>
      </c>
      <c r="BS144" s="707" t="n">
        <v>0</v>
      </c>
      <c r="BT144" s="707" t="n">
        <v>0</v>
      </c>
      <c r="BU144" s="707" t="n">
        <v>0</v>
      </c>
      <c r="BV144" s="707" t="n">
        <v>0</v>
      </c>
      <c r="BW144" s="707" t="n">
        <v>0</v>
      </c>
      <c r="BX144" s="707" t="n">
        <v>0</v>
      </c>
      <c r="BY144" s="707" t="n">
        <v>0</v>
      </c>
      <c r="BZ144" s="707" t="n">
        <v>0</v>
      </c>
      <c r="CA144" s="707" t="n">
        <v>0</v>
      </c>
      <c r="CB144" s="707" t="n">
        <v>0</v>
      </c>
      <c r="CC144" s="707" t="n">
        <v>0</v>
      </c>
      <c r="CD144" s="707" t="n">
        <v>0</v>
      </c>
      <c r="CE144" s="707" t="n">
        <v>0</v>
      </c>
      <c r="CF144" s="707" t="n">
        <v>0</v>
      </c>
      <c r="CG144" s="707" t="n">
        <v>0</v>
      </c>
      <c r="CH144" s="707" t="n">
        <v>0</v>
      </c>
      <c r="CI144" s="707" t="n">
        <v>0</v>
      </c>
      <c r="CJ144" s="707" t="n">
        <v>0</v>
      </c>
      <c r="CK144" s="707" t="n">
        <v>0</v>
      </c>
      <c r="CL144" s="707" t="n">
        <v>0</v>
      </c>
      <c r="CM144" s="707" t="n">
        <v>0</v>
      </c>
      <c r="CN144" s="707" t="n">
        <v>0</v>
      </c>
      <c r="CO144" s="707" t="n">
        <v>0</v>
      </c>
      <c r="CP144" s="707" t="n">
        <v>0</v>
      </c>
      <c r="CQ144" s="707" t="n">
        <v>0</v>
      </c>
      <c r="CR144" s="707" t="n">
        <v>0</v>
      </c>
      <c r="CS144" s="707" t="n">
        <v>0</v>
      </c>
      <c r="CT144" s="707" t="n">
        <v>0</v>
      </c>
      <c r="CU144" s="707" t="n">
        <v>0</v>
      </c>
      <c r="CV144" s="707" t="n">
        <v>0</v>
      </c>
      <c r="CW144" s="707" t="n">
        <v>0</v>
      </c>
      <c r="CX144" s="707" t="n">
        <v>0</v>
      </c>
      <c r="CY144" s="707" t="n">
        <v>0</v>
      </c>
      <c r="CZ144" s="707" t="n">
        <v>0</v>
      </c>
      <c r="DA144" s="707" t="n">
        <v>0</v>
      </c>
      <c r="DB144" s="707" t="n">
        <v>0</v>
      </c>
      <c r="DC144" s="707" t="n">
        <v>0</v>
      </c>
      <c r="DD144" s="707" t="n">
        <v>0</v>
      </c>
      <c r="DE144" s="707" t="n">
        <v>0</v>
      </c>
      <c r="DF144" s="707" t="n">
        <v>0</v>
      </c>
      <c r="DG144" s="707" t="n">
        <v>0</v>
      </c>
      <c r="DH144" s="707" t="n">
        <v>0</v>
      </c>
      <c r="DI144" s="707" t="n">
        <v>0</v>
      </c>
      <c r="DJ144" s="707" t="n">
        <v>0</v>
      </c>
      <c r="DK144" s="707" t="n">
        <v>0</v>
      </c>
      <c r="DL144" s="707" t="n">
        <v>0</v>
      </c>
      <c r="DM144" s="707" t="n">
        <v>0</v>
      </c>
    </row>
    <row r="145" ht="13.5" customHeight="1" s="355">
      <c r="A145" s="702" t="inlineStr">
        <is>
          <t>Country 14</t>
        </is>
      </c>
      <c r="B145" s="703" t="inlineStr">
        <is>
          <t>Gen Acctg</t>
        </is>
      </c>
      <c r="D145" s="704" t="n">
        <v>0</v>
      </c>
      <c r="E145" s="704" t="n">
        <v>0</v>
      </c>
      <c r="F145" s="704" t="n">
        <v>0</v>
      </c>
      <c r="G145" s="704" t="n">
        <v>0</v>
      </c>
      <c r="H145" s="704" t="n">
        <v>0</v>
      </c>
      <c r="I145" s="704" t="n">
        <v>0</v>
      </c>
      <c r="J145" s="704" t="n">
        <v>0</v>
      </c>
      <c r="K145" s="704" t="n">
        <v>0</v>
      </c>
      <c r="L145" s="704" t="n">
        <v>0</v>
      </c>
      <c r="M145" s="704" t="n">
        <v>0</v>
      </c>
      <c r="N145" s="704" t="n">
        <v>0</v>
      </c>
      <c r="O145" s="704" t="n">
        <v>0</v>
      </c>
      <c r="P145" s="704" t="n">
        <v>0</v>
      </c>
      <c r="Q145" s="704" t="n">
        <v>0</v>
      </c>
      <c r="R145" s="704" t="n">
        <v>0</v>
      </c>
      <c r="S145" s="704" t="n">
        <v>0</v>
      </c>
      <c r="T145" s="704" t="n">
        <v>0</v>
      </c>
      <c r="U145" s="704" t="n">
        <v>0</v>
      </c>
      <c r="V145" s="704" t="n">
        <v>0</v>
      </c>
      <c r="W145" s="704" t="n">
        <v>0</v>
      </c>
      <c r="X145" s="704" t="n">
        <v>0</v>
      </c>
      <c r="Y145" s="704" t="n">
        <v>0</v>
      </c>
      <c r="Z145" s="704" t="n">
        <v>0</v>
      </c>
      <c r="AA145" s="704" t="n">
        <v>0</v>
      </c>
      <c r="AB145" s="704" t="n">
        <v>0</v>
      </c>
      <c r="AC145" s="704" t="n">
        <v>0</v>
      </c>
      <c r="AD145" s="704" t="n">
        <v>0</v>
      </c>
      <c r="AE145" s="704" t="n">
        <v>0</v>
      </c>
      <c r="AF145" s="704" t="n">
        <v>0</v>
      </c>
      <c r="AG145" s="704" t="n">
        <v>0</v>
      </c>
      <c r="AH145" s="704" t="n">
        <v>0</v>
      </c>
      <c r="AI145" s="704" t="n">
        <v>0</v>
      </c>
      <c r="AJ145" s="704" t="n">
        <v>0</v>
      </c>
      <c r="AK145" s="704" t="n">
        <v>0</v>
      </c>
      <c r="AL145" s="704" t="n">
        <v>0</v>
      </c>
      <c r="AM145" s="704" t="n">
        <v>0</v>
      </c>
      <c r="AN145" s="704" t="n">
        <v>0</v>
      </c>
      <c r="AO145" s="704" t="n">
        <v>0</v>
      </c>
      <c r="AP145" s="704" t="n">
        <v>0</v>
      </c>
      <c r="AQ145" s="704" t="n">
        <v>0</v>
      </c>
      <c r="AR145" s="704" t="n">
        <v>0</v>
      </c>
      <c r="AS145" s="704" t="n">
        <v>0</v>
      </c>
      <c r="AT145" s="704" t="n">
        <v>0</v>
      </c>
      <c r="AU145" s="704" t="n">
        <v>0</v>
      </c>
      <c r="AV145" s="704" t="n">
        <v>0</v>
      </c>
      <c r="AW145" s="704" t="n">
        <v>0</v>
      </c>
      <c r="AX145" s="704" t="n">
        <v>0</v>
      </c>
      <c r="AY145" s="704" t="n">
        <v>0</v>
      </c>
      <c r="AZ145" s="704" t="n">
        <v>0</v>
      </c>
      <c r="BA145" s="704" t="n">
        <v>0</v>
      </c>
      <c r="BB145" s="704" t="n">
        <v>0</v>
      </c>
      <c r="BC145" s="704" t="n">
        <v>0</v>
      </c>
      <c r="BD145" s="704" t="n">
        <v>0</v>
      </c>
      <c r="BE145" s="704" t="n">
        <v>0</v>
      </c>
      <c r="BF145" s="704" t="n">
        <v>0</v>
      </c>
      <c r="BG145" s="704" t="n">
        <v>0</v>
      </c>
      <c r="BH145" s="704" t="n">
        <v>0</v>
      </c>
      <c r="BI145" s="704" t="n">
        <v>0</v>
      </c>
      <c r="BJ145" s="704" t="n">
        <v>0</v>
      </c>
      <c r="BK145" s="704" t="n">
        <v>0</v>
      </c>
      <c r="BL145" s="704" t="n">
        <v>0</v>
      </c>
      <c r="BM145" s="704" t="n">
        <v>0</v>
      </c>
      <c r="BN145" s="704" t="n">
        <v>0</v>
      </c>
      <c r="BO145" s="704" t="n">
        <v>0</v>
      </c>
      <c r="BP145" s="704" t="n">
        <v>0</v>
      </c>
      <c r="BQ145" s="704" t="n">
        <v>0</v>
      </c>
      <c r="BR145" s="704" t="n">
        <v>0</v>
      </c>
      <c r="BS145" s="704" t="n">
        <v>0</v>
      </c>
      <c r="BT145" s="704" t="n">
        <v>0</v>
      </c>
      <c r="BU145" s="704" t="n">
        <v>0</v>
      </c>
      <c r="BV145" s="704" t="n">
        <v>0</v>
      </c>
      <c r="BW145" s="704" t="n">
        <v>0</v>
      </c>
      <c r="BX145" s="704" t="n">
        <v>0</v>
      </c>
      <c r="BY145" s="704" t="n">
        <v>0</v>
      </c>
      <c r="BZ145" s="704" t="n">
        <v>0</v>
      </c>
      <c r="CA145" s="704" t="n">
        <v>0</v>
      </c>
      <c r="CB145" s="704" t="n">
        <v>0</v>
      </c>
      <c r="CC145" s="704" t="n">
        <v>0</v>
      </c>
      <c r="CD145" s="704" t="n">
        <v>0</v>
      </c>
      <c r="CE145" s="704" t="n">
        <v>0</v>
      </c>
      <c r="CF145" s="704" t="n">
        <v>0</v>
      </c>
      <c r="CG145" s="704" t="n">
        <v>0</v>
      </c>
      <c r="CH145" s="704" t="n">
        <v>0</v>
      </c>
      <c r="CI145" s="704" t="n">
        <v>0</v>
      </c>
      <c r="CJ145" s="704" t="n">
        <v>0</v>
      </c>
      <c r="CK145" s="704" t="n">
        <v>0</v>
      </c>
      <c r="CL145" s="704" t="n">
        <v>0</v>
      </c>
      <c r="CM145" s="704" t="n">
        <v>0</v>
      </c>
      <c r="CN145" s="704" t="n">
        <v>0</v>
      </c>
      <c r="CO145" s="704" t="n">
        <v>0</v>
      </c>
      <c r="CP145" s="704" t="n">
        <v>0</v>
      </c>
      <c r="CQ145" s="704" t="n">
        <v>0</v>
      </c>
      <c r="CR145" s="704" t="n">
        <v>0</v>
      </c>
      <c r="CS145" s="704" t="n">
        <v>0</v>
      </c>
      <c r="CT145" s="704" t="n">
        <v>0</v>
      </c>
      <c r="CU145" s="704" t="n">
        <v>0</v>
      </c>
      <c r="CV145" s="704" t="n">
        <v>0</v>
      </c>
      <c r="CW145" s="704" t="n">
        <v>0</v>
      </c>
      <c r="CX145" s="704" t="n">
        <v>0</v>
      </c>
      <c r="CY145" s="704" t="n">
        <v>0</v>
      </c>
      <c r="CZ145" s="704" t="n">
        <v>0</v>
      </c>
      <c r="DA145" s="704" t="n">
        <v>0</v>
      </c>
      <c r="DB145" s="704" t="n">
        <v>0</v>
      </c>
      <c r="DC145" s="704" t="n">
        <v>0</v>
      </c>
      <c r="DD145" s="704" t="n">
        <v>0</v>
      </c>
      <c r="DE145" s="704" t="n">
        <v>0</v>
      </c>
      <c r="DF145" s="704" t="n">
        <v>0</v>
      </c>
      <c r="DG145" s="704" t="n">
        <v>0</v>
      </c>
      <c r="DH145" s="704" t="n">
        <v>0</v>
      </c>
      <c r="DI145" s="704" t="n">
        <v>0</v>
      </c>
      <c r="DJ145" s="704" t="n">
        <v>0</v>
      </c>
      <c r="DK145" s="704" t="n">
        <v>0</v>
      </c>
      <c r="DL145" s="704" t="n">
        <v>0</v>
      </c>
      <c r="DM145" s="704" t="n">
        <v>0</v>
      </c>
    </row>
    <row r="146" ht="13.5" customHeight="1" s="355">
      <c r="B146" s="703" t="inlineStr">
        <is>
          <t>Reporting</t>
        </is>
      </c>
      <c r="D146" s="704" t="n">
        <v>0</v>
      </c>
      <c r="E146" s="704" t="n">
        <v>0</v>
      </c>
      <c r="F146" s="704" t="n">
        <v>0</v>
      </c>
      <c r="G146" s="704" t="n">
        <v>0</v>
      </c>
      <c r="H146" s="704" t="n">
        <v>0</v>
      </c>
      <c r="I146" s="704" t="n">
        <v>0</v>
      </c>
      <c r="J146" s="704" t="n">
        <v>0</v>
      </c>
      <c r="K146" s="704" t="n">
        <v>0</v>
      </c>
      <c r="L146" s="704" t="n">
        <v>0</v>
      </c>
      <c r="M146" s="704" t="n">
        <v>0</v>
      </c>
      <c r="N146" s="704" t="n">
        <v>0</v>
      </c>
      <c r="O146" s="704" t="n">
        <v>0</v>
      </c>
      <c r="P146" s="704" t="n">
        <v>0</v>
      </c>
      <c r="Q146" s="704" t="n">
        <v>0</v>
      </c>
      <c r="R146" s="704" t="n">
        <v>0</v>
      </c>
      <c r="S146" s="704" t="n">
        <v>0</v>
      </c>
      <c r="T146" s="704" t="n">
        <v>0</v>
      </c>
      <c r="U146" s="704" t="n">
        <v>0</v>
      </c>
      <c r="V146" s="704" t="n">
        <v>0</v>
      </c>
      <c r="W146" s="704" t="n">
        <v>0</v>
      </c>
      <c r="X146" s="704" t="n">
        <v>0</v>
      </c>
      <c r="Y146" s="704" t="n">
        <v>0</v>
      </c>
      <c r="Z146" s="704" t="n">
        <v>0</v>
      </c>
      <c r="AA146" s="704" t="n">
        <v>0</v>
      </c>
      <c r="AB146" s="704" t="n">
        <v>0</v>
      </c>
      <c r="AC146" s="704" t="n">
        <v>0</v>
      </c>
      <c r="AD146" s="704" t="n">
        <v>0</v>
      </c>
      <c r="AE146" s="704" t="n">
        <v>0</v>
      </c>
      <c r="AF146" s="704" t="n">
        <v>0</v>
      </c>
      <c r="AG146" s="704" t="n">
        <v>0</v>
      </c>
      <c r="AH146" s="704" t="n">
        <v>0</v>
      </c>
      <c r="AI146" s="704" t="n">
        <v>0</v>
      </c>
      <c r="AJ146" s="704" t="n">
        <v>0</v>
      </c>
      <c r="AK146" s="704" t="n">
        <v>0</v>
      </c>
      <c r="AL146" s="704" t="n">
        <v>0</v>
      </c>
      <c r="AM146" s="704" t="n">
        <v>0</v>
      </c>
      <c r="AN146" s="704" t="n">
        <v>0</v>
      </c>
      <c r="AO146" s="704" t="n">
        <v>0</v>
      </c>
      <c r="AP146" s="704" t="n">
        <v>0</v>
      </c>
      <c r="AQ146" s="704" t="n">
        <v>0</v>
      </c>
      <c r="AR146" s="704" t="n">
        <v>0</v>
      </c>
      <c r="AS146" s="704" t="n">
        <v>0</v>
      </c>
      <c r="AT146" s="704" t="n">
        <v>0</v>
      </c>
      <c r="AU146" s="704" t="n">
        <v>0</v>
      </c>
      <c r="AV146" s="704" t="n">
        <v>0</v>
      </c>
      <c r="AW146" s="704" t="n">
        <v>0</v>
      </c>
      <c r="AX146" s="704" t="n">
        <v>0</v>
      </c>
      <c r="AY146" s="704" t="n">
        <v>0</v>
      </c>
      <c r="AZ146" s="704" t="n">
        <v>0</v>
      </c>
      <c r="BA146" s="704" t="n">
        <v>0</v>
      </c>
      <c r="BB146" s="704" t="n">
        <v>0</v>
      </c>
      <c r="BC146" s="704" t="n">
        <v>0</v>
      </c>
      <c r="BD146" s="704" t="n">
        <v>0</v>
      </c>
      <c r="BE146" s="704" t="n">
        <v>0</v>
      </c>
      <c r="BF146" s="704" t="n">
        <v>0</v>
      </c>
      <c r="BG146" s="704" t="n">
        <v>0</v>
      </c>
      <c r="BH146" s="704" t="n">
        <v>0</v>
      </c>
      <c r="BI146" s="704" t="n">
        <v>0</v>
      </c>
      <c r="BJ146" s="704" t="n">
        <v>0</v>
      </c>
      <c r="BK146" s="704" t="n">
        <v>0</v>
      </c>
      <c r="BL146" s="704" t="n">
        <v>0</v>
      </c>
      <c r="BM146" s="704" t="n">
        <v>0</v>
      </c>
      <c r="BN146" s="704" t="n">
        <v>0</v>
      </c>
      <c r="BO146" s="704" t="n">
        <v>0</v>
      </c>
      <c r="BP146" s="704" t="n">
        <v>0</v>
      </c>
      <c r="BQ146" s="704" t="n">
        <v>0</v>
      </c>
      <c r="BR146" s="704" t="n">
        <v>0</v>
      </c>
      <c r="BS146" s="704" t="n">
        <v>0</v>
      </c>
      <c r="BT146" s="704" t="n">
        <v>0</v>
      </c>
      <c r="BU146" s="704" t="n">
        <v>0</v>
      </c>
      <c r="BV146" s="704" t="n">
        <v>0</v>
      </c>
      <c r="BW146" s="704" t="n">
        <v>0</v>
      </c>
      <c r="BX146" s="704" t="n">
        <v>0</v>
      </c>
      <c r="BY146" s="704" t="n">
        <v>0</v>
      </c>
      <c r="BZ146" s="704" t="n">
        <v>0</v>
      </c>
      <c r="CA146" s="704" t="n">
        <v>0</v>
      </c>
      <c r="CB146" s="704" t="n">
        <v>0</v>
      </c>
      <c r="CC146" s="704" t="n">
        <v>0</v>
      </c>
      <c r="CD146" s="704" t="n">
        <v>0</v>
      </c>
      <c r="CE146" s="704" t="n">
        <v>0</v>
      </c>
      <c r="CF146" s="704" t="n">
        <v>0</v>
      </c>
      <c r="CG146" s="704" t="n">
        <v>0</v>
      </c>
      <c r="CH146" s="704" t="n">
        <v>0</v>
      </c>
      <c r="CI146" s="704" t="n">
        <v>0</v>
      </c>
      <c r="CJ146" s="704" t="n">
        <v>0</v>
      </c>
      <c r="CK146" s="704" t="n">
        <v>0</v>
      </c>
      <c r="CL146" s="704" t="n">
        <v>0</v>
      </c>
      <c r="CM146" s="704" t="n">
        <v>0</v>
      </c>
      <c r="CN146" s="704" t="n">
        <v>0</v>
      </c>
      <c r="CO146" s="704" t="n">
        <v>0</v>
      </c>
      <c r="CP146" s="704" t="n">
        <v>0</v>
      </c>
      <c r="CQ146" s="704" t="n">
        <v>0</v>
      </c>
      <c r="CR146" s="704" t="n">
        <v>0</v>
      </c>
      <c r="CS146" s="704" t="n">
        <v>0</v>
      </c>
      <c r="CT146" s="704" t="n">
        <v>0</v>
      </c>
      <c r="CU146" s="704" t="n">
        <v>0</v>
      </c>
      <c r="CV146" s="704" t="n">
        <v>0</v>
      </c>
      <c r="CW146" s="704" t="n">
        <v>0</v>
      </c>
      <c r="CX146" s="704" t="n">
        <v>0</v>
      </c>
      <c r="CY146" s="704" t="n">
        <v>0</v>
      </c>
      <c r="CZ146" s="704" t="n">
        <v>0</v>
      </c>
      <c r="DA146" s="704" t="n">
        <v>0</v>
      </c>
      <c r="DB146" s="704" t="n">
        <v>0</v>
      </c>
      <c r="DC146" s="704" t="n">
        <v>0</v>
      </c>
      <c r="DD146" s="704" t="n">
        <v>0</v>
      </c>
      <c r="DE146" s="704" t="n">
        <v>0</v>
      </c>
      <c r="DF146" s="704" t="n">
        <v>0</v>
      </c>
      <c r="DG146" s="704" t="n">
        <v>0</v>
      </c>
      <c r="DH146" s="704" t="n">
        <v>0</v>
      </c>
      <c r="DI146" s="704" t="n">
        <v>0</v>
      </c>
      <c r="DJ146" s="704" t="n">
        <v>0</v>
      </c>
      <c r="DK146" s="704" t="n">
        <v>0</v>
      </c>
      <c r="DL146" s="704" t="n">
        <v>0</v>
      </c>
      <c r="DM146" s="704" t="n">
        <v>0</v>
      </c>
    </row>
    <row r="147" ht="13.5" customHeight="1" s="355">
      <c r="B147" s="703" t="inlineStr">
        <is>
          <t>Fixed Assets</t>
        </is>
      </c>
      <c r="D147" s="704" t="n">
        <v>0</v>
      </c>
      <c r="E147" s="704" t="n">
        <v>0</v>
      </c>
      <c r="F147" s="704" t="n">
        <v>0</v>
      </c>
      <c r="G147" s="704" t="n">
        <v>0</v>
      </c>
      <c r="H147" s="704" t="n">
        <v>0</v>
      </c>
      <c r="I147" s="704" t="n">
        <v>0</v>
      </c>
      <c r="J147" s="704" t="n">
        <v>0</v>
      </c>
      <c r="K147" s="704" t="n">
        <v>0</v>
      </c>
      <c r="L147" s="704" t="n">
        <v>0</v>
      </c>
      <c r="M147" s="704" t="n">
        <v>0</v>
      </c>
      <c r="N147" s="704" t="n">
        <v>0</v>
      </c>
      <c r="O147" s="704" t="n">
        <v>0</v>
      </c>
      <c r="P147" s="704" t="n">
        <v>0</v>
      </c>
      <c r="Q147" s="704" t="n">
        <v>0</v>
      </c>
      <c r="R147" s="704" t="n">
        <v>0</v>
      </c>
      <c r="S147" s="704" t="n">
        <v>0</v>
      </c>
      <c r="T147" s="704" t="n">
        <v>0</v>
      </c>
      <c r="U147" s="704" t="n">
        <v>0</v>
      </c>
      <c r="V147" s="704" t="n">
        <v>0</v>
      </c>
      <c r="W147" s="704" t="n">
        <v>0</v>
      </c>
      <c r="X147" s="704" t="n">
        <v>0</v>
      </c>
      <c r="Y147" s="704" t="n">
        <v>0</v>
      </c>
      <c r="Z147" s="704" t="n">
        <v>0</v>
      </c>
      <c r="AA147" s="704" t="n">
        <v>0</v>
      </c>
      <c r="AB147" s="704" t="n">
        <v>0</v>
      </c>
      <c r="AC147" s="704" t="n">
        <v>0</v>
      </c>
      <c r="AD147" s="704" t="n">
        <v>0</v>
      </c>
      <c r="AE147" s="704" t="n">
        <v>0</v>
      </c>
      <c r="AF147" s="704" t="n">
        <v>0</v>
      </c>
      <c r="AG147" s="704" t="n">
        <v>0</v>
      </c>
      <c r="AH147" s="704" t="n">
        <v>0</v>
      </c>
      <c r="AI147" s="704" t="n">
        <v>0</v>
      </c>
      <c r="AJ147" s="704" t="n">
        <v>0</v>
      </c>
      <c r="AK147" s="704" t="n">
        <v>0</v>
      </c>
      <c r="AL147" s="704" t="n">
        <v>0</v>
      </c>
      <c r="AM147" s="704" t="n">
        <v>0</v>
      </c>
      <c r="AN147" s="704" t="n">
        <v>0</v>
      </c>
      <c r="AO147" s="704" t="n">
        <v>0</v>
      </c>
      <c r="AP147" s="704" t="n">
        <v>0</v>
      </c>
      <c r="AQ147" s="704" t="n">
        <v>0</v>
      </c>
      <c r="AR147" s="704" t="n">
        <v>0</v>
      </c>
      <c r="AS147" s="704" t="n">
        <v>0</v>
      </c>
      <c r="AT147" s="704" t="n">
        <v>0</v>
      </c>
      <c r="AU147" s="704" t="n">
        <v>0</v>
      </c>
      <c r="AV147" s="704" t="n">
        <v>0</v>
      </c>
      <c r="AW147" s="704" t="n">
        <v>0</v>
      </c>
      <c r="AX147" s="704" t="n">
        <v>0</v>
      </c>
      <c r="AY147" s="704" t="n">
        <v>0</v>
      </c>
      <c r="AZ147" s="704" t="n">
        <v>0</v>
      </c>
      <c r="BA147" s="704" t="n">
        <v>0</v>
      </c>
      <c r="BB147" s="704" t="n">
        <v>0</v>
      </c>
      <c r="BC147" s="704" t="n">
        <v>0</v>
      </c>
      <c r="BD147" s="704" t="n">
        <v>0</v>
      </c>
      <c r="BE147" s="704" t="n">
        <v>0</v>
      </c>
      <c r="BF147" s="704" t="n">
        <v>0</v>
      </c>
      <c r="BG147" s="704" t="n">
        <v>0</v>
      </c>
      <c r="BH147" s="704" t="n">
        <v>0</v>
      </c>
      <c r="BI147" s="704" t="n">
        <v>0</v>
      </c>
      <c r="BJ147" s="704" t="n">
        <v>0</v>
      </c>
      <c r="BK147" s="704" t="n">
        <v>0</v>
      </c>
      <c r="BL147" s="704" t="n">
        <v>0</v>
      </c>
      <c r="BM147" s="704" t="n">
        <v>0</v>
      </c>
      <c r="BN147" s="704" t="n">
        <v>0</v>
      </c>
      <c r="BO147" s="704" t="n">
        <v>0</v>
      </c>
      <c r="BP147" s="704" t="n">
        <v>0</v>
      </c>
      <c r="BQ147" s="704" t="n">
        <v>0</v>
      </c>
      <c r="BR147" s="704" t="n">
        <v>0</v>
      </c>
      <c r="BS147" s="704" t="n">
        <v>0</v>
      </c>
      <c r="BT147" s="704" t="n">
        <v>0</v>
      </c>
      <c r="BU147" s="704" t="n">
        <v>0</v>
      </c>
      <c r="BV147" s="704" t="n">
        <v>0</v>
      </c>
      <c r="BW147" s="704" t="n">
        <v>0</v>
      </c>
      <c r="BX147" s="704" t="n">
        <v>0</v>
      </c>
      <c r="BY147" s="704" t="n">
        <v>0</v>
      </c>
      <c r="BZ147" s="704" t="n">
        <v>0</v>
      </c>
      <c r="CA147" s="704" t="n">
        <v>0</v>
      </c>
      <c r="CB147" s="704" t="n">
        <v>0</v>
      </c>
      <c r="CC147" s="704" t="n">
        <v>0</v>
      </c>
      <c r="CD147" s="704" t="n">
        <v>0</v>
      </c>
      <c r="CE147" s="704" t="n">
        <v>0</v>
      </c>
      <c r="CF147" s="704" t="n">
        <v>0</v>
      </c>
      <c r="CG147" s="704" t="n">
        <v>0</v>
      </c>
      <c r="CH147" s="704" t="n">
        <v>0</v>
      </c>
      <c r="CI147" s="704" t="n">
        <v>0</v>
      </c>
      <c r="CJ147" s="704" t="n">
        <v>0</v>
      </c>
      <c r="CK147" s="704" t="n">
        <v>0</v>
      </c>
      <c r="CL147" s="704" t="n">
        <v>0</v>
      </c>
      <c r="CM147" s="704" t="n">
        <v>0</v>
      </c>
      <c r="CN147" s="704" t="n">
        <v>0</v>
      </c>
      <c r="CO147" s="704" t="n">
        <v>0</v>
      </c>
      <c r="CP147" s="704" t="n">
        <v>0</v>
      </c>
      <c r="CQ147" s="704" t="n">
        <v>0</v>
      </c>
      <c r="CR147" s="704" t="n">
        <v>0</v>
      </c>
      <c r="CS147" s="704" t="n">
        <v>0</v>
      </c>
      <c r="CT147" s="704" t="n">
        <v>0</v>
      </c>
      <c r="CU147" s="704" t="n">
        <v>0</v>
      </c>
      <c r="CV147" s="704" t="n">
        <v>0</v>
      </c>
      <c r="CW147" s="704" t="n">
        <v>0</v>
      </c>
      <c r="CX147" s="704" t="n">
        <v>0</v>
      </c>
      <c r="CY147" s="704" t="n">
        <v>0</v>
      </c>
      <c r="CZ147" s="704" t="n">
        <v>0</v>
      </c>
      <c r="DA147" s="704" t="n">
        <v>0</v>
      </c>
      <c r="DB147" s="704" t="n">
        <v>0</v>
      </c>
      <c r="DC147" s="704" t="n">
        <v>0</v>
      </c>
      <c r="DD147" s="704" t="n">
        <v>0</v>
      </c>
      <c r="DE147" s="704" t="n">
        <v>0</v>
      </c>
      <c r="DF147" s="704" t="n">
        <v>0</v>
      </c>
      <c r="DG147" s="704" t="n">
        <v>0</v>
      </c>
      <c r="DH147" s="704" t="n">
        <v>0</v>
      </c>
      <c r="DI147" s="704" t="n">
        <v>0</v>
      </c>
      <c r="DJ147" s="704" t="n">
        <v>0</v>
      </c>
      <c r="DK147" s="704" t="n">
        <v>0</v>
      </c>
      <c r="DL147" s="704" t="n">
        <v>0</v>
      </c>
      <c r="DM147" s="704" t="n">
        <v>0</v>
      </c>
    </row>
    <row r="148" ht="13.5" customHeight="1" s="355">
      <c r="B148" s="703" t="inlineStr">
        <is>
          <t>Acct Payable</t>
        </is>
      </c>
      <c r="D148" s="704" t="n">
        <v>0</v>
      </c>
      <c r="E148" s="704" t="n">
        <v>0</v>
      </c>
      <c r="F148" s="704" t="n">
        <v>0</v>
      </c>
      <c r="G148" s="704" t="n">
        <v>0</v>
      </c>
      <c r="H148" s="704" t="n">
        <v>0</v>
      </c>
      <c r="I148" s="704" t="n">
        <v>0</v>
      </c>
      <c r="J148" s="704" t="n">
        <v>0</v>
      </c>
      <c r="K148" s="704" t="n">
        <v>0</v>
      </c>
      <c r="L148" s="704" t="n">
        <v>0</v>
      </c>
      <c r="M148" s="704" t="n">
        <v>0</v>
      </c>
      <c r="N148" s="704" t="n">
        <v>0</v>
      </c>
      <c r="O148" s="704" t="n">
        <v>0</v>
      </c>
      <c r="P148" s="704" t="n">
        <v>0</v>
      </c>
      <c r="Q148" s="704" t="n">
        <v>0</v>
      </c>
      <c r="R148" s="704" t="n">
        <v>0</v>
      </c>
      <c r="S148" s="704" t="n">
        <v>0</v>
      </c>
      <c r="T148" s="704" t="n">
        <v>0</v>
      </c>
      <c r="U148" s="704" t="n">
        <v>0</v>
      </c>
      <c r="V148" s="704" t="n">
        <v>0</v>
      </c>
      <c r="W148" s="704" t="n">
        <v>0</v>
      </c>
      <c r="X148" s="704" t="n">
        <v>0</v>
      </c>
      <c r="Y148" s="704" t="n">
        <v>0</v>
      </c>
      <c r="Z148" s="704" t="n">
        <v>0</v>
      </c>
      <c r="AA148" s="704" t="n">
        <v>0</v>
      </c>
      <c r="AB148" s="704" t="n">
        <v>0</v>
      </c>
      <c r="AC148" s="704" t="n">
        <v>0</v>
      </c>
      <c r="AD148" s="704" t="n">
        <v>0</v>
      </c>
      <c r="AE148" s="704" t="n">
        <v>0</v>
      </c>
      <c r="AF148" s="704" t="n">
        <v>0</v>
      </c>
      <c r="AG148" s="704" t="n">
        <v>0</v>
      </c>
      <c r="AH148" s="704" t="n">
        <v>0</v>
      </c>
      <c r="AI148" s="704" t="n">
        <v>0</v>
      </c>
      <c r="AJ148" s="704" t="n">
        <v>0</v>
      </c>
      <c r="AK148" s="704" t="n">
        <v>0</v>
      </c>
      <c r="AL148" s="704" t="n">
        <v>0</v>
      </c>
      <c r="AM148" s="704" t="n">
        <v>0</v>
      </c>
      <c r="AN148" s="704" t="n">
        <v>0</v>
      </c>
      <c r="AO148" s="704" t="n">
        <v>0</v>
      </c>
      <c r="AP148" s="704" t="n">
        <v>0</v>
      </c>
      <c r="AQ148" s="704" t="n">
        <v>0</v>
      </c>
      <c r="AR148" s="704" t="n">
        <v>0</v>
      </c>
      <c r="AS148" s="704" t="n">
        <v>0</v>
      </c>
      <c r="AT148" s="704" t="n">
        <v>0</v>
      </c>
      <c r="AU148" s="704" t="n">
        <v>0</v>
      </c>
      <c r="AV148" s="704" t="n">
        <v>0</v>
      </c>
      <c r="AW148" s="704" t="n">
        <v>0</v>
      </c>
      <c r="AX148" s="704" t="n">
        <v>0</v>
      </c>
      <c r="AY148" s="704" t="n">
        <v>0</v>
      </c>
      <c r="AZ148" s="704" t="n">
        <v>0</v>
      </c>
      <c r="BA148" s="704" t="n">
        <v>0</v>
      </c>
      <c r="BB148" s="704" t="n">
        <v>0</v>
      </c>
      <c r="BC148" s="704" t="n">
        <v>0</v>
      </c>
      <c r="BD148" s="704" t="n">
        <v>0</v>
      </c>
      <c r="BE148" s="704" t="n">
        <v>0</v>
      </c>
      <c r="BF148" s="704" t="n">
        <v>0</v>
      </c>
      <c r="BG148" s="704" t="n">
        <v>0</v>
      </c>
      <c r="BH148" s="704" t="n">
        <v>0</v>
      </c>
      <c r="BI148" s="704" t="n">
        <v>0</v>
      </c>
      <c r="BJ148" s="704" t="n">
        <v>0</v>
      </c>
      <c r="BK148" s="704" t="n">
        <v>0</v>
      </c>
      <c r="BL148" s="704" t="n">
        <v>0</v>
      </c>
      <c r="BM148" s="704" t="n">
        <v>0</v>
      </c>
      <c r="BN148" s="704" t="n">
        <v>0</v>
      </c>
      <c r="BO148" s="704" t="n">
        <v>0</v>
      </c>
      <c r="BP148" s="704" t="n">
        <v>0</v>
      </c>
      <c r="BQ148" s="704" t="n">
        <v>0</v>
      </c>
      <c r="BR148" s="704" t="n">
        <v>0</v>
      </c>
      <c r="BS148" s="704" t="n">
        <v>0</v>
      </c>
      <c r="BT148" s="704" t="n">
        <v>0</v>
      </c>
      <c r="BU148" s="704" t="n">
        <v>0</v>
      </c>
      <c r="BV148" s="704" t="n">
        <v>0</v>
      </c>
      <c r="BW148" s="704" t="n">
        <v>0</v>
      </c>
      <c r="BX148" s="704" t="n">
        <v>0</v>
      </c>
      <c r="BY148" s="704" t="n">
        <v>0</v>
      </c>
      <c r="BZ148" s="704" t="n">
        <v>0</v>
      </c>
      <c r="CA148" s="704" t="n">
        <v>0</v>
      </c>
      <c r="CB148" s="704" t="n">
        <v>0</v>
      </c>
      <c r="CC148" s="704" t="n">
        <v>0</v>
      </c>
      <c r="CD148" s="704" t="n">
        <v>0</v>
      </c>
      <c r="CE148" s="704" t="n">
        <v>0</v>
      </c>
      <c r="CF148" s="704" t="n">
        <v>0</v>
      </c>
      <c r="CG148" s="704" t="n">
        <v>0</v>
      </c>
      <c r="CH148" s="704" t="n">
        <v>0</v>
      </c>
      <c r="CI148" s="704" t="n">
        <v>0</v>
      </c>
      <c r="CJ148" s="704" t="n">
        <v>0</v>
      </c>
      <c r="CK148" s="704" t="n">
        <v>0</v>
      </c>
      <c r="CL148" s="704" t="n">
        <v>0</v>
      </c>
      <c r="CM148" s="704" t="n">
        <v>0</v>
      </c>
      <c r="CN148" s="704" t="n">
        <v>0</v>
      </c>
      <c r="CO148" s="704" t="n">
        <v>0</v>
      </c>
      <c r="CP148" s="704" t="n">
        <v>0</v>
      </c>
      <c r="CQ148" s="704" t="n">
        <v>0</v>
      </c>
      <c r="CR148" s="704" t="n">
        <v>0</v>
      </c>
      <c r="CS148" s="704" t="n">
        <v>0</v>
      </c>
      <c r="CT148" s="704" t="n">
        <v>0</v>
      </c>
      <c r="CU148" s="704" t="n">
        <v>0</v>
      </c>
      <c r="CV148" s="704" t="n">
        <v>0</v>
      </c>
      <c r="CW148" s="704" t="n">
        <v>0</v>
      </c>
      <c r="CX148" s="704" t="n">
        <v>0</v>
      </c>
      <c r="CY148" s="704" t="n">
        <v>0</v>
      </c>
      <c r="CZ148" s="704" t="n">
        <v>0</v>
      </c>
      <c r="DA148" s="704" t="n">
        <v>0</v>
      </c>
      <c r="DB148" s="704" t="n">
        <v>0</v>
      </c>
      <c r="DC148" s="704" t="n">
        <v>0</v>
      </c>
      <c r="DD148" s="704" t="n">
        <v>0</v>
      </c>
      <c r="DE148" s="704" t="n">
        <v>0</v>
      </c>
      <c r="DF148" s="704" t="n">
        <v>0</v>
      </c>
      <c r="DG148" s="704" t="n">
        <v>0</v>
      </c>
      <c r="DH148" s="704" t="n">
        <v>0</v>
      </c>
      <c r="DI148" s="704" t="n">
        <v>0</v>
      </c>
      <c r="DJ148" s="704" t="n">
        <v>0</v>
      </c>
      <c r="DK148" s="704" t="n">
        <v>0</v>
      </c>
      <c r="DL148" s="704" t="n">
        <v>0</v>
      </c>
      <c r="DM148" s="704" t="n">
        <v>0</v>
      </c>
    </row>
    <row r="149" ht="13.5" customHeight="1" s="355">
      <c r="B149" s="703" t="inlineStr">
        <is>
          <t>Cash&amp;Bank</t>
        </is>
      </c>
      <c r="D149" s="704" t="n">
        <v>0</v>
      </c>
      <c r="E149" s="704" t="n">
        <v>0</v>
      </c>
      <c r="F149" s="704" t="n">
        <v>0</v>
      </c>
      <c r="G149" s="704" t="n">
        <v>0</v>
      </c>
      <c r="H149" s="704" t="n">
        <v>0</v>
      </c>
      <c r="I149" s="704" t="n">
        <v>0</v>
      </c>
      <c r="J149" s="704" t="n">
        <v>0</v>
      </c>
      <c r="K149" s="704" t="n">
        <v>0</v>
      </c>
      <c r="L149" s="704" t="n">
        <v>0</v>
      </c>
      <c r="M149" s="704" t="n">
        <v>0</v>
      </c>
      <c r="N149" s="704" t="n">
        <v>0</v>
      </c>
      <c r="O149" s="704" t="n">
        <v>0</v>
      </c>
      <c r="P149" s="704" t="n">
        <v>0</v>
      </c>
      <c r="Q149" s="704" t="n">
        <v>0</v>
      </c>
      <c r="R149" s="704" t="n">
        <v>0</v>
      </c>
      <c r="S149" s="704" t="n">
        <v>0</v>
      </c>
      <c r="T149" s="704" t="n">
        <v>0</v>
      </c>
      <c r="U149" s="704" t="n">
        <v>0</v>
      </c>
      <c r="V149" s="704" t="n">
        <v>0</v>
      </c>
      <c r="W149" s="704" t="n">
        <v>0</v>
      </c>
      <c r="X149" s="704" t="n">
        <v>0</v>
      </c>
      <c r="Y149" s="704" t="n">
        <v>0</v>
      </c>
      <c r="Z149" s="704" t="n">
        <v>0</v>
      </c>
      <c r="AA149" s="704" t="n">
        <v>0</v>
      </c>
      <c r="AB149" s="704" t="n">
        <v>0</v>
      </c>
      <c r="AC149" s="704" t="n">
        <v>0</v>
      </c>
      <c r="AD149" s="704" t="n">
        <v>0</v>
      </c>
      <c r="AE149" s="704" t="n">
        <v>0</v>
      </c>
      <c r="AF149" s="704" t="n">
        <v>0</v>
      </c>
      <c r="AG149" s="704" t="n">
        <v>0</v>
      </c>
      <c r="AH149" s="704" t="n">
        <v>0</v>
      </c>
      <c r="AI149" s="704" t="n">
        <v>0</v>
      </c>
      <c r="AJ149" s="704" t="n">
        <v>0</v>
      </c>
      <c r="AK149" s="704" t="n">
        <v>0</v>
      </c>
      <c r="AL149" s="704" t="n">
        <v>0</v>
      </c>
      <c r="AM149" s="704" t="n">
        <v>0</v>
      </c>
      <c r="AN149" s="704" t="n">
        <v>0</v>
      </c>
      <c r="AO149" s="704" t="n">
        <v>0</v>
      </c>
      <c r="AP149" s="704" t="n">
        <v>0</v>
      </c>
      <c r="AQ149" s="704" t="n">
        <v>0</v>
      </c>
      <c r="AR149" s="704" t="n">
        <v>0</v>
      </c>
      <c r="AS149" s="704" t="n">
        <v>0</v>
      </c>
      <c r="AT149" s="704" t="n">
        <v>0</v>
      </c>
      <c r="AU149" s="704" t="n">
        <v>0</v>
      </c>
      <c r="AV149" s="704" t="n">
        <v>0</v>
      </c>
      <c r="AW149" s="704" t="n">
        <v>0</v>
      </c>
      <c r="AX149" s="704" t="n">
        <v>0</v>
      </c>
      <c r="AY149" s="704" t="n">
        <v>0</v>
      </c>
      <c r="AZ149" s="704" t="n">
        <v>0</v>
      </c>
      <c r="BA149" s="704" t="n">
        <v>0</v>
      </c>
      <c r="BB149" s="704" t="n">
        <v>0</v>
      </c>
      <c r="BC149" s="704" t="n">
        <v>0</v>
      </c>
      <c r="BD149" s="704" t="n">
        <v>0</v>
      </c>
      <c r="BE149" s="704" t="n">
        <v>0</v>
      </c>
      <c r="BF149" s="704" t="n">
        <v>0</v>
      </c>
      <c r="BG149" s="704" t="n">
        <v>0</v>
      </c>
      <c r="BH149" s="704" t="n">
        <v>0</v>
      </c>
      <c r="BI149" s="704" t="n">
        <v>0</v>
      </c>
      <c r="BJ149" s="704" t="n">
        <v>0</v>
      </c>
      <c r="BK149" s="704" t="n">
        <v>0</v>
      </c>
      <c r="BL149" s="704" t="n">
        <v>0</v>
      </c>
      <c r="BM149" s="704" t="n">
        <v>0</v>
      </c>
      <c r="BN149" s="704" t="n">
        <v>0</v>
      </c>
      <c r="BO149" s="704" t="n">
        <v>0</v>
      </c>
      <c r="BP149" s="704" t="n">
        <v>0</v>
      </c>
      <c r="BQ149" s="704" t="n">
        <v>0</v>
      </c>
      <c r="BR149" s="704" t="n">
        <v>0</v>
      </c>
      <c r="BS149" s="704" t="n">
        <v>0</v>
      </c>
      <c r="BT149" s="704" t="n">
        <v>0</v>
      </c>
      <c r="BU149" s="704" t="n">
        <v>0</v>
      </c>
      <c r="BV149" s="704" t="n">
        <v>0</v>
      </c>
      <c r="BW149" s="704" t="n">
        <v>0</v>
      </c>
      <c r="BX149" s="704" t="n">
        <v>0</v>
      </c>
      <c r="BY149" s="704" t="n">
        <v>0</v>
      </c>
      <c r="BZ149" s="704" t="n">
        <v>0</v>
      </c>
      <c r="CA149" s="704" t="n">
        <v>0</v>
      </c>
      <c r="CB149" s="704" t="n">
        <v>0</v>
      </c>
      <c r="CC149" s="704" t="n">
        <v>0</v>
      </c>
      <c r="CD149" s="704" t="n">
        <v>0</v>
      </c>
      <c r="CE149" s="704" t="n">
        <v>0</v>
      </c>
      <c r="CF149" s="704" t="n">
        <v>0</v>
      </c>
      <c r="CG149" s="704" t="n">
        <v>0</v>
      </c>
      <c r="CH149" s="704" t="n">
        <v>0</v>
      </c>
      <c r="CI149" s="704" t="n">
        <v>0</v>
      </c>
      <c r="CJ149" s="704" t="n">
        <v>0</v>
      </c>
      <c r="CK149" s="704" t="n">
        <v>0</v>
      </c>
      <c r="CL149" s="704" t="n">
        <v>0</v>
      </c>
      <c r="CM149" s="704" t="n">
        <v>0</v>
      </c>
      <c r="CN149" s="704" t="n">
        <v>0</v>
      </c>
      <c r="CO149" s="704" t="n">
        <v>0</v>
      </c>
      <c r="CP149" s="704" t="n">
        <v>0</v>
      </c>
      <c r="CQ149" s="704" t="n">
        <v>0</v>
      </c>
      <c r="CR149" s="704" t="n">
        <v>0</v>
      </c>
      <c r="CS149" s="704" t="n">
        <v>0</v>
      </c>
      <c r="CT149" s="704" t="n">
        <v>0</v>
      </c>
      <c r="CU149" s="704" t="n">
        <v>0</v>
      </c>
      <c r="CV149" s="704" t="n">
        <v>0</v>
      </c>
      <c r="CW149" s="704" t="n">
        <v>0</v>
      </c>
      <c r="CX149" s="704" t="n">
        <v>0</v>
      </c>
      <c r="CY149" s="704" t="n">
        <v>0</v>
      </c>
      <c r="CZ149" s="704" t="n">
        <v>0</v>
      </c>
      <c r="DA149" s="704" t="n">
        <v>0</v>
      </c>
      <c r="DB149" s="704" t="n">
        <v>0</v>
      </c>
      <c r="DC149" s="704" t="n">
        <v>0</v>
      </c>
      <c r="DD149" s="704" t="n">
        <v>0</v>
      </c>
      <c r="DE149" s="704" t="n">
        <v>0</v>
      </c>
      <c r="DF149" s="704" t="n">
        <v>0</v>
      </c>
      <c r="DG149" s="704" t="n">
        <v>0</v>
      </c>
      <c r="DH149" s="704" t="n">
        <v>0</v>
      </c>
      <c r="DI149" s="704" t="n">
        <v>0</v>
      </c>
      <c r="DJ149" s="704" t="n">
        <v>0</v>
      </c>
      <c r="DK149" s="704" t="n">
        <v>0</v>
      </c>
      <c r="DL149" s="704" t="n">
        <v>0</v>
      </c>
      <c r="DM149" s="704" t="n">
        <v>0</v>
      </c>
    </row>
    <row r="150" ht="13.5" customHeight="1" s="355">
      <c r="B150" s="703" t="inlineStr">
        <is>
          <t>T&amp;E</t>
        </is>
      </c>
      <c r="D150" s="704" t="n">
        <v>0</v>
      </c>
      <c r="E150" s="704" t="n">
        <v>0</v>
      </c>
      <c r="F150" s="704" t="n">
        <v>0</v>
      </c>
      <c r="G150" s="704" t="n">
        <v>0</v>
      </c>
      <c r="H150" s="704" t="n">
        <v>0</v>
      </c>
      <c r="I150" s="704" t="n">
        <v>0</v>
      </c>
      <c r="J150" s="704" t="n">
        <v>0</v>
      </c>
      <c r="K150" s="704" t="n">
        <v>0</v>
      </c>
      <c r="L150" s="704" t="n">
        <v>0</v>
      </c>
      <c r="M150" s="704" t="n">
        <v>0</v>
      </c>
      <c r="N150" s="704" t="n">
        <v>0</v>
      </c>
      <c r="O150" s="704" t="n">
        <v>0</v>
      </c>
      <c r="P150" s="704" t="n">
        <v>0</v>
      </c>
      <c r="Q150" s="704" t="n">
        <v>0</v>
      </c>
      <c r="R150" s="704" t="n">
        <v>0</v>
      </c>
      <c r="S150" s="704" t="n">
        <v>0</v>
      </c>
      <c r="T150" s="704" t="n">
        <v>0</v>
      </c>
      <c r="U150" s="704" t="n">
        <v>0</v>
      </c>
      <c r="V150" s="704" t="n">
        <v>0</v>
      </c>
      <c r="W150" s="704" t="n">
        <v>0</v>
      </c>
      <c r="X150" s="704" t="n">
        <v>0</v>
      </c>
      <c r="Y150" s="704" t="n">
        <v>0</v>
      </c>
      <c r="Z150" s="704" t="n">
        <v>0</v>
      </c>
      <c r="AA150" s="704" t="n">
        <v>0</v>
      </c>
      <c r="AB150" s="704" t="n">
        <v>0</v>
      </c>
      <c r="AC150" s="704" t="n">
        <v>0</v>
      </c>
      <c r="AD150" s="704" t="n">
        <v>0</v>
      </c>
      <c r="AE150" s="704" t="n">
        <v>0</v>
      </c>
      <c r="AF150" s="704" t="n">
        <v>0</v>
      </c>
      <c r="AG150" s="704" t="n">
        <v>0</v>
      </c>
      <c r="AH150" s="704" t="n">
        <v>0</v>
      </c>
      <c r="AI150" s="704" t="n">
        <v>0</v>
      </c>
      <c r="AJ150" s="704" t="n">
        <v>0</v>
      </c>
      <c r="AK150" s="704" t="n">
        <v>0</v>
      </c>
      <c r="AL150" s="704" t="n">
        <v>0</v>
      </c>
      <c r="AM150" s="704" t="n">
        <v>0</v>
      </c>
      <c r="AN150" s="704" t="n">
        <v>0</v>
      </c>
      <c r="AO150" s="704" t="n">
        <v>0</v>
      </c>
      <c r="AP150" s="704" t="n">
        <v>0</v>
      </c>
      <c r="AQ150" s="704" t="n">
        <v>0</v>
      </c>
      <c r="AR150" s="704" t="n">
        <v>0</v>
      </c>
      <c r="AS150" s="704" t="n">
        <v>0</v>
      </c>
      <c r="AT150" s="704" t="n">
        <v>0</v>
      </c>
      <c r="AU150" s="704" t="n">
        <v>0</v>
      </c>
      <c r="AV150" s="704" t="n">
        <v>0</v>
      </c>
      <c r="AW150" s="704" t="n">
        <v>0</v>
      </c>
      <c r="AX150" s="704" t="n">
        <v>0</v>
      </c>
      <c r="AY150" s="704" t="n">
        <v>0</v>
      </c>
      <c r="AZ150" s="704" t="n">
        <v>0</v>
      </c>
      <c r="BA150" s="704" t="n">
        <v>0</v>
      </c>
      <c r="BB150" s="704" t="n">
        <v>0</v>
      </c>
      <c r="BC150" s="704" t="n">
        <v>0</v>
      </c>
      <c r="BD150" s="704" t="n">
        <v>0</v>
      </c>
      <c r="BE150" s="704" t="n">
        <v>0</v>
      </c>
      <c r="BF150" s="704" t="n">
        <v>0</v>
      </c>
      <c r="BG150" s="704" t="n">
        <v>0</v>
      </c>
      <c r="BH150" s="704" t="n">
        <v>0</v>
      </c>
      <c r="BI150" s="704" t="n">
        <v>0</v>
      </c>
      <c r="BJ150" s="704" t="n">
        <v>0</v>
      </c>
      <c r="BK150" s="704" t="n">
        <v>0</v>
      </c>
      <c r="BL150" s="704" t="n">
        <v>0</v>
      </c>
      <c r="BM150" s="704" t="n">
        <v>0</v>
      </c>
      <c r="BN150" s="704" t="n">
        <v>0</v>
      </c>
      <c r="BO150" s="704" t="n">
        <v>0</v>
      </c>
      <c r="BP150" s="704" t="n">
        <v>0</v>
      </c>
      <c r="BQ150" s="704" t="n">
        <v>0</v>
      </c>
      <c r="BR150" s="704" t="n">
        <v>0</v>
      </c>
      <c r="BS150" s="704" t="n">
        <v>0</v>
      </c>
      <c r="BT150" s="704" t="n">
        <v>0</v>
      </c>
      <c r="BU150" s="704" t="n">
        <v>0</v>
      </c>
      <c r="BV150" s="704" t="n">
        <v>0</v>
      </c>
      <c r="BW150" s="704" t="n">
        <v>0</v>
      </c>
      <c r="BX150" s="704" t="n">
        <v>0</v>
      </c>
      <c r="BY150" s="704" t="n">
        <v>0</v>
      </c>
      <c r="BZ150" s="704" t="n">
        <v>0</v>
      </c>
      <c r="CA150" s="704" t="n">
        <v>0</v>
      </c>
      <c r="CB150" s="704" t="n">
        <v>0</v>
      </c>
      <c r="CC150" s="704" t="n">
        <v>0</v>
      </c>
      <c r="CD150" s="704" t="n">
        <v>0</v>
      </c>
      <c r="CE150" s="704" t="n">
        <v>0</v>
      </c>
      <c r="CF150" s="704" t="n">
        <v>0</v>
      </c>
      <c r="CG150" s="704" t="n">
        <v>0</v>
      </c>
      <c r="CH150" s="704" t="n">
        <v>0</v>
      </c>
      <c r="CI150" s="704" t="n">
        <v>0</v>
      </c>
      <c r="CJ150" s="704" t="n">
        <v>0</v>
      </c>
      <c r="CK150" s="704" t="n">
        <v>0</v>
      </c>
      <c r="CL150" s="704" t="n">
        <v>0</v>
      </c>
      <c r="CM150" s="704" t="n">
        <v>0</v>
      </c>
      <c r="CN150" s="704" t="n">
        <v>0</v>
      </c>
      <c r="CO150" s="704" t="n">
        <v>0</v>
      </c>
      <c r="CP150" s="704" t="n">
        <v>0</v>
      </c>
      <c r="CQ150" s="704" t="n">
        <v>0</v>
      </c>
      <c r="CR150" s="704" t="n">
        <v>0</v>
      </c>
      <c r="CS150" s="704" t="n">
        <v>0</v>
      </c>
      <c r="CT150" s="704" t="n">
        <v>0</v>
      </c>
      <c r="CU150" s="704" t="n">
        <v>0</v>
      </c>
      <c r="CV150" s="704" t="n">
        <v>0</v>
      </c>
      <c r="CW150" s="704" t="n">
        <v>0</v>
      </c>
      <c r="CX150" s="704" t="n">
        <v>0</v>
      </c>
      <c r="CY150" s="704" t="n">
        <v>0</v>
      </c>
      <c r="CZ150" s="704" t="n">
        <v>0</v>
      </c>
      <c r="DA150" s="704" t="n">
        <v>0</v>
      </c>
      <c r="DB150" s="704" t="n">
        <v>0</v>
      </c>
      <c r="DC150" s="704" t="n">
        <v>0</v>
      </c>
      <c r="DD150" s="704" t="n">
        <v>0</v>
      </c>
      <c r="DE150" s="704" t="n">
        <v>0</v>
      </c>
      <c r="DF150" s="704" t="n">
        <v>0</v>
      </c>
      <c r="DG150" s="704" t="n">
        <v>0</v>
      </c>
      <c r="DH150" s="704" t="n">
        <v>0</v>
      </c>
      <c r="DI150" s="704" t="n">
        <v>0</v>
      </c>
      <c r="DJ150" s="704" t="n">
        <v>0</v>
      </c>
      <c r="DK150" s="704" t="n">
        <v>0</v>
      </c>
      <c r="DL150" s="704" t="n">
        <v>0</v>
      </c>
      <c r="DM150" s="704" t="n">
        <v>0</v>
      </c>
    </row>
    <row r="151" ht="13.5" customHeight="1" s="355">
      <c r="B151" s="703" t="inlineStr">
        <is>
          <t>Order to Cash</t>
        </is>
      </c>
      <c r="D151" s="704" t="n">
        <v>0</v>
      </c>
      <c r="E151" s="704" t="n">
        <v>0</v>
      </c>
      <c r="F151" s="704" t="n">
        <v>0</v>
      </c>
      <c r="G151" s="704" t="n">
        <v>0</v>
      </c>
      <c r="H151" s="704" t="n">
        <v>0</v>
      </c>
      <c r="I151" s="704" t="n">
        <v>0</v>
      </c>
      <c r="J151" s="704" t="n">
        <v>0</v>
      </c>
      <c r="K151" s="704" t="n">
        <v>0</v>
      </c>
      <c r="L151" s="704" t="n">
        <v>0</v>
      </c>
      <c r="M151" s="704" t="n">
        <v>0</v>
      </c>
      <c r="N151" s="704" t="n">
        <v>0</v>
      </c>
      <c r="O151" s="704" t="n">
        <v>0</v>
      </c>
      <c r="P151" s="704" t="n">
        <v>0</v>
      </c>
      <c r="Q151" s="704" t="n">
        <v>0</v>
      </c>
      <c r="R151" s="704" t="n">
        <v>0</v>
      </c>
      <c r="S151" s="704" t="n">
        <v>0</v>
      </c>
      <c r="T151" s="704" t="n">
        <v>0</v>
      </c>
      <c r="U151" s="704" t="n">
        <v>0</v>
      </c>
      <c r="V151" s="704" t="n">
        <v>0</v>
      </c>
      <c r="W151" s="704" t="n">
        <v>0</v>
      </c>
      <c r="X151" s="704" t="n">
        <v>0</v>
      </c>
      <c r="Y151" s="704" t="n">
        <v>0</v>
      </c>
      <c r="Z151" s="704" t="n">
        <v>0</v>
      </c>
      <c r="AA151" s="704" t="n">
        <v>0</v>
      </c>
      <c r="AB151" s="704" t="n">
        <v>0</v>
      </c>
      <c r="AC151" s="704" t="n">
        <v>0</v>
      </c>
      <c r="AD151" s="704" t="n">
        <v>0</v>
      </c>
      <c r="AE151" s="704" t="n">
        <v>0</v>
      </c>
      <c r="AF151" s="704" t="n">
        <v>0</v>
      </c>
      <c r="AG151" s="704" t="n">
        <v>0</v>
      </c>
      <c r="AH151" s="704" t="n">
        <v>0</v>
      </c>
      <c r="AI151" s="704" t="n">
        <v>0</v>
      </c>
      <c r="AJ151" s="704" t="n">
        <v>0</v>
      </c>
      <c r="AK151" s="704" t="n">
        <v>0</v>
      </c>
      <c r="AL151" s="704" t="n">
        <v>0</v>
      </c>
      <c r="AM151" s="704" t="n">
        <v>0</v>
      </c>
      <c r="AN151" s="704" t="n">
        <v>0</v>
      </c>
      <c r="AO151" s="704" t="n">
        <v>0</v>
      </c>
      <c r="AP151" s="704" t="n">
        <v>0</v>
      </c>
      <c r="AQ151" s="704" t="n">
        <v>0</v>
      </c>
      <c r="AR151" s="704" t="n">
        <v>0</v>
      </c>
      <c r="AS151" s="704" t="n">
        <v>0</v>
      </c>
      <c r="AT151" s="704" t="n">
        <v>0</v>
      </c>
      <c r="AU151" s="704" t="n">
        <v>0</v>
      </c>
      <c r="AV151" s="704" t="n">
        <v>0</v>
      </c>
      <c r="AW151" s="704" t="n">
        <v>0</v>
      </c>
      <c r="AX151" s="704" t="n">
        <v>0</v>
      </c>
      <c r="AY151" s="704" t="n">
        <v>0</v>
      </c>
      <c r="AZ151" s="704" t="n">
        <v>0</v>
      </c>
      <c r="BA151" s="704" t="n">
        <v>0</v>
      </c>
      <c r="BB151" s="704" t="n">
        <v>0</v>
      </c>
      <c r="BC151" s="704" t="n">
        <v>0</v>
      </c>
      <c r="BD151" s="704" t="n">
        <v>0</v>
      </c>
      <c r="BE151" s="704" t="n">
        <v>0</v>
      </c>
      <c r="BF151" s="704" t="n">
        <v>0</v>
      </c>
      <c r="BG151" s="704" t="n">
        <v>0</v>
      </c>
      <c r="BH151" s="704" t="n">
        <v>0</v>
      </c>
      <c r="BI151" s="704" t="n">
        <v>0</v>
      </c>
      <c r="BJ151" s="704" t="n">
        <v>0</v>
      </c>
      <c r="BK151" s="704" t="n">
        <v>0</v>
      </c>
      <c r="BL151" s="704" t="n">
        <v>0</v>
      </c>
      <c r="BM151" s="704" t="n">
        <v>0</v>
      </c>
      <c r="BN151" s="704" t="n">
        <v>0</v>
      </c>
      <c r="BO151" s="704" t="n">
        <v>0</v>
      </c>
      <c r="BP151" s="704" t="n">
        <v>0</v>
      </c>
      <c r="BQ151" s="704" t="n">
        <v>0</v>
      </c>
      <c r="BR151" s="704" t="n">
        <v>0</v>
      </c>
      <c r="BS151" s="704" t="n">
        <v>0</v>
      </c>
      <c r="BT151" s="704" t="n">
        <v>0</v>
      </c>
      <c r="BU151" s="704" t="n">
        <v>0</v>
      </c>
      <c r="BV151" s="704" t="n">
        <v>0</v>
      </c>
      <c r="BW151" s="704" t="n">
        <v>0</v>
      </c>
      <c r="BX151" s="704" t="n">
        <v>0</v>
      </c>
      <c r="BY151" s="704" t="n">
        <v>0</v>
      </c>
      <c r="BZ151" s="704" t="n">
        <v>0</v>
      </c>
      <c r="CA151" s="704" t="n">
        <v>0</v>
      </c>
      <c r="CB151" s="704" t="n">
        <v>0</v>
      </c>
      <c r="CC151" s="704" t="n">
        <v>0</v>
      </c>
      <c r="CD151" s="704" t="n">
        <v>0</v>
      </c>
      <c r="CE151" s="704" t="n">
        <v>0</v>
      </c>
      <c r="CF151" s="704" t="n">
        <v>0</v>
      </c>
      <c r="CG151" s="704" t="n">
        <v>0</v>
      </c>
      <c r="CH151" s="704" t="n">
        <v>0</v>
      </c>
      <c r="CI151" s="704" t="n">
        <v>0</v>
      </c>
      <c r="CJ151" s="704" t="n">
        <v>0</v>
      </c>
      <c r="CK151" s="704" t="n">
        <v>0</v>
      </c>
      <c r="CL151" s="704" t="n">
        <v>0</v>
      </c>
      <c r="CM151" s="704" t="n">
        <v>0</v>
      </c>
      <c r="CN151" s="704" t="n">
        <v>0</v>
      </c>
      <c r="CO151" s="704" t="n">
        <v>0</v>
      </c>
      <c r="CP151" s="704" t="n">
        <v>0</v>
      </c>
      <c r="CQ151" s="704" t="n">
        <v>0</v>
      </c>
      <c r="CR151" s="704" t="n">
        <v>0</v>
      </c>
      <c r="CS151" s="704" t="n">
        <v>0</v>
      </c>
      <c r="CT151" s="704" t="n">
        <v>0</v>
      </c>
      <c r="CU151" s="704" t="n">
        <v>0</v>
      </c>
      <c r="CV151" s="704" t="n">
        <v>0</v>
      </c>
      <c r="CW151" s="704" t="n">
        <v>0</v>
      </c>
      <c r="CX151" s="704" t="n">
        <v>0</v>
      </c>
      <c r="CY151" s="704" t="n">
        <v>0</v>
      </c>
      <c r="CZ151" s="704" t="n">
        <v>0</v>
      </c>
      <c r="DA151" s="704" t="n">
        <v>0</v>
      </c>
      <c r="DB151" s="704" t="n">
        <v>0</v>
      </c>
      <c r="DC151" s="704" t="n">
        <v>0</v>
      </c>
      <c r="DD151" s="704" t="n">
        <v>0</v>
      </c>
      <c r="DE151" s="704" t="n">
        <v>0</v>
      </c>
      <c r="DF151" s="704" t="n">
        <v>0</v>
      </c>
      <c r="DG151" s="704" t="n">
        <v>0</v>
      </c>
      <c r="DH151" s="704" t="n">
        <v>0</v>
      </c>
      <c r="DI151" s="704" t="n">
        <v>0</v>
      </c>
      <c r="DJ151" s="704" t="n">
        <v>0</v>
      </c>
      <c r="DK151" s="704" t="n">
        <v>0</v>
      </c>
      <c r="DL151" s="704" t="n">
        <v>0</v>
      </c>
      <c r="DM151" s="704" t="n">
        <v>0</v>
      </c>
    </row>
    <row r="152" ht="13.5" customHeight="1" s="355">
      <c r="B152" s="703" t="inlineStr">
        <is>
          <t>Req to Pay</t>
        </is>
      </c>
      <c r="D152" s="704" t="n">
        <v>0</v>
      </c>
      <c r="E152" s="704" t="n">
        <v>0</v>
      </c>
      <c r="F152" s="704" t="n">
        <v>0</v>
      </c>
      <c r="G152" s="704" t="n">
        <v>0</v>
      </c>
      <c r="H152" s="704" t="n">
        <v>0</v>
      </c>
      <c r="I152" s="704" t="n">
        <v>0</v>
      </c>
      <c r="J152" s="704" t="n">
        <v>0</v>
      </c>
      <c r="K152" s="704" t="n">
        <v>0</v>
      </c>
      <c r="L152" s="704" t="n">
        <v>0</v>
      </c>
      <c r="M152" s="704" t="n">
        <v>0</v>
      </c>
      <c r="N152" s="704" t="n">
        <v>0</v>
      </c>
      <c r="O152" s="704" t="n">
        <v>0</v>
      </c>
      <c r="P152" s="704" t="n">
        <v>0</v>
      </c>
      <c r="Q152" s="704" t="n">
        <v>0</v>
      </c>
      <c r="R152" s="704" t="n">
        <v>0</v>
      </c>
      <c r="S152" s="704" t="n">
        <v>0</v>
      </c>
      <c r="T152" s="704" t="n">
        <v>0</v>
      </c>
      <c r="U152" s="704" t="n">
        <v>0</v>
      </c>
      <c r="V152" s="704" t="n">
        <v>0</v>
      </c>
      <c r="W152" s="704" t="n">
        <v>0</v>
      </c>
      <c r="X152" s="704" t="n">
        <v>0</v>
      </c>
      <c r="Y152" s="704" t="n">
        <v>0</v>
      </c>
      <c r="Z152" s="704" t="n">
        <v>0</v>
      </c>
      <c r="AA152" s="704" t="n">
        <v>0</v>
      </c>
      <c r="AB152" s="704" t="n">
        <v>0</v>
      </c>
      <c r="AC152" s="704" t="n">
        <v>0</v>
      </c>
      <c r="AD152" s="704" t="n">
        <v>0</v>
      </c>
      <c r="AE152" s="704" t="n">
        <v>0</v>
      </c>
      <c r="AF152" s="704" t="n">
        <v>0</v>
      </c>
      <c r="AG152" s="704" t="n">
        <v>0</v>
      </c>
      <c r="AH152" s="704" t="n">
        <v>0</v>
      </c>
      <c r="AI152" s="704" t="n">
        <v>0</v>
      </c>
      <c r="AJ152" s="704" t="n">
        <v>0</v>
      </c>
      <c r="AK152" s="704" t="n">
        <v>0</v>
      </c>
      <c r="AL152" s="704" t="n">
        <v>0</v>
      </c>
      <c r="AM152" s="704" t="n">
        <v>0</v>
      </c>
      <c r="AN152" s="704" t="n">
        <v>0</v>
      </c>
      <c r="AO152" s="704" t="n">
        <v>0</v>
      </c>
      <c r="AP152" s="704" t="n">
        <v>0</v>
      </c>
      <c r="AQ152" s="704" t="n">
        <v>0</v>
      </c>
      <c r="AR152" s="704" t="n">
        <v>0</v>
      </c>
      <c r="AS152" s="704" t="n">
        <v>0</v>
      </c>
      <c r="AT152" s="704" t="n">
        <v>0</v>
      </c>
      <c r="AU152" s="704" t="n">
        <v>0</v>
      </c>
      <c r="AV152" s="704" t="n">
        <v>0</v>
      </c>
      <c r="AW152" s="704" t="n">
        <v>0</v>
      </c>
      <c r="AX152" s="704" t="n">
        <v>0</v>
      </c>
      <c r="AY152" s="704" t="n">
        <v>0</v>
      </c>
      <c r="AZ152" s="704" t="n">
        <v>0</v>
      </c>
      <c r="BA152" s="704" t="n">
        <v>0</v>
      </c>
      <c r="BB152" s="704" t="n">
        <v>0</v>
      </c>
      <c r="BC152" s="704" t="n">
        <v>0</v>
      </c>
      <c r="BD152" s="704" t="n">
        <v>0</v>
      </c>
      <c r="BE152" s="704" t="n">
        <v>0</v>
      </c>
      <c r="BF152" s="704" t="n">
        <v>0</v>
      </c>
      <c r="BG152" s="704" t="n">
        <v>0</v>
      </c>
      <c r="BH152" s="704" t="n">
        <v>0</v>
      </c>
      <c r="BI152" s="704" t="n">
        <v>0</v>
      </c>
      <c r="BJ152" s="704" t="n">
        <v>0</v>
      </c>
      <c r="BK152" s="704" t="n">
        <v>0</v>
      </c>
      <c r="BL152" s="704" t="n">
        <v>0</v>
      </c>
      <c r="BM152" s="704" t="n">
        <v>0</v>
      </c>
      <c r="BN152" s="704" t="n">
        <v>0</v>
      </c>
      <c r="BO152" s="704" t="n">
        <v>0</v>
      </c>
      <c r="BP152" s="704" t="n">
        <v>0</v>
      </c>
      <c r="BQ152" s="704" t="n">
        <v>0</v>
      </c>
      <c r="BR152" s="704" t="n">
        <v>0</v>
      </c>
      <c r="BS152" s="704" t="n">
        <v>0</v>
      </c>
      <c r="BT152" s="704" t="n">
        <v>0</v>
      </c>
      <c r="BU152" s="704" t="n">
        <v>0</v>
      </c>
      <c r="BV152" s="704" t="n">
        <v>0</v>
      </c>
      <c r="BW152" s="704" t="n">
        <v>0</v>
      </c>
      <c r="BX152" s="704" t="n">
        <v>0</v>
      </c>
      <c r="BY152" s="704" t="n">
        <v>0</v>
      </c>
      <c r="BZ152" s="704" t="n">
        <v>0</v>
      </c>
      <c r="CA152" s="704" t="n">
        <v>0</v>
      </c>
      <c r="CB152" s="704" t="n">
        <v>0</v>
      </c>
      <c r="CC152" s="704" t="n">
        <v>0</v>
      </c>
      <c r="CD152" s="704" t="n">
        <v>0</v>
      </c>
      <c r="CE152" s="704" t="n">
        <v>0</v>
      </c>
      <c r="CF152" s="704" t="n">
        <v>0</v>
      </c>
      <c r="CG152" s="704" t="n">
        <v>0</v>
      </c>
      <c r="CH152" s="704" t="n">
        <v>0</v>
      </c>
      <c r="CI152" s="704" t="n">
        <v>0</v>
      </c>
      <c r="CJ152" s="704" t="n">
        <v>0</v>
      </c>
      <c r="CK152" s="704" t="n">
        <v>0</v>
      </c>
      <c r="CL152" s="704" t="n">
        <v>0</v>
      </c>
      <c r="CM152" s="704" t="n">
        <v>0</v>
      </c>
      <c r="CN152" s="704" t="n">
        <v>0</v>
      </c>
      <c r="CO152" s="704" t="n">
        <v>0</v>
      </c>
      <c r="CP152" s="704" t="n">
        <v>0</v>
      </c>
      <c r="CQ152" s="704" t="n">
        <v>0</v>
      </c>
      <c r="CR152" s="704" t="n">
        <v>0</v>
      </c>
      <c r="CS152" s="704" t="n">
        <v>0</v>
      </c>
      <c r="CT152" s="704" t="n">
        <v>0</v>
      </c>
      <c r="CU152" s="704" t="n">
        <v>0</v>
      </c>
      <c r="CV152" s="704" t="n">
        <v>0</v>
      </c>
      <c r="CW152" s="704" t="n">
        <v>0</v>
      </c>
      <c r="CX152" s="704" t="n">
        <v>0</v>
      </c>
      <c r="CY152" s="704" t="n">
        <v>0</v>
      </c>
      <c r="CZ152" s="704" t="n">
        <v>0</v>
      </c>
      <c r="DA152" s="704" t="n">
        <v>0</v>
      </c>
      <c r="DB152" s="704" t="n">
        <v>0</v>
      </c>
      <c r="DC152" s="704" t="n">
        <v>0</v>
      </c>
      <c r="DD152" s="704" t="n">
        <v>0</v>
      </c>
      <c r="DE152" s="704" t="n">
        <v>0</v>
      </c>
      <c r="DF152" s="704" t="n">
        <v>0</v>
      </c>
      <c r="DG152" s="704" t="n">
        <v>0</v>
      </c>
      <c r="DH152" s="704" t="n">
        <v>0</v>
      </c>
      <c r="DI152" s="704" t="n">
        <v>0</v>
      </c>
      <c r="DJ152" s="704" t="n">
        <v>0</v>
      </c>
      <c r="DK152" s="704" t="n">
        <v>0</v>
      </c>
      <c r="DL152" s="704" t="n">
        <v>0</v>
      </c>
      <c r="DM152" s="704" t="n">
        <v>0</v>
      </c>
    </row>
    <row r="153" ht="13.5" customHeight="1" s="355">
      <c r="B153" s="703" t="inlineStr">
        <is>
          <t>Team Leader</t>
        </is>
      </c>
      <c r="D153" s="704" t="n">
        <v>0</v>
      </c>
      <c r="E153" s="704" t="n">
        <v>0</v>
      </c>
      <c r="F153" s="704" t="n">
        <v>0</v>
      </c>
      <c r="G153" s="704" t="n">
        <v>0</v>
      </c>
      <c r="H153" s="704" t="n">
        <v>0</v>
      </c>
      <c r="I153" s="704" t="n">
        <v>0</v>
      </c>
      <c r="J153" s="704" t="n">
        <v>0</v>
      </c>
      <c r="K153" s="704" t="n">
        <v>0</v>
      </c>
      <c r="L153" s="704" t="n">
        <v>0</v>
      </c>
      <c r="M153" s="704" t="n">
        <v>0</v>
      </c>
      <c r="N153" s="704" t="n">
        <v>0</v>
      </c>
      <c r="O153" s="704" t="n">
        <v>0</v>
      </c>
      <c r="P153" s="704" t="n">
        <v>0</v>
      </c>
      <c r="Q153" s="704" t="n">
        <v>0</v>
      </c>
      <c r="R153" s="704" t="n">
        <v>0</v>
      </c>
      <c r="S153" s="704" t="n">
        <v>0</v>
      </c>
      <c r="T153" s="704" t="n">
        <v>0</v>
      </c>
      <c r="U153" s="704" t="n">
        <v>0</v>
      </c>
      <c r="V153" s="704" t="n">
        <v>0</v>
      </c>
      <c r="W153" s="704" t="n">
        <v>0</v>
      </c>
      <c r="X153" s="704" t="n">
        <v>0</v>
      </c>
      <c r="Y153" s="704" t="n">
        <v>0</v>
      </c>
      <c r="Z153" s="704" t="n">
        <v>0</v>
      </c>
      <c r="AA153" s="704" t="n">
        <v>0</v>
      </c>
      <c r="AB153" s="704" t="n">
        <v>0</v>
      </c>
      <c r="AC153" s="704" t="n">
        <v>0</v>
      </c>
      <c r="AD153" s="704" t="n">
        <v>0</v>
      </c>
      <c r="AE153" s="704" t="n">
        <v>0</v>
      </c>
      <c r="AF153" s="704" t="n">
        <v>0</v>
      </c>
      <c r="AG153" s="704" t="n">
        <v>0</v>
      </c>
      <c r="AH153" s="704" t="n">
        <v>0</v>
      </c>
      <c r="AI153" s="704" t="n">
        <v>0</v>
      </c>
      <c r="AJ153" s="704" t="n">
        <v>0</v>
      </c>
      <c r="AK153" s="704" t="n">
        <v>0</v>
      </c>
      <c r="AL153" s="704" t="n">
        <v>0</v>
      </c>
      <c r="AM153" s="704" t="n">
        <v>0</v>
      </c>
      <c r="AN153" s="704" t="n">
        <v>0</v>
      </c>
      <c r="AO153" s="704" t="n">
        <v>0</v>
      </c>
      <c r="AP153" s="704" t="n">
        <v>0</v>
      </c>
      <c r="AQ153" s="704" t="n">
        <v>0</v>
      </c>
      <c r="AR153" s="704" t="n">
        <v>0</v>
      </c>
      <c r="AS153" s="704" t="n">
        <v>0</v>
      </c>
      <c r="AT153" s="704" t="n">
        <v>0</v>
      </c>
      <c r="AU153" s="704" t="n">
        <v>0</v>
      </c>
      <c r="AV153" s="704" t="n">
        <v>0</v>
      </c>
      <c r="AW153" s="704" t="n">
        <v>0</v>
      </c>
      <c r="AX153" s="704" t="n">
        <v>0</v>
      </c>
      <c r="AY153" s="704" t="n">
        <v>0</v>
      </c>
      <c r="AZ153" s="704" t="n">
        <v>0</v>
      </c>
      <c r="BA153" s="704" t="n">
        <v>0</v>
      </c>
      <c r="BB153" s="704" t="n">
        <v>0</v>
      </c>
      <c r="BC153" s="704" t="n">
        <v>0</v>
      </c>
      <c r="BD153" s="704" t="n">
        <v>0</v>
      </c>
      <c r="BE153" s="704" t="n">
        <v>0</v>
      </c>
      <c r="BF153" s="704" t="n">
        <v>0</v>
      </c>
      <c r="BG153" s="704" t="n">
        <v>0</v>
      </c>
      <c r="BH153" s="704" t="n">
        <v>0</v>
      </c>
      <c r="BI153" s="704" t="n">
        <v>0</v>
      </c>
      <c r="BJ153" s="704" t="n">
        <v>0</v>
      </c>
      <c r="BK153" s="704" t="n">
        <v>0</v>
      </c>
      <c r="BL153" s="704" t="n">
        <v>0</v>
      </c>
      <c r="BM153" s="704" t="n">
        <v>0</v>
      </c>
      <c r="BN153" s="704" t="n">
        <v>0</v>
      </c>
      <c r="BO153" s="704" t="n">
        <v>0</v>
      </c>
      <c r="BP153" s="704" t="n">
        <v>0</v>
      </c>
      <c r="BQ153" s="704" t="n">
        <v>0</v>
      </c>
      <c r="BR153" s="704" t="n">
        <v>0</v>
      </c>
      <c r="BS153" s="704" t="n">
        <v>0</v>
      </c>
      <c r="BT153" s="704" t="n">
        <v>0</v>
      </c>
      <c r="BU153" s="704" t="n">
        <v>0</v>
      </c>
      <c r="BV153" s="704" t="n">
        <v>0</v>
      </c>
      <c r="BW153" s="704" t="n">
        <v>0</v>
      </c>
      <c r="BX153" s="704" t="n">
        <v>0</v>
      </c>
      <c r="BY153" s="704" t="n">
        <v>0</v>
      </c>
      <c r="BZ153" s="704" t="n">
        <v>0</v>
      </c>
      <c r="CA153" s="704" t="n">
        <v>0</v>
      </c>
      <c r="CB153" s="704" t="n">
        <v>0</v>
      </c>
      <c r="CC153" s="704" t="n">
        <v>0</v>
      </c>
      <c r="CD153" s="704" t="n">
        <v>0</v>
      </c>
      <c r="CE153" s="704" t="n">
        <v>0</v>
      </c>
      <c r="CF153" s="704" t="n">
        <v>0</v>
      </c>
      <c r="CG153" s="704" t="n">
        <v>0</v>
      </c>
      <c r="CH153" s="704" t="n">
        <v>0</v>
      </c>
      <c r="CI153" s="704" t="n">
        <v>0</v>
      </c>
      <c r="CJ153" s="704" t="n">
        <v>0</v>
      </c>
      <c r="CK153" s="704" t="n">
        <v>0</v>
      </c>
      <c r="CL153" s="704" t="n">
        <v>0</v>
      </c>
      <c r="CM153" s="704" t="n">
        <v>0</v>
      </c>
      <c r="CN153" s="704" t="n">
        <v>0</v>
      </c>
      <c r="CO153" s="704" t="n">
        <v>0</v>
      </c>
      <c r="CP153" s="704" t="n">
        <v>0</v>
      </c>
      <c r="CQ153" s="704" t="n">
        <v>0</v>
      </c>
      <c r="CR153" s="704" t="n">
        <v>0</v>
      </c>
      <c r="CS153" s="704" t="n">
        <v>0</v>
      </c>
      <c r="CT153" s="704" t="n">
        <v>0</v>
      </c>
      <c r="CU153" s="704" t="n">
        <v>0</v>
      </c>
      <c r="CV153" s="704" t="n">
        <v>0</v>
      </c>
      <c r="CW153" s="704" t="n">
        <v>0</v>
      </c>
      <c r="CX153" s="704" t="n">
        <v>0</v>
      </c>
      <c r="CY153" s="704" t="n">
        <v>0</v>
      </c>
      <c r="CZ153" s="704" t="n">
        <v>0</v>
      </c>
      <c r="DA153" s="704" t="n">
        <v>0</v>
      </c>
      <c r="DB153" s="704" t="n">
        <v>0</v>
      </c>
      <c r="DC153" s="704" t="n">
        <v>0</v>
      </c>
      <c r="DD153" s="704" t="n">
        <v>0</v>
      </c>
      <c r="DE153" s="704" t="n">
        <v>0</v>
      </c>
      <c r="DF153" s="704" t="n">
        <v>0</v>
      </c>
      <c r="DG153" s="704" t="n">
        <v>0</v>
      </c>
      <c r="DH153" s="704" t="n">
        <v>0</v>
      </c>
      <c r="DI153" s="704" t="n">
        <v>0</v>
      </c>
      <c r="DJ153" s="704" t="n">
        <v>0</v>
      </c>
      <c r="DK153" s="704" t="n">
        <v>0</v>
      </c>
      <c r="DL153" s="704" t="n">
        <v>0</v>
      </c>
      <c r="DM153" s="704" t="n">
        <v>0</v>
      </c>
    </row>
    <row r="154" ht="13.5" customHeight="1" s="355">
      <c r="B154" s="703" t="inlineStr">
        <is>
          <t>SLA Metric Reporting</t>
        </is>
      </c>
      <c r="D154" s="704" t="n">
        <v>0</v>
      </c>
      <c r="E154" s="704" t="n">
        <v>0</v>
      </c>
      <c r="F154" s="704" t="n">
        <v>0</v>
      </c>
      <c r="G154" s="704" t="n">
        <v>0</v>
      </c>
      <c r="H154" s="704" t="n">
        <v>0</v>
      </c>
      <c r="I154" s="704" t="n">
        <v>0</v>
      </c>
      <c r="J154" s="704" t="n">
        <v>0</v>
      </c>
      <c r="K154" s="704" t="n">
        <v>0</v>
      </c>
      <c r="L154" s="704" t="n">
        <v>0</v>
      </c>
      <c r="M154" s="704" t="n">
        <v>0</v>
      </c>
      <c r="N154" s="704" t="n">
        <v>0</v>
      </c>
      <c r="O154" s="704" t="n">
        <v>0</v>
      </c>
      <c r="P154" s="704" t="n">
        <v>0</v>
      </c>
      <c r="Q154" s="704" t="n">
        <v>0</v>
      </c>
      <c r="R154" s="704" t="n">
        <v>0</v>
      </c>
      <c r="S154" s="704" t="n">
        <v>0</v>
      </c>
      <c r="T154" s="704" t="n">
        <v>0</v>
      </c>
      <c r="U154" s="704" t="n">
        <v>0</v>
      </c>
      <c r="V154" s="704" t="n">
        <v>0</v>
      </c>
      <c r="W154" s="704" t="n">
        <v>0</v>
      </c>
      <c r="X154" s="704" t="n">
        <v>0</v>
      </c>
      <c r="Y154" s="704" t="n">
        <v>0</v>
      </c>
      <c r="Z154" s="704" t="n">
        <v>0</v>
      </c>
      <c r="AA154" s="704" t="n">
        <v>0</v>
      </c>
      <c r="AB154" s="704" t="n">
        <v>0</v>
      </c>
      <c r="AC154" s="704" t="n">
        <v>0</v>
      </c>
      <c r="AD154" s="704" t="n">
        <v>0</v>
      </c>
      <c r="AE154" s="704" t="n">
        <v>0</v>
      </c>
      <c r="AF154" s="704" t="n">
        <v>0</v>
      </c>
      <c r="AG154" s="704" t="n">
        <v>0</v>
      </c>
      <c r="AH154" s="704" t="n">
        <v>0</v>
      </c>
      <c r="AI154" s="704" t="n">
        <v>0</v>
      </c>
      <c r="AJ154" s="704" t="n">
        <v>0</v>
      </c>
      <c r="AK154" s="704" t="n">
        <v>0</v>
      </c>
      <c r="AL154" s="704" t="n">
        <v>0</v>
      </c>
      <c r="AM154" s="704" t="n">
        <v>0</v>
      </c>
      <c r="AN154" s="704" t="n">
        <v>0</v>
      </c>
      <c r="AO154" s="704" t="n">
        <v>0</v>
      </c>
      <c r="AP154" s="704" t="n">
        <v>0</v>
      </c>
      <c r="AQ154" s="704" t="n">
        <v>0</v>
      </c>
      <c r="AR154" s="704" t="n">
        <v>0</v>
      </c>
      <c r="AS154" s="704" t="n">
        <v>0</v>
      </c>
      <c r="AT154" s="704" t="n">
        <v>0</v>
      </c>
      <c r="AU154" s="704" t="n">
        <v>0</v>
      </c>
      <c r="AV154" s="704" t="n">
        <v>0</v>
      </c>
      <c r="AW154" s="704" t="n">
        <v>0</v>
      </c>
      <c r="AX154" s="704" t="n">
        <v>0</v>
      </c>
      <c r="AY154" s="704" t="n">
        <v>0</v>
      </c>
      <c r="AZ154" s="704" t="n">
        <v>0</v>
      </c>
      <c r="BA154" s="704" t="n">
        <v>0</v>
      </c>
      <c r="BB154" s="704" t="n">
        <v>0</v>
      </c>
      <c r="BC154" s="704" t="n">
        <v>0</v>
      </c>
      <c r="BD154" s="704" t="n">
        <v>0</v>
      </c>
      <c r="BE154" s="704" t="n">
        <v>0</v>
      </c>
      <c r="BF154" s="704" t="n">
        <v>0</v>
      </c>
      <c r="BG154" s="704" t="n">
        <v>0</v>
      </c>
      <c r="BH154" s="704" t="n">
        <v>0</v>
      </c>
      <c r="BI154" s="704" t="n">
        <v>0</v>
      </c>
      <c r="BJ154" s="704" t="n">
        <v>0</v>
      </c>
      <c r="BK154" s="704" t="n">
        <v>0</v>
      </c>
      <c r="BL154" s="704" t="n">
        <v>0</v>
      </c>
      <c r="BM154" s="704" t="n">
        <v>0</v>
      </c>
      <c r="BN154" s="704" t="n">
        <v>0</v>
      </c>
      <c r="BO154" s="704" t="n">
        <v>0</v>
      </c>
      <c r="BP154" s="704" t="n">
        <v>0</v>
      </c>
      <c r="BQ154" s="704" t="n">
        <v>0</v>
      </c>
      <c r="BR154" s="704" t="n">
        <v>0</v>
      </c>
      <c r="BS154" s="704" t="n">
        <v>0</v>
      </c>
      <c r="BT154" s="704" t="n">
        <v>0</v>
      </c>
      <c r="BU154" s="704" t="n">
        <v>0</v>
      </c>
      <c r="BV154" s="704" t="n">
        <v>0</v>
      </c>
      <c r="BW154" s="704" t="n">
        <v>0</v>
      </c>
      <c r="BX154" s="704" t="n">
        <v>0</v>
      </c>
      <c r="BY154" s="704" t="n">
        <v>0</v>
      </c>
      <c r="BZ154" s="704" t="n">
        <v>0</v>
      </c>
      <c r="CA154" s="704" t="n">
        <v>0</v>
      </c>
      <c r="CB154" s="704" t="n">
        <v>0</v>
      </c>
      <c r="CC154" s="704" t="n">
        <v>0</v>
      </c>
      <c r="CD154" s="704" t="n">
        <v>0</v>
      </c>
      <c r="CE154" s="704" t="n">
        <v>0</v>
      </c>
      <c r="CF154" s="704" t="n">
        <v>0</v>
      </c>
      <c r="CG154" s="704" t="n">
        <v>0</v>
      </c>
      <c r="CH154" s="704" t="n">
        <v>0</v>
      </c>
      <c r="CI154" s="704" t="n">
        <v>0</v>
      </c>
      <c r="CJ154" s="704" t="n">
        <v>0</v>
      </c>
      <c r="CK154" s="704" t="n">
        <v>0</v>
      </c>
      <c r="CL154" s="704" t="n">
        <v>0</v>
      </c>
      <c r="CM154" s="704" t="n">
        <v>0</v>
      </c>
      <c r="CN154" s="704" t="n">
        <v>0</v>
      </c>
      <c r="CO154" s="704" t="n">
        <v>0</v>
      </c>
      <c r="CP154" s="704" t="n">
        <v>0</v>
      </c>
      <c r="CQ154" s="704" t="n">
        <v>0</v>
      </c>
      <c r="CR154" s="704" t="n">
        <v>0</v>
      </c>
      <c r="CS154" s="704" t="n">
        <v>0</v>
      </c>
      <c r="CT154" s="704" t="n">
        <v>0</v>
      </c>
      <c r="CU154" s="704" t="n">
        <v>0</v>
      </c>
      <c r="CV154" s="704" t="n">
        <v>0</v>
      </c>
      <c r="CW154" s="704" t="n">
        <v>0</v>
      </c>
      <c r="CX154" s="704" t="n">
        <v>0</v>
      </c>
      <c r="CY154" s="704" t="n">
        <v>0</v>
      </c>
      <c r="CZ154" s="704" t="n">
        <v>0</v>
      </c>
      <c r="DA154" s="704" t="n">
        <v>0</v>
      </c>
      <c r="DB154" s="704" t="n">
        <v>0</v>
      </c>
      <c r="DC154" s="704" t="n">
        <v>0</v>
      </c>
      <c r="DD154" s="704" t="n">
        <v>0</v>
      </c>
      <c r="DE154" s="704" t="n">
        <v>0</v>
      </c>
      <c r="DF154" s="704" t="n">
        <v>0</v>
      </c>
      <c r="DG154" s="704" t="n">
        <v>0</v>
      </c>
      <c r="DH154" s="704" t="n">
        <v>0</v>
      </c>
      <c r="DI154" s="704" t="n">
        <v>0</v>
      </c>
      <c r="DJ154" s="704" t="n">
        <v>0</v>
      </c>
      <c r="DK154" s="704" t="n">
        <v>0</v>
      </c>
      <c r="DL154" s="704" t="n">
        <v>0</v>
      </c>
      <c r="DM154" s="704" t="n">
        <v>0</v>
      </c>
    </row>
    <row r="155" ht="13.5" customHeight="1" s="355">
      <c r="B155" s="705" t="inlineStr">
        <is>
          <t>Grand Total</t>
        </is>
      </c>
      <c r="C155" s="706" t="n"/>
      <c r="D155" s="707" t="n">
        <v>0</v>
      </c>
      <c r="E155" s="707" t="n">
        <v>0</v>
      </c>
      <c r="F155" s="707" t="n">
        <v>0</v>
      </c>
      <c r="G155" s="707" t="n">
        <v>0</v>
      </c>
      <c r="H155" s="707" t="n">
        <v>0</v>
      </c>
      <c r="I155" s="707" t="n">
        <v>0</v>
      </c>
      <c r="J155" s="707" t="n">
        <v>0</v>
      </c>
      <c r="K155" s="707" t="n">
        <v>0</v>
      </c>
      <c r="L155" s="707" t="n">
        <v>0</v>
      </c>
      <c r="M155" s="707" t="n">
        <v>0</v>
      </c>
      <c r="N155" s="707" t="n">
        <v>0</v>
      </c>
      <c r="O155" s="707" t="n">
        <v>0</v>
      </c>
      <c r="P155" s="707" t="n">
        <v>0</v>
      </c>
      <c r="Q155" s="707" t="n">
        <v>0</v>
      </c>
      <c r="R155" s="707" t="n">
        <v>0</v>
      </c>
      <c r="S155" s="707" t="n">
        <v>0</v>
      </c>
      <c r="T155" s="707" t="n">
        <v>0</v>
      </c>
      <c r="U155" s="707" t="n">
        <v>0</v>
      </c>
      <c r="V155" s="707" t="n">
        <v>0</v>
      </c>
      <c r="W155" s="707" t="n">
        <v>0</v>
      </c>
      <c r="X155" s="707" t="n">
        <v>0</v>
      </c>
      <c r="Y155" s="707" t="n">
        <v>0</v>
      </c>
      <c r="Z155" s="707" t="n">
        <v>0</v>
      </c>
      <c r="AA155" s="707" t="n">
        <v>0</v>
      </c>
      <c r="AB155" s="707" t="n">
        <v>0</v>
      </c>
      <c r="AC155" s="707" t="n">
        <v>0</v>
      </c>
      <c r="AD155" s="707" t="n">
        <v>0</v>
      </c>
      <c r="AE155" s="707" t="n">
        <v>0</v>
      </c>
      <c r="AF155" s="707" t="n">
        <v>0</v>
      </c>
      <c r="AG155" s="707" t="n">
        <v>0</v>
      </c>
      <c r="AH155" s="707" t="n">
        <v>0</v>
      </c>
      <c r="AI155" s="707" t="n">
        <v>0</v>
      </c>
      <c r="AJ155" s="707" t="n">
        <v>0</v>
      </c>
      <c r="AK155" s="707" t="n">
        <v>0</v>
      </c>
      <c r="AL155" s="707" t="n">
        <v>0</v>
      </c>
      <c r="AM155" s="707" t="n">
        <v>0</v>
      </c>
      <c r="AN155" s="707" t="n">
        <v>0</v>
      </c>
      <c r="AO155" s="707" t="n">
        <v>0</v>
      </c>
      <c r="AP155" s="707" t="n">
        <v>0</v>
      </c>
      <c r="AQ155" s="707" t="n">
        <v>0</v>
      </c>
      <c r="AR155" s="707" t="n">
        <v>0</v>
      </c>
      <c r="AS155" s="707" t="n">
        <v>0</v>
      </c>
      <c r="AT155" s="707" t="n">
        <v>0</v>
      </c>
      <c r="AU155" s="707" t="n">
        <v>0</v>
      </c>
      <c r="AV155" s="707" t="n">
        <v>0</v>
      </c>
      <c r="AW155" s="707" t="n">
        <v>0</v>
      </c>
      <c r="AX155" s="707" t="n">
        <v>0</v>
      </c>
      <c r="AY155" s="707" t="n">
        <v>0</v>
      </c>
      <c r="AZ155" s="707" t="n">
        <v>0</v>
      </c>
      <c r="BA155" s="707" t="n">
        <v>0</v>
      </c>
      <c r="BB155" s="707" t="n">
        <v>0</v>
      </c>
      <c r="BC155" s="707" t="n">
        <v>0</v>
      </c>
      <c r="BD155" s="707" t="n">
        <v>0</v>
      </c>
      <c r="BE155" s="707" t="n">
        <v>0</v>
      </c>
      <c r="BF155" s="707" t="n">
        <v>0</v>
      </c>
      <c r="BG155" s="707" t="n">
        <v>0</v>
      </c>
      <c r="BH155" s="707" t="n">
        <v>0</v>
      </c>
      <c r="BI155" s="707" t="n">
        <v>0</v>
      </c>
      <c r="BJ155" s="707" t="n">
        <v>0</v>
      </c>
      <c r="BK155" s="707" t="n">
        <v>0</v>
      </c>
      <c r="BL155" s="707" t="n">
        <v>0</v>
      </c>
      <c r="BM155" s="707" t="n">
        <v>0</v>
      </c>
      <c r="BN155" s="707" t="n">
        <v>0</v>
      </c>
      <c r="BO155" s="707" t="n">
        <v>0</v>
      </c>
      <c r="BP155" s="707" t="n">
        <v>0</v>
      </c>
      <c r="BQ155" s="707" t="n">
        <v>0</v>
      </c>
      <c r="BR155" s="707" t="n">
        <v>0</v>
      </c>
      <c r="BS155" s="707" t="n">
        <v>0</v>
      </c>
      <c r="BT155" s="707" t="n">
        <v>0</v>
      </c>
      <c r="BU155" s="707" t="n">
        <v>0</v>
      </c>
      <c r="BV155" s="707" t="n">
        <v>0</v>
      </c>
      <c r="BW155" s="707" t="n">
        <v>0</v>
      </c>
      <c r="BX155" s="707" t="n">
        <v>0</v>
      </c>
      <c r="BY155" s="707" t="n">
        <v>0</v>
      </c>
      <c r="BZ155" s="707" t="n">
        <v>0</v>
      </c>
      <c r="CA155" s="707" t="n">
        <v>0</v>
      </c>
      <c r="CB155" s="707" t="n">
        <v>0</v>
      </c>
      <c r="CC155" s="707" t="n">
        <v>0</v>
      </c>
      <c r="CD155" s="707" t="n">
        <v>0</v>
      </c>
      <c r="CE155" s="707" t="n">
        <v>0</v>
      </c>
      <c r="CF155" s="707" t="n">
        <v>0</v>
      </c>
      <c r="CG155" s="707" t="n">
        <v>0</v>
      </c>
      <c r="CH155" s="707" t="n">
        <v>0</v>
      </c>
      <c r="CI155" s="707" t="n">
        <v>0</v>
      </c>
      <c r="CJ155" s="707" t="n">
        <v>0</v>
      </c>
      <c r="CK155" s="707" t="n">
        <v>0</v>
      </c>
      <c r="CL155" s="707" t="n">
        <v>0</v>
      </c>
      <c r="CM155" s="707" t="n">
        <v>0</v>
      </c>
      <c r="CN155" s="707" t="n">
        <v>0</v>
      </c>
      <c r="CO155" s="707" t="n">
        <v>0</v>
      </c>
      <c r="CP155" s="707" t="n">
        <v>0</v>
      </c>
      <c r="CQ155" s="707" t="n">
        <v>0</v>
      </c>
      <c r="CR155" s="707" t="n">
        <v>0</v>
      </c>
      <c r="CS155" s="707" t="n">
        <v>0</v>
      </c>
      <c r="CT155" s="707" t="n">
        <v>0</v>
      </c>
      <c r="CU155" s="707" t="n">
        <v>0</v>
      </c>
      <c r="CV155" s="707" t="n">
        <v>0</v>
      </c>
      <c r="CW155" s="707" t="n">
        <v>0</v>
      </c>
      <c r="CX155" s="707" t="n">
        <v>0</v>
      </c>
      <c r="CY155" s="707" t="n">
        <v>0</v>
      </c>
      <c r="CZ155" s="707" t="n">
        <v>0</v>
      </c>
      <c r="DA155" s="707" t="n">
        <v>0</v>
      </c>
      <c r="DB155" s="707" t="n">
        <v>0</v>
      </c>
      <c r="DC155" s="707" t="n">
        <v>0</v>
      </c>
      <c r="DD155" s="707" t="n">
        <v>0</v>
      </c>
      <c r="DE155" s="707" t="n">
        <v>0</v>
      </c>
      <c r="DF155" s="707" t="n">
        <v>0</v>
      </c>
      <c r="DG155" s="707" t="n">
        <v>0</v>
      </c>
      <c r="DH155" s="707" t="n">
        <v>0</v>
      </c>
      <c r="DI155" s="707" t="n">
        <v>0</v>
      </c>
      <c r="DJ155" s="707" t="n">
        <v>0</v>
      </c>
      <c r="DK155" s="707" t="n">
        <v>0</v>
      </c>
      <c r="DL155" s="707" t="n">
        <v>0</v>
      </c>
      <c r="DM155" s="707" t="n">
        <v>0</v>
      </c>
    </row>
    <row r="156" ht="13.5" customHeight="1" s="355">
      <c r="A156" s="702" t="inlineStr">
        <is>
          <t>Country 15</t>
        </is>
      </c>
      <c r="B156" s="703" t="inlineStr">
        <is>
          <t>Gen Acctg</t>
        </is>
      </c>
      <c r="D156" s="704" t="n">
        <v>0</v>
      </c>
      <c r="E156" s="704" t="n">
        <v>0</v>
      </c>
      <c r="F156" s="704" t="n">
        <v>0</v>
      </c>
      <c r="G156" s="704" t="n">
        <v>0</v>
      </c>
      <c r="H156" s="704" t="n">
        <v>0</v>
      </c>
      <c r="I156" s="704" t="n">
        <v>0</v>
      </c>
      <c r="J156" s="704" t="n">
        <v>0</v>
      </c>
      <c r="K156" s="704" t="n">
        <v>0</v>
      </c>
      <c r="L156" s="704" t="n">
        <v>0</v>
      </c>
      <c r="M156" s="704" t="n">
        <v>0</v>
      </c>
      <c r="N156" s="704" t="n">
        <v>0</v>
      </c>
      <c r="O156" s="704" t="n">
        <v>0</v>
      </c>
      <c r="P156" s="704" t="n">
        <v>0</v>
      </c>
      <c r="Q156" s="704" t="n">
        <v>0</v>
      </c>
      <c r="R156" s="704" t="n">
        <v>0</v>
      </c>
      <c r="S156" s="704" t="n">
        <v>0</v>
      </c>
      <c r="T156" s="704" t="n">
        <v>0</v>
      </c>
      <c r="U156" s="704" t="n">
        <v>0</v>
      </c>
      <c r="V156" s="704" t="n">
        <v>0</v>
      </c>
      <c r="W156" s="704" t="n">
        <v>0</v>
      </c>
      <c r="X156" s="704" t="n">
        <v>0</v>
      </c>
      <c r="Y156" s="704" t="n">
        <v>0</v>
      </c>
      <c r="Z156" s="704" t="n">
        <v>0</v>
      </c>
      <c r="AA156" s="704" t="n">
        <v>0</v>
      </c>
      <c r="AB156" s="704" t="n">
        <v>0</v>
      </c>
      <c r="AC156" s="704" t="n">
        <v>0</v>
      </c>
      <c r="AD156" s="704" t="n">
        <v>0</v>
      </c>
      <c r="AE156" s="704" t="n">
        <v>0</v>
      </c>
      <c r="AF156" s="704" t="n">
        <v>0</v>
      </c>
      <c r="AG156" s="704" t="n">
        <v>0</v>
      </c>
      <c r="AH156" s="704" t="n">
        <v>0</v>
      </c>
      <c r="AI156" s="704" t="n">
        <v>0</v>
      </c>
      <c r="AJ156" s="704" t="n">
        <v>0</v>
      </c>
      <c r="AK156" s="704" t="n">
        <v>0</v>
      </c>
      <c r="AL156" s="704" t="n">
        <v>0</v>
      </c>
      <c r="AM156" s="704" t="n">
        <v>0</v>
      </c>
      <c r="AN156" s="704" t="n">
        <v>0</v>
      </c>
      <c r="AO156" s="704" t="n">
        <v>0</v>
      </c>
      <c r="AP156" s="704" t="n">
        <v>0</v>
      </c>
      <c r="AQ156" s="704" t="n">
        <v>0</v>
      </c>
      <c r="AR156" s="704" t="n">
        <v>0</v>
      </c>
      <c r="AS156" s="704" t="n">
        <v>0</v>
      </c>
      <c r="AT156" s="704" t="n">
        <v>0</v>
      </c>
      <c r="AU156" s="704" t="n">
        <v>0</v>
      </c>
      <c r="AV156" s="704" t="n">
        <v>0</v>
      </c>
      <c r="AW156" s="704" t="n">
        <v>0</v>
      </c>
      <c r="AX156" s="704" t="n">
        <v>0</v>
      </c>
      <c r="AY156" s="704" t="n">
        <v>0</v>
      </c>
      <c r="AZ156" s="704" t="n">
        <v>0</v>
      </c>
      <c r="BA156" s="704" t="n">
        <v>0</v>
      </c>
      <c r="BB156" s="704" t="n">
        <v>0</v>
      </c>
      <c r="BC156" s="704" t="n">
        <v>0</v>
      </c>
      <c r="BD156" s="704" t="n">
        <v>0</v>
      </c>
      <c r="BE156" s="704" t="n">
        <v>0</v>
      </c>
      <c r="BF156" s="704" t="n">
        <v>0</v>
      </c>
      <c r="BG156" s="704" t="n">
        <v>0</v>
      </c>
      <c r="BH156" s="704" t="n">
        <v>0</v>
      </c>
      <c r="BI156" s="704" t="n">
        <v>0</v>
      </c>
      <c r="BJ156" s="704" t="n">
        <v>0</v>
      </c>
      <c r="BK156" s="704" t="n">
        <v>0</v>
      </c>
      <c r="BL156" s="704" t="n">
        <v>0</v>
      </c>
      <c r="BM156" s="704" t="n">
        <v>0</v>
      </c>
      <c r="BN156" s="704" t="n">
        <v>0</v>
      </c>
      <c r="BO156" s="704" t="n">
        <v>0</v>
      </c>
      <c r="BP156" s="704" t="n">
        <v>0</v>
      </c>
      <c r="BQ156" s="704" t="n">
        <v>0</v>
      </c>
      <c r="BR156" s="704" t="n">
        <v>0</v>
      </c>
      <c r="BS156" s="704" t="n">
        <v>0</v>
      </c>
      <c r="BT156" s="704" t="n">
        <v>0</v>
      </c>
      <c r="BU156" s="704" t="n">
        <v>0</v>
      </c>
      <c r="BV156" s="704" t="n">
        <v>0</v>
      </c>
      <c r="BW156" s="704" t="n">
        <v>0</v>
      </c>
      <c r="BX156" s="704" t="n">
        <v>0</v>
      </c>
      <c r="BY156" s="704" t="n">
        <v>0</v>
      </c>
      <c r="BZ156" s="704" t="n">
        <v>0</v>
      </c>
      <c r="CA156" s="704" t="n">
        <v>0</v>
      </c>
      <c r="CB156" s="704" t="n">
        <v>0</v>
      </c>
      <c r="CC156" s="704" t="n">
        <v>0</v>
      </c>
      <c r="CD156" s="704" t="n">
        <v>0</v>
      </c>
      <c r="CE156" s="704" t="n">
        <v>0</v>
      </c>
      <c r="CF156" s="704" t="n">
        <v>0</v>
      </c>
      <c r="CG156" s="704" t="n">
        <v>0</v>
      </c>
      <c r="CH156" s="704" t="n">
        <v>0</v>
      </c>
      <c r="CI156" s="704" t="n">
        <v>0</v>
      </c>
      <c r="CJ156" s="704" t="n">
        <v>0</v>
      </c>
      <c r="CK156" s="704" t="n">
        <v>0</v>
      </c>
      <c r="CL156" s="704" t="n">
        <v>0</v>
      </c>
      <c r="CM156" s="704" t="n">
        <v>0</v>
      </c>
      <c r="CN156" s="704" t="n">
        <v>0</v>
      </c>
      <c r="CO156" s="704" t="n">
        <v>0</v>
      </c>
      <c r="CP156" s="704" t="n">
        <v>0</v>
      </c>
      <c r="CQ156" s="704" t="n">
        <v>0</v>
      </c>
      <c r="CR156" s="704" t="n">
        <v>0</v>
      </c>
      <c r="CS156" s="704" t="n">
        <v>0</v>
      </c>
      <c r="CT156" s="704" t="n">
        <v>0</v>
      </c>
      <c r="CU156" s="704" t="n">
        <v>0</v>
      </c>
      <c r="CV156" s="704" t="n">
        <v>0</v>
      </c>
      <c r="CW156" s="704" t="n">
        <v>0</v>
      </c>
      <c r="CX156" s="704" t="n">
        <v>0</v>
      </c>
      <c r="CY156" s="704" t="n">
        <v>0</v>
      </c>
      <c r="CZ156" s="704" t="n">
        <v>0</v>
      </c>
      <c r="DA156" s="704" t="n">
        <v>0</v>
      </c>
      <c r="DB156" s="704" t="n">
        <v>0</v>
      </c>
      <c r="DC156" s="704" t="n">
        <v>0</v>
      </c>
      <c r="DD156" s="704" t="n">
        <v>0</v>
      </c>
      <c r="DE156" s="704" t="n">
        <v>0</v>
      </c>
      <c r="DF156" s="704" t="n">
        <v>0</v>
      </c>
      <c r="DG156" s="704" t="n">
        <v>0</v>
      </c>
      <c r="DH156" s="704" t="n">
        <v>0</v>
      </c>
      <c r="DI156" s="704" t="n">
        <v>0</v>
      </c>
      <c r="DJ156" s="704" t="n">
        <v>0</v>
      </c>
      <c r="DK156" s="704" t="n">
        <v>0</v>
      </c>
      <c r="DL156" s="704" t="n">
        <v>0</v>
      </c>
      <c r="DM156" s="704" t="n">
        <v>0</v>
      </c>
    </row>
    <row r="157" ht="13.5" customHeight="1" s="355">
      <c r="B157" s="703" t="inlineStr">
        <is>
          <t>Reporting</t>
        </is>
      </c>
      <c r="D157" s="704" t="n">
        <v>0</v>
      </c>
      <c r="E157" s="704" t="n">
        <v>0</v>
      </c>
      <c r="F157" s="704" t="n">
        <v>0</v>
      </c>
      <c r="G157" s="704" t="n">
        <v>0</v>
      </c>
      <c r="H157" s="704" t="n">
        <v>0</v>
      </c>
      <c r="I157" s="704" t="n">
        <v>0</v>
      </c>
      <c r="J157" s="704" t="n">
        <v>0</v>
      </c>
      <c r="K157" s="704" t="n">
        <v>0</v>
      </c>
      <c r="L157" s="704" t="n">
        <v>0</v>
      </c>
      <c r="M157" s="704" t="n">
        <v>0</v>
      </c>
      <c r="N157" s="704" t="n">
        <v>0</v>
      </c>
      <c r="O157" s="704" t="n">
        <v>0</v>
      </c>
      <c r="P157" s="704" t="n">
        <v>0</v>
      </c>
      <c r="Q157" s="704" t="n">
        <v>0</v>
      </c>
      <c r="R157" s="704" t="n">
        <v>0</v>
      </c>
      <c r="S157" s="704" t="n">
        <v>0</v>
      </c>
      <c r="T157" s="704" t="n">
        <v>0</v>
      </c>
      <c r="U157" s="704" t="n">
        <v>0</v>
      </c>
      <c r="V157" s="704" t="n">
        <v>0</v>
      </c>
      <c r="W157" s="704" t="n">
        <v>0</v>
      </c>
      <c r="X157" s="704" t="n">
        <v>0</v>
      </c>
      <c r="Y157" s="704" t="n">
        <v>0</v>
      </c>
      <c r="Z157" s="704" t="n">
        <v>0</v>
      </c>
      <c r="AA157" s="704" t="n">
        <v>0</v>
      </c>
      <c r="AB157" s="704" t="n">
        <v>0</v>
      </c>
      <c r="AC157" s="704" t="n">
        <v>0</v>
      </c>
      <c r="AD157" s="704" t="n">
        <v>0</v>
      </c>
      <c r="AE157" s="704" t="n">
        <v>0</v>
      </c>
      <c r="AF157" s="704" t="n">
        <v>0</v>
      </c>
      <c r="AG157" s="704" t="n">
        <v>0</v>
      </c>
      <c r="AH157" s="704" t="n">
        <v>0</v>
      </c>
      <c r="AI157" s="704" t="n">
        <v>0</v>
      </c>
      <c r="AJ157" s="704" t="n">
        <v>0</v>
      </c>
      <c r="AK157" s="704" t="n">
        <v>0</v>
      </c>
      <c r="AL157" s="704" t="n">
        <v>0</v>
      </c>
      <c r="AM157" s="704" t="n">
        <v>0</v>
      </c>
      <c r="AN157" s="704" t="n">
        <v>0</v>
      </c>
      <c r="AO157" s="704" t="n">
        <v>0</v>
      </c>
      <c r="AP157" s="704" t="n">
        <v>0</v>
      </c>
      <c r="AQ157" s="704" t="n">
        <v>0</v>
      </c>
      <c r="AR157" s="704" t="n">
        <v>0</v>
      </c>
      <c r="AS157" s="704" t="n">
        <v>0</v>
      </c>
      <c r="AT157" s="704" t="n">
        <v>0</v>
      </c>
      <c r="AU157" s="704" t="n">
        <v>0</v>
      </c>
      <c r="AV157" s="704" t="n">
        <v>0</v>
      </c>
      <c r="AW157" s="704" t="n">
        <v>0</v>
      </c>
      <c r="AX157" s="704" t="n">
        <v>0</v>
      </c>
      <c r="AY157" s="704" t="n">
        <v>0</v>
      </c>
      <c r="AZ157" s="704" t="n">
        <v>0</v>
      </c>
      <c r="BA157" s="704" t="n">
        <v>0</v>
      </c>
      <c r="BB157" s="704" t="n">
        <v>0</v>
      </c>
      <c r="BC157" s="704" t="n">
        <v>0</v>
      </c>
      <c r="BD157" s="704" t="n">
        <v>0</v>
      </c>
      <c r="BE157" s="704" t="n">
        <v>0</v>
      </c>
      <c r="BF157" s="704" t="n">
        <v>0</v>
      </c>
      <c r="BG157" s="704" t="n">
        <v>0</v>
      </c>
      <c r="BH157" s="704" t="n">
        <v>0</v>
      </c>
      <c r="BI157" s="704" t="n">
        <v>0</v>
      </c>
      <c r="BJ157" s="704" t="n">
        <v>0</v>
      </c>
      <c r="BK157" s="704" t="n">
        <v>0</v>
      </c>
      <c r="BL157" s="704" t="n">
        <v>0</v>
      </c>
      <c r="BM157" s="704" t="n">
        <v>0</v>
      </c>
      <c r="BN157" s="704" t="n">
        <v>0</v>
      </c>
      <c r="BO157" s="704" t="n">
        <v>0</v>
      </c>
      <c r="BP157" s="704" t="n">
        <v>0</v>
      </c>
      <c r="BQ157" s="704" t="n">
        <v>0</v>
      </c>
      <c r="BR157" s="704" t="n">
        <v>0</v>
      </c>
      <c r="BS157" s="704" t="n">
        <v>0</v>
      </c>
      <c r="BT157" s="704" t="n">
        <v>0</v>
      </c>
      <c r="BU157" s="704" t="n">
        <v>0</v>
      </c>
      <c r="BV157" s="704" t="n">
        <v>0</v>
      </c>
      <c r="BW157" s="704" t="n">
        <v>0</v>
      </c>
      <c r="BX157" s="704" t="n">
        <v>0</v>
      </c>
      <c r="BY157" s="704" t="n">
        <v>0</v>
      </c>
      <c r="BZ157" s="704" t="n">
        <v>0</v>
      </c>
      <c r="CA157" s="704" t="n">
        <v>0</v>
      </c>
      <c r="CB157" s="704" t="n">
        <v>0</v>
      </c>
      <c r="CC157" s="704" t="n">
        <v>0</v>
      </c>
      <c r="CD157" s="704" t="n">
        <v>0</v>
      </c>
      <c r="CE157" s="704" t="n">
        <v>0</v>
      </c>
      <c r="CF157" s="704" t="n">
        <v>0</v>
      </c>
      <c r="CG157" s="704" t="n">
        <v>0</v>
      </c>
      <c r="CH157" s="704" t="n">
        <v>0</v>
      </c>
      <c r="CI157" s="704" t="n">
        <v>0</v>
      </c>
      <c r="CJ157" s="704" t="n">
        <v>0</v>
      </c>
      <c r="CK157" s="704" t="n">
        <v>0</v>
      </c>
      <c r="CL157" s="704" t="n">
        <v>0</v>
      </c>
      <c r="CM157" s="704" t="n">
        <v>0</v>
      </c>
      <c r="CN157" s="704" t="n">
        <v>0</v>
      </c>
      <c r="CO157" s="704" t="n">
        <v>0</v>
      </c>
      <c r="CP157" s="704" t="n">
        <v>0</v>
      </c>
      <c r="CQ157" s="704" t="n">
        <v>0</v>
      </c>
      <c r="CR157" s="704" t="n">
        <v>0</v>
      </c>
      <c r="CS157" s="704" t="n">
        <v>0</v>
      </c>
      <c r="CT157" s="704" t="n">
        <v>0</v>
      </c>
      <c r="CU157" s="704" t="n">
        <v>0</v>
      </c>
      <c r="CV157" s="704" t="n">
        <v>0</v>
      </c>
      <c r="CW157" s="704" t="n">
        <v>0</v>
      </c>
      <c r="CX157" s="704" t="n">
        <v>0</v>
      </c>
      <c r="CY157" s="704" t="n">
        <v>0</v>
      </c>
      <c r="CZ157" s="704" t="n">
        <v>0</v>
      </c>
      <c r="DA157" s="704" t="n">
        <v>0</v>
      </c>
      <c r="DB157" s="704" t="n">
        <v>0</v>
      </c>
      <c r="DC157" s="704" t="n">
        <v>0</v>
      </c>
      <c r="DD157" s="704" t="n">
        <v>0</v>
      </c>
      <c r="DE157" s="704" t="n">
        <v>0</v>
      </c>
      <c r="DF157" s="704" t="n">
        <v>0</v>
      </c>
      <c r="DG157" s="704" t="n">
        <v>0</v>
      </c>
      <c r="DH157" s="704" t="n">
        <v>0</v>
      </c>
      <c r="DI157" s="704" t="n">
        <v>0</v>
      </c>
      <c r="DJ157" s="704" t="n">
        <v>0</v>
      </c>
      <c r="DK157" s="704" t="n">
        <v>0</v>
      </c>
      <c r="DL157" s="704" t="n">
        <v>0</v>
      </c>
      <c r="DM157" s="704" t="n">
        <v>0</v>
      </c>
    </row>
    <row r="158" ht="13.5" customHeight="1" s="355">
      <c r="B158" s="703" t="inlineStr">
        <is>
          <t>Fixed Assets</t>
        </is>
      </c>
      <c r="D158" s="704" t="n">
        <v>0</v>
      </c>
      <c r="E158" s="704" t="n">
        <v>0</v>
      </c>
      <c r="F158" s="704" t="n">
        <v>0</v>
      </c>
      <c r="G158" s="704" t="n">
        <v>0</v>
      </c>
      <c r="H158" s="704" t="n">
        <v>0</v>
      </c>
      <c r="I158" s="704" t="n">
        <v>0</v>
      </c>
      <c r="J158" s="704" t="n">
        <v>0</v>
      </c>
      <c r="K158" s="704" t="n">
        <v>0</v>
      </c>
      <c r="L158" s="704" t="n">
        <v>0</v>
      </c>
      <c r="M158" s="704" t="n">
        <v>0</v>
      </c>
      <c r="N158" s="704" t="n">
        <v>0</v>
      </c>
      <c r="O158" s="704" t="n">
        <v>0</v>
      </c>
      <c r="P158" s="704" t="n">
        <v>0</v>
      </c>
      <c r="Q158" s="704" t="n">
        <v>0</v>
      </c>
      <c r="R158" s="704" t="n">
        <v>0</v>
      </c>
      <c r="S158" s="704" t="n">
        <v>0</v>
      </c>
      <c r="T158" s="704" t="n">
        <v>0</v>
      </c>
      <c r="U158" s="704" t="n">
        <v>0</v>
      </c>
      <c r="V158" s="704" t="n">
        <v>0</v>
      </c>
      <c r="W158" s="704" t="n">
        <v>0</v>
      </c>
      <c r="X158" s="704" t="n">
        <v>0</v>
      </c>
      <c r="Y158" s="704" t="n">
        <v>0</v>
      </c>
      <c r="Z158" s="704" t="n">
        <v>0</v>
      </c>
      <c r="AA158" s="704" t="n">
        <v>0</v>
      </c>
      <c r="AB158" s="704" t="n">
        <v>0</v>
      </c>
      <c r="AC158" s="704" t="n">
        <v>0</v>
      </c>
      <c r="AD158" s="704" t="n">
        <v>0</v>
      </c>
      <c r="AE158" s="704" t="n">
        <v>0</v>
      </c>
      <c r="AF158" s="704" t="n">
        <v>0</v>
      </c>
      <c r="AG158" s="704" t="n">
        <v>0</v>
      </c>
      <c r="AH158" s="704" t="n">
        <v>0</v>
      </c>
      <c r="AI158" s="704" t="n">
        <v>0</v>
      </c>
      <c r="AJ158" s="704" t="n">
        <v>0</v>
      </c>
      <c r="AK158" s="704" t="n">
        <v>0</v>
      </c>
      <c r="AL158" s="704" t="n">
        <v>0</v>
      </c>
      <c r="AM158" s="704" t="n">
        <v>0</v>
      </c>
      <c r="AN158" s="704" t="n">
        <v>0</v>
      </c>
      <c r="AO158" s="704" t="n">
        <v>0</v>
      </c>
      <c r="AP158" s="704" t="n">
        <v>0</v>
      </c>
      <c r="AQ158" s="704" t="n">
        <v>0</v>
      </c>
      <c r="AR158" s="704" t="n">
        <v>0</v>
      </c>
      <c r="AS158" s="704" t="n">
        <v>0</v>
      </c>
      <c r="AT158" s="704" t="n">
        <v>0</v>
      </c>
      <c r="AU158" s="704" t="n">
        <v>0</v>
      </c>
      <c r="AV158" s="704" t="n">
        <v>0</v>
      </c>
      <c r="AW158" s="704" t="n">
        <v>0</v>
      </c>
      <c r="AX158" s="704" t="n">
        <v>0</v>
      </c>
      <c r="AY158" s="704" t="n">
        <v>0</v>
      </c>
      <c r="AZ158" s="704" t="n">
        <v>0</v>
      </c>
      <c r="BA158" s="704" t="n">
        <v>0</v>
      </c>
      <c r="BB158" s="704" t="n">
        <v>0</v>
      </c>
      <c r="BC158" s="704" t="n">
        <v>0</v>
      </c>
      <c r="BD158" s="704" t="n">
        <v>0</v>
      </c>
      <c r="BE158" s="704" t="n">
        <v>0</v>
      </c>
      <c r="BF158" s="704" t="n">
        <v>0</v>
      </c>
      <c r="BG158" s="704" t="n">
        <v>0</v>
      </c>
      <c r="BH158" s="704" t="n">
        <v>0</v>
      </c>
      <c r="BI158" s="704" t="n">
        <v>0</v>
      </c>
      <c r="BJ158" s="704" t="n">
        <v>0</v>
      </c>
      <c r="BK158" s="704" t="n">
        <v>0</v>
      </c>
      <c r="BL158" s="704" t="n">
        <v>0</v>
      </c>
      <c r="BM158" s="704" t="n">
        <v>0</v>
      </c>
      <c r="BN158" s="704" t="n">
        <v>0</v>
      </c>
      <c r="BO158" s="704" t="n">
        <v>0</v>
      </c>
      <c r="BP158" s="704" t="n">
        <v>0</v>
      </c>
      <c r="BQ158" s="704" t="n">
        <v>0</v>
      </c>
      <c r="BR158" s="704" t="n">
        <v>0</v>
      </c>
      <c r="BS158" s="704" t="n">
        <v>0</v>
      </c>
      <c r="BT158" s="704" t="n">
        <v>0</v>
      </c>
      <c r="BU158" s="704" t="n">
        <v>0</v>
      </c>
      <c r="BV158" s="704" t="n">
        <v>0</v>
      </c>
      <c r="BW158" s="704" t="n">
        <v>0</v>
      </c>
      <c r="BX158" s="704" t="n">
        <v>0</v>
      </c>
      <c r="BY158" s="704" t="n">
        <v>0</v>
      </c>
      <c r="BZ158" s="704" t="n">
        <v>0</v>
      </c>
      <c r="CA158" s="704" t="n">
        <v>0</v>
      </c>
      <c r="CB158" s="704" t="n">
        <v>0</v>
      </c>
      <c r="CC158" s="704" t="n">
        <v>0</v>
      </c>
      <c r="CD158" s="704" t="n">
        <v>0</v>
      </c>
      <c r="CE158" s="704" t="n">
        <v>0</v>
      </c>
      <c r="CF158" s="704" t="n">
        <v>0</v>
      </c>
      <c r="CG158" s="704" t="n">
        <v>0</v>
      </c>
      <c r="CH158" s="704" t="n">
        <v>0</v>
      </c>
      <c r="CI158" s="704" t="n">
        <v>0</v>
      </c>
      <c r="CJ158" s="704" t="n">
        <v>0</v>
      </c>
      <c r="CK158" s="704" t="n">
        <v>0</v>
      </c>
      <c r="CL158" s="704" t="n">
        <v>0</v>
      </c>
      <c r="CM158" s="704" t="n">
        <v>0</v>
      </c>
      <c r="CN158" s="704" t="n">
        <v>0</v>
      </c>
      <c r="CO158" s="704" t="n">
        <v>0</v>
      </c>
      <c r="CP158" s="704" t="n">
        <v>0</v>
      </c>
      <c r="CQ158" s="704" t="n">
        <v>0</v>
      </c>
      <c r="CR158" s="704" t="n">
        <v>0</v>
      </c>
      <c r="CS158" s="704" t="n">
        <v>0</v>
      </c>
      <c r="CT158" s="704" t="n">
        <v>0</v>
      </c>
      <c r="CU158" s="704" t="n">
        <v>0</v>
      </c>
      <c r="CV158" s="704" t="n">
        <v>0</v>
      </c>
      <c r="CW158" s="704" t="n">
        <v>0</v>
      </c>
      <c r="CX158" s="704" t="n">
        <v>0</v>
      </c>
      <c r="CY158" s="704" t="n">
        <v>0</v>
      </c>
      <c r="CZ158" s="704" t="n">
        <v>0</v>
      </c>
      <c r="DA158" s="704" t="n">
        <v>0</v>
      </c>
      <c r="DB158" s="704" t="n">
        <v>0</v>
      </c>
      <c r="DC158" s="704" t="n">
        <v>0</v>
      </c>
      <c r="DD158" s="704" t="n">
        <v>0</v>
      </c>
      <c r="DE158" s="704" t="n">
        <v>0</v>
      </c>
      <c r="DF158" s="704" t="n">
        <v>0</v>
      </c>
      <c r="DG158" s="704" t="n">
        <v>0</v>
      </c>
      <c r="DH158" s="704" t="n">
        <v>0</v>
      </c>
      <c r="DI158" s="704" t="n">
        <v>0</v>
      </c>
      <c r="DJ158" s="704" t="n">
        <v>0</v>
      </c>
      <c r="DK158" s="704" t="n">
        <v>0</v>
      </c>
      <c r="DL158" s="704" t="n">
        <v>0</v>
      </c>
      <c r="DM158" s="704" t="n">
        <v>0</v>
      </c>
    </row>
    <row r="159" ht="13.5" customHeight="1" s="355">
      <c r="B159" s="703" t="inlineStr">
        <is>
          <t>Acct Payable</t>
        </is>
      </c>
      <c r="D159" s="704" t="n">
        <v>0</v>
      </c>
      <c r="E159" s="704" t="n">
        <v>0</v>
      </c>
      <c r="F159" s="704" t="n">
        <v>0</v>
      </c>
      <c r="G159" s="704" t="n">
        <v>0</v>
      </c>
      <c r="H159" s="704" t="n">
        <v>0</v>
      </c>
      <c r="I159" s="704" t="n">
        <v>0</v>
      </c>
      <c r="J159" s="704" t="n">
        <v>0</v>
      </c>
      <c r="K159" s="704" t="n">
        <v>0</v>
      </c>
      <c r="L159" s="704" t="n">
        <v>0</v>
      </c>
      <c r="M159" s="704" t="n">
        <v>0</v>
      </c>
      <c r="N159" s="704" t="n">
        <v>0</v>
      </c>
      <c r="O159" s="704" t="n">
        <v>0</v>
      </c>
      <c r="P159" s="704" t="n">
        <v>0</v>
      </c>
      <c r="Q159" s="704" t="n">
        <v>0</v>
      </c>
      <c r="R159" s="704" t="n">
        <v>0</v>
      </c>
      <c r="S159" s="704" t="n">
        <v>0</v>
      </c>
      <c r="T159" s="704" t="n">
        <v>0</v>
      </c>
      <c r="U159" s="704" t="n">
        <v>0</v>
      </c>
      <c r="V159" s="704" t="n">
        <v>0</v>
      </c>
      <c r="W159" s="704" t="n">
        <v>0</v>
      </c>
      <c r="X159" s="704" t="n">
        <v>0</v>
      </c>
      <c r="Y159" s="704" t="n">
        <v>0</v>
      </c>
      <c r="Z159" s="704" t="n">
        <v>0</v>
      </c>
      <c r="AA159" s="704" t="n">
        <v>0</v>
      </c>
      <c r="AB159" s="704" t="n">
        <v>0</v>
      </c>
      <c r="AC159" s="704" t="n">
        <v>0</v>
      </c>
      <c r="AD159" s="704" t="n">
        <v>0</v>
      </c>
      <c r="AE159" s="704" t="n">
        <v>0</v>
      </c>
      <c r="AF159" s="704" t="n">
        <v>0</v>
      </c>
      <c r="AG159" s="704" t="n">
        <v>0</v>
      </c>
      <c r="AH159" s="704" t="n">
        <v>0</v>
      </c>
      <c r="AI159" s="704" t="n">
        <v>0</v>
      </c>
      <c r="AJ159" s="704" t="n">
        <v>0</v>
      </c>
      <c r="AK159" s="704" t="n">
        <v>0</v>
      </c>
      <c r="AL159" s="704" t="n">
        <v>0</v>
      </c>
      <c r="AM159" s="704" t="n">
        <v>0</v>
      </c>
      <c r="AN159" s="704" t="n">
        <v>0</v>
      </c>
      <c r="AO159" s="704" t="n">
        <v>0</v>
      </c>
      <c r="AP159" s="704" t="n">
        <v>0</v>
      </c>
      <c r="AQ159" s="704" t="n">
        <v>0</v>
      </c>
      <c r="AR159" s="704" t="n">
        <v>0</v>
      </c>
      <c r="AS159" s="704" t="n">
        <v>0</v>
      </c>
      <c r="AT159" s="704" t="n">
        <v>0</v>
      </c>
      <c r="AU159" s="704" t="n">
        <v>0</v>
      </c>
      <c r="AV159" s="704" t="n">
        <v>0</v>
      </c>
      <c r="AW159" s="704" t="n">
        <v>0</v>
      </c>
      <c r="AX159" s="704" t="n">
        <v>0</v>
      </c>
      <c r="AY159" s="704" t="n">
        <v>0</v>
      </c>
      <c r="AZ159" s="704" t="n">
        <v>0</v>
      </c>
      <c r="BA159" s="704" t="n">
        <v>0</v>
      </c>
      <c r="BB159" s="704" t="n">
        <v>0</v>
      </c>
      <c r="BC159" s="704" t="n">
        <v>0</v>
      </c>
      <c r="BD159" s="704" t="n">
        <v>0</v>
      </c>
      <c r="BE159" s="704" t="n">
        <v>0</v>
      </c>
      <c r="BF159" s="704" t="n">
        <v>0</v>
      </c>
      <c r="BG159" s="704" t="n">
        <v>0</v>
      </c>
      <c r="BH159" s="704" t="n">
        <v>0</v>
      </c>
      <c r="BI159" s="704" t="n">
        <v>0</v>
      </c>
      <c r="BJ159" s="704" t="n">
        <v>0</v>
      </c>
      <c r="BK159" s="704" t="n">
        <v>0</v>
      </c>
      <c r="BL159" s="704" t="n">
        <v>0</v>
      </c>
      <c r="BM159" s="704" t="n">
        <v>0</v>
      </c>
      <c r="BN159" s="704" t="n">
        <v>0</v>
      </c>
      <c r="BO159" s="704" t="n">
        <v>0</v>
      </c>
      <c r="BP159" s="704" t="n">
        <v>0</v>
      </c>
      <c r="BQ159" s="704" t="n">
        <v>0</v>
      </c>
      <c r="BR159" s="704" t="n">
        <v>0</v>
      </c>
      <c r="BS159" s="704" t="n">
        <v>0</v>
      </c>
      <c r="BT159" s="704" t="n">
        <v>0</v>
      </c>
      <c r="BU159" s="704" t="n">
        <v>0</v>
      </c>
      <c r="BV159" s="704" t="n">
        <v>0</v>
      </c>
      <c r="BW159" s="704" t="n">
        <v>0</v>
      </c>
      <c r="BX159" s="704" t="n">
        <v>0</v>
      </c>
      <c r="BY159" s="704" t="n">
        <v>0</v>
      </c>
      <c r="BZ159" s="704" t="n">
        <v>0</v>
      </c>
      <c r="CA159" s="704" t="n">
        <v>0</v>
      </c>
      <c r="CB159" s="704" t="n">
        <v>0</v>
      </c>
      <c r="CC159" s="704" t="n">
        <v>0</v>
      </c>
      <c r="CD159" s="704" t="n">
        <v>0</v>
      </c>
      <c r="CE159" s="704" t="n">
        <v>0</v>
      </c>
      <c r="CF159" s="704" t="n">
        <v>0</v>
      </c>
      <c r="CG159" s="704" t="n">
        <v>0</v>
      </c>
      <c r="CH159" s="704" t="n">
        <v>0</v>
      </c>
      <c r="CI159" s="704" t="n">
        <v>0</v>
      </c>
      <c r="CJ159" s="704" t="n">
        <v>0</v>
      </c>
      <c r="CK159" s="704" t="n">
        <v>0</v>
      </c>
      <c r="CL159" s="704" t="n">
        <v>0</v>
      </c>
      <c r="CM159" s="704" t="n">
        <v>0</v>
      </c>
      <c r="CN159" s="704" t="n">
        <v>0</v>
      </c>
      <c r="CO159" s="704" t="n">
        <v>0</v>
      </c>
      <c r="CP159" s="704" t="n">
        <v>0</v>
      </c>
      <c r="CQ159" s="704" t="n">
        <v>0</v>
      </c>
      <c r="CR159" s="704" t="n">
        <v>0</v>
      </c>
      <c r="CS159" s="704" t="n">
        <v>0</v>
      </c>
      <c r="CT159" s="704" t="n">
        <v>0</v>
      </c>
      <c r="CU159" s="704" t="n">
        <v>0</v>
      </c>
      <c r="CV159" s="704" t="n">
        <v>0</v>
      </c>
      <c r="CW159" s="704" t="n">
        <v>0</v>
      </c>
      <c r="CX159" s="704" t="n">
        <v>0</v>
      </c>
      <c r="CY159" s="704" t="n">
        <v>0</v>
      </c>
      <c r="CZ159" s="704" t="n">
        <v>0</v>
      </c>
      <c r="DA159" s="704" t="n">
        <v>0</v>
      </c>
      <c r="DB159" s="704" t="n">
        <v>0</v>
      </c>
      <c r="DC159" s="704" t="n">
        <v>0</v>
      </c>
      <c r="DD159" s="704" t="n">
        <v>0</v>
      </c>
      <c r="DE159" s="704" t="n">
        <v>0</v>
      </c>
      <c r="DF159" s="704" t="n">
        <v>0</v>
      </c>
      <c r="DG159" s="704" t="n">
        <v>0</v>
      </c>
      <c r="DH159" s="704" t="n">
        <v>0</v>
      </c>
      <c r="DI159" s="704" t="n">
        <v>0</v>
      </c>
      <c r="DJ159" s="704" t="n">
        <v>0</v>
      </c>
      <c r="DK159" s="704" t="n">
        <v>0</v>
      </c>
      <c r="DL159" s="704" t="n">
        <v>0</v>
      </c>
      <c r="DM159" s="704" t="n">
        <v>0</v>
      </c>
    </row>
    <row r="160" ht="13.5" customHeight="1" s="355">
      <c r="B160" s="703" t="inlineStr">
        <is>
          <t>Cash&amp;Bank</t>
        </is>
      </c>
      <c r="D160" s="704" t="n">
        <v>0</v>
      </c>
      <c r="E160" s="704" t="n">
        <v>0</v>
      </c>
      <c r="F160" s="704" t="n">
        <v>0</v>
      </c>
      <c r="G160" s="704" t="n">
        <v>0</v>
      </c>
      <c r="H160" s="704" t="n">
        <v>0</v>
      </c>
      <c r="I160" s="704" t="n">
        <v>0</v>
      </c>
      <c r="J160" s="704" t="n">
        <v>0</v>
      </c>
      <c r="K160" s="704" t="n">
        <v>0</v>
      </c>
      <c r="L160" s="704" t="n">
        <v>0</v>
      </c>
      <c r="M160" s="704" t="n">
        <v>0</v>
      </c>
      <c r="N160" s="704" t="n">
        <v>0</v>
      </c>
      <c r="O160" s="704" t="n">
        <v>0</v>
      </c>
      <c r="P160" s="704" t="n">
        <v>0</v>
      </c>
      <c r="Q160" s="704" t="n">
        <v>0</v>
      </c>
      <c r="R160" s="704" t="n">
        <v>0</v>
      </c>
      <c r="S160" s="704" t="n">
        <v>0</v>
      </c>
      <c r="T160" s="704" t="n">
        <v>0</v>
      </c>
      <c r="U160" s="704" t="n">
        <v>0</v>
      </c>
      <c r="V160" s="704" t="n">
        <v>0</v>
      </c>
      <c r="W160" s="704" t="n">
        <v>0</v>
      </c>
      <c r="X160" s="704" t="n">
        <v>0</v>
      </c>
      <c r="Y160" s="704" t="n">
        <v>0</v>
      </c>
      <c r="Z160" s="704" t="n">
        <v>0</v>
      </c>
      <c r="AA160" s="704" t="n">
        <v>0</v>
      </c>
      <c r="AB160" s="704" t="n">
        <v>0</v>
      </c>
      <c r="AC160" s="704" t="n">
        <v>0</v>
      </c>
      <c r="AD160" s="704" t="n">
        <v>0</v>
      </c>
      <c r="AE160" s="704" t="n">
        <v>0</v>
      </c>
      <c r="AF160" s="704" t="n">
        <v>0</v>
      </c>
      <c r="AG160" s="704" t="n">
        <v>0</v>
      </c>
      <c r="AH160" s="704" t="n">
        <v>0</v>
      </c>
      <c r="AI160" s="704" t="n">
        <v>0</v>
      </c>
      <c r="AJ160" s="704" t="n">
        <v>0</v>
      </c>
      <c r="AK160" s="704" t="n">
        <v>0</v>
      </c>
      <c r="AL160" s="704" t="n">
        <v>0</v>
      </c>
      <c r="AM160" s="704" t="n">
        <v>0</v>
      </c>
      <c r="AN160" s="704" t="n">
        <v>0</v>
      </c>
      <c r="AO160" s="704" t="n">
        <v>0</v>
      </c>
      <c r="AP160" s="704" t="n">
        <v>0</v>
      </c>
      <c r="AQ160" s="704" t="n">
        <v>0</v>
      </c>
      <c r="AR160" s="704" t="n">
        <v>0</v>
      </c>
      <c r="AS160" s="704" t="n">
        <v>0</v>
      </c>
      <c r="AT160" s="704" t="n">
        <v>0</v>
      </c>
      <c r="AU160" s="704" t="n">
        <v>0</v>
      </c>
      <c r="AV160" s="704" t="n">
        <v>0</v>
      </c>
      <c r="AW160" s="704" t="n">
        <v>0</v>
      </c>
      <c r="AX160" s="704" t="n">
        <v>0</v>
      </c>
      <c r="AY160" s="704" t="n">
        <v>0</v>
      </c>
      <c r="AZ160" s="704" t="n">
        <v>0</v>
      </c>
      <c r="BA160" s="704" t="n">
        <v>0</v>
      </c>
      <c r="BB160" s="704" t="n">
        <v>0</v>
      </c>
      <c r="BC160" s="704" t="n">
        <v>0</v>
      </c>
      <c r="BD160" s="704" t="n">
        <v>0</v>
      </c>
      <c r="BE160" s="704" t="n">
        <v>0</v>
      </c>
      <c r="BF160" s="704" t="n">
        <v>0</v>
      </c>
      <c r="BG160" s="704" t="n">
        <v>0</v>
      </c>
      <c r="BH160" s="704" t="n">
        <v>0</v>
      </c>
      <c r="BI160" s="704" t="n">
        <v>0</v>
      </c>
      <c r="BJ160" s="704" t="n">
        <v>0</v>
      </c>
      <c r="BK160" s="704" t="n">
        <v>0</v>
      </c>
      <c r="BL160" s="704" t="n">
        <v>0</v>
      </c>
      <c r="BM160" s="704" t="n">
        <v>0</v>
      </c>
      <c r="BN160" s="704" t="n">
        <v>0</v>
      </c>
      <c r="BO160" s="704" t="n">
        <v>0</v>
      </c>
      <c r="BP160" s="704" t="n">
        <v>0</v>
      </c>
      <c r="BQ160" s="704" t="n">
        <v>0</v>
      </c>
      <c r="BR160" s="704" t="n">
        <v>0</v>
      </c>
      <c r="BS160" s="704" t="n">
        <v>0</v>
      </c>
      <c r="BT160" s="704" t="n">
        <v>0</v>
      </c>
      <c r="BU160" s="704" t="n">
        <v>0</v>
      </c>
      <c r="BV160" s="704" t="n">
        <v>0</v>
      </c>
      <c r="BW160" s="704" t="n">
        <v>0</v>
      </c>
      <c r="BX160" s="704" t="n">
        <v>0</v>
      </c>
      <c r="BY160" s="704" t="n">
        <v>0</v>
      </c>
      <c r="BZ160" s="704" t="n">
        <v>0</v>
      </c>
      <c r="CA160" s="704" t="n">
        <v>0</v>
      </c>
      <c r="CB160" s="704" t="n">
        <v>0</v>
      </c>
      <c r="CC160" s="704" t="n">
        <v>0</v>
      </c>
      <c r="CD160" s="704" t="n">
        <v>0</v>
      </c>
      <c r="CE160" s="704" t="n">
        <v>0</v>
      </c>
      <c r="CF160" s="704" t="n">
        <v>0</v>
      </c>
      <c r="CG160" s="704" t="n">
        <v>0</v>
      </c>
      <c r="CH160" s="704" t="n">
        <v>0</v>
      </c>
      <c r="CI160" s="704" t="n">
        <v>0</v>
      </c>
      <c r="CJ160" s="704" t="n">
        <v>0</v>
      </c>
      <c r="CK160" s="704" t="n">
        <v>0</v>
      </c>
      <c r="CL160" s="704" t="n">
        <v>0</v>
      </c>
      <c r="CM160" s="704" t="n">
        <v>0</v>
      </c>
      <c r="CN160" s="704" t="n">
        <v>0</v>
      </c>
      <c r="CO160" s="704" t="n">
        <v>0</v>
      </c>
      <c r="CP160" s="704" t="n">
        <v>0</v>
      </c>
      <c r="CQ160" s="704" t="n">
        <v>0</v>
      </c>
      <c r="CR160" s="704" t="n">
        <v>0</v>
      </c>
      <c r="CS160" s="704" t="n">
        <v>0</v>
      </c>
      <c r="CT160" s="704" t="n">
        <v>0</v>
      </c>
      <c r="CU160" s="704" t="n">
        <v>0</v>
      </c>
      <c r="CV160" s="704" t="n">
        <v>0</v>
      </c>
      <c r="CW160" s="704" t="n">
        <v>0</v>
      </c>
      <c r="CX160" s="704" t="n">
        <v>0</v>
      </c>
      <c r="CY160" s="704" t="n">
        <v>0</v>
      </c>
      <c r="CZ160" s="704" t="n">
        <v>0</v>
      </c>
      <c r="DA160" s="704" t="n">
        <v>0</v>
      </c>
      <c r="DB160" s="704" t="n">
        <v>0</v>
      </c>
      <c r="DC160" s="704" t="n">
        <v>0</v>
      </c>
      <c r="DD160" s="704" t="n">
        <v>0</v>
      </c>
      <c r="DE160" s="704" t="n">
        <v>0</v>
      </c>
      <c r="DF160" s="704" t="n">
        <v>0</v>
      </c>
      <c r="DG160" s="704" t="n">
        <v>0</v>
      </c>
      <c r="DH160" s="704" t="n">
        <v>0</v>
      </c>
      <c r="DI160" s="704" t="n">
        <v>0</v>
      </c>
      <c r="DJ160" s="704" t="n">
        <v>0</v>
      </c>
      <c r="DK160" s="704" t="n">
        <v>0</v>
      </c>
      <c r="DL160" s="704" t="n">
        <v>0</v>
      </c>
      <c r="DM160" s="704" t="n">
        <v>0</v>
      </c>
    </row>
    <row r="161" ht="13.5" customHeight="1" s="355">
      <c r="B161" s="703" t="inlineStr">
        <is>
          <t>T&amp;E</t>
        </is>
      </c>
      <c r="D161" s="704" t="n">
        <v>0</v>
      </c>
      <c r="E161" s="704" t="n">
        <v>0</v>
      </c>
      <c r="F161" s="704" t="n">
        <v>0</v>
      </c>
      <c r="G161" s="704" t="n">
        <v>0</v>
      </c>
      <c r="H161" s="704" t="n">
        <v>0</v>
      </c>
      <c r="I161" s="704" t="n">
        <v>0</v>
      </c>
      <c r="J161" s="704" t="n">
        <v>0</v>
      </c>
      <c r="K161" s="704" t="n">
        <v>0</v>
      </c>
      <c r="L161" s="704" t="n">
        <v>0</v>
      </c>
      <c r="M161" s="704" t="n">
        <v>0</v>
      </c>
      <c r="N161" s="704" t="n">
        <v>0</v>
      </c>
      <c r="O161" s="704" t="n">
        <v>0</v>
      </c>
      <c r="P161" s="704" t="n">
        <v>0</v>
      </c>
      <c r="Q161" s="704" t="n">
        <v>0</v>
      </c>
      <c r="R161" s="704" t="n">
        <v>0</v>
      </c>
      <c r="S161" s="704" t="n">
        <v>0</v>
      </c>
      <c r="T161" s="704" t="n">
        <v>0</v>
      </c>
      <c r="U161" s="704" t="n">
        <v>0</v>
      </c>
      <c r="V161" s="704" t="n">
        <v>0</v>
      </c>
      <c r="W161" s="704" t="n">
        <v>0</v>
      </c>
      <c r="X161" s="704" t="n">
        <v>0</v>
      </c>
      <c r="Y161" s="704" t="n">
        <v>0</v>
      </c>
      <c r="Z161" s="704" t="n">
        <v>0</v>
      </c>
      <c r="AA161" s="704" t="n">
        <v>0</v>
      </c>
      <c r="AB161" s="704" t="n">
        <v>0</v>
      </c>
      <c r="AC161" s="704" t="n">
        <v>0</v>
      </c>
      <c r="AD161" s="704" t="n">
        <v>0</v>
      </c>
      <c r="AE161" s="704" t="n">
        <v>0</v>
      </c>
      <c r="AF161" s="704" t="n">
        <v>0</v>
      </c>
      <c r="AG161" s="704" t="n">
        <v>0</v>
      </c>
      <c r="AH161" s="704" t="n">
        <v>0</v>
      </c>
      <c r="AI161" s="704" t="n">
        <v>0</v>
      </c>
      <c r="AJ161" s="704" t="n">
        <v>0</v>
      </c>
      <c r="AK161" s="704" t="n">
        <v>0</v>
      </c>
      <c r="AL161" s="704" t="n">
        <v>0</v>
      </c>
      <c r="AM161" s="704" t="n">
        <v>0</v>
      </c>
      <c r="AN161" s="704" t="n">
        <v>0</v>
      </c>
      <c r="AO161" s="704" t="n">
        <v>0</v>
      </c>
      <c r="AP161" s="704" t="n">
        <v>0</v>
      </c>
      <c r="AQ161" s="704" t="n">
        <v>0</v>
      </c>
      <c r="AR161" s="704" t="n">
        <v>0</v>
      </c>
      <c r="AS161" s="704" t="n">
        <v>0</v>
      </c>
      <c r="AT161" s="704" t="n">
        <v>0</v>
      </c>
      <c r="AU161" s="704" t="n">
        <v>0</v>
      </c>
      <c r="AV161" s="704" t="n">
        <v>0</v>
      </c>
      <c r="AW161" s="704" t="n">
        <v>0</v>
      </c>
      <c r="AX161" s="704" t="n">
        <v>0</v>
      </c>
      <c r="AY161" s="704" t="n">
        <v>0</v>
      </c>
      <c r="AZ161" s="704" t="n">
        <v>0</v>
      </c>
      <c r="BA161" s="704" t="n">
        <v>0</v>
      </c>
      <c r="BB161" s="704" t="n">
        <v>0</v>
      </c>
      <c r="BC161" s="704" t="n">
        <v>0</v>
      </c>
      <c r="BD161" s="704" t="n">
        <v>0</v>
      </c>
      <c r="BE161" s="704" t="n">
        <v>0</v>
      </c>
      <c r="BF161" s="704" t="n">
        <v>0</v>
      </c>
      <c r="BG161" s="704" t="n">
        <v>0</v>
      </c>
      <c r="BH161" s="704" t="n">
        <v>0</v>
      </c>
      <c r="BI161" s="704" t="n">
        <v>0</v>
      </c>
      <c r="BJ161" s="704" t="n">
        <v>0</v>
      </c>
      <c r="BK161" s="704" t="n">
        <v>0</v>
      </c>
      <c r="BL161" s="704" t="n">
        <v>0</v>
      </c>
      <c r="BM161" s="704" t="n">
        <v>0</v>
      </c>
      <c r="BN161" s="704" t="n">
        <v>0</v>
      </c>
      <c r="BO161" s="704" t="n">
        <v>0</v>
      </c>
      <c r="BP161" s="704" t="n">
        <v>0</v>
      </c>
      <c r="BQ161" s="704" t="n">
        <v>0</v>
      </c>
      <c r="BR161" s="704" t="n">
        <v>0</v>
      </c>
      <c r="BS161" s="704" t="n">
        <v>0</v>
      </c>
      <c r="BT161" s="704" t="n">
        <v>0</v>
      </c>
      <c r="BU161" s="704" t="n">
        <v>0</v>
      </c>
      <c r="BV161" s="704" t="n">
        <v>0</v>
      </c>
      <c r="BW161" s="704" t="n">
        <v>0</v>
      </c>
      <c r="BX161" s="704" t="n">
        <v>0</v>
      </c>
      <c r="BY161" s="704" t="n">
        <v>0</v>
      </c>
      <c r="BZ161" s="704" t="n">
        <v>0</v>
      </c>
      <c r="CA161" s="704" t="n">
        <v>0</v>
      </c>
      <c r="CB161" s="704" t="n">
        <v>0</v>
      </c>
      <c r="CC161" s="704" t="n">
        <v>0</v>
      </c>
      <c r="CD161" s="704" t="n">
        <v>0</v>
      </c>
      <c r="CE161" s="704" t="n">
        <v>0</v>
      </c>
      <c r="CF161" s="704" t="n">
        <v>0</v>
      </c>
      <c r="CG161" s="704" t="n">
        <v>0</v>
      </c>
      <c r="CH161" s="704" t="n">
        <v>0</v>
      </c>
      <c r="CI161" s="704" t="n">
        <v>0</v>
      </c>
      <c r="CJ161" s="704" t="n">
        <v>0</v>
      </c>
      <c r="CK161" s="704" t="n">
        <v>0</v>
      </c>
      <c r="CL161" s="704" t="n">
        <v>0</v>
      </c>
      <c r="CM161" s="704" t="n">
        <v>0</v>
      </c>
      <c r="CN161" s="704" t="n">
        <v>0</v>
      </c>
      <c r="CO161" s="704" t="n">
        <v>0</v>
      </c>
      <c r="CP161" s="704" t="n">
        <v>0</v>
      </c>
      <c r="CQ161" s="704" t="n">
        <v>0</v>
      </c>
      <c r="CR161" s="704" t="n">
        <v>0</v>
      </c>
      <c r="CS161" s="704" t="n">
        <v>0</v>
      </c>
      <c r="CT161" s="704" t="n">
        <v>0</v>
      </c>
      <c r="CU161" s="704" t="n">
        <v>0</v>
      </c>
      <c r="CV161" s="704" t="n">
        <v>0</v>
      </c>
      <c r="CW161" s="704" t="n">
        <v>0</v>
      </c>
      <c r="CX161" s="704" t="n">
        <v>0</v>
      </c>
      <c r="CY161" s="704" t="n">
        <v>0</v>
      </c>
      <c r="CZ161" s="704" t="n">
        <v>0</v>
      </c>
      <c r="DA161" s="704" t="n">
        <v>0</v>
      </c>
      <c r="DB161" s="704" t="n">
        <v>0</v>
      </c>
      <c r="DC161" s="704" t="n">
        <v>0</v>
      </c>
      <c r="DD161" s="704" t="n">
        <v>0</v>
      </c>
      <c r="DE161" s="704" t="n">
        <v>0</v>
      </c>
      <c r="DF161" s="704" t="n">
        <v>0</v>
      </c>
      <c r="DG161" s="704" t="n">
        <v>0</v>
      </c>
      <c r="DH161" s="704" t="n">
        <v>0</v>
      </c>
      <c r="DI161" s="704" t="n">
        <v>0</v>
      </c>
      <c r="DJ161" s="704" t="n">
        <v>0</v>
      </c>
      <c r="DK161" s="704" t="n">
        <v>0</v>
      </c>
      <c r="DL161" s="704" t="n">
        <v>0</v>
      </c>
      <c r="DM161" s="704" t="n">
        <v>0</v>
      </c>
    </row>
    <row r="162" ht="13.5" customHeight="1" s="355">
      <c r="B162" s="703" t="inlineStr">
        <is>
          <t>Order to Cash</t>
        </is>
      </c>
      <c r="D162" s="704" t="n">
        <v>0</v>
      </c>
      <c r="E162" s="704" t="n">
        <v>0</v>
      </c>
      <c r="F162" s="704" t="n">
        <v>0</v>
      </c>
      <c r="G162" s="704" t="n">
        <v>0</v>
      </c>
      <c r="H162" s="704" t="n">
        <v>0</v>
      </c>
      <c r="I162" s="704" t="n">
        <v>0</v>
      </c>
      <c r="J162" s="704" t="n">
        <v>0</v>
      </c>
      <c r="K162" s="704" t="n">
        <v>0</v>
      </c>
      <c r="L162" s="704" t="n">
        <v>0</v>
      </c>
      <c r="M162" s="704" t="n">
        <v>0</v>
      </c>
      <c r="N162" s="704" t="n">
        <v>0</v>
      </c>
      <c r="O162" s="704" t="n">
        <v>0</v>
      </c>
      <c r="P162" s="704" t="n">
        <v>0</v>
      </c>
      <c r="Q162" s="704" t="n">
        <v>0</v>
      </c>
      <c r="R162" s="704" t="n">
        <v>0</v>
      </c>
      <c r="S162" s="704" t="n">
        <v>0</v>
      </c>
      <c r="T162" s="704" t="n">
        <v>0</v>
      </c>
      <c r="U162" s="704" t="n">
        <v>0</v>
      </c>
      <c r="V162" s="704" t="n">
        <v>0</v>
      </c>
      <c r="W162" s="704" t="n">
        <v>0</v>
      </c>
      <c r="X162" s="704" t="n">
        <v>0</v>
      </c>
      <c r="Y162" s="704" t="n">
        <v>0</v>
      </c>
      <c r="Z162" s="704" t="n">
        <v>0</v>
      </c>
      <c r="AA162" s="704" t="n">
        <v>0</v>
      </c>
      <c r="AB162" s="704" t="n">
        <v>0</v>
      </c>
      <c r="AC162" s="704" t="n">
        <v>0</v>
      </c>
      <c r="AD162" s="704" t="n">
        <v>0</v>
      </c>
      <c r="AE162" s="704" t="n">
        <v>0</v>
      </c>
      <c r="AF162" s="704" t="n">
        <v>0</v>
      </c>
      <c r="AG162" s="704" t="n">
        <v>0</v>
      </c>
      <c r="AH162" s="704" t="n">
        <v>0</v>
      </c>
      <c r="AI162" s="704" t="n">
        <v>0</v>
      </c>
      <c r="AJ162" s="704" t="n">
        <v>0</v>
      </c>
      <c r="AK162" s="704" t="n">
        <v>0</v>
      </c>
      <c r="AL162" s="704" t="n">
        <v>0</v>
      </c>
      <c r="AM162" s="704" t="n">
        <v>0</v>
      </c>
      <c r="AN162" s="704" t="n">
        <v>0</v>
      </c>
      <c r="AO162" s="704" t="n">
        <v>0</v>
      </c>
      <c r="AP162" s="704" t="n">
        <v>0</v>
      </c>
      <c r="AQ162" s="704" t="n">
        <v>0</v>
      </c>
      <c r="AR162" s="704" t="n">
        <v>0</v>
      </c>
      <c r="AS162" s="704" t="n">
        <v>0</v>
      </c>
      <c r="AT162" s="704" t="n">
        <v>0</v>
      </c>
      <c r="AU162" s="704" t="n">
        <v>0</v>
      </c>
      <c r="AV162" s="704" t="n">
        <v>0</v>
      </c>
      <c r="AW162" s="704" t="n">
        <v>0</v>
      </c>
      <c r="AX162" s="704" t="n">
        <v>0</v>
      </c>
      <c r="AY162" s="704" t="n">
        <v>0</v>
      </c>
      <c r="AZ162" s="704" t="n">
        <v>0</v>
      </c>
      <c r="BA162" s="704" t="n">
        <v>0</v>
      </c>
      <c r="BB162" s="704" t="n">
        <v>0</v>
      </c>
      <c r="BC162" s="704" t="n">
        <v>0</v>
      </c>
      <c r="BD162" s="704" t="n">
        <v>0</v>
      </c>
      <c r="BE162" s="704" t="n">
        <v>0</v>
      </c>
      <c r="BF162" s="704" t="n">
        <v>0</v>
      </c>
      <c r="BG162" s="704" t="n">
        <v>0</v>
      </c>
      <c r="BH162" s="704" t="n">
        <v>0</v>
      </c>
      <c r="BI162" s="704" t="n">
        <v>0</v>
      </c>
      <c r="BJ162" s="704" t="n">
        <v>0</v>
      </c>
      <c r="BK162" s="704" t="n">
        <v>0</v>
      </c>
      <c r="BL162" s="704" t="n">
        <v>0</v>
      </c>
      <c r="BM162" s="704" t="n">
        <v>0</v>
      </c>
      <c r="BN162" s="704" t="n">
        <v>0</v>
      </c>
      <c r="BO162" s="704" t="n">
        <v>0</v>
      </c>
      <c r="BP162" s="704" t="n">
        <v>0</v>
      </c>
      <c r="BQ162" s="704" t="n">
        <v>0</v>
      </c>
      <c r="BR162" s="704" t="n">
        <v>0</v>
      </c>
      <c r="BS162" s="704" t="n">
        <v>0</v>
      </c>
      <c r="BT162" s="704" t="n">
        <v>0</v>
      </c>
      <c r="BU162" s="704" t="n">
        <v>0</v>
      </c>
      <c r="BV162" s="704" t="n">
        <v>0</v>
      </c>
      <c r="BW162" s="704" t="n">
        <v>0</v>
      </c>
      <c r="BX162" s="704" t="n">
        <v>0</v>
      </c>
      <c r="BY162" s="704" t="n">
        <v>0</v>
      </c>
      <c r="BZ162" s="704" t="n">
        <v>0</v>
      </c>
      <c r="CA162" s="704" t="n">
        <v>0</v>
      </c>
      <c r="CB162" s="704" t="n">
        <v>0</v>
      </c>
      <c r="CC162" s="704" t="n">
        <v>0</v>
      </c>
      <c r="CD162" s="704" t="n">
        <v>0</v>
      </c>
      <c r="CE162" s="704" t="n">
        <v>0</v>
      </c>
      <c r="CF162" s="704" t="n">
        <v>0</v>
      </c>
      <c r="CG162" s="704" t="n">
        <v>0</v>
      </c>
      <c r="CH162" s="704" t="n">
        <v>0</v>
      </c>
      <c r="CI162" s="704" t="n">
        <v>0</v>
      </c>
      <c r="CJ162" s="704" t="n">
        <v>0</v>
      </c>
      <c r="CK162" s="704" t="n">
        <v>0</v>
      </c>
      <c r="CL162" s="704" t="n">
        <v>0</v>
      </c>
      <c r="CM162" s="704" t="n">
        <v>0</v>
      </c>
      <c r="CN162" s="704" t="n">
        <v>0</v>
      </c>
      <c r="CO162" s="704" t="n">
        <v>0</v>
      </c>
      <c r="CP162" s="704" t="n">
        <v>0</v>
      </c>
      <c r="CQ162" s="704" t="n">
        <v>0</v>
      </c>
      <c r="CR162" s="704" t="n">
        <v>0</v>
      </c>
      <c r="CS162" s="704" t="n">
        <v>0</v>
      </c>
      <c r="CT162" s="704" t="n">
        <v>0</v>
      </c>
      <c r="CU162" s="704" t="n">
        <v>0</v>
      </c>
      <c r="CV162" s="704" t="n">
        <v>0</v>
      </c>
      <c r="CW162" s="704" t="n">
        <v>0</v>
      </c>
      <c r="CX162" s="704" t="n">
        <v>0</v>
      </c>
      <c r="CY162" s="704" t="n">
        <v>0</v>
      </c>
      <c r="CZ162" s="704" t="n">
        <v>0</v>
      </c>
      <c r="DA162" s="704" t="n">
        <v>0</v>
      </c>
      <c r="DB162" s="704" t="n">
        <v>0</v>
      </c>
      <c r="DC162" s="704" t="n">
        <v>0</v>
      </c>
      <c r="DD162" s="704" t="n">
        <v>0</v>
      </c>
      <c r="DE162" s="704" t="n">
        <v>0</v>
      </c>
      <c r="DF162" s="704" t="n">
        <v>0</v>
      </c>
      <c r="DG162" s="704" t="n">
        <v>0</v>
      </c>
      <c r="DH162" s="704" t="n">
        <v>0</v>
      </c>
      <c r="DI162" s="704" t="n">
        <v>0</v>
      </c>
      <c r="DJ162" s="704" t="n">
        <v>0</v>
      </c>
      <c r="DK162" s="704" t="n">
        <v>0</v>
      </c>
      <c r="DL162" s="704" t="n">
        <v>0</v>
      </c>
      <c r="DM162" s="704" t="n">
        <v>0</v>
      </c>
    </row>
    <row r="163" ht="13.5" customHeight="1" s="355">
      <c r="B163" s="703" t="inlineStr">
        <is>
          <t>Req to Pay</t>
        </is>
      </c>
      <c r="D163" s="704" t="n">
        <v>0</v>
      </c>
      <c r="E163" s="704" t="n">
        <v>0</v>
      </c>
      <c r="F163" s="704" t="n">
        <v>0</v>
      </c>
      <c r="G163" s="704" t="n">
        <v>0</v>
      </c>
      <c r="H163" s="704" t="n">
        <v>0</v>
      </c>
      <c r="I163" s="704" t="n">
        <v>0</v>
      </c>
      <c r="J163" s="704" t="n">
        <v>0</v>
      </c>
      <c r="K163" s="704" t="n">
        <v>0</v>
      </c>
      <c r="L163" s="704" t="n">
        <v>0</v>
      </c>
      <c r="M163" s="704" t="n">
        <v>0</v>
      </c>
      <c r="N163" s="704" t="n">
        <v>0</v>
      </c>
      <c r="O163" s="704" t="n">
        <v>0</v>
      </c>
      <c r="P163" s="704" t="n">
        <v>0</v>
      </c>
      <c r="Q163" s="704" t="n">
        <v>0</v>
      </c>
      <c r="R163" s="704" t="n">
        <v>0</v>
      </c>
      <c r="S163" s="704" t="n">
        <v>0</v>
      </c>
      <c r="T163" s="704" t="n">
        <v>0</v>
      </c>
      <c r="U163" s="704" t="n">
        <v>0</v>
      </c>
      <c r="V163" s="704" t="n">
        <v>0</v>
      </c>
      <c r="W163" s="704" t="n">
        <v>0</v>
      </c>
      <c r="X163" s="704" t="n">
        <v>0</v>
      </c>
      <c r="Y163" s="704" t="n">
        <v>0</v>
      </c>
      <c r="Z163" s="704" t="n">
        <v>0</v>
      </c>
      <c r="AA163" s="704" t="n">
        <v>0</v>
      </c>
      <c r="AB163" s="704" t="n">
        <v>0</v>
      </c>
      <c r="AC163" s="704" t="n">
        <v>0</v>
      </c>
      <c r="AD163" s="704" t="n">
        <v>0</v>
      </c>
      <c r="AE163" s="704" t="n">
        <v>0</v>
      </c>
      <c r="AF163" s="704" t="n">
        <v>0</v>
      </c>
      <c r="AG163" s="704" t="n">
        <v>0</v>
      </c>
      <c r="AH163" s="704" t="n">
        <v>0</v>
      </c>
      <c r="AI163" s="704" t="n">
        <v>0</v>
      </c>
      <c r="AJ163" s="704" t="n">
        <v>0</v>
      </c>
      <c r="AK163" s="704" t="n">
        <v>0</v>
      </c>
      <c r="AL163" s="704" t="n">
        <v>0</v>
      </c>
      <c r="AM163" s="704" t="n">
        <v>0</v>
      </c>
      <c r="AN163" s="704" t="n">
        <v>0</v>
      </c>
      <c r="AO163" s="704" t="n">
        <v>0</v>
      </c>
      <c r="AP163" s="704" t="n">
        <v>0</v>
      </c>
      <c r="AQ163" s="704" t="n">
        <v>0</v>
      </c>
      <c r="AR163" s="704" t="n">
        <v>0</v>
      </c>
      <c r="AS163" s="704" t="n">
        <v>0</v>
      </c>
      <c r="AT163" s="704" t="n">
        <v>0</v>
      </c>
      <c r="AU163" s="704" t="n">
        <v>0</v>
      </c>
      <c r="AV163" s="704" t="n">
        <v>0</v>
      </c>
      <c r="AW163" s="704" t="n">
        <v>0</v>
      </c>
      <c r="AX163" s="704" t="n">
        <v>0</v>
      </c>
      <c r="AY163" s="704" t="n">
        <v>0</v>
      </c>
      <c r="AZ163" s="704" t="n">
        <v>0</v>
      </c>
      <c r="BA163" s="704" t="n">
        <v>0</v>
      </c>
      <c r="BB163" s="704" t="n">
        <v>0</v>
      </c>
      <c r="BC163" s="704" t="n">
        <v>0</v>
      </c>
      <c r="BD163" s="704" t="n">
        <v>0</v>
      </c>
      <c r="BE163" s="704" t="n">
        <v>0</v>
      </c>
      <c r="BF163" s="704" t="n">
        <v>0</v>
      </c>
      <c r="BG163" s="704" t="n">
        <v>0</v>
      </c>
      <c r="BH163" s="704" t="n">
        <v>0</v>
      </c>
      <c r="BI163" s="704" t="n">
        <v>0</v>
      </c>
      <c r="BJ163" s="704" t="n">
        <v>0</v>
      </c>
      <c r="BK163" s="704" t="n">
        <v>0</v>
      </c>
      <c r="BL163" s="704" t="n">
        <v>0</v>
      </c>
      <c r="BM163" s="704" t="n">
        <v>0</v>
      </c>
      <c r="BN163" s="704" t="n">
        <v>0</v>
      </c>
      <c r="BO163" s="704" t="n">
        <v>0</v>
      </c>
      <c r="BP163" s="704" t="n">
        <v>0</v>
      </c>
      <c r="BQ163" s="704" t="n">
        <v>0</v>
      </c>
      <c r="BR163" s="704" t="n">
        <v>0</v>
      </c>
      <c r="BS163" s="704" t="n">
        <v>0</v>
      </c>
      <c r="BT163" s="704" t="n">
        <v>0</v>
      </c>
      <c r="BU163" s="704" t="n">
        <v>0</v>
      </c>
      <c r="BV163" s="704" t="n">
        <v>0</v>
      </c>
      <c r="BW163" s="704" t="n">
        <v>0</v>
      </c>
      <c r="BX163" s="704" t="n">
        <v>0</v>
      </c>
      <c r="BY163" s="704" t="n">
        <v>0</v>
      </c>
      <c r="BZ163" s="704" t="n">
        <v>0</v>
      </c>
      <c r="CA163" s="704" t="n">
        <v>0</v>
      </c>
      <c r="CB163" s="704" t="n">
        <v>0</v>
      </c>
      <c r="CC163" s="704" t="n">
        <v>0</v>
      </c>
      <c r="CD163" s="704" t="n">
        <v>0</v>
      </c>
      <c r="CE163" s="704" t="n">
        <v>0</v>
      </c>
      <c r="CF163" s="704" t="n">
        <v>0</v>
      </c>
      <c r="CG163" s="704" t="n">
        <v>0</v>
      </c>
      <c r="CH163" s="704" t="n">
        <v>0</v>
      </c>
      <c r="CI163" s="704" t="n">
        <v>0</v>
      </c>
      <c r="CJ163" s="704" t="n">
        <v>0</v>
      </c>
      <c r="CK163" s="704" t="n">
        <v>0</v>
      </c>
      <c r="CL163" s="704" t="n">
        <v>0</v>
      </c>
      <c r="CM163" s="704" t="n">
        <v>0</v>
      </c>
      <c r="CN163" s="704" t="n">
        <v>0</v>
      </c>
      <c r="CO163" s="704" t="n">
        <v>0</v>
      </c>
      <c r="CP163" s="704" t="n">
        <v>0</v>
      </c>
      <c r="CQ163" s="704" t="n">
        <v>0</v>
      </c>
      <c r="CR163" s="704" t="n">
        <v>0</v>
      </c>
      <c r="CS163" s="704" t="n">
        <v>0</v>
      </c>
      <c r="CT163" s="704" t="n">
        <v>0</v>
      </c>
      <c r="CU163" s="704" t="n">
        <v>0</v>
      </c>
      <c r="CV163" s="704" t="n">
        <v>0</v>
      </c>
      <c r="CW163" s="704" t="n">
        <v>0</v>
      </c>
      <c r="CX163" s="704" t="n">
        <v>0</v>
      </c>
      <c r="CY163" s="704" t="n">
        <v>0</v>
      </c>
      <c r="CZ163" s="704" t="n">
        <v>0</v>
      </c>
      <c r="DA163" s="704" t="n">
        <v>0</v>
      </c>
      <c r="DB163" s="704" t="n">
        <v>0</v>
      </c>
      <c r="DC163" s="704" t="n">
        <v>0</v>
      </c>
      <c r="DD163" s="704" t="n">
        <v>0</v>
      </c>
      <c r="DE163" s="704" t="n">
        <v>0</v>
      </c>
      <c r="DF163" s="704" t="n">
        <v>0</v>
      </c>
      <c r="DG163" s="704" t="n">
        <v>0</v>
      </c>
      <c r="DH163" s="704" t="n">
        <v>0</v>
      </c>
      <c r="DI163" s="704" t="n">
        <v>0</v>
      </c>
      <c r="DJ163" s="704" t="n">
        <v>0</v>
      </c>
      <c r="DK163" s="704" t="n">
        <v>0</v>
      </c>
      <c r="DL163" s="704" t="n">
        <v>0</v>
      </c>
      <c r="DM163" s="704" t="n">
        <v>0</v>
      </c>
    </row>
    <row r="164" ht="13.5" customHeight="1" s="355">
      <c r="B164" s="703" t="inlineStr">
        <is>
          <t>Team Leader</t>
        </is>
      </c>
      <c r="D164" s="704" t="n">
        <v>0</v>
      </c>
      <c r="E164" s="704" t="n">
        <v>0</v>
      </c>
      <c r="F164" s="704" t="n">
        <v>0</v>
      </c>
      <c r="G164" s="704" t="n">
        <v>0</v>
      </c>
      <c r="H164" s="704" t="n">
        <v>0</v>
      </c>
      <c r="I164" s="704" t="n">
        <v>0</v>
      </c>
      <c r="J164" s="704" t="n">
        <v>0</v>
      </c>
      <c r="K164" s="704" t="n">
        <v>0</v>
      </c>
      <c r="L164" s="704" t="n">
        <v>0</v>
      </c>
      <c r="M164" s="704" t="n">
        <v>0</v>
      </c>
      <c r="N164" s="704" t="n">
        <v>0</v>
      </c>
      <c r="O164" s="704" t="n">
        <v>0</v>
      </c>
      <c r="P164" s="704" t="n">
        <v>0</v>
      </c>
      <c r="Q164" s="704" t="n">
        <v>0</v>
      </c>
      <c r="R164" s="704" t="n">
        <v>0</v>
      </c>
      <c r="S164" s="704" t="n">
        <v>0</v>
      </c>
      <c r="T164" s="704" t="n">
        <v>0</v>
      </c>
      <c r="U164" s="704" t="n">
        <v>0</v>
      </c>
      <c r="V164" s="704" t="n">
        <v>0</v>
      </c>
      <c r="W164" s="704" t="n">
        <v>0</v>
      </c>
      <c r="X164" s="704" t="n">
        <v>0</v>
      </c>
      <c r="Y164" s="704" t="n">
        <v>0</v>
      </c>
      <c r="Z164" s="704" t="n">
        <v>0</v>
      </c>
      <c r="AA164" s="704" t="n">
        <v>0</v>
      </c>
      <c r="AB164" s="704" t="n">
        <v>0</v>
      </c>
      <c r="AC164" s="704" t="n">
        <v>0</v>
      </c>
      <c r="AD164" s="704" t="n">
        <v>0</v>
      </c>
      <c r="AE164" s="704" t="n">
        <v>0</v>
      </c>
      <c r="AF164" s="704" t="n">
        <v>0</v>
      </c>
      <c r="AG164" s="704" t="n">
        <v>0</v>
      </c>
      <c r="AH164" s="704" t="n">
        <v>0</v>
      </c>
      <c r="AI164" s="704" t="n">
        <v>0</v>
      </c>
      <c r="AJ164" s="704" t="n">
        <v>0</v>
      </c>
      <c r="AK164" s="704" t="n">
        <v>0</v>
      </c>
      <c r="AL164" s="704" t="n">
        <v>0</v>
      </c>
      <c r="AM164" s="704" t="n">
        <v>0</v>
      </c>
      <c r="AN164" s="704" t="n">
        <v>0</v>
      </c>
      <c r="AO164" s="704" t="n">
        <v>0</v>
      </c>
      <c r="AP164" s="704" t="n">
        <v>0</v>
      </c>
      <c r="AQ164" s="704" t="n">
        <v>0</v>
      </c>
      <c r="AR164" s="704" t="n">
        <v>0</v>
      </c>
      <c r="AS164" s="704" t="n">
        <v>0</v>
      </c>
      <c r="AT164" s="704" t="n">
        <v>0</v>
      </c>
      <c r="AU164" s="704" t="n">
        <v>0</v>
      </c>
      <c r="AV164" s="704" t="n">
        <v>0</v>
      </c>
      <c r="AW164" s="704" t="n">
        <v>0</v>
      </c>
      <c r="AX164" s="704" t="n">
        <v>0</v>
      </c>
      <c r="AY164" s="704" t="n">
        <v>0</v>
      </c>
      <c r="AZ164" s="704" t="n">
        <v>0</v>
      </c>
      <c r="BA164" s="704" t="n">
        <v>0</v>
      </c>
      <c r="BB164" s="704" t="n">
        <v>0</v>
      </c>
      <c r="BC164" s="704" t="n">
        <v>0</v>
      </c>
      <c r="BD164" s="704" t="n">
        <v>0</v>
      </c>
      <c r="BE164" s="704" t="n">
        <v>0</v>
      </c>
      <c r="BF164" s="704" t="n">
        <v>0</v>
      </c>
      <c r="BG164" s="704" t="n">
        <v>0</v>
      </c>
      <c r="BH164" s="704" t="n">
        <v>0</v>
      </c>
      <c r="BI164" s="704" t="n">
        <v>0</v>
      </c>
      <c r="BJ164" s="704" t="n">
        <v>0</v>
      </c>
      <c r="BK164" s="704" t="n">
        <v>0</v>
      </c>
      <c r="BL164" s="704" t="n">
        <v>0</v>
      </c>
      <c r="BM164" s="704" t="n">
        <v>0</v>
      </c>
      <c r="BN164" s="704" t="n">
        <v>0</v>
      </c>
      <c r="BO164" s="704" t="n">
        <v>0</v>
      </c>
      <c r="BP164" s="704" t="n">
        <v>0</v>
      </c>
      <c r="BQ164" s="704" t="n">
        <v>0</v>
      </c>
      <c r="BR164" s="704" t="n">
        <v>0</v>
      </c>
      <c r="BS164" s="704" t="n">
        <v>0</v>
      </c>
      <c r="BT164" s="704" t="n">
        <v>0</v>
      </c>
      <c r="BU164" s="704" t="n">
        <v>0</v>
      </c>
      <c r="BV164" s="704" t="n">
        <v>0</v>
      </c>
      <c r="BW164" s="704" t="n">
        <v>0</v>
      </c>
      <c r="BX164" s="704" t="n">
        <v>0</v>
      </c>
      <c r="BY164" s="704" t="n">
        <v>0</v>
      </c>
      <c r="BZ164" s="704" t="n">
        <v>0</v>
      </c>
      <c r="CA164" s="704" t="n">
        <v>0</v>
      </c>
      <c r="CB164" s="704" t="n">
        <v>0</v>
      </c>
      <c r="CC164" s="704" t="n">
        <v>0</v>
      </c>
      <c r="CD164" s="704" t="n">
        <v>0</v>
      </c>
      <c r="CE164" s="704" t="n">
        <v>0</v>
      </c>
      <c r="CF164" s="704" t="n">
        <v>0</v>
      </c>
      <c r="CG164" s="704" t="n">
        <v>0</v>
      </c>
      <c r="CH164" s="704" t="n">
        <v>0</v>
      </c>
      <c r="CI164" s="704" t="n">
        <v>0</v>
      </c>
      <c r="CJ164" s="704" t="n">
        <v>0</v>
      </c>
      <c r="CK164" s="704" t="n">
        <v>0</v>
      </c>
      <c r="CL164" s="704" t="n">
        <v>0</v>
      </c>
      <c r="CM164" s="704" t="n">
        <v>0</v>
      </c>
      <c r="CN164" s="704" t="n">
        <v>0</v>
      </c>
      <c r="CO164" s="704" t="n">
        <v>0</v>
      </c>
      <c r="CP164" s="704" t="n">
        <v>0</v>
      </c>
      <c r="CQ164" s="704" t="n">
        <v>0</v>
      </c>
      <c r="CR164" s="704" t="n">
        <v>0</v>
      </c>
      <c r="CS164" s="704" t="n">
        <v>0</v>
      </c>
      <c r="CT164" s="704" t="n">
        <v>0</v>
      </c>
      <c r="CU164" s="704" t="n">
        <v>0</v>
      </c>
      <c r="CV164" s="704" t="n">
        <v>0</v>
      </c>
      <c r="CW164" s="704" t="n">
        <v>0</v>
      </c>
      <c r="CX164" s="704" t="n">
        <v>0</v>
      </c>
      <c r="CY164" s="704" t="n">
        <v>0</v>
      </c>
      <c r="CZ164" s="704" t="n">
        <v>0</v>
      </c>
      <c r="DA164" s="704" t="n">
        <v>0</v>
      </c>
      <c r="DB164" s="704" t="n">
        <v>0</v>
      </c>
      <c r="DC164" s="704" t="n">
        <v>0</v>
      </c>
      <c r="DD164" s="704" t="n">
        <v>0</v>
      </c>
      <c r="DE164" s="704" t="n">
        <v>0</v>
      </c>
      <c r="DF164" s="704" t="n">
        <v>0</v>
      </c>
      <c r="DG164" s="704" t="n">
        <v>0</v>
      </c>
      <c r="DH164" s="704" t="n">
        <v>0</v>
      </c>
      <c r="DI164" s="704" t="n">
        <v>0</v>
      </c>
      <c r="DJ164" s="704" t="n">
        <v>0</v>
      </c>
      <c r="DK164" s="704" t="n">
        <v>0</v>
      </c>
      <c r="DL164" s="704" t="n">
        <v>0</v>
      </c>
      <c r="DM164" s="704" t="n">
        <v>0</v>
      </c>
    </row>
    <row r="165" ht="13.5" customHeight="1" s="355">
      <c r="B165" s="703" t="inlineStr">
        <is>
          <t>SLA Metric Reporting</t>
        </is>
      </c>
      <c r="D165" s="704" t="n">
        <v>0</v>
      </c>
      <c r="E165" s="704" t="n">
        <v>0</v>
      </c>
      <c r="F165" s="704" t="n">
        <v>0</v>
      </c>
      <c r="G165" s="704" t="n">
        <v>0</v>
      </c>
      <c r="H165" s="704" t="n">
        <v>0</v>
      </c>
      <c r="I165" s="704" t="n">
        <v>0</v>
      </c>
      <c r="J165" s="704" t="n">
        <v>0</v>
      </c>
      <c r="K165" s="704" t="n">
        <v>0</v>
      </c>
      <c r="L165" s="704" t="n">
        <v>0</v>
      </c>
      <c r="M165" s="704" t="n">
        <v>0</v>
      </c>
      <c r="N165" s="704" t="n">
        <v>0</v>
      </c>
      <c r="O165" s="704" t="n">
        <v>0</v>
      </c>
      <c r="P165" s="704" t="n">
        <v>0</v>
      </c>
      <c r="Q165" s="704" t="n">
        <v>0</v>
      </c>
      <c r="R165" s="704" t="n">
        <v>0</v>
      </c>
      <c r="S165" s="704" t="n">
        <v>0</v>
      </c>
      <c r="T165" s="704" t="n">
        <v>0</v>
      </c>
      <c r="U165" s="704" t="n">
        <v>0</v>
      </c>
      <c r="V165" s="704" t="n">
        <v>0</v>
      </c>
      <c r="W165" s="704" t="n">
        <v>0</v>
      </c>
      <c r="X165" s="704" t="n">
        <v>0</v>
      </c>
      <c r="Y165" s="704" t="n">
        <v>0</v>
      </c>
      <c r="Z165" s="704" t="n">
        <v>0</v>
      </c>
      <c r="AA165" s="704" t="n">
        <v>0</v>
      </c>
      <c r="AB165" s="704" t="n">
        <v>0</v>
      </c>
      <c r="AC165" s="704" t="n">
        <v>0</v>
      </c>
      <c r="AD165" s="704" t="n">
        <v>0</v>
      </c>
      <c r="AE165" s="704" t="n">
        <v>0</v>
      </c>
      <c r="AF165" s="704" t="n">
        <v>0</v>
      </c>
      <c r="AG165" s="704" t="n">
        <v>0</v>
      </c>
      <c r="AH165" s="704" t="n">
        <v>0</v>
      </c>
      <c r="AI165" s="704" t="n">
        <v>0</v>
      </c>
      <c r="AJ165" s="704" t="n">
        <v>0</v>
      </c>
      <c r="AK165" s="704" t="n">
        <v>0</v>
      </c>
      <c r="AL165" s="704" t="n">
        <v>0</v>
      </c>
      <c r="AM165" s="704" t="n">
        <v>0</v>
      </c>
      <c r="AN165" s="704" t="n">
        <v>0</v>
      </c>
      <c r="AO165" s="704" t="n">
        <v>0</v>
      </c>
      <c r="AP165" s="704" t="n">
        <v>0</v>
      </c>
      <c r="AQ165" s="704" t="n">
        <v>0</v>
      </c>
      <c r="AR165" s="704" t="n">
        <v>0</v>
      </c>
      <c r="AS165" s="704" t="n">
        <v>0</v>
      </c>
      <c r="AT165" s="704" t="n">
        <v>0</v>
      </c>
      <c r="AU165" s="704" t="n">
        <v>0</v>
      </c>
      <c r="AV165" s="704" t="n">
        <v>0</v>
      </c>
      <c r="AW165" s="704" t="n">
        <v>0</v>
      </c>
      <c r="AX165" s="704" t="n">
        <v>0</v>
      </c>
      <c r="AY165" s="704" t="n">
        <v>0</v>
      </c>
      <c r="AZ165" s="704" t="n">
        <v>0</v>
      </c>
      <c r="BA165" s="704" t="n">
        <v>0</v>
      </c>
      <c r="BB165" s="704" t="n">
        <v>0</v>
      </c>
      <c r="BC165" s="704" t="n">
        <v>0</v>
      </c>
      <c r="BD165" s="704" t="n">
        <v>0</v>
      </c>
      <c r="BE165" s="704" t="n">
        <v>0</v>
      </c>
      <c r="BF165" s="704" t="n">
        <v>0</v>
      </c>
      <c r="BG165" s="704" t="n">
        <v>0</v>
      </c>
      <c r="BH165" s="704" t="n">
        <v>0</v>
      </c>
      <c r="BI165" s="704" t="n">
        <v>0</v>
      </c>
      <c r="BJ165" s="704" t="n">
        <v>0</v>
      </c>
      <c r="BK165" s="704" t="n">
        <v>0</v>
      </c>
      <c r="BL165" s="704" t="n">
        <v>0</v>
      </c>
      <c r="BM165" s="704" t="n">
        <v>0</v>
      </c>
      <c r="BN165" s="704" t="n">
        <v>0</v>
      </c>
      <c r="BO165" s="704" t="n">
        <v>0</v>
      </c>
      <c r="BP165" s="704" t="n">
        <v>0</v>
      </c>
      <c r="BQ165" s="704" t="n">
        <v>0</v>
      </c>
      <c r="BR165" s="704" t="n">
        <v>0</v>
      </c>
      <c r="BS165" s="704" t="n">
        <v>0</v>
      </c>
      <c r="BT165" s="704" t="n">
        <v>0</v>
      </c>
      <c r="BU165" s="704" t="n">
        <v>0</v>
      </c>
      <c r="BV165" s="704" t="n">
        <v>0</v>
      </c>
      <c r="BW165" s="704" t="n">
        <v>0</v>
      </c>
      <c r="BX165" s="704" t="n">
        <v>0</v>
      </c>
      <c r="BY165" s="704" t="n">
        <v>0</v>
      </c>
      <c r="BZ165" s="704" t="n">
        <v>0</v>
      </c>
      <c r="CA165" s="704" t="n">
        <v>0</v>
      </c>
      <c r="CB165" s="704" t="n">
        <v>0</v>
      </c>
      <c r="CC165" s="704" t="n">
        <v>0</v>
      </c>
      <c r="CD165" s="704" t="n">
        <v>0</v>
      </c>
      <c r="CE165" s="704" t="n">
        <v>0</v>
      </c>
      <c r="CF165" s="704" t="n">
        <v>0</v>
      </c>
      <c r="CG165" s="704" t="n">
        <v>0</v>
      </c>
      <c r="CH165" s="704" t="n">
        <v>0</v>
      </c>
      <c r="CI165" s="704" t="n">
        <v>0</v>
      </c>
      <c r="CJ165" s="704" t="n">
        <v>0</v>
      </c>
      <c r="CK165" s="704" t="n">
        <v>0</v>
      </c>
      <c r="CL165" s="704" t="n">
        <v>0</v>
      </c>
      <c r="CM165" s="704" t="n">
        <v>0</v>
      </c>
      <c r="CN165" s="704" t="n">
        <v>0</v>
      </c>
      <c r="CO165" s="704" t="n">
        <v>0</v>
      </c>
      <c r="CP165" s="704" t="n">
        <v>0</v>
      </c>
      <c r="CQ165" s="704" t="n">
        <v>0</v>
      </c>
      <c r="CR165" s="704" t="n">
        <v>0</v>
      </c>
      <c r="CS165" s="704" t="n">
        <v>0</v>
      </c>
      <c r="CT165" s="704" t="n">
        <v>0</v>
      </c>
      <c r="CU165" s="704" t="n">
        <v>0</v>
      </c>
      <c r="CV165" s="704" t="n">
        <v>0</v>
      </c>
      <c r="CW165" s="704" t="n">
        <v>0</v>
      </c>
      <c r="CX165" s="704" t="n">
        <v>0</v>
      </c>
      <c r="CY165" s="704" t="n">
        <v>0</v>
      </c>
      <c r="CZ165" s="704" t="n">
        <v>0</v>
      </c>
      <c r="DA165" s="704" t="n">
        <v>0</v>
      </c>
      <c r="DB165" s="704" t="n">
        <v>0</v>
      </c>
      <c r="DC165" s="704" t="n">
        <v>0</v>
      </c>
      <c r="DD165" s="704" t="n">
        <v>0</v>
      </c>
      <c r="DE165" s="704" t="n">
        <v>0</v>
      </c>
      <c r="DF165" s="704" t="n">
        <v>0</v>
      </c>
      <c r="DG165" s="704" t="n">
        <v>0</v>
      </c>
      <c r="DH165" s="704" t="n">
        <v>0</v>
      </c>
      <c r="DI165" s="704" t="n">
        <v>0</v>
      </c>
      <c r="DJ165" s="704" t="n">
        <v>0</v>
      </c>
      <c r="DK165" s="704" t="n">
        <v>0</v>
      </c>
      <c r="DL165" s="704" t="n">
        <v>0</v>
      </c>
      <c r="DM165" s="704" t="n">
        <v>0</v>
      </c>
    </row>
    <row r="166" ht="13.5" customHeight="1" s="355">
      <c r="B166" s="705" t="inlineStr">
        <is>
          <t>Grand Total</t>
        </is>
      </c>
      <c r="C166" s="706" t="n"/>
      <c r="D166" s="707" t="n">
        <v>0</v>
      </c>
      <c r="E166" s="707" t="n">
        <v>0</v>
      </c>
      <c r="F166" s="707" t="n">
        <v>0</v>
      </c>
      <c r="G166" s="707" t="n">
        <v>0</v>
      </c>
      <c r="H166" s="707" t="n">
        <v>0</v>
      </c>
      <c r="I166" s="707" t="n">
        <v>0</v>
      </c>
      <c r="J166" s="707" t="n">
        <v>0</v>
      </c>
      <c r="K166" s="707" t="n">
        <v>0</v>
      </c>
      <c r="L166" s="707" t="n">
        <v>0</v>
      </c>
      <c r="M166" s="707" t="n">
        <v>0</v>
      </c>
      <c r="N166" s="707" t="n">
        <v>0</v>
      </c>
      <c r="O166" s="707" t="n">
        <v>0</v>
      </c>
      <c r="P166" s="707" t="n">
        <v>0</v>
      </c>
      <c r="Q166" s="707" t="n">
        <v>0</v>
      </c>
      <c r="R166" s="707" t="n">
        <v>0</v>
      </c>
      <c r="S166" s="707" t="n">
        <v>0</v>
      </c>
      <c r="T166" s="707" t="n">
        <v>0</v>
      </c>
      <c r="U166" s="707" t="n">
        <v>0</v>
      </c>
      <c r="V166" s="707" t="n">
        <v>0</v>
      </c>
      <c r="W166" s="707" t="n">
        <v>0</v>
      </c>
      <c r="X166" s="707" t="n">
        <v>0</v>
      </c>
      <c r="Y166" s="707" t="n">
        <v>0</v>
      </c>
      <c r="Z166" s="707" t="n">
        <v>0</v>
      </c>
      <c r="AA166" s="707" t="n">
        <v>0</v>
      </c>
      <c r="AB166" s="707" t="n">
        <v>0</v>
      </c>
      <c r="AC166" s="707" t="n">
        <v>0</v>
      </c>
      <c r="AD166" s="707" t="n">
        <v>0</v>
      </c>
      <c r="AE166" s="707" t="n">
        <v>0</v>
      </c>
      <c r="AF166" s="707" t="n">
        <v>0</v>
      </c>
      <c r="AG166" s="707" t="n">
        <v>0</v>
      </c>
      <c r="AH166" s="707" t="n">
        <v>0</v>
      </c>
      <c r="AI166" s="707" t="n">
        <v>0</v>
      </c>
      <c r="AJ166" s="707" t="n">
        <v>0</v>
      </c>
      <c r="AK166" s="707" t="n">
        <v>0</v>
      </c>
      <c r="AL166" s="707" t="n">
        <v>0</v>
      </c>
      <c r="AM166" s="707" t="n">
        <v>0</v>
      </c>
      <c r="AN166" s="707" t="n">
        <v>0</v>
      </c>
      <c r="AO166" s="707" t="n">
        <v>0</v>
      </c>
      <c r="AP166" s="707" t="n">
        <v>0</v>
      </c>
      <c r="AQ166" s="707" t="n">
        <v>0</v>
      </c>
      <c r="AR166" s="707" t="n">
        <v>0</v>
      </c>
      <c r="AS166" s="707" t="n">
        <v>0</v>
      </c>
      <c r="AT166" s="707" t="n">
        <v>0</v>
      </c>
      <c r="AU166" s="707" t="n">
        <v>0</v>
      </c>
      <c r="AV166" s="707" t="n">
        <v>0</v>
      </c>
      <c r="AW166" s="707" t="n">
        <v>0</v>
      </c>
      <c r="AX166" s="707" t="n">
        <v>0</v>
      </c>
      <c r="AY166" s="707" t="n">
        <v>0</v>
      </c>
      <c r="AZ166" s="707" t="n">
        <v>0</v>
      </c>
      <c r="BA166" s="707" t="n">
        <v>0</v>
      </c>
      <c r="BB166" s="707" t="n">
        <v>0</v>
      </c>
      <c r="BC166" s="707" t="n">
        <v>0</v>
      </c>
      <c r="BD166" s="707" t="n">
        <v>0</v>
      </c>
      <c r="BE166" s="707" t="n">
        <v>0</v>
      </c>
      <c r="BF166" s="707" t="n">
        <v>0</v>
      </c>
      <c r="BG166" s="707" t="n">
        <v>0</v>
      </c>
      <c r="BH166" s="707" t="n">
        <v>0</v>
      </c>
      <c r="BI166" s="707" t="n">
        <v>0</v>
      </c>
      <c r="BJ166" s="707" t="n">
        <v>0</v>
      </c>
      <c r="BK166" s="707" t="n">
        <v>0</v>
      </c>
      <c r="BL166" s="707" t="n">
        <v>0</v>
      </c>
      <c r="BM166" s="707" t="n">
        <v>0</v>
      </c>
      <c r="BN166" s="707" t="n">
        <v>0</v>
      </c>
      <c r="BO166" s="707" t="n">
        <v>0</v>
      </c>
      <c r="BP166" s="707" t="n">
        <v>0</v>
      </c>
      <c r="BQ166" s="707" t="n">
        <v>0</v>
      </c>
      <c r="BR166" s="707" t="n">
        <v>0</v>
      </c>
      <c r="BS166" s="707" t="n">
        <v>0</v>
      </c>
      <c r="BT166" s="707" t="n">
        <v>0</v>
      </c>
      <c r="BU166" s="707" t="n">
        <v>0</v>
      </c>
      <c r="BV166" s="707" t="n">
        <v>0</v>
      </c>
      <c r="BW166" s="707" t="n">
        <v>0</v>
      </c>
      <c r="BX166" s="707" t="n">
        <v>0</v>
      </c>
      <c r="BY166" s="707" t="n">
        <v>0</v>
      </c>
      <c r="BZ166" s="707" t="n">
        <v>0</v>
      </c>
      <c r="CA166" s="707" t="n">
        <v>0</v>
      </c>
      <c r="CB166" s="707" t="n">
        <v>0</v>
      </c>
      <c r="CC166" s="707" t="n">
        <v>0</v>
      </c>
      <c r="CD166" s="707" t="n">
        <v>0</v>
      </c>
      <c r="CE166" s="707" t="n">
        <v>0</v>
      </c>
      <c r="CF166" s="707" t="n">
        <v>0</v>
      </c>
      <c r="CG166" s="707" t="n">
        <v>0</v>
      </c>
      <c r="CH166" s="707" t="n">
        <v>0</v>
      </c>
      <c r="CI166" s="707" t="n">
        <v>0</v>
      </c>
      <c r="CJ166" s="707" t="n">
        <v>0</v>
      </c>
      <c r="CK166" s="707" t="n">
        <v>0</v>
      </c>
      <c r="CL166" s="707" t="n">
        <v>0</v>
      </c>
      <c r="CM166" s="707" t="n">
        <v>0</v>
      </c>
      <c r="CN166" s="707" t="n">
        <v>0</v>
      </c>
      <c r="CO166" s="707" t="n">
        <v>0</v>
      </c>
      <c r="CP166" s="707" t="n">
        <v>0</v>
      </c>
      <c r="CQ166" s="707" t="n">
        <v>0</v>
      </c>
      <c r="CR166" s="707" t="n">
        <v>0</v>
      </c>
      <c r="CS166" s="707" t="n">
        <v>0</v>
      </c>
      <c r="CT166" s="707" t="n">
        <v>0</v>
      </c>
      <c r="CU166" s="707" t="n">
        <v>0</v>
      </c>
      <c r="CV166" s="707" t="n">
        <v>0</v>
      </c>
      <c r="CW166" s="707" t="n">
        <v>0</v>
      </c>
      <c r="CX166" s="707" t="n">
        <v>0</v>
      </c>
      <c r="CY166" s="707" t="n">
        <v>0</v>
      </c>
      <c r="CZ166" s="707" t="n">
        <v>0</v>
      </c>
      <c r="DA166" s="707" t="n">
        <v>0</v>
      </c>
      <c r="DB166" s="707" t="n">
        <v>0</v>
      </c>
      <c r="DC166" s="707" t="n">
        <v>0</v>
      </c>
      <c r="DD166" s="707" t="n">
        <v>0</v>
      </c>
      <c r="DE166" s="707" t="n">
        <v>0</v>
      </c>
      <c r="DF166" s="707" t="n">
        <v>0</v>
      </c>
      <c r="DG166" s="707" t="n">
        <v>0</v>
      </c>
      <c r="DH166" s="707" t="n">
        <v>0</v>
      </c>
      <c r="DI166" s="707" t="n">
        <v>0</v>
      </c>
      <c r="DJ166" s="707" t="n">
        <v>0</v>
      </c>
      <c r="DK166" s="707" t="n">
        <v>0</v>
      </c>
      <c r="DL166" s="707" t="n">
        <v>0</v>
      </c>
      <c r="DM166" s="707" t="n">
        <v>0</v>
      </c>
    </row>
    <row r="167" ht="13.5" customHeight="1" s="355">
      <c r="A167" s="702" t="inlineStr">
        <is>
          <t>Country 16</t>
        </is>
      </c>
      <c r="B167" s="703" t="inlineStr">
        <is>
          <t>Gen Acctg</t>
        </is>
      </c>
      <c r="D167" s="704" t="n">
        <v>0</v>
      </c>
      <c r="E167" s="704" t="n">
        <v>0</v>
      </c>
      <c r="F167" s="704" t="n">
        <v>0</v>
      </c>
      <c r="G167" s="704" t="n">
        <v>0</v>
      </c>
      <c r="H167" s="704" t="n">
        <v>0</v>
      </c>
      <c r="I167" s="704" t="n">
        <v>0</v>
      </c>
      <c r="J167" s="704" t="n">
        <v>0</v>
      </c>
      <c r="K167" s="704" t="n">
        <v>0</v>
      </c>
      <c r="L167" s="704" t="n">
        <v>0</v>
      </c>
      <c r="M167" s="704" t="n">
        <v>0</v>
      </c>
      <c r="N167" s="704" t="n">
        <v>0</v>
      </c>
      <c r="O167" s="704" t="n">
        <v>0</v>
      </c>
      <c r="P167" s="704" t="n">
        <v>0</v>
      </c>
      <c r="Q167" s="704" t="n">
        <v>0</v>
      </c>
      <c r="R167" s="704" t="n">
        <v>0</v>
      </c>
      <c r="S167" s="704" t="n">
        <v>0</v>
      </c>
      <c r="T167" s="704" t="n">
        <v>0</v>
      </c>
      <c r="U167" s="704" t="n">
        <v>0</v>
      </c>
      <c r="V167" s="704" t="n">
        <v>0</v>
      </c>
      <c r="W167" s="704" t="n">
        <v>0</v>
      </c>
      <c r="X167" s="704" t="n">
        <v>0</v>
      </c>
      <c r="Y167" s="704" t="n">
        <v>0</v>
      </c>
      <c r="Z167" s="704" t="n">
        <v>0</v>
      </c>
      <c r="AA167" s="704" t="n">
        <v>0</v>
      </c>
      <c r="AB167" s="704" t="n">
        <v>0</v>
      </c>
      <c r="AC167" s="704" t="n">
        <v>0</v>
      </c>
      <c r="AD167" s="704" t="n">
        <v>0</v>
      </c>
      <c r="AE167" s="704" t="n">
        <v>0</v>
      </c>
      <c r="AF167" s="704" t="n">
        <v>0</v>
      </c>
      <c r="AG167" s="704" t="n">
        <v>0</v>
      </c>
      <c r="AH167" s="704" t="n">
        <v>0</v>
      </c>
      <c r="AI167" s="704" t="n">
        <v>0</v>
      </c>
      <c r="AJ167" s="704" t="n">
        <v>0</v>
      </c>
      <c r="AK167" s="704" t="n">
        <v>0</v>
      </c>
      <c r="AL167" s="704" t="n">
        <v>0</v>
      </c>
      <c r="AM167" s="704" t="n">
        <v>0</v>
      </c>
      <c r="AN167" s="704" t="n">
        <v>0</v>
      </c>
      <c r="AO167" s="704" t="n">
        <v>0</v>
      </c>
      <c r="AP167" s="704" t="n">
        <v>0</v>
      </c>
      <c r="AQ167" s="704" t="n">
        <v>0</v>
      </c>
      <c r="AR167" s="704" t="n">
        <v>0</v>
      </c>
      <c r="AS167" s="704" t="n">
        <v>0</v>
      </c>
      <c r="AT167" s="704" t="n">
        <v>0</v>
      </c>
      <c r="AU167" s="704" t="n">
        <v>0</v>
      </c>
      <c r="AV167" s="704" t="n">
        <v>0</v>
      </c>
      <c r="AW167" s="704" t="n">
        <v>0</v>
      </c>
      <c r="AX167" s="704" t="n">
        <v>0</v>
      </c>
      <c r="AY167" s="704" t="n">
        <v>0</v>
      </c>
      <c r="AZ167" s="704" t="n">
        <v>0</v>
      </c>
      <c r="BA167" s="704" t="n">
        <v>0</v>
      </c>
      <c r="BB167" s="704" t="n">
        <v>0</v>
      </c>
      <c r="BC167" s="704" t="n">
        <v>0</v>
      </c>
      <c r="BD167" s="704" t="n">
        <v>0</v>
      </c>
      <c r="BE167" s="704" t="n">
        <v>0</v>
      </c>
      <c r="BF167" s="704" t="n">
        <v>0</v>
      </c>
      <c r="BG167" s="704" t="n">
        <v>0</v>
      </c>
      <c r="BH167" s="704" t="n">
        <v>0</v>
      </c>
      <c r="BI167" s="704" t="n">
        <v>0</v>
      </c>
      <c r="BJ167" s="704" t="n">
        <v>0</v>
      </c>
      <c r="BK167" s="704" t="n">
        <v>0</v>
      </c>
      <c r="BL167" s="704" t="n">
        <v>0</v>
      </c>
      <c r="BM167" s="704" t="n">
        <v>0</v>
      </c>
      <c r="BN167" s="704" t="n">
        <v>0</v>
      </c>
      <c r="BO167" s="704" t="n">
        <v>0</v>
      </c>
      <c r="BP167" s="704" t="n">
        <v>0</v>
      </c>
      <c r="BQ167" s="704" t="n">
        <v>0</v>
      </c>
      <c r="BR167" s="704" t="n">
        <v>0</v>
      </c>
      <c r="BS167" s="704" t="n">
        <v>0</v>
      </c>
      <c r="BT167" s="704" t="n">
        <v>0</v>
      </c>
      <c r="BU167" s="704" t="n">
        <v>0</v>
      </c>
      <c r="BV167" s="704" t="n">
        <v>0</v>
      </c>
      <c r="BW167" s="704" t="n">
        <v>0</v>
      </c>
      <c r="BX167" s="704" t="n">
        <v>0</v>
      </c>
      <c r="BY167" s="704" t="n">
        <v>0</v>
      </c>
      <c r="BZ167" s="704" t="n">
        <v>0</v>
      </c>
      <c r="CA167" s="704" t="n">
        <v>0</v>
      </c>
      <c r="CB167" s="704" t="n">
        <v>0</v>
      </c>
      <c r="CC167" s="704" t="n">
        <v>0</v>
      </c>
      <c r="CD167" s="704" t="n">
        <v>0</v>
      </c>
      <c r="CE167" s="704" t="n">
        <v>0</v>
      </c>
      <c r="CF167" s="704" t="n">
        <v>0</v>
      </c>
      <c r="CG167" s="704" t="n">
        <v>0</v>
      </c>
      <c r="CH167" s="704" t="n">
        <v>0</v>
      </c>
      <c r="CI167" s="704" t="n">
        <v>0</v>
      </c>
      <c r="CJ167" s="704" t="n">
        <v>0</v>
      </c>
      <c r="CK167" s="704" t="n">
        <v>0</v>
      </c>
      <c r="CL167" s="704" t="n">
        <v>0</v>
      </c>
      <c r="CM167" s="704" t="n">
        <v>0</v>
      </c>
      <c r="CN167" s="704" t="n">
        <v>0</v>
      </c>
      <c r="CO167" s="704" t="n">
        <v>0</v>
      </c>
      <c r="CP167" s="704" t="n">
        <v>0</v>
      </c>
      <c r="CQ167" s="704" t="n">
        <v>0</v>
      </c>
      <c r="CR167" s="704" t="n">
        <v>0</v>
      </c>
      <c r="CS167" s="704" t="n">
        <v>0</v>
      </c>
      <c r="CT167" s="704" t="n">
        <v>0</v>
      </c>
      <c r="CU167" s="704" t="n">
        <v>0</v>
      </c>
      <c r="CV167" s="704" t="n">
        <v>0</v>
      </c>
      <c r="CW167" s="704" t="n">
        <v>0</v>
      </c>
      <c r="CX167" s="704" t="n">
        <v>0</v>
      </c>
      <c r="CY167" s="704" t="n">
        <v>0</v>
      </c>
      <c r="CZ167" s="704" t="n">
        <v>0</v>
      </c>
      <c r="DA167" s="704" t="n">
        <v>0</v>
      </c>
      <c r="DB167" s="704" t="n">
        <v>0</v>
      </c>
      <c r="DC167" s="704" t="n">
        <v>0</v>
      </c>
      <c r="DD167" s="704" t="n">
        <v>0</v>
      </c>
      <c r="DE167" s="704" t="n">
        <v>0</v>
      </c>
      <c r="DF167" s="704" t="n">
        <v>0</v>
      </c>
      <c r="DG167" s="704" t="n">
        <v>0</v>
      </c>
      <c r="DH167" s="704" t="n">
        <v>0</v>
      </c>
      <c r="DI167" s="704" t="n">
        <v>0</v>
      </c>
      <c r="DJ167" s="704" t="n">
        <v>0</v>
      </c>
      <c r="DK167" s="704" t="n">
        <v>0</v>
      </c>
      <c r="DL167" s="704" t="n">
        <v>0</v>
      </c>
      <c r="DM167" s="704" t="n">
        <v>0</v>
      </c>
    </row>
    <row r="168" ht="13.5" customHeight="1" s="355">
      <c r="B168" s="703" t="inlineStr">
        <is>
          <t>Reporting</t>
        </is>
      </c>
      <c r="D168" s="704" t="n">
        <v>0</v>
      </c>
      <c r="E168" s="704" t="n">
        <v>0</v>
      </c>
      <c r="F168" s="704" t="n">
        <v>0</v>
      </c>
      <c r="G168" s="704" t="n">
        <v>0</v>
      </c>
      <c r="H168" s="704" t="n">
        <v>0</v>
      </c>
      <c r="I168" s="704" t="n">
        <v>0</v>
      </c>
      <c r="J168" s="704" t="n">
        <v>0</v>
      </c>
      <c r="K168" s="704" t="n">
        <v>0</v>
      </c>
      <c r="L168" s="704" t="n">
        <v>0</v>
      </c>
      <c r="M168" s="704" t="n">
        <v>0</v>
      </c>
      <c r="N168" s="704" t="n">
        <v>0</v>
      </c>
      <c r="O168" s="704" t="n">
        <v>0</v>
      </c>
      <c r="P168" s="704" t="n">
        <v>0</v>
      </c>
      <c r="Q168" s="704" t="n">
        <v>0</v>
      </c>
      <c r="R168" s="704" t="n">
        <v>0</v>
      </c>
      <c r="S168" s="704" t="n">
        <v>0</v>
      </c>
      <c r="T168" s="704" t="n">
        <v>0</v>
      </c>
      <c r="U168" s="704" t="n">
        <v>0</v>
      </c>
      <c r="V168" s="704" t="n">
        <v>0</v>
      </c>
      <c r="W168" s="704" t="n">
        <v>0</v>
      </c>
      <c r="X168" s="704" t="n">
        <v>0</v>
      </c>
      <c r="Y168" s="704" t="n">
        <v>0</v>
      </c>
      <c r="Z168" s="704" t="n">
        <v>0</v>
      </c>
      <c r="AA168" s="704" t="n">
        <v>0</v>
      </c>
      <c r="AB168" s="704" t="n">
        <v>0</v>
      </c>
      <c r="AC168" s="704" t="n">
        <v>0</v>
      </c>
      <c r="AD168" s="704" t="n">
        <v>0</v>
      </c>
      <c r="AE168" s="704" t="n">
        <v>0</v>
      </c>
      <c r="AF168" s="704" t="n">
        <v>0</v>
      </c>
      <c r="AG168" s="704" t="n">
        <v>0</v>
      </c>
      <c r="AH168" s="704" t="n">
        <v>0</v>
      </c>
      <c r="AI168" s="704" t="n">
        <v>0</v>
      </c>
      <c r="AJ168" s="704" t="n">
        <v>0</v>
      </c>
      <c r="AK168" s="704" t="n">
        <v>0</v>
      </c>
      <c r="AL168" s="704" t="n">
        <v>0</v>
      </c>
      <c r="AM168" s="704" t="n">
        <v>0</v>
      </c>
      <c r="AN168" s="704" t="n">
        <v>0</v>
      </c>
      <c r="AO168" s="704" t="n">
        <v>0</v>
      </c>
      <c r="AP168" s="704" t="n">
        <v>0</v>
      </c>
      <c r="AQ168" s="704" t="n">
        <v>0</v>
      </c>
      <c r="AR168" s="704" t="n">
        <v>0</v>
      </c>
      <c r="AS168" s="704" t="n">
        <v>0</v>
      </c>
      <c r="AT168" s="704" t="n">
        <v>0</v>
      </c>
      <c r="AU168" s="704" t="n">
        <v>0</v>
      </c>
      <c r="AV168" s="704" t="n">
        <v>0</v>
      </c>
      <c r="AW168" s="704" t="n">
        <v>0</v>
      </c>
      <c r="AX168" s="704" t="n">
        <v>0</v>
      </c>
      <c r="AY168" s="704" t="n">
        <v>0</v>
      </c>
      <c r="AZ168" s="704" t="n">
        <v>0</v>
      </c>
      <c r="BA168" s="704" t="n">
        <v>0</v>
      </c>
      <c r="BB168" s="704" t="n">
        <v>0</v>
      </c>
      <c r="BC168" s="704" t="n">
        <v>0</v>
      </c>
      <c r="BD168" s="704" t="n">
        <v>0</v>
      </c>
      <c r="BE168" s="704" t="n">
        <v>0</v>
      </c>
      <c r="BF168" s="704" t="n">
        <v>0</v>
      </c>
      <c r="BG168" s="704" t="n">
        <v>0</v>
      </c>
      <c r="BH168" s="704" t="n">
        <v>0</v>
      </c>
      <c r="BI168" s="704" t="n">
        <v>0</v>
      </c>
      <c r="BJ168" s="704" t="n">
        <v>0</v>
      </c>
      <c r="BK168" s="704" t="n">
        <v>0</v>
      </c>
      <c r="BL168" s="704" t="n">
        <v>0</v>
      </c>
      <c r="BM168" s="704" t="n">
        <v>0</v>
      </c>
      <c r="BN168" s="704" t="n">
        <v>0</v>
      </c>
      <c r="BO168" s="704" t="n">
        <v>0</v>
      </c>
      <c r="BP168" s="704" t="n">
        <v>0</v>
      </c>
      <c r="BQ168" s="704" t="n">
        <v>0</v>
      </c>
      <c r="BR168" s="704" t="n">
        <v>0</v>
      </c>
      <c r="BS168" s="704" t="n">
        <v>0</v>
      </c>
      <c r="BT168" s="704" t="n">
        <v>0</v>
      </c>
      <c r="BU168" s="704" t="n">
        <v>0</v>
      </c>
      <c r="BV168" s="704" t="n">
        <v>0</v>
      </c>
      <c r="BW168" s="704" t="n">
        <v>0</v>
      </c>
      <c r="BX168" s="704" t="n">
        <v>0</v>
      </c>
      <c r="BY168" s="704" t="n">
        <v>0</v>
      </c>
      <c r="BZ168" s="704" t="n">
        <v>0</v>
      </c>
      <c r="CA168" s="704" t="n">
        <v>0</v>
      </c>
      <c r="CB168" s="704" t="n">
        <v>0</v>
      </c>
      <c r="CC168" s="704" t="n">
        <v>0</v>
      </c>
      <c r="CD168" s="704" t="n">
        <v>0</v>
      </c>
      <c r="CE168" s="704" t="n">
        <v>0</v>
      </c>
      <c r="CF168" s="704" t="n">
        <v>0</v>
      </c>
      <c r="CG168" s="704" t="n">
        <v>0</v>
      </c>
      <c r="CH168" s="704" t="n">
        <v>0</v>
      </c>
      <c r="CI168" s="704" t="n">
        <v>0</v>
      </c>
      <c r="CJ168" s="704" t="n">
        <v>0</v>
      </c>
      <c r="CK168" s="704" t="n">
        <v>0</v>
      </c>
      <c r="CL168" s="704" t="n">
        <v>0</v>
      </c>
      <c r="CM168" s="704" t="n">
        <v>0</v>
      </c>
      <c r="CN168" s="704" t="n">
        <v>0</v>
      </c>
      <c r="CO168" s="704" t="n">
        <v>0</v>
      </c>
      <c r="CP168" s="704" t="n">
        <v>0</v>
      </c>
      <c r="CQ168" s="704" t="n">
        <v>0</v>
      </c>
      <c r="CR168" s="704" t="n">
        <v>0</v>
      </c>
      <c r="CS168" s="704" t="n">
        <v>0</v>
      </c>
      <c r="CT168" s="704" t="n">
        <v>0</v>
      </c>
      <c r="CU168" s="704" t="n">
        <v>0</v>
      </c>
      <c r="CV168" s="704" t="n">
        <v>0</v>
      </c>
      <c r="CW168" s="704" t="n">
        <v>0</v>
      </c>
      <c r="CX168" s="704" t="n">
        <v>0</v>
      </c>
      <c r="CY168" s="704" t="n">
        <v>0</v>
      </c>
      <c r="CZ168" s="704" t="n">
        <v>0</v>
      </c>
      <c r="DA168" s="704" t="n">
        <v>0</v>
      </c>
      <c r="DB168" s="704" t="n">
        <v>0</v>
      </c>
      <c r="DC168" s="704" t="n">
        <v>0</v>
      </c>
      <c r="DD168" s="704" t="n">
        <v>0</v>
      </c>
      <c r="DE168" s="704" t="n">
        <v>0</v>
      </c>
      <c r="DF168" s="704" t="n">
        <v>0</v>
      </c>
      <c r="DG168" s="704" t="n">
        <v>0</v>
      </c>
      <c r="DH168" s="704" t="n">
        <v>0</v>
      </c>
      <c r="DI168" s="704" t="n">
        <v>0</v>
      </c>
      <c r="DJ168" s="704" t="n">
        <v>0</v>
      </c>
      <c r="DK168" s="704" t="n">
        <v>0</v>
      </c>
      <c r="DL168" s="704" t="n">
        <v>0</v>
      </c>
      <c r="DM168" s="704" t="n">
        <v>0</v>
      </c>
    </row>
    <row r="169" ht="13.5" customHeight="1" s="355">
      <c r="B169" s="703" t="inlineStr">
        <is>
          <t>Fixed Assets</t>
        </is>
      </c>
      <c r="D169" s="704" t="n">
        <v>0</v>
      </c>
      <c r="E169" s="704" t="n">
        <v>0</v>
      </c>
      <c r="F169" s="704" t="n">
        <v>0</v>
      </c>
      <c r="G169" s="704" t="n">
        <v>0</v>
      </c>
      <c r="H169" s="704" t="n">
        <v>0</v>
      </c>
      <c r="I169" s="704" t="n">
        <v>0</v>
      </c>
      <c r="J169" s="704" t="n">
        <v>0</v>
      </c>
      <c r="K169" s="704" t="n">
        <v>0</v>
      </c>
      <c r="L169" s="704" t="n">
        <v>0</v>
      </c>
      <c r="M169" s="704" t="n">
        <v>0</v>
      </c>
      <c r="N169" s="704" t="n">
        <v>0</v>
      </c>
      <c r="O169" s="704" t="n">
        <v>0</v>
      </c>
      <c r="P169" s="704" t="n">
        <v>0</v>
      </c>
      <c r="Q169" s="704" t="n">
        <v>0</v>
      </c>
      <c r="R169" s="704" t="n">
        <v>0</v>
      </c>
      <c r="S169" s="704" t="n">
        <v>0</v>
      </c>
      <c r="T169" s="704" t="n">
        <v>0</v>
      </c>
      <c r="U169" s="704" t="n">
        <v>0</v>
      </c>
      <c r="V169" s="704" t="n">
        <v>0</v>
      </c>
      <c r="W169" s="704" t="n">
        <v>0</v>
      </c>
      <c r="X169" s="704" t="n">
        <v>0</v>
      </c>
      <c r="Y169" s="704" t="n">
        <v>0</v>
      </c>
      <c r="Z169" s="704" t="n">
        <v>0</v>
      </c>
      <c r="AA169" s="704" t="n">
        <v>0</v>
      </c>
      <c r="AB169" s="704" t="n">
        <v>0</v>
      </c>
      <c r="AC169" s="704" t="n">
        <v>0</v>
      </c>
      <c r="AD169" s="704" t="n">
        <v>0</v>
      </c>
      <c r="AE169" s="704" t="n">
        <v>0</v>
      </c>
      <c r="AF169" s="704" t="n">
        <v>0</v>
      </c>
      <c r="AG169" s="704" t="n">
        <v>0</v>
      </c>
      <c r="AH169" s="704" t="n">
        <v>0</v>
      </c>
      <c r="AI169" s="704" t="n">
        <v>0</v>
      </c>
      <c r="AJ169" s="704" t="n">
        <v>0</v>
      </c>
      <c r="AK169" s="704" t="n">
        <v>0</v>
      </c>
      <c r="AL169" s="704" t="n">
        <v>0</v>
      </c>
      <c r="AM169" s="704" t="n">
        <v>0</v>
      </c>
      <c r="AN169" s="704" t="n">
        <v>0</v>
      </c>
      <c r="AO169" s="704" t="n">
        <v>0</v>
      </c>
      <c r="AP169" s="704" t="n">
        <v>0</v>
      </c>
      <c r="AQ169" s="704" t="n">
        <v>0</v>
      </c>
      <c r="AR169" s="704" t="n">
        <v>0</v>
      </c>
      <c r="AS169" s="704" t="n">
        <v>0</v>
      </c>
      <c r="AT169" s="704" t="n">
        <v>0</v>
      </c>
      <c r="AU169" s="704" t="n">
        <v>0</v>
      </c>
      <c r="AV169" s="704" t="n">
        <v>0</v>
      </c>
      <c r="AW169" s="704" t="n">
        <v>0</v>
      </c>
      <c r="AX169" s="704" t="n">
        <v>0</v>
      </c>
      <c r="AY169" s="704" t="n">
        <v>0</v>
      </c>
      <c r="AZ169" s="704" t="n">
        <v>0</v>
      </c>
      <c r="BA169" s="704" t="n">
        <v>0</v>
      </c>
      <c r="BB169" s="704" t="n">
        <v>0</v>
      </c>
      <c r="BC169" s="704" t="n">
        <v>0</v>
      </c>
      <c r="BD169" s="704" t="n">
        <v>0</v>
      </c>
      <c r="BE169" s="704" t="n">
        <v>0</v>
      </c>
      <c r="BF169" s="704" t="n">
        <v>0</v>
      </c>
      <c r="BG169" s="704" t="n">
        <v>0</v>
      </c>
      <c r="BH169" s="704" t="n">
        <v>0</v>
      </c>
      <c r="BI169" s="704" t="n">
        <v>0</v>
      </c>
      <c r="BJ169" s="704" t="n">
        <v>0</v>
      </c>
      <c r="BK169" s="704" t="n">
        <v>0</v>
      </c>
      <c r="BL169" s="704" t="n">
        <v>0</v>
      </c>
      <c r="BM169" s="704" t="n">
        <v>0</v>
      </c>
      <c r="BN169" s="704" t="n">
        <v>0</v>
      </c>
      <c r="BO169" s="704" t="n">
        <v>0</v>
      </c>
      <c r="BP169" s="704" t="n">
        <v>0</v>
      </c>
      <c r="BQ169" s="704" t="n">
        <v>0</v>
      </c>
      <c r="BR169" s="704" t="n">
        <v>0</v>
      </c>
      <c r="BS169" s="704" t="n">
        <v>0</v>
      </c>
      <c r="BT169" s="704" t="n">
        <v>0</v>
      </c>
      <c r="BU169" s="704" t="n">
        <v>0</v>
      </c>
      <c r="BV169" s="704" t="n">
        <v>0</v>
      </c>
      <c r="BW169" s="704" t="n">
        <v>0</v>
      </c>
      <c r="BX169" s="704" t="n">
        <v>0</v>
      </c>
      <c r="BY169" s="704" t="n">
        <v>0</v>
      </c>
      <c r="BZ169" s="704" t="n">
        <v>0</v>
      </c>
      <c r="CA169" s="704" t="n">
        <v>0</v>
      </c>
      <c r="CB169" s="704" t="n">
        <v>0</v>
      </c>
      <c r="CC169" s="704" t="n">
        <v>0</v>
      </c>
      <c r="CD169" s="704" t="n">
        <v>0</v>
      </c>
      <c r="CE169" s="704" t="n">
        <v>0</v>
      </c>
      <c r="CF169" s="704" t="n">
        <v>0</v>
      </c>
      <c r="CG169" s="704" t="n">
        <v>0</v>
      </c>
      <c r="CH169" s="704" t="n">
        <v>0</v>
      </c>
      <c r="CI169" s="704" t="n">
        <v>0</v>
      </c>
      <c r="CJ169" s="704" t="n">
        <v>0</v>
      </c>
      <c r="CK169" s="704" t="n">
        <v>0</v>
      </c>
      <c r="CL169" s="704" t="n">
        <v>0</v>
      </c>
      <c r="CM169" s="704" t="n">
        <v>0</v>
      </c>
      <c r="CN169" s="704" t="n">
        <v>0</v>
      </c>
      <c r="CO169" s="704" t="n">
        <v>0</v>
      </c>
      <c r="CP169" s="704" t="n">
        <v>0</v>
      </c>
      <c r="CQ169" s="704" t="n">
        <v>0</v>
      </c>
      <c r="CR169" s="704" t="n">
        <v>0</v>
      </c>
      <c r="CS169" s="704" t="n">
        <v>0</v>
      </c>
      <c r="CT169" s="704" t="n">
        <v>0</v>
      </c>
      <c r="CU169" s="704" t="n">
        <v>0</v>
      </c>
      <c r="CV169" s="704" t="n">
        <v>0</v>
      </c>
      <c r="CW169" s="704" t="n">
        <v>0</v>
      </c>
      <c r="CX169" s="704" t="n">
        <v>0</v>
      </c>
      <c r="CY169" s="704" t="n">
        <v>0</v>
      </c>
      <c r="CZ169" s="704" t="n">
        <v>0</v>
      </c>
      <c r="DA169" s="704" t="n">
        <v>0</v>
      </c>
      <c r="DB169" s="704" t="n">
        <v>0</v>
      </c>
      <c r="DC169" s="704" t="n">
        <v>0</v>
      </c>
      <c r="DD169" s="704" t="n">
        <v>0</v>
      </c>
      <c r="DE169" s="704" t="n">
        <v>0</v>
      </c>
      <c r="DF169" s="704" t="n">
        <v>0</v>
      </c>
      <c r="DG169" s="704" t="n">
        <v>0</v>
      </c>
      <c r="DH169" s="704" t="n">
        <v>0</v>
      </c>
      <c r="DI169" s="704" t="n">
        <v>0</v>
      </c>
      <c r="DJ169" s="704" t="n">
        <v>0</v>
      </c>
      <c r="DK169" s="704" t="n">
        <v>0</v>
      </c>
      <c r="DL169" s="704" t="n">
        <v>0</v>
      </c>
      <c r="DM169" s="704" t="n">
        <v>0</v>
      </c>
    </row>
    <row r="170" ht="13.5" customHeight="1" s="355">
      <c r="B170" s="703" t="inlineStr">
        <is>
          <t>Acct Payable</t>
        </is>
      </c>
      <c r="D170" s="704" t="n">
        <v>0</v>
      </c>
      <c r="E170" s="704" t="n">
        <v>0</v>
      </c>
      <c r="F170" s="704" t="n">
        <v>0</v>
      </c>
      <c r="G170" s="704" t="n">
        <v>0</v>
      </c>
      <c r="H170" s="704" t="n">
        <v>0</v>
      </c>
      <c r="I170" s="704" t="n">
        <v>0</v>
      </c>
      <c r="J170" s="704" t="n">
        <v>0</v>
      </c>
      <c r="K170" s="704" t="n">
        <v>0</v>
      </c>
      <c r="L170" s="704" t="n">
        <v>0</v>
      </c>
      <c r="M170" s="704" t="n">
        <v>0</v>
      </c>
      <c r="N170" s="704" t="n">
        <v>0</v>
      </c>
      <c r="O170" s="704" t="n">
        <v>0</v>
      </c>
      <c r="P170" s="704" t="n">
        <v>0</v>
      </c>
      <c r="Q170" s="704" t="n">
        <v>0</v>
      </c>
      <c r="R170" s="704" t="n">
        <v>0</v>
      </c>
      <c r="S170" s="704" t="n">
        <v>0</v>
      </c>
      <c r="T170" s="704" t="n">
        <v>0</v>
      </c>
      <c r="U170" s="704" t="n">
        <v>0</v>
      </c>
      <c r="V170" s="704" t="n">
        <v>0</v>
      </c>
      <c r="W170" s="704" t="n">
        <v>0</v>
      </c>
      <c r="X170" s="704" t="n">
        <v>0</v>
      </c>
      <c r="Y170" s="704" t="n">
        <v>0</v>
      </c>
      <c r="Z170" s="704" t="n">
        <v>0</v>
      </c>
      <c r="AA170" s="704" t="n">
        <v>0</v>
      </c>
      <c r="AB170" s="704" t="n">
        <v>0</v>
      </c>
      <c r="AC170" s="704" t="n">
        <v>0</v>
      </c>
      <c r="AD170" s="704" t="n">
        <v>0</v>
      </c>
      <c r="AE170" s="704" t="n">
        <v>0</v>
      </c>
      <c r="AF170" s="704" t="n">
        <v>0</v>
      </c>
      <c r="AG170" s="704" t="n">
        <v>0</v>
      </c>
      <c r="AH170" s="704" t="n">
        <v>0</v>
      </c>
      <c r="AI170" s="704" t="n">
        <v>0</v>
      </c>
      <c r="AJ170" s="704" t="n">
        <v>0</v>
      </c>
      <c r="AK170" s="704" t="n">
        <v>0</v>
      </c>
      <c r="AL170" s="704" t="n">
        <v>0</v>
      </c>
      <c r="AM170" s="704" t="n">
        <v>0</v>
      </c>
      <c r="AN170" s="704" t="n">
        <v>0</v>
      </c>
      <c r="AO170" s="704" t="n">
        <v>0</v>
      </c>
      <c r="AP170" s="704" t="n">
        <v>0</v>
      </c>
      <c r="AQ170" s="704" t="n">
        <v>0</v>
      </c>
      <c r="AR170" s="704" t="n">
        <v>0</v>
      </c>
      <c r="AS170" s="704" t="n">
        <v>0</v>
      </c>
      <c r="AT170" s="704" t="n">
        <v>0</v>
      </c>
      <c r="AU170" s="704" t="n">
        <v>0</v>
      </c>
      <c r="AV170" s="704" t="n">
        <v>0</v>
      </c>
      <c r="AW170" s="704" t="n">
        <v>0</v>
      </c>
      <c r="AX170" s="704" t="n">
        <v>0</v>
      </c>
      <c r="AY170" s="704" t="n">
        <v>0</v>
      </c>
      <c r="AZ170" s="704" t="n">
        <v>0</v>
      </c>
      <c r="BA170" s="704" t="n">
        <v>0</v>
      </c>
      <c r="BB170" s="704" t="n">
        <v>0</v>
      </c>
      <c r="BC170" s="704" t="n">
        <v>0</v>
      </c>
      <c r="BD170" s="704" t="n">
        <v>0</v>
      </c>
      <c r="BE170" s="704" t="n">
        <v>0</v>
      </c>
      <c r="BF170" s="704" t="n">
        <v>0</v>
      </c>
      <c r="BG170" s="704" t="n">
        <v>0</v>
      </c>
      <c r="BH170" s="704" t="n">
        <v>0</v>
      </c>
      <c r="BI170" s="704" t="n">
        <v>0</v>
      </c>
      <c r="BJ170" s="704" t="n">
        <v>0</v>
      </c>
      <c r="BK170" s="704" t="n">
        <v>0</v>
      </c>
      <c r="BL170" s="704" t="n">
        <v>0</v>
      </c>
      <c r="BM170" s="704" t="n">
        <v>0</v>
      </c>
      <c r="BN170" s="704" t="n">
        <v>0</v>
      </c>
      <c r="BO170" s="704" t="n">
        <v>0</v>
      </c>
      <c r="BP170" s="704" t="n">
        <v>0</v>
      </c>
      <c r="BQ170" s="704" t="n">
        <v>0</v>
      </c>
      <c r="BR170" s="704" t="n">
        <v>0</v>
      </c>
      <c r="BS170" s="704" t="n">
        <v>0</v>
      </c>
      <c r="BT170" s="704" t="n">
        <v>0</v>
      </c>
      <c r="BU170" s="704" t="n">
        <v>0</v>
      </c>
      <c r="BV170" s="704" t="n">
        <v>0</v>
      </c>
      <c r="BW170" s="704" t="n">
        <v>0</v>
      </c>
      <c r="BX170" s="704" t="n">
        <v>0</v>
      </c>
      <c r="BY170" s="704" t="n">
        <v>0</v>
      </c>
      <c r="BZ170" s="704" t="n">
        <v>0</v>
      </c>
      <c r="CA170" s="704" t="n">
        <v>0</v>
      </c>
      <c r="CB170" s="704" t="n">
        <v>0</v>
      </c>
      <c r="CC170" s="704" t="n">
        <v>0</v>
      </c>
      <c r="CD170" s="704" t="n">
        <v>0</v>
      </c>
      <c r="CE170" s="704" t="n">
        <v>0</v>
      </c>
      <c r="CF170" s="704" t="n">
        <v>0</v>
      </c>
      <c r="CG170" s="704" t="n">
        <v>0</v>
      </c>
      <c r="CH170" s="704" t="n">
        <v>0</v>
      </c>
      <c r="CI170" s="704" t="n">
        <v>0</v>
      </c>
      <c r="CJ170" s="704" t="n">
        <v>0</v>
      </c>
      <c r="CK170" s="704" t="n">
        <v>0</v>
      </c>
      <c r="CL170" s="704" t="n">
        <v>0</v>
      </c>
      <c r="CM170" s="704" t="n">
        <v>0</v>
      </c>
      <c r="CN170" s="704" t="n">
        <v>0</v>
      </c>
      <c r="CO170" s="704" t="n">
        <v>0</v>
      </c>
      <c r="CP170" s="704" t="n">
        <v>0</v>
      </c>
      <c r="CQ170" s="704" t="n">
        <v>0</v>
      </c>
      <c r="CR170" s="704" t="n">
        <v>0</v>
      </c>
      <c r="CS170" s="704" t="n">
        <v>0</v>
      </c>
      <c r="CT170" s="704" t="n">
        <v>0</v>
      </c>
      <c r="CU170" s="704" t="n">
        <v>0</v>
      </c>
      <c r="CV170" s="704" t="n">
        <v>0</v>
      </c>
      <c r="CW170" s="704" t="n">
        <v>0</v>
      </c>
      <c r="CX170" s="704" t="n">
        <v>0</v>
      </c>
      <c r="CY170" s="704" t="n">
        <v>0</v>
      </c>
      <c r="CZ170" s="704" t="n">
        <v>0</v>
      </c>
      <c r="DA170" s="704" t="n">
        <v>0</v>
      </c>
      <c r="DB170" s="704" t="n">
        <v>0</v>
      </c>
      <c r="DC170" s="704" t="n">
        <v>0</v>
      </c>
      <c r="DD170" s="704" t="n">
        <v>0</v>
      </c>
      <c r="DE170" s="704" t="n">
        <v>0</v>
      </c>
      <c r="DF170" s="704" t="n">
        <v>0</v>
      </c>
      <c r="DG170" s="704" t="n">
        <v>0</v>
      </c>
      <c r="DH170" s="704" t="n">
        <v>0</v>
      </c>
      <c r="DI170" s="704" t="n">
        <v>0</v>
      </c>
      <c r="DJ170" s="704" t="n">
        <v>0</v>
      </c>
      <c r="DK170" s="704" t="n">
        <v>0</v>
      </c>
      <c r="DL170" s="704" t="n">
        <v>0</v>
      </c>
      <c r="DM170" s="704" t="n">
        <v>0</v>
      </c>
    </row>
    <row r="171" ht="13.5" customHeight="1" s="355">
      <c r="B171" s="703" t="inlineStr">
        <is>
          <t>Cash&amp;Bank</t>
        </is>
      </c>
      <c r="D171" s="704" t="n">
        <v>0</v>
      </c>
      <c r="E171" s="704" t="n">
        <v>0</v>
      </c>
      <c r="F171" s="704" t="n">
        <v>0</v>
      </c>
      <c r="G171" s="704" t="n">
        <v>0</v>
      </c>
      <c r="H171" s="704" t="n">
        <v>0</v>
      </c>
      <c r="I171" s="704" t="n">
        <v>0</v>
      </c>
      <c r="J171" s="704" t="n">
        <v>0</v>
      </c>
      <c r="K171" s="704" t="n">
        <v>0</v>
      </c>
      <c r="L171" s="704" t="n">
        <v>0</v>
      </c>
      <c r="M171" s="704" t="n">
        <v>0</v>
      </c>
      <c r="N171" s="704" t="n">
        <v>0</v>
      </c>
      <c r="O171" s="704" t="n">
        <v>0</v>
      </c>
      <c r="P171" s="704" t="n">
        <v>0</v>
      </c>
      <c r="Q171" s="704" t="n">
        <v>0</v>
      </c>
      <c r="R171" s="704" t="n">
        <v>0</v>
      </c>
      <c r="S171" s="704" t="n">
        <v>0</v>
      </c>
      <c r="T171" s="704" t="n">
        <v>0</v>
      </c>
      <c r="U171" s="704" t="n">
        <v>0</v>
      </c>
      <c r="V171" s="704" t="n">
        <v>0</v>
      </c>
      <c r="W171" s="704" t="n">
        <v>0</v>
      </c>
      <c r="X171" s="704" t="n">
        <v>0</v>
      </c>
      <c r="Y171" s="704" t="n">
        <v>0</v>
      </c>
      <c r="Z171" s="704" t="n">
        <v>0</v>
      </c>
      <c r="AA171" s="704" t="n">
        <v>0</v>
      </c>
      <c r="AB171" s="704" t="n">
        <v>0</v>
      </c>
      <c r="AC171" s="704" t="n">
        <v>0</v>
      </c>
      <c r="AD171" s="704" t="n">
        <v>0</v>
      </c>
      <c r="AE171" s="704" t="n">
        <v>0</v>
      </c>
      <c r="AF171" s="704" t="n">
        <v>0</v>
      </c>
      <c r="AG171" s="704" t="n">
        <v>0</v>
      </c>
      <c r="AH171" s="704" t="n">
        <v>0</v>
      </c>
      <c r="AI171" s="704" t="n">
        <v>0</v>
      </c>
      <c r="AJ171" s="704" t="n">
        <v>0</v>
      </c>
      <c r="AK171" s="704" t="n">
        <v>0</v>
      </c>
      <c r="AL171" s="704" t="n">
        <v>0</v>
      </c>
      <c r="AM171" s="704" t="n">
        <v>0</v>
      </c>
      <c r="AN171" s="704" t="n">
        <v>0</v>
      </c>
      <c r="AO171" s="704" t="n">
        <v>0</v>
      </c>
      <c r="AP171" s="704" t="n">
        <v>0</v>
      </c>
      <c r="AQ171" s="704" t="n">
        <v>0</v>
      </c>
      <c r="AR171" s="704" t="n">
        <v>0</v>
      </c>
      <c r="AS171" s="704" t="n">
        <v>0</v>
      </c>
      <c r="AT171" s="704" t="n">
        <v>0</v>
      </c>
      <c r="AU171" s="704" t="n">
        <v>0</v>
      </c>
      <c r="AV171" s="704" t="n">
        <v>0</v>
      </c>
      <c r="AW171" s="704" t="n">
        <v>0</v>
      </c>
      <c r="AX171" s="704" t="n">
        <v>0</v>
      </c>
      <c r="AY171" s="704" t="n">
        <v>0</v>
      </c>
      <c r="AZ171" s="704" t="n">
        <v>0</v>
      </c>
      <c r="BA171" s="704" t="n">
        <v>0</v>
      </c>
      <c r="BB171" s="704" t="n">
        <v>0</v>
      </c>
      <c r="BC171" s="704" t="n">
        <v>0</v>
      </c>
      <c r="BD171" s="704" t="n">
        <v>0</v>
      </c>
      <c r="BE171" s="704" t="n">
        <v>0</v>
      </c>
      <c r="BF171" s="704" t="n">
        <v>0</v>
      </c>
      <c r="BG171" s="704" t="n">
        <v>0</v>
      </c>
      <c r="BH171" s="704" t="n">
        <v>0</v>
      </c>
      <c r="BI171" s="704" t="n">
        <v>0</v>
      </c>
      <c r="BJ171" s="704" t="n">
        <v>0</v>
      </c>
      <c r="BK171" s="704" t="n">
        <v>0</v>
      </c>
      <c r="BL171" s="704" t="n">
        <v>0</v>
      </c>
      <c r="BM171" s="704" t="n">
        <v>0</v>
      </c>
      <c r="BN171" s="704" t="n">
        <v>0</v>
      </c>
      <c r="BO171" s="704" t="n">
        <v>0</v>
      </c>
      <c r="BP171" s="704" t="n">
        <v>0</v>
      </c>
      <c r="BQ171" s="704" t="n">
        <v>0</v>
      </c>
      <c r="BR171" s="704" t="n">
        <v>0</v>
      </c>
      <c r="BS171" s="704" t="n">
        <v>0</v>
      </c>
      <c r="BT171" s="704" t="n">
        <v>0</v>
      </c>
      <c r="BU171" s="704" t="n">
        <v>0</v>
      </c>
      <c r="BV171" s="704" t="n">
        <v>0</v>
      </c>
      <c r="BW171" s="704" t="n">
        <v>0</v>
      </c>
      <c r="BX171" s="704" t="n">
        <v>0</v>
      </c>
      <c r="BY171" s="704" t="n">
        <v>0</v>
      </c>
      <c r="BZ171" s="704" t="n">
        <v>0</v>
      </c>
      <c r="CA171" s="704" t="n">
        <v>0</v>
      </c>
      <c r="CB171" s="704" t="n">
        <v>0</v>
      </c>
      <c r="CC171" s="704" t="n">
        <v>0</v>
      </c>
      <c r="CD171" s="704" t="n">
        <v>0</v>
      </c>
      <c r="CE171" s="704" t="n">
        <v>0</v>
      </c>
      <c r="CF171" s="704" t="n">
        <v>0</v>
      </c>
      <c r="CG171" s="704" t="n">
        <v>0</v>
      </c>
      <c r="CH171" s="704" t="n">
        <v>0</v>
      </c>
      <c r="CI171" s="704" t="n">
        <v>0</v>
      </c>
      <c r="CJ171" s="704" t="n">
        <v>0</v>
      </c>
      <c r="CK171" s="704" t="n">
        <v>0</v>
      </c>
      <c r="CL171" s="704" t="n">
        <v>0</v>
      </c>
      <c r="CM171" s="704" t="n">
        <v>0</v>
      </c>
      <c r="CN171" s="704" t="n">
        <v>0</v>
      </c>
      <c r="CO171" s="704" t="n">
        <v>0</v>
      </c>
      <c r="CP171" s="704" t="n">
        <v>0</v>
      </c>
      <c r="CQ171" s="704" t="n">
        <v>0</v>
      </c>
      <c r="CR171" s="704" t="n">
        <v>0</v>
      </c>
      <c r="CS171" s="704" t="n">
        <v>0</v>
      </c>
      <c r="CT171" s="704" t="n">
        <v>0</v>
      </c>
      <c r="CU171" s="704" t="n">
        <v>0</v>
      </c>
      <c r="CV171" s="704" t="n">
        <v>0</v>
      </c>
      <c r="CW171" s="704" t="n">
        <v>0</v>
      </c>
      <c r="CX171" s="704" t="n">
        <v>0</v>
      </c>
      <c r="CY171" s="704" t="n">
        <v>0</v>
      </c>
      <c r="CZ171" s="704" t="n">
        <v>0</v>
      </c>
      <c r="DA171" s="704" t="n">
        <v>0</v>
      </c>
      <c r="DB171" s="704" t="n">
        <v>0</v>
      </c>
      <c r="DC171" s="704" t="n">
        <v>0</v>
      </c>
      <c r="DD171" s="704" t="n">
        <v>0</v>
      </c>
      <c r="DE171" s="704" t="n">
        <v>0</v>
      </c>
      <c r="DF171" s="704" t="n">
        <v>0</v>
      </c>
      <c r="DG171" s="704" t="n">
        <v>0</v>
      </c>
      <c r="DH171" s="704" t="n">
        <v>0</v>
      </c>
      <c r="DI171" s="704" t="n">
        <v>0</v>
      </c>
      <c r="DJ171" s="704" t="n">
        <v>0</v>
      </c>
      <c r="DK171" s="704" t="n">
        <v>0</v>
      </c>
      <c r="DL171" s="704" t="n">
        <v>0</v>
      </c>
      <c r="DM171" s="704" t="n">
        <v>0</v>
      </c>
    </row>
    <row r="172" ht="13.5" customHeight="1" s="355">
      <c r="B172" s="703" t="inlineStr">
        <is>
          <t>T&amp;E</t>
        </is>
      </c>
      <c r="D172" s="704" t="n">
        <v>0</v>
      </c>
      <c r="E172" s="704" t="n">
        <v>0</v>
      </c>
      <c r="F172" s="704" t="n">
        <v>0</v>
      </c>
      <c r="G172" s="704" t="n">
        <v>0</v>
      </c>
      <c r="H172" s="704" t="n">
        <v>0</v>
      </c>
      <c r="I172" s="704" t="n">
        <v>0</v>
      </c>
      <c r="J172" s="704" t="n">
        <v>0</v>
      </c>
      <c r="K172" s="704" t="n">
        <v>0</v>
      </c>
      <c r="L172" s="704" t="n">
        <v>0</v>
      </c>
      <c r="M172" s="704" t="n">
        <v>0</v>
      </c>
      <c r="N172" s="704" t="n">
        <v>0</v>
      </c>
      <c r="O172" s="704" t="n">
        <v>0</v>
      </c>
      <c r="P172" s="704" t="n">
        <v>0</v>
      </c>
      <c r="Q172" s="704" t="n">
        <v>0</v>
      </c>
      <c r="R172" s="704" t="n">
        <v>0</v>
      </c>
      <c r="S172" s="704" t="n">
        <v>0</v>
      </c>
      <c r="T172" s="704" t="n">
        <v>0</v>
      </c>
      <c r="U172" s="704" t="n">
        <v>0</v>
      </c>
      <c r="V172" s="704" t="n">
        <v>0</v>
      </c>
      <c r="W172" s="704" t="n">
        <v>0</v>
      </c>
      <c r="X172" s="704" t="n">
        <v>0</v>
      </c>
      <c r="Y172" s="704" t="n">
        <v>0</v>
      </c>
      <c r="Z172" s="704" t="n">
        <v>0</v>
      </c>
      <c r="AA172" s="704" t="n">
        <v>0</v>
      </c>
      <c r="AB172" s="704" t="n">
        <v>0</v>
      </c>
      <c r="AC172" s="704" t="n">
        <v>0</v>
      </c>
      <c r="AD172" s="704" t="n">
        <v>0</v>
      </c>
      <c r="AE172" s="704" t="n">
        <v>0</v>
      </c>
      <c r="AF172" s="704" t="n">
        <v>0</v>
      </c>
      <c r="AG172" s="704" t="n">
        <v>0</v>
      </c>
      <c r="AH172" s="704" t="n">
        <v>0</v>
      </c>
      <c r="AI172" s="704" t="n">
        <v>0</v>
      </c>
      <c r="AJ172" s="704" t="n">
        <v>0</v>
      </c>
      <c r="AK172" s="704" t="n">
        <v>0</v>
      </c>
      <c r="AL172" s="704" t="n">
        <v>0</v>
      </c>
      <c r="AM172" s="704" t="n">
        <v>0</v>
      </c>
      <c r="AN172" s="704" t="n">
        <v>0</v>
      </c>
      <c r="AO172" s="704" t="n">
        <v>0</v>
      </c>
      <c r="AP172" s="704" t="n">
        <v>0</v>
      </c>
      <c r="AQ172" s="704" t="n">
        <v>0</v>
      </c>
      <c r="AR172" s="704" t="n">
        <v>0</v>
      </c>
      <c r="AS172" s="704" t="n">
        <v>0</v>
      </c>
      <c r="AT172" s="704" t="n">
        <v>0</v>
      </c>
      <c r="AU172" s="704" t="n">
        <v>0</v>
      </c>
      <c r="AV172" s="704" t="n">
        <v>0</v>
      </c>
      <c r="AW172" s="704" t="n">
        <v>0</v>
      </c>
      <c r="AX172" s="704" t="n">
        <v>0</v>
      </c>
      <c r="AY172" s="704" t="n">
        <v>0</v>
      </c>
      <c r="AZ172" s="704" t="n">
        <v>0</v>
      </c>
      <c r="BA172" s="704" t="n">
        <v>0</v>
      </c>
      <c r="BB172" s="704" t="n">
        <v>0</v>
      </c>
      <c r="BC172" s="704" t="n">
        <v>0</v>
      </c>
      <c r="BD172" s="704" t="n">
        <v>0</v>
      </c>
      <c r="BE172" s="704" t="n">
        <v>0</v>
      </c>
      <c r="BF172" s="704" t="n">
        <v>0</v>
      </c>
      <c r="BG172" s="704" t="n">
        <v>0</v>
      </c>
      <c r="BH172" s="704" t="n">
        <v>0</v>
      </c>
      <c r="BI172" s="704" t="n">
        <v>0</v>
      </c>
      <c r="BJ172" s="704" t="n">
        <v>0</v>
      </c>
      <c r="BK172" s="704" t="n">
        <v>0</v>
      </c>
      <c r="BL172" s="704" t="n">
        <v>0</v>
      </c>
      <c r="BM172" s="704" t="n">
        <v>0</v>
      </c>
      <c r="BN172" s="704" t="n">
        <v>0</v>
      </c>
      <c r="BO172" s="704" t="n">
        <v>0</v>
      </c>
      <c r="BP172" s="704" t="n">
        <v>0</v>
      </c>
      <c r="BQ172" s="704" t="n">
        <v>0</v>
      </c>
      <c r="BR172" s="704" t="n">
        <v>0</v>
      </c>
      <c r="BS172" s="704" t="n">
        <v>0</v>
      </c>
      <c r="BT172" s="704" t="n">
        <v>0</v>
      </c>
      <c r="BU172" s="704" t="n">
        <v>0</v>
      </c>
      <c r="BV172" s="704" t="n">
        <v>0</v>
      </c>
      <c r="BW172" s="704" t="n">
        <v>0</v>
      </c>
      <c r="BX172" s="704" t="n">
        <v>0</v>
      </c>
      <c r="BY172" s="704" t="n">
        <v>0</v>
      </c>
      <c r="BZ172" s="704" t="n">
        <v>0</v>
      </c>
      <c r="CA172" s="704" t="n">
        <v>0</v>
      </c>
      <c r="CB172" s="704" t="n">
        <v>0</v>
      </c>
      <c r="CC172" s="704" t="n">
        <v>0</v>
      </c>
      <c r="CD172" s="704" t="n">
        <v>0</v>
      </c>
      <c r="CE172" s="704" t="n">
        <v>0</v>
      </c>
      <c r="CF172" s="704" t="n">
        <v>0</v>
      </c>
      <c r="CG172" s="704" t="n">
        <v>0</v>
      </c>
      <c r="CH172" s="704" t="n">
        <v>0</v>
      </c>
      <c r="CI172" s="704" t="n">
        <v>0</v>
      </c>
      <c r="CJ172" s="704" t="n">
        <v>0</v>
      </c>
      <c r="CK172" s="704" t="n">
        <v>0</v>
      </c>
      <c r="CL172" s="704" t="n">
        <v>0</v>
      </c>
      <c r="CM172" s="704" t="n">
        <v>0</v>
      </c>
      <c r="CN172" s="704" t="n">
        <v>0</v>
      </c>
      <c r="CO172" s="704" t="n">
        <v>0</v>
      </c>
      <c r="CP172" s="704" t="n">
        <v>0</v>
      </c>
      <c r="CQ172" s="704" t="n">
        <v>0</v>
      </c>
      <c r="CR172" s="704" t="n">
        <v>0</v>
      </c>
      <c r="CS172" s="704" t="n">
        <v>0</v>
      </c>
      <c r="CT172" s="704" t="n">
        <v>0</v>
      </c>
      <c r="CU172" s="704" t="n">
        <v>0</v>
      </c>
      <c r="CV172" s="704" t="n">
        <v>0</v>
      </c>
      <c r="CW172" s="704" t="n">
        <v>0</v>
      </c>
      <c r="CX172" s="704" t="n">
        <v>0</v>
      </c>
      <c r="CY172" s="704" t="n">
        <v>0</v>
      </c>
      <c r="CZ172" s="704" t="n">
        <v>0</v>
      </c>
      <c r="DA172" s="704" t="n">
        <v>0</v>
      </c>
      <c r="DB172" s="704" t="n">
        <v>0</v>
      </c>
      <c r="DC172" s="704" t="n">
        <v>0</v>
      </c>
      <c r="DD172" s="704" t="n">
        <v>0</v>
      </c>
      <c r="DE172" s="704" t="n">
        <v>0</v>
      </c>
      <c r="DF172" s="704" t="n">
        <v>0</v>
      </c>
      <c r="DG172" s="704" t="n">
        <v>0</v>
      </c>
      <c r="DH172" s="704" t="n">
        <v>0</v>
      </c>
      <c r="DI172" s="704" t="n">
        <v>0</v>
      </c>
      <c r="DJ172" s="704" t="n">
        <v>0</v>
      </c>
      <c r="DK172" s="704" t="n">
        <v>0</v>
      </c>
      <c r="DL172" s="704" t="n">
        <v>0</v>
      </c>
      <c r="DM172" s="704" t="n">
        <v>0</v>
      </c>
    </row>
    <row r="173" ht="13.5" customHeight="1" s="355">
      <c r="B173" s="703" t="inlineStr">
        <is>
          <t>Order to Cash</t>
        </is>
      </c>
      <c r="D173" s="704" t="n">
        <v>0</v>
      </c>
      <c r="E173" s="704" t="n">
        <v>0</v>
      </c>
      <c r="F173" s="704" t="n">
        <v>0</v>
      </c>
      <c r="G173" s="704" t="n">
        <v>0</v>
      </c>
      <c r="H173" s="704" t="n">
        <v>0</v>
      </c>
      <c r="I173" s="704" t="n">
        <v>0</v>
      </c>
      <c r="J173" s="704" t="n">
        <v>0</v>
      </c>
      <c r="K173" s="704" t="n">
        <v>0</v>
      </c>
      <c r="L173" s="704" t="n">
        <v>0</v>
      </c>
      <c r="M173" s="704" t="n">
        <v>0</v>
      </c>
      <c r="N173" s="704" t="n">
        <v>0</v>
      </c>
      <c r="O173" s="704" t="n">
        <v>0</v>
      </c>
      <c r="P173" s="704" t="n">
        <v>0</v>
      </c>
      <c r="Q173" s="704" t="n">
        <v>0</v>
      </c>
      <c r="R173" s="704" t="n">
        <v>0</v>
      </c>
      <c r="S173" s="704" t="n">
        <v>0</v>
      </c>
      <c r="T173" s="704" t="n">
        <v>0</v>
      </c>
      <c r="U173" s="704" t="n">
        <v>0</v>
      </c>
      <c r="V173" s="704" t="n">
        <v>0</v>
      </c>
      <c r="W173" s="704" t="n">
        <v>0</v>
      </c>
      <c r="X173" s="704" t="n">
        <v>0</v>
      </c>
      <c r="Y173" s="704" t="n">
        <v>0</v>
      </c>
      <c r="Z173" s="704" t="n">
        <v>0</v>
      </c>
      <c r="AA173" s="704" t="n">
        <v>0</v>
      </c>
      <c r="AB173" s="704" t="n">
        <v>0</v>
      </c>
      <c r="AC173" s="704" t="n">
        <v>0</v>
      </c>
      <c r="AD173" s="704" t="n">
        <v>0</v>
      </c>
      <c r="AE173" s="704" t="n">
        <v>0</v>
      </c>
      <c r="AF173" s="704" t="n">
        <v>0</v>
      </c>
      <c r="AG173" s="704" t="n">
        <v>0</v>
      </c>
      <c r="AH173" s="704" t="n">
        <v>0</v>
      </c>
      <c r="AI173" s="704" t="n">
        <v>0</v>
      </c>
      <c r="AJ173" s="704" t="n">
        <v>0</v>
      </c>
      <c r="AK173" s="704" t="n">
        <v>0</v>
      </c>
      <c r="AL173" s="704" t="n">
        <v>0</v>
      </c>
      <c r="AM173" s="704" t="n">
        <v>0</v>
      </c>
      <c r="AN173" s="704" t="n">
        <v>0</v>
      </c>
      <c r="AO173" s="704" t="n">
        <v>0</v>
      </c>
      <c r="AP173" s="704" t="n">
        <v>0</v>
      </c>
      <c r="AQ173" s="704" t="n">
        <v>0</v>
      </c>
      <c r="AR173" s="704" t="n">
        <v>0</v>
      </c>
      <c r="AS173" s="704" t="n">
        <v>0</v>
      </c>
      <c r="AT173" s="704" t="n">
        <v>0</v>
      </c>
      <c r="AU173" s="704" t="n">
        <v>0</v>
      </c>
      <c r="AV173" s="704" t="n">
        <v>0</v>
      </c>
      <c r="AW173" s="704" t="n">
        <v>0</v>
      </c>
      <c r="AX173" s="704" t="n">
        <v>0</v>
      </c>
      <c r="AY173" s="704" t="n">
        <v>0</v>
      </c>
      <c r="AZ173" s="704" t="n">
        <v>0</v>
      </c>
      <c r="BA173" s="704" t="n">
        <v>0</v>
      </c>
      <c r="BB173" s="704" t="n">
        <v>0</v>
      </c>
      <c r="BC173" s="704" t="n">
        <v>0</v>
      </c>
      <c r="BD173" s="704" t="n">
        <v>0</v>
      </c>
      <c r="BE173" s="704" t="n">
        <v>0</v>
      </c>
      <c r="BF173" s="704" t="n">
        <v>0</v>
      </c>
      <c r="BG173" s="704" t="n">
        <v>0</v>
      </c>
      <c r="BH173" s="704" t="n">
        <v>0</v>
      </c>
      <c r="BI173" s="704" t="n">
        <v>0</v>
      </c>
      <c r="BJ173" s="704" t="n">
        <v>0</v>
      </c>
      <c r="BK173" s="704" t="n">
        <v>0</v>
      </c>
      <c r="BL173" s="704" t="n">
        <v>0</v>
      </c>
      <c r="BM173" s="704" t="n">
        <v>0</v>
      </c>
      <c r="BN173" s="704" t="n">
        <v>0</v>
      </c>
      <c r="BO173" s="704" t="n">
        <v>0</v>
      </c>
      <c r="BP173" s="704" t="n">
        <v>0</v>
      </c>
      <c r="BQ173" s="704" t="n">
        <v>0</v>
      </c>
      <c r="BR173" s="704" t="n">
        <v>0</v>
      </c>
      <c r="BS173" s="704" t="n">
        <v>0</v>
      </c>
      <c r="BT173" s="704" t="n">
        <v>0</v>
      </c>
      <c r="BU173" s="704" t="n">
        <v>0</v>
      </c>
      <c r="BV173" s="704" t="n">
        <v>0</v>
      </c>
      <c r="BW173" s="704" t="n">
        <v>0</v>
      </c>
      <c r="BX173" s="704" t="n">
        <v>0</v>
      </c>
      <c r="BY173" s="704" t="n">
        <v>0</v>
      </c>
      <c r="BZ173" s="704" t="n">
        <v>0</v>
      </c>
      <c r="CA173" s="704" t="n">
        <v>0</v>
      </c>
      <c r="CB173" s="704" t="n">
        <v>0</v>
      </c>
      <c r="CC173" s="704" t="n">
        <v>0</v>
      </c>
      <c r="CD173" s="704" t="n">
        <v>0</v>
      </c>
      <c r="CE173" s="704" t="n">
        <v>0</v>
      </c>
      <c r="CF173" s="704" t="n">
        <v>0</v>
      </c>
      <c r="CG173" s="704" t="n">
        <v>0</v>
      </c>
      <c r="CH173" s="704" t="n">
        <v>0</v>
      </c>
      <c r="CI173" s="704" t="n">
        <v>0</v>
      </c>
      <c r="CJ173" s="704" t="n">
        <v>0</v>
      </c>
      <c r="CK173" s="704" t="n">
        <v>0</v>
      </c>
      <c r="CL173" s="704" t="n">
        <v>0</v>
      </c>
      <c r="CM173" s="704" t="n">
        <v>0</v>
      </c>
      <c r="CN173" s="704" t="n">
        <v>0</v>
      </c>
      <c r="CO173" s="704" t="n">
        <v>0</v>
      </c>
      <c r="CP173" s="704" t="n">
        <v>0</v>
      </c>
      <c r="CQ173" s="704" t="n">
        <v>0</v>
      </c>
      <c r="CR173" s="704" t="n">
        <v>0</v>
      </c>
      <c r="CS173" s="704" t="n">
        <v>0</v>
      </c>
      <c r="CT173" s="704" t="n">
        <v>0</v>
      </c>
      <c r="CU173" s="704" t="n">
        <v>0</v>
      </c>
      <c r="CV173" s="704" t="n">
        <v>0</v>
      </c>
      <c r="CW173" s="704" t="n">
        <v>0</v>
      </c>
      <c r="CX173" s="704" t="n">
        <v>0</v>
      </c>
      <c r="CY173" s="704" t="n">
        <v>0</v>
      </c>
      <c r="CZ173" s="704" t="n">
        <v>0</v>
      </c>
      <c r="DA173" s="704" t="n">
        <v>0</v>
      </c>
      <c r="DB173" s="704" t="n">
        <v>0</v>
      </c>
      <c r="DC173" s="704" t="n">
        <v>0</v>
      </c>
      <c r="DD173" s="704" t="n">
        <v>0</v>
      </c>
      <c r="DE173" s="704" t="n">
        <v>0</v>
      </c>
      <c r="DF173" s="704" t="n">
        <v>0</v>
      </c>
      <c r="DG173" s="704" t="n">
        <v>0</v>
      </c>
      <c r="DH173" s="704" t="n">
        <v>0</v>
      </c>
      <c r="DI173" s="704" t="n">
        <v>0</v>
      </c>
      <c r="DJ173" s="704" t="n">
        <v>0</v>
      </c>
      <c r="DK173" s="704" t="n">
        <v>0</v>
      </c>
      <c r="DL173" s="704" t="n">
        <v>0</v>
      </c>
      <c r="DM173" s="704" t="n">
        <v>0</v>
      </c>
    </row>
    <row r="174" ht="13.5" customHeight="1" s="355">
      <c r="B174" s="703" t="inlineStr">
        <is>
          <t>Req to Pay</t>
        </is>
      </c>
      <c r="D174" s="704" t="n">
        <v>0</v>
      </c>
      <c r="E174" s="704" t="n">
        <v>0</v>
      </c>
      <c r="F174" s="704" t="n">
        <v>0</v>
      </c>
      <c r="G174" s="704" t="n">
        <v>0</v>
      </c>
      <c r="H174" s="704" t="n">
        <v>0</v>
      </c>
      <c r="I174" s="704" t="n">
        <v>0</v>
      </c>
      <c r="J174" s="704" t="n">
        <v>0</v>
      </c>
      <c r="K174" s="704" t="n">
        <v>0</v>
      </c>
      <c r="L174" s="704" t="n">
        <v>0</v>
      </c>
      <c r="M174" s="704" t="n">
        <v>0</v>
      </c>
      <c r="N174" s="704" t="n">
        <v>0</v>
      </c>
      <c r="O174" s="704" t="n">
        <v>0</v>
      </c>
      <c r="P174" s="704" t="n">
        <v>0</v>
      </c>
      <c r="Q174" s="704" t="n">
        <v>0</v>
      </c>
      <c r="R174" s="704" t="n">
        <v>0</v>
      </c>
      <c r="S174" s="704" t="n">
        <v>0</v>
      </c>
      <c r="T174" s="704" t="n">
        <v>0</v>
      </c>
      <c r="U174" s="704" t="n">
        <v>0</v>
      </c>
      <c r="V174" s="704" t="n">
        <v>0</v>
      </c>
      <c r="W174" s="704" t="n">
        <v>0</v>
      </c>
      <c r="X174" s="704" t="n">
        <v>0</v>
      </c>
      <c r="Y174" s="704" t="n">
        <v>0</v>
      </c>
      <c r="Z174" s="704" t="n">
        <v>0</v>
      </c>
      <c r="AA174" s="704" t="n">
        <v>0</v>
      </c>
      <c r="AB174" s="704" t="n">
        <v>0</v>
      </c>
      <c r="AC174" s="704" t="n">
        <v>0</v>
      </c>
      <c r="AD174" s="704" t="n">
        <v>0</v>
      </c>
      <c r="AE174" s="704" t="n">
        <v>0</v>
      </c>
      <c r="AF174" s="704" t="n">
        <v>0</v>
      </c>
      <c r="AG174" s="704" t="n">
        <v>0</v>
      </c>
      <c r="AH174" s="704" t="n">
        <v>0</v>
      </c>
      <c r="AI174" s="704" t="n">
        <v>0</v>
      </c>
      <c r="AJ174" s="704" t="n">
        <v>0</v>
      </c>
      <c r="AK174" s="704" t="n">
        <v>0</v>
      </c>
      <c r="AL174" s="704" t="n">
        <v>0</v>
      </c>
      <c r="AM174" s="704" t="n">
        <v>0</v>
      </c>
      <c r="AN174" s="704" t="n">
        <v>0</v>
      </c>
      <c r="AO174" s="704" t="n">
        <v>0</v>
      </c>
      <c r="AP174" s="704" t="n">
        <v>0</v>
      </c>
      <c r="AQ174" s="704" t="n">
        <v>0</v>
      </c>
      <c r="AR174" s="704" t="n">
        <v>0</v>
      </c>
      <c r="AS174" s="704" t="n">
        <v>0</v>
      </c>
      <c r="AT174" s="704" t="n">
        <v>0</v>
      </c>
      <c r="AU174" s="704" t="n">
        <v>0</v>
      </c>
      <c r="AV174" s="704" t="n">
        <v>0</v>
      </c>
      <c r="AW174" s="704" t="n">
        <v>0</v>
      </c>
      <c r="AX174" s="704" t="n">
        <v>0</v>
      </c>
      <c r="AY174" s="704" t="n">
        <v>0</v>
      </c>
      <c r="AZ174" s="704" t="n">
        <v>0</v>
      </c>
      <c r="BA174" s="704" t="n">
        <v>0</v>
      </c>
      <c r="BB174" s="704" t="n">
        <v>0</v>
      </c>
      <c r="BC174" s="704" t="n">
        <v>0</v>
      </c>
      <c r="BD174" s="704" t="n">
        <v>0</v>
      </c>
      <c r="BE174" s="704" t="n">
        <v>0</v>
      </c>
      <c r="BF174" s="704" t="n">
        <v>0</v>
      </c>
      <c r="BG174" s="704" t="n">
        <v>0</v>
      </c>
      <c r="BH174" s="704" t="n">
        <v>0</v>
      </c>
      <c r="BI174" s="704" t="n">
        <v>0</v>
      </c>
      <c r="BJ174" s="704" t="n">
        <v>0</v>
      </c>
      <c r="BK174" s="704" t="n">
        <v>0</v>
      </c>
      <c r="BL174" s="704" t="n">
        <v>0</v>
      </c>
      <c r="BM174" s="704" t="n">
        <v>0</v>
      </c>
      <c r="BN174" s="704" t="n">
        <v>0</v>
      </c>
      <c r="BO174" s="704" t="n">
        <v>0</v>
      </c>
      <c r="BP174" s="704" t="n">
        <v>0</v>
      </c>
      <c r="BQ174" s="704" t="n">
        <v>0</v>
      </c>
      <c r="BR174" s="704" t="n">
        <v>0</v>
      </c>
      <c r="BS174" s="704" t="n">
        <v>0</v>
      </c>
      <c r="BT174" s="704" t="n">
        <v>0</v>
      </c>
      <c r="BU174" s="704" t="n">
        <v>0</v>
      </c>
      <c r="BV174" s="704" t="n">
        <v>0</v>
      </c>
      <c r="BW174" s="704" t="n">
        <v>0</v>
      </c>
      <c r="BX174" s="704" t="n">
        <v>0</v>
      </c>
      <c r="BY174" s="704" t="n">
        <v>0</v>
      </c>
      <c r="BZ174" s="704" t="n">
        <v>0</v>
      </c>
      <c r="CA174" s="704" t="n">
        <v>0</v>
      </c>
      <c r="CB174" s="704" t="n">
        <v>0</v>
      </c>
      <c r="CC174" s="704" t="n">
        <v>0</v>
      </c>
      <c r="CD174" s="704" t="n">
        <v>0</v>
      </c>
      <c r="CE174" s="704" t="n">
        <v>0</v>
      </c>
      <c r="CF174" s="704" t="n">
        <v>0</v>
      </c>
      <c r="CG174" s="704" t="n">
        <v>0</v>
      </c>
      <c r="CH174" s="704" t="n">
        <v>0</v>
      </c>
      <c r="CI174" s="704" t="n">
        <v>0</v>
      </c>
      <c r="CJ174" s="704" t="n">
        <v>0</v>
      </c>
      <c r="CK174" s="704" t="n">
        <v>0</v>
      </c>
      <c r="CL174" s="704" t="n">
        <v>0</v>
      </c>
      <c r="CM174" s="704" t="n">
        <v>0</v>
      </c>
      <c r="CN174" s="704" t="n">
        <v>0</v>
      </c>
      <c r="CO174" s="704" t="n">
        <v>0</v>
      </c>
      <c r="CP174" s="704" t="n">
        <v>0</v>
      </c>
      <c r="CQ174" s="704" t="n">
        <v>0</v>
      </c>
      <c r="CR174" s="704" t="n">
        <v>0</v>
      </c>
      <c r="CS174" s="704" t="n">
        <v>0</v>
      </c>
      <c r="CT174" s="704" t="n">
        <v>0</v>
      </c>
      <c r="CU174" s="704" t="n">
        <v>0</v>
      </c>
      <c r="CV174" s="704" t="n">
        <v>0</v>
      </c>
      <c r="CW174" s="704" t="n">
        <v>0</v>
      </c>
      <c r="CX174" s="704" t="n">
        <v>0</v>
      </c>
      <c r="CY174" s="704" t="n">
        <v>0</v>
      </c>
      <c r="CZ174" s="704" t="n">
        <v>0</v>
      </c>
      <c r="DA174" s="704" t="n">
        <v>0</v>
      </c>
      <c r="DB174" s="704" t="n">
        <v>0</v>
      </c>
      <c r="DC174" s="704" t="n">
        <v>0</v>
      </c>
      <c r="DD174" s="704" t="n">
        <v>0</v>
      </c>
      <c r="DE174" s="704" t="n">
        <v>0</v>
      </c>
      <c r="DF174" s="704" t="n">
        <v>0</v>
      </c>
      <c r="DG174" s="704" t="n">
        <v>0</v>
      </c>
      <c r="DH174" s="704" t="n">
        <v>0</v>
      </c>
      <c r="DI174" s="704" t="n">
        <v>0</v>
      </c>
      <c r="DJ174" s="704" t="n">
        <v>0</v>
      </c>
      <c r="DK174" s="704" t="n">
        <v>0</v>
      </c>
      <c r="DL174" s="704" t="n">
        <v>0</v>
      </c>
      <c r="DM174" s="704" t="n">
        <v>0</v>
      </c>
    </row>
    <row r="175" ht="13.5" customHeight="1" s="355">
      <c r="B175" s="703" t="inlineStr">
        <is>
          <t>Team Leader</t>
        </is>
      </c>
      <c r="D175" s="704" t="n">
        <v>0</v>
      </c>
      <c r="E175" s="704" t="n">
        <v>0</v>
      </c>
      <c r="F175" s="704" t="n">
        <v>0</v>
      </c>
      <c r="G175" s="704" t="n">
        <v>0</v>
      </c>
      <c r="H175" s="704" t="n">
        <v>0</v>
      </c>
      <c r="I175" s="704" t="n">
        <v>0</v>
      </c>
      <c r="J175" s="704" t="n">
        <v>0</v>
      </c>
      <c r="K175" s="704" t="n">
        <v>0</v>
      </c>
      <c r="L175" s="704" t="n">
        <v>0</v>
      </c>
      <c r="M175" s="704" t="n">
        <v>0</v>
      </c>
      <c r="N175" s="704" t="n">
        <v>0</v>
      </c>
      <c r="O175" s="704" t="n">
        <v>0</v>
      </c>
      <c r="P175" s="704" t="n">
        <v>0</v>
      </c>
      <c r="Q175" s="704" t="n">
        <v>0</v>
      </c>
      <c r="R175" s="704" t="n">
        <v>0</v>
      </c>
      <c r="S175" s="704" t="n">
        <v>0</v>
      </c>
      <c r="T175" s="704" t="n">
        <v>0</v>
      </c>
      <c r="U175" s="704" t="n">
        <v>0</v>
      </c>
      <c r="V175" s="704" t="n">
        <v>0</v>
      </c>
      <c r="W175" s="704" t="n">
        <v>0</v>
      </c>
      <c r="X175" s="704" t="n">
        <v>0</v>
      </c>
      <c r="Y175" s="704" t="n">
        <v>0</v>
      </c>
      <c r="Z175" s="704" t="n">
        <v>0</v>
      </c>
      <c r="AA175" s="704" t="n">
        <v>0</v>
      </c>
      <c r="AB175" s="704" t="n">
        <v>0</v>
      </c>
      <c r="AC175" s="704" t="n">
        <v>0</v>
      </c>
      <c r="AD175" s="704" t="n">
        <v>0</v>
      </c>
      <c r="AE175" s="704" t="n">
        <v>0</v>
      </c>
      <c r="AF175" s="704" t="n">
        <v>0</v>
      </c>
      <c r="AG175" s="704" t="n">
        <v>0</v>
      </c>
      <c r="AH175" s="704" t="n">
        <v>0</v>
      </c>
      <c r="AI175" s="704" t="n">
        <v>0</v>
      </c>
      <c r="AJ175" s="704" t="n">
        <v>0</v>
      </c>
      <c r="AK175" s="704" t="n">
        <v>0</v>
      </c>
      <c r="AL175" s="704" t="n">
        <v>0</v>
      </c>
      <c r="AM175" s="704" t="n">
        <v>0</v>
      </c>
      <c r="AN175" s="704" t="n">
        <v>0</v>
      </c>
      <c r="AO175" s="704" t="n">
        <v>0</v>
      </c>
      <c r="AP175" s="704" t="n">
        <v>0</v>
      </c>
      <c r="AQ175" s="704" t="n">
        <v>0</v>
      </c>
      <c r="AR175" s="704" t="n">
        <v>0</v>
      </c>
      <c r="AS175" s="704" t="n">
        <v>0</v>
      </c>
      <c r="AT175" s="704" t="n">
        <v>0</v>
      </c>
      <c r="AU175" s="704" t="n">
        <v>0</v>
      </c>
      <c r="AV175" s="704" t="n">
        <v>0</v>
      </c>
      <c r="AW175" s="704" t="n">
        <v>0</v>
      </c>
      <c r="AX175" s="704" t="n">
        <v>0</v>
      </c>
      <c r="AY175" s="704" t="n">
        <v>0</v>
      </c>
      <c r="AZ175" s="704" t="n">
        <v>0</v>
      </c>
      <c r="BA175" s="704" t="n">
        <v>0</v>
      </c>
      <c r="BB175" s="704" t="n">
        <v>0</v>
      </c>
      <c r="BC175" s="704" t="n">
        <v>0</v>
      </c>
      <c r="BD175" s="704" t="n">
        <v>0</v>
      </c>
      <c r="BE175" s="704" t="n">
        <v>0</v>
      </c>
      <c r="BF175" s="704" t="n">
        <v>0</v>
      </c>
      <c r="BG175" s="704" t="n">
        <v>0</v>
      </c>
      <c r="BH175" s="704" t="n">
        <v>0</v>
      </c>
      <c r="BI175" s="704" t="n">
        <v>0</v>
      </c>
      <c r="BJ175" s="704" t="n">
        <v>0</v>
      </c>
      <c r="BK175" s="704" t="n">
        <v>0</v>
      </c>
      <c r="BL175" s="704" t="n">
        <v>0</v>
      </c>
      <c r="BM175" s="704" t="n">
        <v>0</v>
      </c>
      <c r="BN175" s="704" t="n">
        <v>0</v>
      </c>
      <c r="BO175" s="704" t="n">
        <v>0</v>
      </c>
      <c r="BP175" s="704" t="n">
        <v>0</v>
      </c>
      <c r="BQ175" s="704" t="n">
        <v>0</v>
      </c>
      <c r="BR175" s="704" t="n">
        <v>0</v>
      </c>
      <c r="BS175" s="704" t="n">
        <v>0</v>
      </c>
      <c r="BT175" s="704" t="n">
        <v>0</v>
      </c>
      <c r="BU175" s="704" t="n">
        <v>0</v>
      </c>
      <c r="BV175" s="704" t="n">
        <v>0</v>
      </c>
      <c r="BW175" s="704" t="n">
        <v>0</v>
      </c>
      <c r="BX175" s="704" t="n">
        <v>0</v>
      </c>
      <c r="BY175" s="704" t="n">
        <v>0</v>
      </c>
      <c r="BZ175" s="704" t="n">
        <v>0</v>
      </c>
      <c r="CA175" s="704" t="n">
        <v>0</v>
      </c>
      <c r="CB175" s="704" t="n">
        <v>0</v>
      </c>
      <c r="CC175" s="704" t="n">
        <v>0</v>
      </c>
      <c r="CD175" s="704" t="n">
        <v>0</v>
      </c>
      <c r="CE175" s="704" t="n">
        <v>0</v>
      </c>
      <c r="CF175" s="704" t="n">
        <v>0</v>
      </c>
      <c r="CG175" s="704" t="n">
        <v>0</v>
      </c>
      <c r="CH175" s="704" t="n">
        <v>0</v>
      </c>
      <c r="CI175" s="704" t="n">
        <v>0</v>
      </c>
      <c r="CJ175" s="704" t="n">
        <v>0</v>
      </c>
      <c r="CK175" s="704" t="n">
        <v>0</v>
      </c>
      <c r="CL175" s="704" t="n">
        <v>0</v>
      </c>
      <c r="CM175" s="704" t="n">
        <v>0</v>
      </c>
      <c r="CN175" s="704" t="n">
        <v>0</v>
      </c>
      <c r="CO175" s="704" t="n">
        <v>0</v>
      </c>
      <c r="CP175" s="704" t="n">
        <v>0</v>
      </c>
      <c r="CQ175" s="704" t="n">
        <v>0</v>
      </c>
      <c r="CR175" s="704" t="n">
        <v>0</v>
      </c>
      <c r="CS175" s="704" t="n">
        <v>0</v>
      </c>
      <c r="CT175" s="704" t="n">
        <v>0</v>
      </c>
      <c r="CU175" s="704" t="n">
        <v>0</v>
      </c>
      <c r="CV175" s="704" t="n">
        <v>0</v>
      </c>
      <c r="CW175" s="704" t="n">
        <v>0</v>
      </c>
      <c r="CX175" s="704" t="n">
        <v>0</v>
      </c>
      <c r="CY175" s="704" t="n">
        <v>0</v>
      </c>
      <c r="CZ175" s="704" t="n">
        <v>0</v>
      </c>
      <c r="DA175" s="704" t="n">
        <v>0</v>
      </c>
      <c r="DB175" s="704" t="n">
        <v>0</v>
      </c>
      <c r="DC175" s="704" t="n">
        <v>0</v>
      </c>
      <c r="DD175" s="704" t="n">
        <v>0</v>
      </c>
      <c r="DE175" s="704" t="n">
        <v>0</v>
      </c>
      <c r="DF175" s="704" t="n">
        <v>0</v>
      </c>
      <c r="DG175" s="704" t="n">
        <v>0</v>
      </c>
      <c r="DH175" s="704" t="n">
        <v>0</v>
      </c>
      <c r="DI175" s="704" t="n">
        <v>0</v>
      </c>
      <c r="DJ175" s="704" t="n">
        <v>0</v>
      </c>
      <c r="DK175" s="704" t="n">
        <v>0</v>
      </c>
      <c r="DL175" s="704" t="n">
        <v>0</v>
      </c>
      <c r="DM175" s="704" t="n">
        <v>0</v>
      </c>
    </row>
    <row r="176" ht="13.5" customHeight="1" s="355">
      <c r="B176" s="703" t="inlineStr">
        <is>
          <t>SLA Metric Reporting</t>
        </is>
      </c>
      <c r="D176" s="704" t="n">
        <v>0</v>
      </c>
      <c r="E176" s="704" t="n">
        <v>0</v>
      </c>
      <c r="F176" s="704" t="n">
        <v>0</v>
      </c>
      <c r="G176" s="704" t="n">
        <v>0</v>
      </c>
      <c r="H176" s="704" t="n">
        <v>0</v>
      </c>
      <c r="I176" s="704" t="n">
        <v>0</v>
      </c>
      <c r="J176" s="704" t="n">
        <v>0</v>
      </c>
      <c r="K176" s="704" t="n">
        <v>0</v>
      </c>
      <c r="L176" s="704" t="n">
        <v>0</v>
      </c>
      <c r="M176" s="704" t="n">
        <v>0</v>
      </c>
      <c r="N176" s="704" t="n">
        <v>0</v>
      </c>
      <c r="O176" s="704" t="n">
        <v>0</v>
      </c>
      <c r="P176" s="704" t="n">
        <v>0</v>
      </c>
      <c r="Q176" s="704" t="n">
        <v>0</v>
      </c>
      <c r="R176" s="704" t="n">
        <v>0</v>
      </c>
      <c r="S176" s="704" t="n">
        <v>0</v>
      </c>
      <c r="T176" s="704" t="n">
        <v>0</v>
      </c>
      <c r="U176" s="704" t="n">
        <v>0</v>
      </c>
      <c r="V176" s="704" t="n">
        <v>0</v>
      </c>
      <c r="W176" s="704" t="n">
        <v>0</v>
      </c>
      <c r="X176" s="704" t="n">
        <v>0</v>
      </c>
      <c r="Y176" s="704" t="n">
        <v>0</v>
      </c>
      <c r="Z176" s="704" t="n">
        <v>0</v>
      </c>
      <c r="AA176" s="704" t="n">
        <v>0</v>
      </c>
      <c r="AB176" s="704" t="n">
        <v>0</v>
      </c>
      <c r="AC176" s="704" t="n">
        <v>0</v>
      </c>
      <c r="AD176" s="704" t="n">
        <v>0</v>
      </c>
      <c r="AE176" s="704" t="n">
        <v>0</v>
      </c>
      <c r="AF176" s="704" t="n">
        <v>0</v>
      </c>
      <c r="AG176" s="704" t="n">
        <v>0</v>
      </c>
      <c r="AH176" s="704" t="n">
        <v>0</v>
      </c>
      <c r="AI176" s="704" t="n">
        <v>0</v>
      </c>
      <c r="AJ176" s="704" t="n">
        <v>0</v>
      </c>
      <c r="AK176" s="704" t="n">
        <v>0</v>
      </c>
      <c r="AL176" s="704" t="n">
        <v>0</v>
      </c>
      <c r="AM176" s="704" t="n">
        <v>0</v>
      </c>
      <c r="AN176" s="704" t="n">
        <v>0</v>
      </c>
      <c r="AO176" s="704" t="n">
        <v>0</v>
      </c>
      <c r="AP176" s="704" t="n">
        <v>0</v>
      </c>
      <c r="AQ176" s="704" t="n">
        <v>0</v>
      </c>
      <c r="AR176" s="704" t="n">
        <v>0</v>
      </c>
      <c r="AS176" s="704" t="n">
        <v>0</v>
      </c>
      <c r="AT176" s="704" t="n">
        <v>0</v>
      </c>
      <c r="AU176" s="704" t="n">
        <v>0</v>
      </c>
      <c r="AV176" s="704" t="n">
        <v>0</v>
      </c>
      <c r="AW176" s="704" t="n">
        <v>0</v>
      </c>
      <c r="AX176" s="704" t="n">
        <v>0</v>
      </c>
      <c r="AY176" s="704" t="n">
        <v>0</v>
      </c>
      <c r="AZ176" s="704" t="n">
        <v>0</v>
      </c>
      <c r="BA176" s="704" t="n">
        <v>0</v>
      </c>
      <c r="BB176" s="704" t="n">
        <v>0</v>
      </c>
      <c r="BC176" s="704" t="n">
        <v>0</v>
      </c>
      <c r="BD176" s="704" t="n">
        <v>0</v>
      </c>
      <c r="BE176" s="704" t="n">
        <v>0</v>
      </c>
      <c r="BF176" s="704" t="n">
        <v>0</v>
      </c>
      <c r="BG176" s="704" t="n">
        <v>0</v>
      </c>
      <c r="BH176" s="704" t="n">
        <v>0</v>
      </c>
      <c r="BI176" s="704" t="n">
        <v>0</v>
      </c>
      <c r="BJ176" s="704" t="n">
        <v>0</v>
      </c>
      <c r="BK176" s="704" t="n">
        <v>0</v>
      </c>
      <c r="BL176" s="704" t="n">
        <v>0</v>
      </c>
      <c r="BM176" s="704" t="n">
        <v>0</v>
      </c>
      <c r="BN176" s="704" t="n">
        <v>0</v>
      </c>
      <c r="BO176" s="704" t="n">
        <v>0</v>
      </c>
      <c r="BP176" s="704" t="n">
        <v>0</v>
      </c>
      <c r="BQ176" s="704" t="n">
        <v>0</v>
      </c>
      <c r="BR176" s="704" t="n">
        <v>0</v>
      </c>
      <c r="BS176" s="704" t="n">
        <v>0</v>
      </c>
      <c r="BT176" s="704" t="n">
        <v>0</v>
      </c>
      <c r="BU176" s="704" t="n">
        <v>0</v>
      </c>
      <c r="BV176" s="704" t="n">
        <v>0</v>
      </c>
      <c r="BW176" s="704" t="n">
        <v>0</v>
      </c>
      <c r="BX176" s="704" t="n">
        <v>0</v>
      </c>
      <c r="BY176" s="704" t="n">
        <v>0</v>
      </c>
      <c r="BZ176" s="704" t="n">
        <v>0</v>
      </c>
      <c r="CA176" s="704" t="n">
        <v>0</v>
      </c>
      <c r="CB176" s="704" t="n">
        <v>0</v>
      </c>
      <c r="CC176" s="704" t="n">
        <v>0</v>
      </c>
      <c r="CD176" s="704" t="n">
        <v>0</v>
      </c>
      <c r="CE176" s="704" t="n">
        <v>0</v>
      </c>
      <c r="CF176" s="704" t="n">
        <v>0</v>
      </c>
      <c r="CG176" s="704" t="n">
        <v>0</v>
      </c>
      <c r="CH176" s="704" t="n">
        <v>0</v>
      </c>
      <c r="CI176" s="704" t="n">
        <v>0</v>
      </c>
      <c r="CJ176" s="704" t="n">
        <v>0</v>
      </c>
      <c r="CK176" s="704" t="n">
        <v>0</v>
      </c>
      <c r="CL176" s="704" t="n">
        <v>0</v>
      </c>
      <c r="CM176" s="704" t="n">
        <v>0</v>
      </c>
      <c r="CN176" s="704" t="n">
        <v>0</v>
      </c>
      <c r="CO176" s="704" t="n">
        <v>0</v>
      </c>
      <c r="CP176" s="704" t="n">
        <v>0</v>
      </c>
      <c r="CQ176" s="704" t="n">
        <v>0</v>
      </c>
      <c r="CR176" s="704" t="n">
        <v>0</v>
      </c>
      <c r="CS176" s="704" t="n">
        <v>0</v>
      </c>
      <c r="CT176" s="704" t="n">
        <v>0</v>
      </c>
      <c r="CU176" s="704" t="n">
        <v>0</v>
      </c>
      <c r="CV176" s="704" t="n">
        <v>0</v>
      </c>
      <c r="CW176" s="704" t="n">
        <v>0</v>
      </c>
      <c r="CX176" s="704" t="n">
        <v>0</v>
      </c>
      <c r="CY176" s="704" t="n">
        <v>0</v>
      </c>
      <c r="CZ176" s="704" t="n">
        <v>0</v>
      </c>
      <c r="DA176" s="704" t="n">
        <v>0</v>
      </c>
      <c r="DB176" s="704" t="n">
        <v>0</v>
      </c>
      <c r="DC176" s="704" t="n">
        <v>0</v>
      </c>
      <c r="DD176" s="704" t="n">
        <v>0</v>
      </c>
      <c r="DE176" s="704" t="n">
        <v>0</v>
      </c>
      <c r="DF176" s="704" t="n">
        <v>0</v>
      </c>
      <c r="DG176" s="704" t="n">
        <v>0</v>
      </c>
      <c r="DH176" s="704" t="n">
        <v>0</v>
      </c>
      <c r="DI176" s="704" t="n">
        <v>0</v>
      </c>
      <c r="DJ176" s="704" t="n">
        <v>0</v>
      </c>
      <c r="DK176" s="704" t="n">
        <v>0</v>
      </c>
      <c r="DL176" s="704" t="n">
        <v>0</v>
      </c>
      <c r="DM176" s="704" t="n">
        <v>0</v>
      </c>
    </row>
    <row r="177" ht="13.5" customHeight="1" s="355">
      <c r="B177" s="705" t="inlineStr">
        <is>
          <t>Grand Total</t>
        </is>
      </c>
      <c r="C177" s="706" t="n"/>
      <c r="D177" s="707" t="n">
        <v>0</v>
      </c>
      <c r="E177" s="707" t="n">
        <v>0</v>
      </c>
      <c r="F177" s="707" t="n">
        <v>0</v>
      </c>
      <c r="G177" s="707" t="n">
        <v>0</v>
      </c>
      <c r="H177" s="707" t="n">
        <v>0</v>
      </c>
      <c r="I177" s="707" t="n">
        <v>0</v>
      </c>
      <c r="J177" s="707" t="n">
        <v>0</v>
      </c>
      <c r="K177" s="707" t="n">
        <v>0</v>
      </c>
      <c r="L177" s="707" t="n">
        <v>0</v>
      </c>
      <c r="M177" s="707" t="n">
        <v>0</v>
      </c>
      <c r="N177" s="707" t="n">
        <v>0</v>
      </c>
      <c r="O177" s="707" t="n">
        <v>0</v>
      </c>
      <c r="P177" s="707" t="n">
        <v>0</v>
      </c>
      <c r="Q177" s="707" t="n">
        <v>0</v>
      </c>
      <c r="R177" s="707" t="n">
        <v>0</v>
      </c>
      <c r="S177" s="707" t="n">
        <v>0</v>
      </c>
      <c r="T177" s="707" t="n">
        <v>0</v>
      </c>
      <c r="U177" s="707" t="n">
        <v>0</v>
      </c>
      <c r="V177" s="707" t="n">
        <v>0</v>
      </c>
      <c r="W177" s="707" t="n">
        <v>0</v>
      </c>
      <c r="X177" s="707" t="n">
        <v>0</v>
      </c>
      <c r="Y177" s="707" t="n">
        <v>0</v>
      </c>
      <c r="Z177" s="707" t="n">
        <v>0</v>
      </c>
      <c r="AA177" s="707" t="n">
        <v>0</v>
      </c>
      <c r="AB177" s="707" t="n">
        <v>0</v>
      </c>
      <c r="AC177" s="707" t="n">
        <v>0</v>
      </c>
      <c r="AD177" s="707" t="n">
        <v>0</v>
      </c>
      <c r="AE177" s="707" t="n">
        <v>0</v>
      </c>
      <c r="AF177" s="707" t="n">
        <v>0</v>
      </c>
      <c r="AG177" s="707" t="n">
        <v>0</v>
      </c>
      <c r="AH177" s="707" t="n">
        <v>0</v>
      </c>
      <c r="AI177" s="707" t="n">
        <v>0</v>
      </c>
      <c r="AJ177" s="707" t="n">
        <v>0</v>
      </c>
      <c r="AK177" s="707" t="n">
        <v>0</v>
      </c>
      <c r="AL177" s="707" t="n">
        <v>0</v>
      </c>
      <c r="AM177" s="707" t="n">
        <v>0</v>
      </c>
      <c r="AN177" s="707" t="n">
        <v>0</v>
      </c>
      <c r="AO177" s="707" t="n">
        <v>0</v>
      </c>
      <c r="AP177" s="707" t="n">
        <v>0</v>
      </c>
      <c r="AQ177" s="707" t="n">
        <v>0</v>
      </c>
      <c r="AR177" s="707" t="n">
        <v>0</v>
      </c>
      <c r="AS177" s="707" t="n">
        <v>0</v>
      </c>
      <c r="AT177" s="707" t="n">
        <v>0</v>
      </c>
      <c r="AU177" s="707" t="n">
        <v>0</v>
      </c>
      <c r="AV177" s="707" t="n">
        <v>0</v>
      </c>
      <c r="AW177" s="707" t="n">
        <v>0</v>
      </c>
      <c r="AX177" s="707" t="n">
        <v>0</v>
      </c>
      <c r="AY177" s="707" t="n">
        <v>0</v>
      </c>
      <c r="AZ177" s="707" t="n">
        <v>0</v>
      </c>
      <c r="BA177" s="707" t="n">
        <v>0</v>
      </c>
      <c r="BB177" s="707" t="n">
        <v>0</v>
      </c>
      <c r="BC177" s="707" t="n">
        <v>0</v>
      </c>
      <c r="BD177" s="707" t="n">
        <v>0</v>
      </c>
      <c r="BE177" s="707" t="n">
        <v>0</v>
      </c>
      <c r="BF177" s="707" t="n">
        <v>0</v>
      </c>
      <c r="BG177" s="707" t="n">
        <v>0</v>
      </c>
      <c r="BH177" s="707" t="n">
        <v>0</v>
      </c>
      <c r="BI177" s="707" t="n">
        <v>0</v>
      </c>
      <c r="BJ177" s="707" t="n">
        <v>0</v>
      </c>
      <c r="BK177" s="707" t="n">
        <v>0</v>
      </c>
      <c r="BL177" s="707" t="n">
        <v>0</v>
      </c>
      <c r="BM177" s="707" t="n">
        <v>0</v>
      </c>
      <c r="BN177" s="707" t="n">
        <v>0</v>
      </c>
      <c r="BO177" s="707" t="n">
        <v>0</v>
      </c>
      <c r="BP177" s="707" t="n">
        <v>0</v>
      </c>
      <c r="BQ177" s="707" t="n">
        <v>0</v>
      </c>
      <c r="BR177" s="707" t="n">
        <v>0</v>
      </c>
      <c r="BS177" s="707" t="n">
        <v>0</v>
      </c>
      <c r="BT177" s="707" t="n">
        <v>0</v>
      </c>
      <c r="BU177" s="707" t="n">
        <v>0</v>
      </c>
      <c r="BV177" s="707" t="n">
        <v>0</v>
      </c>
      <c r="BW177" s="707" t="n">
        <v>0</v>
      </c>
      <c r="BX177" s="707" t="n">
        <v>0</v>
      </c>
      <c r="BY177" s="707" t="n">
        <v>0</v>
      </c>
      <c r="BZ177" s="707" t="n">
        <v>0</v>
      </c>
      <c r="CA177" s="707" t="n">
        <v>0</v>
      </c>
      <c r="CB177" s="707" t="n">
        <v>0</v>
      </c>
      <c r="CC177" s="707" t="n">
        <v>0</v>
      </c>
      <c r="CD177" s="707" t="n">
        <v>0</v>
      </c>
      <c r="CE177" s="707" t="n">
        <v>0</v>
      </c>
      <c r="CF177" s="707" t="n">
        <v>0</v>
      </c>
      <c r="CG177" s="707" t="n">
        <v>0</v>
      </c>
      <c r="CH177" s="707" t="n">
        <v>0</v>
      </c>
      <c r="CI177" s="707" t="n">
        <v>0</v>
      </c>
      <c r="CJ177" s="707" t="n">
        <v>0</v>
      </c>
      <c r="CK177" s="707" t="n">
        <v>0</v>
      </c>
      <c r="CL177" s="707" t="n">
        <v>0</v>
      </c>
      <c r="CM177" s="707" t="n">
        <v>0</v>
      </c>
      <c r="CN177" s="707" t="n">
        <v>0</v>
      </c>
      <c r="CO177" s="707" t="n">
        <v>0</v>
      </c>
      <c r="CP177" s="707" t="n">
        <v>0</v>
      </c>
      <c r="CQ177" s="707" t="n">
        <v>0</v>
      </c>
      <c r="CR177" s="707" t="n">
        <v>0</v>
      </c>
      <c r="CS177" s="707" t="n">
        <v>0</v>
      </c>
      <c r="CT177" s="707" t="n">
        <v>0</v>
      </c>
      <c r="CU177" s="707" t="n">
        <v>0</v>
      </c>
      <c r="CV177" s="707" t="n">
        <v>0</v>
      </c>
      <c r="CW177" s="707" t="n">
        <v>0</v>
      </c>
      <c r="CX177" s="707" t="n">
        <v>0</v>
      </c>
      <c r="CY177" s="707" t="n">
        <v>0</v>
      </c>
      <c r="CZ177" s="707" t="n">
        <v>0</v>
      </c>
      <c r="DA177" s="707" t="n">
        <v>0</v>
      </c>
      <c r="DB177" s="707" t="n">
        <v>0</v>
      </c>
      <c r="DC177" s="707" t="n">
        <v>0</v>
      </c>
      <c r="DD177" s="707" t="n">
        <v>0</v>
      </c>
      <c r="DE177" s="707" t="n">
        <v>0</v>
      </c>
      <c r="DF177" s="707" t="n">
        <v>0</v>
      </c>
      <c r="DG177" s="707" t="n">
        <v>0</v>
      </c>
      <c r="DH177" s="707" t="n">
        <v>0</v>
      </c>
      <c r="DI177" s="707" t="n">
        <v>0</v>
      </c>
      <c r="DJ177" s="707" t="n">
        <v>0</v>
      </c>
      <c r="DK177" s="707" t="n">
        <v>0</v>
      </c>
      <c r="DL177" s="707" t="n">
        <v>0</v>
      </c>
      <c r="DM177" s="707" t="n">
        <v>0</v>
      </c>
    </row>
    <row r="178" ht="13.5" customHeight="1" s="355">
      <c r="A178" s="702" t="inlineStr">
        <is>
          <t>Country 17</t>
        </is>
      </c>
      <c r="B178" s="703" t="inlineStr">
        <is>
          <t>Gen Acctg</t>
        </is>
      </c>
      <c r="D178" s="704" t="n">
        <v>0</v>
      </c>
      <c r="E178" s="704" t="n">
        <v>0</v>
      </c>
      <c r="F178" s="704" t="n">
        <v>0</v>
      </c>
      <c r="G178" s="704" t="n">
        <v>0</v>
      </c>
      <c r="H178" s="704" t="n">
        <v>0</v>
      </c>
      <c r="I178" s="704" t="n">
        <v>0</v>
      </c>
      <c r="J178" s="704" t="n">
        <v>0</v>
      </c>
      <c r="K178" s="704" t="n">
        <v>0</v>
      </c>
      <c r="L178" s="704" t="n">
        <v>0</v>
      </c>
      <c r="M178" s="704" t="n">
        <v>0</v>
      </c>
      <c r="N178" s="704" t="n">
        <v>0</v>
      </c>
      <c r="O178" s="704" t="n">
        <v>0</v>
      </c>
      <c r="P178" s="704" t="n">
        <v>0</v>
      </c>
      <c r="Q178" s="704" t="n">
        <v>0</v>
      </c>
      <c r="R178" s="704" t="n">
        <v>0</v>
      </c>
      <c r="S178" s="704" t="n">
        <v>0</v>
      </c>
      <c r="T178" s="704" t="n">
        <v>0</v>
      </c>
      <c r="U178" s="704" t="n">
        <v>0</v>
      </c>
      <c r="V178" s="704" t="n">
        <v>0</v>
      </c>
      <c r="W178" s="704" t="n">
        <v>0</v>
      </c>
      <c r="X178" s="704" t="n">
        <v>0</v>
      </c>
      <c r="Y178" s="704" t="n">
        <v>0</v>
      </c>
      <c r="Z178" s="704" t="n">
        <v>0</v>
      </c>
      <c r="AA178" s="704" t="n">
        <v>0</v>
      </c>
      <c r="AB178" s="704" t="n">
        <v>0</v>
      </c>
      <c r="AC178" s="704" t="n">
        <v>0</v>
      </c>
      <c r="AD178" s="704" t="n">
        <v>0</v>
      </c>
      <c r="AE178" s="704" t="n">
        <v>0</v>
      </c>
      <c r="AF178" s="704" t="n">
        <v>0</v>
      </c>
      <c r="AG178" s="704" t="n">
        <v>0</v>
      </c>
      <c r="AH178" s="704" t="n">
        <v>0</v>
      </c>
      <c r="AI178" s="704" t="n">
        <v>0</v>
      </c>
      <c r="AJ178" s="704" t="n">
        <v>0</v>
      </c>
      <c r="AK178" s="704" t="n">
        <v>0</v>
      </c>
      <c r="AL178" s="704" t="n">
        <v>0</v>
      </c>
      <c r="AM178" s="704" t="n">
        <v>0</v>
      </c>
      <c r="AN178" s="704" t="n">
        <v>0</v>
      </c>
      <c r="AO178" s="704" t="n">
        <v>0</v>
      </c>
      <c r="AP178" s="704" t="n">
        <v>0</v>
      </c>
      <c r="AQ178" s="704" t="n">
        <v>0</v>
      </c>
      <c r="AR178" s="704" t="n">
        <v>0</v>
      </c>
      <c r="AS178" s="704" t="n">
        <v>0</v>
      </c>
      <c r="AT178" s="704" t="n">
        <v>0</v>
      </c>
      <c r="AU178" s="704" t="n">
        <v>0</v>
      </c>
      <c r="AV178" s="704" t="n">
        <v>0</v>
      </c>
      <c r="AW178" s="704" t="n">
        <v>0</v>
      </c>
      <c r="AX178" s="704" t="n">
        <v>0</v>
      </c>
      <c r="AY178" s="704" t="n">
        <v>0</v>
      </c>
      <c r="AZ178" s="704" t="n">
        <v>0</v>
      </c>
      <c r="BA178" s="704" t="n">
        <v>0</v>
      </c>
      <c r="BB178" s="704" t="n">
        <v>0</v>
      </c>
      <c r="BC178" s="704" t="n">
        <v>0</v>
      </c>
      <c r="BD178" s="704" t="n">
        <v>0</v>
      </c>
      <c r="BE178" s="704" t="n">
        <v>0</v>
      </c>
      <c r="BF178" s="704" t="n">
        <v>0</v>
      </c>
      <c r="BG178" s="704" t="n">
        <v>0</v>
      </c>
      <c r="BH178" s="704" t="n">
        <v>0</v>
      </c>
      <c r="BI178" s="704" t="n">
        <v>0</v>
      </c>
      <c r="BJ178" s="704" t="n">
        <v>0</v>
      </c>
      <c r="BK178" s="704" t="n">
        <v>0</v>
      </c>
      <c r="BL178" s="704" t="n">
        <v>0</v>
      </c>
      <c r="BM178" s="704" t="n">
        <v>0</v>
      </c>
      <c r="BN178" s="704" t="n">
        <v>0</v>
      </c>
      <c r="BO178" s="704" t="n">
        <v>0</v>
      </c>
      <c r="BP178" s="704" t="n">
        <v>0</v>
      </c>
      <c r="BQ178" s="704" t="n">
        <v>0</v>
      </c>
      <c r="BR178" s="704" t="n">
        <v>0</v>
      </c>
      <c r="BS178" s="704" t="n">
        <v>0</v>
      </c>
      <c r="BT178" s="704" t="n">
        <v>0</v>
      </c>
      <c r="BU178" s="704" t="n">
        <v>0</v>
      </c>
      <c r="BV178" s="704" t="n">
        <v>0</v>
      </c>
      <c r="BW178" s="704" t="n">
        <v>0</v>
      </c>
      <c r="BX178" s="704" t="n">
        <v>0</v>
      </c>
      <c r="BY178" s="704" t="n">
        <v>0</v>
      </c>
      <c r="BZ178" s="704" t="n">
        <v>0</v>
      </c>
      <c r="CA178" s="704" t="n">
        <v>0</v>
      </c>
      <c r="CB178" s="704" t="n">
        <v>0</v>
      </c>
      <c r="CC178" s="704" t="n">
        <v>0</v>
      </c>
      <c r="CD178" s="704" t="n">
        <v>0</v>
      </c>
      <c r="CE178" s="704" t="n">
        <v>0</v>
      </c>
      <c r="CF178" s="704" t="n">
        <v>0</v>
      </c>
      <c r="CG178" s="704" t="n">
        <v>0</v>
      </c>
      <c r="CH178" s="704" t="n">
        <v>0</v>
      </c>
      <c r="CI178" s="704" t="n">
        <v>0</v>
      </c>
      <c r="CJ178" s="704" t="n">
        <v>0</v>
      </c>
      <c r="CK178" s="704" t="n">
        <v>0</v>
      </c>
      <c r="CL178" s="704" t="n">
        <v>0</v>
      </c>
      <c r="CM178" s="704" t="n">
        <v>0</v>
      </c>
      <c r="CN178" s="704" t="n">
        <v>0</v>
      </c>
      <c r="CO178" s="704" t="n">
        <v>0</v>
      </c>
      <c r="CP178" s="704" t="n">
        <v>0</v>
      </c>
      <c r="CQ178" s="704" t="n">
        <v>0</v>
      </c>
      <c r="CR178" s="704" t="n">
        <v>0</v>
      </c>
      <c r="CS178" s="704" t="n">
        <v>0</v>
      </c>
      <c r="CT178" s="704" t="n">
        <v>0</v>
      </c>
      <c r="CU178" s="704" t="n">
        <v>0</v>
      </c>
      <c r="CV178" s="704" t="n">
        <v>0</v>
      </c>
      <c r="CW178" s="704" t="n">
        <v>0</v>
      </c>
      <c r="CX178" s="704" t="n">
        <v>0</v>
      </c>
      <c r="CY178" s="704" t="n">
        <v>0</v>
      </c>
      <c r="CZ178" s="704" t="n">
        <v>0</v>
      </c>
      <c r="DA178" s="704" t="n">
        <v>0</v>
      </c>
      <c r="DB178" s="704" t="n">
        <v>0</v>
      </c>
      <c r="DC178" s="704" t="n">
        <v>0</v>
      </c>
      <c r="DD178" s="704" t="n">
        <v>0</v>
      </c>
      <c r="DE178" s="704" t="n">
        <v>0</v>
      </c>
      <c r="DF178" s="704" t="n">
        <v>0</v>
      </c>
      <c r="DG178" s="704" t="n">
        <v>0</v>
      </c>
      <c r="DH178" s="704" t="n">
        <v>0</v>
      </c>
      <c r="DI178" s="704" t="n">
        <v>0</v>
      </c>
      <c r="DJ178" s="704" t="n">
        <v>0</v>
      </c>
      <c r="DK178" s="704" t="n">
        <v>0</v>
      </c>
      <c r="DL178" s="704" t="n">
        <v>0</v>
      </c>
      <c r="DM178" s="704" t="n">
        <v>0</v>
      </c>
    </row>
    <row r="179" ht="13.5" customHeight="1" s="355">
      <c r="B179" s="703" t="inlineStr">
        <is>
          <t>Reporting</t>
        </is>
      </c>
      <c r="D179" s="704" t="n">
        <v>0</v>
      </c>
      <c r="E179" s="704" t="n">
        <v>0</v>
      </c>
      <c r="F179" s="704" t="n">
        <v>0</v>
      </c>
      <c r="G179" s="704" t="n">
        <v>0</v>
      </c>
      <c r="H179" s="704" t="n">
        <v>0</v>
      </c>
      <c r="I179" s="704" t="n">
        <v>0</v>
      </c>
      <c r="J179" s="704" t="n">
        <v>0</v>
      </c>
      <c r="K179" s="704" t="n">
        <v>0</v>
      </c>
      <c r="L179" s="704" t="n">
        <v>0</v>
      </c>
      <c r="M179" s="704" t="n">
        <v>0</v>
      </c>
      <c r="N179" s="704" t="n">
        <v>0</v>
      </c>
      <c r="O179" s="704" t="n">
        <v>0</v>
      </c>
      <c r="P179" s="704" t="n">
        <v>0</v>
      </c>
      <c r="Q179" s="704" t="n">
        <v>0</v>
      </c>
      <c r="R179" s="704" t="n">
        <v>0</v>
      </c>
      <c r="S179" s="704" t="n">
        <v>0</v>
      </c>
      <c r="T179" s="704" t="n">
        <v>0</v>
      </c>
      <c r="U179" s="704" t="n">
        <v>0</v>
      </c>
      <c r="V179" s="704" t="n">
        <v>0</v>
      </c>
      <c r="W179" s="704" t="n">
        <v>0</v>
      </c>
      <c r="X179" s="704" t="n">
        <v>0</v>
      </c>
      <c r="Y179" s="704" t="n">
        <v>0</v>
      </c>
      <c r="Z179" s="704" t="n">
        <v>0</v>
      </c>
      <c r="AA179" s="704" t="n">
        <v>0</v>
      </c>
      <c r="AB179" s="704" t="n">
        <v>0</v>
      </c>
      <c r="AC179" s="704" t="n">
        <v>0</v>
      </c>
      <c r="AD179" s="704" t="n">
        <v>0</v>
      </c>
      <c r="AE179" s="704" t="n">
        <v>0</v>
      </c>
      <c r="AF179" s="704" t="n">
        <v>0</v>
      </c>
      <c r="AG179" s="704" t="n">
        <v>0</v>
      </c>
      <c r="AH179" s="704" t="n">
        <v>0</v>
      </c>
      <c r="AI179" s="704" t="n">
        <v>0</v>
      </c>
      <c r="AJ179" s="704" t="n">
        <v>0</v>
      </c>
      <c r="AK179" s="704" t="n">
        <v>0</v>
      </c>
      <c r="AL179" s="704" t="n">
        <v>0</v>
      </c>
      <c r="AM179" s="704" t="n">
        <v>0</v>
      </c>
      <c r="AN179" s="704" t="n">
        <v>0</v>
      </c>
      <c r="AO179" s="704" t="n">
        <v>0</v>
      </c>
      <c r="AP179" s="704" t="n">
        <v>0</v>
      </c>
      <c r="AQ179" s="704" t="n">
        <v>0</v>
      </c>
      <c r="AR179" s="704" t="n">
        <v>0</v>
      </c>
      <c r="AS179" s="704" t="n">
        <v>0</v>
      </c>
      <c r="AT179" s="704" t="n">
        <v>0</v>
      </c>
      <c r="AU179" s="704" t="n">
        <v>0</v>
      </c>
      <c r="AV179" s="704" t="n">
        <v>0</v>
      </c>
      <c r="AW179" s="704" t="n">
        <v>0</v>
      </c>
      <c r="AX179" s="704" t="n">
        <v>0</v>
      </c>
      <c r="AY179" s="704" t="n">
        <v>0</v>
      </c>
      <c r="AZ179" s="704" t="n">
        <v>0</v>
      </c>
      <c r="BA179" s="704" t="n">
        <v>0</v>
      </c>
      <c r="BB179" s="704" t="n">
        <v>0</v>
      </c>
      <c r="BC179" s="704" t="n">
        <v>0</v>
      </c>
      <c r="BD179" s="704" t="n">
        <v>0</v>
      </c>
      <c r="BE179" s="704" t="n">
        <v>0</v>
      </c>
      <c r="BF179" s="704" t="n">
        <v>0</v>
      </c>
      <c r="BG179" s="704" t="n">
        <v>0</v>
      </c>
      <c r="BH179" s="704" t="n">
        <v>0</v>
      </c>
      <c r="BI179" s="704" t="n">
        <v>0</v>
      </c>
      <c r="BJ179" s="704" t="n">
        <v>0</v>
      </c>
      <c r="BK179" s="704" t="n">
        <v>0</v>
      </c>
      <c r="BL179" s="704" t="n">
        <v>0</v>
      </c>
      <c r="BM179" s="704" t="n">
        <v>0</v>
      </c>
      <c r="BN179" s="704" t="n">
        <v>0</v>
      </c>
      <c r="BO179" s="704" t="n">
        <v>0</v>
      </c>
      <c r="BP179" s="704" t="n">
        <v>0</v>
      </c>
      <c r="BQ179" s="704" t="n">
        <v>0</v>
      </c>
      <c r="BR179" s="704" t="n">
        <v>0</v>
      </c>
      <c r="BS179" s="704" t="n">
        <v>0</v>
      </c>
      <c r="BT179" s="704" t="n">
        <v>0</v>
      </c>
      <c r="BU179" s="704" t="n">
        <v>0</v>
      </c>
      <c r="BV179" s="704" t="n">
        <v>0</v>
      </c>
      <c r="BW179" s="704" t="n">
        <v>0</v>
      </c>
      <c r="BX179" s="704" t="n">
        <v>0</v>
      </c>
      <c r="BY179" s="704" t="n">
        <v>0</v>
      </c>
      <c r="BZ179" s="704" t="n">
        <v>0</v>
      </c>
      <c r="CA179" s="704" t="n">
        <v>0</v>
      </c>
      <c r="CB179" s="704" t="n">
        <v>0</v>
      </c>
      <c r="CC179" s="704" t="n">
        <v>0</v>
      </c>
      <c r="CD179" s="704" t="n">
        <v>0</v>
      </c>
      <c r="CE179" s="704" t="n">
        <v>0</v>
      </c>
      <c r="CF179" s="704" t="n">
        <v>0</v>
      </c>
      <c r="CG179" s="704" t="n">
        <v>0</v>
      </c>
      <c r="CH179" s="704" t="n">
        <v>0</v>
      </c>
      <c r="CI179" s="704" t="n">
        <v>0</v>
      </c>
      <c r="CJ179" s="704" t="n">
        <v>0</v>
      </c>
      <c r="CK179" s="704" t="n">
        <v>0</v>
      </c>
      <c r="CL179" s="704" t="n">
        <v>0</v>
      </c>
      <c r="CM179" s="704" t="n">
        <v>0</v>
      </c>
      <c r="CN179" s="704" t="n">
        <v>0</v>
      </c>
      <c r="CO179" s="704" t="n">
        <v>0</v>
      </c>
      <c r="CP179" s="704" t="n">
        <v>0</v>
      </c>
      <c r="CQ179" s="704" t="n">
        <v>0</v>
      </c>
      <c r="CR179" s="704" t="n">
        <v>0</v>
      </c>
      <c r="CS179" s="704" t="n">
        <v>0</v>
      </c>
      <c r="CT179" s="704" t="n">
        <v>0</v>
      </c>
      <c r="CU179" s="704" t="n">
        <v>0</v>
      </c>
      <c r="CV179" s="704" t="n">
        <v>0</v>
      </c>
      <c r="CW179" s="704" t="n">
        <v>0</v>
      </c>
      <c r="CX179" s="704" t="n">
        <v>0</v>
      </c>
      <c r="CY179" s="704" t="n">
        <v>0</v>
      </c>
      <c r="CZ179" s="704" t="n">
        <v>0</v>
      </c>
      <c r="DA179" s="704" t="n">
        <v>0</v>
      </c>
      <c r="DB179" s="704" t="n">
        <v>0</v>
      </c>
      <c r="DC179" s="704" t="n">
        <v>0</v>
      </c>
      <c r="DD179" s="704" t="n">
        <v>0</v>
      </c>
      <c r="DE179" s="704" t="n">
        <v>0</v>
      </c>
      <c r="DF179" s="704" t="n">
        <v>0</v>
      </c>
      <c r="DG179" s="704" t="n">
        <v>0</v>
      </c>
      <c r="DH179" s="704" t="n">
        <v>0</v>
      </c>
      <c r="DI179" s="704" t="n">
        <v>0</v>
      </c>
      <c r="DJ179" s="704" t="n">
        <v>0</v>
      </c>
      <c r="DK179" s="704" t="n">
        <v>0</v>
      </c>
      <c r="DL179" s="704" t="n">
        <v>0</v>
      </c>
      <c r="DM179" s="704" t="n">
        <v>0</v>
      </c>
    </row>
    <row r="180" ht="13.5" customHeight="1" s="355">
      <c r="B180" s="703" t="inlineStr">
        <is>
          <t>Fixed Assets</t>
        </is>
      </c>
      <c r="D180" s="704" t="n">
        <v>0</v>
      </c>
      <c r="E180" s="704" t="n">
        <v>0</v>
      </c>
      <c r="F180" s="704" t="n">
        <v>0</v>
      </c>
      <c r="G180" s="704" t="n">
        <v>0</v>
      </c>
      <c r="H180" s="704" t="n">
        <v>0</v>
      </c>
      <c r="I180" s="704" t="n">
        <v>0</v>
      </c>
      <c r="J180" s="704" t="n">
        <v>0</v>
      </c>
      <c r="K180" s="704" t="n">
        <v>0</v>
      </c>
      <c r="L180" s="704" t="n">
        <v>0</v>
      </c>
      <c r="M180" s="704" t="n">
        <v>0</v>
      </c>
      <c r="N180" s="704" t="n">
        <v>0</v>
      </c>
      <c r="O180" s="704" t="n">
        <v>0</v>
      </c>
      <c r="P180" s="704" t="n">
        <v>0</v>
      </c>
      <c r="Q180" s="704" t="n">
        <v>0</v>
      </c>
      <c r="R180" s="704" t="n">
        <v>0</v>
      </c>
      <c r="S180" s="704" t="n">
        <v>0</v>
      </c>
      <c r="T180" s="704" t="n">
        <v>0</v>
      </c>
      <c r="U180" s="704" t="n">
        <v>0</v>
      </c>
      <c r="V180" s="704" t="n">
        <v>0</v>
      </c>
      <c r="W180" s="704" t="n">
        <v>0</v>
      </c>
      <c r="X180" s="704" t="n">
        <v>0</v>
      </c>
      <c r="Y180" s="704" t="n">
        <v>0</v>
      </c>
      <c r="Z180" s="704" t="n">
        <v>0</v>
      </c>
      <c r="AA180" s="704" t="n">
        <v>0</v>
      </c>
      <c r="AB180" s="704" t="n">
        <v>0</v>
      </c>
      <c r="AC180" s="704" t="n">
        <v>0</v>
      </c>
      <c r="AD180" s="704" t="n">
        <v>0</v>
      </c>
      <c r="AE180" s="704" t="n">
        <v>0</v>
      </c>
      <c r="AF180" s="704" t="n">
        <v>0</v>
      </c>
      <c r="AG180" s="704" t="n">
        <v>0</v>
      </c>
      <c r="AH180" s="704" t="n">
        <v>0</v>
      </c>
      <c r="AI180" s="704" t="n">
        <v>0</v>
      </c>
      <c r="AJ180" s="704" t="n">
        <v>0</v>
      </c>
      <c r="AK180" s="704" t="n">
        <v>0</v>
      </c>
      <c r="AL180" s="704" t="n">
        <v>0</v>
      </c>
      <c r="AM180" s="704" t="n">
        <v>0</v>
      </c>
      <c r="AN180" s="704" t="n">
        <v>0</v>
      </c>
      <c r="AO180" s="704" t="n">
        <v>0</v>
      </c>
      <c r="AP180" s="704" t="n">
        <v>0</v>
      </c>
      <c r="AQ180" s="704" t="n">
        <v>0</v>
      </c>
      <c r="AR180" s="704" t="n">
        <v>0</v>
      </c>
      <c r="AS180" s="704" t="n">
        <v>0</v>
      </c>
      <c r="AT180" s="704" t="n">
        <v>0</v>
      </c>
      <c r="AU180" s="704" t="n">
        <v>0</v>
      </c>
      <c r="AV180" s="704" t="n">
        <v>0</v>
      </c>
      <c r="AW180" s="704" t="n">
        <v>0</v>
      </c>
      <c r="AX180" s="704" t="n">
        <v>0</v>
      </c>
      <c r="AY180" s="704" t="n">
        <v>0</v>
      </c>
      <c r="AZ180" s="704" t="n">
        <v>0</v>
      </c>
      <c r="BA180" s="704" t="n">
        <v>0</v>
      </c>
      <c r="BB180" s="704" t="n">
        <v>0</v>
      </c>
      <c r="BC180" s="704" t="n">
        <v>0</v>
      </c>
      <c r="BD180" s="704" t="n">
        <v>0</v>
      </c>
      <c r="BE180" s="704" t="n">
        <v>0</v>
      </c>
      <c r="BF180" s="704" t="n">
        <v>0</v>
      </c>
      <c r="BG180" s="704" t="n">
        <v>0</v>
      </c>
      <c r="BH180" s="704" t="n">
        <v>0</v>
      </c>
      <c r="BI180" s="704" t="n">
        <v>0</v>
      </c>
      <c r="BJ180" s="704" t="n">
        <v>0</v>
      </c>
      <c r="BK180" s="704" t="n">
        <v>0</v>
      </c>
      <c r="BL180" s="704" t="n">
        <v>0</v>
      </c>
      <c r="BM180" s="704" t="n">
        <v>0</v>
      </c>
      <c r="BN180" s="704" t="n">
        <v>0</v>
      </c>
      <c r="BO180" s="704" t="n">
        <v>0</v>
      </c>
      <c r="BP180" s="704" t="n">
        <v>0</v>
      </c>
      <c r="BQ180" s="704" t="n">
        <v>0</v>
      </c>
      <c r="BR180" s="704" t="n">
        <v>0</v>
      </c>
      <c r="BS180" s="704" t="n">
        <v>0</v>
      </c>
      <c r="BT180" s="704" t="n">
        <v>0</v>
      </c>
      <c r="BU180" s="704" t="n">
        <v>0</v>
      </c>
      <c r="BV180" s="704" t="n">
        <v>0</v>
      </c>
      <c r="BW180" s="704" t="n">
        <v>0</v>
      </c>
      <c r="BX180" s="704" t="n">
        <v>0</v>
      </c>
      <c r="BY180" s="704" t="n">
        <v>0</v>
      </c>
      <c r="BZ180" s="704" t="n">
        <v>0</v>
      </c>
      <c r="CA180" s="704" t="n">
        <v>0</v>
      </c>
      <c r="CB180" s="704" t="n">
        <v>0</v>
      </c>
      <c r="CC180" s="704" t="n">
        <v>0</v>
      </c>
      <c r="CD180" s="704" t="n">
        <v>0</v>
      </c>
      <c r="CE180" s="704" t="n">
        <v>0</v>
      </c>
      <c r="CF180" s="704" t="n">
        <v>0</v>
      </c>
      <c r="CG180" s="704" t="n">
        <v>0</v>
      </c>
      <c r="CH180" s="704" t="n">
        <v>0</v>
      </c>
      <c r="CI180" s="704" t="n">
        <v>0</v>
      </c>
      <c r="CJ180" s="704" t="n">
        <v>0</v>
      </c>
      <c r="CK180" s="704" t="n">
        <v>0</v>
      </c>
      <c r="CL180" s="704" t="n">
        <v>0</v>
      </c>
      <c r="CM180" s="704" t="n">
        <v>0</v>
      </c>
      <c r="CN180" s="704" t="n">
        <v>0</v>
      </c>
      <c r="CO180" s="704" t="n">
        <v>0</v>
      </c>
      <c r="CP180" s="704" t="n">
        <v>0</v>
      </c>
      <c r="CQ180" s="704" t="n">
        <v>0</v>
      </c>
      <c r="CR180" s="704" t="n">
        <v>0</v>
      </c>
      <c r="CS180" s="704" t="n">
        <v>0</v>
      </c>
      <c r="CT180" s="704" t="n">
        <v>0</v>
      </c>
      <c r="CU180" s="704" t="n">
        <v>0</v>
      </c>
      <c r="CV180" s="704" t="n">
        <v>0</v>
      </c>
      <c r="CW180" s="704" t="n">
        <v>0</v>
      </c>
      <c r="CX180" s="704" t="n">
        <v>0</v>
      </c>
      <c r="CY180" s="704" t="n">
        <v>0</v>
      </c>
      <c r="CZ180" s="704" t="n">
        <v>0</v>
      </c>
      <c r="DA180" s="704" t="n">
        <v>0</v>
      </c>
      <c r="DB180" s="704" t="n">
        <v>0</v>
      </c>
      <c r="DC180" s="704" t="n">
        <v>0</v>
      </c>
      <c r="DD180" s="704" t="n">
        <v>0</v>
      </c>
      <c r="DE180" s="704" t="n">
        <v>0</v>
      </c>
      <c r="DF180" s="704" t="n">
        <v>0</v>
      </c>
      <c r="DG180" s="704" t="n">
        <v>0</v>
      </c>
      <c r="DH180" s="704" t="n">
        <v>0</v>
      </c>
      <c r="DI180" s="704" t="n">
        <v>0</v>
      </c>
      <c r="DJ180" s="704" t="n">
        <v>0</v>
      </c>
      <c r="DK180" s="704" t="n">
        <v>0</v>
      </c>
      <c r="DL180" s="704" t="n">
        <v>0</v>
      </c>
      <c r="DM180" s="704" t="n">
        <v>0</v>
      </c>
    </row>
    <row r="181" ht="13.5" customHeight="1" s="355">
      <c r="B181" s="703" t="inlineStr">
        <is>
          <t>Acct Payable</t>
        </is>
      </c>
      <c r="D181" s="704" t="n">
        <v>0</v>
      </c>
      <c r="E181" s="704" t="n">
        <v>0</v>
      </c>
      <c r="F181" s="704" t="n">
        <v>0</v>
      </c>
      <c r="G181" s="704" t="n">
        <v>0</v>
      </c>
      <c r="H181" s="704" t="n">
        <v>0</v>
      </c>
      <c r="I181" s="704" t="n">
        <v>0</v>
      </c>
      <c r="J181" s="704" t="n">
        <v>0</v>
      </c>
      <c r="K181" s="704" t="n">
        <v>0</v>
      </c>
      <c r="L181" s="704" t="n">
        <v>0</v>
      </c>
      <c r="M181" s="704" t="n">
        <v>0</v>
      </c>
      <c r="N181" s="704" t="n">
        <v>0</v>
      </c>
      <c r="O181" s="704" t="n">
        <v>0</v>
      </c>
      <c r="P181" s="704" t="n">
        <v>0</v>
      </c>
      <c r="Q181" s="704" t="n">
        <v>0</v>
      </c>
      <c r="R181" s="704" t="n">
        <v>0</v>
      </c>
      <c r="S181" s="704" t="n">
        <v>0</v>
      </c>
      <c r="T181" s="704" t="n">
        <v>0</v>
      </c>
      <c r="U181" s="704" t="n">
        <v>0</v>
      </c>
      <c r="V181" s="704" t="n">
        <v>0</v>
      </c>
      <c r="W181" s="704" t="n">
        <v>0</v>
      </c>
      <c r="X181" s="704" t="n">
        <v>0</v>
      </c>
      <c r="Y181" s="704" t="n">
        <v>0</v>
      </c>
      <c r="Z181" s="704" t="n">
        <v>0</v>
      </c>
      <c r="AA181" s="704" t="n">
        <v>0</v>
      </c>
      <c r="AB181" s="704" t="n">
        <v>0</v>
      </c>
      <c r="AC181" s="704" t="n">
        <v>0</v>
      </c>
      <c r="AD181" s="704" t="n">
        <v>0</v>
      </c>
      <c r="AE181" s="704" t="n">
        <v>0</v>
      </c>
      <c r="AF181" s="704" t="n">
        <v>0</v>
      </c>
      <c r="AG181" s="704" t="n">
        <v>0</v>
      </c>
      <c r="AH181" s="704" t="n">
        <v>0</v>
      </c>
      <c r="AI181" s="704" t="n">
        <v>0</v>
      </c>
      <c r="AJ181" s="704" t="n">
        <v>0</v>
      </c>
      <c r="AK181" s="704" t="n">
        <v>0</v>
      </c>
      <c r="AL181" s="704" t="n">
        <v>0</v>
      </c>
      <c r="AM181" s="704" t="n">
        <v>0</v>
      </c>
      <c r="AN181" s="704" t="n">
        <v>0</v>
      </c>
      <c r="AO181" s="704" t="n">
        <v>0</v>
      </c>
      <c r="AP181" s="704" t="n">
        <v>0</v>
      </c>
      <c r="AQ181" s="704" t="n">
        <v>0</v>
      </c>
      <c r="AR181" s="704" t="n">
        <v>0</v>
      </c>
      <c r="AS181" s="704" t="n">
        <v>0</v>
      </c>
      <c r="AT181" s="704" t="n">
        <v>0</v>
      </c>
      <c r="AU181" s="704" t="n">
        <v>0</v>
      </c>
      <c r="AV181" s="704" t="n">
        <v>0</v>
      </c>
      <c r="AW181" s="704" t="n">
        <v>0</v>
      </c>
      <c r="AX181" s="704" t="n">
        <v>0</v>
      </c>
      <c r="AY181" s="704" t="n">
        <v>0</v>
      </c>
      <c r="AZ181" s="704" t="n">
        <v>0</v>
      </c>
      <c r="BA181" s="704" t="n">
        <v>0</v>
      </c>
      <c r="BB181" s="704" t="n">
        <v>0</v>
      </c>
      <c r="BC181" s="704" t="n">
        <v>0</v>
      </c>
      <c r="BD181" s="704" t="n">
        <v>0</v>
      </c>
      <c r="BE181" s="704" t="n">
        <v>0</v>
      </c>
      <c r="BF181" s="704" t="n">
        <v>0</v>
      </c>
      <c r="BG181" s="704" t="n">
        <v>0</v>
      </c>
      <c r="BH181" s="704" t="n">
        <v>0</v>
      </c>
      <c r="BI181" s="704" t="n">
        <v>0</v>
      </c>
      <c r="BJ181" s="704" t="n">
        <v>0</v>
      </c>
      <c r="BK181" s="704" t="n">
        <v>0</v>
      </c>
      <c r="BL181" s="704" t="n">
        <v>0</v>
      </c>
      <c r="BM181" s="704" t="n">
        <v>0</v>
      </c>
      <c r="BN181" s="704" t="n">
        <v>0</v>
      </c>
      <c r="BO181" s="704" t="n">
        <v>0</v>
      </c>
      <c r="BP181" s="704" t="n">
        <v>0</v>
      </c>
      <c r="BQ181" s="704" t="n">
        <v>0</v>
      </c>
      <c r="BR181" s="704" t="n">
        <v>0</v>
      </c>
      <c r="BS181" s="704" t="n">
        <v>0</v>
      </c>
      <c r="BT181" s="704" t="n">
        <v>0</v>
      </c>
      <c r="BU181" s="704" t="n">
        <v>0</v>
      </c>
      <c r="BV181" s="704" t="n">
        <v>0</v>
      </c>
      <c r="BW181" s="704" t="n">
        <v>0</v>
      </c>
      <c r="BX181" s="704" t="n">
        <v>0</v>
      </c>
      <c r="BY181" s="704" t="n">
        <v>0</v>
      </c>
      <c r="BZ181" s="704" t="n">
        <v>0</v>
      </c>
      <c r="CA181" s="704" t="n">
        <v>0</v>
      </c>
      <c r="CB181" s="704" t="n">
        <v>0</v>
      </c>
      <c r="CC181" s="704" t="n">
        <v>0</v>
      </c>
      <c r="CD181" s="704" t="n">
        <v>0</v>
      </c>
      <c r="CE181" s="704" t="n">
        <v>0</v>
      </c>
      <c r="CF181" s="704" t="n">
        <v>0</v>
      </c>
      <c r="CG181" s="704" t="n">
        <v>0</v>
      </c>
      <c r="CH181" s="704" t="n">
        <v>0</v>
      </c>
      <c r="CI181" s="704" t="n">
        <v>0</v>
      </c>
      <c r="CJ181" s="704" t="n">
        <v>0</v>
      </c>
      <c r="CK181" s="704" t="n">
        <v>0</v>
      </c>
      <c r="CL181" s="704" t="n">
        <v>0</v>
      </c>
      <c r="CM181" s="704" t="n">
        <v>0</v>
      </c>
      <c r="CN181" s="704" t="n">
        <v>0</v>
      </c>
      <c r="CO181" s="704" t="n">
        <v>0</v>
      </c>
      <c r="CP181" s="704" t="n">
        <v>0</v>
      </c>
      <c r="CQ181" s="704" t="n">
        <v>0</v>
      </c>
      <c r="CR181" s="704" t="n">
        <v>0</v>
      </c>
      <c r="CS181" s="704" t="n">
        <v>0</v>
      </c>
      <c r="CT181" s="704" t="n">
        <v>0</v>
      </c>
      <c r="CU181" s="704" t="n">
        <v>0</v>
      </c>
      <c r="CV181" s="704" t="n">
        <v>0</v>
      </c>
      <c r="CW181" s="704" t="n">
        <v>0</v>
      </c>
      <c r="CX181" s="704" t="n">
        <v>0</v>
      </c>
      <c r="CY181" s="704" t="n">
        <v>0</v>
      </c>
      <c r="CZ181" s="704" t="n">
        <v>0</v>
      </c>
      <c r="DA181" s="704" t="n">
        <v>0</v>
      </c>
      <c r="DB181" s="704" t="n">
        <v>0</v>
      </c>
      <c r="DC181" s="704" t="n">
        <v>0</v>
      </c>
      <c r="DD181" s="704" t="n">
        <v>0</v>
      </c>
      <c r="DE181" s="704" t="n">
        <v>0</v>
      </c>
      <c r="DF181" s="704" t="n">
        <v>0</v>
      </c>
      <c r="DG181" s="704" t="n">
        <v>0</v>
      </c>
      <c r="DH181" s="704" t="n">
        <v>0</v>
      </c>
      <c r="DI181" s="704" t="n">
        <v>0</v>
      </c>
      <c r="DJ181" s="704" t="n">
        <v>0</v>
      </c>
      <c r="DK181" s="704" t="n">
        <v>0</v>
      </c>
      <c r="DL181" s="704" t="n">
        <v>0</v>
      </c>
      <c r="DM181" s="704" t="n">
        <v>0</v>
      </c>
    </row>
    <row r="182" ht="13.5" customHeight="1" s="355">
      <c r="B182" s="703" t="inlineStr">
        <is>
          <t>Cash&amp;Bank</t>
        </is>
      </c>
      <c r="D182" s="704" t="n">
        <v>0</v>
      </c>
      <c r="E182" s="704" t="n">
        <v>0</v>
      </c>
      <c r="F182" s="704" t="n">
        <v>0</v>
      </c>
      <c r="G182" s="704" t="n">
        <v>0</v>
      </c>
      <c r="H182" s="704" t="n">
        <v>0</v>
      </c>
      <c r="I182" s="704" t="n">
        <v>0</v>
      </c>
      <c r="J182" s="704" t="n">
        <v>0</v>
      </c>
      <c r="K182" s="704" t="n">
        <v>0</v>
      </c>
      <c r="L182" s="704" t="n">
        <v>0</v>
      </c>
      <c r="M182" s="704" t="n">
        <v>0</v>
      </c>
      <c r="N182" s="704" t="n">
        <v>0</v>
      </c>
      <c r="O182" s="704" t="n">
        <v>0</v>
      </c>
      <c r="P182" s="704" t="n">
        <v>0</v>
      </c>
      <c r="Q182" s="704" t="n">
        <v>0</v>
      </c>
      <c r="R182" s="704" t="n">
        <v>0</v>
      </c>
      <c r="S182" s="704" t="n">
        <v>0</v>
      </c>
      <c r="T182" s="704" t="n">
        <v>0</v>
      </c>
      <c r="U182" s="704" t="n">
        <v>0</v>
      </c>
      <c r="V182" s="704" t="n">
        <v>0</v>
      </c>
      <c r="W182" s="704" t="n">
        <v>0</v>
      </c>
      <c r="X182" s="704" t="n">
        <v>0</v>
      </c>
      <c r="Y182" s="704" t="n">
        <v>0</v>
      </c>
      <c r="Z182" s="704" t="n">
        <v>0</v>
      </c>
      <c r="AA182" s="704" t="n">
        <v>0</v>
      </c>
      <c r="AB182" s="704" t="n">
        <v>0</v>
      </c>
      <c r="AC182" s="704" t="n">
        <v>0</v>
      </c>
      <c r="AD182" s="704" t="n">
        <v>0</v>
      </c>
      <c r="AE182" s="704" t="n">
        <v>0</v>
      </c>
      <c r="AF182" s="704" t="n">
        <v>0</v>
      </c>
      <c r="AG182" s="704" t="n">
        <v>0</v>
      </c>
      <c r="AH182" s="704" t="n">
        <v>0</v>
      </c>
      <c r="AI182" s="704" t="n">
        <v>0</v>
      </c>
      <c r="AJ182" s="704" t="n">
        <v>0</v>
      </c>
      <c r="AK182" s="704" t="n">
        <v>0</v>
      </c>
      <c r="AL182" s="704" t="n">
        <v>0</v>
      </c>
      <c r="AM182" s="704" t="n">
        <v>0</v>
      </c>
      <c r="AN182" s="704" t="n">
        <v>0</v>
      </c>
      <c r="AO182" s="704" t="n">
        <v>0</v>
      </c>
      <c r="AP182" s="704" t="n">
        <v>0</v>
      </c>
      <c r="AQ182" s="704" t="n">
        <v>0</v>
      </c>
      <c r="AR182" s="704" t="n">
        <v>0</v>
      </c>
      <c r="AS182" s="704" t="n">
        <v>0</v>
      </c>
      <c r="AT182" s="704" t="n">
        <v>0</v>
      </c>
      <c r="AU182" s="704" t="n">
        <v>0</v>
      </c>
      <c r="AV182" s="704" t="n">
        <v>0</v>
      </c>
      <c r="AW182" s="704" t="n">
        <v>0</v>
      </c>
      <c r="AX182" s="704" t="n">
        <v>0</v>
      </c>
      <c r="AY182" s="704" t="n">
        <v>0</v>
      </c>
      <c r="AZ182" s="704" t="n">
        <v>0</v>
      </c>
      <c r="BA182" s="704" t="n">
        <v>0</v>
      </c>
      <c r="BB182" s="704" t="n">
        <v>0</v>
      </c>
      <c r="BC182" s="704" t="n">
        <v>0</v>
      </c>
      <c r="BD182" s="704" t="n">
        <v>0</v>
      </c>
      <c r="BE182" s="704" t="n">
        <v>0</v>
      </c>
      <c r="BF182" s="704" t="n">
        <v>0</v>
      </c>
      <c r="BG182" s="704" t="n">
        <v>0</v>
      </c>
      <c r="BH182" s="704" t="n">
        <v>0</v>
      </c>
      <c r="BI182" s="704" t="n">
        <v>0</v>
      </c>
      <c r="BJ182" s="704" t="n">
        <v>0</v>
      </c>
      <c r="BK182" s="704" t="n">
        <v>0</v>
      </c>
      <c r="BL182" s="704" t="n">
        <v>0</v>
      </c>
      <c r="BM182" s="704" t="n">
        <v>0</v>
      </c>
      <c r="BN182" s="704" t="n">
        <v>0</v>
      </c>
      <c r="BO182" s="704" t="n">
        <v>0</v>
      </c>
      <c r="BP182" s="704" t="n">
        <v>0</v>
      </c>
      <c r="BQ182" s="704" t="n">
        <v>0</v>
      </c>
      <c r="BR182" s="704" t="n">
        <v>0</v>
      </c>
      <c r="BS182" s="704" t="n">
        <v>0</v>
      </c>
      <c r="BT182" s="704" t="n">
        <v>0</v>
      </c>
      <c r="BU182" s="704" t="n">
        <v>0</v>
      </c>
      <c r="BV182" s="704" t="n">
        <v>0</v>
      </c>
      <c r="BW182" s="704" t="n">
        <v>0</v>
      </c>
      <c r="BX182" s="704" t="n">
        <v>0</v>
      </c>
      <c r="BY182" s="704" t="n">
        <v>0</v>
      </c>
      <c r="BZ182" s="704" t="n">
        <v>0</v>
      </c>
      <c r="CA182" s="704" t="n">
        <v>0</v>
      </c>
      <c r="CB182" s="704" t="n">
        <v>0</v>
      </c>
      <c r="CC182" s="704" t="n">
        <v>0</v>
      </c>
      <c r="CD182" s="704" t="n">
        <v>0</v>
      </c>
      <c r="CE182" s="704" t="n">
        <v>0</v>
      </c>
      <c r="CF182" s="704" t="n">
        <v>0</v>
      </c>
      <c r="CG182" s="704" t="n">
        <v>0</v>
      </c>
      <c r="CH182" s="704" t="n">
        <v>0</v>
      </c>
      <c r="CI182" s="704" t="n">
        <v>0</v>
      </c>
      <c r="CJ182" s="704" t="n">
        <v>0</v>
      </c>
      <c r="CK182" s="704" t="n">
        <v>0</v>
      </c>
      <c r="CL182" s="704" t="n">
        <v>0</v>
      </c>
      <c r="CM182" s="704" t="n">
        <v>0</v>
      </c>
      <c r="CN182" s="704" t="n">
        <v>0</v>
      </c>
      <c r="CO182" s="704" t="n">
        <v>0</v>
      </c>
      <c r="CP182" s="704" t="n">
        <v>0</v>
      </c>
      <c r="CQ182" s="704" t="n">
        <v>0</v>
      </c>
      <c r="CR182" s="704" t="n">
        <v>0</v>
      </c>
      <c r="CS182" s="704" t="n">
        <v>0</v>
      </c>
      <c r="CT182" s="704" t="n">
        <v>0</v>
      </c>
      <c r="CU182" s="704" t="n">
        <v>0</v>
      </c>
      <c r="CV182" s="704" t="n">
        <v>0</v>
      </c>
      <c r="CW182" s="704" t="n">
        <v>0</v>
      </c>
      <c r="CX182" s="704" t="n">
        <v>0</v>
      </c>
      <c r="CY182" s="704" t="n">
        <v>0</v>
      </c>
      <c r="CZ182" s="704" t="n">
        <v>0</v>
      </c>
      <c r="DA182" s="704" t="n">
        <v>0</v>
      </c>
      <c r="DB182" s="704" t="n">
        <v>0</v>
      </c>
      <c r="DC182" s="704" t="n">
        <v>0</v>
      </c>
      <c r="DD182" s="704" t="n">
        <v>0</v>
      </c>
      <c r="DE182" s="704" t="n">
        <v>0</v>
      </c>
      <c r="DF182" s="704" t="n">
        <v>0</v>
      </c>
      <c r="DG182" s="704" t="n">
        <v>0</v>
      </c>
      <c r="DH182" s="704" t="n">
        <v>0</v>
      </c>
      <c r="DI182" s="704" t="n">
        <v>0</v>
      </c>
      <c r="DJ182" s="704" t="n">
        <v>0</v>
      </c>
      <c r="DK182" s="704" t="n">
        <v>0</v>
      </c>
      <c r="DL182" s="704" t="n">
        <v>0</v>
      </c>
      <c r="DM182" s="704" t="n">
        <v>0</v>
      </c>
    </row>
    <row r="183" ht="13.5" customHeight="1" s="355">
      <c r="B183" s="703" t="inlineStr">
        <is>
          <t>T&amp;E</t>
        </is>
      </c>
      <c r="D183" s="704" t="n">
        <v>0</v>
      </c>
      <c r="E183" s="704" t="n">
        <v>0</v>
      </c>
      <c r="F183" s="704" t="n">
        <v>0</v>
      </c>
      <c r="G183" s="704" t="n">
        <v>0</v>
      </c>
      <c r="H183" s="704" t="n">
        <v>0</v>
      </c>
      <c r="I183" s="704" t="n">
        <v>0</v>
      </c>
      <c r="J183" s="704" t="n">
        <v>0</v>
      </c>
      <c r="K183" s="704" t="n">
        <v>0</v>
      </c>
      <c r="L183" s="704" t="n">
        <v>0</v>
      </c>
      <c r="M183" s="704" t="n">
        <v>0</v>
      </c>
      <c r="N183" s="704" t="n">
        <v>0</v>
      </c>
      <c r="O183" s="704" t="n">
        <v>0</v>
      </c>
      <c r="P183" s="704" t="n">
        <v>0</v>
      </c>
      <c r="Q183" s="704" t="n">
        <v>0</v>
      </c>
      <c r="R183" s="704" t="n">
        <v>0</v>
      </c>
      <c r="S183" s="704" t="n">
        <v>0</v>
      </c>
      <c r="T183" s="704" t="n">
        <v>0</v>
      </c>
      <c r="U183" s="704" t="n">
        <v>0</v>
      </c>
      <c r="V183" s="704" t="n">
        <v>0</v>
      </c>
      <c r="W183" s="704" t="n">
        <v>0</v>
      </c>
      <c r="X183" s="704" t="n">
        <v>0</v>
      </c>
      <c r="Y183" s="704" t="n">
        <v>0</v>
      </c>
      <c r="Z183" s="704" t="n">
        <v>0</v>
      </c>
      <c r="AA183" s="704" t="n">
        <v>0</v>
      </c>
      <c r="AB183" s="704" t="n">
        <v>0</v>
      </c>
      <c r="AC183" s="704" t="n">
        <v>0</v>
      </c>
      <c r="AD183" s="704" t="n">
        <v>0</v>
      </c>
      <c r="AE183" s="704" t="n">
        <v>0</v>
      </c>
      <c r="AF183" s="704" t="n">
        <v>0</v>
      </c>
      <c r="AG183" s="704" t="n">
        <v>0</v>
      </c>
      <c r="AH183" s="704" t="n">
        <v>0</v>
      </c>
      <c r="AI183" s="704" t="n">
        <v>0</v>
      </c>
      <c r="AJ183" s="704" t="n">
        <v>0</v>
      </c>
      <c r="AK183" s="704" t="n">
        <v>0</v>
      </c>
      <c r="AL183" s="704" t="n">
        <v>0</v>
      </c>
      <c r="AM183" s="704" t="n">
        <v>0</v>
      </c>
      <c r="AN183" s="704" t="n">
        <v>0</v>
      </c>
      <c r="AO183" s="704" t="n">
        <v>0</v>
      </c>
      <c r="AP183" s="704" t="n">
        <v>0</v>
      </c>
      <c r="AQ183" s="704" t="n">
        <v>0</v>
      </c>
      <c r="AR183" s="704" t="n">
        <v>0</v>
      </c>
      <c r="AS183" s="704" t="n">
        <v>0</v>
      </c>
      <c r="AT183" s="704" t="n">
        <v>0</v>
      </c>
      <c r="AU183" s="704" t="n">
        <v>0</v>
      </c>
      <c r="AV183" s="704" t="n">
        <v>0</v>
      </c>
      <c r="AW183" s="704" t="n">
        <v>0</v>
      </c>
      <c r="AX183" s="704" t="n">
        <v>0</v>
      </c>
      <c r="AY183" s="704" t="n">
        <v>0</v>
      </c>
      <c r="AZ183" s="704" t="n">
        <v>0</v>
      </c>
      <c r="BA183" s="704" t="n">
        <v>0</v>
      </c>
      <c r="BB183" s="704" t="n">
        <v>0</v>
      </c>
      <c r="BC183" s="704" t="n">
        <v>0</v>
      </c>
      <c r="BD183" s="704" t="n">
        <v>0</v>
      </c>
      <c r="BE183" s="704" t="n">
        <v>0</v>
      </c>
      <c r="BF183" s="704" t="n">
        <v>0</v>
      </c>
      <c r="BG183" s="704" t="n">
        <v>0</v>
      </c>
      <c r="BH183" s="704" t="n">
        <v>0</v>
      </c>
      <c r="BI183" s="704" t="n">
        <v>0</v>
      </c>
      <c r="BJ183" s="704" t="n">
        <v>0</v>
      </c>
      <c r="BK183" s="704" t="n">
        <v>0</v>
      </c>
      <c r="BL183" s="704" t="n">
        <v>0</v>
      </c>
      <c r="BM183" s="704" t="n">
        <v>0</v>
      </c>
      <c r="BN183" s="704" t="n">
        <v>0</v>
      </c>
      <c r="BO183" s="704" t="n">
        <v>0</v>
      </c>
      <c r="BP183" s="704" t="n">
        <v>0</v>
      </c>
      <c r="BQ183" s="704" t="n">
        <v>0</v>
      </c>
      <c r="BR183" s="704" t="n">
        <v>0</v>
      </c>
      <c r="BS183" s="704" t="n">
        <v>0</v>
      </c>
      <c r="BT183" s="704" t="n">
        <v>0</v>
      </c>
      <c r="BU183" s="704" t="n">
        <v>0</v>
      </c>
      <c r="BV183" s="704" t="n">
        <v>0</v>
      </c>
      <c r="BW183" s="704" t="n">
        <v>0</v>
      </c>
      <c r="BX183" s="704" t="n">
        <v>0</v>
      </c>
      <c r="BY183" s="704" t="n">
        <v>0</v>
      </c>
      <c r="BZ183" s="704" t="n">
        <v>0</v>
      </c>
      <c r="CA183" s="704" t="n">
        <v>0</v>
      </c>
      <c r="CB183" s="704" t="n">
        <v>0</v>
      </c>
      <c r="CC183" s="704" t="n">
        <v>0</v>
      </c>
      <c r="CD183" s="704" t="n">
        <v>0</v>
      </c>
      <c r="CE183" s="704" t="n">
        <v>0</v>
      </c>
      <c r="CF183" s="704" t="n">
        <v>0</v>
      </c>
      <c r="CG183" s="704" t="n">
        <v>0</v>
      </c>
      <c r="CH183" s="704" t="n">
        <v>0</v>
      </c>
      <c r="CI183" s="704" t="n">
        <v>0</v>
      </c>
      <c r="CJ183" s="704" t="n">
        <v>0</v>
      </c>
      <c r="CK183" s="704" t="n">
        <v>0</v>
      </c>
      <c r="CL183" s="704" t="n">
        <v>0</v>
      </c>
      <c r="CM183" s="704" t="n">
        <v>0</v>
      </c>
      <c r="CN183" s="704" t="n">
        <v>0</v>
      </c>
      <c r="CO183" s="704" t="n">
        <v>0</v>
      </c>
      <c r="CP183" s="704" t="n">
        <v>0</v>
      </c>
      <c r="CQ183" s="704" t="n">
        <v>0</v>
      </c>
      <c r="CR183" s="704" t="n">
        <v>0</v>
      </c>
      <c r="CS183" s="704" t="n">
        <v>0</v>
      </c>
      <c r="CT183" s="704" t="n">
        <v>0</v>
      </c>
      <c r="CU183" s="704" t="n">
        <v>0</v>
      </c>
      <c r="CV183" s="704" t="n">
        <v>0</v>
      </c>
      <c r="CW183" s="704" t="n">
        <v>0</v>
      </c>
      <c r="CX183" s="704" t="n">
        <v>0</v>
      </c>
      <c r="CY183" s="704" t="n">
        <v>0</v>
      </c>
      <c r="CZ183" s="704" t="n">
        <v>0</v>
      </c>
      <c r="DA183" s="704" t="n">
        <v>0</v>
      </c>
      <c r="DB183" s="704" t="n">
        <v>0</v>
      </c>
      <c r="DC183" s="704" t="n">
        <v>0</v>
      </c>
      <c r="DD183" s="704" t="n">
        <v>0</v>
      </c>
      <c r="DE183" s="704" t="n">
        <v>0</v>
      </c>
      <c r="DF183" s="704" t="n">
        <v>0</v>
      </c>
      <c r="DG183" s="704" t="n">
        <v>0</v>
      </c>
      <c r="DH183" s="704" t="n">
        <v>0</v>
      </c>
      <c r="DI183" s="704" t="n">
        <v>0</v>
      </c>
      <c r="DJ183" s="704" t="n">
        <v>0</v>
      </c>
      <c r="DK183" s="704" t="n">
        <v>0</v>
      </c>
      <c r="DL183" s="704" t="n">
        <v>0</v>
      </c>
      <c r="DM183" s="704" t="n">
        <v>0</v>
      </c>
    </row>
    <row r="184" ht="13.5" customHeight="1" s="355">
      <c r="B184" s="703" t="inlineStr">
        <is>
          <t>Order to Cash</t>
        </is>
      </c>
      <c r="D184" s="704" t="n">
        <v>0</v>
      </c>
      <c r="E184" s="704" t="n">
        <v>0</v>
      </c>
      <c r="F184" s="704" t="n">
        <v>0</v>
      </c>
      <c r="G184" s="704" t="n">
        <v>0</v>
      </c>
      <c r="H184" s="704" t="n">
        <v>0</v>
      </c>
      <c r="I184" s="704" t="n">
        <v>0</v>
      </c>
      <c r="J184" s="704" t="n">
        <v>0</v>
      </c>
      <c r="K184" s="704" t="n">
        <v>0</v>
      </c>
      <c r="L184" s="704" t="n">
        <v>0</v>
      </c>
      <c r="M184" s="704" t="n">
        <v>0</v>
      </c>
      <c r="N184" s="704" t="n">
        <v>0</v>
      </c>
      <c r="O184" s="704" t="n">
        <v>0</v>
      </c>
      <c r="P184" s="704" t="n">
        <v>0</v>
      </c>
      <c r="Q184" s="704" t="n">
        <v>0</v>
      </c>
      <c r="R184" s="704" t="n">
        <v>0</v>
      </c>
      <c r="S184" s="704" t="n">
        <v>0</v>
      </c>
      <c r="T184" s="704" t="n">
        <v>0</v>
      </c>
      <c r="U184" s="704" t="n">
        <v>0</v>
      </c>
      <c r="V184" s="704" t="n">
        <v>0</v>
      </c>
      <c r="W184" s="704" t="n">
        <v>0</v>
      </c>
      <c r="X184" s="704" t="n">
        <v>0</v>
      </c>
      <c r="Y184" s="704" t="n">
        <v>0</v>
      </c>
      <c r="Z184" s="704" t="n">
        <v>0</v>
      </c>
      <c r="AA184" s="704" t="n">
        <v>0</v>
      </c>
      <c r="AB184" s="704" t="n">
        <v>0</v>
      </c>
      <c r="AC184" s="704" t="n">
        <v>0</v>
      </c>
      <c r="AD184" s="704" t="n">
        <v>0</v>
      </c>
      <c r="AE184" s="704" t="n">
        <v>0</v>
      </c>
      <c r="AF184" s="704" t="n">
        <v>0</v>
      </c>
      <c r="AG184" s="704" t="n">
        <v>0</v>
      </c>
      <c r="AH184" s="704" t="n">
        <v>0</v>
      </c>
      <c r="AI184" s="704" t="n">
        <v>0</v>
      </c>
      <c r="AJ184" s="704" t="n">
        <v>0</v>
      </c>
      <c r="AK184" s="704" t="n">
        <v>0</v>
      </c>
      <c r="AL184" s="704" t="n">
        <v>0</v>
      </c>
      <c r="AM184" s="704" t="n">
        <v>0</v>
      </c>
      <c r="AN184" s="704" t="n">
        <v>0</v>
      </c>
      <c r="AO184" s="704" t="n">
        <v>0</v>
      </c>
      <c r="AP184" s="704" t="n">
        <v>0</v>
      </c>
      <c r="AQ184" s="704" t="n">
        <v>0</v>
      </c>
      <c r="AR184" s="704" t="n">
        <v>0</v>
      </c>
      <c r="AS184" s="704" t="n">
        <v>0</v>
      </c>
      <c r="AT184" s="704" t="n">
        <v>0</v>
      </c>
      <c r="AU184" s="704" t="n">
        <v>0</v>
      </c>
      <c r="AV184" s="704" t="n">
        <v>0</v>
      </c>
      <c r="AW184" s="704" t="n">
        <v>0</v>
      </c>
      <c r="AX184" s="704" t="n">
        <v>0</v>
      </c>
      <c r="AY184" s="704" t="n">
        <v>0</v>
      </c>
      <c r="AZ184" s="704" t="n">
        <v>0</v>
      </c>
      <c r="BA184" s="704" t="n">
        <v>0</v>
      </c>
      <c r="BB184" s="704" t="n">
        <v>0</v>
      </c>
      <c r="BC184" s="704" t="n">
        <v>0</v>
      </c>
      <c r="BD184" s="704" t="n">
        <v>0</v>
      </c>
      <c r="BE184" s="704" t="n">
        <v>0</v>
      </c>
      <c r="BF184" s="704" t="n">
        <v>0</v>
      </c>
      <c r="BG184" s="704" t="n">
        <v>0</v>
      </c>
      <c r="BH184" s="704" t="n">
        <v>0</v>
      </c>
      <c r="BI184" s="704" t="n">
        <v>0</v>
      </c>
      <c r="BJ184" s="704" t="n">
        <v>0</v>
      </c>
      <c r="BK184" s="704" t="n">
        <v>0</v>
      </c>
      <c r="BL184" s="704" t="n">
        <v>0</v>
      </c>
      <c r="BM184" s="704" t="n">
        <v>0</v>
      </c>
      <c r="BN184" s="704" t="n">
        <v>0</v>
      </c>
      <c r="BO184" s="704" t="n">
        <v>0</v>
      </c>
      <c r="BP184" s="704" t="n">
        <v>0</v>
      </c>
      <c r="BQ184" s="704" t="n">
        <v>0</v>
      </c>
      <c r="BR184" s="704" t="n">
        <v>0</v>
      </c>
      <c r="BS184" s="704" t="n">
        <v>0</v>
      </c>
      <c r="BT184" s="704" t="n">
        <v>0</v>
      </c>
      <c r="BU184" s="704" t="n">
        <v>0</v>
      </c>
      <c r="BV184" s="704" t="n">
        <v>0</v>
      </c>
      <c r="BW184" s="704" t="n">
        <v>0</v>
      </c>
      <c r="BX184" s="704" t="n">
        <v>0</v>
      </c>
      <c r="BY184" s="704" t="n">
        <v>0</v>
      </c>
      <c r="BZ184" s="704" t="n">
        <v>0</v>
      </c>
      <c r="CA184" s="704" t="n">
        <v>0</v>
      </c>
      <c r="CB184" s="704" t="n">
        <v>0</v>
      </c>
      <c r="CC184" s="704" t="n">
        <v>0</v>
      </c>
      <c r="CD184" s="704" t="n">
        <v>0</v>
      </c>
      <c r="CE184" s="704" t="n">
        <v>0</v>
      </c>
      <c r="CF184" s="704" t="n">
        <v>0</v>
      </c>
      <c r="CG184" s="704" t="n">
        <v>0</v>
      </c>
      <c r="CH184" s="704" t="n">
        <v>0</v>
      </c>
      <c r="CI184" s="704" t="n">
        <v>0</v>
      </c>
      <c r="CJ184" s="704" t="n">
        <v>0</v>
      </c>
      <c r="CK184" s="704" t="n">
        <v>0</v>
      </c>
      <c r="CL184" s="704" t="n">
        <v>0</v>
      </c>
      <c r="CM184" s="704" t="n">
        <v>0</v>
      </c>
      <c r="CN184" s="704" t="n">
        <v>0</v>
      </c>
      <c r="CO184" s="704" t="n">
        <v>0</v>
      </c>
      <c r="CP184" s="704" t="n">
        <v>0</v>
      </c>
      <c r="CQ184" s="704" t="n">
        <v>0</v>
      </c>
      <c r="CR184" s="704" t="n">
        <v>0</v>
      </c>
      <c r="CS184" s="704" t="n">
        <v>0</v>
      </c>
      <c r="CT184" s="704" t="n">
        <v>0</v>
      </c>
      <c r="CU184" s="704" t="n">
        <v>0</v>
      </c>
      <c r="CV184" s="704" t="n">
        <v>0</v>
      </c>
      <c r="CW184" s="704" t="n">
        <v>0</v>
      </c>
      <c r="CX184" s="704" t="n">
        <v>0</v>
      </c>
      <c r="CY184" s="704" t="n">
        <v>0</v>
      </c>
      <c r="CZ184" s="704" t="n">
        <v>0</v>
      </c>
      <c r="DA184" s="704" t="n">
        <v>0</v>
      </c>
      <c r="DB184" s="704" t="n">
        <v>0</v>
      </c>
      <c r="DC184" s="704" t="n">
        <v>0</v>
      </c>
      <c r="DD184" s="704" t="n">
        <v>0</v>
      </c>
      <c r="DE184" s="704" t="n">
        <v>0</v>
      </c>
      <c r="DF184" s="704" t="n">
        <v>0</v>
      </c>
      <c r="DG184" s="704" t="n">
        <v>0</v>
      </c>
      <c r="DH184" s="704" t="n">
        <v>0</v>
      </c>
      <c r="DI184" s="704" t="n">
        <v>0</v>
      </c>
      <c r="DJ184" s="704" t="n">
        <v>0</v>
      </c>
      <c r="DK184" s="704" t="n">
        <v>0</v>
      </c>
      <c r="DL184" s="704" t="n">
        <v>0</v>
      </c>
      <c r="DM184" s="704" t="n">
        <v>0</v>
      </c>
    </row>
    <row r="185" ht="13.5" customHeight="1" s="355">
      <c r="B185" s="703" t="inlineStr">
        <is>
          <t>Req to Pay</t>
        </is>
      </c>
      <c r="D185" s="704" t="n">
        <v>0</v>
      </c>
      <c r="E185" s="704" t="n">
        <v>0</v>
      </c>
      <c r="F185" s="704" t="n">
        <v>0</v>
      </c>
      <c r="G185" s="704" t="n">
        <v>0</v>
      </c>
      <c r="H185" s="704" t="n">
        <v>0</v>
      </c>
      <c r="I185" s="704" t="n">
        <v>0</v>
      </c>
      <c r="J185" s="704" t="n">
        <v>0</v>
      </c>
      <c r="K185" s="704" t="n">
        <v>0</v>
      </c>
      <c r="L185" s="704" t="n">
        <v>0</v>
      </c>
      <c r="M185" s="704" t="n">
        <v>0</v>
      </c>
      <c r="N185" s="704" t="n">
        <v>0</v>
      </c>
      <c r="O185" s="704" t="n">
        <v>0</v>
      </c>
      <c r="P185" s="704" t="n">
        <v>0</v>
      </c>
      <c r="Q185" s="704" t="n">
        <v>0</v>
      </c>
      <c r="R185" s="704" t="n">
        <v>0</v>
      </c>
      <c r="S185" s="704" t="n">
        <v>0</v>
      </c>
      <c r="T185" s="704" t="n">
        <v>0</v>
      </c>
      <c r="U185" s="704" t="n">
        <v>0</v>
      </c>
      <c r="V185" s="704" t="n">
        <v>0</v>
      </c>
      <c r="W185" s="704" t="n">
        <v>0</v>
      </c>
      <c r="X185" s="704" t="n">
        <v>0</v>
      </c>
      <c r="Y185" s="704" t="n">
        <v>0</v>
      </c>
      <c r="Z185" s="704" t="n">
        <v>0</v>
      </c>
      <c r="AA185" s="704" t="n">
        <v>0</v>
      </c>
      <c r="AB185" s="704" t="n">
        <v>0</v>
      </c>
      <c r="AC185" s="704" t="n">
        <v>0</v>
      </c>
      <c r="AD185" s="704" t="n">
        <v>0</v>
      </c>
      <c r="AE185" s="704" t="n">
        <v>0</v>
      </c>
      <c r="AF185" s="704" t="n">
        <v>0</v>
      </c>
      <c r="AG185" s="704" t="n">
        <v>0</v>
      </c>
      <c r="AH185" s="704" t="n">
        <v>0</v>
      </c>
      <c r="AI185" s="704" t="n">
        <v>0</v>
      </c>
      <c r="AJ185" s="704" t="n">
        <v>0</v>
      </c>
      <c r="AK185" s="704" t="n">
        <v>0</v>
      </c>
      <c r="AL185" s="704" t="n">
        <v>0</v>
      </c>
      <c r="AM185" s="704" t="n">
        <v>0</v>
      </c>
      <c r="AN185" s="704" t="n">
        <v>0</v>
      </c>
      <c r="AO185" s="704" t="n">
        <v>0</v>
      </c>
      <c r="AP185" s="704" t="n">
        <v>0</v>
      </c>
      <c r="AQ185" s="704" t="n">
        <v>0</v>
      </c>
      <c r="AR185" s="704" t="n">
        <v>0</v>
      </c>
      <c r="AS185" s="704" t="n">
        <v>0</v>
      </c>
      <c r="AT185" s="704" t="n">
        <v>0</v>
      </c>
      <c r="AU185" s="704" t="n">
        <v>0</v>
      </c>
      <c r="AV185" s="704" t="n">
        <v>0</v>
      </c>
      <c r="AW185" s="704" t="n">
        <v>0</v>
      </c>
      <c r="AX185" s="704" t="n">
        <v>0</v>
      </c>
      <c r="AY185" s="704" t="n">
        <v>0</v>
      </c>
      <c r="AZ185" s="704" t="n">
        <v>0</v>
      </c>
      <c r="BA185" s="704" t="n">
        <v>0</v>
      </c>
      <c r="BB185" s="704" t="n">
        <v>0</v>
      </c>
      <c r="BC185" s="704" t="n">
        <v>0</v>
      </c>
      <c r="BD185" s="704" t="n">
        <v>0</v>
      </c>
      <c r="BE185" s="704" t="n">
        <v>0</v>
      </c>
      <c r="BF185" s="704" t="n">
        <v>0</v>
      </c>
      <c r="BG185" s="704" t="n">
        <v>0</v>
      </c>
      <c r="BH185" s="704" t="n">
        <v>0</v>
      </c>
      <c r="BI185" s="704" t="n">
        <v>0</v>
      </c>
      <c r="BJ185" s="704" t="n">
        <v>0</v>
      </c>
      <c r="BK185" s="704" t="n">
        <v>0</v>
      </c>
      <c r="BL185" s="704" t="n">
        <v>0</v>
      </c>
      <c r="BM185" s="704" t="n">
        <v>0</v>
      </c>
      <c r="BN185" s="704" t="n">
        <v>0</v>
      </c>
      <c r="BO185" s="704" t="n">
        <v>0</v>
      </c>
      <c r="BP185" s="704" t="n">
        <v>0</v>
      </c>
      <c r="BQ185" s="704" t="n">
        <v>0</v>
      </c>
      <c r="BR185" s="704" t="n">
        <v>0</v>
      </c>
      <c r="BS185" s="704" t="n">
        <v>0</v>
      </c>
      <c r="BT185" s="704" t="n">
        <v>0</v>
      </c>
      <c r="BU185" s="704" t="n">
        <v>0</v>
      </c>
      <c r="BV185" s="704" t="n">
        <v>0</v>
      </c>
      <c r="BW185" s="704" t="n">
        <v>0</v>
      </c>
      <c r="BX185" s="704" t="n">
        <v>0</v>
      </c>
      <c r="BY185" s="704" t="n">
        <v>0</v>
      </c>
      <c r="BZ185" s="704" t="n">
        <v>0</v>
      </c>
      <c r="CA185" s="704" t="n">
        <v>0</v>
      </c>
      <c r="CB185" s="704" t="n">
        <v>0</v>
      </c>
      <c r="CC185" s="704" t="n">
        <v>0</v>
      </c>
      <c r="CD185" s="704" t="n">
        <v>0</v>
      </c>
      <c r="CE185" s="704" t="n">
        <v>0</v>
      </c>
      <c r="CF185" s="704" t="n">
        <v>0</v>
      </c>
      <c r="CG185" s="704" t="n">
        <v>0</v>
      </c>
      <c r="CH185" s="704" t="n">
        <v>0</v>
      </c>
      <c r="CI185" s="704" t="n">
        <v>0</v>
      </c>
      <c r="CJ185" s="704" t="n">
        <v>0</v>
      </c>
      <c r="CK185" s="704" t="n">
        <v>0</v>
      </c>
      <c r="CL185" s="704" t="n">
        <v>0</v>
      </c>
      <c r="CM185" s="704" t="n">
        <v>0</v>
      </c>
      <c r="CN185" s="704" t="n">
        <v>0</v>
      </c>
      <c r="CO185" s="704" t="n">
        <v>0</v>
      </c>
      <c r="CP185" s="704" t="n">
        <v>0</v>
      </c>
      <c r="CQ185" s="704" t="n">
        <v>0</v>
      </c>
      <c r="CR185" s="704" t="n">
        <v>0</v>
      </c>
      <c r="CS185" s="704" t="n">
        <v>0</v>
      </c>
      <c r="CT185" s="704" t="n">
        <v>0</v>
      </c>
      <c r="CU185" s="704" t="n">
        <v>0</v>
      </c>
      <c r="CV185" s="704" t="n">
        <v>0</v>
      </c>
      <c r="CW185" s="704" t="n">
        <v>0</v>
      </c>
      <c r="CX185" s="704" t="n">
        <v>0</v>
      </c>
      <c r="CY185" s="704" t="n">
        <v>0</v>
      </c>
      <c r="CZ185" s="704" t="n">
        <v>0</v>
      </c>
      <c r="DA185" s="704" t="n">
        <v>0</v>
      </c>
      <c r="DB185" s="704" t="n">
        <v>0</v>
      </c>
      <c r="DC185" s="704" t="n">
        <v>0</v>
      </c>
      <c r="DD185" s="704" t="n">
        <v>0</v>
      </c>
      <c r="DE185" s="704" t="n">
        <v>0</v>
      </c>
      <c r="DF185" s="704" t="n">
        <v>0</v>
      </c>
      <c r="DG185" s="704" t="n">
        <v>0</v>
      </c>
      <c r="DH185" s="704" t="n">
        <v>0</v>
      </c>
      <c r="DI185" s="704" t="n">
        <v>0</v>
      </c>
      <c r="DJ185" s="704" t="n">
        <v>0</v>
      </c>
      <c r="DK185" s="704" t="n">
        <v>0</v>
      </c>
      <c r="DL185" s="704" t="n">
        <v>0</v>
      </c>
      <c r="DM185" s="704" t="n">
        <v>0</v>
      </c>
    </row>
    <row r="186" ht="13.5" customHeight="1" s="355">
      <c r="B186" s="703" t="inlineStr">
        <is>
          <t>Team Leader</t>
        </is>
      </c>
      <c r="D186" s="704" t="n">
        <v>0</v>
      </c>
      <c r="E186" s="704" t="n">
        <v>0</v>
      </c>
      <c r="F186" s="704" t="n">
        <v>0</v>
      </c>
      <c r="G186" s="704" t="n">
        <v>0</v>
      </c>
      <c r="H186" s="704" t="n">
        <v>0</v>
      </c>
      <c r="I186" s="704" t="n">
        <v>0</v>
      </c>
      <c r="J186" s="704" t="n">
        <v>0</v>
      </c>
      <c r="K186" s="704" t="n">
        <v>0</v>
      </c>
      <c r="L186" s="704" t="n">
        <v>0</v>
      </c>
      <c r="M186" s="704" t="n">
        <v>0</v>
      </c>
      <c r="N186" s="704" t="n">
        <v>0</v>
      </c>
      <c r="O186" s="704" t="n">
        <v>0</v>
      </c>
      <c r="P186" s="704" t="n">
        <v>0</v>
      </c>
      <c r="Q186" s="704" t="n">
        <v>0</v>
      </c>
      <c r="R186" s="704" t="n">
        <v>0</v>
      </c>
      <c r="S186" s="704" t="n">
        <v>0</v>
      </c>
      <c r="T186" s="704" t="n">
        <v>0</v>
      </c>
      <c r="U186" s="704" t="n">
        <v>0</v>
      </c>
      <c r="V186" s="704" t="n">
        <v>0</v>
      </c>
      <c r="W186" s="704" t="n">
        <v>0</v>
      </c>
      <c r="X186" s="704" t="n">
        <v>0</v>
      </c>
      <c r="Y186" s="704" t="n">
        <v>0</v>
      </c>
      <c r="Z186" s="704" t="n">
        <v>0</v>
      </c>
      <c r="AA186" s="704" t="n">
        <v>0</v>
      </c>
      <c r="AB186" s="704" t="n">
        <v>0</v>
      </c>
      <c r="AC186" s="704" t="n">
        <v>0</v>
      </c>
      <c r="AD186" s="704" t="n">
        <v>0</v>
      </c>
      <c r="AE186" s="704" t="n">
        <v>0</v>
      </c>
      <c r="AF186" s="704" t="n">
        <v>0</v>
      </c>
      <c r="AG186" s="704" t="n">
        <v>0</v>
      </c>
      <c r="AH186" s="704" t="n">
        <v>0</v>
      </c>
      <c r="AI186" s="704" t="n">
        <v>0</v>
      </c>
      <c r="AJ186" s="704" t="n">
        <v>0</v>
      </c>
      <c r="AK186" s="704" t="n">
        <v>0</v>
      </c>
      <c r="AL186" s="704" t="n">
        <v>0</v>
      </c>
      <c r="AM186" s="704" t="n">
        <v>0</v>
      </c>
      <c r="AN186" s="704" t="n">
        <v>0</v>
      </c>
      <c r="AO186" s="704" t="n">
        <v>0</v>
      </c>
      <c r="AP186" s="704" t="n">
        <v>0</v>
      </c>
      <c r="AQ186" s="704" t="n">
        <v>0</v>
      </c>
      <c r="AR186" s="704" t="n">
        <v>0</v>
      </c>
      <c r="AS186" s="704" t="n">
        <v>0</v>
      </c>
      <c r="AT186" s="704" t="n">
        <v>0</v>
      </c>
      <c r="AU186" s="704" t="n">
        <v>0</v>
      </c>
      <c r="AV186" s="704" t="n">
        <v>0</v>
      </c>
      <c r="AW186" s="704" t="n">
        <v>0</v>
      </c>
      <c r="AX186" s="704" t="n">
        <v>0</v>
      </c>
      <c r="AY186" s="704" t="n">
        <v>0</v>
      </c>
      <c r="AZ186" s="704" t="n">
        <v>0</v>
      </c>
      <c r="BA186" s="704" t="n">
        <v>0</v>
      </c>
      <c r="BB186" s="704" t="n">
        <v>0</v>
      </c>
      <c r="BC186" s="704" t="n">
        <v>0</v>
      </c>
      <c r="BD186" s="704" t="n">
        <v>0</v>
      </c>
      <c r="BE186" s="704" t="n">
        <v>0</v>
      </c>
      <c r="BF186" s="704" t="n">
        <v>0</v>
      </c>
      <c r="BG186" s="704" t="n">
        <v>0</v>
      </c>
      <c r="BH186" s="704" t="n">
        <v>0</v>
      </c>
      <c r="BI186" s="704" t="n">
        <v>0</v>
      </c>
      <c r="BJ186" s="704" t="n">
        <v>0</v>
      </c>
      <c r="BK186" s="704" t="n">
        <v>0</v>
      </c>
      <c r="BL186" s="704" t="n">
        <v>0</v>
      </c>
      <c r="BM186" s="704" t="n">
        <v>0</v>
      </c>
      <c r="BN186" s="704" t="n">
        <v>0</v>
      </c>
      <c r="BO186" s="704" t="n">
        <v>0</v>
      </c>
      <c r="BP186" s="704" t="n">
        <v>0</v>
      </c>
      <c r="BQ186" s="704" t="n">
        <v>0</v>
      </c>
      <c r="BR186" s="704" t="n">
        <v>0</v>
      </c>
      <c r="BS186" s="704" t="n">
        <v>0</v>
      </c>
      <c r="BT186" s="704" t="n">
        <v>0</v>
      </c>
      <c r="BU186" s="704" t="n">
        <v>0</v>
      </c>
      <c r="BV186" s="704" t="n">
        <v>0</v>
      </c>
      <c r="BW186" s="704" t="n">
        <v>0</v>
      </c>
      <c r="BX186" s="704" t="n">
        <v>0</v>
      </c>
      <c r="BY186" s="704" t="n">
        <v>0</v>
      </c>
      <c r="BZ186" s="704" t="n">
        <v>0</v>
      </c>
      <c r="CA186" s="704" t="n">
        <v>0</v>
      </c>
      <c r="CB186" s="704" t="n">
        <v>0</v>
      </c>
      <c r="CC186" s="704" t="n">
        <v>0</v>
      </c>
      <c r="CD186" s="704" t="n">
        <v>0</v>
      </c>
      <c r="CE186" s="704" t="n">
        <v>0</v>
      </c>
      <c r="CF186" s="704" t="n">
        <v>0</v>
      </c>
      <c r="CG186" s="704" t="n">
        <v>0</v>
      </c>
      <c r="CH186" s="704" t="n">
        <v>0</v>
      </c>
      <c r="CI186" s="704" t="n">
        <v>0</v>
      </c>
      <c r="CJ186" s="704" t="n">
        <v>0</v>
      </c>
      <c r="CK186" s="704" t="n">
        <v>0</v>
      </c>
      <c r="CL186" s="704" t="n">
        <v>0</v>
      </c>
      <c r="CM186" s="704" t="n">
        <v>0</v>
      </c>
      <c r="CN186" s="704" t="n">
        <v>0</v>
      </c>
      <c r="CO186" s="704" t="n">
        <v>0</v>
      </c>
      <c r="CP186" s="704" t="n">
        <v>0</v>
      </c>
      <c r="CQ186" s="704" t="n">
        <v>0</v>
      </c>
      <c r="CR186" s="704" t="n">
        <v>0</v>
      </c>
      <c r="CS186" s="704" t="n">
        <v>0</v>
      </c>
      <c r="CT186" s="704" t="n">
        <v>0</v>
      </c>
      <c r="CU186" s="704" t="n">
        <v>0</v>
      </c>
      <c r="CV186" s="704" t="n">
        <v>0</v>
      </c>
      <c r="CW186" s="704" t="n">
        <v>0</v>
      </c>
      <c r="CX186" s="704" t="n">
        <v>0</v>
      </c>
      <c r="CY186" s="704" t="n">
        <v>0</v>
      </c>
      <c r="CZ186" s="704" t="n">
        <v>0</v>
      </c>
      <c r="DA186" s="704" t="n">
        <v>0</v>
      </c>
      <c r="DB186" s="704" t="n">
        <v>0</v>
      </c>
      <c r="DC186" s="704" t="n">
        <v>0</v>
      </c>
      <c r="DD186" s="704" t="n">
        <v>0</v>
      </c>
      <c r="DE186" s="704" t="n">
        <v>0</v>
      </c>
      <c r="DF186" s="704" t="n">
        <v>0</v>
      </c>
      <c r="DG186" s="704" t="n">
        <v>0</v>
      </c>
      <c r="DH186" s="704" t="n">
        <v>0</v>
      </c>
      <c r="DI186" s="704" t="n">
        <v>0</v>
      </c>
      <c r="DJ186" s="704" t="n">
        <v>0</v>
      </c>
      <c r="DK186" s="704" t="n">
        <v>0</v>
      </c>
      <c r="DL186" s="704" t="n">
        <v>0</v>
      </c>
      <c r="DM186" s="704" t="n">
        <v>0</v>
      </c>
    </row>
    <row r="187" ht="13.5" customHeight="1" s="355">
      <c r="B187" s="703" t="inlineStr">
        <is>
          <t>SLA Metric Reporting</t>
        </is>
      </c>
      <c r="D187" s="704" t="n">
        <v>0</v>
      </c>
      <c r="E187" s="704" t="n">
        <v>0</v>
      </c>
      <c r="F187" s="704" t="n">
        <v>0</v>
      </c>
      <c r="G187" s="704" t="n">
        <v>0</v>
      </c>
      <c r="H187" s="704" t="n">
        <v>0</v>
      </c>
      <c r="I187" s="704" t="n">
        <v>0</v>
      </c>
      <c r="J187" s="704" t="n">
        <v>0</v>
      </c>
      <c r="K187" s="704" t="n">
        <v>0</v>
      </c>
      <c r="L187" s="704" t="n">
        <v>0</v>
      </c>
      <c r="M187" s="704" t="n">
        <v>0</v>
      </c>
      <c r="N187" s="704" t="n">
        <v>0</v>
      </c>
      <c r="O187" s="704" t="n">
        <v>0</v>
      </c>
      <c r="P187" s="704" t="n">
        <v>0</v>
      </c>
      <c r="Q187" s="704" t="n">
        <v>0</v>
      </c>
      <c r="R187" s="704" t="n">
        <v>0</v>
      </c>
      <c r="S187" s="704" t="n">
        <v>0</v>
      </c>
      <c r="T187" s="704" t="n">
        <v>0</v>
      </c>
      <c r="U187" s="704" t="n">
        <v>0</v>
      </c>
      <c r="V187" s="704" t="n">
        <v>0</v>
      </c>
      <c r="W187" s="704" t="n">
        <v>0</v>
      </c>
      <c r="X187" s="704" t="n">
        <v>0</v>
      </c>
      <c r="Y187" s="704" t="n">
        <v>0</v>
      </c>
      <c r="Z187" s="704" t="n">
        <v>0</v>
      </c>
      <c r="AA187" s="704" t="n">
        <v>0</v>
      </c>
      <c r="AB187" s="704" t="n">
        <v>0</v>
      </c>
      <c r="AC187" s="704" t="n">
        <v>0</v>
      </c>
      <c r="AD187" s="704" t="n">
        <v>0</v>
      </c>
      <c r="AE187" s="704" t="n">
        <v>0</v>
      </c>
      <c r="AF187" s="704" t="n">
        <v>0</v>
      </c>
      <c r="AG187" s="704" t="n">
        <v>0</v>
      </c>
      <c r="AH187" s="704" t="n">
        <v>0</v>
      </c>
      <c r="AI187" s="704" t="n">
        <v>0</v>
      </c>
      <c r="AJ187" s="704" t="n">
        <v>0</v>
      </c>
      <c r="AK187" s="704" t="n">
        <v>0</v>
      </c>
      <c r="AL187" s="704" t="n">
        <v>0</v>
      </c>
      <c r="AM187" s="704" t="n">
        <v>0</v>
      </c>
      <c r="AN187" s="704" t="n">
        <v>0</v>
      </c>
      <c r="AO187" s="704" t="n">
        <v>0</v>
      </c>
      <c r="AP187" s="704" t="n">
        <v>0</v>
      </c>
      <c r="AQ187" s="704" t="n">
        <v>0</v>
      </c>
      <c r="AR187" s="704" t="n">
        <v>0</v>
      </c>
      <c r="AS187" s="704" t="n">
        <v>0</v>
      </c>
      <c r="AT187" s="704" t="n">
        <v>0</v>
      </c>
      <c r="AU187" s="704" t="n">
        <v>0</v>
      </c>
      <c r="AV187" s="704" t="n">
        <v>0</v>
      </c>
      <c r="AW187" s="704" t="n">
        <v>0</v>
      </c>
      <c r="AX187" s="704" t="n">
        <v>0</v>
      </c>
      <c r="AY187" s="704" t="n">
        <v>0</v>
      </c>
      <c r="AZ187" s="704" t="n">
        <v>0</v>
      </c>
      <c r="BA187" s="704" t="n">
        <v>0</v>
      </c>
      <c r="BB187" s="704" t="n">
        <v>0</v>
      </c>
      <c r="BC187" s="704" t="n">
        <v>0</v>
      </c>
      <c r="BD187" s="704" t="n">
        <v>0</v>
      </c>
      <c r="BE187" s="704" t="n">
        <v>0</v>
      </c>
      <c r="BF187" s="704" t="n">
        <v>0</v>
      </c>
      <c r="BG187" s="704" t="n">
        <v>0</v>
      </c>
      <c r="BH187" s="704" t="n">
        <v>0</v>
      </c>
      <c r="BI187" s="704" t="n">
        <v>0</v>
      </c>
      <c r="BJ187" s="704" t="n">
        <v>0</v>
      </c>
      <c r="BK187" s="704" t="n">
        <v>0</v>
      </c>
      <c r="BL187" s="704" t="n">
        <v>0</v>
      </c>
      <c r="BM187" s="704" t="n">
        <v>0</v>
      </c>
      <c r="BN187" s="704" t="n">
        <v>0</v>
      </c>
      <c r="BO187" s="704" t="n">
        <v>0</v>
      </c>
      <c r="BP187" s="704" t="n">
        <v>0</v>
      </c>
      <c r="BQ187" s="704" t="n">
        <v>0</v>
      </c>
      <c r="BR187" s="704" t="n">
        <v>0</v>
      </c>
      <c r="BS187" s="704" t="n">
        <v>0</v>
      </c>
      <c r="BT187" s="704" t="n">
        <v>0</v>
      </c>
      <c r="BU187" s="704" t="n">
        <v>0</v>
      </c>
      <c r="BV187" s="704" t="n">
        <v>0</v>
      </c>
      <c r="BW187" s="704" t="n">
        <v>0</v>
      </c>
      <c r="BX187" s="704" t="n">
        <v>0</v>
      </c>
      <c r="BY187" s="704" t="n">
        <v>0</v>
      </c>
      <c r="BZ187" s="704" t="n">
        <v>0</v>
      </c>
      <c r="CA187" s="704" t="n">
        <v>0</v>
      </c>
      <c r="CB187" s="704" t="n">
        <v>0</v>
      </c>
      <c r="CC187" s="704" t="n">
        <v>0</v>
      </c>
      <c r="CD187" s="704" t="n">
        <v>0</v>
      </c>
      <c r="CE187" s="704" t="n">
        <v>0</v>
      </c>
      <c r="CF187" s="704" t="n">
        <v>0</v>
      </c>
      <c r="CG187" s="704" t="n">
        <v>0</v>
      </c>
      <c r="CH187" s="704" t="n">
        <v>0</v>
      </c>
      <c r="CI187" s="704" t="n">
        <v>0</v>
      </c>
      <c r="CJ187" s="704" t="n">
        <v>0</v>
      </c>
      <c r="CK187" s="704" t="n">
        <v>0</v>
      </c>
      <c r="CL187" s="704" t="n">
        <v>0</v>
      </c>
      <c r="CM187" s="704" t="n">
        <v>0</v>
      </c>
      <c r="CN187" s="704" t="n">
        <v>0</v>
      </c>
      <c r="CO187" s="704" t="n">
        <v>0</v>
      </c>
      <c r="CP187" s="704" t="n">
        <v>0</v>
      </c>
      <c r="CQ187" s="704" t="n">
        <v>0</v>
      </c>
      <c r="CR187" s="704" t="n">
        <v>0</v>
      </c>
      <c r="CS187" s="704" t="n">
        <v>0</v>
      </c>
      <c r="CT187" s="704" t="n">
        <v>0</v>
      </c>
      <c r="CU187" s="704" t="n">
        <v>0</v>
      </c>
      <c r="CV187" s="704" t="n">
        <v>0</v>
      </c>
      <c r="CW187" s="704" t="n">
        <v>0</v>
      </c>
      <c r="CX187" s="704" t="n">
        <v>0</v>
      </c>
      <c r="CY187" s="704" t="n">
        <v>0</v>
      </c>
      <c r="CZ187" s="704" t="n">
        <v>0</v>
      </c>
      <c r="DA187" s="704" t="n">
        <v>0</v>
      </c>
      <c r="DB187" s="704" t="n">
        <v>0</v>
      </c>
      <c r="DC187" s="704" t="n">
        <v>0</v>
      </c>
      <c r="DD187" s="704" t="n">
        <v>0</v>
      </c>
      <c r="DE187" s="704" t="n">
        <v>0</v>
      </c>
      <c r="DF187" s="704" t="n">
        <v>0</v>
      </c>
      <c r="DG187" s="704" t="n">
        <v>0</v>
      </c>
      <c r="DH187" s="704" t="n">
        <v>0</v>
      </c>
      <c r="DI187" s="704" t="n">
        <v>0</v>
      </c>
      <c r="DJ187" s="704" t="n">
        <v>0</v>
      </c>
      <c r="DK187" s="704" t="n">
        <v>0</v>
      </c>
      <c r="DL187" s="704" t="n">
        <v>0</v>
      </c>
      <c r="DM187" s="704" t="n">
        <v>0</v>
      </c>
    </row>
    <row r="188" ht="13.5" customHeight="1" s="355">
      <c r="B188" s="705" t="inlineStr">
        <is>
          <t>Grand Total</t>
        </is>
      </c>
      <c r="C188" s="706" t="n"/>
      <c r="D188" s="707" t="n">
        <v>0</v>
      </c>
      <c r="E188" s="707" t="n">
        <v>0</v>
      </c>
      <c r="F188" s="707" t="n">
        <v>0</v>
      </c>
      <c r="G188" s="707" t="n">
        <v>0</v>
      </c>
      <c r="H188" s="707" t="n">
        <v>0</v>
      </c>
      <c r="I188" s="707" t="n">
        <v>0</v>
      </c>
      <c r="J188" s="707" t="n">
        <v>0</v>
      </c>
      <c r="K188" s="707" t="n">
        <v>0</v>
      </c>
      <c r="L188" s="707" t="n">
        <v>0</v>
      </c>
      <c r="M188" s="707" t="n">
        <v>0</v>
      </c>
      <c r="N188" s="707" t="n">
        <v>0</v>
      </c>
      <c r="O188" s="707" t="n">
        <v>0</v>
      </c>
      <c r="P188" s="707" t="n">
        <v>0</v>
      </c>
      <c r="Q188" s="707" t="n">
        <v>0</v>
      </c>
      <c r="R188" s="707" t="n">
        <v>0</v>
      </c>
      <c r="S188" s="707" t="n">
        <v>0</v>
      </c>
      <c r="T188" s="707" t="n">
        <v>0</v>
      </c>
      <c r="U188" s="707" t="n">
        <v>0</v>
      </c>
      <c r="V188" s="707" t="n">
        <v>0</v>
      </c>
      <c r="W188" s="707" t="n">
        <v>0</v>
      </c>
      <c r="X188" s="707" t="n">
        <v>0</v>
      </c>
      <c r="Y188" s="707" t="n">
        <v>0</v>
      </c>
      <c r="Z188" s="707" t="n">
        <v>0</v>
      </c>
      <c r="AA188" s="707" t="n">
        <v>0</v>
      </c>
      <c r="AB188" s="707" t="n">
        <v>0</v>
      </c>
      <c r="AC188" s="707" t="n">
        <v>0</v>
      </c>
      <c r="AD188" s="707" t="n">
        <v>0</v>
      </c>
      <c r="AE188" s="707" t="n">
        <v>0</v>
      </c>
      <c r="AF188" s="707" t="n">
        <v>0</v>
      </c>
      <c r="AG188" s="707" t="n">
        <v>0</v>
      </c>
      <c r="AH188" s="707" t="n">
        <v>0</v>
      </c>
      <c r="AI188" s="707" t="n">
        <v>0</v>
      </c>
      <c r="AJ188" s="707" t="n">
        <v>0</v>
      </c>
      <c r="AK188" s="707" t="n">
        <v>0</v>
      </c>
      <c r="AL188" s="707" t="n">
        <v>0</v>
      </c>
      <c r="AM188" s="707" t="n">
        <v>0</v>
      </c>
      <c r="AN188" s="707" t="n">
        <v>0</v>
      </c>
      <c r="AO188" s="707" t="n">
        <v>0</v>
      </c>
      <c r="AP188" s="707" t="n">
        <v>0</v>
      </c>
      <c r="AQ188" s="707" t="n">
        <v>0</v>
      </c>
      <c r="AR188" s="707" t="n">
        <v>0</v>
      </c>
      <c r="AS188" s="707" t="n">
        <v>0</v>
      </c>
      <c r="AT188" s="707" t="n">
        <v>0</v>
      </c>
      <c r="AU188" s="707" t="n">
        <v>0</v>
      </c>
      <c r="AV188" s="707" t="n">
        <v>0</v>
      </c>
      <c r="AW188" s="707" t="n">
        <v>0</v>
      </c>
      <c r="AX188" s="707" t="n">
        <v>0</v>
      </c>
      <c r="AY188" s="707" t="n">
        <v>0</v>
      </c>
      <c r="AZ188" s="707" t="n">
        <v>0</v>
      </c>
      <c r="BA188" s="707" t="n">
        <v>0</v>
      </c>
      <c r="BB188" s="707" t="n">
        <v>0</v>
      </c>
      <c r="BC188" s="707" t="n">
        <v>0</v>
      </c>
      <c r="BD188" s="707" t="n">
        <v>0</v>
      </c>
      <c r="BE188" s="707" t="n">
        <v>0</v>
      </c>
      <c r="BF188" s="707" t="n">
        <v>0</v>
      </c>
      <c r="BG188" s="707" t="n">
        <v>0</v>
      </c>
      <c r="BH188" s="707" t="n">
        <v>0</v>
      </c>
      <c r="BI188" s="707" t="n">
        <v>0</v>
      </c>
      <c r="BJ188" s="707" t="n">
        <v>0</v>
      </c>
      <c r="BK188" s="707" t="n">
        <v>0</v>
      </c>
      <c r="BL188" s="707" t="n">
        <v>0</v>
      </c>
      <c r="BM188" s="707" t="n">
        <v>0</v>
      </c>
      <c r="BN188" s="707" t="n">
        <v>0</v>
      </c>
      <c r="BO188" s="707" t="n">
        <v>0</v>
      </c>
      <c r="BP188" s="707" t="n">
        <v>0</v>
      </c>
      <c r="BQ188" s="707" t="n">
        <v>0</v>
      </c>
      <c r="BR188" s="707" t="n">
        <v>0</v>
      </c>
      <c r="BS188" s="707" t="n">
        <v>0</v>
      </c>
      <c r="BT188" s="707" t="n">
        <v>0</v>
      </c>
      <c r="BU188" s="707" t="n">
        <v>0</v>
      </c>
      <c r="BV188" s="707" t="n">
        <v>0</v>
      </c>
      <c r="BW188" s="707" t="n">
        <v>0</v>
      </c>
      <c r="BX188" s="707" t="n">
        <v>0</v>
      </c>
      <c r="BY188" s="707" t="n">
        <v>0</v>
      </c>
      <c r="BZ188" s="707" t="n">
        <v>0</v>
      </c>
      <c r="CA188" s="707" t="n">
        <v>0</v>
      </c>
      <c r="CB188" s="707" t="n">
        <v>0</v>
      </c>
      <c r="CC188" s="707" t="n">
        <v>0</v>
      </c>
      <c r="CD188" s="707" t="n">
        <v>0</v>
      </c>
      <c r="CE188" s="707" t="n">
        <v>0</v>
      </c>
      <c r="CF188" s="707" t="n">
        <v>0</v>
      </c>
      <c r="CG188" s="707" t="n">
        <v>0</v>
      </c>
      <c r="CH188" s="707" t="n">
        <v>0</v>
      </c>
      <c r="CI188" s="707" t="n">
        <v>0</v>
      </c>
      <c r="CJ188" s="707" t="n">
        <v>0</v>
      </c>
      <c r="CK188" s="707" t="n">
        <v>0</v>
      </c>
      <c r="CL188" s="707" t="n">
        <v>0</v>
      </c>
      <c r="CM188" s="707" t="n">
        <v>0</v>
      </c>
      <c r="CN188" s="707" t="n">
        <v>0</v>
      </c>
      <c r="CO188" s="707" t="n">
        <v>0</v>
      </c>
      <c r="CP188" s="707" t="n">
        <v>0</v>
      </c>
      <c r="CQ188" s="707" t="n">
        <v>0</v>
      </c>
      <c r="CR188" s="707" t="n">
        <v>0</v>
      </c>
      <c r="CS188" s="707" t="n">
        <v>0</v>
      </c>
      <c r="CT188" s="707" t="n">
        <v>0</v>
      </c>
      <c r="CU188" s="707" t="n">
        <v>0</v>
      </c>
      <c r="CV188" s="707" t="n">
        <v>0</v>
      </c>
      <c r="CW188" s="707" t="n">
        <v>0</v>
      </c>
      <c r="CX188" s="707" t="n">
        <v>0</v>
      </c>
      <c r="CY188" s="707" t="n">
        <v>0</v>
      </c>
      <c r="CZ188" s="707" t="n">
        <v>0</v>
      </c>
      <c r="DA188" s="707" t="n">
        <v>0</v>
      </c>
      <c r="DB188" s="707" t="n">
        <v>0</v>
      </c>
      <c r="DC188" s="707" t="n">
        <v>0</v>
      </c>
      <c r="DD188" s="707" t="n">
        <v>0</v>
      </c>
      <c r="DE188" s="707" t="n">
        <v>0</v>
      </c>
      <c r="DF188" s="707" t="n">
        <v>0</v>
      </c>
      <c r="DG188" s="707" t="n">
        <v>0</v>
      </c>
      <c r="DH188" s="707" t="n">
        <v>0</v>
      </c>
      <c r="DI188" s="707" t="n">
        <v>0</v>
      </c>
      <c r="DJ188" s="707" t="n">
        <v>0</v>
      </c>
      <c r="DK188" s="707" t="n">
        <v>0</v>
      </c>
      <c r="DL188" s="707" t="n">
        <v>0</v>
      </c>
      <c r="DM188" s="707" t="n">
        <v>0</v>
      </c>
    </row>
    <row r="189" ht="13.5" customHeight="1" s="355">
      <c r="A189" s="702" t="inlineStr">
        <is>
          <t>Grand Total</t>
        </is>
      </c>
      <c r="B189" s="703" t="inlineStr">
        <is>
          <t>Gen Acctg</t>
        </is>
      </c>
      <c r="C189" s="708" t="n">
        <v>0</v>
      </c>
      <c r="D189" s="708" t="n">
        <v>0</v>
      </c>
      <c r="E189" s="708" t="n">
        <v>0</v>
      </c>
      <c r="F189" s="708" t="n">
        <v>0</v>
      </c>
      <c r="G189" s="708" t="n">
        <v>0</v>
      </c>
      <c r="H189" s="708" t="n">
        <v>1.80048416499383</v>
      </c>
      <c r="I189" s="708" t="n">
        <v>1.80048416499383</v>
      </c>
      <c r="J189" s="708" t="n">
        <v>3.48480806127838</v>
      </c>
      <c r="K189" s="708" t="n">
        <v>14.8947772711913</v>
      </c>
      <c r="L189" s="708" t="n">
        <v>20.4240624243948</v>
      </c>
      <c r="M189" s="708" t="n">
        <v>11.5043726311107</v>
      </c>
      <c r="N189" s="708" t="n">
        <v>14.139735524581</v>
      </c>
      <c r="O189" s="708" t="n">
        <v>5.62548617644622</v>
      </c>
      <c r="P189" s="708" t="n">
        <v>1.61821417670205</v>
      </c>
      <c r="Q189" s="708" t="n">
        <v>0</v>
      </c>
      <c r="R189" s="708" t="n">
        <v>0</v>
      </c>
      <c r="S189" s="708" t="n">
        <v>0</v>
      </c>
      <c r="T189" s="708" t="n">
        <v>0</v>
      </c>
      <c r="U189" s="708" t="n">
        <v>0</v>
      </c>
      <c r="V189" s="708" t="n">
        <v>0</v>
      </c>
      <c r="W189" s="708" t="n">
        <v>0</v>
      </c>
      <c r="X189" s="708" t="n">
        <v>0</v>
      </c>
      <c r="Y189" s="708" t="n">
        <v>0</v>
      </c>
      <c r="Z189" s="708" t="n">
        <v>0</v>
      </c>
      <c r="AA189" s="708" t="n">
        <v>0</v>
      </c>
      <c r="AB189" s="708" t="n">
        <v>0</v>
      </c>
      <c r="AC189" s="708" t="n">
        <v>0</v>
      </c>
      <c r="AD189" s="708" t="n">
        <v>0</v>
      </c>
      <c r="AE189" s="708" t="n">
        <v>0</v>
      </c>
      <c r="AF189" s="708" t="n">
        <v>0</v>
      </c>
      <c r="AG189" s="708" t="n">
        <v>0</v>
      </c>
      <c r="AH189" s="708" t="n">
        <v>0</v>
      </c>
      <c r="AI189" s="708" t="n">
        <v>0</v>
      </c>
      <c r="AJ189" s="708" t="n">
        <v>0</v>
      </c>
      <c r="AK189" s="708" t="n">
        <v>0</v>
      </c>
      <c r="AL189" s="708" t="n">
        <v>0</v>
      </c>
      <c r="AM189" s="708" t="n">
        <v>0</v>
      </c>
      <c r="AN189" s="708" t="n">
        <v>0</v>
      </c>
      <c r="AO189" s="708" t="n">
        <v>0</v>
      </c>
      <c r="AP189" s="708" t="n">
        <v>0</v>
      </c>
      <c r="AQ189" s="708" t="n">
        <v>0</v>
      </c>
      <c r="AR189" s="708" t="n">
        <v>0</v>
      </c>
      <c r="AS189" s="708" t="n">
        <v>0</v>
      </c>
      <c r="AT189" s="708" t="n">
        <v>0</v>
      </c>
      <c r="AU189" s="708" t="n">
        <v>0</v>
      </c>
      <c r="AV189" s="708" t="n">
        <v>0</v>
      </c>
      <c r="AW189" s="708" t="n">
        <v>0</v>
      </c>
      <c r="AX189" s="708" t="n">
        <v>0</v>
      </c>
      <c r="AY189" s="708" t="n">
        <v>0</v>
      </c>
      <c r="AZ189" s="708" t="n">
        <v>0</v>
      </c>
      <c r="BA189" s="708" t="n">
        <v>0</v>
      </c>
      <c r="BB189" s="708" t="n">
        <v>0</v>
      </c>
      <c r="BC189" s="708" t="n">
        <v>0</v>
      </c>
      <c r="BD189" s="708" t="n">
        <v>0</v>
      </c>
      <c r="BE189" s="708" t="n">
        <v>0</v>
      </c>
      <c r="BF189" s="708" t="n">
        <v>0</v>
      </c>
      <c r="BG189" s="708" t="n">
        <v>0</v>
      </c>
      <c r="BH189" s="708" t="n">
        <v>0</v>
      </c>
      <c r="BI189" s="708" t="n">
        <v>0</v>
      </c>
      <c r="BJ189" s="708" t="n">
        <v>0</v>
      </c>
      <c r="BK189" s="708" t="n">
        <v>0</v>
      </c>
      <c r="BL189" s="708" t="n">
        <v>0</v>
      </c>
      <c r="BM189" s="708" t="n">
        <v>0</v>
      </c>
      <c r="BN189" s="708" t="n">
        <v>0</v>
      </c>
      <c r="BO189" s="708" t="n">
        <v>0</v>
      </c>
      <c r="BP189" s="708" t="n">
        <v>0</v>
      </c>
      <c r="BQ189" s="708" t="n">
        <v>0</v>
      </c>
      <c r="BR189" s="708" t="n">
        <v>0</v>
      </c>
      <c r="BS189" s="708" t="n">
        <v>0</v>
      </c>
      <c r="BT189" s="708" t="n">
        <v>0</v>
      </c>
      <c r="BU189" s="708" t="n">
        <v>0</v>
      </c>
      <c r="BV189" s="708" t="n">
        <v>0</v>
      </c>
      <c r="BW189" s="708" t="n">
        <v>0</v>
      </c>
      <c r="BX189" s="708" t="n">
        <v>0</v>
      </c>
      <c r="BY189" s="708" t="n">
        <v>0</v>
      </c>
      <c r="BZ189" s="708" t="n">
        <v>0</v>
      </c>
      <c r="CA189" s="708" t="n">
        <v>0</v>
      </c>
      <c r="CB189" s="708" t="n">
        <v>0</v>
      </c>
      <c r="CC189" s="708" t="n">
        <v>0</v>
      </c>
      <c r="CD189" s="708" t="n">
        <v>0</v>
      </c>
      <c r="CE189" s="708" t="n">
        <v>0</v>
      </c>
      <c r="CF189" s="708" t="n">
        <v>0</v>
      </c>
      <c r="CG189" s="708" t="n">
        <v>0</v>
      </c>
      <c r="CH189" s="708" t="n">
        <v>0</v>
      </c>
      <c r="CI189" s="708" t="n">
        <v>0</v>
      </c>
      <c r="CJ189" s="708" t="n">
        <v>0</v>
      </c>
      <c r="CK189" s="708" t="n">
        <v>0</v>
      </c>
      <c r="CL189" s="708" t="n">
        <v>0</v>
      </c>
      <c r="CM189" s="708" t="n">
        <v>0</v>
      </c>
      <c r="CN189" s="708" t="n">
        <v>0</v>
      </c>
      <c r="CO189" s="708" t="n">
        <v>0</v>
      </c>
      <c r="CP189" s="708" t="n">
        <v>0</v>
      </c>
      <c r="CQ189" s="708" t="n">
        <v>0</v>
      </c>
      <c r="CR189" s="708" t="n">
        <v>0</v>
      </c>
      <c r="CS189" s="708" t="n">
        <v>0</v>
      </c>
      <c r="CT189" s="708" t="n">
        <v>0</v>
      </c>
      <c r="CU189" s="708" t="n">
        <v>0</v>
      </c>
      <c r="CV189" s="708" t="n">
        <v>0</v>
      </c>
      <c r="CW189" s="708" t="n">
        <v>0</v>
      </c>
      <c r="CX189" s="708" t="n">
        <v>0</v>
      </c>
      <c r="CY189" s="708" t="n">
        <v>0</v>
      </c>
      <c r="CZ189" s="708" t="n">
        <v>0</v>
      </c>
      <c r="DA189" s="708" t="n">
        <v>0</v>
      </c>
      <c r="DB189" s="708" t="n">
        <v>0</v>
      </c>
      <c r="DC189" s="708" t="n">
        <v>0</v>
      </c>
      <c r="DD189" s="708" t="n">
        <v>0</v>
      </c>
      <c r="DE189" s="708" t="n">
        <v>0</v>
      </c>
      <c r="DF189" s="708" t="n">
        <v>0</v>
      </c>
      <c r="DG189" s="708" t="n">
        <v>0</v>
      </c>
      <c r="DH189" s="708" t="n">
        <v>0</v>
      </c>
      <c r="DI189" s="708" t="n">
        <v>0</v>
      </c>
      <c r="DJ189" s="708" t="n">
        <v>0</v>
      </c>
      <c r="DK189" s="708" t="n">
        <v>0</v>
      </c>
      <c r="DL189" s="708" t="n">
        <v>0</v>
      </c>
      <c r="DM189" s="708" t="n">
        <v>0</v>
      </c>
    </row>
    <row r="190" ht="13.5" customHeight="1" s="355">
      <c r="B190" s="703" t="inlineStr">
        <is>
          <t>Reporting</t>
        </is>
      </c>
      <c r="C190" s="708" t="n">
        <v>0</v>
      </c>
      <c r="D190" s="708" t="n">
        <v>0</v>
      </c>
      <c r="E190" s="708" t="n">
        <v>0</v>
      </c>
      <c r="F190" s="708" t="n">
        <v>0</v>
      </c>
      <c r="G190" s="708" t="n">
        <v>0</v>
      </c>
      <c r="H190" s="708" t="n">
        <v>0</v>
      </c>
      <c r="I190" s="708" t="n">
        <v>0</v>
      </c>
      <c r="J190" s="708" t="n">
        <v>0</v>
      </c>
      <c r="K190" s="708" t="n">
        <v>0</v>
      </c>
      <c r="L190" s="708" t="n">
        <v>0</v>
      </c>
      <c r="M190" s="708" t="n">
        <v>0</v>
      </c>
      <c r="N190" s="708" t="n">
        <v>0</v>
      </c>
      <c r="O190" s="708" t="n">
        <v>0</v>
      </c>
      <c r="P190" s="708" t="n">
        <v>0</v>
      </c>
      <c r="Q190" s="708" t="n">
        <v>0</v>
      </c>
      <c r="R190" s="708" t="n">
        <v>0</v>
      </c>
      <c r="S190" s="708" t="n">
        <v>0</v>
      </c>
      <c r="T190" s="708" t="n">
        <v>0</v>
      </c>
      <c r="U190" s="708" t="n">
        <v>0</v>
      </c>
      <c r="V190" s="708" t="n">
        <v>0</v>
      </c>
      <c r="W190" s="708" t="n">
        <v>0</v>
      </c>
      <c r="X190" s="708" t="n">
        <v>0</v>
      </c>
      <c r="Y190" s="708" t="n">
        <v>0</v>
      </c>
      <c r="Z190" s="708" t="n">
        <v>0</v>
      </c>
      <c r="AA190" s="708" t="n">
        <v>0</v>
      </c>
      <c r="AB190" s="708" t="n">
        <v>0</v>
      </c>
      <c r="AC190" s="708" t="n">
        <v>0</v>
      </c>
      <c r="AD190" s="708" t="n">
        <v>0</v>
      </c>
      <c r="AE190" s="708" t="n">
        <v>0</v>
      </c>
      <c r="AF190" s="708" t="n">
        <v>0</v>
      </c>
      <c r="AG190" s="708" t="n">
        <v>0</v>
      </c>
      <c r="AH190" s="708" t="n">
        <v>0</v>
      </c>
      <c r="AI190" s="708" t="n">
        <v>0</v>
      </c>
      <c r="AJ190" s="708" t="n">
        <v>0</v>
      </c>
      <c r="AK190" s="708" t="n">
        <v>0</v>
      </c>
      <c r="AL190" s="708" t="n">
        <v>0</v>
      </c>
      <c r="AM190" s="708" t="n">
        <v>0</v>
      </c>
      <c r="AN190" s="708" t="n">
        <v>0</v>
      </c>
      <c r="AO190" s="708" t="n">
        <v>0</v>
      </c>
      <c r="AP190" s="708" t="n">
        <v>0</v>
      </c>
      <c r="AQ190" s="708" t="n">
        <v>0</v>
      </c>
      <c r="AR190" s="708" t="n">
        <v>0</v>
      </c>
      <c r="AS190" s="708" t="n">
        <v>0</v>
      </c>
      <c r="AT190" s="708" t="n">
        <v>0</v>
      </c>
      <c r="AU190" s="708" t="n">
        <v>0</v>
      </c>
      <c r="AV190" s="708" t="n">
        <v>0</v>
      </c>
      <c r="AW190" s="708" t="n">
        <v>0</v>
      </c>
      <c r="AX190" s="708" t="n">
        <v>0</v>
      </c>
      <c r="AY190" s="708" t="n">
        <v>0</v>
      </c>
      <c r="AZ190" s="708" t="n">
        <v>0</v>
      </c>
      <c r="BA190" s="708" t="n">
        <v>0</v>
      </c>
      <c r="BB190" s="708" t="n">
        <v>0</v>
      </c>
      <c r="BC190" s="708" t="n">
        <v>0</v>
      </c>
      <c r="BD190" s="708" t="n">
        <v>0</v>
      </c>
      <c r="BE190" s="708" t="n">
        <v>0</v>
      </c>
      <c r="BF190" s="708" t="n">
        <v>0</v>
      </c>
      <c r="BG190" s="708" t="n">
        <v>0</v>
      </c>
      <c r="BH190" s="708" t="n">
        <v>0</v>
      </c>
      <c r="BI190" s="708" t="n">
        <v>0</v>
      </c>
      <c r="BJ190" s="708" t="n">
        <v>0</v>
      </c>
      <c r="BK190" s="708" t="n">
        <v>0</v>
      </c>
      <c r="BL190" s="708" t="n">
        <v>0</v>
      </c>
      <c r="BM190" s="708" t="n">
        <v>0</v>
      </c>
      <c r="BN190" s="708" t="n">
        <v>0</v>
      </c>
      <c r="BO190" s="708" t="n">
        <v>0</v>
      </c>
      <c r="BP190" s="708" t="n">
        <v>0</v>
      </c>
      <c r="BQ190" s="708" t="n">
        <v>0</v>
      </c>
      <c r="BR190" s="708" t="n">
        <v>0</v>
      </c>
      <c r="BS190" s="708" t="n">
        <v>0</v>
      </c>
      <c r="BT190" s="708" t="n">
        <v>0</v>
      </c>
      <c r="BU190" s="708" t="n">
        <v>0</v>
      </c>
      <c r="BV190" s="708" t="n">
        <v>0</v>
      </c>
      <c r="BW190" s="708" t="n">
        <v>0</v>
      </c>
      <c r="BX190" s="708" t="n">
        <v>0</v>
      </c>
      <c r="BY190" s="708" t="n">
        <v>0</v>
      </c>
      <c r="BZ190" s="708" t="n">
        <v>0</v>
      </c>
      <c r="CA190" s="708" t="n">
        <v>0</v>
      </c>
      <c r="CB190" s="708" t="n">
        <v>0</v>
      </c>
      <c r="CC190" s="708" t="n">
        <v>0</v>
      </c>
      <c r="CD190" s="708" t="n">
        <v>0</v>
      </c>
      <c r="CE190" s="708" t="n">
        <v>0</v>
      </c>
      <c r="CF190" s="708" t="n">
        <v>0</v>
      </c>
      <c r="CG190" s="708" t="n">
        <v>0</v>
      </c>
      <c r="CH190" s="708" t="n">
        <v>0</v>
      </c>
      <c r="CI190" s="708" t="n">
        <v>0</v>
      </c>
      <c r="CJ190" s="708" t="n">
        <v>0</v>
      </c>
      <c r="CK190" s="708" t="n">
        <v>0</v>
      </c>
      <c r="CL190" s="708" t="n">
        <v>0</v>
      </c>
      <c r="CM190" s="708" t="n">
        <v>0</v>
      </c>
      <c r="CN190" s="708" t="n">
        <v>0</v>
      </c>
      <c r="CO190" s="708" t="n">
        <v>0</v>
      </c>
      <c r="CP190" s="708" t="n">
        <v>0</v>
      </c>
      <c r="CQ190" s="708" t="n">
        <v>0</v>
      </c>
      <c r="CR190" s="708" t="n">
        <v>0</v>
      </c>
      <c r="CS190" s="708" t="n">
        <v>0</v>
      </c>
      <c r="CT190" s="708" t="n">
        <v>0</v>
      </c>
      <c r="CU190" s="708" t="n">
        <v>0</v>
      </c>
      <c r="CV190" s="708" t="n">
        <v>0</v>
      </c>
      <c r="CW190" s="708" t="n">
        <v>0</v>
      </c>
      <c r="CX190" s="708" t="n">
        <v>0</v>
      </c>
      <c r="CY190" s="708" t="n">
        <v>0</v>
      </c>
      <c r="CZ190" s="708" t="n">
        <v>0</v>
      </c>
      <c r="DA190" s="708" t="n">
        <v>0</v>
      </c>
      <c r="DB190" s="708" t="n">
        <v>0</v>
      </c>
      <c r="DC190" s="708" t="n">
        <v>0</v>
      </c>
      <c r="DD190" s="708" t="n">
        <v>0</v>
      </c>
      <c r="DE190" s="708" t="n">
        <v>0</v>
      </c>
      <c r="DF190" s="708" t="n">
        <v>0</v>
      </c>
      <c r="DG190" s="708" t="n">
        <v>0</v>
      </c>
      <c r="DH190" s="708" t="n">
        <v>0</v>
      </c>
      <c r="DI190" s="708" t="n">
        <v>0</v>
      </c>
      <c r="DJ190" s="708" t="n">
        <v>0</v>
      </c>
      <c r="DK190" s="708" t="n">
        <v>0</v>
      </c>
      <c r="DL190" s="708" t="n">
        <v>0</v>
      </c>
      <c r="DM190" s="708" t="n">
        <v>0</v>
      </c>
    </row>
    <row r="191" ht="13.5" customHeight="1" s="355">
      <c r="B191" s="703" t="inlineStr">
        <is>
          <t>Fixed Assets</t>
        </is>
      </c>
      <c r="C191" s="708" t="n">
        <v>0</v>
      </c>
      <c r="D191" s="708" t="n">
        <v>0</v>
      </c>
      <c r="E191" s="708" t="n">
        <v>0</v>
      </c>
      <c r="F191" s="708" t="n">
        <v>0</v>
      </c>
      <c r="G191" s="708" t="n">
        <v>0</v>
      </c>
      <c r="H191" s="708" t="n">
        <v>0</v>
      </c>
      <c r="I191" s="708" t="n">
        <v>0</v>
      </c>
      <c r="J191" s="708" t="n">
        <v>3.3686477925691</v>
      </c>
      <c r="K191" s="708" t="n">
        <v>4.65224694312753</v>
      </c>
      <c r="L191" s="708" t="n">
        <v>3.1421634499069</v>
      </c>
      <c r="M191" s="708" t="n">
        <v>3.1421634499069</v>
      </c>
      <c r="N191" s="708" t="n">
        <v>3.1421634499069</v>
      </c>
      <c r="O191" s="708" t="n">
        <v>2.07788228139004</v>
      </c>
      <c r="P191" s="708" t="n">
        <v>1.61821417670205</v>
      </c>
      <c r="Q191" s="708" t="n">
        <v>0</v>
      </c>
      <c r="R191" s="708" t="n">
        <v>0</v>
      </c>
      <c r="S191" s="708" t="n">
        <v>0</v>
      </c>
      <c r="T191" s="708" t="n">
        <v>0</v>
      </c>
      <c r="U191" s="708" t="n">
        <v>0</v>
      </c>
      <c r="V191" s="708" t="n">
        <v>0</v>
      </c>
      <c r="W191" s="708" t="n">
        <v>0</v>
      </c>
      <c r="X191" s="708" t="n">
        <v>0</v>
      </c>
      <c r="Y191" s="708" t="n">
        <v>0</v>
      </c>
      <c r="Z191" s="708" t="n">
        <v>0</v>
      </c>
      <c r="AA191" s="708" t="n">
        <v>0</v>
      </c>
      <c r="AB191" s="708" t="n">
        <v>0</v>
      </c>
      <c r="AC191" s="708" t="n">
        <v>0</v>
      </c>
      <c r="AD191" s="708" t="n">
        <v>0</v>
      </c>
      <c r="AE191" s="708" t="n">
        <v>0</v>
      </c>
      <c r="AF191" s="708" t="n">
        <v>0</v>
      </c>
      <c r="AG191" s="708" t="n">
        <v>0</v>
      </c>
      <c r="AH191" s="708" t="n">
        <v>0</v>
      </c>
      <c r="AI191" s="708" t="n">
        <v>0</v>
      </c>
      <c r="AJ191" s="708" t="n">
        <v>0</v>
      </c>
      <c r="AK191" s="708" t="n">
        <v>0</v>
      </c>
      <c r="AL191" s="708" t="n">
        <v>0</v>
      </c>
      <c r="AM191" s="708" t="n">
        <v>0</v>
      </c>
      <c r="AN191" s="708" t="n">
        <v>0</v>
      </c>
      <c r="AO191" s="708" t="n">
        <v>0</v>
      </c>
      <c r="AP191" s="708" t="n">
        <v>0</v>
      </c>
      <c r="AQ191" s="708" t="n">
        <v>0</v>
      </c>
      <c r="AR191" s="708" t="n">
        <v>0</v>
      </c>
      <c r="AS191" s="708" t="n">
        <v>0</v>
      </c>
      <c r="AT191" s="708" t="n">
        <v>0</v>
      </c>
      <c r="AU191" s="708" t="n">
        <v>0</v>
      </c>
      <c r="AV191" s="708" t="n">
        <v>0</v>
      </c>
      <c r="AW191" s="708" t="n">
        <v>0</v>
      </c>
      <c r="AX191" s="708" t="n">
        <v>0</v>
      </c>
      <c r="AY191" s="708" t="n">
        <v>0</v>
      </c>
      <c r="AZ191" s="708" t="n">
        <v>0</v>
      </c>
      <c r="BA191" s="708" t="n">
        <v>0</v>
      </c>
      <c r="BB191" s="708" t="n">
        <v>0</v>
      </c>
      <c r="BC191" s="708" t="n">
        <v>0</v>
      </c>
      <c r="BD191" s="708" t="n">
        <v>0</v>
      </c>
      <c r="BE191" s="708" t="n">
        <v>0</v>
      </c>
      <c r="BF191" s="708" t="n">
        <v>0</v>
      </c>
      <c r="BG191" s="708" t="n">
        <v>0</v>
      </c>
      <c r="BH191" s="708" t="n">
        <v>0</v>
      </c>
      <c r="BI191" s="708" t="n">
        <v>0</v>
      </c>
      <c r="BJ191" s="708" t="n">
        <v>0</v>
      </c>
      <c r="BK191" s="708" t="n">
        <v>0</v>
      </c>
      <c r="BL191" s="708" t="n">
        <v>0</v>
      </c>
      <c r="BM191" s="708" t="n">
        <v>0</v>
      </c>
      <c r="BN191" s="708" t="n">
        <v>0</v>
      </c>
      <c r="BO191" s="708" t="n">
        <v>0</v>
      </c>
      <c r="BP191" s="708" t="n">
        <v>0</v>
      </c>
      <c r="BQ191" s="708" t="n">
        <v>0</v>
      </c>
      <c r="BR191" s="708" t="n">
        <v>0</v>
      </c>
      <c r="BS191" s="708" t="n">
        <v>0</v>
      </c>
      <c r="BT191" s="708" t="n">
        <v>0</v>
      </c>
      <c r="BU191" s="708" t="n">
        <v>0</v>
      </c>
      <c r="BV191" s="708" t="n">
        <v>0</v>
      </c>
      <c r="BW191" s="708" t="n">
        <v>0</v>
      </c>
      <c r="BX191" s="708" t="n">
        <v>0</v>
      </c>
      <c r="BY191" s="708" t="n">
        <v>0</v>
      </c>
      <c r="BZ191" s="708" t="n">
        <v>0</v>
      </c>
      <c r="CA191" s="708" t="n">
        <v>0</v>
      </c>
      <c r="CB191" s="708" t="n">
        <v>0</v>
      </c>
      <c r="CC191" s="708" t="n">
        <v>0</v>
      </c>
      <c r="CD191" s="708" t="n">
        <v>0</v>
      </c>
      <c r="CE191" s="708" t="n">
        <v>0</v>
      </c>
      <c r="CF191" s="708" t="n">
        <v>0</v>
      </c>
      <c r="CG191" s="708" t="n">
        <v>0</v>
      </c>
      <c r="CH191" s="708" t="n">
        <v>0</v>
      </c>
      <c r="CI191" s="708" t="n">
        <v>0</v>
      </c>
      <c r="CJ191" s="708" t="n">
        <v>0</v>
      </c>
      <c r="CK191" s="708" t="n">
        <v>0</v>
      </c>
      <c r="CL191" s="708" t="n">
        <v>0</v>
      </c>
      <c r="CM191" s="708" t="n">
        <v>0</v>
      </c>
      <c r="CN191" s="708" t="n">
        <v>0</v>
      </c>
      <c r="CO191" s="708" t="n">
        <v>0</v>
      </c>
      <c r="CP191" s="708" t="n">
        <v>0</v>
      </c>
      <c r="CQ191" s="708" t="n">
        <v>0</v>
      </c>
      <c r="CR191" s="708" t="n">
        <v>0</v>
      </c>
      <c r="CS191" s="708" t="n">
        <v>0</v>
      </c>
      <c r="CT191" s="708" t="n">
        <v>0</v>
      </c>
      <c r="CU191" s="708" t="n">
        <v>0</v>
      </c>
      <c r="CV191" s="708" t="n">
        <v>0</v>
      </c>
      <c r="CW191" s="708" t="n">
        <v>0</v>
      </c>
      <c r="CX191" s="708" t="n">
        <v>0</v>
      </c>
      <c r="CY191" s="708" t="n">
        <v>0</v>
      </c>
      <c r="CZ191" s="708" t="n">
        <v>0</v>
      </c>
      <c r="DA191" s="708" t="n">
        <v>0</v>
      </c>
      <c r="DB191" s="708" t="n">
        <v>0</v>
      </c>
      <c r="DC191" s="708" t="n">
        <v>0</v>
      </c>
      <c r="DD191" s="708" t="n">
        <v>0</v>
      </c>
      <c r="DE191" s="708" t="n">
        <v>0</v>
      </c>
      <c r="DF191" s="708" t="n">
        <v>0</v>
      </c>
      <c r="DG191" s="708" t="n">
        <v>0</v>
      </c>
      <c r="DH191" s="708" t="n">
        <v>0</v>
      </c>
      <c r="DI191" s="708" t="n">
        <v>0</v>
      </c>
      <c r="DJ191" s="708" t="n">
        <v>0</v>
      </c>
      <c r="DK191" s="708" t="n">
        <v>0</v>
      </c>
      <c r="DL191" s="708" t="n">
        <v>0</v>
      </c>
      <c r="DM191" s="708" t="n">
        <v>0</v>
      </c>
    </row>
    <row r="192" ht="13.5" customHeight="1" s="355">
      <c r="B192" s="703" t="inlineStr">
        <is>
          <t>Acct Payable</t>
        </is>
      </c>
      <c r="C192" s="708" t="n">
        <v>0</v>
      </c>
      <c r="D192" s="708" t="n">
        <v>0</v>
      </c>
      <c r="E192" s="708" t="n">
        <v>0</v>
      </c>
      <c r="F192" s="708" t="n">
        <v>0</v>
      </c>
      <c r="G192" s="708" t="n">
        <v>0</v>
      </c>
      <c r="H192" s="708" t="n">
        <v>0</v>
      </c>
      <c r="I192" s="708" t="n">
        <v>0</v>
      </c>
      <c r="J192" s="708" t="n">
        <v>29.2503358429334</v>
      </c>
      <c r="K192" s="708" t="n">
        <v>110.642234026342</v>
      </c>
      <c r="L192" s="708" t="n">
        <v>61.0627433873684</v>
      </c>
      <c r="M192" s="708" t="n">
        <v>40.359195178855</v>
      </c>
      <c r="N192" s="708" t="n">
        <v>34.667162215918</v>
      </c>
      <c r="O192" s="708" t="n">
        <v>1.41691398702662</v>
      </c>
      <c r="P192" s="708" t="n">
        <v>1.45942140663742</v>
      </c>
      <c r="Q192" s="708" t="n">
        <v>0</v>
      </c>
      <c r="R192" s="708" t="n">
        <v>0</v>
      </c>
      <c r="S192" s="708" t="n">
        <v>0</v>
      </c>
      <c r="T192" s="708" t="n">
        <v>0</v>
      </c>
      <c r="U192" s="708" t="n">
        <v>0</v>
      </c>
      <c r="V192" s="708" t="n">
        <v>0</v>
      </c>
      <c r="W192" s="708" t="n">
        <v>0</v>
      </c>
      <c r="X192" s="708" t="n">
        <v>0</v>
      </c>
      <c r="Y192" s="708" t="n">
        <v>0</v>
      </c>
      <c r="Z192" s="708" t="n">
        <v>0</v>
      </c>
      <c r="AA192" s="708" t="n">
        <v>0</v>
      </c>
      <c r="AB192" s="708" t="n">
        <v>0</v>
      </c>
      <c r="AC192" s="708" t="n">
        <v>0</v>
      </c>
      <c r="AD192" s="708" t="n">
        <v>0</v>
      </c>
      <c r="AE192" s="708" t="n">
        <v>0</v>
      </c>
      <c r="AF192" s="708" t="n">
        <v>0</v>
      </c>
      <c r="AG192" s="708" t="n">
        <v>0</v>
      </c>
      <c r="AH192" s="708" t="n">
        <v>0</v>
      </c>
      <c r="AI192" s="708" t="n">
        <v>0</v>
      </c>
      <c r="AJ192" s="708" t="n">
        <v>0</v>
      </c>
      <c r="AK192" s="708" t="n">
        <v>0</v>
      </c>
      <c r="AL192" s="708" t="n">
        <v>0</v>
      </c>
      <c r="AM192" s="708" t="n">
        <v>0</v>
      </c>
      <c r="AN192" s="708" t="n">
        <v>0</v>
      </c>
      <c r="AO192" s="708" t="n">
        <v>0</v>
      </c>
      <c r="AP192" s="708" t="n">
        <v>0</v>
      </c>
      <c r="AQ192" s="708" t="n">
        <v>0</v>
      </c>
      <c r="AR192" s="708" t="n">
        <v>0</v>
      </c>
      <c r="AS192" s="708" t="n">
        <v>0</v>
      </c>
      <c r="AT192" s="708" t="n">
        <v>0</v>
      </c>
      <c r="AU192" s="708" t="n">
        <v>0</v>
      </c>
      <c r="AV192" s="708" t="n">
        <v>0</v>
      </c>
      <c r="AW192" s="708" t="n">
        <v>0</v>
      </c>
      <c r="AX192" s="708" t="n">
        <v>0</v>
      </c>
      <c r="AY192" s="708" t="n">
        <v>0</v>
      </c>
      <c r="AZ192" s="708" t="n">
        <v>0</v>
      </c>
      <c r="BA192" s="708" t="n">
        <v>0</v>
      </c>
      <c r="BB192" s="708" t="n">
        <v>0</v>
      </c>
      <c r="BC192" s="708" t="n">
        <v>0</v>
      </c>
      <c r="BD192" s="708" t="n">
        <v>0</v>
      </c>
      <c r="BE192" s="708" t="n">
        <v>0</v>
      </c>
      <c r="BF192" s="708" t="n">
        <v>0</v>
      </c>
      <c r="BG192" s="708" t="n">
        <v>0</v>
      </c>
      <c r="BH192" s="708" t="n">
        <v>0</v>
      </c>
      <c r="BI192" s="708" t="n">
        <v>0</v>
      </c>
      <c r="BJ192" s="708" t="n">
        <v>0</v>
      </c>
      <c r="BK192" s="708" t="n">
        <v>0</v>
      </c>
      <c r="BL192" s="708" t="n">
        <v>0</v>
      </c>
      <c r="BM192" s="708" t="n">
        <v>0</v>
      </c>
      <c r="BN192" s="708" t="n">
        <v>0</v>
      </c>
      <c r="BO192" s="708" t="n">
        <v>0</v>
      </c>
      <c r="BP192" s="708" t="n">
        <v>0</v>
      </c>
      <c r="BQ192" s="708" t="n">
        <v>0</v>
      </c>
      <c r="BR192" s="708" t="n">
        <v>0</v>
      </c>
      <c r="BS192" s="708" t="n">
        <v>0</v>
      </c>
      <c r="BT192" s="708" t="n">
        <v>0</v>
      </c>
      <c r="BU192" s="708" t="n">
        <v>0</v>
      </c>
      <c r="BV192" s="708" t="n">
        <v>0</v>
      </c>
      <c r="BW192" s="708" t="n">
        <v>0</v>
      </c>
      <c r="BX192" s="708" t="n">
        <v>0</v>
      </c>
      <c r="BY192" s="708" t="n">
        <v>0</v>
      </c>
      <c r="BZ192" s="708" t="n">
        <v>0</v>
      </c>
      <c r="CA192" s="708" t="n">
        <v>0</v>
      </c>
      <c r="CB192" s="708" t="n">
        <v>0</v>
      </c>
      <c r="CC192" s="708" t="n">
        <v>0</v>
      </c>
      <c r="CD192" s="708" t="n">
        <v>0</v>
      </c>
      <c r="CE192" s="708" t="n">
        <v>0</v>
      </c>
      <c r="CF192" s="708" t="n">
        <v>0</v>
      </c>
      <c r="CG192" s="708" t="n">
        <v>0</v>
      </c>
      <c r="CH192" s="708" t="n">
        <v>0</v>
      </c>
      <c r="CI192" s="708" t="n">
        <v>0</v>
      </c>
      <c r="CJ192" s="708" t="n">
        <v>0</v>
      </c>
      <c r="CK192" s="708" t="n">
        <v>0</v>
      </c>
      <c r="CL192" s="708" t="n">
        <v>0</v>
      </c>
      <c r="CM192" s="708" t="n">
        <v>0</v>
      </c>
      <c r="CN192" s="708" t="n">
        <v>0</v>
      </c>
      <c r="CO192" s="708" t="n">
        <v>0</v>
      </c>
      <c r="CP192" s="708" t="n">
        <v>0</v>
      </c>
      <c r="CQ192" s="708" t="n">
        <v>0</v>
      </c>
      <c r="CR192" s="708" t="n">
        <v>0</v>
      </c>
      <c r="CS192" s="708" t="n">
        <v>0</v>
      </c>
      <c r="CT192" s="708" t="n">
        <v>0</v>
      </c>
      <c r="CU192" s="708" t="n">
        <v>0</v>
      </c>
      <c r="CV192" s="708" t="n">
        <v>0</v>
      </c>
      <c r="CW192" s="708" t="n">
        <v>0</v>
      </c>
      <c r="CX192" s="708" t="n">
        <v>0</v>
      </c>
      <c r="CY192" s="708" t="n">
        <v>0</v>
      </c>
      <c r="CZ192" s="708" t="n">
        <v>0</v>
      </c>
      <c r="DA192" s="708" t="n">
        <v>0</v>
      </c>
      <c r="DB192" s="708" t="n">
        <v>0</v>
      </c>
      <c r="DC192" s="708" t="n">
        <v>0</v>
      </c>
      <c r="DD192" s="708" t="n">
        <v>0</v>
      </c>
      <c r="DE192" s="708" t="n">
        <v>0</v>
      </c>
      <c r="DF192" s="708" t="n">
        <v>0</v>
      </c>
      <c r="DG192" s="708" t="n">
        <v>0</v>
      </c>
      <c r="DH192" s="708" t="n">
        <v>0</v>
      </c>
      <c r="DI192" s="708" t="n">
        <v>0</v>
      </c>
      <c r="DJ192" s="708" t="n">
        <v>0</v>
      </c>
      <c r="DK192" s="708" t="n">
        <v>0</v>
      </c>
      <c r="DL192" s="708" t="n">
        <v>0</v>
      </c>
      <c r="DM192" s="708" t="n">
        <v>0</v>
      </c>
    </row>
    <row r="193" ht="13.5" customHeight="1" s="355">
      <c r="B193" s="703" t="inlineStr">
        <is>
          <t>Cash&amp;Bank</t>
        </is>
      </c>
      <c r="C193" s="708" t="n">
        <v>0</v>
      </c>
      <c r="D193" s="708" t="n">
        <v>0</v>
      </c>
      <c r="E193" s="708" t="n">
        <v>0</v>
      </c>
      <c r="F193" s="708" t="n">
        <v>0</v>
      </c>
      <c r="G193" s="708" t="n">
        <v>0</v>
      </c>
      <c r="H193" s="708" t="n">
        <v>0</v>
      </c>
      <c r="I193" s="708" t="n">
        <v>0</v>
      </c>
      <c r="J193" s="708" t="n">
        <v>0</v>
      </c>
      <c r="K193" s="708" t="n">
        <v>3.1421634499069</v>
      </c>
      <c r="L193" s="708" t="n">
        <v>3.1421634499069</v>
      </c>
      <c r="M193" s="708" t="n">
        <v>3.1421634499069</v>
      </c>
      <c r="N193" s="708" t="n">
        <v>3.1421634499069</v>
      </c>
      <c r="O193" s="708" t="n">
        <v>0</v>
      </c>
      <c r="P193" s="708" t="n">
        <v>0</v>
      </c>
      <c r="Q193" s="708" t="n">
        <v>0</v>
      </c>
      <c r="R193" s="708" t="n">
        <v>0</v>
      </c>
      <c r="S193" s="708" t="n">
        <v>0</v>
      </c>
      <c r="T193" s="708" t="n">
        <v>0</v>
      </c>
      <c r="U193" s="708" t="n">
        <v>0</v>
      </c>
      <c r="V193" s="708" t="n">
        <v>0</v>
      </c>
      <c r="W193" s="708" t="n">
        <v>0</v>
      </c>
      <c r="X193" s="708" t="n">
        <v>0</v>
      </c>
      <c r="Y193" s="708" t="n">
        <v>0</v>
      </c>
      <c r="Z193" s="708" t="n">
        <v>0</v>
      </c>
      <c r="AA193" s="708" t="n">
        <v>0</v>
      </c>
      <c r="AB193" s="708" t="n">
        <v>0</v>
      </c>
      <c r="AC193" s="708" t="n">
        <v>0</v>
      </c>
      <c r="AD193" s="708" t="n">
        <v>0</v>
      </c>
      <c r="AE193" s="708" t="n">
        <v>0</v>
      </c>
      <c r="AF193" s="708" t="n">
        <v>0</v>
      </c>
      <c r="AG193" s="708" t="n">
        <v>0</v>
      </c>
      <c r="AH193" s="708" t="n">
        <v>0</v>
      </c>
      <c r="AI193" s="708" t="n">
        <v>0</v>
      </c>
      <c r="AJ193" s="708" t="n">
        <v>0</v>
      </c>
      <c r="AK193" s="708" t="n">
        <v>0</v>
      </c>
      <c r="AL193" s="708" t="n">
        <v>0</v>
      </c>
      <c r="AM193" s="708" t="n">
        <v>0</v>
      </c>
      <c r="AN193" s="708" t="n">
        <v>0</v>
      </c>
      <c r="AO193" s="708" t="n">
        <v>0</v>
      </c>
      <c r="AP193" s="708" t="n">
        <v>0</v>
      </c>
      <c r="AQ193" s="708" t="n">
        <v>0</v>
      </c>
      <c r="AR193" s="708" t="n">
        <v>0</v>
      </c>
      <c r="AS193" s="708" t="n">
        <v>0</v>
      </c>
      <c r="AT193" s="708" t="n">
        <v>0</v>
      </c>
      <c r="AU193" s="708" t="n">
        <v>0</v>
      </c>
      <c r="AV193" s="708" t="n">
        <v>0</v>
      </c>
      <c r="AW193" s="708" t="n">
        <v>0</v>
      </c>
      <c r="AX193" s="708" t="n">
        <v>0</v>
      </c>
      <c r="AY193" s="708" t="n">
        <v>0</v>
      </c>
      <c r="AZ193" s="708" t="n">
        <v>0</v>
      </c>
      <c r="BA193" s="708" t="n">
        <v>0</v>
      </c>
      <c r="BB193" s="708" t="n">
        <v>0</v>
      </c>
      <c r="BC193" s="708" t="n">
        <v>0</v>
      </c>
      <c r="BD193" s="708" t="n">
        <v>0</v>
      </c>
      <c r="BE193" s="708" t="n">
        <v>0</v>
      </c>
      <c r="BF193" s="708" t="n">
        <v>0</v>
      </c>
      <c r="BG193" s="708" t="n">
        <v>0</v>
      </c>
      <c r="BH193" s="708" t="n">
        <v>0</v>
      </c>
      <c r="BI193" s="708" t="n">
        <v>0</v>
      </c>
      <c r="BJ193" s="708" t="n">
        <v>0</v>
      </c>
      <c r="BK193" s="708" t="n">
        <v>0</v>
      </c>
      <c r="BL193" s="708" t="n">
        <v>0</v>
      </c>
      <c r="BM193" s="708" t="n">
        <v>0</v>
      </c>
      <c r="BN193" s="708" t="n">
        <v>0</v>
      </c>
      <c r="BO193" s="708" t="n">
        <v>0</v>
      </c>
      <c r="BP193" s="708" t="n">
        <v>0</v>
      </c>
      <c r="BQ193" s="708" t="n">
        <v>0</v>
      </c>
      <c r="BR193" s="708" t="n">
        <v>0</v>
      </c>
      <c r="BS193" s="708" t="n">
        <v>0</v>
      </c>
      <c r="BT193" s="708" t="n">
        <v>0</v>
      </c>
      <c r="BU193" s="708" t="n">
        <v>0</v>
      </c>
      <c r="BV193" s="708" t="n">
        <v>0</v>
      </c>
      <c r="BW193" s="708" t="n">
        <v>0</v>
      </c>
      <c r="BX193" s="708" t="n">
        <v>0</v>
      </c>
      <c r="BY193" s="708" t="n">
        <v>0</v>
      </c>
      <c r="BZ193" s="708" t="n">
        <v>0</v>
      </c>
      <c r="CA193" s="708" t="n">
        <v>0</v>
      </c>
      <c r="CB193" s="708" t="n">
        <v>0</v>
      </c>
      <c r="CC193" s="708" t="n">
        <v>0</v>
      </c>
      <c r="CD193" s="708" t="n">
        <v>0</v>
      </c>
      <c r="CE193" s="708" t="n">
        <v>0</v>
      </c>
      <c r="CF193" s="708" t="n">
        <v>0</v>
      </c>
      <c r="CG193" s="708" t="n">
        <v>0</v>
      </c>
      <c r="CH193" s="708" t="n">
        <v>0</v>
      </c>
      <c r="CI193" s="708" t="n">
        <v>0</v>
      </c>
      <c r="CJ193" s="708" t="n">
        <v>0</v>
      </c>
      <c r="CK193" s="708" t="n">
        <v>0</v>
      </c>
      <c r="CL193" s="708" t="n">
        <v>0</v>
      </c>
      <c r="CM193" s="708" t="n">
        <v>0</v>
      </c>
      <c r="CN193" s="708" t="n">
        <v>0</v>
      </c>
      <c r="CO193" s="708" t="n">
        <v>0</v>
      </c>
      <c r="CP193" s="708" t="n">
        <v>0</v>
      </c>
      <c r="CQ193" s="708" t="n">
        <v>0</v>
      </c>
      <c r="CR193" s="708" t="n">
        <v>0</v>
      </c>
      <c r="CS193" s="708" t="n">
        <v>0</v>
      </c>
      <c r="CT193" s="708" t="n">
        <v>0</v>
      </c>
      <c r="CU193" s="708" t="n">
        <v>0</v>
      </c>
      <c r="CV193" s="708" t="n">
        <v>0</v>
      </c>
      <c r="CW193" s="708" t="n">
        <v>0</v>
      </c>
      <c r="CX193" s="708" t="n">
        <v>0</v>
      </c>
      <c r="CY193" s="708" t="n">
        <v>0</v>
      </c>
      <c r="CZ193" s="708" t="n">
        <v>0</v>
      </c>
      <c r="DA193" s="708" t="n">
        <v>0</v>
      </c>
      <c r="DB193" s="708" t="n">
        <v>0</v>
      </c>
      <c r="DC193" s="708" t="n">
        <v>0</v>
      </c>
      <c r="DD193" s="708" t="n">
        <v>0</v>
      </c>
      <c r="DE193" s="708" t="n">
        <v>0</v>
      </c>
      <c r="DF193" s="708" t="n">
        <v>0</v>
      </c>
      <c r="DG193" s="708" t="n">
        <v>0</v>
      </c>
      <c r="DH193" s="708" t="n">
        <v>0</v>
      </c>
      <c r="DI193" s="708" t="n">
        <v>0</v>
      </c>
      <c r="DJ193" s="708" t="n">
        <v>0</v>
      </c>
      <c r="DK193" s="708" t="n">
        <v>0</v>
      </c>
      <c r="DL193" s="708" t="n">
        <v>0</v>
      </c>
      <c r="DM193" s="708" t="n">
        <v>0</v>
      </c>
    </row>
    <row r="194" ht="13.5" customHeight="1" s="355">
      <c r="B194" s="703" t="inlineStr">
        <is>
          <t>T&amp;E</t>
        </is>
      </c>
      <c r="C194" s="708" t="n">
        <v>0</v>
      </c>
      <c r="D194" s="708" t="n">
        <v>0</v>
      </c>
      <c r="E194" s="708" t="n">
        <v>0</v>
      </c>
      <c r="F194" s="708" t="n">
        <v>0</v>
      </c>
      <c r="G194" s="708" t="n">
        <v>0</v>
      </c>
      <c r="H194" s="708" t="n">
        <v>0</v>
      </c>
      <c r="I194" s="708" t="n">
        <v>1.32791718959222</v>
      </c>
      <c r="J194" s="708" t="n">
        <v>3.48694429488955</v>
      </c>
      <c r="K194" s="708" t="n">
        <v>8.501483922159711</v>
      </c>
      <c r="L194" s="708" t="n">
        <v>6.80118713772777</v>
      </c>
      <c r="M194" s="708" t="n">
        <v>12.3865706607811</v>
      </c>
      <c r="N194" s="708" t="n">
        <v>11.2408509637445</v>
      </c>
      <c r="O194" s="708" t="n">
        <v>1.41691398702662</v>
      </c>
      <c r="P194" s="708" t="n">
        <v>1.45942140663742</v>
      </c>
      <c r="Q194" s="708" t="n">
        <v>0</v>
      </c>
      <c r="R194" s="708" t="n">
        <v>0</v>
      </c>
      <c r="S194" s="708" t="n">
        <v>0</v>
      </c>
      <c r="T194" s="708" t="n">
        <v>0</v>
      </c>
      <c r="U194" s="708" t="n">
        <v>0</v>
      </c>
      <c r="V194" s="708" t="n">
        <v>0</v>
      </c>
      <c r="W194" s="708" t="n">
        <v>0</v>
      </c>
      <c r="X194" s="708" t="n">
        <v>0</v>
      </c>
      <c r="Y194" s="708" t="n">
        <v>0</v>
      </c>
      <c r="Z194" s="708" t="n">
        <v>0</v>
      </c>
      <c r="AA194" s="708" t="n">
        <v>0</v>
      </c>
      <c r="AB194" s="708" t="n">
        <v>0</v>
      </c>
      <c r="AC194" s="708" t="n">
        <v>0</v>
      </c>
      <c r="AD194" s="708" t="n">
        <v>0</v>
      </c>
      <c r="AE194" s="708" t="n">
        <v>0</v>
      </c>
      <c r="AF194" s="708" t="n">
        <v>0</v>
      </c>
      <c r="AG194" s="708" t="n">
        <v>0</v>
      </c>
      <c r="AH194" s="708" t="n">
        <v>0</v>
      </c>
      <c r="AI194" s="708" t="n">
        <v>0</v>
      </c>
      <c r="AJ194" s="708" t="n">
        <v>0</v>
      </c>
      <c r="AK194" s="708" t="n">
        <v>0</v>
      </c>
      <c r="AL194" s="708" t="n">
        <v>0</v>
      </c>
      <c r="AM194" s="708" t="n">
        <v>0</v>
      </c>
      <c r="AN194" s="708" t="n">
        <v>0</v>
      </c>
      <c r="AO194" s="708" t="n">
        <v>0</v>
      </c>
      <c r="AP194" s="708" t="n">
        <v>0</v>
      </c>
      <c r="AQ194" s="708" t="n">
        <v>0</v>
      </c>
      <c r="AR194" s="708" t="n">
        <v>0</v>
      </c>
      <c r="AS194" s="708" t="n">
        <v>0</v>
      </c>
      <c r="AT194" s="708" t="n">
        <v>0</v>
      </c>
      <c r="AU194" s="708" t="n">
        <v>0</v>
      </c>
      <c r="AV194" s="708" t="n">
        <v>0</v>
      </c>
      <c r="AW194" s="708" t="n">
        <v>0</v>
      </c>
      <c r="AX194" s="708" t="n">
        <v>0</v>
      </c>
      <c r="AY194" s="708" t="n">
        <v>0</v>
      </c>
      <c r="AZ194" s="708" t="n">
        <v>0</v>
      </c>
      <c r="BA194" s="708" t="n">
        <v>0</v>
      </c>
      <c r="BB194" s="708" t="n">
        <v>0</v>
      </c>
      <c r="BC194" s="708" t="n">
        <v>0</v>
      </c>
      <c r="BD194" s="708" t="n">
        <v>0</v>
      </c>
      <c r="BE194" s="708" t="n">
        <v>0</v>
      </c>
      <c r="BF194" s="708" t="n">
        <v>0</v>
      </c>
      <c r="BG194" s="708" t="n">
        <v>0</v>
      </c>
      <c r="BH194" s="708" t="n">
        <v>0</v>
      </c>
      <c r="BI194" s="708" t="n">
        <v>0</v>
      </c>
      <c r="BJ194" s="708" t="n">
        <v>0</v>
      </c>
      <c r="BK194" s="708" t="n">
        <v>0</v>
      </c>
      <c r="BL194" s="708" t="n">
        <v>0</v>
      </c>
      <c r="BM194" s="708" t="n">
        <v>0</v>
      </c>
      <c r="BN194" s="708" t="n">
        <v>0</v>
      </c>
      <c r="BO194" s="708" t="n">
        <v>0</v>
      </c>
      <c r="BP194" s="708" t="n">
        <v>0</v>
      </c>
      <c r="BQ194" s="708" t="n">
        <v>0</v>
      </c>
      <c r="BR194" s="708" t="n">
        <v>0</v>
      </c>
      <c r="BS194" s="708" t="n">
        <v>0</v>
      </c>
      <c r="BT194" s="708" t="n">
        <v>0</v>
      </c>
      <c r="BU194" s="708" t="n">
        <v>0</v>
      </c>
      <c r="BV194" s="708" t="n">
        <v>0</v>
      </c>
      <c r="BW194" s="708" t="n">
        <v>0</v>
      </c>
      <c r="BX194" s="708" t="n">
        <v>0</v>
      </c>
      <c r="BY194" s="708" t="n">
        <v>0</v>
      </c>
      <c r="BZ194" s="708" t="n">
        <v>0</v>
      </c>
      <c r="CA194" s="708" t="n">
        <v>0</v>
      </c>
      <c r="CB194" s="708" t="n">
        <v>0</v>
      </c>
      <c r="CC194" s="708" t="n">
        <v>0</v>
      </c>
      <c r="CD194" s="708" t="n">
        <v>0</v>
      </c>
      <c r="CE194" s="708" t="n">
        <v>0</v>
      </c>
      <c r="CF194" s="708" t="n">
        <v>0</v>
      </c>
      <c r="CG194" s="708" t="n">
        <v>0</v>
      </c>
      <c r="CH194" s="708" t="n">
        <v>0</v>
      </c>
      <c r="CI194" s="708" t="n">
        <v>0</v>
      </c>
      <c r="CJ194" s="708" t="n">
        <v>0</v>
      </c>
      <c r="CK194" s="708" t="n">
        <v>0</v>
      </c>
      <c r="CL194" s="708" t="n">
        <v>0</v>
      </c>
      <c r="CM194" s="708" t="n">
        <v>0</v>
      </c>
      <c r="CN194" s="708" t="n">
        <v>0</v>
      </c>
      <c r="CO194" s="708" t="n">
        <v>0</v>
      </c>
      <c r="CP194" s="708" t="n">
        <v>0</v>
      </c>
      <c r="CQ194" s="708" t="n">
        <v>0</v>
      </c>
      <c r="CR194" s="708" t="n">
        <v>0</v>
      </c>
      <c r="CS194" s="708" t="n">
        <v>0</v>
      </c>
      <c r="CT194" s="708" t="n">
        <v>0</v>
      </c>
      <c r="CU194" s="708" t="n">
        <v>0</v>
      </c>
      <c r="CV194" s="708" t="n">
        <v>0</v>
      </c>
      <c r="CW194" s="708" t="n">
        <v>0</v>
      </c>
      <c r="CX194" s="708" t="n">
        <v>0</v>
      </c>
      <c r="CY194" s="708" t="n">
        <v>0</v>
      </c>
      <c r="CZ194" s="708" t="n">
        <v>0</v>
      </c>
      <c r="DA194" s="708" t="n">
        <v>0</v>
      </c>
      <c r="DB194" s="708" t="n">
        <v>0</v>
      </c>
      <c r="DC194" s="708" t="n">
        <v>0</v>
      </c>
      <c r="DD194" s="708" t="n">
        <v>0</v>
      </c>
      <c r="DE194" s="708" t="n">
        <v>0</v>
      </c>
      <c r="DF194" s="708" t="n">
        <v>0</v>
      </c>
      <c r="DG194" s="708" t="n">
        <v>0</v>
      </c>
      <c r="DH194" s="708" t="n">
        <v>0</v>
      </c>
      <c r="DI194" s="708" t="n">
        <v>0</v>
      </c>
      <c r="DJ194" s="708" t="n">
        <v>0</v>
      </c>
      <c r="DK194" s="708" t="n">
        <v>0</v>
      </c>
      <c r="DL194" s="708" t="n">
        <v>0</v>
      </c>
      <c r="DM194" s="708" t="n">
        <v>0</v>
      </c>
    </row>
    <row r="195" ht="13.5" customHeight="1" s="355">
      <c r="B195" s="703" t="inlineStr">
        <is>
          <t>Order to Cash</t>
        </is>
      </c>
      <c r="C195" s="708" t="n">
        <v>0</v>
      </c>
      <c r="D195" s="708" t="n">
        <v>0</v>
      </c>
      <c r="E195" s="708" t="n">
        <v>0</v>
      </c>
      <c r="F195" s="708" t="n">
        <v>0</v>
      </c>
      <c r="G195" s="708" t="n">
        <v>0</v>
      </c>
      <c r="H195" s="708" t="n">
        <v>0</v>
      </c>
      <c r="I195" s="708" t="n">
        <v>1.99187578438833</v>
      </c>
      <c r="J195" s="708" t="n">
        <v>5.83831294458861</v>
      </c>
      <c r="K195" s="708" t="n">
        <v>11.4898245284081</v>
      </c>
      <c r="L195" s="708" t="n">
        <v>8.52161985856932</v>
      </c>
      <c r="M195" s="708" t="n">
        <v>19.4585737981104</v>
      </c>
      <c r="N195" s="708" t="n">
        <v>17.4262338680856</v>
      </c>
      <c r="O195" s="708" t="n">
        <v>0</v>
      </c>
      <c r="P195" s="708" t="n">
        <v>0</v>
      </c>
      <c r="Q195" s="708" t="n">
        <v>0</v>
      </c>
      <c r="R195" s="708" t="n">
        <v>0</v>
      </c>
      <c r="S195" s="708" t="n">
        <v>0</v>
      </c>
      <c r="T195" s="708" t="n">
        <v>0</v>
      </c>
      <c r="U195" s="708" t="n">
        <v>0</v>
      </c>
      <c r="V195" s="708" t="n">
        <v>0</v>
      </c>
      <c r="W195" s="708" t="n">
        <v>0</v>
      </c>
      <c r="X195" s="708" t="n">
        <v>0</v>
      </c>
      <c r="Y195" s="708" t="n">
        <v>0</v>
      </c>
      <c r="Z195" s="708" t="n">
        <v>0</v>
      </c>
      <c r="AA195" s="708" t="n">
        <v>0</v>
      </c>
      <c r="AB195" s="708" t="n">
        <v>0</v>
      </c>
      <c r="AC195" s="708" t="n">
        <v>0</v>
      </c>
      <c r="AD195" s="708" t="n">
        <v>0</v>
      </c>
      <c r="AE195" s="708" t="n">
        <v>0</v>
      </c>
      <c r="AF195" s="708" t="n">
        <v>0</v>
      </c>
      <c r="AG195" s="708" t="n">
        <v>0</v>
      </c>
      <c r="AH195" s="708" t="n">
        <v>0</v>
      </c>
      <c r="AI195" s="708" t="n">
        <v>0</v>
      </c>
      <c r="AJ195" s="708" t="n">
        <v>0</v>
      </c>
      <c r="AK195" s="708" t="n">
        <v>0</v>
      </c>
      <c r="AL195" s="708" t="n">
        <v>0</v>
      </c>
      <c r="AM195" s="708" t="n">
        <v>0</v>
      </c>
      <c r="AN195" s="708" t="n">
        <v>0</v>
      </c>
      <c r="AO195" s="708" t="n">
        <v>0</v>
      </c>
      <c r="AP195" s="708" t="n">
        <v>0</v>
      </c>
      <c r="AQ195" s="708" t="n">
        <v>0</v>
      </c>
      <c r="AR195" s="708" t="n">
        <v>0</v>
      </c>
      <c r="AS195" s="708" t="n">
        <v>0</v>
      </c>
      <c r="AT195" s="708" t="n">
        <v>0</v>
      </c>
      <c r="AU195" s="708" t="n">
        <v>0</v>
      </c>
      <c r="AV195" s="708" t="n">
        <v>0</v>
      </c>
      <c r="AW195" s="708" t="n">
        <v>0</v>
      </c>
      <c r="AX195" s="708" t="n">
        <v>0</v>
      </c>
      <c r="AY195" s="708" t="n">
        <v>0</v>
      </c>
      <c r="AZ195" s="708" t="n">
        <v>0</v>
      </c>
      <c r="BA195" s="708" t="n">
        <v>0</v>
      </c>
      <c r="BB195" s="708" t="n">
        <v>0</v>
      </c>
      <c r="BC195" s="708" t="n">
        <v>0</v>
      </c>
      <c r="BD195" s="708" t="n">
        <v>0</v>
      </c>
      <c r="BE195" s="708" t="n">
        <v>0</v>
      </c>
      <c r="BF195" s="708" t="n">
        <v>0</v>
      </c>
      <c r="BG195" s="708" t="n">
        <v>0</v>
      </c>
      <c r="BH195" s="708" t="n">
        <v>0</v>
      </c>
      <c r="BI195" s="708" t="n">
        <v>0</v>
      </c>
      <c r="BJ195" s="708" t="n">
        <v>0</v>
      </c>
      <c r="BK195" s="708" t="n">
        <v>0</v>
      </c>
      <c r="BL195" s="708" t="n">
        <v>0</v>
      </c>
      <c r="BM195" s="708" t="n">
        <v>0</v>
      </c>
      <c r="BN195" s="708" t="n">
        <v>0</v>
      </c>
      <c r="BO195" s="708" t="n">
        <v>0</v>
      </c>
      <c r="BP195" s="708" t="n">
        <v>0</v>
      </c>
      <c r="BQ195" s="708" t="n">
        <v>0</v>
      </c>
      <c r="BR195" s="708" t="n">
        <v>0</v>
      </c>
      <c r="BS195" s="708" t="n">
        <v>0</v>
      </c>
      <c r="BT195" s="708" t="n">
        <v>0</v>
      </c>
      <c r="BU195" s="708" t="n">
        <v>0</v>
      </c>
      <c r="BV195" s="708" t="n">
        <v>0</v>
      </c>
      <c r="BW195" s="708" t="n">
        <v>0</v>
      </c>
      <c r="BX195" s="708" t="n">
        <v>0</v>
      </c>
      <c r="BY195" s="708" t="n">
        <v>0</v>
      </c>
      <c r="BZ195" s="708" t="n">
        <v>0</v>
      </c>
      <c r="CA195" s="708" t="n">
        <v>0</v>
      </c>
      <c r="CB195" s="708" t="n">
        <v>0</v>
      </c>
      <c r="CC195" s="708" t="n">
        <v>0</v>
      </c>
      <c r="CD195" s="708" t="n">
        <v>0</v>
      </c>
      <c r="CE195" s="708" t="n">
        <v>0</v>
      </c>
      <c r="CF195" s="708" t="n">
        <v>0</v>
      </c>
      <c r="CG195" s="708" t="n">
        <v>0</v>
      </c>
      <c r="CH195" s="708" t="n">
        <v>0</v>
      </c>
      <c r="CI195" s="708" t="n">
        <v>0</v>
      </c>
      <c r="CJ195" s="708" t="n">
        <v>0</v>
      </c>
      <c r="CK195" s="708" t="n">
        <v>0</v>
      </c>
      <c r="CL195" s="708" t="n">
        <v>0</v>
      </c>
      <c r="CM195" s="708" t="n">
        <v>0</v>
      </c>
      <c r="CN195" s="708" t="n">
        <v>0</v>
      </c>
      <c r="CO195" s="708" t="n">
        <v>0</v>
      </c>
      <c r="CP195" s="708" t="n">
        <v>0</v>
      </c>
      <c r="CQ195" s="708" t="n">
        <v>0</v>
      </c>
      <c r="CR195" s="708" t="n">
        <v>0</v>
      </c>
      <c r="CS195" s="708" t="n">
        <v>0</v>
      </c>
      <c r="CT195" s="708" t="n">
        <v>0</v>
      </c>
      <c r="CU195" s="708" t="n">
        <v>0</v>
      </c>
      <c r="CV195" s="708" t="n">
        <v>0</v>
      </c>
      <c r="CW195" s="708" t="n">
        <v>0</v>
      </c>
      <c r="CX195" s="708" t="n">
        <v>0</v>
      </c>
      <c r="CY195" s="708" t="n">
        <v>0</v>
      </c>
      <c r="CZ195" s="708" t="n">
        <v>0</v>
      </c>
      <c r="DA195" s="708" t="n">
        <v>0</v>
      </c>
      <c r="DB195" s="708" t="n">
        <v>0</v>
      </c>
      <c r="DC195" s="708" t="n">
        <v>0</v>
      </c>
      <c r="DD195" s="708" t="n">
        <v>0</v>
      </c>
      <c r="DE195" s="708" t="n">
        <v>0</v>
      </c>
      <c r="DF195" s="708" t="n">
        <v>0</v>
      </c>
      <c r="DG195" s="708" t="n">
        <v>0</v>
      </c>
      <c r="DH195" s="708" t="n">
        <v>0</v>
      </c>
      <c r="DI195" s="708" t="n">
        <v>0</v>
      </c>
      <c r="DJ195" s="708" t="n">
        <v>0</v>
      </c>
      <c r="DK195" s="708" t="n">
        <v>0</v>
      </c>
      <c r="DL195" s="708" t="n">
        <v>0</v>
      </c>
      <c r="DM195" s="708" t="n">
        <v>0</v>
      </c>
    </row>
    <row r="196" ht="13.5" customHeight="1" s="355">
      <c r="B196" s="703" t="inlineStr">
        <is>
          <t>Req to Pay</t>
        </is>
      </c>
      <c r="C196" s="708" t="n">
        <v>0</v>
      </c>
      <c r="D196" s="708" t="n">
        <v>0</v>
      </c>
      <c r="E196" s="708" t="n">
        <v>0</v>
      </c>
      <c r="F196" s="708" t="n">
        <v>0</v>
      </c>
      <c r="G196" s="708" t="n">
        <v>0</v>
      </c>
      <c r="H196" s="708" t="n">
        <v>0</v>
      </c>
      <c r="I196" s="708" t="n">
        <v>12.9471925985241</v>
      </c>
      <c r="J196" s="708" t="n">
        <v>46.8963818259949</v>
      </c>
      <c r="K196" s="708" t="n">
        <v>47.4157936652039</v>
      </c>
      <c r="L196" s="708" t="n">
        <v>23.8979266298848</v>
      </c>
      <c r="M196" s="708" t="n">
        <v>28.5175076546796</v>
      </c>
      <c r="N196" s="708" t="n">
        <v>15.2887074473126</v>
      </c>
      <c r="O196" s="708" t="n">
        <v>6.46950730906793</v>
      </c>
      <c r="P196" s="708" t="n">
        <v>3.41938676319996</v>
      </c>
      <c r="Q196" s="708" t="n">
        <v>0</v>
      </c>
      <c r="R196" s="708" t="n">
        <v>0</v>
      </c>
      <c r="S196" s="708" t="n">
        <v>0</v>
      </c>
      <c r="T196" s="708" t="n">
        <v>0</v>
      </c>
      <c r="U196" s="708" t="n">
        <v>0</v>
      </c>
      <c r="V196" s="708" t="n">
        <v>0</v>
      </c>
      <c r="W196" s="708" t="n">
        <v>0</v>
      </c>
      <c r="X196" s="708" t="n">
        <v>0</v>
      </c>
      <c r="Y196" s="708" t="n">
        <v>0</v>
      </c>
      <c r="Z196" s="708" t="n">
        <v>0</v>
      </c>
      <c r="AA196" s="708" t="n">
        <v>0</v>
      </c>
      <c r="AB196" s="708" t="n">
        <v>0</v>
      </c>
      <c r="AC196" s="708" t="n">
        <v>0</v>
      </c>
      <c r="AD196" s="708" t="n">
        <v>0</v>
      </c>
      <c r="AE196" s="708" t="n">
        <v>0</v>
      </c>
      <c r="AF196" s="708" t="n">
        <v>0</v>
      </c>
      <c r="AG196" s="708" t="n">
        <v>0</v>
      </c>
      <c r="AH196" s="708" t="n">
        <v>0</v>
      </c>
      <c r="AI196" s="708" t="n">
        <v>0</v>
      </c>
      <c r="AJ196" s="708" t="n">
        <v>0</v>
      </c>
      <c r="AK196" s="708" t="n">
        <v>0</v>
      </c>
      <c r="AL196" s="708" t="n">
        <v>0</v>
      </c>
      <c r="AM196" s="708" t="n">
        <v>0</v>
      </c>
      <c r="AN196" s="708" t="n">
        <v>0</v>
      </c>
      <c r="AO196" s="708" t="n">
        <v>0</v>
      </c>
      <c r="AP196" s="708" t="n">
        <v>0</v>
      </c>
      <c r="AQ196" s="708" t="n">
        <v>0</v>
      </c>
      <c r="AR196" s="708" t="n">
        <v>0</v>
      </c>
      <c r="AS196" s="708" t="n">
        <v>0</v>
      </c>
      <c r="AT196" s="708" t="n">
        <v>0</v>
      </c>
      <c r="AU196" s="708" t="n">
        <v>0</v>
      </c>
      <c r="AV196" s="708" t="n">
        <v>0</v>
      </c>
      <c r="AW196" s="708" t="n">
        <v>0</v>
      </c>
      <c r="AX196" s="708" t="n">
        <v>0</v>
      </c>
      <c r="AY196" s="708" t="n">
        <v>0</v>
      </c>
      <c r="AZ196" s="708" t="n">
        <v>0</v>
      </c>
      <c r="BA196" s="708" t="n">
        <v>0</v>
      </c>
      <c r="BB196" s="708" t="n">
        <v>0</v>
      </c>
      <c r="BC196" s="708" t="n">
        <v>0</v>
      </c>
      <c r="BD196" s="708" t="n">
        <v>0</v>
      </c>
      <c r="BE196" s="708" t="n">
        <v>0</v>
      </c>
      <c r="BF196" s="708" t="n">
        <v>0</v>
      </c>
      <c r="BG196" s="708" t="n">
        <v>0</v>
      </c>
      <c r="BH196" s="708" t="n">
        <v>0</v>
      </c>
      <c r="BI196" s="708" t="n">
        <v>0</v>
      </c>
      <c r="BJ196" s="708" t="n">
        <v>0</v>
      </c>
      <c r="BK196" s="708" t="n">
        <v>0</v>
      </c>
      <c r="BL196" s="708" t="n">
        <v>0</v>
      </c>
      <c r="BM196" s="708" t="n">
        <v>0</v>
      </c>
      <c r="BN196" s="708" t="n">
        <v>0</v>
      </c>
      <c r="BO196" s="708" t="n">
        <v>0</v>
      </c>
      <c r="BP196" s="708" t="n">
        <v>0</v>
      </c>
      <c r="BQ196" s="708" t="n">
        <v>0</v>
      </c>
      <c r="BR196" s="708" t="n">
        <v>0</v>
      </c>
      <c r="BS196" s="708" t="n">
        <v>0</v>
      </c>
      <c r="BT196" s="708" t="n">
        <v>0</v>
      </c>
      <c r="BU196" s="708" t="n">
        <v>0</v>
      </c>
      <c r="BV196" s="708" t="n">
        <v>0</v>
      </c>
      <c r="BW196" s="708" t="n">
        <v>0</v>
      </c>
      <c r="BX196" s="708" t="n">
        <v>0</v>
      </c>
      <c r="BY196" s="708" t="n">
        <v>0</v>
      </c>
      <c r="BZ196" s="708" t="n">
        <v>0</v>
      </c>
      <c r="CA196" s="708" t="n">
        <v>0</v>
      </c>
      <c r="CB196" s="708" t="n">
        <v>0</v>
      </c>
      <c r="CC196" s="708" t="n">
        <v>0</v>
      </c>
      <c r="CD196" s="708" t="n">
        <v>0</v>
      </c>
      <c r="CE196" s="708" t="n">
        <v>0</v>
      </c>
      <c r="CF196" s="708" t="n">
        <v>0</v>
      </c>
      <c r="CG196" s="708" t="n">
        <v>0</v>
      </c>
      <c r="CH196" s="708" t="n">
        <v>0</v>
      </c>
      <c r="CI196" s="708" t="n">
        <v>0</v>
      </c>
      <c r="CJ196" s="708" t="n">
        <v>0</v>
      </c>
      <c r="CK196" s="708" t="n">
        <v>0</v>
      </c>
      <c r="CL196" s="708" t="n">
        <v>0</v>
      </c>
      <c r="CM196" s="708" t="n">
        <v>0</v>
      </c>
      <c r="CN196" s="708" t="n">
        <v>0</v>
      </c>
      <c r="CO196" s="708" t="n">
        <v>0</v>
      </c>
      <c r="CP196" s="708" t="n">
        <v>0</v>
      </c>
      <c r="CQ196" s="708" t="n">
        <v>0</v>
      </c>
      <c r="CR196" s="708" t="n">
        <v>0</v>
      </c>
      <c r="CS196" s="708" t="n">
        <v>0</v>
      </c>
      <c r="CT196" s="708" t="n">
        <v>0</v>
      </c>
      <c r="CU196" s="708" t="n">
        <v>0</v>
      </c>
      <c r="CV196" s="708" t="n">
        <v>0</v>
      </c>
      <c r="CW196" s="708" t="n">
        <v>0</v>
      </c>
      <c r="CX196" s="708" t="n">
        <v>0</v>
      </c>
      <c r="CY196" s="708" t="n">
        <v>0</v>
      </c>
      <c r="CZ196" s="708" t="n">
        <v>0</v>
      </c>
      <c r="DA196" s="708" t="n">
        <v>0</v>
      </c>
      <c r="DB196" s="708" t="n">
        <v>0</v>
      </c>
      <c r="DC196" s="708" t="n">
        <v>0</v>
      </c>
      <c r="DD196" s="708" t="n">
        <v>0</v>
      </c>
      <c r="DE196" s="708" t="n">
        <v>0</v>
      </c>
      <c r="DF196" s="708" t="n">
        <v>0</v>
      </c>
      <c r="DG196" s="708" t="n">
        <v>0</v>
      </c>
      <c r="DH196" s="708" t="n">
        <v>0</v>
      </c>
      <c r="DI196" s="708" t="n">
        <v>0</v>
      </c>
      <c r="DJ196" s="708" t="n">
        <v>0</v>
      </c>
      <c r="DK196" s="708" t="n">
        <v>0</v>
      </c>
      <c r="DL196" s="708" t="n">
        <v>0</v>
      </c>
      <c r="DM196" s="708" t="n">
        <v>0</v>
      </c>
    </row>
    <row r="197" ht="13.5" customHeight="1" s="355">
      <c r="B197" s="703" t="inlineStr">
        <is>
          <t>Team Leader</t>
        </is>
      </c>
      <c r="C197" s="708" t="n">
        <v>0</v>
      </c>
      <c r="D197" s="708" t="n">
        <v>0</v>
      </c>
      <c r="E197" s="708" t="n">
        <v>0</v>
      </c>
      <c r="F197" s="708" t="n">
        <v>0</v>
      </c>
      <c r="G197" s="708" t="n">
        <v>0</v>
      </c>
      <c r="H197" s="708" t="n">
        <v>0</v>
      </c>
      <c r="I197" s="708" t="n">
        <v>0</v>
      </c>
      <c r="J197" s="708" t="n">
        <v>0</v>
      </c>
      <c r="K197" s="708" t="n">
        <v>0</v>
      </c>
      <c r="L197" s="708" t="n">
        <v>0</v>
      </c>
      <c r="M197" s="708" t="n">
        <v>0</v>
      </c>
      <c r="N197" s="708" t="n">
        <v>0</v>
      </c>
      <c r="O197" s="708" t="n">
        <v>0</v>
      </c>
      <c r="P197" s="708" t="n">
        <v>0</v>
      </c>
      <c r="Q197" s="708" t="n">
        <v>0</v>
      </c>
      <c r="R197" s="708" t="n">
        <v>0</v>
      </c>
      <c r="S197" s="708" t="n">
        <v>0</v>
      </c>
      <c r="T197" s="708" t="n">
        <v>0</v>
      </c>
      <c r="U197" s="708" t="n">
        <v>0</v>
      </c>
      <c r="V197" s="708" t="n">
        <v>0</v>
      </c>
      <c r="W197" s="708" t="n">
        <v>0</v>
      </c>
      <c r="X197" s="708" t="n">
        <v>0</v>
      </c>
      <c r="Y197" s="708" t="n">
        <v>0</v>
      </c>
      <c r="Z197" s="708" t="n">
        <v>0</v>
      </c>
      <c r="AA197" s="708" t="n">
        <v>0</v>
      </c>
      <c r="AB197" s="708" t="n">
        <v>0</v>
      </c>
      <c r="AC197" s="708" t="n">
        <v>0</v>
      </c>
      <c r="AD197" s="708" t="n">
        <v>0</v>
      </c>
      <c r="AE197" s="708" t="n">
        <v>0</v>
      </c>
      <c r="AF197" s="708" t="n">
        <v>0</v>
      </c>
      <c r="AG197" s="708" t="n">
        <v>0</v>
      </c>
      <c r="AH197" s="708" t="n">
        <v>0</v>
      </c>
      <c r="AI197" s="708" t="n">
        <v>0</v>
      </c>
      <c r="AJ197" s="708" t="n">
        <v>0</v>
      </c>
      <c r="AK197" s="708" t="n">
        <v>0</v>
      </c>
      <c r="AL197" s="708" t="n">
        <v>0</v>
      </c>
      <c r="AM197" s="708" t="n">
        <v>0</v>
      </c>
      <c r="AN197" s="708" t="n">
        <v>0</v>
      </c>
      <c r="AO197" s="708" t="n">
        <v>0</v>
      </c>
      <c r="AP197" s="708" t="n">
        <v>0</v>
      </c>
      <c r="AQ197" s="708" t="n">
        <v>0</v>
      </c>
      <c r="AR197" s="708" t="n">
        <v>0</v>
      </c>
      <c r="AS197" s="708" t="n">
        <v>0</v>
      </c>
      <c r="AT197" s="708" t="n">
        <v>0</v>
      </c>
      <c r="AU197" s="708" t="n">
        <v>0</v>
      </c>
      <c r="AV197" s="708" t="n">
        <v>0</v>
      </c>
      <c r="AW197" s="708" t="n">
        <v>0</v>
      </c>
      <c r="AX197" s="708" t="n">
        <v>0</v>
      </c>
      <c r="AY197" s="708" t="n">
        <v>0</v>
      </c>
      <c r="AZ197" s="708" t="n">
        <v>0</v>
      </c>
      <c r="BA197" s="708" t="n">
        <v>0</v>
      </c>
      <c r="BB197" s="708" t="n">
        <v>0</v>
      </c>
      <c r="BC197" s="708" t="n">
        <v>0</v>
      </c>
      <c r="BD197" s="708" t="n">
        <v>0</v>
      </c>
      <c r="BE197" s="708" t="n">
        <v>0</v>
      </c>
      <c r="BF197" s="708" t="n">
        <v>0</v>
      </c>
      <c r="BG197" s="708" t="n">
        <v>0</v>
      </c>
      <c r="BH197" s="708" t="n">
        <v>0</v>
      </c>
      <c r="BI197" s="708" t="n">
        <v>0</v>
      </c>
      <c r="BJ197" s="708" t="n">
        <v>0</v>
      </c>
      <c r="BK197" s="708" t="n">
        <v>0</v>
      </c>
      <c r="BL197" s="708" t="n">
        <v>0</v>
      </c>
      <c r="BM197" s="708" t="n">
        <v>0</v>
      </c>
      <c r="BN197" s="708" t="n">
        <v>0</v>
      </c>
      <c r="BO197" s="708" t="n">
        <v>0</v>
      </c>
      <c r="BP197" s="708" t="n">
        <v>0</v>
      </c>
      <c r="BQ197" s="708" t="n">
        <v>0</v>
      </c>
      <c r="BR197" s="708" t="n">
        <v>0</v>
      </c>
      <c r="BS197" s="708" t="n">
        <v>0</v>
      </c>
      <c r="BT197" s="708" t="n">
        <v>0</v>
      </c>
      <c r="BU197" s="708" t="n">
        <v>0</v>
      </c>
      <c r="BV197" s="708" t="n">
        <v>0</v>
      </c>
      <c r="BW197" s="708" t="n">
        <v>0</v>
      </c>
      <c r="BX197" s="708" t="n">
        <v>0</v>
      </c>
      <c r="BY197" s="708" t="n">
        <v>0</v>
      </c>
      <c r="BZ197" s="708" t="n">
        <v>0</v>
      </c>
      <c r="CA197" s="708" t="n">
        <v>0</v>
      </c>
      <c r="CB197" s="708" t="n">
        <v>0</v>
      </c>
      <c r="CC197" s="708" t="n">
        <v>0</v>
      </c>
      <c r="CD197" s="708" t="n">
        <v>0</v>
      </c>
      <c r="CE197" s="708" t="n">
        <v>0</v>
      </c>
      <c r="CF197" s="708" t="n">
        <v>0</v>
      </c>
      <c r="CG197" s="708" t="n">
        <v>0</v>
      </c>
      <c r="CH197" s="708" t="n">
        <v>0</v>
      </c>
      <c r="CI197" s="708" t="n">
        <v>0</v>
      </c>
      <c r="CJ197" s="708" t="n">
        <v>0</v>
      </c>
      <c r="CK197" s="708" t="n">
        <v>0</v>
      </c>
      <c r="CL197" s="708" t="n">
        <v>0</v>
      </c>
      <c r="CM197" s="708" t="n">
        <v>0</v>
      </c>
      <c r="CN197" s="708" t="n">
        <v>0</v>
      </c>
      <c r="CO197" s="708" t="n">
        <v>0</v>
      </c>
      <c r="CP197" s="708" t="n">
        <v>0</v>
      </c>
      <c r="CQ197" s="708" t="n">
        <v>0</v>
      </c>
      <c r="CR197" s="708" t="n">
        <v>0</v>
      </c>
      <c r="CS197" s="708" t="n">
        <v>0</v>
      </c>
      <c r="CT197" s="708" t="n">
        <v>0</v>
      </c>
      <c r="CU197" s="708" t="n">
        <v>0</v>
      </c>
      <c r="CV197" s="708" t="n">
        <v>0</v>
      </c>
      <c r="CW197" s="708" t="n">
        <v>0</v>
      </c>
      <c r="CX197" s="708" t="n">
        <v>0</v>
      </c>
      <c r="CY197" s="708" t="n">
        <v>0</v>
      </c>
      <c r="CZ197" s="708" t="n">
        <v>0</v>
      </c>
      <c r="DA197" s="708" t="n">
        <v>0</v>
      </c>
      <c r="DB197" s="708" t="n">
        <v>0</v>
      </c>
      <c r="DC197" s="708" t="n">
        <v>0</v>
      </c>
      <c r="DD197" s="708" t="n">
        <v>0</v>
      </c>
      <c r="DE197" s="708" t="n">
        <v>0</v>
      </c>
      <c r="DF197" s="708" t="n">
        <v>0</v>
      </c>
      <c r="DG197" s="708" t="n">
        <v>0</v>
      </c>
      <c r="DH197" s="708" t="n">
        <v>0</v>
      </c>
      <c r="DI197" s="708" t="n">
        <v>0</v>
      </c>
      <c r="DJ197" s="708" t="n">
        <v>0</v>
      </c>
      <c r="DK197" s="708" t="n">
        <v>0</v>
      </c>
      <c r="DL197" s="708" t="n">
        <v>0</v>
      </c>
      <c r="DM197" s="708" t="n">
        <v>0</v>
      </c>
    </row>
    <row r="198" ht="13.5" customHeight="1" s="355">
      <c r="B198" s="703" t="inlineStr">
        <is>
          <t>SLA Metric Reporting</t>
        </is>
      </c>
      <c r="C198" s="708" t="n">
        <v>0</v>
      </c>
      <c r="D198" s="708" t="n">
        <v>0</v>
      </c>
      <c r="E198" s="708" t="n">
        <v>0</v>
      </c>
      <c r="F198" s="708" t="n">
        <v>0</v>
      </c>
      <c r="G198" s="708" t="n">
        <v>0</v>
      </c>
      <c r="H198" s="708" t="n">
        <v>0</v>
      </c>
      <c r="I198" s="708" t="n">
        <v>0</v>
      </c>
      <c r="J198" s="708" t="n">
        <v>0</v>
      </c>
      <c r="K198" s="708" t="n">
        <v>0</v>
      </c>
      <c r="L198" s="708" t="n">
        <v>0</v>
      </c>
      <c r="M198" s="708" t="n">
        <v>0</v>
      </c>
      <c r="N198" s="708" t="n">
        <v>0</v>
      </c>
      <c r="O198" s="708" t="n">
        <v>0</v>
      </c>
      <c r="P198" s="708" t="n">
        <v>0</v>
      </c>
      <c r="Q198" s="708" t="n">
        <v>0</v>
      </c>
      <c r="R198" s="708" t="n">
        <v>0</v>
      </c>
      <c r="S198" s="708" t="n">
        <v>0</v>
      </c>
      <c r="T198" s="708" t="n">
        <v>0</v>
      </c>
      <c r="U198" s="708" t="n">
        <v>0</v>
      </c>
      <c r="V198" s="708" t="n">
        <v>0</v>
      </c>
      <c r="W198" s="708" t="n">
        <v>0</v>
      </c>
      <c r="X198" s="708" t="n">
        <v>0</v>
      </c>
      <c r="Y198" s="708" t="n">
        <v>0</v>
      </c>
      <c r="Z198" s="708" t="n">
        <v>0</v>
      </c>
      <c r="AA198" s="708" t="n">
        <v>0</v>
      </c>
      <c r="AB198" s="708" t="n">
        <v>0</v>
      </c>
      <c r="AC198" s="708" t="n">
        <v>0</v>
      </c>
      <c r="AD198" s="708" t="n">
        <v>0</v>
      </c>
      <c r="AE198" s="708" t="n">
        <v>0</v>
      </c>
      <c r="AF198" s="708" t="n">
        <v>0</v>
      </c>
      <c r="AG198" s="708" t="n">
        <v>0</v>
      </c>
      <c r="AH198" s="708" t="n">
        <v>0</v>
      </c>
      <c r="AI198" s="708" t="n">
        <v>0</v>
      </c>
      <c r="AJ198" s="708" t="n">
        <v>0</v>
      </c>
      <c r="AK198" s="708" t="n">
        <v>0</v>
      </c>
      <c r="AL198" s="708" t="n">
        <v>0</v>
      </c>
      <c r="AM198" s="708" t="n">
        <v>0</v>
      </c>
      <c r="AN198" s="708" t="n">
        <v>0</v>
      </c>
      <c r="AO198" s="708" t="n">
        <v>0</v>
      </c>
      <c r="AP198" s="708" t="n">
        <v>0</v>
      </c>
      <c r="AQ198" s="708" t="n">
        <v>0</v>
      </c>
      <c r="AR198" s="708" t="n">
        <v>0</v>
      </c>
      <c r="AS198" s="708" t="n">
        <v>0</v>
      </c>
      <c r="AT198" s="708" t="n">
        <v>0</v>
      </c>
      <c r="AU198" s="708" t="n">
        <v>0</v>
      </c>
      <c r="AV198" s="708" t="n">
        <v>0</v>
      </c>
      <c r="AW198" s="708" t="n">
        <v>0</v>
      </c>
      <c r="AX198" s="708" t="n">
        <v>0</v>
      </c>
      <c r="AY198" s="708" t="n">
        <v>0</v>
      </c>
      <c r="AZ198" s="708" t="n">
        <v>0</v>
      </c>
      <c r="BA198" s="708" t="n">
        <v>0</v>
      </c>
      <c r="BB198" s="708" t="n">
        <v>0</v>
      </c>
      <c r="BC198" s="708" t="n">
        <v>0</v>
      </c>
      <c r="BD198" s="708" t="n">
        <v>0</v>
      </c>
      <c r="BE198" s="708" t="n">
        <v>0</v>
      </c>
      <c r="BF198" s="708" t="n">
        <v>0</v>
      </c>
      <c r="BG198" s="708" t="n">
        <v>0</v>
      </c>
      <c r="BH198" s="708" t="n">
        <v>0</v>
      </c>
      <c r="BI198" s="708" t="n">
        <v>0</v>
      </c>
      <c r="BJ198" s="708" t="n">
        <v>0</v>
      </c>
      <c r="BK198" s="708" t="n">
        <v>0</v>
      </c>
      <c r="BL198" s="708" t="n">
        <v>0</v>
      </c>
      <c r="BM198" s="708" t="n">
        <v>0</v>
      </c>
      <c r="BN198" s="708" t="n">
        <v>0</v>
      </c>
      <c r="BO198" s="708" t="n">
        <v>0</v>
      </c>
      <c r="BP198" s="708" t="n">
        <v>0</v>
      </c>
      <c r="BQ198" s="708" t="n">
        <v>0</v>
      </c>
      <c r="BR198" s="708" t="n">
        <v>0</v>
      </c>
      <c r="BS198" s="708" t="n">
        <v>0</v>
      </c>
      <c r="BT198" s="708" t="n">
        <v>0</v>
      </c>
      <c r="BU198" s="708" t="n">
        <v>0</v>
      </c>
      <c r="BV198" s="708" t="n">
        <v>0</v>
      </c>
      <c r="BW198" s="708" t="n">
        <v>0</v>
      </c>
      <c r="BX198" s="708" t="n">
        <v>0</v>
      </c>
      <c r="BY198" s="708" t="n">
        <v>0</v>
      </c>
      <c r="BZ198" s="708" t="n">
        <v>0</v>
      </c>
      <c r="CA198" s="708" t="n">
        <v>0</v>
      </c>
      <c r="CB198" s="708" t="n">
        <v>0</v>
      </c>
      <c r="CC198" s="708" t="n">
        <v>0</v>
      </c>
      <c r="CD198" s="708" t="n">
        <v>0</v>
      </c>
      <c r="CE198" s="708" t="n">
        <v>0</v>
      </c>
      <c r="CF198" s="708" t="n">
        <v>0</v>
      </c>
      <c r="CG198" s="708" t="n">
        <v>0</v>
      </c>
      <c r="CH198" s="708" t="n">
        <v>0</v>
      </c>
      <c r="CI198" s="708" t="n">
        <v>0</v>
      </c>
      <c r="CJ198" s="708" t="n">
        <v>0</v>
      </c>
      <c r="CK198" s="708" t="n">
        <v>0</v>
      </c>
      <c r="CL198" s="708" t="n">
        <v>0</v>
      </c>
      <c r="CM198" s="708" t="n">
        <v>0</v>
      </c>
      <c r="CN198" s="708" t="n">
        <v>0</v>
      </c>
      <c r="CO198" s="708" t="n">
        <v>0</v>
      </c>
      <c r="CP198" s="708" t="n">
        <v>0</v>
      </c>
      <c r="CQ198" s="708" t="n">
        <v>0</v>
      </c>
      <c r="CR198" s="708" t="n">
        <v>0</v>
      </c>
      <c r="CS198" s="708" t="n">
        <v>0</v>
      </c>
      <c r="CT198" s="708" t="n">
        <v>0</v>
      </c>
      <c r="CU198" s="708" t="n">
        <v>0</v>
      </c>
      <c r="CV198" s="708" t="n">
        <v>0</v>
      </c>
      <c r="CW198" s="708" t="n">
        <v>0</v>
      </c>
      <c r="CX198" s="708" t="n">
        <v>0</v>
      </c>
      <c r="CY198" s="708" t="n">
        <v>0</v>
      </c>
      <c r="CZ198" s="708" t="n">
        <v>0</v>
      </c>
      <c r="DA198" s="708" t="n">
        <v>0</v>
      </c>
      <c r="DB198" s="708" t="n">
        <v>0</v>
      </c>
      <c r="DC198" s="708" t="n">
        <v>0</v>
      </c>
      <c r="DD198" s="708" t="n">
        <v>0</v>
      </c>
      <c r="DE198" s="708" t="n">
        <v>0</v>
      </c>
      <c r="DF198" s="708" t="n">
        <v>0</v>
      </c>
      <c r="DG198" s="708" t="n">
        <v>0</v>
      </c>
      <c r="DH198" s="708" t="n">
        <v>0</v>
      </c>
      <c r="DI198" s="708" t="n">
        <v>0</v>
      </c>
      <c r="DJ198" s="708" t="n">
        <v>0</v>
      </c>
      <c r="DK198" s="708" t="n">
        <v>0</v>
      </c>
      <c r="DL198" s="708" t="n">
        <v>0</v>
      </c>
      <c r="DM198" s="708" t="n">
        <v>0</v>
      </c>
    </row>
    <row r="199" ht="13.5" customHeight="1" s="355">
      <c r="B199" s="705" t="inlineStr">
        <is>
          <t>Grand Total</t>
        </is>
      </c>
      <c r="C199" s="709" t="n">
        <v>0</v>
      </c>
      <c r="D199" s="709" t="n">
        <v>0</v>
      </c>
      <c r="E199" s="709" t="n">
        <v>0</v>
      </c>
      <c r="F199" s="709" t="n">
        <v>0</v>
      </c>
      <c r="G199" s="709" t="n">
        <v>0</v>
      </c>
      <c r="H199" s="709" t="n">
        <v>1.80048416499383</v>
      </c>
      <c r="I199" s="709" t="n">
        <v>18.0674697374985</v>
      </c>
      <c r="J199" s="709" t="n">
        <v>92.3254307622539</v>
      </c>
      <c r="K199" s="709" t="n">
        <v>200.73852380634</v>
      </c>
      <c r="L199" s="709" t="n">
        <v>126.991866337759</v>
      </c>
      <c r="M199" s="709" t="n">
        <v>118.510546823351</v>
      </c>
      <c r="N199" s="709" t="n">
        <v>99.0470169194555</v>
      </c>
      <c r="O199" s="709" t="n">
        <v>17.0067037409574</v>
      </c>
      <c r="P199" s="709" t="n">
        <v>9.574657929878899</v>
      </c>
      <c r="Q199" s="709" t="n">
        <v>0</v>
      </c>
      <c r="R199" s="709" t="n">
        <v>0</v>
      </c>
      <c r="S199" s="709" t="n">
        <v>0</v>
      </c>
      <c r="T199" s="709" t="n">
        <v>0</v>
      </c>
      <c r="U199" s="709" t="n">
        <v>0</v>
      </c>
      <c r="V199" s="709" t="n">
        <v>0</v>
      </c>
      <c r="W199" s="709" t="n">
        <v>0</v>
      </c>
      <c r="X199" s="709" t="n">
        <v>0</v>
      </c>
      <c r="Y199" s="709" t="n">
        <v>0</v>
      </c>
      <c r="Z199" s="709" t="n">
        <v>0</v>
      </c>
      <c r="AA199" s="709" t="n">
        <v>0</v>
      </c>
      <c r="AB199" s="709" t="n">
        <v>0</v>
      </c>
      <c r="AC199" s="709" t="n">
        <v>0</v>
      </c>
      <c r="AD199" s="709" t="n">
        <v>0</v>
      </c>
      <c r="AE199" s="709" t="n">
        <v>0</v>
      </c>
      <c r="AF199" s="709" t="n">
        <v>0</v>
      </c>
      <c r="AG199" s="709" t="n">
        <v>0</v>
      </c>
      <c r="AH199" s="709" t="n">
        <v>0</v>
      </c>
      <c r="AI199" s="709" t="n">
        <v>0</v>
      </c>
      <c r="AJ199" s="709" t="n">
        <v>0</v>
      </c>
      <c r="AK199" s="709" t="n">
        <v>0</v>
      </c>
      <c r="AL199" s="709" t="n">
        <v>0</v>
      </c>
      <c r="AM199" s="709" t="n">
        <v>0</v>
      </c>
      <c r="AN199" s="709" t="n">
        <v>0</v>
      </c>
      <c r="AO199" s="709" t="n">
        <v>0</v>
      </c>
      <c r="AP199" s="709" t="n">
        <v>0</v>
      </c>
      <c r="AQ199" s="709" t="n">
        <v>0</v>
      </c>
      <c r="AR199" s="709" t="n">
        <v>0</v>
      </c>
      <c r="AS199" s="709" t="n">
        <v>0</v>
      </c>
      <c r="AT199" s="709" t="n">
        <v>0</v>
      </c>
      <c r="AU199" s="709" t="n">
        <v>0</v>
      </c>
      <c r="AV199" s="709" t="n">
        <v>0</v>
      </c>
      <c r="AW199" s="709" t="n">
        <v>0</v>
      </c>
      <c r="AX199" s="709" t="n">
        <v>0</v>
      </c>
      <c r="AY199" s="709" t="n">
        <v>0</v>
      </c>
      <c r="AZ199" s="709" t="n">
        <v>0</v>
      </c>
      <c r="BA199" s="709" t="n">
        <v>0</v>
      </c>
      <c r="BB199" s="709" t="n">
        <v>0</v>
      </c>
      <c r="BC199" s="709" t="n">
        <v>0</v>
      </c>
      <c r="BD199" s="709" t="n">
        <v>0</v>
      </c>
      <c r="BE199" s="709" t="n">
        <v>0</v>
      </c>
      <c r="BF199" s="709" t="n">
        <v>0</v>
      </c>
      <c r="BG199" s="709" t="n">
        <v>0</v>
      </c>
      <c r="BH199" s="709" t="n">
        <v>0</v>
      </c>
      <c r="BI199" s="709" t="n">
        <v>0</v>
      </c>
      <c r="BJ199" s="709" t="n">
        <v>0</v>
      </c>
      <c r="BK199" s="709" t="n">
        <v>0</v>
      </c>
      <c r="BL199" s="709" t="n">
        <v>0</v>
      </c>
      <c r="BM199" s="709" t="n">
        <v>0</v>
      </c>
      <c r="BN199" s="709" t="n">
        <v>0</v>
      </c>
      <c r="BO199" s="709" t="n">
        <v>0</v>
      </c>
      <c r="BP199" s="709" t="n">
        <v>0</v>
      </c>
      <c r="BQ199" s="709" t="n">
        <v>0</v>
      </c>
      <c r="BR199" s="709" t="n">
        <v>0</v>
      </c>
      <c r="BS199" s="709" t="n">
        <v>0</v>
      </c>
      <c r="BT199" s="709" t="n">
        <v>0</v>
      </c>
      <c r="BU199" s="709" t="n">
        <v>0</v>
      </c>
      <c r="BV199" s="709" t="n">
        <v>0</v>
      </c>
      <c r="BW199" s="709" t="n">
        <v>0</v>
      </c>
      <c r="BX199" s="709" t="n">
        <v>0</v>
      </c>
      <c r="BY199" s="709" t="n">
        <v>0</v>
      </c>
      <c r="BZ199" s="709" t="n">
        <v>0</v>
      </c>
      <c r="CA199" s="709" t="n">
        <v>0</v>
      </c>
      <c r="CB199" s="709" t="n">
        <v>0</v>
      </c>
      <c r="CC199" s="709" t="n">
        <v>0</v>
      </c>
      <c r="CD199" s="709" t="n">
        <v>0</v>
      </c>
      <c r="CE199" s="709" t="n">
        <v>0</v>
      </c>
      <c r="CF199" s="709" t="n">
        <v>0</v>
      </c>
      <c r="CG199" s="709" t="n">
        <v>0</v>
      </c>
      <c r="CH199" s="709" t="n">
        <v>0</v>
      </c>
      <c r="CI199" s="709" t="n">
        <v>0</v>
      </c>
      <c r="CJ199" s="709" t="n">
        <v>0</v>
      </c>
      <c r="CK199" s="709" t="n">
        <v>0</v>
      </c>
      <c r="CL199" s="709" t="n">
        <v>0</v>
      </c>
      <c r="CM199" s="709" t="n">
        <v>0</v>
      </c>
      <c r="CN199" s="709" t="n">
        <v>0</v>
      </c>
      <c r="CO199" s="709" t="n">
        <v>0</v>
      </c>
      <c r="CP199" s="709" t="n">
        <v>0</v>
      </c>
      <c r="CQ199" s="709" t="n">
        <v>0</v>
      </c>
      <c r="CR199" s="709" t="n">
        <v>0</v>
      </c>
      <c r="CS199" s="709" t="n">
        <v>0</v>
      </c>
      <c r="CT199" s="709" t="n">
        <v>0</v>
      </c>
      <c r="CU199" s="709" t="n">
        <v>0</v>
      </c>
      <c r="CV199" s="709" t="n">
        <v>0</v>
      </c>
      <c r="CW199" s="709" t="n">
        <v>0</v>
      </c>
      <c r="CX199" s="709" t="n">
        <v>0</v>
      </c>
      <c r="CY199" s="709" t="n">
        <v>0</v>
      </c>
      <c r="CZ199" s="709" t="n">
        <v>0</v>
      </c>
      <c r="DA199" s="709" t="n">
        <v>0</v>
      </c>
      <c r="DB199" s="709" t="n">
        <v>0</v>
      </c>
      <c r="DC199" s="709" t="n">
        <v>0</v>
      </c>
      <c r="DD199" s="709" t="n">
        <v>0</v>
      </c>
      <c r="DE199" s="709" t="n">
        <v>0</v>
      </c>
      <c r="DF199" s="709" t="n">
        <v>0</v>
      </c>
      <c r="DG199" s="709" t="n">
        <v>0</v>
      </c>
      <c r="DH199" s="709" t="n">
        <v>0</v>
      </c>
      <c r="DI199" s="709" t="n">
        <v>0</v>
      </c>
      <c r="DJ199" s="709" t="n">
        <v>0</v>
      </c>
      <c r="DK199" s="709" t="n">
        <v>0</v>
      </c>
      <c r="DL199" s="709" t="n">
        <v>0</v>
      </c>
      <c r="DM199" s="709" t="n">
        <v>0</v>
      </c>
    </row>
  </sheetData>
  <mergeCells count="18">
    <mergeCell ref="A24:A34"/>
    <mergeCell ref="A167:A177"/>
    <mergeCell ref="A35:A45"/>
    <mergeCell ref="A13:A23"/>
    <mergeCell ref="A123:A133"/>
    <mergeCell ref="A101:A111"/>
    <mergeCell ref="A145:A155"/>
    <mergeCell ref="A79:A89"/>
    <mergeCell ref="A46:A56"/>
    <mergeCell ref="A178:A188"/>
    <mergeCell ref="A2:A12"/>
    <mergeCell ref="A112:A122"/>
    <mergeCell ref="A90:A100"/>
    <mergeCell ref="A68:A78"/>
    <mergeCell ref="A134:A144"/>
    <mergeCell ref="A156:A166"/>
    <mergeCell ref="A189:A199"/>
    <mergeCell ref="A57:A67"/>
  </mergeCells>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4" fitToWidth="2"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1"/>
  </sheetPr>
  <dimension ref="A1:DM199"/>
  <sheetViews>
    <sheetView showFormulas="0" showGridLines="1" showRowColHeaders="1" showZeros="1" rightToLeft="0" tabSelected="0" showOutlineSymbols="1" defaultGridColor="1" view="normal" topLeftCell="A1" colorId="64" zoomScale="50" zoomScaleNormal="50" zoomScalePageLayoutView="100" workbookViewId="0">
      <pane xSplit="1" ySplit="1" topLeftCell="B156" activePane="bottomRight" state="frozen"/>
      <selection pane="topLeft" activeCell="A1" activeCellId="0" sqref="A1"/>
      <selection pane="topRight" activeCell="B1" activeCellId="0" sqref="B1"/>
      <selection pane="bottomLeft" activeCell="A156" activeCellId="0" sqref="A156"/>
      <selection pane="bottomRight" activeCell="A1" activeCellId="0" sqref="A1:DN200"/>
    </sheetView>
  </sheetViews>
  <sheetFormatPr baseColWidth="8" defaultColWidth="9.59765625" defaultRowHeight="13.5" customHeight="1" zeroHeight="0" outlineLevelRow="0"/>
  <cols>
    <col width="17.41" customWidth="1" style="698" min="1" max="1"/>
    <col width="10.65" customWidth="1" style="698" min="2" max="2"/>
    <col width="7.2" customWidth="1" style="698" min="3" max="3"/>
    <col width="8.1" customWidth="1" style="698" min="4" max="8"/>
    <col width="9.6" customWidth="1" style="698" min="9" max="9"/>
    <col width="8.1" customWidth="1" style="698" min="10" max="14"/>
    <col width="7.04" customWidth="1" style="698" min="15" max="33"/>
    <col width="7.34" customWidth="1" style="698" min="34" max="34"/>
    <col width="7.04" customWidth="1" style="698" min="35" max="40"/>
    <col width="7.04" customWidth="1" style="354" min="41" max="95"/>
    <col width="6.14" customWidth="1" style="354" min="96" max="117"/>
  </cols>
  <sheetData>
    <row r="1" ht="12.75" customHeight="1" s="355">
      <c r="A1" s="699" t="inlineStr">
        <is>
          <t>Cash Flow (EUR '000)</t>
        </is>
      </c>
      <c r="B1" s="699" t="inlineStr">
        <is>
          <t>Profile</t>
        </is>
      </c>
      <c r="C1" s="700" t="n">
        <v>39113</v>
      </c>
      <c r="D1" s="701" t="n">
        <v>39141</v>
      </c>
      <c r="E1" s="701" t="n">
        <v>39172</v>
      </c>
      <c r="F1" s="701" t="n">
        <v>39202</v>
      </c>
      <c r="G1" s="701" t="n">
        <v>39233</v>
      </c>
      <c r="H1" s="701" t="n">
        <v>39263</v>
      </c>
      <c r="I1" s="701" t="n">
        <v>39294</v>
      </c>
      <c r="J1" s="701" t="n">
        <v>39325</v>
      </c>
      <c r="K1" s="701" t="n">
        <v>39355</v>
      </c>
      <c r="L1" s="701" t="n">
        <v>39386</v>
      </c>
      <c r="M1" s="701" t="n">
        <v>39416</v>
      </c>
      <c r="N1" s="701" t="n">
        <v>39447</v>
      </c>
      <c r="O1" s="701" t="n">
        <v>39478</v>
      </c>
      <c r="P1" s="701" t="n">
        <v>39507</v>
      </c>
      <c r="Q1" s="701" t="n">
        <v>39538</v>
      </c>
      <c r="R1" s="701" t="n">
        <v>39568</v>
      </c>
      <c r="S1" s="701" t="n">
        <v>39599</v>
      </c>
      <c r="T1" s="701" t="n">
        <v>39629</v>
      </c>
      <c r="U1" s="701" t="n">
        <v>39660</v>
      </c>
      <c r="V1" s="701" t="n">
        <v>39691</v>
      </c>
      <c r="W1" s="701" t="n">
        <v>39721</v>
      </c>
      <c r="X1" s="701" t="n">
        <v>39752</v>
      </c>
      <c r="Y1" s="701" t="n">
        <v>39782</v>
      </c>
      <c r="Z1" s="701" t="n">
        <v>39813</v>
      </c>
      <c r="AA1" s="701" t="n">
        <v>39844</v>
      </c>
      <c r="AB1" s="701" t="n">
        <v>39872</v>
      </c>
      <c r="AC1" s="701" t="n">
        <v>39903</v>
      </c>
      <c r="AD1" s="701" t="n">
        <v>39933</v>
      </c>
      <c r="AE1" s="701" t="n">
        <v>39964</v>
      </c>
      <c r="AF1" s="701" t="n">
        <v>39994</v>
      </c>
      <c r="AG1" s="701" t="n">
        <v>40025</v>
      </c>
      <c r="AH1" s="701" t="n">
        <v>40056</v>
      </c>
      <c r="AI1" s="701" t="n">
        <v>40086</v>
      </c>
      <c r="AJ1" s="701" t="n">
        <v>40117</v>
      </c>
      <c r="AK1" s="701" t="n">
        <v>40147</v>
      </c>
      <c r="AL1" s="701" t="n">
        <v>40178</v>
      </c>
      <c r="AM1" s="701" t="n">
        <v>40209</v>
      </c>
      <c r="AN1" s="701" t="n">
        <v>40237</v>
      </c>
      <c r="AO1" s="701" t="n">
        <v>40268</v>
      </c>
      <c r="AP1" s="701" t="n">
        <v>40298</v>
      </c>
      <c r="AQ1" s="701" t="n">
        <v>40329</v>
      </c>
      <c r="AR1" s="701" t="n">
        <v>40359</v>
      </c>
      <c r="AS1" s="701" t="n">
        <v>40390</v>
      </c>
      <c r="AT1" s="701" t="n">
        <v>40421</v>
      </c>
      <c r="AU1" s="701" t="n">
        <v>40451</v>
      </c>
      <c r="AV1" s="701" t="n">
        <v>40482</v>
      </c>
      <c r="AW1" s="701" t="n">
        <v>40512</v>
      </c>
      <c r="AX1" s="701" t="n">
        <v>40543</v>
      </c>
      <c r="AY1" s="701" t="n">
        <v>40574</v>
      </c>
      <c r="AZ1" s="701" t="n">
        <v>40602</v>
      </c>
      <c r="BA1" s="701" t="n">
        <v>40633</v>
      </c>
      <c r="BB1" s="701" t="n">
        <v>40663</v>
      </c>
      <c r="BC1" s="701" t="n">
        <v>40694</v>
      </c>
      <c r="BD1" s="701" t="n">
        <v>40724</v>
      </c>
      <c r="BE1" s="701" t="n">
        <v>40755</v>
      </c>
      <c r="BF1" s="701" t="n">
        <v>40786</v>
      </c>
      <c r="BG1" s="701" t="n">
        <v>40816</v>
      </c>
      <c r="BH1" s="701" t="n">
        <v>40847</v>
      </c>
      <c r="BI1" s="701" t="n">
        <v>40877</v>
      </c>
      <c r="BJ1" s="701" t="n">
        <v>40908</v>
      </c>
      <c r="BK1" s="701" t="n">
        <v>40939</v>
      </c>
      <c r="BL1" s="701" t="n">
        <v>40968</v>
      </c>
      <c r="BM1" s="701" t="n">
        <v>40999</v>
      </c>
      <c r="BN1" s="701" t="n">
        <v>41029</v>
      </c>
      <c r="BO1" s="701" t="n">
        <v>41060</v>
      </c>
      <c r="BP1" s="701" t="n">
        <v>41090</v>
      </c>
      <c r="BQ1" s="701" t="n">
        <v>41121</v>
      </c>
      <c r="BR1" s="701" t="n">
        <v>41152</v>
      </c>
      <c r="BS1" s="701" t="n">
        <v>41182</v>
      </c>
      <c r="BT1" s="701" t="n">
        <v>41213</v>
      </c>
      <c r="BU1" s="701" t="n">
        <v>41243</v>
      </c>
      <c r="BV1" s="701" t="n">
        <v>41274</v>
      </c>
      <c r="BW1" s="701" t="n">
        <v>41305</v>
      </c>
      <c r="BX1" s="701" t="n">
        <v>41333</v>
      </c>
      <c r="BY1" s="701" t="n">
        <v>41364</v>
      </c>
      <c r="BZ1" s="701" t="n">
        <v>41394</v>
      </c>
      <c r="CA1" s="701" t="n">
        <v>41425</v>
      </c>
      <c r="CB1" s="701" t="n">
        <v>41455</v>
      </c>
      <c r="CC1" s="701" t="n">
        <v>41486</v>
      </c>
      <c r="CD1" s="701" t="n">
        <v>41517</v>
      </c>
      <c r="CE1" s="701" t="n">
        <v>41547</v>
      </c>
      <c r="CF1" s="701" t="n">
        <v>41578</v>
      </c>
      <c r="CG1" s="701" t="n">
        <v>41608</v>
      </c>
      <c r="CH1" s="701" t="n">
        <v>41639</v>
      </c>
      <c r="CI1" s="701" t="n">
        <v>41670</v>
      </c>
      <c r="CJ1" s="701" t="n">
        <v>41698</v>
      </c>
      <c r="CK1" s="701" t="n">
        <v>41729</v>
      </c>
      <c r="CL1" s="701" t="n">
        <v>41759</v>
      </c>
      <c r="CM1" s="701" t="n">
        <v>41790</v>
      </c>
      <c r="CN1" s="701" t="n">
        <v>41820</v>
      </c>
      <c r="CO1" s="701" t="n">
        <v>41851</v>
      </c>
      <c r="CP1" s="701" t="n">
        <v>41882</v>
      </c>
      <c r="CQ1" s="701" t="n">
        <v>41912</v>
      </c>
      <c r="CR1" s="701" t="n">
        <v>41943</v>
      </c>
      <c r="CS1" s="701" t="n">
        <v>41973</v>
      </c>
      <c r="CT1" s="701" t="n">
        <v>42004</v>
      </c>
      <c r="CU1" s="701" t="n">
        <v>42035</v>
      </c>
      <c r="CV1" s="701" t="n">
        <v>42063</v>
      </c>
      <c r="CW1" s="701" t="n">
        <v>42094</v>
      </c>
      <c r="CX1" s="701" t="n">
        <v>42124</v>
      </c>
      <c r="CY1" s="701" t="n">
        <v>42155</v>
      </c>
      <c r="CZ1" s="701" t="n">
        <v>42185</v>
      </c>
      <c r="DA1" s="701" t="n">
        <v>42216</v>
      </c>
      <c r="DB1" s="701" t="n">
        <v>42247</v>
      </c>
      <c r="DC1" s="701" t="n">
        <v>42277</v>
      </c>
      <c r="DD1" s="701" t="n">
        <v>42308</v>
      </c>
      <c r="DE1" s="701" t="n">
        <v>42338</v>
      </c>
      <c r="DF1" s="701" t="n">
        <v>42369</v>
      </c>
      <c r="DG1" s="701" t="n">
        <v>42400</v>
      </c>
      <c r="DH1" s="701" t="n">
        <v>42429</v>
      </c>
      <c r="DI1" s="701" t="n">
        <v>42460</v>
      </c>
      <c r="DJ1" s="701" t="n">
        <v>42490</v>
      </c>
      <c r="DK1" s="701" t="n">
        <v>42521</v>
      </c>
      <c r="DL1" s="701" t="n">
        <v>42551</v>
      </c>
      <c r="DM1" s="701" t="n">
        <v>42582</v>
      </c>
    </row>
    <row r="2" ht="13.5" customHeight="1" s="355">
      <c r="A2" s="702" t="inlineStr">
        <is>
          <t>Switzerland</t>
        </is>
      </c>
      <c r="B2" s="703" t="inlineStr">
        <is>
          <t>Gen Acctg</t>
        </is>
      </c>
      <c r="C2" s="704" t="n"/>
      <c r="D2" s="704" t="n">
        <v>0</v>
      </c>
      <c r="E2" s="704" t="n">
        <v>0</v>
      </c>
      <c r="F2" s="704" t="n">
        <v>0</v>
      </c>
      <c r="G2" s="704" t="n">
        <v>0</v>
      </c>
      <c r="H2" s="704" t="n">
        <v>0</v>
      </c>
      <c r="I2" s="704" t="n">
        <v>0</v>
      </c>
      <c r="J2" s="704" t="n">
        <v>0</v>
      </c>
      <c r="K2" s="704" t="n">
        <v>0</v>
      </c>
      <c r="L2" s="704" t="n">
        <v>0</v>
      </c>
      <c r="M2" s="704" t="n">
        <v>6.08160667723915</v>
      </c>
      <c r="N2" s="704" t="n">
        <v>6.28432689981379</v>
      </c>
      <c r="O2" s="704" t="n">
        <v>6.28432689981379</v>
      </c>
      <c r="P2" s="704" t="n">
        <v>6.47285670680821</v>
      </c>
      <c r="Q2" s="704" t="n">
        <v>6.47285670680821</v>
      </c>
      <c r="R2" s="704" t="n">
        <v>6.47285670680821</v>
      </c>
      <c r="S2" s="704" t="n">
        <v>6.47285670680821</v>
      </c>
      <c r="T2" s="704" t="n">
        <v>6.47285670680821</v>
      </c>
      <c r="U2" s="704" t="n">
        <v>6.47285670680821</v>
      </c>
      <c r="V2" s="704" t="n">
        <v>6.47285670680821</v>
      </c>
      <c r="W2" s="704" t="n">
        <v>6.47285670680821</v>
      </c>
      <c r="X2" s="704" t="n">
        <v>6.47285670680821</v>
      </c>
      <c r="Y2" s="704" t="n">
        <v>6.47285670680821</v>
      </c>
      <c r="Z2" s="704" t="n">
        <v>6.47285670680821</v>
      </c>
      <c r="AA2" s="704" t="n">
        <v>6.47285670680821</v>
      </c>
      <c r="AB2" s="704" t="n">
        <v>6.66704240801245</v>
      </c>
      <c r="AC2" s="704" t="n">
        <v>6.50036634781214</v>
      </c>
      <c r="AD2" s="704" t="n">
        <v>6.50036634781214</v>
      </c>
      <c r="AE2" s="704" t="n">
        <v>6.50036634781214</v>
      </c>
      <c r="AF2" s="704" t="n">
        <v>6.50036634781214</v>
      </c>
      <c r="AG2" s="704" t="n">
        <v>6.50036634781214</v>
      </c>
      <c r="AH2" s="704" t="n">
        <v>6.50036634781214</v>
      </c>
      <c r="AI2" s="704" t="n">
        <v>6.50036634781214</v>
      </c>
      <c r="AJ2" s="704" t="n">
        <v>6.50036634781214</v>
      </c>
      <c r="AK2" s="704" t="n">
        <v>6.50036634781214</v>
      </c>
      <c r="AL2" s="704" t="n">
        <v>6.50036634781214</v>
      </c>
      <c r="AM2" s="704" t="n">
        <v>6.50036634781214</v>
      </c>
      <c r="AN2" s="704" t="n">
        <v>6.69537733824651</v>
      </c>
      <c r="AO2" s="704" t="n">
        <v>6.52370099624018</v>
      </c>
      <c r="AP2" s="704" t="n">
        <v>6.52370099624018</v>
      </c>
      <c r="AQ2" s="704" t="n">
        <v>6.52370099624018</v>
      </c>
      <c r="AR2" s="704" t="n">
        <v>6.52370099624018</v>
      </c>
      <c r="AS2" s="704" t="n">
        <v>6.52370099624018</v>
      </c>
      <c r="AT2" s="704" t="n">
        <v>6.52370099624018</v>
      </c>
      <c r="AU2" s="704" t="n">
        <v>6.52370099624018</v>
      </c>
      <c r="AV2" s="704" t="n">
        <v>6.52370099624018</v>
      </c>
      <c r="AW2" s="704" t="n">
        <v>6.52370099624018</v>
      </c>
      <c r="AX2" s="704" t="n">
        <v>6.52370099624018</v>
      </c>
      <c r="AY2" s="704" t="n">
        <v>6.52370099624018</v>
      </c>
      <c r="AZ2" s="704" t="n">
        <v>6.71941202612739</v>
      </c>
      <c r="BA2" s="704" t="n">
        <v>6.54258539386088</v>
      </c>
      <c r="BB2" s="704" t="n">
        <v>6.54258539386088</v>
      </c>
      <c r="BC2" s="704" t="n">
        <v>6.54258539386088</v>
      </c>
      <c r="BD2" s="704" t="n">
        <v>6.54258539386088</v>
      </c>
      <c r="BE2" s="704" t="n">
        <v>6.54258539386088</v>
      </c>
      <c r="BF2" s="704" t="n">
        <v>6.54258539386088</v>
      </c>
      <c r="BG2" s="704" t="n">
        <v>6.54258539386088</v>
      </c>
      <c r="BH2" s="704" t="n">
        <v>6.54258539386088</v>
      </c>
      <c r="BI2" s="704" t="n">
        <v>6.54258539386088</v>
      </c>
      <c r="BJ2" s="704" t="n">
        <v>6.54258539386088</v>
      </c>
      <c r="BK2" s="704" t="n">
        <v>6.54258539386088</v>
      </c>
      <c r="BL2" s="704" t="n">
        <v>6.73886295567671</v>
      </c>
      <c r="BM2" s="704" t="n">
        <v>6.37460009320769</v>
      </c>
      <c r="BN2" s="704" t="n">
        <v>6.37460009320769</v>
      </c>
      <c r="BO2" s="704" t="n">
        <v>6.37460009320769</v>
      </c>
      <c r="BP2" s="704" t="n">
        <v>6.37460009320769</v>
      </c>
      <c r="BQ2" s="704" t="n">
        <v>6.37460009320769</v>
      </c>
      <c r="BR2" s="704" t="n">
        <v>6.37460009320769</v>
      </c>
      <c r="BS2" s="704" t="n">
        <v>6.37460009320769</v>
      </c>
      <c r="BT2" s="704" t="n">
        <v>6.37460009320769</v>
      </c>
      <c r="BU2" s="704" t="n">
        <v>6.37460009320769</v>
      </c>
      <c r="BV2" s="704" t="n">
        <v>6.37460009320769</v>
      </c>
      <c r="BW2" s="704" t="n">
        <v>6.37460009320769</v>
      </c>
      <c r="BX2" s="704" t="n">
        <v>6.56583809600393</v>
      </c>
      <c r="BY2" s="704" t="n">
        <v>6.56583809600393</v>
      </c>
      <c r="BZ2" s="704" t="n">
        <v>6.56583809600393</v>
      </c>
      <c r="CA2" s="704" t="n">
        <v>6.56583809600393</v>
      </c>
      <c r="CB2" s="704" t="n">
        <v>6.56583809600393</v>
      </c>
      <c r="CC2" s="704" t="n">
        <v>6.56583809600393</v>
      </c>
      <c r="CD2" s="704" t="n">
        <v>6.56583809600393</v>
      </c>
      <c r="CE2" s="704" t="n">
        <v>6.56583809600393</v>
      </c>
      <c r="CF2" s="704" t="n">
        <v>6.56583809600393</v>
      </c>
      <c r="CG2" s="704" t="n">
        <v>6.56583809600393</v>
      </c>
      <c r="CH2" s="704" t="n">
        <v>6.56583809600393</v>
      </c>
      <c r="CI2" s="704" t="n">
        <v>6.56583809600393</v>
      </c>
      <c r="CJ2" s="704" t="n">
        <v>6.76281323888404</v>
      </c>
      <c r="CK2" s="704" t="n">
        <v>6.76281323888404</v>
      </c>
      <c r="CL2" s="704" t="n">
        <v>6.76281323888404</v>
      </c>
      <c r="CM2" s="704" t="n">
        <v>6.76281323888404</v>
      </c>
      <c r="CN2" s="704" t="n">
        <v>6.76281323888404</v>
      </c>
      <c r="CO2" s="704" t="n">
        <v>6.76281323888404</v>
      </c>
      <c r="CP2" s="704" t="n">
        <v>6.76281323888404</v>
      </c>
      <c r="CQ2" s="704" t="n">
        <v>6.76281323888404</v>
      </c>
      <c r="CR2" s="704" t="n">
        <v>6.76281323888404</v>
      </c>
      <c r="CS2" s="704" t="n">
        <v>6.76281323888404</v>
      </c>
      <c r="CT2" s="704" t="n">
        <v>6.76281323888404</v>
      </c>
      <c r="CU2" s="704" t="n">
        <v>6.76281323888404</v>
      </c>
      <c r="CV2" s="704" t="n">
        <v>6.96569763605057</v>
      </c>
      <c r="CW2" s="704" t="n">
        <v>6.96569763605057</v>
      </c>
      <c r="CX2" s="704" t="n">
        <v>6.96569763605057</v>
      </c>
      <c r="CY2" s="704" t="n">
        <v>6.96569763605057</v>
      </c>
      <c r="CZ2" s="704" t="n">
        <v>6.96569763605057</v>
      </c>
      <c r="DA2" s="704" t="n">
        <v>6.96569763605057</v>
      </c>
      <c r="DB2" s="704" t="n">
        <v>6.96569763605057</v>
      </c>
      <c r="DC2" s="704" t="n">
        <v>6.96569763605057</v>
      </c>
      <c r="DD2" s="704" t="n">
        <v>6.96569763605057</v>
      </c>
      <c r="DE2" s="704" t="n">
        <v>6.96569763605057</v>
      </c>
      <c r="DF2" s="704" t="n">
        <v>6.96569763605057</v>
      </c>
      <c r="DG2" s="704" t="n">
        <v>6.96569763605057</v>
      </c>
      <c r="DH2" s="704" t="n">
        <v>6.96569763605057</v>
      </c>
      <c r="DI2" s="704" t="n">
        <v>6.96569763605057</v>
      </c>
      <c r="DJ2" s="704" t="n">
        <v>6.96569763605057</v>
      </c>
      <c r="DK2" s="704" t="n">
        <v>6.96569763605057</v>
      </c>
      <c r="DL2" s="704" t="n">
        <v>6.96569763605057</v>
      </c>
      <c r="DM2" s="704" t="n">
        <v>6.96569763605057</v>
      </c>
    </row>
    <row r="3" ht="13.5" customHeight="1" s="355">
      <c r="B3" s="703" t="inlineStr">
        <is>
          <t>Reporting</t>
        </is>
      </c>
      <c r="C3" s="704" t="n"/>
      <c r="D3" s="704" t="n">
        <v>0</v>
      </c>
      <c r="E3" s="704" t="n">
        <v>0</v>
      </c>
      <c r="F3" s="704" t="n">
        <v>0</v>
      </c>
      <c r="G3" s="704" t="n">
        <v>0</v>
      </c>
      <c r="H3" s="704" t="n">
        <v>0</v>
      </c>
      <c r="I3" s="704" t="n">
        <v>0</v>
      </c>
      <c r="J3" s="704" t="n">
        <v>0</v>
      </c>
      <c r="K3" s="704" t="n">
        <v>0</v>
      </c>
      <c r="L3" s="704" t="n">
        <v>0</v>
      </c>
      <c r="M3" s="704" t="n">
        <v>0</v>
      </c>
      <c r="N3" s="704" t="n">
        <v>0</v>
      </c>
      <c r="O3" s="704" t="n">
        <v>0</v>
      </c>
      <c r="P3" s="704" t="n">
        <v>0</v>
      </c>
      <c r="Q3" s="704" t="n">
        <v>0</v>
      </c>
      <c r="R3" s="704" t="n">
        <v>0</v>
      </c>
      <c r="S3" s="704" t="n">
        <v>0</v>
      </c>
      <c r="T3" s="704" t="n">
        <v>0</v>
      </c>
      <c r="U3" s="704" t="n">
        <v>0</v>
      </c>
      <c r="V3" s="704" t="n">
        <v>0</v>
      </c>
      <c r="W3" s="704" t="n">
        <v>0</v>
      </c>
      <c r="X3" s="704" t="n">
        <v>0</v>
      </c>
      <c r="Y3" s="704" t="n">
        <v>0</v>
      </c>
      <c r="Z3" s="704" t="n">
        <v>0</v>
      </c>
      <c r="AA3" s="704" t="n">
        <v>0</v>
      </c>
      <c r="AB3" s="704" t="n">
        <v>0</v>
      </c>
      <c r="AC3" s="704" t="n">
        <v>0</v>
      </c>
      <c r="AD3" s="704" t="n">
        <v>0</v>
      </c>
      <c r="AE3" s="704" t="n">
        <v>0</v>
      </c>
      <c r="AF3" s="704" t="n">
        <v>0</v>
      </c>
      <c r="AG3" s="704" t="n">
        <v>0</v>
      </c>
      <c r="AH3" s="704" t="n">
        <v>0</v>
      </c>
      <c r="AI3" s="704" t="n">
        <v>0</v>
      </c>
      <c r="AJ3" s="704" t="n">
        <v>0</v>
      </c>
      <c r="AK3" s="704" t="n">
        <v>0</v>
      </c>
      <c r="AL3" s="704" t="n">
        <v>0</v>
      </c>
      <c r="AM3" s="704" t="n">
        <v>0</v>
      </c>
      <c r="AN3" s="704" t="n">
        <v>0</v>
      </c>
      <c r="AO3" s="704" t="n">
        <v>0</v>
      </c>
      <c r="AP3" s="704" t="n">
        <v>0</v>
      </c>
      <c r="AQ3" s="704" t="n">
        <v>0</v>
      </c>
      <c r="AR3" s="704" t="n">
        <v>0</v>
      </c>
      <c r="AS3" s="704" t="n">
        <v>0</v>
      </c>
      <c r="AT3" s="704" t="n">
        <v>0</v>
      </c>
      <c r="AU3" s="704" t="n">
        <v>0</v>
      </c>
      <c r="AV3" s="704" t="n">
        <v>0</v>
      </c>
      <c r="AW3" s="704" t="n">
        <v>0</v>
      </c>
      <c r="AX3" s="704" t="n">
        <v>0</v>
      </c>
      <c r="AY3" s="704" t="n">
        <v>0</v>
      </c>
      <c r="AZ3" s="704" t="n">
        <v>0</v>
      </c>
      <c r="BA3" s="704" t="n">
        <v>0</v>
      </c>
      <c r="BB3" s="704" t="n">
        <v>0</v>
      </c>
      <c r="BC3" s="704" t="n">
        <v>0</v>
      </c>
      <c r="BD3" s="704" t="n">
        <v>0</v>
      </c>
      <c r="BE3" s="704" t="n">
        <v>0</v>
      </c>
      <c r="BF3" s="704" t="n">
        <v>0</v>
      </c>
      <c r="BG3" s="704" t="n">
        <v>0</v>
      </c>
      <c r="BH3" s="704" t="n">
        <v>0</v>
      </c>
      <c r="BI3" s="704" t="n">
        <v>0</v>
      </c>
      <c r="BJ3" s="704" t="n">
        <v>0</v>
      </c>
      <c r="BK3" s="704" t="n">
        <v>0</v>
      </c>
      <c r="BL3" s="704" t="n">
        <v>0</v>
      </c>
      <c r="BM3" s="704" t="n">
        <v>0</v>
      </c>
      <c r="BN3" s="704" t="n">
        <v>0</v>
      </c>
      <c r="BO3" s="704" t="n">
        <v>0</v>
      </c>
      <c r="BP3" s="704" t="n">
        <v>0</v>
      </c>
      <c r="BQ3" s="704" t="n">
        <v>0</v>
      </c>
      <c r="BR3" s="704" t="n">
        <v>0</v>
      </c>
      <c r="BS3" s="704" t="n">
        <v>0</v>
      </c>
      <c r="BT3" s="704" t="n">
        <v>0</v>
      </c>
      <c r="BU3" s="704" t="n">
        <v>0</v>
      </c>
      <c r="BV3" s="704" t="n">
        <v>0</v>
      </c>
      <c r="BW3" s="704" t="n">
        <v>0</v>
      </c>
      <c r="BX3" s="704" t="n">
        <v>0</v>
      </c>
      <c r="BY3" s="704" t="n">
        <v>0</v>
      </c>
      <c r="BZ3" s="704" t="n">
        <v>0</v>
      </c>
      <c r="CA3" s="704" t="n">
        <v>0</v>
      </c>
      <c r="CB3" s="704" t="n">
        <v>0</v>
      </c>
      <c r="CC3" s="704" t="n">
        <v>0</v>
      </c>
      <c r="CD3" s="704" t="n">
        <v>0</v>
      </c>
      <c r="CE3" s="704" t="n">
        <v>0</v>
      </c>
      <c r="CF3" s="704" t="n">
        <v>0</v>
      </c>
      <c r="CG3" s="704" t="n">
        <v>0</v>
      </c>
      <c r="CH3" s="704" t="n">
        <v>0</v>
      </c>
      <c r="CI3" s="704" t="n">
        <v>0</v>
      </c>
      <c r="CJ3" s="704" t="n">
        <v>0</v>
      </c>
      <c r="CK3" s="704" t="n">
        <v>0</v>
      </c>
      <c r="CL3" s="704" t="n">
        <v>0</v>
      </c>
      <c r="CM3" s="704" t="n">
        <v>0</v>
      </c>
      <c r="CN3" s="704" t="n">
        <v>0</v>
      </c>
      <c r="CO3" s="704" t="n">
        <v>0</v>
      </c>
      <c r="CP3" s="704" t="n">
        <v>0</v>
      </c>
      <c r="CQ3" s="704" t="n">
        <v>0</v>
      </c>
      <c r="CR3" s="704" t="n">
        <v>0</v>
      </c>
      <c r="CS3" s="704" t="n">
        <v>0</v>
      </c>
      <c r="CT3" s="704" t="n">
        <v>0</v>
      </c>
      <c r="CU3" s="704" t="n">
        <v>0</v>
      </c>
      <c r="CV3" s="704" t="n">
        <v>0</v>
      </c>
      <c r="CW3" s="704" t="n">
        <v>0</v>
      </c>
      <c r="CX3" s="704" t="n">
        <v>0</v>
      </c>
      <c r="CY3" s="704" t="n">
        <v>0</v>
      </c>
      <c r="CZ3" s="704" t="n">
        <v>0</v>
      </c>
      <c r="DA3" s="704" t="n">
        <v>0</v>
      </c>
      <c r="DB3" s="704" t="n">
        <v>0</v>
      </c>
      <c r="DC3" s="704" t="n">
        <v>0</v>
      </c>
      <c r="DD3" s="704" t="n">
        <v>0</v>
      </c>
      <c r="DE3" s="704" t="n">
        <v>0</v>
      </c>
      <c r="DF3" s="704" t="n">
        <v>0</v>
      </c>
      <c r="DG3" s="704" t="n">
        <v>0</v>
      </c>
      <c r="DH3" s="704" t="n">
        <v>0</v>
      </c>
      <c r="DI3" s="704" t="n">
        <v>0</v>
      </c>
      <c r="DJ3" s="704" t="n">
        <v>0</v>
      </c>
      <c r="DK3" s="704" t="n">
        <v>0</v>
      </c>
      <c r="DL3" s="704" t="n">
        <v>0</v>
      </c>
      <c r="DM3" s="704" t="n">
        <v>0</v>
      </c>
    </row>
    <row r="4" ht="13.5" customHeight="1" s="355">
      <c r="B4" s="703" t="inlineStr">
        <is>
          <t>Fixed Assets</t>
        </is>
      </c>
      <c r="C4" s="704" t="n"/>
      <c r="D4" s="704" t="n">
        <v>0</v>
      </c>
      <c r="E4" s="704" t="n">
        <v>0</v>
      </c>
      <c r="F4" s="704" t="n">
        <v>0</v>
      </c>
      <c r="G4" s="704" t="n">
        <v>0</v>
      </c>
      <c r="H4" s="704" t="n">
        <v>0</v>
      </c>
      <c r="I4" s="704" t="n">
        <v>0</v>
      </c>
      <c r="J4" s="704" t="n">
        <v>0</v>
      </c>
      <c r="K4" s="704" t="n">
        <v>0</v>
      </c>
      <c r="L4" s="704" t="n">
        <v>0</v>
      </c>
      <c r="M4" s="704" t="n">
        <v>0</v>
      </c>
      <c r="N4" s="704" t="n">
        <v>0</v>
      </c>
      <c r="O4" s="704" t="n">
        <v>0</v>
      </c>
      <c r="P4" s="704" t="n">
        <v>0</v>
      </c>
      <c r="Q4" s="704" t="n">
        <v>0</v>
      </c>
      <c r="R4" s="704" t="n">
        <v>0</v>
      </c>
      <c r="S4" s="704" t="n">
        <v>0</v>
      </c>
      <c r="T4" s="704" t="n">
        <v>0</v>
      </c>
      <c r="U4" s="704" t="n">
        <v>0</v>
      </c>
      <c r="V4" s="704" t="n">
        <v>0</v>
      </c>
      <c r="W4" s="704" t="n">
        <v>0</v>
      </c>
      <c r="X4" s="704" t="n">
        <v>0</v>
      </c>
      <c r="Y4" s="704" t="n">
        <v>0</v>
      </c>
      <c r="Z4" s="704" t="n">
        <v>0</v>
      </c>
      <c r="AA4" s="704" t="n">
        <v>0</v>
      </c>
      <c r="AB4" s="704" t="n">
        <v>0</v>
      </c>
      <c r="AC4" s="704" t="n">
        <v>0</v>
      </c>
      <c r="AD4" s="704" t="n">
        <v>0</v>
      </c>
      <c r="AE4" s="704" t="n">
        <v>0</v>
      </c>
      <c r="AF4" s="704" t="n">
        <v>0</v>
      </c>
      <c r="AG4" s="704" t="n">
        <v>0</v>
      </c>
      <c r="AH4" s="704" t="n">
        <v>0</v>
      </c>
      <c r="AI4" s="704" t="n">
        <v>0</v>
      </c>
      <c r="AJ4" s="704" t="n">
        <v>0</v>
      </c>
      <c r="AK4" s="704" t="n">
        <v>0</v>
      </c>
      <c r="AL4" s="704" t="n">
        <v>0</v>
      </c>
      <c r="AM4" s="704" t="n">
        <v>0</v>
      </c>
      <c r="AN4" s="704" t="n">
        <v>0</v>
      </c>
      <c r="AO4" s="704" t="n">
        <v>0</v>
      </c>
      <c r="AP4" s="704" t="n">
        <v>0</v>
      </c>
      <c r="AQ4" s="704" t="n">
        <v>0</v>
      </c>
      <c r="AR4" s="704" t="n">
        <v>0</v>
      </c>
      <c r="AS4" s="704" t="n">
        <v>0</v>
      </c>
      <c r="AT4" s="704" t="n">
        <v>0</v>
      </c>
      <c r="AU4" s="704" t="n">
        <v>0</v>
      </c>
      <c r="AV4" s="704" t="n">
        <v>0</v>
      </c>
      <c r="AW4" s="704" t="n">
        <v>0</v>
      </c>
      <c r="AX4" s="704" t="n">
        <v>0</v>
      </c>
      <c r="AY4" s="704" t="n">
        <v>0</v>
      </c>
      <c r="AZ4" s="704" t="n">
        <v>0</v>
      </c>
      <c r="BA4" s="704" t="n">
        <v>0</v>
      </c>
      <c r="BB4" s="704" t="n">
        <v>0</v>
      </c>
      <c r="BC4" s="704" t="n">
        <v>0</v>
      </c>
      <c r="BD4" s="704" t="n">
        <v>0</v>
      </c>
      <c r="BE4" s="704" t="n">
        <v>0</v>
      </c>
      <c r="BF4" s="704" t="n">
        <v>0</v>
      </c>
      <c r="BG4" s="704" t="n">
        <v>0</v>
      </c>
      <c r="BH4" s="704" t="n">
        <v>0</v>
      </c>
      <c r="BI4" s="704" t="n">
        <v>0</v>
      </c>
      <c r="BJ4" s="704" t="n">
        <v>0</v>
      </c>
      <c r="BK4" s="704" t="n">
        <v>0</v>
      </c>
      <c r="BL4" s="704" t="n">
        <v>0</v>
      </c>
      <c r="BM4" s="704" t="n">
        <v>0</v>
      </c>
      <c r="BN4" s="704" t="n">
        <v>0</v>
      </c>
      <c r="BO4" s="704" t="n">
        <v>0</v>
      </c>
      <c r="BP4" s="704" t="n">
        <v>0</v>
      </c>
      <c r="BQ4" s="704" t="n">
        <v>0</v>
      </c>
      <c r="BR4" s="704" t="n">
        <v>0</v>
      </c>
      <c r="BS4" s="704" t="n">
        <v>0</v>
      </c>
      <c r="BT4" s="704" t="n">
        <v>0</v>
      </c>
      <c r="BU4" s="704" t="n">
        <v>0</v>
      </c>
      <c r="BV4" s="704" t="n">
        <v>0</v>
      </c>
      <c r="BW4" s="704" t="n">
        <v>0</v>
      </c>
      <c r="BX4" s="704" t="n">
        <v>0</v>
      </c>
      <c r="BY4" s="704" t="n">
        <v>0</v>
      </c>
      <c r="BZ4" s="704" t="n">
        <v>0</v>
      </c>
      <c r="CA4" s="704" t="n">
        <v>0</v>
      </c>
      <c r="CB4" s="704" t="n">
        <v>0</v>
      </c>
      <c r="CC4" s="704" t="n">
        <v>0</v>
      </c>
      <c r="CD4" s="704" t="n">
        <v>0</v>
      </c>
      <c r="CE4" s="704" t="n">
        <v>0</v>
      </c>
      <c r="CF4" s="704" t="n">
        <v>0</v>
      </c>
      <c r="CG4" s="704" t="n">
        <v>0</v>
      </c>
      <c r="CH4" s="704" t="n">
        <v>0</v>
      </c>
      <c r="CI4" s="704" t="n">
        <v>0</v>
      </c>
      <c r="CJ4" s="704" t="n">
        <v>0</v>
      </c>
      <c r="CK4" s="704" t="n">
        <v>0</v>
      </c>
      <c r="CL4" s="704" t="n">
        <v>0</v>
      </c>
      <c r="CM4" s="704" t="n">
        <v>0</v>
      </c>
      <c r="CN4" s="704" t="n">
        <v>0</v>
      </c>
      <c r="CO4" s="704" t="n">
        <v>0</v>
      </c>
      <c r="CP4" s="704" t="n">
        <v>0</v>
      </c>
      <c r="CQ4" s="704" t="n">
        <v>0</v>
      </c>
      <c r="CR4" s="704" t="n">
        <v>0</v>
      </c>
      <c r="CS4" s="704" t="n">
        <v>0</v>
      </c>
      <c r="CT4" s="704" t="n">
        <v>0</v>
      </c>
      <c r="CU4" s="704" t="n">
        <v>0</v>
      </c>
      <c r="CV4" s="704" t="n">
        <v>0</v>
      </c>
      <c r="CW4" s="704" t="n">
        <v>0</v>
      </c>
      <c r="CX4" s="704" t="n">
        <v>0</v>
      </c>
      <c r="CY4" s="704" t="n">
        <v>0</v>
      </c>
      <c r="CZ4" s="704" t="n">
        <v>0</v>
      </c>
      <c r="DA4" s="704" t="n">
        <v>0</v>
      </c>
      <c r="DB4" s="704" t="n">
        <v>0</v>
      </c>
      <c r="DC4" s="704" t="n">
        <v>0</v>
      </c>
      <c r="DD4" s="704" t="n">
        <v>0</v>
      </c>
      <c r="DE4" s="704" t="n">
        <v>0</v>
      </c>
      <c r="DF4" s="704" t="n">
        <v>0</v>
      </c>
      <c r="DG4" s="704" t="n">
        <v>0</v>
      </c>
      <c r="DH4" s="704" t="n">
        <v>0</v>
      </c>
      <c r="DI4" s="704" t="n">
        <v>0</v>
      </c>
      <c r="DJ4" s="704" t="n">
        <v>0</v>
      </c>
      <c r="DK4" s="704" t="n">
        <v>0</v>
      </c>
      <c r="DL4" s="704" t="n">
        <v>0</v>
      </c>
      <c r="DM4" s="704" t="n">
        <v>0</v>
      </c>
    </row>
    <row r="5" ht="13.5" customHeight="1" s="355">
      <c r="B5" s="703" t="inlineStr">
        <is>
          <t>Acct Payable</t>
        </is>
      </c>
      <c r="C5" s="704" t="n"/>
      <c r="D5" s="704" t="n">
        <v>0</v>
      </c>
      <c r="E5" s="704" t="n">
        <v>0</v>
      </c>
      <c r="F5" s="704" t="n">
        <v>0</v>
      </c>
      <c r="G5" s="704" t="n">
        <v>0</v>
      </c>
      <c r="H5" s="704" t="n">
        <v>0</v>
      </c>
      <c r="I5" s="704" t="n">
        <v>0</v>
      </c>
      <c r="J5" s="704" t="n">
        <v>0</v>
      </c>
      <c r="K5" s="704" t="n">
        <v>0</v>
      </c>
      <c r="L5" s="704" t="n">
        <v>24.5598424417947</v>
      </c>
      <c r="M5" s="704" t="n">
        <v>36.8397636626921</v>
      </c>
      <c r="N5" s="704" t="n">
        <v>36.8397636626921</v>
      </c>
      <c r="O5" s="704" t="n">
        <v>36.8397636626921</v>
      </c>
      <c r="P5" s="704" t="n">
        <v>37.9449565725729</v>
      </c>
      <c r="Q5" s="704" t="n">
        <v>37.9449565725729</v>
      </c>
      <c r="R5" s="704" t="n">
        <v>37.9449565725729</v>
      </c>
      <c r="S5" s="704" t="n">
        <v>37.9449565725729</v>
      </c>
      <c r="T5" s="704" t="n">
        <v>35.999061363723</v>
      </c>
      <c r="U5" s="704" t="n">
        <v>35.999061363723</v>
      </c>
      <c r="V5" s="704" t="n">
        <v>35.999061363723</v>
      </c>
      <c r="W5" s="704" t="n">
        <v>35.999061363723</v>
      </c>
      <c r="X5" s="704" t="n">
        <v>35.999061363723</v>
      </c>
      <c r="Y5" s="704" t="n">
        <v>35.999061363723</v>
      </c>
      <c r="Z5" s="704" t="n">
        <v>35.999061363723</v>
      </c>
      <c r="AA5" s="704" t="n">
        <v>35.999061363723</v>
      </c>
      <c r="AB5" s="704" t="n">
        <v>37.0790332046347</v>
      </c>
      <c r="AC5" s="704" t="n">
        <v>35.0747611395193</v>
      </c>
      <c r="AD5" s="704" t="n">
        <v>35.0747611395193</v>
      </c>
      <c r="AE5" s="704" t="n">
        <v>35.0747611395193</v>
      </c>
      <c r="AF5" s="704" t="n">
        <v>35.0747611395193</v>
      </c>
      <c r="AG5" s="704" t="n">
        <v>35.0747611395193</v>
      </c>
      <c r="AH5" s="704" t="n">
        <v>35.0747611395193</v>
      </c>
      <c r="AI5" s="704" t="n">
        <v>35.0747611395193</v>
      </c>
      <c r="AJ5" s="704" t="n">
        <v>35.0747611395193</v>
      </c>
      <c r="AK5" s="704" t="n">
        <v>35.0747611395193</v>
      </c>
      <c r="AL5" s="704" t="n">
        <v>35.0747611395193</v>
      </c>
      <c r="AM5" s="704" t="n">
        <v>35.0747611395193</v>
      </c>
      <c r="AN5" s="704" t="n">
        <v>36.1270039737049</v>
      </c>
      <c r="AO5" s="704" t="n">
        <v>34.062603746636</v>
      </c>
      <c r="AP5" s="704" t="n">
        <v>34.062603746636</v>
      </c>
      <c r="AQ5" s="704" t="n">
        <v>34.062603746636</v>
      </c>
      <c r="AR5" s="704" t="n">
        <v>34.062603746636</v>
      </c>
      <c r="AS5" s="704" t="n">
        <v>34.062603746636</v>
      </c>
      <c r="AT5" s="704" t="n">
        <v>34.062603746636</v>
      </c>
      <c r="AU5" s="704" t="n">
        <v>34.062603746636</v>
      </c>
      <c r="AV5" s="704" t="n">
        <v>34.062603746636</v>
      </c>
      <c r="AW5" s="704" t="n">
        <v>34.062603746636</v>
      </c>
      <c r="AX5" s="704" t="n">
        <v>34.062603746636</v>
      </c>
      <c r="AY5" s="704" t="n">
        <v>34.062603746636</v>
      </c>
      <c r="AZ5" s="704" t="n">
        <v>35.0844818590351</v>
      </c>
      <c r="BA5" s="704" t="n">
        <v>34.0213157420946</v>
      </c>
      <c r="BB5" s="704" t="n">
        <v>34.0213157420946</v>
      </c>
      <c r="BC5" s="704" t="n">
        <v>34.0213157420946</v>
      </c>
      <c r="BD5" s="704" t="n">
        <v>34.0213157420946</v>
      </c>
      <c r="BE5" s="704" t="n">
        <v>34.0213157420946</v>
      </c>
      <c r="BF5" s="704" t="n">
        <v>34.0213157420946</v>
      </c>
      <c r="BG5" s="704" t="n">
        <v>34.0213157420946</v>
      </c>
      <c r="BH5" s="704" t="n">
        <v>34.0213157420946</v>
      </c>
      <c r="BI5" s="704" t="n">
        <v>34.0213157420946</v>
      </c>
      <c r="BJ5" s="704" t="n">
        <v>34.0213157420946</v>
      </c>
      <c r="BK5" s="704" t="n">
        <v>34.0213157420946</v>
      </c>
      <c r="BL5" s="704" t="n">
        <v>35.0419552143575</v>
      </c>
      <c r="BM5" s="704" t="n">
        <v>33.9468941139088</v>
      </c>
      <c r="BN5" s="704" t="n">
        <v>33.9468941139088</v>
      </c>
      <c r="BO5" s="704" t="n">
        <v>33.9468941139088</v>
      </c>
      <c r="BP5" s="704" t="n">
        <v>33.9468941139088</v>
      </c>
      <c r="BQ5" s="704" t="n">
        <v>33.9468941139088</v>
      </c>
      <c r="BR5" s="704" t="n">
        <v>33.9468941139088</v>
      </c>
      <c r="BS5" s="704" t="n">
        <v>33.9468941139088</v>
      </c>
      <c r="BT5" s="704" t="n">
        <v>33.9468941139088</v>
      </c>
      <c r="BU5" s="704" t="n">
        <v>33.9468941139088</v>
      </c>
      <c r="BV5" s="704" t="n">
        <v>33.9468941139088</v>
      </c>
      <c r="BW5" s="704" t="n">
        <v>33.9468941139088</v>
      </c>
      <c r="BX5" s="704" t="n">
        <v>34.9653009373261</v>
      </c>
      <c r="BY5" s="704" t="n">
        <v>33.8373880038639</v>
      </c>
      <c r="BZ5" s="704" t="n">
        <v>33.8373880038639</v>
      </c>
      <c r="CA5" s="704" t="n">
        <v>33.8373880038639</v>
      </c>
      <c r="CB5" s="704" t="n">
        <v>33.8373880038639</v>
      </c>
      <c r="CC5" s="704" t="n">
        <v>33.8373880038639</v>
      </c>
      <c r="CD5" s="704" t="n">
        <v>33.8373880038639</v>
      </c>
      <c r="CE5" s="704" t="n">
        <v>33.8373880038639</v>
      </c>
      <c r="CF5" s="704" t="n">
        <v>33.8373880038639</v>
      </c>
      <c r="CG5" s="704" t="n">
        <v>33.8373880038639</v>
      </c>
      <c r="CH5" s="704" t="n">
        <v>33.8373880038639</v>
      </c>
      <c r="CI5" s="704" t="n">
        <v>33.8373880038639</v>
      </c>
      <c r="CJ5" s="704" t="n">
        <v>34.8525096439799</v>
      </c>
      <c r="CK5" s="704" t="n">
        <v>34.8525096439799</v>
      </c>
      <c r="CL5" s="704" t="n">
        <v>34.8525096439799</v>
      </c>
      <c r="CM5" s="704" t="n">
        <v>34.8525096439799</v>
      </c>
      <c r="CN5" s="704" t="n">
        <v>34.8525096439799</v>
      </c>
      <c r="CO5" s="704" t="n">
        <v>34.8525096439799</v>
      </c>
      <c r="CP5" s="704" t="n">
        <v>34.8525096439799</v>
      </c>
      <c r="CQ5" s="704" t="n">
        <v>34.8525096439799</v>
      </c>
      <c r="CR5" s="704" t="n">
        <v>34.8525096439799</v>
      </c>
      <c r="CS5" s="704" t="n">
        <v>34.8525096439799</v>
      </c>
      <c r="CT5" s="704" t="n">
        <v>34.8525096439799</v>
      </c>
      <c r="CU5" s="704" t="n">
        <v>34.8525096439799</v>
      </c>
      <c r="CV5" s="704" t="n">
        <v>35.8980849332993</v>
      </c>
      <c r="CW5" s="704" t="n">
        <v>35.8980849332993</v>
      </c>
      <c r="CX5" s="704" t="n">
        <v>35.8980849332993</v>
      </c>
      <c r="CY5" s="704" t="n">
        <v>35.8980849332993</v>
      </c>
      <c r="CZ5" s="704" t="n">
        <v>35.8980849332993</v>
      </c>
      <c r="DA5" s="704" t="n">
        <v>35.8980849332993</v>
      </c>
      <c r="DB5" s="704" t="n">
        <v>35.8980849332993</v>
      </c>
      <c r="DC5" s="704" t="n">
        <v>35.8980849332993</v>
      </c>
      <c r="DD5" s="704" t="n">
        <v>35.8980849332993</v>
      </c>
      <c r="DE5" s="704" t="n">
        <v>35.8980849332993</v>
      </c>
      <c r="DF5" s="704" t="n">
        <v>35.8980849332993</v>
      </c>
      <c r="DG5" s="704" t="n">
        <v>35.8980849332993</v>
      </c>
      <c r="DH5" s="704" t="n">
        <v>35.8980849332993</v>
      </c>
      <c r="DI5" s="704" t="n">
        <v>35.8980849332993</v>
      </c>
      <c r="DJ5" s="704" t="n">
        <v>35.8980849332993</v>
      </c>
      <c r="DK5" s="704" t="n">
        <v>35.8980849332993</v>
      </c>
      <c r="DL5" s="704" t="n">
        <v>35.8980849332993</v>
      </c>
      <c r="DM5" s="704" t="n">
        <v>35.8980849332993</v>
      </c>
    </row>
    <row r="6" ht="13.5" customHeight="1" s="355">
      <c r="B6" s="703" t="inlineStr">
        <is>
          <t>Cash&amp;Bank</t>
        </is>
      </c>
      <c r="C6" s="704" t="n"/>
      <c r="D6" s="704" t="n">
        <v>0</v>
      </c>
      <c r="E6" s="704" t="n">
        <v>0</v>
      </c>
      <c r="F6" s="704" t="n">
        <v>0</v>
      </c>
      <c r="G6" s="704" t="n">
        <v>0</v>
      </c>
      <c r="H6" s="704" t="n">
        <v>0</v>
      </c>
      <c r="I6" s="704" t="n">
        <v>0</v>
      </c>
      <c r="J6" s="704" t="n">
        <v>0</v>
      </c>
      <c r="K6" s="704" t="n">
        <v>0</v>
      </c>
      <c r="L6" s="704" t="n">
        <v>0</v>
      </c>
      <c r="M6" s="704" t="n">
        <v>0</v>
      </c>
      <c r="N6" s="704" t="n">
        <v>0</v>
      </c>
      <c r="O6" s="704" t="n">
        <v>0</v>
      </c>
      <c r="P6" s="704" t="n">
        <v>0</v>
      </c>
      <c r="Q6" s="704" t="n">
        <v>0</v>
      </c>
      <c r="R6" s="704" t="n">
        <v>0</v>
      </c>
      <c r="S6" s="704" t="n">
        <v>0</v>
      </c>
      <c r="T6" s="704" t="n">
        <v>0</v>
      </c>
      <c r="U6" s="704" t="n">
        <v>0</v>
      </c>
      <c r="V6" s="704" t="n">
        <v>0</v>
      </c>
      <c r="W6" s="704" t="n">
        <v>0</v>
      </c>
      <c r="X6" s="704" t="n">
        <v>0</v>
      </c>
      <c r="Y6" s="704" t="n">
        <v>0</v>
      </c>
      <c r="Z6" s="704" t="n">
        <v>0</v>
      </c>
      <c r="AA6" s="704" t="n">
        <v>0</v>
      </c>
      <c r="AB6" s="704" t="n">
        <v>0</v>
      </c>
      <c r="AC6" s="704" t="n">
        <v>0</v>
      </c>
      <c r="AD6" s="704" t="n">
        <v>0</v>
      </c>
      <c r="AE6" s="704" t="n">
        <v>0</v>
      </c>
      <c r="AF6" s="704" t="n">
        <v>0</v>
      </c>
      <c r="AG6" s="704" t="n">
        <v>0</v>
      </c>
      <c r="AH6" s="704" t="n">
        <v>0</v>
      </c>
      <c r="AI6" s="704" t="n">
        <v>0</v>
      </c>
      <c r="AJ6" s="704" t="n">
        <v>0</v>
      </c>
      <c r="AK6" s="704" t="n">
        <v>0</v>
      </c>
      <c r="AL6" s="704" t="n">
        <v>0</v>
      </c>
      <c r="AM6" s="704" t="n">
        <v>0</v>
      </c>
      <c r="AN6" s="704" t="n">
        <v>0</v>
      </c>
      <c r="AO6" s="704" t="n">
        <v>0</v>
      </c>
      <c r="AP6" s="704" t="n">
        <v>0</v>
      </c>
      <c r="AQ6" s="704" t="n">
        <v>0</v>
      </c>
      <c r="AR6" s="704" t="n">
        <v>0</v>
      </c>
      <c r="AS6" s="704" t="n">
        <v>0</v>
      </c>
      <c r="AT6" s="704" t="n">
        <v>0</v>
      </c>
      <c r="AU6" s="704" t="n">
        <v>0</v>
      </c>
      <c r="AV6" s="704" t="n">
        <v>0</v>
      </c>
      <c r="AW6" s="704" t="n">
        <v>0</v>
      </c>
      <c r="AX6" s="704" t="n">
        <v>0</v>
      </c>
      <c r="AY6" s="704" t="n">
        <v>0</v>
      </c>
      <c r="AZ6" s="704" t="n">
        <v>0</v>
      </c>
      <c r="BA6" s="704" t="n">
        <v>0</v>
      </c>
      <c r="BB6" s="704" t="n">
        <v>0</v>
      </c>
      <c r="BC6" s="704" t="n">
        <v>0</v>
      </c>
      <c r="BD6" s="704" t="n">
        <v>0</v>
      </c>
      <c r="BE6" s="704" t="n">
        <v>0</v>
      </c>
      <c r="BF6" s="704" t="n">
        <v>0</v>
      </c>
      <c r="BG6" s="704" t="n">
        <v>0</v>
      </c>
      <c r="BH6" s="704" t="n">
        <v>0</v>
      </c>
      <c r="BI6" s="704" t="n">
        <v>0</v>
      </c>
      <c r="BJ6" s="704" t="n">
        <v>0</v>
      </c>
      <c r="BK6" s="704" t="n">
        <v>0</v>
      </c>
      <c r="BL6" s="704" t="n">
        <v>0</v>
      </c>
      <c r="BM6" s="704" t="n">
        <v>0</v>
      </c>
      <c r="BN6" s="704" t="n">
        <v>0</v>
      </c>
      <c r="BO6" s="704" t="n">
        <v>0</v>
      </c>
      <c r="BP6" s="704" t="n">
        <v>0</v>
      </c>
      <c r="BQ6" s="704" t="n">
        <v>0</v>
      </c>
      <c r="BR6" s="704" t="n">
        <v>0</v>
      </c>
      <c r="BS6" s="704" t="n">
        <v>0</v>
      </c>
      <c r="BT6" s="704" t="n">
        <v>0</v>
      </c>
      <c r="BU6" s="704" t="n">
        <v>0</v>
      </c>
      <c r="BV6" s="704" t="n">
        <v>0</v>
      </c>
      <c r="BW6" s="704" t="n">
        <v>0</v>
      </c>
      <c r="BX6" s="704" t="n">
        <v>0</v>
      </c>
      <c r="BY6" s="704" t="n">
        <v>0</v>
      </c>
      <c r="BZ6" s="704" t="n">
        <v>0</v>
      </c>
      <c r="CA6" s="704" t="n">
        <v>0</v>
      </c>
      <c r="CB6" s="704" t="n">
        <v>0</v>
      </c>
      <c r="CC6" s="704" t="n">
        <v>0</v>
      </c>
      <c r="CD6" s="704" t="n">
        <v>0</v>
      </c>
      <c r="CE6" s="704" t="n">
        <v>0</v>
      </c>
      <c r="CF6" s="704" t="n">
        <v>0</v>
      </c>
      <c r="CG6" s="704" t="n">
        <v>0</v>
      </c>
      <c r="CH6" s="704" t="n">
        <v>0</v>
      </c>
      <c r="CI6" s="704" t="n">
        <v>0</v>
      </c>
      <c r="CJ6" s="704" t="n">
        <v>0</v>
      </c>
      <c r="CK6" s="704" t="n">
        <v>0</v>
      </c>
      <c r="CL6" s="704" t="n">
        <v>0</v>
      </c>
      <c r="CM6" s="704" t="n">
        <v>0</v>
      </c>
      <c r="CN6" s="704" t="n">
        <v>0</v>
      </c>
      <c r="CO6" s="704" t="n">
        <v>0</v>
      </c>
      <c r="CP6" s="704" t="n">
        <v>0</v>
      </c>
      <c r="CQ6" s="704" t="n">
        <v>0</v>
      </c>
      <c r="CR6" s="704" t="n">
        <v>0</v>
      </c>
      <c r="CS6" s="704" t="n">
        <v>0</v>
      </c>
      <c r="CT6" s="704" t="n">
        <v>0</v>
      </c>
      <c r="CU6" s="704" t="n">
        <v>0</v>
      </c>
      <c r="CV6" s="704" t="n">
        <v>0</v>
      </c>
      <c r="CW6" s="704" t="n">
        <v>0</v>
      </c>
      <c r="CX6" s="704" t="n">
        <v>0</v>
      </c>
      <c r="CY6" s="704" t="n">
        <v>0</v>
      </c>
      <c r="CZ6" s="704" t="n">
        <v>0</v>
      </c>
      <c r="DA6" s="704" t="n">
        <v>0</v>
      </c>
      <c r="DB6" s="704" t="n">
        <v>0</v>
      </c>
      <c r="DC6" s="704" t="n">
        <v>0</v>
      </c>
      <c r="DD6" s="704" t="n">
        <v>0</v>
      </c>
      <c r="DE6" s="704" t="n">
        <v>0</v>
      </c>
      <c r="DF6" s="704" t="n">
        <v>0</v>
      </c>
      <c r="DG6" s="704" t="n">
        <v>0</v>
      </c>
      <c r="DH6" s="704" t="n">
        <v>0</v>
      </c>
      <c r="DI6" s="704" t="n">
        <v>0</v>
      </c>
      <c r="DJ6" s="704" t="n">
        <v>0</v>
      </c>
      <c r="DK6" s="704" t="n">
        <v>0</v>
      </c>
      <c r="DL6" s="704" t="n">
        <v>0</v>
      </c>
      <c r="DM6" s="704" t="n">
        <v>0</v>
      </c>
    </row>
    <row r="7" ht="13.5" customHeight="1" s="355">
      <c r="B7" s="703" t="inlineStr">
        <is>
          <t>T&amp;E</t>
        </is>
      </c>
      <c r="C7" s="704" t="n"/>
      <c r="D7" s="704" t="n">
        <v>0</v>
      </c>
      <c r="E7" s="704" t="n">
        <v>0</v>
      </c>
      <c r="F7" s="704" t="n">
        <v>0</v>
      </c>
      <c r="G7" s="704" t="n">
        <v>0</v>
      </c>
      <c r="H7" s="704" t="n">
        <v>0</v>
      </c>
      <c r="I7" s="704" t="n">
        <v>0</v>
      </c>
      <c r="J7" s="704" t="n">
        <v>0</v>
      </c>
      <c r="K7" s="704" t="n">
        <v>0</v>
      </c>
      <c r="L7" s="704" t="n">
        <v>0</v>
      </c>
      <c r="M7" s="704" t="n">
        <v>0</v>
      </c>
      <c r="N7" s="704" t="n">
        <v>0</v>
      </c>
      <c r="O7" s="704" t="n">
        <v>0</v>
      </c>
      <c r="P7" s="704" t="n">
        <v>0</v>
      </c>
      <c r="Q7" s="704" t="n">
        <v>0</v>
      </c>
      <c r="R7" s="704" t="n">
        <v>0</v>
      </c>
      <c r="S7" s="704" t="n">
        <v>0</v>
      </c>
      <c r="T7" s="704" t="n">
        <v>0</v>
      </c>
      <c r="U7" s="704" t="n">
        <v>0</v>
      </c>
      <c r="V7" s="704" t="n">
        <v>0</v>
      </c>
      <c r="W7" s="704" t="n">
        <v>0</v>
      </c>
      <c r="X7" s="704" t="n">
        <v>0</v>
      </c>
      <c r="Y7" s="704" t="n">
        <v>0</v>
      </c>
      <c r="Z7" s="704" t="n">
        <v>0</v>
      </c>
      <c r="AA7" s="704" t="n">
        <v>0</v>
      </c>
      <c r="AB7" s="704" t="n">
        <v>0</v>
      </c>
      <c r="AC7" s="704" t="n">
        <v>0</v>
      </c>
      <c r="AD7" s="704" t="n">
        <v>0</v>
      </c>
      <c r="AE7" s="704" t="n">
        <v>0</v>
      </c>
      <c r="AF7" s="704" t="n">
        <v>0</v>
      </c>
      <c r="AG7" s="704" t="n">
        <v>0</v>
      </c>
      <c r="AH7" s="704" t="n">
        <v>0</v>
      </c>
      <c r="AI7" s="704" t="n">
        <v>0</v>
      </c>
      <c r="AJ7" s="704" t="n">
        <v>0</v>
      </c>
      <c r="AK7" s="704" t="n">
        <v>0</v>
      </c>
      <c r="AL7" s="704" t="n">
        <v>0</v>
      </c>
      <c r="AM7" s="704" t="n">
        <v>0</v>
      </c>
      <c r="AN7" s="704" t="n">
        <v>0</v>
      </c>
      <c r="AO7" s="704" t="n">
        <v>0</v>
      </c>
      <c r="AP7" s="704" t="n">
        <v>0</v>
      </c>
      <c r="AQ7" s="704" t="n">
        <v>0</v>
      </c>
      <c r="AR7" s="704" t="n">
        <v>0</v>
      </c>
      <c r="AS7" s="704" t="n">
        <v>0</v>
      </c>
      <c r="AT7" s="704" t="n">
        <v>0</v>
      </c>
      <c r="AU7" s="704" t="n">
        <v>0</v>
      </c>
      <c r="AV7" s="704" t="n">
        <v>0</v>
      </c>
      <c r="AW7" s="704" t="n">
        <v>0</v>
      </c>
      <c r="AX7" s="704" t="n">
        <v>0</v>
      </c>
      <c r="AY7" s="704" t="n">
        <v>0</v>
      </c>
      <c r="AZ7" s="704" t="n">
        <v>0</v>
      </c>
      <c r="BA7" s="704" t="n">
        <v>0</v>
      </c>
      <c r="BB7" s="704" t="n">
        <v>0</v>
      </c>
      <c r="BC7" s="704" t="n">
        <v>0</v>
      </c>
      <c r="BD7" s="704" t="n">
        <v>0</v>
      </c>
      <c r="BE7" s="704" t="n">
        <v>0</v>
      </c>
      <c r="BF7" s="704" t="n">
        <v>0</v>
      </c>
      <c r="BG7" s="704" t="n">
        <v>0</v>
      </c>
      <c r="BH7" s="704" t="n">
        <v>0</v>
      </c>
      <c r="BI7" s="704" t="n">
        <v>0</v>
      </c>
      <c r="BJ7" s="704" t="n">
        <v>0</v>
      </c>
      <c r="BK7" s="704" t="n">
        <v>0</v>
      </c>
      <c r="BL7" s="704" t="n">
        <v>0</v>
      </c>
      <c r="BM7" s="704" t="n">
        <v>0</v>
      </c>
      <c r="BN7" s="704" t="n">
        <v>0</v>
      </c>
      <c r="BO7" s="704" t="n">
        <v>0</v>
      </c>
      <c r="BP7" s="704" t="n">
        <v>0</v>
      </c>
      <c r="BQ7" s="704" t="n">
        <v>0</v>
      </c>
      <c r="BR7" s="704" t="n">
        <v>0</v>
      </c>
      <c r="BS7" s="704" t="n">
        <v>0</v>
      </c>
      <c r="BT7" s="704" t="n">
        <v>0</v>
      </c>
      <c r="BU7" s="704" t="n">
        <v>0</v>
      </c>
      <c r="BV7" s="704" t="n">
        <v>0</v>
      </c>
      <c r="BW7" s="704" t="n">
        <v>0</v>
      </c>
      <c r="BX7" s="704" t="n">
        <v>0</v>
      </c>
      <c r="BY7" s="704" t="n">
        <v>0</v>
      </c>
      <c r="BZ7" s="704" t="n">
        <v>0</v>
      </c>
      <c r="CA7" s="704" t="n">
        <v>0</v>
      </c>
      <c r="CB7" s="704" t="n">
        <v>0</v>
      </c>
      <c r="CC7" s="704" t="n">
        <v>0</v>
      </c>
      <c r="CD7" s="704" t="n">
        <v>0</v>
      </c>
      <c r="CE7" s="704" t="n">
        <v>0</v>
      </c>
      <c r="CF7" s="704" t="n">
        <v>0</v>
      </c>
      <c r="CG7" s="704" t="n">
        <v>0</v>
      </c>
      <c r="CH7" s="704" t="n">
        <v>0</v>
      </c>
      <c r="CI7" s="704" t="n">
        <v>0</v>
      </c>
      <c r="CJ7" s="704" t="n">
        <v>0</v>
      </c>
      <c r="CK7" s="704" t="n">
        <v>0</v>
      </c>
      <c r="CL7" s="704" t="n">
        <v>0</v>
      </c>
      <c r="CM7" s="704" t="n">
        <v>0</v>
      </c>
      <c r="CN7" s="704" t="n">
        <v>0</v>
      </c>
      <c r="CO7" s="704" t="n">
        <v>0</v>
      </c>
      <c r="CP7" s="704" t="n">
        <v>0</v>
      </c>
      <c r="CQ7" s="704" t="n">
        <v>0</v>
      </c>
      <c r="CR7" s="704" t="n">
        <v>0</v>
      </c>
      <c r="CS7" s="704" t="n">
        <v>0</v>
      </c>
      <c r="CT7" s="704" t="n">
        <v>0</v>
      </c>
      <c r="CU7" s="704" t="n">
        <v>0</v>
      </c>
      <c r="CV7" s="704" t="n">
        <v>0</v>
      </c>
      <c r="CW7" s="704" t="n">
        <v>0</v>
      </c>
      <c r="CX7" s="704" t="n">
        <v>0</v>
      </c>
      <c r="CY7" s="704" t="n">
        <v>0</v>
      </c>
      <c r="CZ7" s="704" t="n">
        <v>0</v>
      </c>
      <c r="DA7" s="704" t="n">
        <v>0</v>
      </c>
      <c r="DB7" s="704" t="n">
        <v>0</v>
      </c>
      <c r="DC7" s="704" t="n">
        <v>0</v>
      </c>
      <c r="DD7" s="704" t="n">
        <v>0</v>
      </c>
      <c r="DE7" s="704" t="n">
        <v>0</v>
      </c>
      <c r="DF7" s="704" t="n">
        <v>0</v>
      </c>
      <c r="DG7" s="704" t="n">
        <v>0</v>
      </c>
      <c r="DH7" s="704" t="n">
        <v>0</v>
      </c>
      <c r="DI7" s="704" t="n">
        <v>0</v>
      </c>
      <c r="DJ7" s="704" t="n">
        <v>0</v>
      </c>
      <c r="DK7" s="704" t="n">
        <v>0</v>
      </c>
      <c r="DL7" s="704" t="n">
        <v>0</v>
      </c>
      <c r="DM7" s="704" t="n">
        <v>0</v>
      </c>
    </row>
    <row r="8" ht="13.5" customHeight="1" s="355">
      <c r="B8" s="703" t="inlineStr">
        <is>
          <t>Order to Cash</t>
        </is>
      </c>
      <c r="C8" s="704" t="n"/>
      <c r="D8" s="704" t="n">
        <v>0</v>
      </c>
      <c r="E8" s="704" t="n">
        <v>0</v>
      </c>
      <c r="F8" s="704" t="n">
        <v>0</v>
      </c>
      <c r="G8" s="704" t="n">
        <v>0</v>
      </c>
      <c r="H8" s="704" t="n">
        <v>0</v>
      </c>
      <c r="I8" s="704" t="n">
        <v>0</v>
      </c>
      <c r="J8" s="704" t="n">
        <v>0</v>
      </c>
      <c r="K8" s="704" t="n">
        <v>0</v>
      </c>
      <c r="L8" s="704" t="n">
        <v>1.24473099057754</v>
      </c>
      <c r="M8" s="704" t="n">
        <v>2.87245613210202</v>
      </c>
      <c r="N8" s="704" t="n">
        <v>2.87245613210202</v>
      </c>
      <c r="O8" s="704" t="n">
        <v>2.87245613210202</v>
      </c>
      <c r="P8" s="704" t="n">
        <v>2.95862981606508</v>
      </c>
      <c r="Q8" s="704" t="n">
        <v>2.95862981606508</v>
      </c>
      <c r="R8" s="704" t="n">
        <v>2.95862981606508</v>
      </c>
      <c r="S8" s="704" t="n">
        <v>2.95862981606508</v>
      </c>
      <c r="T8" s="704" t="n">
        <v>2.95862981606508</v>
      </c>
      <c r="U8" s="704" t="n">
        <v>2.95862981606508</v>
      </c>
      <c r="V8" s="704" t="n">
        <v>2.95862981606508</v>
      </c>
      <c r="W8" s="704" t="n">
        <v>2.95862981606508</v>
      </c>
      <c r="X8" s="704" t="n">
        <v>2.95862981606508</v>
      </c>
      <c r="Y8" s="704" t="n">
        <v>2.95862981606508</v>
      </c>
      <c r="Z8" s="704" t="n">
        <v>2.95862981606508</v>
      </c>
      <c r="AA8" s="704" t="n">
        <v>2.95862981606508</v>
      </c>
      <c r="AB8" s="704" t="n">
        <v>3.04738871054703</v>
      </c>
      <c r="AC8" s="704" t="n">
        <v>2.97120399278336</v>
      </c>
      <c r="AD8" s="704" t="n">
        <v>2.97120399278336</v>
      </c>
      <c r="AE8" s="704" t="n">
        <v>2.97120399278336</v>
      </c>
      <c r="AF8" s="704" t="n">
        <v>2.97120399278336</v>
      </c>
      <c r="AG8" s="704" t="n">
        <v>2.97120399278336</v>
      </c>
      <c r="AH8" s="704" t="n">
        <v>2.97120399278336</v>
      </c>
      <c r="AI8" s="704" t="n">
        <v>2.97120399278336</v>
      </c>
      <c r="AJ8" s="704" t="n">
        <v>2.97120399278336</v>
      </c>
      <c r="AK8" s="704" t="n">
        <v>2.97120399278336</v>
      </c>
      <c r="AL8" s="704" t="n">
        <v>2.97120399278336</v>
      </c>
      <c r="AM8" s="704" t="n">
        <v>2.97120399278336</v>
      </c>
      <c r="AN8" s="704" t="n">
        <v>3.06034011256686</v>
      </c>
      <c r="AO8" s="704" t="n">
        <v>2.98186985327027</v>
      </c>
      <c r="AP8" s="704" t="n">
        <v>2.98186985327027</v>
      </c>
      <c r="AQ8" s="704" t="n">
        <v>2.98186985327027</v>
      </c>
      <c r="AR8" s="704" t="n">
        <v>2.98186985327027</v>
      </c>
      <c r="AS8" s="704" t="n">
        <v>2.98186985327027</v>
      </c>
      <c r="AT8" s="704" t="n">
        <v>2.98186985327027</v>
      </c>
      <c r="AU8" s="704" t="n">
        <v>2.98186985327027</v>
      </c>
      <c r="AV8" s="704" t="n">
        <v>2.98186985327027</v>
      </c>
      <c r="AW8" s="704" t="n">
        <v>2.98186985327027</v>
      </c>
      <c r="AX8" s="704" t="n">
        <v>2.98186985327027</v>
      </c>
      <c r="AY8" s="704" t="n">
        <v>2.98186985327027</v>
      </c>
      <c r="AZ8" s="704" t="n">
        <v>3.07132594886838</v>
      </c>
      <c r="BA8" s="704" t="n">
        <v>2.99050158179289</v>
      </c>
      <c r="BB8" s="704" t="n">
        <v>2.99050158179289</v>
      </c>
      <c r="BC8" s="704" t="n">
        <v>2.99050158179289</v>
      </c>
      <c r="BD8" s="704" t="n">
        <v>2.99050158179289</v>
      </c>
      <c r="BE8" s="704" t="n">
        <v>2.99050158179289</v>
      </c>
      <c r="BF8" s="704" t="n">
        <v>2.99050158179289</v>
      </c>
      <c r="BG8" s="704" t="n">
        <v>2.99050158179289</v>
      </c>
      <c r="BH8" s="704" t="n">
        <v>2.99050158179289</v>
      </c>
      <c r="BI8" s="704" t="n">
        <v>2.99050158179289</v>
      </c>
      <c r="BJ8" s="704" t="n">
        <v>2.99050158179289</v>
      </c>
      <c r="BK8" s="704" t="n">
        <v>2.99050158179289</v>
      </c>
      <c r="BL8" s="704" t="n">
        <v>3.08021662924668</v>
      </c>
      <c r="BM8" s="704" t="n">
        <v>2.91371843307119</v>
      </c>
      <c r="BN8" s="704" t="n">
        <v>2.91371843307119</v>
      </c>
      <c r="BO8" s="704" t="n">
        <v>2.91371843307119</v>
      </c>
      <c r="BP8" s="704" t="n">
        <v>2.91371843307119</v>
      </c>
      <c r="BQ8" s="704" t="n">
        <v>2.91371843307119</v>
      </c>
      <c r="BR8" s="704" t="n">
        <v>2.91371843307119</v>
      </c>
      <c r="BS8" s="704" t="n">
        <v>2.91371843307119</v>
      </c>
      <c r="BT8" s="704" t="n">
        <v>2.91371843307119</v>
      </c>
      <c r="BU8" s="704" t="n">
        <v>2.91371843307119</v>
      </c>
      <c r="BV8" s="704" t="n">
        <v>2.91371843307119</v>
      </c>
      <c r="BW8" s="704" t="n">
        <v>2.91371843307119</v>
      </c>
      <c r="BX8" s="704" t="n">
        <v>3.00112998606332</v>
      </c>
      <c r="BY8" s="704" t="n">
        <v>3.00112998606332</v>
      </c>
      <c r="BZ8" s="704" t="n">
        <v>3.00112998606332</v>
      </c>
      <c r="CA8" s="704" t="n">
        <v>3.00112998606332</v>
      </c>
      <c r="CB8" s="704" t="n">
        <v>3.00112998606332</v>
      </c>
      <c r="CC8" s="704" t="n">
        <v>3.00112998606332</v>
      </c>
      <c r="CD8" s="704" t="n">
        <v>3.00112998606332</v>
      </c>
      <c r="CE8" s="704" t="n">
        <v>3.00112998606332</v>
      </c>
      <c r="CF8" s="704" t="n">
        <v>3.00112998606332</v>
      </c>
      <c r="CG8" s="704" t="n">
        <v>3.00112998606332</v>
      </c>
      <c r="CH8" s="704" t="n">
        <v>3.00112998606332</v>
      </c>
      <c r="CI8" s="704" t="n">
        <v>3.00112998606332</v>
      </c>
      <c r="CJ8" s="704" t="n">
        <v>3.09116388564522</v>
      </c>
      <c r="CK8" s="704" t="n">
        <v>3.09116388564522</v>
      </c>
      <c r="CL8" s="704" t="n">
        <v>3.09116388564522</v>
      </c>
      <c r="CM8" s="704" t="n">
        <v>3.09116388564522</v>
      </c>
      <c r="CN8" s="704" t="n">
        <v>3.09116388564522</v>
      </c>
      <c r="CO8" s="704" t="n">
        <v>3.09116388564522</v>
      </c>
      <c r="CP8" s="704" t="n">
        <v>3.09116388564522</v>
      </c>
      <c r="CQ8" s="704" t="n">
        <v>3.09116388564522</v>
      </c>
      <c r="CR8" s="704" t="n">
        <v>3.09116388564522</v>
      </c>
      <c r="CS8" s="704" t="n">
        <v>3.09116388564522</v>
      </c>
      <c r="CT8" s="704" t="n">
        <v>3.09116388564522</v>
      </c>
      <c r="CU8" s="704" t="n">
        <v>3.09116388564522</v>
      </c>
      <c r="CV8" s="704" t="n">
        <v>3.18389880221458</v>
      </c>
      <c r="CW8" s="704" t="n">
        <v>3.18389880221458</v>
      </c>
      <c r="CX8" s="704" t="n">
        <v>3.18389880221458</v>
      </c>
      <c r="CY8" s="704" t="n">
        <v>3.18389880221458</v>
      </c>
      <c r="CZ8" s="704" t="n">
        <v>3.18389880221458</v>
      </c>
      <c r="DA8" s="704" t="n">
        <v>3.18389880221458</v>
      </c>
      <c r="DB8" s="704" t="n">
        <v>3.18389880221458</v>
      </c>
      <c r="DC8" s="704" t="n">
        <v>3.18389880221458</v>
      </c>
      <c r="DD8" s="704" t="n">
        <v>3.18389880221458</v>
      </c>
      <c r="DE8" s="704" t="n">
        <v>3.18389880221458</v>
      </c>
      <c r="DF8" s="704" t="n">
        <v>3.18389880221458</v>
      </c>
      <c r="DG8" s="704" t="n">
        <v>3.18389880221458</v>
      </c>
      <c r="DH8" s="704" t="n">
        <v>3.18389880221458</v>
      </c>
      <c r="DI8" s="704" t="n">
        <v>3.18389880221458</v>
      </c>
      <c r="DJ8" s="704" t="n">
        <v>3.18389880221458</v>
      </c>
      <c r="DK8" s="704" t="n">
        <v>3.18389880221458</v>
      </c>
      <c r="DL8" s="704" t="n">
        <v>3.18389880221458</v>
      </c>
      <c r="DM8" s="704" t="n">
        <v>3.18389880221458</v>
      </c>
    </row>
    <row r="9" ht="13.5" customHeight="1" s="355">
      <c r="B9" s="703" t="inlineStr">
        <is>
          <t>Req to Pay</t>
        </is>
      </c>
      <c r="C9" s="704" t="n"/>
      <c r="D9" s="704" t="n">
        <v>0</v>
      </c>
      <c r="E9" s="704" t="n">
        <v>0</v>
      </c>
      <c r="F9" s="704" t="n">
        <v>0</v>
      </c>
      <c r="G9" s="704" t="n">
        <v>0</v>
      </c>
      <c r="H9" s="704" t="n">
        <v>0</v>
      </c>
      <c r="I9" s="704" t="n">
        <v>0</v>
      </c>
      <c r="J9" s="704" t="n">
        <v>0</v>
      </c>
      <c r="K9" s="704" t="n">
        <v>0</v>
      </c>
      <c r="L9" s="704" t="n">
        <v>17.0084574094719</v>
      </c>
      <c r="M9" s="704" t="n">
        <v>18.8982860105243</v>
      </c>
      <c r="N9" s="704" t="n">
        <v>18.8982860105243</v>
      </c>
      <c r="O9" s="704" t="n">
        <v>18.8982860105243</v>
      </c>
      <c r="P9" s="704" t="n">
        <v>19.46523459084</v>
      </c>
      <c r="Q9" s="704" t="n">
        <v>19.46523459084</v>
      </c>
      <c r="R9" s="704" t="n">
        <v>19.46523459084</v>
      </c>
      <c r="S9" s="704" t="n">
        <v>19.46523459084</v>
      </c>
      <c r="T9" s="704" t="n">
        <v>18.794019604949</v>
      </c>
      <c r="U9" s="704" t="n">
        <v>18.794019604949</v>
      </c>
      <c r="V9" s="704" t="n">
        <v>18.794019604949</v>
      </c>
      <c r="W9" s="704" t="n">
        <v>18.794019604949</v>
      </c>
      <c r="X9" s="704" t="n">
        <v>18.794019604949</v>
      </c>
      <c r="Y9" s="704" t="n">
        <v>18.794019604949</v>
      </c>
      <c r="Z9" s="704" t="n">
        <v>18.794019604949</v>
      </c>
      <c r="AA9" s="704" t="n">
        <v>18.794019604949</v>
      </c>
      <c r="AB9" s="704" t="n">
        <v>19.3578401930975</v>
      </c>
      <c r="AC9" s="704" t="n">
        <v>18.6664887576297</v>
      </c>
      <c r="AD9" s="704" t="n">
        <v>18.6664887576297</v>
      </c>
      <c r="AE9" s="704" t="n">
        <v>18.6664887576297</v>
      </c>
      <c r="AF9" s="704" t="n">
        <v>18.6664887576297</v>
      </c>
      <c r="AG9" s="704" t="n">
        <v>18.6664887576297</v>
      </c>
      <c r="AH9" s="704" t="n">
        <v>18.6664887576297</v>
      </c>
      <c r="AI9" s="704" t="n">
        <v>18.6664887576297</v>
      </c>
      <c r="AJ9" s="704" t="n">
        <v>18.6664887576297</v>
      </c>
      <c r="AK9" s="704" t="n">
        <v>18.6664887576297</v>
      </c>
      <c r="AL9" s="704" t="n">
        <v>18.6664887576297</v>
      </c>
      <c r="AM9" s="704" t="n">
        <v>18.6664887576297</v>
      </c>
      <c r="AN9" s="704" t="n">
        <v>19.2264834203586</v>
      </c>
      <c r="AO9" s="704" t="n">
        <v>18.5143914418268</v>
      </c>
      <c r="AP9" s="704" t="n">
        <v>18.5143914418268</v>
      </c>
      <c r="AQ9" s="704" t="n">
        <v>18.5143914418268</v>
      </c>
      <c r="AR9" s="704" t="n">
        <v>18.5143914418268</v>
      </c>
      <c r="AS9" s="704" t="n">
        <v>18.5143914418268</v>
      </c>
      <c r="AT9" s="704" t="n">
        <v>18.5143914418268</v>
      </c>
      <c r="AU9" s="704" t="n">
        <v>18.5143914418268</v>
      </c>
      <c r="AV9" s="704" t="n">
        <v>18.5143914418268</v>
      </c>
      <c r="AW9" s="704" t="n">
        <v>18.5143914418268</v>
      </c>
      <c r="AX9" s="704" t="n">
        <v>18.5143914418268</v>
      </c>
      <c r="AY9" s="704" t="n">
        <v>18.5143914418268</v>
      </c>
      <c r="AZ9" s="704" t="n">
        <v>19.0698231850816</v>
      </c>
      <c r="BA9" s="704" t="n">
        <v>18.3363684471939</v>
      </c>
      <c r="BB9" s="704" t="n">
        <v>18.3363684471939</v>
      </c>
      <c r="BC9" s="704" t="n">
        <v>18.3363684471939</v>
      </c>
      <c r="BD9" s="704" t="n">
        <v>18.3363684471939</v>
      </c>
      <c r="BE9" s="704" t="n">
        <v>18.3363684471939</v>
      </c>
      <c r="BF9" s="704" t="n">
        <v>18.3363684471939</v>
      </c>
      <c r="BG9" s="704" t="n">
        <v>18.3363684471939</v>
      </c>
      <c r="BH9" s="704" t="n">
        <v>18.3363684471939</v>
      </c>
      <c r="BI9" s="704" t="n">
        <v>18.3363684471939</v>
      </c>
      <c r="BJ9" s="704" t="n">
        <v>18.3363684471939</v>
      </c>
      <c r="BK9" s="704" t="n">
        <v>18.3363684471939</v>
      </c>
      <c r="BL9" s="704" t="n">
        <v>18.8864595006097</v>
      </c>
      <c r="BM9" s="704" t="n">
        <v>18.1310011205853</v>
      </c>
      <c r="BN9" s="704" t="n">
        <v>18.1310011205853</v>
      </c>
      <c r="BO9" s="704" t="n">
        <v>18.1310011205853</v>
      </c>
      <c r="BP9" s="704" t="n">
        <v>18.1310011205853</v>
      </c>
      <c r="BQ9" s="704" t="n">
        <v>18.1310011205853</v>
      </c>
      <c r="BR9" s="704" t="n">
        <v>18.1310011205853</v>
      </c>
      <c r="BS9" s="704" t="n">
        <v>18.1310011205853</v>
      </c>
      <c r="BT9" s="704" t="n">
        <v>18.1310011205853</v>
      </c>
      <c r="BU9" s="704" t="n">
        <v>18.1310011205853</v>
      </c>
      <c r="BV9" s="704" t="n">
        <v>18.1310011205853</v>
      </c>
      <c r="BW9" s="704" t="n">
        <v>18.1310011205853</v>
      </c>
      <c r="BX9" s="704" t="n">
        <v>18.6749311542028</v>
      </c>
      <c r="BY9" s="704" t="n">
        <v>18.6749311542028</v>
      </c>
      <c r="BZ9" s="704" t="n">
        <v>18.6749311542028</v>
      </c>
      <c r="CA9" s="704" t="n">
        <v>18.6749311542028</v>
      </c>
      <c r="CB9" s="704" t="n">
        <v>18.6749311542028</v>
      </c>
      <c r="CC9" s="704" t="n">
        <v>18.6749311542028</v>
      </c>
      <c r="CD9" s="704" t="n">
        <v>18.6749311542028</v>
      </c>
      <c r="CE9" s="704" t="n">
        <v>18.6749311542028</v>
      </c>
      <c r="CF9" s="704" t="n">
        <v>18.6749311542028</v>
      </c>
      <c r="CG9" s="704" t="n">
        <v>18.6749311542028</v>
      </c>
      <c r="CH9" s="704" t="n">
        <v>18.6749311542028</v>
      </c>
      <c r="CI9" s="704" t="n">
        <v>18.6749311542028</v>
      </c>
      <c r="CJ9" s="704" t="n">
        <v>19.2351790888289</v>
      </c>
      <c r="CK9" s="704" t="n">
        <v>19.2351790888289</v>
      </c>
      <c r="CL9" s="704" t="n">
        <v>19.2351790888289</v>
      </c>
      <c r="CM9" s="704" t="n">
        <v>19.2351790888289</v>
      </c>
      <c r="CN9" s="704" t="n">
        <v>19.2351790888289</v>
      </c>
      <c r="CO9" s="704" t="n">
        <v>19.2351790888289</v>
      </c>
      <c r="CP9" s="704" t="n">
        <v>19.2351790888289</v>
      </c>
      <c r="CQ9" s="704" t="n">
        <v>19.2351790888289</v>
      </c>
      <c r="CR9" s="704" t="n">
        <v>19.2351790888289</v>
      </c>
      <c r="CS9" s="704" t="n">
        <v>19.2351790888289</v>
      </c>
      <c r="CT9" s="704" t="n">
        <v>19.2351790888289</v>
      </c>
      <c r="CU9" s="704" t="n">
        <v>19.2351790888289</v>
      </c>
      <c r="CV9" s="704" t="n">
        <v>19.8122344614938</v>
      </c>
      <c r="CW9" s="704" t="n">
        <v>19.8122344614938</v>
      </c>
      <c r="CX9" s="704" t="n">
        <v>19.8122344614938</v>
      </c>
      <c r="CY9" s="704" t="n">
        <v>19.8122344614938</v>
      </c>
      <c r="CZ9" s="704" t="n">
        <v>19.8122344614938</v>
      </c>
      <c r="DA9" s="704" t="n">
        <v>19.8122344614938</v>
      </c>
      <c r="DB9" s="704" t="n">
        <v>19.8122344614938</v>
      </c>
      <c r="DC9" s="704" t="n">
        <v>19.8122344614938</v>
      </c>
      <c r="DD9" s="704" t="n">
        <v>19.8122344614938</v>
      </c>
      <c r="DE9" s="704" t="n">
        <v>19.8122344614938</v>
      </c>
      <c r="DF9" s="704" t="n">
        <v>19.8122344614938</v>
      </c>
      <c r="DG9" s="704" t="n">
        <v>19.8122344614938</v>
      </c>
      <c r="DH9" s="704" t="n">
        <v>19.8122344614938</v>
      </c>
      <c r="DI9" s="704" t="n">
        <v>19.8122344614938</v>
      </c>
      <c r="DJ9" s="704" t="n">
        <v>19.8122344614938</v>
      </c>
      <c r="DK9" s="704" t="n">
        <v>19.8122344614938</v>
      </c>
      <c r="DL9" s="704" t="n">
        <v>19.8122344614938</v>
      </c>
      <c r="DM9" s="704" t="n">
        <v>19.8122344614938</v>
      </c>
    </row>
    <row r="10" ht="13.5" customHeight="1" s="355">
      <c r="B10" s="703" t="inlineStr">
        <is>
          <t>Team Leader</t>
        </is>
      </c>
      <c r="C10" s="704" t="n"/>
      <c r="D10" s="704" t="n">
        <v>0</v>
      </c>
      <c r="E10" s="704" t="n">
        <v>0</v>
      </c>
      <c r="F10" s="704" t="n">
        <v>0</v>
      </c>
      <c r="G10" s="704" t="n">
        <v>0</v>
      </c>
      <c r="H10" s="704" t="n">
        <v>0</v>
      </c>
      <c r="I10" s="704" t="n">
        <v>0</v>
      </c>
      <c r="J10" s="704" t="n">
        <v>0</v>
      </c>
      <c r="K10" s="704" t="n">
        <v>0</v>
      </c>
      <c r="L10" s="704" t="n">
        <v>0</v>
      </c>
      <c r="M10" s="704" t="n">
        <v>0</v>
      </c>
      <c r="N10" s="704" t="n">
        <v>0</v>
      </c>
      <c r="O10" s="704" t="n">
        <v>0</v>
      </c>
      <c r="P10" s="704" t="n">
        <v>0</v>
      </c>
      <c r="Q10" s="704" t="n">
        <v>0</v>
      </c>
      <c r="R10" s="704" t="n">
        <v>0</v>
      </c>
      <c r="S10" s="704" t="n">
        <v>0</v>
      </c>
      <c r="T10" s="704" t="n">
        <v>0</v>
      </c>
      <c r="U10" s="704" t="n">
        <v>0</v>
      </c>
      <c r="V10" s="704" t="n">
        <v>0</v>
      </c>
      <c r="W10" s="704" t="n">
        <v>0</v>
      </c>
      <c r="X10" s="704" t="n">
        <v>0</v>
      </c>
      <c r="Y10" s="704" t="n">
        <v>0</v>
      </c>
      <c r="Z10" s="704" t="n">
        <v>0</v>
      </c>
      <c r="AA10" s="704" t="n">
        <v>0</v>
      </c>
      <c r="AB10" s="704" t="n">
        <v>0</v>
      </c>
      <c r="AC10" s="704" t="n">
        <v>0</v>
      </c>
      <c r="AD10" s="704" t="n">
        <v>0</v>
      </c>
      <c r="AE10" s="704" t="n">
        <v>0</v>
      </c>
      <c r="AF10" s="704" t="n">
        <v>0</v>
      </c>
      <c r="AG10" s="704" t="n">
        <v>0</v>
      </c>
      <c r="AH10" s="704" t="n">
        <v>0</v>
      </c>
      <c r="AI10" s="704" t="n">
        <v>0</v>
      </c>
      <c r="AJ10" s="704" t="n">
        <v>0</v>
      </c>
      <c r="AK10" s="704" t="n">
        <v>0</v>
      </c>
      <c r="AL10" s="704" t="n">
        <v>0</v>
      </c>
      <c r="AM10" s="704" t="n">
        <v>0</v>
      </c>
      <c r="AN10" s="704" t="n">
        <v>0</v>
      </c>
      <c r="AO10" s="704" t="n">
        <v>0</v>
      </c>
      <c r="AP10" s="704" t="n">
        <v>0</v>
      </c>
      <c r="AQ10" s="704" t="n">
        <v>0</v>
      </c>
      <c r="AR10" s="704" t="n">
        <v>0</v>
      </c>
      <c r="AS10" s="704" t="n">
        <v>0</v>
      </c>
      <c r="AT10" s="704" t="n">
        <v>0</v>
      </c>
      <c r="AU10" s="704" t="n">
        <v>0</v>
      </c>
      <c r="AV10" s="704" t="n">
        <v>0</v>
      </c>
      <c r="AW10" s="704" t="n">
        <v>0</v>
      </c>
      <c r="AX10" s="704" t="n">
        <v>0</v>
      </c>
      <c r="AY10" s="704" t="n">
        <v>0</v>
      </c>
      <c r="AZ10" s="704" t="n">
        <v>0</v>
      </c>
      <c r="BA10" s="704" t="n">
        <v>0</v>
      </c>
      <c r="BB10" s="704" t="n">
        <v>0</v>
      </c>
      <c r="BC10" s="704" t="n">
        <v>0</v>
      </c>
      <c r="BD10" s="704" t="n">
        <v>0</v>
      </c>
      <c r="BE10" s="704" t="n">
        <v>0</v>
      </c>
      <c r="BF10" s="704" t="n">
        <v>0</v>
      </c>
      <c r="BG10" s="704" t="n">
        <v>0</v>
      </c>
      <c r="BH10" s="704" t="n">
        <v>0</v>
      </c>
      <c r="BI10" s="704" t="n">
        <v>0</v>
      </c>
      <c r="BJ10" s="704" t="n">
        <v>0</v>
      </c>
      <c r="BK10" s="704" t="n">
        <v>0</v>
      </c>
      <c r="BL10" s="704" t="n">
        <v>0</v>
      </c>
      <c r="BM10" s="704" t="n">
        <v>0</v>
      </c>
      <c r="BN10" s="704" t="n">
        <v>0</v>
      </c>
      <c r="BO10" s="704" t="n">
        <v>0</v>
      </c>
      <c r="BP10" s="704" t="n">
        <v>0</v>
      </c>
      <c r="BQ10" s="704" t="n">
        <v>0</v>
      </c>
      <c r="BR10" s="704" t="n">
        <v>0</v>
      </c>
      <c r="BS10" s="704" t="n">
        <v>0</v>
      </c>
      <c r="BT10" s="704" t="n">
        <v>0</v>
      </c>
      <c r="BU10" s="704" t="n">
        <v>0</v>
      </c>
      <c r="BV10" s="704" t="n">
        <v>0</v>
      </c>
      <c r="BW10" s="704" t="n">
        <v>0</v>
      </c>
      <c r="BX10" s="704" t="n">
        <v>0</v>
      </c>
      <c r="BY10" s="704" t="n">
        <v>0</v>
      </c>
      <c r="BZ10" s="704" t="n">
        <v>0</v>
      </c>
      <c r="CA10" s="704" t="n">
        <v>0</v>
      </c>
      <c r="CB10" s="704" t="n">
        <v>0</v>
      </c>
      <c r="CC10" s="704" t="n">
        <v>0</v>
      </c>
      <c r="CD10" s="704" t="n">
        <v>0</v>
      </c>
      <c r="CE10" s="704" t="n">
        <v>0</v>
      </c>
      <c r="CF10" s="704" t="n">
        <v>0</v>
      </c>
      <c r="CG10" s="704" t="n">
        <v>0</v>
      </c>
      <c r="CH10" s="704" t="n">
        <v>0</v>
      </c>
      <c r="CI10" s="704" t="n">
        <v>0</v>
      </c>
      <c r="CJ10" s="704" t="n">
        <v>0</v>
      </c>
      <c r="CK10" s="704" t="n">
        <v>0</v>
      </c>
      <c r="CL10" s="704" t="n">
        <v>0</v>
      </c>
      <c r="CM10" s="704" t="n">
        <v>0</v>
      </c>
      <c r="CN10" s="704" t="n">
        <v>0</v>
      </c>
      <c r="CO10" s="704" t="n">
        <v>0</v>
      </c>
      <c r="CP10" s="704" t="n">
        <v>0</v>
      </c>
      <c r="CQ10" s="704" t="n">
        <v>0</v>
      </c>
      <c r="CR10" s="704" t="n">
        <v>0</v>
      </c>
      <c r="CS10" s="704" t="n">
        <v>0</v>
      </c>
      <c r="CT10" s="704" t="n">
        <v>0</v>
      </c>
      <c r="CU10" s="704" t="n">
        <v>0</v>
      </c>
      <c r="CV10" s="704" t="n">
        <v>0</v>
      </c>
      <c r="CW10" s="704" t="n">
        <v>0</v>
      </c>
      <c r="CX10" s="704" t="n">
        <v>0</v>
      </c>
      <c r="CY10" s="704" t="n">
        <v>0</v>
      </c>
      <c r="CZ10" s="704" t="n">
        <v>0</v>
      </c>
      <c r="DA10" s="704" t="n">
        <v>0</v>
      </c>
      <c r="DB10" s="704" t="n">
        <v>0</v>
      </c>
      <c r="DC10" s="704" t="n">
        <v>0</v>
      </c>
      <c r="DD10" s="704" t="n">
        <v>0</v>
      </c>
      <c r="DE10" s="704" t="n">
        <v>0</v>
      </c>
      <c r="DF10" s="704" t="n">
        <v>0</v>
      </c>
      <c r="DG10" s="704" t="n">
        <v>0</v>
      </c>
      <c r="DH10" s="704" t="n">
        <v>0</v>
      </c>
      <c r="DI10" s="704" t="n">
        <v>0</v>
      </c>
      <c r="DJ10" s="704" t="n">
        <v>0</v>
      </c>
      <c r="DK10" s="704" t="n">
        <v>0</v>
      </c>
      <c r="DL10" s="704" t="n">
        <v>0</v>
      </c>
      <c r="DM10" s="704" t="n">
        <v>0</v>
      </c>
    </row>
    <row r="11" ht="13.5" customHeight="1" s="355">
      <c r="B11" s="703" t="inlineStr">
        <is>
          <t>SLA Metric Reporting</t>
        </is>
      </c>
      <c r="C11" s="704" t="n"/>
      <c r="D11" s="704" t="n">
        <v>0</v>
      </c>
      <c r="E11" s="704" t="n">
        <v>0</v>
      </c>
      <c r="F11" s="704" t="n">
        <v>0</v>
      </c>
      <c r="G11" s="704" t="n">
        <v>0</v>
      </c>
      <c r="H11" s="704" t="n">
        <v>0</v>
      </c>
      <c r="I11" s="704" t="n">
        <v>0</v>
      </c>
      <c r="J11" s="704" t="n">
        <v>0</v>
      </c>
      <c r="K11" s="704" t="n">
        <v>0</v>
      </c>
      <c r="L11" s="704" t="n">
        <v>0</v>
      </c>
      <c r="M11" s="704" t="n">
        <v>0</v>
      </c>
      <c r="N11" s="704" t="n">
        <v>0</v>
      </c>
      <c r="O11" s="704" t="n">
        <v>0</v>
      </c>
      <c r="P11" s="704" t="n">
        <v>0</v>
      </c>
      <c r="Q11" s="704" t="n">
        <v>0</v>
      </c>
      <c r="R11" s="704" t="n">
        <v>0</v>
      </c>
      <c r="S11" s="704" t="n">
        <v>0</v>
      </c>
      <c r="T11" s="704" t="n">
        <v>0</v>
      </c>
      <c r="U11" s="704" t="n">
        <v>0</v>
      </c>
      <c r="V11" s="704" t="n">
        <v>0</v>
      </c>
      <c r="W11" s="704" t="n">
        <v>0</v>
      </c>
      <c r="X11" s="704" t="n">
        <v>0</v>
      </c>
      <c r="Y11" s="704" t="n">
        <v>0</v>
      </c>
      <c r="Z11" s="704" t="n">
        <v>0</v>
      </c>
      <c r="AA11" s="704" t="n">
        <v>0</v>
      </c>
      <c r="AB11" s="704" t="n">
        <v>0</v>
      </c>
      <c r="AC11" s="704" t="n">
        <v>0</v>
      </c>
      <c r="AD11" s="704" t="n">
        <v>0</v>
      </c>
      <c r="AE11" s="704" t="n">
        <v>0</v>
      </c>
      <c r="AF11" s="704" t="n">
        <v>0</v>
      </c>
      <c r="AG11" s="704" t="n">
        <v>0</v>
      </c>
      <c r="AH11" s="704" t="n">
        <v>0</v>
      </c>
      <c r="AI11" s="704" t="n">
        <v>0</v>
      </c>
      <c r="AJ11" s="704" t="n">
        <v>0</v>
      </c>
      <c r="AK11" s="704" t="n">
        <v>0</v>
      </c>
      <c r="AL11" s="704" t="n">
        <v>0</v>
      </c>
      <c r="AM11" s="704" t="n">
        <v>0</v>
      </c>
      <c r="AN11" s="704" t="n">
        <v>0</v>
      </c>
      <c r="AO11" s="704" t="n">
        <v>0</v>
      </c>
      <c r="AP11" s="704" t="n">
        <v>0</v>
      </c>
      <c r="AQ11" s="704" t="n">
        <v>0</v>
      </c>
      <c r="AR11" s="704" t="n">
        <v>0</v>
      </c>
      <c r="AS11" s="704" t="n">
        <v>0</v>
      </c>
      <c r="AT11" s="704" t="n">
        <v>0</v>
      </c>
      <c r="AU11" s="704" t="n">
        <v>0</v>
      </c>
      <c r="AV11" s="704" t="n">
        <v>0</v>
      </c>
      <c r="AW11" s="704" t="n">
        <v>0</v>
      </c>
      <c r="AX11" s="704" t="n">
        <v>0</v>
      </c>
      <c r="AY11" s="704" t="n">
        <v>0</v>
      </c>
      <c r="AZ11" s="704" t="n">
        <v>0</v>
      </c>
      <c r="BA11" s="704" t="n">
        <v>0</v>
      </c>
      <c r="BB11" s="704" t="n">
        <v>0</v>
      </c>
      <c r="BC11" s="704" t="n">
        <v>0</v>
      </c>
      <c r="BD11" s="704" t="n">
        <v>0</v>
      </c>
      <c r="BE11" s="704" t="n">
        <v>0</v>
      </c>
      <c r="BF11" s="704" t="n">
        <v>0</v>
      </c>
      <c r="BG11" s="704" t="n">
        <v>0</v>
      </c>
      <c r="BH11" s="704" t="n">
        <v>0</v>
      </c>
      <c r="BI11" s="704" t="n">
        <v>0</v>
      </c>
      <c r="BJ11" s="704" t="n">
        <v>0</v>
      </c>
      <c r="BK11" s="704" t="n">
        <v>0</v>
      </c>
      <c r="BL11" s="704" t="n">
        <v>0</v>
      </c>
      <c r="BM11" s="704" t="n">
        <v>0</v>
      </c>
      <c r="BN11" s="704" t="n">
        <v>0</v>
      </c>
      <c r="BO11" s="704" t="n">
        <v>0</v>
      </c>
      <c r="BP11" s="704" t="n">
        <v>0</v>
      </c>
      <c r="BQ11" s="704" t="n">
        <v>0</v>
      </c>
      <c r="BR11" s="704" t="n">
        <v>0</v>
      </c>
      <c r="BS11" s="704" t="n">
        <v>0</v>
      </c>
      <c r="BT11" s="704" t="n">
        <v>0</v>
      </c>
      <c r="BU11" s="704" t="n">
        <v>0</v>
      </c>
      <c r="BV11" s="704" t="n">
        <v>0</v>
      </c>
      <c r="BW11" s="704" t="n">
        <v>0</v>
      </c>
      <c r="BX11" s="704" t="n">
        <v>0</v>
      </c>
      <c r="BY11" s="704" t="n">
        <v>0</v>
      </c>
      <c r="BZ11" s="704" t="n">
        <v>0</v>
      </c>
      <c r="CA11" s="704" t="n">
        <v>0</v>
      </c>
      <c r="CB11" s="704" t="n">
        <v>0</v>
      </c>
      <c r="CC11" s="704" t="n">
        <v>0</v>
      </c>
      <c r="CD11" s="704" t="n">
        <v>0</v>
      </c>
      <c r="CE11" s="704" t="n">
        <v>0</v>
      </c>
      <c r="CF11" s="704" t="n">
        <v>0</v>
      </c>
      <c r="CG11" s="704" t="n">
        <v>0</v>
      </c>
      <c r="CH11" s="704" t="n">
        <v>0</v>
      </c>
      <c r="CI11" s="704" t="n">
        <v>0</v>
      </c>
      <c r="CJ11" s="704" t="n">
        <v>0</v>
      </c>
      <c r="CK11" s="704" t="n">
        <v>0</v>
      </c>
      <c r="CL11" s="704" t="n">
        <v>0</v>
      </c>
      <c r="CM11" s="704" t="n">
        <v>0</v>
      </c>
      <c r="CN11" s="704" t="n">
        <v>0</v>
      </c>
      <c r="CO11" s="704" t="n">
        <v>0</v>
      </c>
      <c r="CP11" s="704" t="n">
        <v>0</v>
      </c>
      <c r="CQ11" s="704" t="n">
        <v>0</v>
      </c>
      <c r="CR11" s="704" t="n">
        <v>0</v>
      </c>
      <c r="CS11" s="704" t="n">
        <v>0</v>
      </c>
      <c r="CT11" s="704" t="n">
        <v>0</v>
      </c>
      <c r="CU11" s="704" t="n">
        <v>0</v>
      </c>
      <c r="CV11" s="704" t="n">
        <v>0</v>
      </c>
      <c r="CW11" s="704" t="n">
        <v>0</v>
      </c>
      <c r="CX11" s="704" t="n">
        <v>0</v>
      </c>
      <c r="CY11" s="704" t="n">
        <v>0</v>
      </c>
      <c r="CZ11" s="704" t="n">
        <v>0</v>
      </c>
      <c r="DA11" s="704" t="n">
        <v>0</v>
      </c>
      <c r="DB11" s="704" t="n">
        <v>0</v>
      </c>
      <c r="DC11" s="704" t="n">
        <v>0</v>
      </c>
      <c r="DD11" s="704" t="n">
        <v>0</v>
      </c>
      <c r="DE11" s="704" t="n">
        <v>0</v>
      </c>
      <c r="DF11" s="704" t="n">
        <v>0</v>
      </c>
      <c r="DG11" s="704" t="n">
        <v>0</v>
      </c>
      <c r="DH11" s="704" t="n">
        <v>0</v>
      </c>
      <c r="DI11" s="704" t="n">
        <v>0</v>
      </c>
      <c r="DJ11" s="704" t="n">
        <v>0</v>
      </c>
      <c r="DK11" s="704" t="n">
        <v>0</v>
      </c>
      <c r="DL11" s="704" t="n">
        <v>0</v>
      </c>
      <c r="DM11" s="704" t="n">
        <v>0</v>
      </c>
    </row>
    <row r="12" ht="13.5" customHeight="1" s="355">
      <c r="B12" s="705" t="inlineStr">
        <is>
          <t>Grand Total</t>
        </is>
      </c>
      <c r="C12" s="706" t="n"/>
      <c r="D12" s="707" t="n">
        <v>0</v>
      </c>
      <c r="E12" s="707" t="n">
        <v>0</v>
      </c>
      <c r="F12" s="707" t="n">
        <v>0</v>
      </c>
      <c r="G12" s="707" t="n">
        <v>0</v>
      </c>
      <c r="H12" s="707" t="n">
        <v>0</v>
      </c>
      <c r="I12" s="707" t="n">
        <v>0</v>
      </c>
      <c r="J12" s="707" t="n">
        <v>0</v>
      </c>
      <c r="K12" s="707" t="n">
        <v>0</v>
      </c>
      <c r="L12" s="707" t="n">
        <v>42.8130308418441</v>
      </c>
      <c r="M12" s="707" t="n">
        <v>64.6921124825576</v>
      </c>
      <c r="N12" s="707" t="n">
        <v>64.8948327051322</v>
      </c>
      <c r="O12" s="707" t="n">
        <v>64.8948327051322</v>
      </c>
      <c r="P12" s="707" t="n">
        <v>66.8416776862862</v>
      </c>
      <c r="Q12" s="707" t="n">
        <v>66.8416776862862</v>
      </c>
      <c r="R12" s="707" t="n">
        <v>66.8416776862862</v>
      </c>
      <c r="S12" s="707" t="n">
        <v>66.8416776862862</v>
      </c>
      <c r="T12" s="707" t="n">
        <v>64.2245674915452</v>
      </c>
      <c r="U12" s="707" t="n">
        <v>64.2245674915452</v>
      </c>
      <c r="V12" s="707" t="n">
        <v>64.2245674915452</v>
      </c>
      <c r="W12" s="707" t="n">
        <v>64.2245674915452</v>
      </c>
      <c r="X12" s="707" t="n">
        <v>64.2245674915452</v>
      </c>
      <c r="Y12" s="707" t="n">
        <v>64.2245674915452</v>
      </c>
      <c r="Z12" s="707" t="n">
        <v>64.2245674915452</v>
      </c>
      <c r="AA12" s="707" t="n">
        <v>64.2245674915452</v>
      </c>
      <c r="AB12" s="707" t="n">
        <v>66.1513045162916</v>
      </c>
      <c r="AC12" s="707" t="n">
        <v>63.2128202377445</v>
      </c>
      <c r="AD12" s="707" t="n">
        <v>63.2128202377445</v>
      </c>
      <c r="AE12" s="707" t="n">
        <v>63.2128202377445</v>
      </c>
      <c r="AF12" s="707" t="n">
        <v>63.2128202377445</v>
      </c>
      <c r="AG12" s="707" t="n">
        <v>63.2128202377445</v>
      </c>
      <c r="AH12" s="707" t="n">
        <v>63.2128202377445</v>
      </c>
      <c r="AI12" s="707" t="n">
        <v>63.2128202377445</v>
      </c>
      <c r="AJ12" s="707" t="n">
        <v>63.2128202377445</v>
      </c>
      <c r="AK12" s="707" t="n">
        <v>63.2128202377445</v>
      </c>
      <c r="AL12" s="707" t="n">
        <v>63.2128202377445</v>
      </c>
      <c r="AM12" s="707" t="n">
        <v>63.2128202377445</v>
      </c>
      <c r="AN12" s="707" t="n">
        <v>65.1092048448768</v>
      </c>
      <c r="AO12" s="707" t="n">
        <v>62.0825660379732</v>
      </c>
      <c r="AP12" s="707" t="n">
        <v>62.0825660379732</v>
      </c>
      <c r="AQ12" s="707" t="n">
        <v>62.0825660379732</v>
      </c>
      <c r="AR12" s="707" t="n">
        <v>62.0825660379732</v>
      </c>
      <c r="AS12" s="707" t="n">
        <v>62.0825660379732</v>
      </c>
      <c r="AT12" s="707" t="n">
        <v>62.0825660379732</v>
      </c>
      <c r="AU12" s="707" t="n">
        <v>62.0825660379732</v>
      </c>
      <c r="AV12" s="707" t="n">
        <v>62.0825660379732</v>
      </c>
      <c r="AW12" s="707" t="n">
        <v>62.0825660379732</v>
      </c>
      <c r="AX12" s="707" t="n">
        <v>62.0825660379732</v>
      </c>
      <c r="AY12" s="707" t="n">
        <v>62.0825660379732</v>
      </c>
      <c r="AZ12" s="707" t="n">
        <v>63.9450430191125</v>
      </c>
      <c r="BA12" s="707" t="n">
        <v>61.8907711649422</v>
      </c>
      <c r="BB12" s="707" t="n">
        <v>61.8907711649422</v>
      </c>
      <c r="BC12" s="707" t="n">
        <v>61.8907711649422</v>
      </c>
      <c r="BD12" s="707" t="n">
        <v>61.8907711649422</v>
      </c>
      <c r="BE12" s="707" t="n">
        <v>61.8907711649422</v>
      </c>
      <c r="BF12" s="707" t="n">
        <v>61.8907711649422</v>
      </c>
      <c r="BG12" s="707" t="n">
        <v>61.8907711649422</v>
      </c>
      <c r="BH12" s="707" t="n">
        <v>61.8907711649422</v>
      </c>
      <c r="BI12" s="707" t="n">
        <v>61.8907711649422</v>
      </c>
      <c r="BJ12" s="707" t="n">
        <v>61.8907711649422</v>
      </c>
      <c r="BK12" s="707" t="n">
        <v>61.8907711649422</v>
      </c>
      <c r="BL12" s="707" t="n">
        <v>63.7474942998905</v>
      </c>
      <c r="BM12" s="707" t="n">
        <v>61.366213760773</v>
      </c>
      <c r="BN12" s="707" t="n">
        <v>61.366213760773</v>
      </c>
      <c r="BO12" s="707" t="n">
        <v>61.366213760773</v>
      </c>
      <c r="BP12" s="707" t="n">
        <v>61.366213760773</v>
      </c>
      <c r="BQ12" s="707" t="n">
        <v>61.366213760773</v>
      </c>
      <c r="BR12" s="707" t="n">
        <v>61.366213760773</v>
      </c>
      <c r="BS12" s="707" t="n">
        <v>61.366213760773</v>
      </c>
      <c r="BT12" s="707" t="n">
        <v>61.366213760773</v>
      </c>
      <c r="BU12" s="707" t="n">
        <v>61.366213760773</v>
      </c>
      <c r="BV12" s="707" t="n">
        <v>61.366213760773</v>
      </c>
      <c r="BW12" s="707" t="n">
        <v>61.366213760773</v>
      </c>
      <c r="BX12" s="707" t="n">
        <v>63.2072001735962</v>
      </c>
      <c r="BY12" s="707" t="n">
        <v>62.079287240134</v>
      </c>
      <c r="BZ12" s="707" t="n">
        <v>62.079287240134</v>
      </c>
      <c r="CA12" s="707" t="n">
        <v>62.079287240134</v>
      </c>
      <c r="CB12" s="707" t="n">
        <v>62.079287240134</v>
      </c>
      <c r="CC12" s="707" t="n">
        <v>62.079287240134</v>
      </c>
      <c r="CD12" s="707" t="n">
        <v>62.079287240134</v>
      </c>
      <c r="CE12" s="707" t="n">
        <v>62.079287240134</v>
      </c>
      <c r="CF12" s="707" t="n">
        <v>62.079287240134</v>
      </c>
      <c r="CG12" s="707" t="n">
        <v>62.079287240134</v>
      </c>
      <c r="CH12" s="707" t="n">
        <v>62.079287240134</v>
      </c>
      <c r="CI12" s="707" t="n">
        <v>62.079287240134</v>
      </c>
      <c r="CJ12" s="707" t="n">
        <v>63.941665857338</v>
      </c>
      <c r="CK12" s="707" t="n">
        <v>63.941665857338</v>
      </c>
      <c r="CL12" s="707" t="n">
        <v>63.941665857338</v>
      </c>
      <c r="CM12" s="707" t="n">
        <v>63.941665857338</v>
      </c>
      <c r="CN12" s="707" t="n">
        <v>63.941665857338</v>
      </c>
      <c r="CO12" s="707" t="n">
        <v>63.941665857338</v>
      </c>
      <c r="CP12" s="707" t="n">
        <v>63.941665857338</v>
      </c>
      <c r="CQ12" s="707" t="n">
        <v>63.941665857338</v>
      </c>
      <c r="CR12" s="707" t="n">
        <v>63.941665857338</v>
      </c>
      <c r="CS12" s="707" t="n">
        <v>63.941665857338</v>
      </c>
      <c r="CT12" s="707" t="n">
        <v>63.941665857338</v>
      </c>
      <c r="CU12" s="707" t="n">
        <v>63.941665857338</v>
      </c>
      <c r="CV12" s="707" t="n">
        <v>65.8599158330582</v>
      </c>
      <c r="CW12" s="707" t="n">
        <v>65.8599158330582</v>
      </c>
      <c r="CX12" s="707" t="n">
        <v>65.8599158330582</v>
      </c>
      <c r="CY12" s="707" t="n">
        <v>65.8599158330582</v>
      </c>
      <c r="CZ12" s="707" t="n">
        <v>65.8599158330582</v>
      </c>
      <c r="DA12" s="707" t="n">
        <v>65.8599158330582</v>
      </c>
      <c r="DB12" s="707" t="n">
        <v>65.8599158330582</v>
      </c>
      <c r="DC12" s="707" t="n">
        <v>65.8599158330582</v>
      </c>
      <c r="DD12" s="707" t="n">
        <v>65.8599158330582</v>
      </c>
      <c r="DE12" s="707" t="n">
        <v>65.8599158330582</v>
      </c>
      <c r="DF12" s="707" t="n">
        <v>65.8599158330582</v>
      </c>
      <c r="DG12" s="707" t="n">
        <v>65.8599158330582</v>
      </c>
      <c r="DH12" s="707" t="n">
        <v>65.8599158330582</v>
      </c>
      <c r="DI12" s="707" t="n">
        <v>65.8599158330582</v>
      </c>
      <c r="DJ12" s="707" t="n">
        <v>65.8599158330582</v>
      </c>
      <c r="DK12" s="707" t="n">
        <v>65.8599158330582</v>
      </c>
      <c r="DL12" s="707" t="n">
        <v>65.8599158330582</v>
      </c>
      <c r="DM12" s="707" t="n">
        <v>65.8599158330582</v>
      </c>
    </row>
    <row r="13" ht="13.5" customHeight="1" s="355">
      <c r="A13" s="702" t="inlineStr">
        <is>
          <t>US</t>
        </is>
      </c>
      <c r="B13" s="703" t="inlineStr">
        <is>
          <t>Gen Acctg</t>
        </is>
      </c>
      <c r="D13" s="704" t="n">
        <v>0</v>
      </c>
      <c r="E13" s="704" t="n">
        <v>0</v>
      </c>
      <c r="F13" s="704" t="n">
        <v>0</v>
      </c>
      <c r="G13" s="704" t="n">
        <v>0</v>
      </c>
      <c r="H13" s="704" t="n">
        <v>0</v>
      </c>
      <c r="I13" s="704" t="n">
        <v>0</v>
      </c>
      <c r="J13" s="704" t="n">
        <v>0</v>
      </c>
      <c r="K13" s="704" t="n">
        <v>2.09088483676703</v>
      </c>
      <c r="L13" s="704" t="n">
        <v>3.60096832998765</v>
      </c>
      <c r="M13" s="704" t="n">
        <v>3.60096832998765</v>
      </c>
      <c r="N13" s="704" t="n">
        <v>3.60096832998765</v>
      </c>
      <c r="O13" s="704" t="n">
        <v>3.60096832998765</v>
      </c>
      <c r="P13" s="704" t="n">
        <v>3.70899737988728</v>
      </c>
      <c r="Q13" s="704" t="n">
        <v>3.70899737988728</v>
      </c>
      <c r="R13" s="704" t="n">
        <v>3.70899737988728</v>
      </c>
      <c r="S13" s="704" t="n">
        <v>3.70899737988728</v>
      </c>
      <c r="T13" s="704" t="n">
        <v>3.70899737988728</v>
      </c>
      <c r="U13" s="704" t="n">
        <v>3.70899737988728</v>
      </c>
      <c r="V13" s="704" t="n">
        <v>3.70899737988728</v>
      </c>
      <c r="W13" s="704" t="n">
        <v>3.70899737988728</v>
      </c>
      <c r="X13" s="704" t="n">
        <v>3.70899737988728</v>
      </c>
      <c r="Y13" s="704" t="n">
        <v>3.70899737988728</v>
      </c>
      <c r="Z13" s="704" t="n">
        <v>3.70899737988728</v>
      </c>
      <c r="AA13" s="704" t="n">
        <v>3.70899737988728</v>
      </c>
      <c r="AB13" s="704" t="n">
        <v>3.8202673012839</v>
      </c>
      <c r="AC13" s="704" t="n">
        <v>3.7247606187518</v>
      </c>
      <c r="AD13" s="704" t="n">
        <v>3.7247606187518</v>
      </c>
      <c r="AE13" s="704" t="n">
        <v>3.7247606187518</v>
      </c>
      <c r="AF13" s="704" t="n">
        <v>3.7247606187518</v>
      </c>
      <c r="AG13" s="704" t="n">
        <v>3.7247606187518</v>
      </c>
      <c r="AH13" s="704" t="n">
        <v>3.7247606187518</v>
      </c>
      <c r="AI13" s="704" t="n">
        <v>3.7247606187518</v>
      </c>
      <c r="AJ13" s="704" t="n">
        <v>3.7247606187518</v>
      </c>
      <c r="AK13" s="704" t="n">
        <v>3.7247606187518</v>
      </c>
      <c r="AL13" s="704" t="n">
        <v>3.7247606187518</v>
      </c>
      <c r="AM13" s="704" t="n">
        <v>3.7247606187518</v>
      </c>
      <c r="AN13" s="704" t="n">
        <v>3.83650343731436</v>
      </c>
      <c r="AO13" s="704" t="n">
        <v>3.7381315543063</v>
      </c>
      <c r="AP13" s="704" t="n">
        <v>3.7381315543063</v>
      </c>
      <c r="AQ13" s="704" t="n">
        <v>3.7381315543063</v>
      </c>
      <c r="AR13" s="704" t="n">
        <v>3.7381315543063</v>
      </c>
      <c r="AS13" s="704" t="n">
        <v>3.7381315543063</v>
      </c>
      <c r="AT13" s="704" t="n">
        <v>3.7381315543063</v>
      </c>
      <c r="AU13" s="704" t="n">
        <v>3.7381315543063</v>
      </c>
      <c r="AV13" s="704" t="n">
        <v>3.7381315543063</v>
      </c>
      <c r="AW13" s="704" t="n">
        <v>3.7381315543063</v>
      </c>
      <c r="AX13" s="704" t="n">
        <v>3.7381315543063</v>
      </c>
      <c r="AY13" s="704" t="n">
        <v>3.7381315543063</v>
      </c>
      <c r="AZ13" s="704" t="n">
        <v>3.85027550093549</v>
      </c>
      <c r="BA13" s="704" t="n">
        <v>3.74895246143719</v>
      </c>
      <c r="BB13" s="704" t="n">
        <v>3.74895246143719</v>
      </c>
      <c r="BC13" s="704" t="n">
        <v>3.74895246143719</v>
      </c>
      <c r="BD13" s="704" t="n">
        <v>3.74895246143719</v>
      </c>
      <c r="BE13" s="704" t="n">
        <v>3.74895246143719</v>
      </c>
      <c r="BF13" s="704" t="n">
        <v>3.74895246143719</v>
      </c>
      <c r="BG13" s="704" t="n">
        <v>3.74895246143719</v>
      </c>
      <c r="BH13" s="704" t="n">
        <v>3.74895246143719</v>
      </c>
      <c r="BI13" s="704" t="n">
        <v>3.74895246143719</v>
      </c>
      <c r="BJ13" s="704" t="n">
        <v>3.74895246143719</v>
      </c>
      <c r="BK13" s="704" t="n">
        <v>3.74895246143719</v>
      </c>
      <c r="BL13" s="704" t="n">
        <v>3.8614210352803</v>
      </c>
      <c r="BM13" s="704" t="n">
        <v>3.6526955739138</v>
      </c>
      <c r="BN13" s="704" t="n">
        <v>3.6526955739138</v>
      </c>
      <c r="BO13" s="704" t="n">
        <v>3.6526955739138</v>
      </c>
      <c r="BP13" s="704" t="n">
        <v>3.6526955739138</v>
      </c>
      <c r="BQ13" s="704" t="n">
        <v>3.6526955739138</v>
      </c>
      <c r="BR13" s="704" t="n">
        <v>3.6526955739138</v>
      </c>
      <c r="BS13" s="704" t="n">
        <v>3.6526955739138</v>
      </c>
      <c r="BT13" s="704" t="n">
        <v>3.6526955739138</v>
      </c>
      <c r="BU13" s="704" t="n">
        <v>3.6526955739138</v>
      </c>
      <c r="BV13" s="704" t="n">
        <v>3.6526955739138</v>
      </c>
      <c r="BW13" s="704" t="n">
        <v>3.6526955739138</v>
      </c>
      <c r="BX13" s="704" t="n">
        <v>3.76227644113121</v>
      </c>
      <c r="BY13" s="704" t="n">
        <v>3.76227644113121</v>
      </c>
      <c r="BZ13" s="704" t="n">
        <v>3.76227644113121</v>
      </c>
      <c r="CA13" s="704" t="n">
        <v>3.76227644113121</v>
      </c>
      <c r="CB13" s="704" t="n">
        <v>3.76227644113121</v>
      </c>
      <c r="CC13" s="704" t="n">
        <v>3.76227644113121</v>
      </c>
      <c r="CD13" s="704" t="n">
        <v>3.76227644113121</v>
      </c>
      <c r="CE13" s="704" t="n">
        <v>3.76227644113121</v>
      </c>
      <c r="CF13" s="704" t="n">
        <v>3.76227644113121</v>
      </c>
      <c r="CG13" s="704" t="n">
        <v>3.76227644113121</v>
      </c>
      <c r="CH13" s="704" t="n">
        <v>3.76227644113121</v>
      </c>
      <c r="CI13" s="704" t="n">
        <v>3.76227644113121</v>
      </c>
      <c r="CJ13" s="704" t="n">
        <v>3.87514473436515</v>
      </c>
      <c r="CK13" s="704" t="n">
        <v>3.87514473436515</v>
      </c>
      <c r="CL13" s="704" t="n">
        <v>3.87514473436515</v>
      </c>
      <c r="CM13" s="704" t="n">
        <v>3.87514473436515</v>
      </c>
      <c r="CN13" s="704" t="n">
        <v>3.87514473436515</v>
      </c>
      <c r="CO13" s="704" t="n">
        <v>3.87514473436515</v>
      </c>
      <c r="CP13" s="704" t="n">
        <v>3.87514473436515</v>
      </c>
      <c r="CQ13" s="704" t="n">
        <v>3.87514473436515</v>
      </c>
      <c r="CR13" s="704" t="n">
        <v>3.87514473436515</v>
      </c>
      <c r="CS13" s="704" t="n">
        <v>3.87514473436515</v>
      </c>
      <c r="CT13" s="704" t="n">
        <v>3.87514473436515</v>
      </c>
      <c r="CU13" s="704" t="n">
        <v>3.87514473436515</v>
      </c>
      <c r="CV13" s="704" t="n">
        <v>3.9913990763961</v>
      </c>
      <c r="CW13" s="704" t="n">
        <v>3.9913990763961</v>
      </c>
      <c r="CX13" s="704" t="n">
        <v>3.9913990763961</v>
      </c>
      <c r="CY13" s="704" t="n">
        <v>3.9913990763961</v>
      </c>
      <c r="CZ13" s="704" t="n">
        <v>3.9913990763961</v>
      </c>
      <c r="DA13" s="704" t="n">
        <v>3.9913990763961</v>
      </c>
      <c r="DB13" s="704" t="n">
        <v>3.9913990763961</v>
      </c>
      <c r="DC13" s="704" t="n">
        <v>3.9913990763961</v>
      </c>
      <c r="DD13" s="704" t="n">
        <v>3.9913990763961</v>
      </c>
      <c r="DE13" s="704" t="n">
        <v>3.9913990763961</v>
      </c>
      <c r="DF13" s="704" t="n">
        <v>3.9913990763961</v>
      </c>
      <c r="DG13" s="704" t="n">
        <v>3.9913990763961</v>
      </c>
      <c r="DH13" s="704" t="n">
        <v>3.9913990763961</v>
      </c>
      <c r="DI13" s="704" t="n">
        <v>3.9913990763961</v>
      </c>
      <c r="DJ13" s="704" t="n">
        <v>3.9913990763961</v>
      </c>
      <c r="DK13" s="704" t="n">
        <v>3.9913990763961</v>
      </c>
      <c r="DL13" s="704" t="n">
        <v>3.9913990763961</v>
      </c>
      <c r="DM13" s="704" t="n">
        <v>3.9913990763961</v>
      </c>
    </row>
    <row r="14" ht="13.5" customHeight="1" s="355">
      <c r="B14" s="703" t="inlineStr">
        <is>
          <t>Reporting</t>
        </is>
      </c>
      <c r="D14" s="704" t="n">
        <v>0</v>
      </c>
      <c r="E14" s="704" t="n">
        <v>0</v>
      </c>
      <c r="F14" s="704" t="n">
        <v>0</v>
      </c>
      <c r="G14" s="704" t="n">
        <v>0</v>
      </c>
      <c r="H14" s="704" t="n">
        <v>0</v>
      </c>
      <c r="I14" s="704" t="n">
        <v>0</v>
      </c>
      <c r="J14" s="704" t="n">
        <v>0</v>
      </c>
      <c r="K14" s="704" t="n">
        <v>0</v>
      </c>
      <c r="L14" s="704" t="n">
        <v>0</v>
      </c>
      <c r="M14" s="704" t="n">
        <v>0</v>
      </c>
      <c r="N14" s="704" t="n">
        <v>0</v>
      </c>
      <c r="O14" s="704" t="n">
        <v>0</v>
      </c>
      <c r="P14" s="704" t="n">
        <v>0</v>
      </c>
      <c r="Q14" s="704" t="n">
        <v>0</v>
      </c>
      <c r="R14" s="704" t="n">
        <v>0</v>
      </c>
      <c r="S14" s="704" t="n">
        <v>0</v>
      </c>
      <c r="T14" s="704" t="n">
        <v>0</v>
      </c>
      <c r="U14" s="704" t="n">
        <v>0</v>
      </c>
      <c r="V14" s="704" t="n">
        <v>0</v>
      </c>
      <c r="W14" s="704" t="n">
        <v>0</v>
      </c>
      <c r="X14" s="704" t="n">
        <v>0</v>
      </c>
      <c r="Y14" s="704" t="n">
        <v>0</v>
      </c>
      <c r="Z14" s="704" t="n">
        <v>0</v>
      </c>
      <c r="AA14" s="704" t="n">
        <v>0</v>
      </c>
      <c r="AB14" s="704" t="n">
        <v>0</v>
      </c>
      <c r="AC14" s="704" t="n">
        <v>0</v>
      </c>
      <c r="AD14" s="704" t="n">
        <v>0</v>
      </c>
      <c r="AE14" s="704" t="n">
        <v>0</v>
      </c>
      <c r="AF14" s="704" t="n">
        <v>0</v>
      </c>
      <c r="AG14" s="704" t="n">
        <v>0</v>
      </c>
      <c r="AH14" s="704" t="n">
        <v>0</v>
      </c>
      <c r="AI14" s="704" t="n">
        <v>0</v>
      </c>
      <c r="AJ14" s="704" t="n">
        <v>0</v>
      </c>
      <c r="AK14" s="704" t="n">
        <v>0</v>
      </c>
      <c r="AL14" s="704" t="n">
        <v>0</v>
      </c>
      <c r="AM14" s="704" t="n">
        <v>0</v>
      </c>
      <c r="AN14" s="704" t="n">
        <v>0</v>
      </c>
      <c r="AO14" s="704" t="n">
        <v>0</v>
      </c>
      <c r="AP14" s="704" t="n">
        <v>0</v>
      </c>
      <c r="AQ14" s="704" t="n">
        <v>0</v>
      </c>
      <c r="AR14" s="704" t="n">
        <v>0</v>
      </c>
      <c r="AS14" s="704" t="n">
        <v>0</v>
      </c>
      <c r="AT14" s="704" t="n">
        <v>0</v>
      </c>
      <c r="AU14" s="704" t="n">
        <v>0</v>
      </c>
      <c r="AV14" s="704" t="n">
        <v>0</v>
      </c>
      <c r="AW14" s="704" t="n">
        <v>0</v>
      </c>
      <c r="AX14" s="704" t="n">
        <v>0</v>
      </c>
      <c r="AY14" s="704" t="n">
        <v>0</v>
      </c>
      <c r="AZ14" s="704" t="n">
        <v>0</v>
      </c>
      <c r="BA14" s="704" t="n">
        <v>0</v>
      </c>
      <c r="BB14" s="704" t="n">
        <v>0</v>
      </c>
      <c r="BC14" s="704" t="n">
        <v>0</v>
      </c>
      <c r="BD14" s="704" t="n">
        <v>0</v>
      </c>
      <c r="BE14" s="704" t="n">
        <v>0</v>
      </c>
      <c r="BF14" s="704" t="n">
        <v>0</v>
      </c>
      <c r="BG14" s="704" t="n">
        <v>0</v>
      </c>
      <c r="BH14" s="704" t="n">
        <v>0</v>
      </c>
      <c r="BI14" s="704" t="n">
        <v>0</v>
      </c>
      <c r="BJ14" s="704" t="n">
        <v>0</v>
      </c>
      <c r="BK14" s="704" t="n">
        <v>0</v>
      </c>
      <c r="BL14" s="704" t="n">
        <v>0</v>
      </c>
      <c r="BM14" s="704" t="n">
        <v>0</v>
      </c>
      <c r="BN14" s="704" t="n">
        <v>0</v>
      </c>
      <c r="BO14" s="704" t="n">
        <v>0</v>
      </c>
      <c r="BP14" s="704" t="n">
        <v>0</v>
      </c>
      <c r="BQ14" s="704" t="n">
        <v>0</v>
      </c>
      <c r="BR14" s="704" t="n">
        <v>0</v>
      </c>
      <c r="BS14" s="704" t="n">
        <v>0</v>
      </c>
      <c r="BT14" s="704" t="n">
        <v>0</v>
      </c>
      <c r="BU14" s="704" t="n">
        <v>0</v>
      </c>
      <c r="BV14" s="704" t="n">
        <v>0</v>
      </c>
      <c r="BW14" s="704" t="n">
        <v>0</v>
      </c>
      <c r="BX14" s="704" t="n">
        <v>0</v>
      </c>
      <c r="BY14" s="704" t="n">
        <v>0</v>
      </c>
      <c r="BZ14" s="704" t="n">
        <v>0</v>
      </c>
      <c r="CA14" s="704" t="n">
        <v>0</v>
      </c>
      <c r="CB14" s="704" t="n">
        <v>0</v>
      </c>
      <c r="CC14" s="704" t="n">
        <v>0</v>
      </c>
      <c r="CD14" s="704" t="n">
        <v>0</v>
      </c>
      <c r="CE14" s="704" t="n">
        <v>0</v>
      </c>
      <c r="CF14" s="704" t="n">
        <v>0</v>
      </c>
      <c r="CG14" s="704" t="n">
        <v>0</v>
      </c>
      <c r="CH14" s="704" t="n">
        <v>0</v>
      </c>
      <c r="CI14" s="704" t="n">
        <v>0</v>
      </c>
      <c r="CJ14" s="704" t="n">
        <v>0</v>
      </c>
      <c r="CK14" s="704" t="n">
        <v>0</v>
      </c>
      <c r="CL14" s="704" t="n">
        <v>0</v>
      </c>
      <c r="CM14" s="704" t="n">
        <v>0</v>
      </c>
      <c r="CN14" s="704" t="n">
        <v>0</v>
      </c>
      <c r="CO14" s="704" t="n">
        <v>0</v>
      </c>
      <c r="CP14" s="704" t="n">
        <v>0</v>
      </c>
      <c r="CQ14" s="704" t="n">
        <v>0</v>
      </c>
      <c r="CR14" s="704" t="n">
        <v>0</v>
      </c>
      <c r="CS14" s="704" t="n">
        <v>0</v>
      </c>
      <c r="CT14" s="704" t="n">
        <v>0</v>
      </c>
      <c r="CU14" s="704" t="n">
        <v>0</v>
      </c>
      <c r="CV14" s="704" t="n">
        <v>0</v>
      </c>
      <c r="CW14" s="704" t="n">
        <v>0</v>
      </c>
      <c r="CX14" s="704" t="n">
        <v>0</v>
      </c>
      <c r="CY14" s="704" t="n">
        <v>0</v>
      </c>
      <c r="CZ14" s="704" t="n">
        <v>0</v>
      </c>
      <c r="DA14" s="704" t="n">
        <v>0</v>
      </c>
      <c r="DB14" s="704" t="n">
        <v>0</v>
      </c>
      <c r="DC14" s="704" t="n">
        <v>0</v>
      </c>
      <c r="DD14" s="704" t="n">
        <v>0</v>
      </c>
      <c r="DE14" s="704" t="n">
        <v>0</v>
      </c>
      <c r="DF14" s="704" t="n">
        <v>0</v>
      </c>
      <c r="DG14" s="704" t="n">
        <v>0</v>
      </c>
      <c r="DH14" s="704" t="n">
        <v>0</v>
      </c>
      <c r="DI14" s="704" t="n">
        <v>0</v>
      </c>
      <c r="DJ14" s="704" t="n">
        <v>0</v>
      </c>
      <c r="DK14" s="704" t="n">
        <v>0</v>
      </c>
      <c r="DL14" s="704" t="n">
        <v>0</v>
      </c>
      <c r="DM14" s="704" t="n">
        <v>0</v>
      </c>
    </row>
    <row r="15" ht="13.5" customHeight="1" s="355">
      <c r="B15" s="703" t="inlineStr">
        <is>
          <t>Fixed Assets</t>
        </is>
      </c>
      <c r="D15" s="704" t="n">
        <v>0</v>
      </c>
      <c r="E15" s="704" t="n">
        <v>0</v>
      </c>
      <c r="F15" s="704" t="n">
        <v>0</v>
      </c>
      <c r="G15" s="704" t="n">
        <v>0</v>
      </c>
      <c r="H15" s="704" t="n">
        <v>0</v>
      </c>
      <c r="I15" s="704" t="n">
        <v>0</v>
      </c>
      <c r="J15" s="704" t="n">
        <v>0</v>
      </c>
      <c r="K15" s="704" t="n">
        <v>2.09088483676703</v>
      </c>
      <c r="L15" s="704" t="n">
        <v>3.60096832998765</v>
      </c>
      <c r="M15" s="704" t="n">
        <v>3.60096832998765</v>
      </c>
      <c r="N15" s="704" t="n">
        <v>3.60096832998765</v>
      </c>
      <c r="O15" s="704" t="n">
        <v>3.60096832998765</v>
      </c>
      <c r="P15" s="704" t="n">
        <v>3.70899737988728</v>
      </c>
      <c r="Q15" s="704" t="n">
        <v>3.70899737988728</v>
      </c>
      <c r="R15" s="704" t="n">
        <v>3.70899737988728</v>
      </c>
      <c r="S15" s="704" t="n">
        <v>3.70899737988728</v>
      </c>
      <c r="T15" s="704" t="n">
        <v>3.70899737988728</v>
      </c>
      <c r="U15" s="704" t="n">
        <v>3.70899737988728</v>
      </c>
      <c r="V15" s="704" t="n">
        <v>3.70899737988728</v>
      </c>
      <c r="W15" s="704" t="n">
        <v>3.70899737988728</v>
      </c>
      <c r="X15" s="704" t="n">
        <v>3.70899737988728</v>
      </c>
      <c r="Y15" s="704" t="n">
        <v>3.70899737988728</v>
      </c>
      <c r="Z15" s="704" t="n">
        <v>3.70899737988728</v>
      </c>
      <c r="AA15" s="704" t="n">
        <v>3.70899737988728</v>
      </c>
      <c r="AB15" s="704" t="n">
        <v>3.8202673012839</v>
      </c>
      <c r="AC15" s="704" t="n">
        <v>3.7247606187518</v>
      </c>
      <c r="AD15" s="704" t="n">
        <v>3.7247606187518</v>
      </c>
      <c r="AE15" s="704" t="n">
        <v>3.7247606187518</v>
      </c>
      <c r="AF15" s="704" t="n">
        <v>3.7247606187518</v>
      </c>
      <c r="AG15" s="704" t="n">
        <v>3.7247606187518</v>
      </c>
      <c r="AH15" s="704" t="n">
        <v>3.7247606187518</v>
      </c>
      <c r="AI15" s="704" t="n">
        <v>3.7247606187518</v>
      </c>
      <c r="AJ15" s="704" t="n">
        <v>3.7247606187518</v>
      </c>
      <c r="AK15" s="704" t="n">
        <v>3.7247606187518</v>
      </c>
      <c r="AL15" s="704" t="n">
        <v>3.7247606187518</v>
      </c>
      <c r="AM15" s="704" t="n">
        <v>3.7247606187518</v>
      </c>
      <c r="AN15" s="704" t="n">
        <v>3.83650343731436</v>
      </c>
      <c r="AO15" s="704" t="n">
        <v>3.7381315543063</v>
      </c>
      <c r="AP15" s="704" t="n">
        <v>3.7381315543063</v>
      </c>
      <c r="AQ15" s="704" t="n">
        <v>3.7381315543063</v>
      </c>
      <c r="AR15" s="704" t="n">
        <v>3.7381315543063</v>
      </c>
      <c r="AS15" s="704" t="n">
        <v>3.7381315543063</v>
      </c>
      <c r="AT15" s="704" t="n">
        <v>3.7381315543063</v>
      </c>
      <c r="AU15" s="704" t="n">
        <v>3.7381315543063</v>
      </c>
      <c r="AV15" s="704" t="n">
        <v>3.7381315543063</v>
      </c>
      <c r="AW15" s="704" t="n">
        <v>3.7381315543063</v>
      </c>
      <c r="AX15" s="704" t="n">
        <v>3.7381315543063</v>
      </c>
      <c r="AY15" s="704" t="n">
        <v>3.7381315543063</v>
      </c>
      <c r="AZ15" s="704" t="n">
        <v>3.85027550093549</v>
      </c>
      <c r="BA15" s="704" t="n">
        <v>3.74895246143719</v>
      </c>
      <c r="BB15" s="704" t="n">
        <v>3.74895246143719</v>
      </c>
      <c r="BC15" s="704" t="n">
        <v>3.74895246143719</v>
      </c>
      <c r="BD15" s="704" t="n">
        <v>3.74895246143719</v>
      </c>
      <c r="BE15" s="704" t="n">
        <v>3.74895246143719</v>
      </c>
      <c r="BF15" s="704" t="n">
        <v>3.74895246143719</v>
      </c>
      <c r="BG15" s="704" t="n">
        <v>3.74895246143719</v>
      </c>
      <c r="BH15" s="704" t="n">
        <v>3.74895246143719</v>
      </c>
      <c r="BI15" s="704" t="n">
        <v>3.74895246143719</v>
      </c>
      <c r="BJ15" s="704" t="n">
        <v>3.74895246143719</v>
      </c>
      <c r="BK15" s="704" t="n">
        <v>3.74895246143719</v>
      </c>
      <c r="BL15" s="704" t="n">
        <v>3.8614210352803</v>
      </c>
      <c r="BM15" s="704" t="n">
        <v>3.6526955739138</v>
      </c>
      <c r="BN15" s="704" t="n">
        <v>3.6526955739138</v>
      </c>
      <c r="BO15" s="704" t="n">
        <v>3.6526955739138</v>
      </c>
      <c r="BP15" s="704" t="n">
        <v>3.6526955739138</v>
      </c>
      <c r="BQ15" s="704" t="n">
        <v>3.6526955739138</v>
      </c>
      <c r="BR15" s="704" t="n">
        <v>3.6526955739138</v>
      </c>
      <c r="BS15" s="704" t="n">
        <v>3.6526955739138</v>
      </c>
      <c r="BT15" s="704" t="n">
        <v>3.6526955739138</v>
      </c>
      <c r="BU15" s="704" t="n">
        <v>3.6526955739138</v>
      </c>
      <c r="BV15" s="704" t="n">
        <v>3.6526955739138</v>
      </c>
      <c r="BW15" s="704" t="n">
        <v>3.6526955739138</v>
      </c>
      <c r="BX15" s="704" t="n">
        <v>3.76227644113121</v>
      </c>
      <c r="BY15" s="704" t="n">
        <v>3.76227644113121</v>
      </c>
      <c r="BZ15" s="704" t="n">
        <v>3.76227644113121</v>
      </c>
      <c r="CA15" s="704" t="n">
        <v>3.76227644113121</v>
      </c>
      <c r="CB15" s="704" t="n">
        <v>3.76227644113121</v>
      </c>
      <c r="CC15" s="704" t="n">
        <v>3.76227644113121</v>
      </c>
      <c r="CD15" s="704" t="n">
        <v>3.76227644113121</v>
      </c>
      <c r="CE15" s="704" t="n">
        <v>3.76227644113121</v>
      </c>
      <c r="CF15" s="704" t="n">
        <v>3.76227644113121</v>
      </c>
      <c r="CG15" s="704" t="n">
        <v>3.76227644113121</v>
      </c>
      <c r="CH15" s="704" t="n">
        <v>3.76227644113121</v>
      </c>
      <c r="CI15" s="704" t="n">
        <v>3.76227644113121</v>
      </c>
      <c r="CJ15" s="704" t="n">
        <v>3.87514473436515</v>
      </c>
      <c r="CK15" s="704" t="n">
        <v>3.87514473436515</v>
      </c>
      <c r="CL15" s="704" t="n">
        <v>3.87514473436515</v>
      </c>
      <c r="CM15" s="704" t="n">
        <v>3.87514473436515</v>
      </c>
      <c r="CN15" s="704" t="n">
        <v>3.87514473436515</v>
      </c>
      <c r="CO15" s="704" t="n">
        <v>3.87514473436515</v>
      </c>
      <c r="CP15" s="704" t="n">
        <v>3.87514473436515</v>
      </c>
      <c r="CQ15" s="704" t="n">
        <v>3.87514473436515</v>
      </c>
      <c r="CR15" s="704" t="n">
        <v>3.87514473436515</v>
      </c>
      <c r="CS15" s="704" t="n">
        <v>3.87514473436515</v>
      </c>
      <c r="CT15" s="704" t="n">
        <v>3.87514473436515</v>
      </c>
      <c r="CU15" s="704" t="n">
        <v>3.87514473436515</v>
      </c>
      <c r="CV15" s="704" t="n">
        <v>3.9913990763961</v>
      </c>
      <c r="CW15" s="704" t="n">
        <v>3.9913990763961</v>
      </c>
      <c r="CX15" s="704" t="n">
        <v>3.9913990763961</v>
      </c>
      <c r="CY15" s="704" t="n">
        <v>3.9913990763961</v>
      </c>
      <c r="CZ15" s="704" t="n">
        <v>3.9913990763961</v>
      </c>
      <c r="DA15" s="704" t="n">
        <v>3.9913990763961</v>
      </c>
      <c r="DB15" s="704" t="n">
        <v>3.9913990763961</v>
      </c>
      <c r="DC15" s="704" t="n">
        <v>3.9913990763961</v>
      </c>
      <c r="DD15" s="704" t="n">
        <v>3.9913990763961</v>
      </c>
      <c r="DE15" s="704" t="n">
        <v>3.9913990763961</v>
      </c>
      <c r="DF15" s="704" t="n">
        <v>3.9913990763961</v>
      </c>
      <c r="DG15" s="704" t="n">
        <v>3.9913990763961</v>
      </c>
      <c r="DH15" s="704" t="n">
        <v>3.9913990763961</v>
      </c>
      <c r="DI15" s="704" t="n">
        <v>3.9913990763961</v>
      </c>
      <c r="DJ15" s="704" t="n">
        <v>3.9913990763961</v>
      </c>
      <c r="DK15" s="704" t="n">
        <v>3.9913990763961</v>
      </c>
      <c r="DL15" s="704" t="n">
        <v>3.9913990763961</v>
      </c>
      <c r="DM15" s="704" t="n">
        <v>3.9913990763961</v>
      </c>
    </row>
    <row r="16" ht="13.5" customHeight="1" s="355">
      <c r="B16" s="703" t="inlineStr">
        <is>
          <t>Acct Payable</t>
        </is>
      </c>
      <c r="D16" s="704" t="n">
        <v>0</v>
      </c>
      <c r="E16" s="704" t="n">
        <v>0</v>
      </c>
      <c r="F16" s="704" t="n">
        <v>0</v>
      </c>
      <c r="G16" s="704" t="n">
        <v>0</v>
      </c>
      <c r="H16" s="704" t="n">
        <v>0</v>
      </c>
      <c r="I16" s="704" t="n">
        <v>0</v>
      </c>
      <c r="J16" s="704" t="n">
        <v>0</v>
      </c>
      <c r="K16" s="704" t="n">
        <v>0</v>
      </c>
      <c r="L16" s="704" t="n">
        <v>13.2791718959222</v>
      </c>
      <c r="M16" s="704" t="n">
        <v>19.9187578438833</v>
      </c>
      <c r="N16" s="704" t="n">
        <v>19.9187578438833</v>
      </c>
      <c r="O16" s="704" t="n">
        <v>19.9187578438833</v>
      </c>
      <c r="P16" s="704" t="n">
        <v>20.5163205791998</v>
      </c>
      <c r="Q16" s="704" t="n">
        <v>20.5163205791998</v>
      </c>
      <c r="R16" s="704" t="n">
        <v>20.5163205791998</v>
      </c>
      <c r="S16" s="704" t="n">
        <v>20.5163205791998</v>
      </c>
      <c r="T16" s="704" t="n">
        <v>19.3765249914664</v>
      </c>
      <c r="U16" s="704" t="n">
        <v>19.3765249914664</v>
      </c>
      <c r="V16" s="704" t="n">
        <v>19.3765249914664</v>
      </c>
      <c r="W16" s="704" t="n">
        <v>19.3765249914664</v>
      </c>
      <c r="X16" s="704" t="n">
        <v>19.3765249914664</v>
      </c>
      <c r="Y16" s="704" t="n">
        <v>19.3765249914664</v>
      </c>
      <c r="Z16" s="704" t="n">
        <v>19.3765249914664</v>
      </c>
      <c r="AA16" s="704" t="n">
        <v>19.3765249914664</v>
      </c>
      <c r="AB16" s="704" t="n">
        <v>19.9578207412104</v>
      </c>
      <c r="AC16" s="704" t="n">
        <v>18.7838312858451</v>
      </c>
      <c r="AD16" s="704" t="n">
        <v>18.7838312858451</v>
      </c>
      <c r="AE16" s="704" t="n">
        <v>18.7838312858451</v>
      </c>
      <c r="AF16" s="704" t="n">
        <v>18.7838312858451</v>
      </c>
      <c r="AG16" s="704" t="n">
        <v>18.7838312858451</v>
      </c>
      <c r="AH16" s="704" t="n">
        <v>18.7838312858451</v>
      </c>
      <c r="AI16" s="704" t="n">
        <v>18.7838312858451</v>
      </c>
      <c r="AJ16" s="704" t="n">
        <v>18.7838312858451</v>
      </c>
      <c r="AK16" s="704" t="n">
        <v>18.7838312858451</v>
      </c>
      <c r="AL16" s="704" t="n">
        <v>18.7838312858451</v>
      </c>
      <c r="AM16" s="704" t="n">
        <v>18.7838312858451</v>
      </c>
      <c r="AN16" s="704" t="n">
        <v>19.3473462244205</v>
      </c>
      <c r="AO16" s="704" t="n">
        <v>18.1381370853942</v>
      </c>
      <c r="AP16" s="704" t="n">
        <v>18.1381370853942</v>
      </c>
      <c r="AQ16" s="704" t="n">
        <v>18.1381370853942</v>
      </c>
      <c r="AR16" s="704" t="n">
        <v>18.1381370853942</v>
      </c>
      <c r="AS16" s="704" t="n">
        <v>18.1381370853942</v>
      </c>
      <c r="AT16" s="704" t="n">
        <v>18.1381370853942</v>
      </c>
      <c r="AU16" s="704" t="n">
        <v>18.1381370853942</v>
      </c>
      <c r="AV16" s="704" t="n">
        <v>18.1381370853942</v>
      </c>
      <c r="AW16" s="704" t="n">
        <v>18.1381370853942</v>
      </c>
      <c r="AX16" s="704" t="n">
        <v>18.1381370853942</v>
      </c>
      <c r="AY16" s="704" t="n">
        <v>18.1381370853942</v>
      </c>
      <c r="AZ16" s="704" t="n">
        <v>18.682281197956</v>
      </c>
      <c r="BA16" s="704" t="n">
        <v>17.436795784759</v>
      </c>
      <c r="BB16" s="704" t="n">
        <v>17.436795784759</v>
      </c>
      <c r="BC16" s="704" t="n">
        <v>17.436795784759</v>
      </c>
      <c r="BD16" s="704" t="n">
        <v>17.436795784759</v>
      </c>
      <c r="BE16" s="704" t="n">
        <v>17.436795784759</v>
      </c>
      <c r="BF16" s="704" t="n">
        <v>17.436795784759</v>
      </c>
      <c r="BG16" s="704" t="n">
        <v>17.436795784759</v>
      </c>
      <c r="BH16" s="704" t="n">
        <v>17.436795784759</v>
      </c>
      <c r="BI16" s="704" t="n">
        <v>17.436795784759</v>
      </c>
      <c r="BJ16" s="704" t="n">
        <v>17.436795784759</v>
      </c>
      <c r="BK16" s="704" t="n">
        <v>17.436795784759</v>
      </c>
      <c r="BL16" s="704" t="n">
        <v>17.9598996583017</v>
      </c>
      <c r="BM16" s="704" t="n">
        <v>17.9598996583017</v>
      </c>
      <c r="BN16" s="704" t="n">
        <v>17.9598996583017</v>
      </c>
      <c r="BO16" s="704" t="n">
        <v>17.9598996583017</v>
      </c>
      <c r="BP16" s="704" t="n">
        <v>17.9598996583017</v>
      </c>
      <c r="BQ16" s="704" t="n">
        <v>17.9598996583017</v>
      </c>
      <c r="BR16" s="704" t="n">
        <v>17.9598996583017</v>
      </c>
      <c r="BS16" s="704" t="n">
        <v>17.9598996583017</v>
      </c>
      <c r="BT16" s="704" t="n">
        <v>17.9598996583017</v>
      </c>
      <c r="BU16" s="704" t="n">
        <v>17.9598996583017</v>
      </c>
      <c r="BV16" s="704" t="n">
        <v>17.9598996583017</v>
      </c>
      <c r="BW16" s="704" t="n">
        <v>17.9598996583017</v>
      </c>
      <c r="BX16" s="704" t="n">
        <v>18.4986966480508</v>
      </c>
      <c r="BY16" s="704" t="n">
        <v>18.4986966480508</v>
      </c>
      <c r="BZ16" s="704" t="n">
        <v>18.4986966480508</v>
      </c>
      <c r="CA16" s="704" t="n">
        <v>18.4986966480508</v>
      </c>
      <c r="CB16" s="704" t="n">
        <v>18.4986966480508</v>
      </c>
      <c r="CC16" s="704" t="n">
        <v>18.4986966480508</v>
      </c>
      <c r="CD16" s="704" t="n">
        <v>18.4986966480508</v>
      </c>
      <c r="CE16" s="704" t="n">
        <v>18.4986966480508</v>
      </c>
      <c r="CF16" s="704" t="n">
        <v>18.4986966480508</v>
      </c>
      <c r="CG16" s="704" t="n">
        <v>18.4986966480508</v>
      </c>
      <c r="CH16" s="704" t="n">
        <v>18.4986966480508</v>
      </c>
      <c r="CI16" s="704" t="n">
        <v>18.4986966480508</v>
      </c>
      <c r="CJ16" s="704" t="n">
        <v>19.0536575474923</v>
      </c>
      <c r="CK16" s="704" t="n">
        <v>19.0536575474923</v>
      </c>
      <c r="CL16" s="704" t="n">
        <v>19.0536575474923</v>
      </c>
      <c r="CM16" s="704" t="n">
        <v>19.0536575474923</v>
      </c>
      <c r="CN16" s="704" t="n">
        <v>19.0536575474923</v>
      </c>
      <c r="CO16" s="704" t="n">
        <v>19.0536575474923</v>
      </c>
      <c r="CP16" s="704" t="n">
        <v>19.0536575474923</v>
      </c>
      <c r="CQ16" s="704" t="n">
        <v>19.0536575474923</v>
      </c>
      <c r="CR16" s="704" t="n">
        <v>19.0536575474923</v>
      </c>
      <c r="CS16" s="704" t="n">
        <v>19.0536575474923</v>
      </c>
      <c r="CT16" s="704" t="n">
        <v>19.0536575474923</v>
      </c>
      <c r="CU16" s="704" t="n">
        <v>19.0536575474923</v>
      </c>
      <c r="CV16" s="704" t="n">
        <v>19.6252672739171</v>
      </c>
      <c r="CW16" s="704" t="n">
        <v>19.6252672739171</v>
      </c>
      <c r="CX16" s="704" t="n">
        <v>19.6252672739171</v>
      </c>
      <c r="CY16" s="704" t="n">
        <v>19.6252672739171</v>
      </c>
      <c r="CZ16" s="704" t="n">
        <v>19.6252672739171</v>
      </c>
      <c r="DA16" s="704" t="n">
        <v>19.6252672739171</v>
      </c>
      <c r="DB16" s="704" t="n">
        <v>19.6252672739171</v>
      </c>
      <c r="DC16" s="704" t="n">
        <v>19.6252672739171</v>
      </c>
      <c r="DD16" s="704" t="n">
        <v>19.6252672739171</v>
      </c>
      <c r="DE16" s="704" t="n">
        <v>19.6252672739171</v>
      </c>
      <c r="DF16" s="704" t="n">
        <v>19.6252672739171</v>
      </c>
      <c r="DG16" s="704" t="n">
        <v>19.6252672739171</v>
      </c>
      <c r="DH16" s="704" t="n">
        <v>19.6252672739171</v>
      </c>
      <c r="DI16" s="704" t="n">
        <v>19.6252672739171</v>
      </c>
      <c r="DJ16" s="704" t="n">
        <v>19.6252672739171</v>
      </c>
      <c r="DK16" s="704" t="n">
        <v>19.6252672739171</v>
      </c>
      <c r="DL16" s="704" t="n">
        <v>19.6252672739171</v>
      </c>
      <c r="DM16" s="704" t="n">
        <v>19.6252672739171</v>
      </c>
    </row>
    <row r="17" ht="13.5" customHeight="1" s="355">
      <c r="B17" s="703" t="inlineStr">
        <is>
          <t>Cash&amp;Bank</t>
        </is>
      </c>
      <c r="D17" s="704" t="n">
        <v>0</v>
      </c>
      <c r="E17" s="704" t="n">
        <v>0</v>
      </c>
      <c r="F17" s="704" t="n">
        <v>0</v>
      </c>
      <c r="G17" s="704" t="n">
        <v>0</v>
      </c>
      <c r="H17" s="704" t="n">
        <v>0</v>
      </c>
      <c r="I17" s="704" t="n">
        <v>0</v>
      </c>
      <c r="J17" s="704" t="n">
        <v>0</v>
      </c>
      <c r="K17" s="704" t="n">
        <v>0</v>
      </c>
      <c r="L17" s="704" t="n">
        <v>0</v>
      </c>
      <c r="M17" s="704" t="n">
        <v>0</v>
      </c>
      <c r="N17" s="704" t="n">
        <v>0</v>
      </c>
      <c r="O17" s="704" t="n">
        <v>0</v>
      </c>
      <c r="P17" s="704" t="n">
        <v>0</v>
      </c>
      <c r="Q17" s="704" t="n">
        <v>0</v>
      </c>
      <c r="R17" s="704" t="n">
        <v>0</v>
      </c>
      <c r="S17" s="704" t="n">
        <v>0</v>
      </c>
      <c r="T17" s="704" t="n">
        <v>0</v>
      </c>
      <c r="U17" s="704" t="n">
        <v>0</v>
      </c>
      <c r="V17" s="704" t="n">
        <v>0</v>
      </c>
      <c r="W17" s="704" t="n">
        <v>0</v>
      </c>
      <c r="X17" s="704" t="n">
        <v>0</v>
      </c>
      <c r="Y17" s="704" t="n">
        <v>0</v>
      </c>
      <c r="Z17" s="704" t="n">
        <v>0</v>
      </c>
      <c r="AA17" s="704" t="n">
        <v>0</v>
      </c>
      <c r="AB17" s="704" t="n">
        <v>0</v>
      </c>
      <c r="AC17" s="704" t="n">
        <v>0</v>
      </c>
      <c r="AD17" s="704" t="n">
        <v>0</v>
      </c>
      <c r="AE17" s="704" t="n">
        <v>0</v>
      </c>
      <c r="AF17" s="704" t="n">
        <v>0</v>
      </c>
      <c r="AG17" s="704" t="n">
        <v>0</v>
      </c>
      <c r="AH17" s="704" t="n">
        <v>0</v>
      </c>
      <c r="AI17" s="704" t="n">
        <v>0</v>
      </c>
      <c r="AJ17" s="704" t="n">
        <v>0</v>
      </c>
      <c r="AK17" s="704" t="n">
        <v>0</v>
      </c>
      <c r="AL17" s="704" t="n">
        <v>0</v>
      </c>
      <c r="AM17" s="704" t="n">
        <v>0</v>
      </c>
      <c r="AN17" s="704" t="n">
        <v>0</v>
      </c>
      <c r="AO17" s="704" t="n">
        <v>0</v>
      </c>
      <c r="AP17" s="704" t="n">
        <v>0</v>
      </c>
      <c r="AQ17" s="704" t="n">
        <v>0</v>
      </c>
      <c r="AR17" s="704" t="n">
        <v>0</v>
      </c>
      <c r="AS17" s="704" t="n">
        <v>0</v>
      </c>
      <c r="AT17" s="704" t="n">
        <v>0</v>
      </c>
      <c r="AU17" s="704" t="n">
        <v>0</v>
      </c>
      <c r="AV17" s="704" t="n">
        <v>0</v>
      </c>
      <c r="AW17" s="704" t="n">
        <v>0</v>
      </c>
      <c r="AX17" s="704" t="n">
        <v>0</v>
      </c>
      <c r="AY17" s="704" t="n">
        <v>0</v>
      </c>
      <c r="AZ17" s="704" t="n">
        <v>0</v>
      </c>
      <c r="BA17" s="704" t="n">
        <v>0</v>
      </c>
      <c r="BB17" s="704" t="n">
        <v>0</v>
      </c>
      <c r="BC17" s="704" t="n">
        <v>0</v>
      </c>
      <c r="BD17" s="704" t="n">
        <v>0</v>
      </c>
      <c r="BE17" s="704" t="n">
        <v>0</v>
      </c>
      <c r="BF17" s="704" t="n">
        <v>0</v>
      </c>
      <c r="BG17" s="704" t="n">
        <v>0</v>
      </c>
      <c r="BH17" s="704" t="n">
        <v>0</v>
      </c>
      <c r="BI17" s="704" t="n">
        <v>0</v>
      </c>
      <c r="BJ17" s="704" t="n">
        <v>0</v>
      </c>
      <c r="BK17" s="704" t="n">
        <v>0</v>
      </c>
      <c r="BL17" s="704" t="n">
        <v>0</v>
      </c>
      <c r="BM17" s="704" t="n">
        <v>0</v>
      </c>
      <c r="BN17" s="704" t="n">
        <v>0</v>
      </c>
      <c r="BO17" s="704" t="n">
        <v>0</v>
      </c>
      <c r="BP17" s="704" t="n">
        <v>0</v>
      </c>
      <c r="BQ17" s="704" t="n">
        <v>0</v>
      </c>
      <c r="BR17" s="704" t="n">
        <v>0</v>
      </c>
      <c r="BS17" s="704" t="n">
        <v>0</v>
      </c>
      <c r="BT17" s="704" t="n">
        <v>0</v>
      </c>
      <c r="BU17" s="704" t="n">
        <v>0</v>
      </c>
      <c r="BV17" s="704" t="n">
        <v>0</v>
      </c>
      <c r="BW17" s="704" t="n">
        <v>0</v>
      </c>
      <c r="BX17" s="704" t="n">
        <v>0</v>
      </c>
      <c r="BY17" s="704" t="n">
        <v>0</v>
      </c>
      <c r="BZ17" s="704" t="n">
        <v>0</v>
      </c>
      <c r="CA17" s="704" t="n">
        <v>0</v>
      </c>
      <c r="CB17" s="704" t="n">
        <v>0</v>
      </c>
      <c r="CC17" s="704" t="n">
        <v>0</v>
      </c>
      <c r="CD17" s="704" t="n">
        <v>0</v>
      </c>
      <c r="CE17" s="704" t="n">
        <v>0</v>
      </c>
      <c r="CF17" s="704" t="n">
        <v>0</v>
      </c>
      <c r="CG17" s="704" t="n">
        <v>0</v>
      </c>
      <c r="CH17" s="704" t="n">
        <v>0</v>
      </c>
      <c r="CI17" s="704" t="n">
        <v>0</v>
      </c>
      <c r="CJ17" s="704" t="n">
        <v>0</v>
      </c>
      <c r="CK17" s="704" t="n">
        <v>0</v>
      </c>
      <c r="CL17" s="704" t="n">
        <v>0</v>
      </c>
      <c r="CM17" s="704" t="n">
        <v>0</v>
      </c>
      <c r="CN17" s="704" t="n">
        <v>0</v>
      </c>
      <c r="CO17" s="704" t="n">
        <v>0</v>
      </c>
      <c r="CP17" s="704" t="n">
        <v>0</v>
      </c>
      <c r="CQ17" s="704" t="n">
        <v>0</v>
      </c>
      <c r="CR17" s="704" t="n">
        <v>0</v>
      </c>
      <c r="CS17" s="704" t="n">
        <v>0</v>
      </c>
      <c r="CT17" s="704" t="n">
        <v>0</v>
      </c>
      <c r="CU17" s="704" t="n">
        <v>0</v>
      </c>
      <c r="CV17" s="704" t="n">
        <v>0</v>
      </c>
      <c r="CW17" s="704" t="n">
        <v>0</v>
      </c>
      <c r="CX17" s="704" t="n">
        <v>0</v>
      </c>
      <c r="CY17" s="704" t="n">
        <v>0</v>
      </c>
      <c r="CZ17" s="704" t="n">
        <v>0</v>
      </c>
      <c r="DA17" s="704" t="n">
        <v>0</v>
      </c>
      <c r="DB17" s="704" t="n">
        <v>0</v>
      </c>
      <c r="DC17" s="704" t="n">
        <v>0</v>
      </c>
      <c r="DD17" s="704" t="n">
        <v>0</v>
      </c>
      <c r="DE17" s="704" t="n">
        <v>0</v>
      </c>
      <c r="DF17" s="704" t="n">
        <v>0</v>
      </c>
      <c r="DG17" s="704" t="n">
        <v>0</v>
      </c>
      <c r="DH17" s="704" t="n">
        <v>0</v>
      </c>
      <c r="DI17" s="704" t="n">
        <v>0</v>
      </c>
      <c r="DJ17" s="704" t="n">
        <v>0</v>
      </c>
      <c r="DK17" s="704" t="n">
        <v>0</v>
      </c>
      <c r="DL17" s="704" t="n">
        <v>0</v>
      </c>
      <c r="DM17" s="704" t="n">
        <v>0</v>
      </c>
    </row>
    <row r="18" ht="13.5" customHeight="1" s="355">
      <c r="B18" s="703" t="inlineStr">
        <is>
          <t>T&amp;E</t>
        </is>
      </c>
      <c r="D18" s="704" t="n">
        <v>0</v>
      </c>
      <c r="E18" s="704" t="n">
        <v>0</v>
      </c>
      <c r="F18" s="704" t="n">
        <v>0</v>
      </c>
      <c r="G18" s="704" t="n">
        <v>0</v>
      </c>
      <c r="H18" s="704" t="n">
        <v>0</v>
      </c>
      <c r="I18" s="704" t="n">
        <v>0</v>
      </c>
      <c r="J18" s="704" t="n">
        <v>0</v>
      </c>
      <c r="K18" s="704" t="n">
        <v>0</v>
      </c>
      <c r="L18" s="704" t="n">
        <v>0</v>
      </c>
      <c r="M18" s="704" t="n">
        <v>0</v>
      </c>
      <c r="N18" s="704" t="n">
        <v>0</v>
      </c>
      <c r="O18" s="704" t="n">
        <v>0</v>
      </c>
      <c r="P18" s="704" t="n">
        <v>0</v>
      </c>
      <c r="Q18" s="704" t="n">
        <v>0</v>
      </c>
      <c r="R18" s="704" t="n">
        <v>0</v>
      </c>
      <c r="S18" s="704" t="n">
        <v>0</v>
      </c>
      <c r="T18" s="704" t="n">
        <v>0</v>
      </c>
      <c r="U18" s="704" t="n">
        <v>0</v>
      </c>
      <c r="V18" s="704" t="n">
        <v>0</v>
      </c>
      <c r="W18" s="704" t="n">
        <v>0</v>
      </c>
      <c r="X18" s="704" t="n">
        <v>0</v>
      </c>
      <c r="Y18" s="704" t="n">
        <v>0</v>
      </c>
      <c r="Z18" s="704" t="n">
        <v>0</v>
      </c>
      <c r="AA18" s="704" t="n">
        <v>0</v>
      </c>
      <c r="AB18" s="704" t="n">
        <v>0</v>
      </c>
      <c r="AC18" s="704" t="n">
        <v>0</v>
      </c>
      <c r="AD18" s="704" t="n">
        <v>0</v>
      </c>
      <c r="AE18" s="704" t="n">
        <v>0</v>
      </c>
      <c r="AF18" s="704" t="n">
        <v>0</v>
      </c>
      <c r="AG18" s="704" t="n">
        <v>0</v>
      </c>
      <c r="AH18" s="704" t="n">
        <v>0</v>
      </c>
      <c r="AI18" s="704" t="n">
        <v>0</v>
      </c>
      <c r="AJ18" s="704" t="n">
        <v>0</v>
      </c>
      <c r="AK18" s="704" t="n">
        <v>0</v>
      </c>
      <c r="AL18" s="704" t="n">
        <v>0</v>
      </c>
      <c r="AM18" s="704" t="n">
        <v>0</v>
      </c>
      <c r="AN18" s="704" t="n">
        <v>0</v>
      </c>
      <c r="AO18" s="704" t="n">
        <v>0</v>
      </c>
      <c r="AP18" s="704" t="n">
        <v>0</v>
      </c>
      <c r="AQ18" s="704" t="n">
        <v>0</v>
      </c>
      <c r="AR18" s="704" t="n">
        <v>0</v>
      </c>
      <c r="AS18" s="704" t="n">
        <v>0</v>
      </c>
      <c r="AT18" s="704" t="n">
        <v>0</v>
      </c>
      <c r="AU18" s="704" t="n">
        <v>0</v>
      </c>
      <c r="AV18" s="704" t="n">
        <v>0</v>
      </c>
      <c r="AW18" s="704" t="n">
        <v>0</v>
      </c>
      <c r="AX18" s="704" t="n">
        <v>0</v>
      </c>
      <c r="AY18" s="704" t="n">
        <v>0</v>
      </c>
      <c r="AZ18" s="704" t="n">
        <v>0</v>
      </c>
      <c r="BA18" s="704" t="n">
        <v>0</v>
      </c>
      <c r="BB18" s="704" t="n">
        <v>0</v>
      </c>
      <c r="BC18" s="704" t="n">
        <v>0</v>
      </c>
      <c r="BD18" s="704" t="n">
        <v>0</v>
      </c>
      <c r="BE18" s="704" t="n">
        <v>0</v>
      </c>
      <c r="BF18" s="704" t="n">
        <v>0</v>
      </c>
      <c r="BG18" s="704" t="n">
        <v>0</v>
      </c>
      <c r="BH18" s="704" t="n">
        <v>0</v>
      </c>
      <c r="BI18" s="704" t="n">
        <v>0</v>
      </c>
      <c r="BJ18" s="704" t="n">
        <v>0</v>
      </c>
      <c r="BK18" s="704" t="n">
        <v>0</v>
      </c>
      <c r="BL18" s="704" t="n">
        <v>0</v>
      </c>
      <c r="BM18" s="704" t="n">
        <v>0</v>
      </c>
      <c r="BN18" s="704" t="n">
        <v>0</v>
      </c>
      <c r="BO18" s="704" t="n">
        <v>0</v>
      </c>
      <c r="BP18" s="704" t="n">
        <v>0</v>
      </c>
      <c r="BQ18" s="704" t="n">
        <v>0</v>
      </c>
      <c r="BR18" s="704" t="n">
        <v>0</v>
      </c>
      <c r="BS18" s="704" t="n">
        <v>0</v>
      </c>
      <c r="BT18" s="704" t="n">
        <v>0</v>
      </c>
      <c r="BU18" s="704" t="n">
        <v>0</v>
      </c>
      <c r="BV18" s="704" t="n">
        <v>0</v>
      </c>
      <c r="BW18" s="704" t="n">
        <v>0</v>
      </c>
      <c r="BX18" s="704" t="n">
        <v>0</v>
      </c>
      <c r="BY18" s="704" t="n">
        <v>0</v>
      </c>
      <c r="BZ18" s="704" t="n">
        <v>0</v>
      </c>
      <c r="CA18" s="704" t="n">
        <v>0</v>
      </c>
      <c r="CB18" s="704" t="n">
        <v>0</v>
      </c>
      <c r="CC18" s="704" t="n">
        <v>0</v>
      </c>
      <c r="CD18" s="704" t="n">
        <v>0</v>
      </c>
      <c r="CE18" s="704" t="n">
        <v>0</v>
      </c>
      <c r="CF18" s="704" t="n">
        <v>0</v>
      </c>
      <c r="CG18" s="704" t="n">
        <v>0</v>
      </c>
      <c r="CH18" s="704" t="n">
        <v>0</v>
      </c>
      <c r="CI18" s="704" t="n">
        <v>0</v>
      </c>
      <c r="CJ18" s="704" t="n">
        <v>0</v>
      </c>
      <c r="CK18" s="704" t="n">
        <v>0</v>
      </c>
      <c r="CL18" s="704" t="n">
        <v>0</v>
      </c>
      <c r="CM18" s="704" t="n">
        <v>0</v>
      </c>
      <c r="CN18" s="704" t="n">
        <v>0</v>
      </c>
      <c r="CO18" s="704" t="n">
        <v>0</v>
      </c>
      <c r="CP18" s="704" t="n">
        <v>0</v>
      </c>
      <c r="CQ18" s="704" t="n">
        <v>0</v>
      </c>
      <c r="CR18" s="704" t="n">
        <v>0</v>
      </c>
      <c r="CS18" s="704" t="n">
        <v>0</v>
      </c>
      <c r="CT18" s="704" t="n">
        <v>0</v>
      </c>
      <c r="CU18" s="704" t="n">
        <v>0</v>
      </c>
      <c r="CV18" s="704" t="n">
        <v>0</v>
      </c>
      <c r="CW18" s="704" t="n">
        <v>0</v>
      </c>
      <c r="CX18" s="704" t="n">
        <v>0</v>
      </c>
      <c r="CY18" s="704" t="n">
        <v>0</v>
      </c>
      <c r="CZ18" s="704" t="n">
        <v>0</v>
      </c>
      <c r="DA18" s="704" t="n">
        <v>0</v>
      </c>
      <c r="DB18" s="704" t="n">
        <v>0</v>
      </c>
      <c r="DC18" s="704" t="n">
        <v>0</v>
      </c>
      <c r="DD18" s="704" t="n">
        <v>0</v>
      </c>
      <c r="DE18" s="704" t="n">
        <v>0</v>
      </c>
      <c r="DF18" s="704" t="n">
        <v>0</v>
      </c>
      <c r="DG18" s="704" t="n">
        <v>0</v>
      </c>
      <c r="DH18" s="704" t="n">
        <v>0</v>
      </c>
      <c r="DI18" s="704" t="n">
        <v>0</v>
      </c>
      <c r="DJ18" s="704" t="n">
        <v>0</v>
      </c>
      <c r="DK18" s="704" t="n">
        <v>0</v>
      </c>
      <c r="DL18" s="704" t="n">
        <v>0</v>
      </c>
      <c r="DM18" s="704" t="n">
        <v>0</v>
      </c>
    </row>
    <row r="19" ht="13.5" customHeight="1" s="355">
      <c r="B19" s="703" t="inlineStr">
        <is>
          <t>Order to Cash</t>
        </is>
      </c>
      <c r="D19" s="704" t="n">
        <v>0</v>
      </c>
      <c r="E19" s="704" t="n">
        <v>0</v>
      </c>
      <c r="F19" s="704" t="n">
        <v>0</v>
      </c>
      <c r="G19" s="704" t="n">
        <v>0</v>
      </c>
      <c r="H19" s="704" t="n">
        <v>0</v>
      </c>
      <c r="I19" s="704" t="n">
        <v>0</v>
      </c>
      <c r="J19" s="704" t="n">
        <v>0.0535450479674281</v>
      </c>
      <c r="K19" s="704" t="n">
        <v>1.65989648699027</v>
      </c>
      <c r="L19" s="704" t="n">
        <v>1.65989648699027</v>
      </c>
      <c r="M19" s="704" t="n">
        <v>1.65989648699027</v>
      </c>
      <c r="N19" s="704" t="n">
        <v>1.65989648699027</v>
      </c>
      <c r="O19" s="704" t="n">
        <v>1.65989648699027</v>
      </c>
      <c r="P19" s="704" t="n">
        <v>1.70969338159998</v>
      </c>
      <c r="Q19" s="704" t="n">
        <v>1.70969338159998</v>
      </c>
      <c r="R19" s="704" t="n">
        <v>1.70969338159998</v>
      </c>
      <c r="S19" s="704" t="n">
        <v>1.70969338159998</v>
      </c>
      <c r="T19" s="704" t="n">
        <v>1.70969338159998</v>
      </c>
      <c r="U19" s="704" t="n">
        <v>1.70969338159998</v>
      </c>
      <c r="V19" s="704" t="n">
        <v>1.70969338159998</v>
      </c>
      <c r="W19" s="704" t="n">
        <v>1.70969338159998</v>
      </c>
      <c r="X19" s="704" t="n">
        <v>1.70969338159998</v>
      </c>
      <c r="Y19" s="704" t="n">
        <v>1.70969338159998</v>
      </c>
      <c r="Z19" s="704" t="n">
        <v>1.70969338159998</v>
      </c>
      <c r="AA19" s="704" t="n">
        <v>1.70969338159998</v>
      </c>
      <c r="AB19" s="704" t="n">
        <v>1.76098418304798</v>
      </c>
      <c r="AC19" s="704" t="n">
        <v>1.71695957847178</v>
      </c>
      <c r="AD19" s="704" t="n">
        <v>1.71695957847178</v>
      </c>
      <c r="AE19" s="704" t="n">
        <v>1.71695957847178</v>
      </c>
      <c r="AF19" s="704" t="n">
        <v>1.71695957847178</v>
      </c>
      <c r="AG19" s="704" t="n">
        <v>1.71695957847178</v>
      </c>
      <c r="AH19" s="704" t="n">
        <v>1.71695957847178</v>
      </c>
      <c r="AI19" s="704" t="n">
        <v>1.71695957847178</v>
      </c>
      <c r="AJ19" s="704" t="n">
        <v>1.71695957847178</v>
      </c>
      <c r="AK19" s="704" t="n">
        <v>1.71695957847178</v>
      </c>
      <c r="AL19" s="704" t="n">
        <v>1.71695957847178</v>
      </c>
      <c r="AM19" s="704" t="n">
        <v>1.71695957847178</v>
      </c>
      <c r="AN19" s="704" t="n">
        <v>1.76846836582593</v>
      </c>
      <c r="AO19" s="704" t="n">
        <v>1.72312302311245</v>
      </c>
      <c r="AP19" s="704" t="n">
        <v>1.72312302311245</v>
      </c>
      <c r="AQ19" s="704" t="n">
        <v>1.72312302311245</v>
      </c>
      <c r="AR19" s="704" t="n">
        <v>1.72312302311245</v>
      </c>
      <c r="AS19" s="704" t="n">
        <v>1.72312302311245</v>
      </c>
      <c r="AT19" s="704" t="n">
        <v>1.72312302311245</v>
      </c>
      <c r="AU19" s="704" t="n">
        <v>1.72312302311245</v>
      </c>
      <c r="AV19" s="704" t="n">
        <v>1.72312302311245</v>
      </c>
      <c r="AW19" s="704" t="n">
        <v>1.72312302311245</v>
      </c>
      <c r="AX19" s="704" t="n">
        <v>1.72312302311245</v>
      </c>
      <c r="AY19" s="704" t="n">
        <v>1.72312302311245</v>
      </c>
      <c r="AZ19" s="704" t="n">
        <v>1.77481671380582</v>
      </c>
      <c r="BA19" s="704" t="n">
        <v>1.72811101081093</v>
      </c>
      <c r="BB19" s="704" t="n">
        <v>1.72811101081093</v>
      </c>
      <c r="BC19" s="704" t="n">
        <v>1.72811101081093</v>
      </c>
      <c r="BD19" s="704" t="n">
        <v>1.72811101081093</v>
      </c>
      <c r="BE19" s="704" t="n">
        <v>1.72811101081093</v>
      </c>
      <c r="BF19" s="704" t="n">
        <v>1.72811101081093</v>
      </c>
      <c r="BG19" s="704" t="n">
        <v>1.72811101081093</v>
      </c>
      <c r="BH19" s="704" t="n">
        <v>1.72811101081093</v>
      </c>
      <c r="BI19" s="704" t="n">
        <v>1.72811101081093</v>
      </c>
      <c r="BJ19" s="704" t="n">
        <v>1.72811101081093</v>
      </c>
      <c r="BK19" s="704" t="n">
        <v>1.72811101081093</v>
      </c>
      <c r="BL19" s="704" t="n">
        <v>1.77995434113526</v>
      </c>
      <c r="BM19" s="704" t="n">
        <v>1.68374059296579</v>
      </c>
      <c r="BN19" s="704" t="n">
        <v>1.68374059296579</v>
      </c>
      <c r="BO19" s="704" t="n">
        <v>1.68374059296579</v>
      </c>
      <c r="BP19" s="704" t="n">
        <v>1.68374059296579</v>
      </c>
      <c r="BQ19" s="704" t="n">
        <v>1.68374059296579</v>
      </c>
      <c r="BR19" s="704" t="n">
        <v>1.68374059296579</v>
      </c>
      <c r="BS19" s="704" t="n">
        <v>1.68374059296579</v>
      </c>
      <c r="BT19" s="704" t="n">
        <v>1.68374059296579</v>
      </c>
      <c r="BU19" s="704" t="n">
        <v>1.68374059296579</v>
      </c>
      <c r="BV19" s="704" t="n">
        <v>1.68374059296579</v>
      </c>
      <c r="BW19" s="704" t="n">
        <v>1.68374059296579</v>
      </c>
      <c r="BX19" s="704" t="n">
        <v>1.73425281075476</v>
      </c>
      <c r="BY19" s="704" t="n">
        <v>1.73425281075476</v>
      </c>
      <c r="BZ19" s="704" t="n">
        <v>1.73425281075476</v>
      </c>
      <c r="CA19" s="704" t="n">
        <v>1.73425281075476</v>
      </c>
      <c r="CB19" s="704" t="n">
        <v>1.73425281075476</v>
      </c>
      <c r="CC19" s="704" t="n">
        <v>1.73425281075476</v>
      </c>
      <c r="CD19" s="704" t="n">
        <v>1.73425281075476</v>
      </c>
      <c r="CE19" s="704" t="n">
        <v>1.73425281075476</v>
      </c>
      <c r="CF19" s="704" t="n">
        <v>1.73425281075476</v>
      </c>
      <c r="CG19" s="704" t="n">
        <v>1.73425281075476</v>
      </c>
      <c r="CH19" s="704" t="n">
        <v>1.73425281075476</v>
      </c>
      <c r="CI19" s="704" t="n">
        <v>1.73425281075476</v>
      </c>
      <c r="CJ19" s="704" t="n">
        <v>1.7862803950774</v>
      </c>
      <c r="CK19" s="704" t="n">
        <v>1.7862803950774</v>
      </c>
      <c r="CL19" s="704" t="n">
        <v>1.7862803950774</v>
      </c>
      <c r="CM19" s="704" t="n">
        <v>1.7862803950774</v>
      </c>
      <c r="CN19" s="704" t="n">
        <v>1.7862803950774</v>
      </c>
      <c r="CO19" s="704" t="n">
        <v>1.7862803950774</v>
      </c>
      <c r="CP19" s="704" t="n">
        <v>1.7862803950774</v>
      </c>
      <c r="CQ19" s="704" t="n">
        <v>1.7862803950774</v>
      </c>
      <c r="CR19" s="704" t="n">
        <v>1.7862803950774</v>
      </c>
      <c r="CS19" s="704" t="n">
        <v>1.7862803950774</v>
      </c>
      <c r="CT19" s="704" t="n">
        <v>1.7862803950774</v>
      </c>
      <c r="CU19" s="704" t="n">
        <v>1.7862803950774</v>
      </c>
      <c r="CV19" s="704" t="n">
        <v>1.83986880692973</v>
      </c>
      <c r="CW19" s="704" t="n">
        <v>1.83986880692973</v>
      </c>
      <c r="CX19" s="704" t="n">
        <v>1.83986880692973</v>
      </c>
      <c r="CY19" s="704" t="n">
        <v>1.83986880692973</v>
      </c>
      <c r="CZ19" s="704" t="n">
        <v>1.83986880692973</v>
      </c>
      <c r="DA19" s="704" t="n">
        <v>1.83986880692973</v>
      </c>
      <c r="DB19" s="704" t="n">
        <v>1.83986880692973</v>
      </c>
      <c r="DC19" s="704" t="n">
        <v>1.83986880692973</v>
      </c>
      <c r="DD19" s="704" t="n">
        <v>1.83986880692973</v>
      </c>
      <c r="DE19" s="704" t="n">
        <v>1.83986880692973</v>
      </c>
      <c r="DF19" s="704" t="n">
        <v>1.83986880692973</v>
      </c>
      <c r="DG19" s="704" t="n">
        <v>1.83986880692973</v>
      </c>
      <c r="DH19" s="704" t="n">
        <v>1.83986880692973</v>
      </c>
      <c r="DI19" s="704" t="n">
        <v>1.83986880692973</v>
      </c>
      <c r="DJ19" s="704" t="n">
        <v>1.83986880692973</v>
      </c>
      <c r="DK19" s="704" t="n">
        <v>1.83986880692973</v>
      </c>
      <c r="DL19" s="704" t="n">
        <v>1.83986880692973</v>
      </c>
      <c r="DM19" s="704" t="n">
        <v>1.83986880692973</v>
      </c>
    </row>
    <row r="20" ht="13.5" customHeight="1" s="355">
      <c r="B20" s="703" t="inlineStr">
        <is>
          <t>Req to Pay</t>
        </is>
      </c>
      <c r="D20" s="704" t="n">
        <v>0</v>
      </c>
      <c r="E20" s="704" t="n">
        <v>0</v>
      </c>
      <c r="F20" s="704" t="n">
        <v>0</v>
      </c>
      <c r="G20" s="704" t="n">
        <v>0</v>
      </c>
      <c r="H20" s="704" t="n">
        <v>0</v>
      </c>
      <c r="I20" s="704" t="n">
        <v>0</v>
      </c>
      <c r="J20" s="704" t="n">
        <v>7.2285814756028</v>
      </c>
      <c r="K20" s="704" t="n">
        <v>14.9390683829125</v>
      </c>
      <c r="L20" s="704" t="n">
        <v>14.9390683829125</v>
      </c>
      <c r="M20" s="704" t="n">
        <v>14.9390683829125</v>
      </c>
      <c r="N20" s="704" t="n">
        <v>14.9390683829125</v>
      </c>
      <c r="O20" s="704" t="n">
        <v>14.9390683829125</v>
      </c>
      <c r="P20" s="704" t="n">
        <v>15.3872404343998</v>
      </c>
      <c r="Q20" s="704" t="n">
        <v>15.3872404343998</v>
      </c>
      <c r="R20" s="704" t="n">
        <v>15.3872404343998</v>
      </c>
      <c r="S20" s="704" t="n">
        <v>15.3872404343998</v>
      </c>
      <c r="T20" s="704" t="n">
        <v>14.8566459366619</v>
      </c>
      <c r="U20" s="704" t="n">
        <v>14.8566459366619</v>
      </c>
      <c r="V20" s="704" t="n">
        <v>14.8566459366619</v>
      </c>
      <c r="W20" s="704" t="n">
        <v>14.8566459366619</v>
      </c>
      <c r="X20" s="704" t="n">
        <v>14.8566459366619</v>
      </c>
      <c r="Y20" s="704" t="n">
        <v>14.8566459366619</v>
      </c>
      <c r="Z20" s="704" t="n">
        <v>14.8566459366619</v>
      </c>
      <c r="AA20" s="704" t="n">
        <v>14.8566459366619</v>
      </c>
      <c r="AB20" s="704" t="n">
        <v>15.3023453147618</v>
      </c>
      <c r="AC20" s="704" t="n">
        <v>14.7558329820917</v>
      </c>
      <c r="AD20" s="704" t="n">
        <v>14.7558329820917</v>
      </c>
      <c r="AE20" s="704" t="n">
        <v>14.7558329820917</v>
      </c>
      <c r="AF20" s="704" t="n">
        <v>14.7558329820917</v>
      </c>
      <c r="AG20" s="704" t="n">
        <v>14.7558329820917</v>
      </c>
      <c r="AH20" s="704" t="n">
        <v>14.7558329820917</v>
      </c>
      <c r="AI20" s="704" t="n">
        <v>14.7558329820917</v>
      </c>
      <c r="AJ20" s="704" t="n">
        <v>14.7558329820917</v>
      </c>
      <c r="AK20" s="704" t="n">
        <v>14.7558329820917</v>
      </c>
      <c r="AL20" s="704" t="n">
        <v>14.7558329820917</v>
      </c>
      <c r="AM20" s="704" t="n">
        <v>14.7558329820917</v>
      </c>
      <c r="AN20" s="704" t="n">
        <v>15.1985079715544</v>
      </c>
      <c r="AO20" s="704" t="n">
        <v>14.6356002689043</v>
      </c>
      <c r="AP20" s="704" t="n">
        <v>14.6356002689043</v>
      </c>
      <c r="AQ20" s="704" t="n">
        <v>14.6356002689043</v>
      </c>
      <c r="AR20" s="704" t="n">
        <v>14.6356002689043</v>
      </c>
      <c r="AS20" s="704" t="n">
        <v>14.6356002689043</v>
      </c>
      <c r="AT20" s="704" t="n">
        <v>14.6356002689043</v>
      </c>
      <c r="AU20" s="704" t="n">
        <v>14.6356002689043</v>
      </c>
      <c r="AV20" s="704" t="n">
        <v>14.6356002689043</v>
      </c>
      <c r="AW20" s="704" t="n">
        <v>14.6356002689043</v>
      </c>
      <c r="AX20" s="704" t="n">
        <v>14.6356002689043</v>
      </c>
      <c r="AY20" s="704" t="n">
        <v>14.6356002689043</v>
      </c>
      <c r="AZ20" s="704" t="n">
        <v>15.0746682769714</v>
      </c>
      <c r="BA20" s="704" t="n">
        <v>14.4948733432417</v>
      </c>
      <c r="BB20" s="704" t="n">
        <v>14.4948733432417</v>
      </c>
      <c r="BC20" s="704" t="n">
        <v>14.4948733432417</v>
      </c>
      <c r="BD20" s="704" t="n">
        <v>14.4948733432417</v>
      </c>
      <c r="BE20" s="704" t="n">
        <v>14.4948733432417</v>
      </c>
      <c r="BF20" s="704" t="n">
        <v>14.4948733432417</v>
      </c>
      <c r="BG20" s="704" t="n">
        <v>14.4948733432417</v>
      </c>
      <c r="BH20" s="704" t="n">
        <v>14.4948733432417</v>
      </c>
      <c r="BI20" s="704" t="n">
        <v>14.4948733432417</v>
      </c>
      <c r="BJ20" s="704" t="n">
        <v>14.4948733432417</v>
      </c>
      <c r="BK20" s="704" t="n">
        <v>14.4948733432417</v>
      </c>
      <c r="BL20" s="704" t="n">
        <v>14.929719543539</v>
      </c>
      <c r="BM20" s="704" t="n">
        <v>14.3325307617974</v>
      </c>
      <c r="BN20" s="704" t="n">
        <v>14.3325307617974</v>
      </c>
      <c r="BO20" s="704" t="n">
        <v>14.3325307617974</v>
      </c>
      <c r="BP20" s="704" t="n">
        <v>14.3325307617974</v>
      </c>
      <c r="BQ20" s="704" t="n">
        <v>14.3325307617974</v>
      </c>
      <c r="BR20" s="704" t="n">
        <v>14.3325307617974</v>
      </c>
      <c r="BS20" s="704" t="n">
        <v>14.3325307617974</v>
      </c>
      <c r="BT20" s="704" t="n">
        <v>14.3325307617974</v>
      </c>
      <c r="BU20" s="704" t="n">
        <v>14.3325307617974</v>
      </c>
      <c r="BV20" s="704" t="n">
        <v>14.3325307617974</v>
      </c>
      <c r="BW20" s="704" t="n">
        <v>14.3325307617974</v>
      </c>
      <c r="BX20" s="704" t="n">
        <v>14.7625066846514</v>
      </c>
      <c r="BY20" s="704" t="n">
        <v>14.7625066846514</v>
      </c>
      <c r="BZ20" s="704" t="n">
        <v>14.7625066846514</v>
      </c>
      <c r="CA20" s="704" t="n">
        <v>14.7625066846514</v>
      </c>
      <c r="CB20" s="704" t="n">
        <v>14.7625066846514</v>
      </c>
      <c r="CC20" s="704" t="n">
        <v>14.7625066846514</v>
      </c>
      <c r="CD20" s="704" t="n">
        <v>14.7625066846514</v>
      </c>
      <c r="CE20" s="704" t="n">
        <v>14.7625066846514</v>
      </c>
      <c r="CF20" s="704" t="n">
        <v>14.7625066846514</v>
      </c>
      <c r="CG20" s="704" t="n">
        <v>14.7625066846514</v>
      </c>
      <c r="CH20" s="704" t="n">
        <v>14.7625066846514</v>
      </c>
      <c r="CI20" s="704" t="n">
        <v>14.7625066846514</v>
      </c>
      <c r="CJ20" s="704" t="n">
        <v>15.2053818851909</v>
      </c>
      <c r="CK20" s="704" t="n">
        <v>15.2053818851909</v>
      </c>
      <c r="CL20" s="704" t="n">
        <v>15.2053818851909</v>
      </c>
      <c r="CM20" s="704" t="n">
        <v>15.2053818851909</v>
      </c>
      <c r="CN20" s="704" t="n">
        <v>15.2053818851909</v>
      </c>
      <c r="CO20" s="704" t="n">
        <v>15.2053818851909</v>
      </c>
      <c r="CP20" s="704" t="n">
        <v>15.2053818851909</v>
      </c>
      <c r="CQ20" s="704" t="n">
        <v>15.2053818851909</v>
      </c>
      <c r="CR20" s="704" t="n">
        <v>15.2053818851909</v>
      </c>
      <c r="CS20" s="704" t="n">
        <v>15.2053818851909</v>
      </c>
      <c r="CT20" s="704" t="n">
        <v>15.2053818851909</v>
      </c>
      <c r="CU20" s="704" t="n">
        <v>15.2053818851909</v>
      </c>
      <c r="CV20" s="704" t="n">
        <v>15.6615433417466</v>
      </c>
      <c r="CW20" s="704" t="n">
        <v>15.6615433417466</v>
      </c>
      <c r="CX20" s="704" t="n">
        <v>15.6615433417466</v>
      </c>
      <c r="CY20" s="704" t="n">
        <v>15.6615433417466</v>
      </c>
      <c r="CZ20" s="704" t="n">
        <v>15.6615433417466</v>
      </c>
      <c r="DA20" s="704" t="n">
        <v>15.6615433417466</v>
      </c>
      <c r="DB20" s="704" t="n">
        <v>15.6615433417466</v>
      </c>
      <c r="DC20" s="704" t="n">
        <v>15.6615433417466</v>
      </c>
      <c r="DD20" s="704" t="n">
        <v>15.6615433417466</v>
      </c>
      <c r="DE20" s="704" t="n">
        <v>15.6615433417466</v>
      </c>
      <c r="DF20" s="704" t="n">
        <v>15.6615433417466</v>
      </c>
      <c r="DG20" s="704" t="n">
        <v>15.6615433417466</v>
      </c>
      <c r="DH20" s="704" t="n">
        <v>15.6615433417466</v>
      </c>
      <c r="DI20" s="704" t="n">
        <v>15.6615433417466</v>
      </c>
      <c r="DJ20" s="704" t="n">
        <v>15.6615433417466</v>
      </c>
      <c r="DK20" s="704" t="n">
        <v>15.6615433417466</v>
      </c>
      <c r="DL20" s="704" t="n">
        <v>15.6615433417466</v>
      </c>
      <c r="DM20" s="704" t="n">
        <v>15.6615433417466</v>
      </c>
    </row>
    <row r="21" ht="13.5" customHeight="1" s="355">
      <c r="B21" s="703" t="inlineStr">
        <is>
          <t>Team Leader</t>
        </is>
      </c>
      <c r="D21" s="704" t="n">
        <v>0</v>
      </c>
      <c r="E21" s="704" t="n">
        <v>0</v>
      </c>
      <c r="F21" s="704" t="n">
        <v>0</v>
      </c>
      <c r="G21" s="704" t="n">
        <v>0</v>
      </c>
      <c r="H21" s="704" t="n">
        <v>0</v>
      </c>
      <c r="I21" s="704" t="n">
        <v>0</v>
      </c>
      <c r="J21" s="704" t="n">
        <v>0</v>
      </c>
      <c r="K21" s="704" t="n">
        <v>0</v>
      </c>
      <c r="L21" s="704" t="n">
        <v>0</v>
      </c>
      <c r="M21" s="704" t="n">
        <v>0</v>
      </c>
      <c r="N21" s="704" t="n">
        <v>0</v>
      </c>
      <c r="O21" s="704" t="n">
        <v>0</v>
      </c>
      <c r="P21" s="704" t="n">
        <v>0</v>
      </c>
      <c r="Q21" s="704" t="n">
        <v>0</v>
      </c>
      <c r="R21" s="704" t="n">
        <v>0</v>
      </c>
      <c r="S21" s="704" t="n">
        <v>0</v>
      </c>
      <c r="T21" s="704" t="n">
        <v>0</v>
      </c>
      <c r="U21" s="704" t="n">
        <v>0</v>
      </c>
      <c r="V21" s="704" t="n">
        <v>0</v>
      </c>
      <c r="W21" s="704" t="n">
        <v>0</v>
      </c>
      <c r="X21" s="704" t="n">
        <v>0</v>
      </c>
      <c r="Y21" s="704" t="n">
        <v>0</v>
      </c>
      <c r="Z21" s="704" t="n">
        <v>0</v>
      </c>
      <c r="AA21" s="704" t="n">
        <v>0</v>
      </c>
      <c r="AB21" s="704" t="n">
        <v>0</v>
      </c>
      <c r="AC21" s="704" t="n">
        <v>0</v>
      </c>
      <c r="AD21" s="704" t="n">
        <v>0</v>
      </c>
      <c r="AE21" s="704" t="n">
        <v>0</v>
      </c>
      <c r="AF21" s="704" t="n">
        <v>0</v>
      </c>
      <c r="AG21" s="704" t="n">
        <v>0</v>
      </c>
      <c r="AH21" s="704" t="n">
        <v>0</v>
      </c>
      <c r="AI21" s="704" t="n">
        <v>0</v>
      </c>
      <c r="AJ21" s="704" t="n">
        <v>0</v>
      </c>
      <c r="AK21" s="704" t="n">
        <v>0</v>
      </c>
      <c r="AL21" s="704" t="n">
        <v>0</v>
      </c>
      <c r="AM21" s="704" t="n">
        <v>0</v>
      </c>
      <c r="AN21" s="704" t="n">
        <v>0</v>
      </c>
      <c r="AO21" s="704" t="n">
        <v>0</v>
      </c>
      <c r="AP21" s="704" t="n">
        <v>0</v>
      </c>
      <c r="AQ21" s="704" t="n">
        <v>0</v>
      </c>
      <c r="AR21" s="704" t="n">
        <v>0</v>
      </c>
      <c r="AS21" s="704" t="n">
        <v>0</v>
      </c>
      <c r="AT21" s="704" t="n">
        <v>0</v>
      </c>
      <c r="AU21" s="704" t="n">
        <v>0</v>
      </c>
      <c r="AV21" s="704" t="n">
        <v>0</v>
      </c>
      <c r="AW21" s="704" t="n">
        <v>0</v>
      </c>
      <c r="AX21" s="704" t="n">
        <v>0</v>
      </c>
      <c r="AY21" s="704" t="n">
        <v>0</v>
      </c>
      <c r="AZ21" s="704" t="n">
        <v>0</v>
      </c>
      <c r="BA21" s="704" t="n">
        <v>0</v>
      </c>
      <c r="BB21" s="704" t="n">
        <v>0</v>
      </c>
      <c r="BC21" s="704" t="n">
        <v>0</v>
      </c>
      <c r="BD21" s="704" t="n">
        <v>0</v>
      </c>
      <c r="BE21" s="704" t="n">
        <v>0</v>
      </c>
      <c r="BF21" s="704" t="n">
        <v>0</v>
      </c>
      <c r="BG21" s="704" t="n">
        <v>0</v>
      </c>
      <c r="BH21" s="704" t="n">
        <v>0</v>
      </c>
      <c r="BI21" s="704" t="n">
        <v>0</v>
      </c>
      <c r="BJ21" s="704" t="n">
        <v>0</v>
      </c>
      <c r="BK21" s="704" t="n">
        <v>0</v>
      </c>
      <c r="BL21" s="704" t="n">
        <v>0</v>
      </c>
      <c r="BM21" s="704" t="n">
        <v>0</v>
      </c>
      <c r="BN21" s="704" t="n">
        <v>0</v>
      </c>
      <c r="BO21" s="704" t="n">
        <v>0</v>
      </c>
      <c r="BP21" s="704" t="n">
        <v>0</v>
      </c>
      <c r="BQ21" s="704" t="n">
        <v>0</v>
      </c>
      <c r="BR21" s="704" t="n">
        <v>0</v>
      </c>
      <c r="BS21" s="704" t="n">
        <v>0</v>
      </c>
      <c r="BT21" s="704" t="n">
        <v>0</v>
      </c>
      <c r="BU21" s="704" t="n">
        <v>0</v>
      </c>
      <c r="BV21" s="704" t="n">
        <v>0</v>
      </c>
      <c r="BW21" s="704" t="n">
        <v>0</v>
      </c>
      <c r="BX21" s="704" t="n">
        <v>0</v>
      </c>
      <c r="BY21" s="704" t="n">
        <v>0</v>
      </c>
      <c r="BZ21" s="704" t="n">
        <v>0</v>
      </c>
      <c r="CA21" s="704" t="n">
        <v>0</v>
      </c>
      <c r="CB21" s="704" t="n">
        <v>0</v>
      </c>
      <c r="CC21" s="704" t="n">
        <v>0</v>
      </c>
      <c r="CD21" s="704" t="n">
        <v>0</v>
      </c>
      <c r="CE21" s="704" t="n">
        <v>0</v>
      </c>
      <c r="CF21" s="704" t="n">
        <v>0</v>
      </c>
      <c r="CG21" s="704" t="n">
        <v>0</v>
      </c>
      <c r="CH21" s="704" t="n">
        <v>0</v>
      </c>
      <c r="CI21" s="704" t="n">
        <v>0</v>
      </c>
      <c r="CJ21" s="704" t="n">
        <v>0</v>
      </c>
      <c r="CK21" s="704" t="n">
        <v>0</v>
      </c>
      <c r="CL21" s="704" t="n">
        <v>0</v>
      </c>
      <c r="CM21" s="704" t="n">
        <v>0</v>
      </c>
      <c r="CN21" s="704" t="n">
        <v>0</v>
      </c>
      <c r="CO21" s="704" t="n">
        <v>0</v>
      </c>
      <c r="CP21" s="704" t="n">
        <v>0</v>
      </c>
      <c r="CQ21" s="704" t="n">
        <v>0</v>
      </c>
      <c r="CR21" s="704" t="n">
        <v>0</v>
      </c>
      <c r="CS21" s="704" t="n">
        <v>0</v>
      </c>
      <c r="CT21" s="704" t="n">
        <v>0</v>
      </c>
      <c r="CU21" s="704" t="n">
        <v>0</v>
      </c>
      <c r="CV21" s="704" t="n">
        <v>0</v>
      </c>
      <c r="CW21" s="704" t="n">
        <v>0</v>
      </c>
      <c r="CX21" s="704" t="n">
        <v>0</v>
      </c>
      <c r="CY21" s="704" t="n">
        <v>0</v>
      </c>
      <c r="CZ21" s="704" t="n">
        <v>0</v>
      </c>
      <c r="DA21" s="704" t="n">
        <v>0</v>
      </c>
      <c r="DB21" s="704" t="n">
        <v>0</v>
      </c>
      <c r="DC21" s="704" t="n">
        <v>0</v>
      </c>
      <c r="DD21" s="704" t="n">
        <v>0</v>
      </c>
      <c r="DE21" s="704" t="n">
        <v>0</v>
      </c>
      <c r="DF21" s="704" t="n">
        <v>0</v>
      </c>
      <c r="DG21" s="704" t="n">
        <v>0</v>
      </c>
      <c r="DH21" s="704" t="n">
        <v>0</v>
      </c>
      <c r="DI21" s="704" t="n">
        <v>0</v>
      </c>
      <c r="DJ21" s="704" t="n">
        <v>0</v>
      </c>
      <c r="DK21" s="704" t="n">
        <v>0</v>
      </c>
      <c r="DL21" s="704" t="n">
        <v>0</v>
      </c>
      <c r="DM21" s="704" t="n">
        <v>0</v>
      </c>
    </row>
    <row r="22" ht="13.5" customHeight="1" s="355">
      <c r="B22" s="703" t="inlineStr">
        <is>
          <t>SLA Metric Reporting</t>
        </is>
      </c>
      <c r="D22" s="704" t="n">
        <v>0</v>
      </c>
      <c r="E22" s="704" t="n">
        <v>0</v>
      </c>
      <c r="F22" s="704" t="n">
        <v>0</v>
      </c>
      <c r="G22" s="704" t="n">
        <v>0</v>
      </c>
      <c r="H22" s="704" t="n">
        <v>0</v>
      </c>
      <c r="I22" s="704" t="n">
        <v>0</v>
      </c>
      <c r="J22" s="704" t="n">
        <v>0</v>
      </c>
      <c r="K22" s="704" t="n">
        <v>0</v>
      </c>
      <c r="L22" s="704" t="n">
        <v>0</v>
      </c>
      <c r="M22" s="704" t="n">
        <v>0</v>
      </c>
      <c r="N22" s="704" t="n">
        <v>0</v>
      </c>
      <c r="O22" s="704" t="n">
        <v>0</v>
      </c>
      <c r="P22" s="704" t="n">
        <v>0</v>
      </c>
      <c r="Q22" s="704" t="n">
        <v>0</v>
      </c>
      <c r="R22" s="704" t="n">
        <v>0</v>
      </c>
      <c r="S22" s="704" t="n">
        <v>0</v>
      </c>
      <c r="T22" s="704" t="n">
        <v>0</v>
      </c>
      <c r="U22" s="704" t="n">
        <v>0</v>
      </c>
      <c r="V22" s="704" t="n">
        <v>0</v>
      </c>
      <c r="W22" s="704" t="n">
        <v>0</v>
      </c>
      <c r="X22" s="704" t="n">
        <v>0</v>
      </c>
      <c r="Y22" s="704" t="n">
        <v>0</v>
      </c>
      <c r="Z22" s="704" t="n">
        <v>0</v>
      </c>
      <c r="AA22" s="704" t="n">
        <v>0</v>
      </c>
      <c r="AB22" s="704" t="n">
        <v>0</v>
      </c>
      <c r="AC22" s="704" t="n">
        <v>0</v>
      </c>
      <c r="AD22" s="704" t="n">
        <v>0</v>
      </c>
      <c r="AE22" s="704" t="n">
        <v>0</v>
      </c>
      <c r="AF22" s="704" t="n">
        <v>0</v>
      </c>
      <c r="AG22" s="704" t="n">
        <v>0</v>
      </c>
      <c r="AH22" s="704" t="n">
        <v>0</v>
      </c>
      <c r="AI22" s="704" t="n">
        <v>0</v>
      </c>
      <c r="AJ22" s="704" t="n">
        <v>0</v>
      </c>
      <c r="AK22" s="704" t="n">
        <v>0</v>
      </c>
      <c r="AL22" s="704" t="n">
        <v>0</v>
      </c>
      <c r="AM22" s="704" t="n">
        <v>0</v>
      </c>
      <c r="AN22" s="704" t="n">
        <v>0</v>
      </c>
      <c r="AO22" s="704" t="n">
        <v>0</v>
      </c>
      <c r="AP22" s="704" t="n">
        <v>0</v>
      </c>
      <c r="AQ22" s="704" t="n">
        <v>0</v>
      </c>
      <c r="AR22" s="704" t="n">
        <v>0</v>
      </c>
      <c r="AS22" s="704" t="n">
        <v>0</v>
      </c>
      <c r="AT22" s="704" t="n">
        <v>0</v>
      </c>
      <c r="AU22" s="704" t="n">
        <v>0</v>
      </c>
      <c r="AV22" s="704" t="n">
        <v>0</v>
      </c>
      <c r="AW22" s="704" t="n">
        <v>0</v>
      </c>
      <c r="AX22" s="704" t="n">
        <v>0</v>
      </c>
      <c r="AY22" s="704" t="n">
        <v>0</v>
      </c>
      <c r="AZ22" s="704" t="n">
        <v>0</v>
      </c>
      <c r="BA22" s="704" t="n">
        <v>0</v>
      </c>
      <c r="BB22" s="704" t="n">
        <v>0</v>
      </c>
      <c r="BC22" s="704" t="n">
        <v>0</v>
      </c>
      <c r="BD22" s="704" t="n">
        <v>0</v>
      </c>
      <c r="BE22" s="704" t="n">
        <v>0</v>
      </c>
      <c r="BF22" s="704" t="n">
        <v>0</v>
      </c>
      <c r="BG22" s="704" t="n">
        <v>0</v>
      </c>
      <c r="BH22" s="704" t="n">
        <v>0</v>
      </c>
      <c r="BI22" s="704" t="n">
        <v>0</v>
      </c>
      <c r="BJ22" s="704" t="n">
        <v>0</v>
      </c>
      <c r="BK22" s="704" t="n">
        <v>0</v>
      </c>
      <c r="BL22" s="704" t="n">
        <v>0</v>
      </c>
      <c r="BM22" s="704" t="n">
        <v>0</v>
      </c>
      <c r="BN22" s="704" t="n">
        <v>0</v>
      </c>
      <c r="BO22" s="704" t="n">
        <v>0</v>
      </c>
      <c r="BP22" s="704" t="n">
        <v>0</v>
      </c>
      <c r="BQ22" s="704" t="n">
        <v>0</v>
      </c>
      <c r="BR22" s="704" t="n">
        <v>0</v>
      </c>
      <c r="BS22" s="704" t="n">
        <v>0</v>
      </c>
      <c r="BT22" s="704" t="n">
        <v>0</v>
      </c>
      <c r="BU22" s="704" t="n">
        <v>0</v>
      </c>
      <c r="BV22" s="704" t="n">
        <v>0</v>
      </c>
      <c r="BW22" s="704" t="n">
        <v>0</v>
      </c>
      <c r="BX22" s="704" t="n">
        <v>0</v>
      </c>
      <c r="BY22" s="704" t="n">
        <v>0</v>
      </c>
      <c r="BZ22" s="704" t="n">
        <v>0</v>
      </c>
      <c r="CA22" s="704" t="n">
        <v>0</v>
      </c>
      <c r="CB22" s="704" t="n">
        <v>0</v>
      </c>
      <c r="CC22" s="704" t="n">
        <v>0</v>
      </c>
      <c r="CD22" s="704" t="n">
        <v>0</v>
      </c>
      <c r="CE22" s="704" t="n">
        <v>0</v>
      </c>
      <c r="CF22" s="704" t="n">
        <v>0</v>
      </c>
      <c r="CG22" s="704" t="n">
        <v>0</v>
      </c>
      <c r="CH22" s="704" t="n">
        <v>0</v>
      </c>
      <c r="CI22" s="704" t="n">
        <v>0</v>
      </c>
      <c r="CJ22" s="704" t="n">
        <v>0</v>
      </c>
      <c r="CK22" s="704" t="n">
        <v>0</v>
      </c>
      <c r="CL22" s="704" t="n">
        <v>0</v>
      </c>
      <c r="CM22" s="704" t="n">
        <v>0</v>
      </c>
      <c r="CN22" s="704" t="n">
        <v>0</v>
      </c>
      <c r="CO22" s="704" t="n">
        <v>0</v>
      </c>
      <c r="CP22" s="704" t="n">
        <v>0</v>
      </c>
      <c r="CQ22" s="704" t="n">
        <v>0</v>
      </c>
      <c r="CR22" s="704" t="n">
        <v>0</v>
      </c>
      <c r="CS22" s="704" t="n">
        <v>0</v>
      </c>
      <c r="CT22" s="704" t="n">
        <v>0</v>
      </c>
      <c r="CU22" s="704" t="n">
        <v>0</v>
      </c>
      <c r="CV22" s="704" t="n">
        <v>0</v>
      </c>
      <c r="CW22" s="704" t="n">
        <v>0</v>
      </c>
      <c r="CX22" s="704" t="n">
        <v>0</v>
      </c>
      <c r="CY22" s="704" t="n">
        <v>0</v>
      </c>
      <c r="CZ22" s="704" t="n">
        <v>0</v>
      </c>
      <c r="DA22" s="704" t="n">
        <v>0</v>
      </c>
      <c r="DB22" s="704" t="n">
        <v>0</v>
      </c>
      <c r="DC22" s="704" t="n">
        <v>0</v>
      </c>
      <c r="DD22" s="704" t="n">
        <v>0</v>
      </c>
      <c r="DE22" s="704" t="n">
        <v>0</v>
      </c>
      <c r="DF22" s="704" t="n">
        <v>0</v>
      </c>
      <c r="DG22" s="704" t="n">
        <v>0</v>
      </c>
      <c r="DH22" s="704" t="n">
        <v>0</v>
      </c>
      <c r="DI22" s="704" t="n">
        <v>0</v>
      </c>
      <c r="DJ22" s="704" t="n">
        <v>0</v>
      </c>
      <c r="DK22" s="704" t="n">
        <v>0</v>
      </c>
      <c r="DL22" s="704" t="n">
        <v>0</v>
      </c>
      <c r="DM22" s="704" t="n">
        <v>0</v>
      </c>
    </row>
    <row r="23" ht="13.5" customHeight="1" s="355">
      <c r="B23" s="705" t="inlineStr">
        <is>
          <t>Grand Total</t>
        </is>
      </c>
      <c r="C23" s="706" t="n"/>
      <c r="D23" s="707" t="n">
        <v>0</v>
      </c>
      <c r="E23" s="707" t="n">
        <v>0</v>
      </c>
      <c r="F23" s="707" t="n">
        <v>0</v>
      </c>
      <c r="G23" s="707" t="n">
        <v>0</v>
      </c>
      <c r="H23" s="707" t="n">
        <v>0</v>
      </c>
      <c r="I23" s="707" t="n">
        <v>0</v>
      </c>
      <c r="J23" s="707" t="n">
        <v>7.28212652357023</v>
      </c>
      <c r="K23" s="707" t="n">
        <v>20.7807345434368</v>
      </c>
      <c r="L23" s="707" t="n">
        <v>37.0800734258002</v>
      </c>
      <c r="M23" s="707" t="n">
        <v>43.7196593737613</v>
      </c>
      <c r="N23" s="707" t="n">
        <v>43.7196593737613</v>
      </c>
      <c r="O23" s="707" t="n">
        <v>43.7196593737613</v>
      </c>
      <c r="P23" s="707" t="n">
        <v>45.0312491549741</v>
      </c>
      <c r="Q23" s="707" t="n">
        <v>45.0312491549741</v>
      </c>
      <c r="R23" s="707" t="n">
        <v>45.0312491549741</v>
      </c>
      <c r="S23" s="707" t="n">
        <v>45.0312491549741</v>
      </c>
      <c r="T23" s="707" t="n">
        <v>43.3608590695029</v>
      </c>
      <c r="U23" s="707" t="n">
        <v>43.3608590695029</v>
      </c>
      <c r="V23" s="707" t="n">
        <v>43.3608590695029</v>
      </c>
      <c r="W23" s="707" t="n">
        <v>43.3608590695029</v>
      </c>
      <c r="X23" s="707" t="n">
        <v>43.3608590695029</v>
      </c>
      <c r="Y23" s="707" t="n">
        <v>43.3608590695029</v>
      </c>
      <c r="Z23" s="707" t="n">
        <v>43.3608590695029</v>
      </c>
      <c r="AA23" s="707" t="n">
        <v>43.3608590695029</v>
      </c>
      <c r="AB23" s="707" t="n">
        <v>44.661684841588</v>
      </c>
      <c r="AC23" s="707" t="n">
        <v>42.7061450839122</v>
      </c>
      <c r="AD23" s="707" t="n">
        <v>42.7061450839122</v>
      </c>
      <c r="AE23" s="707" t="n">
        <v>42.7061450839122</v>
      </c>
      <c r="AF23" s="707" t="n">
        <v>42.7061450839122</v>
      </c>
      <c r="AG23" s="707" t="n">
        <v>42.7061450839122</v>
      </c>
      <c r="AH23" s="707" t="n">
        <v>42.7061450839122</v>
      </c>
      <c r="AI23" s="707" t="n">
        <v>42.7061450839122</v>
      </c>
      <c r="AJ23" s="707" t="n">
        <v>42.7061450839122</v>
      </c>
      <c r="AK23" s="707" t="n">
        <v>42.7061450839122</v>
      </c>
      <c r="AL23" s="707" t="n">
        <v>42.7061450839122</v>
      </c>
      <c r="AM23" s="707" t="n">
        <v>42.7061450839122</v>
      </c>
      <c r="AN23" s="707" t="n">
        <v>43.9873294364296</v>
      </c>
      <c r="AO23" s="707" t="n">
        <v>41.9731234860235</v>
      </c>
      <c r="AP23" s="707" t="n">
        <v>41.9731234860235</v>
      </c>
      <c r="AQ23" s="707" t="n">
        <v>41.9731234860235</v>
      </c>
      <c r="AR23" s="707" t="n">
        <v>41.9731234860235</v>
      </c>
      <c r="AS23" s="707" t="n">
        <v>41.9731234860235</v>
      </c>
      <c r="AT23" s="707" t="n">
        <v>41.9731234860235</v>
      </c>
      <c r="AU23" s="707" t="n">
        <v>41.9731234860235</v>
      </c>
      <c r="AV23" s="707" t="n">
        <v>41.9731234860235</v>
      </c>
      <c r="AW23" s="707" t="n">
        <v>41.9731234860235</v>
      </c>
      <c r="AX23" s="707" t="n">
        <v>41.9731234860235</v>
      </c>
      <c r="AY23" s="707" t="n">
        <v>41.9731234860235</v>
      </c>
      <c r="AZ23" s="707" t="n">
        <v>43.2323171906042</v>
      </c>
      <c r="BA23" s="707" t="n">
        <v>41.157685061686</v>
      </c>
      <c r="BB23" s="707" t="n">
        <v>41.157685061686</v>
      </c>
      <c r="BC23" s="707" t="n">
        <v>41.157685061686</v>
      </c>
      <c r="BD23" s="707" t="n">
        <v>41.157685061686</v>
      </c>
      <c r="BE23" s="707" t="n">
        <v>41.157685061686</v>
      </c>
      <c r="BF23" s="707" t="n">
        <v>41.157685061686</v>
      </c>
      <c r="BG23" s="707" t="n">
        <v>41.157685061686</v>
      </c>
      <c r="BH23" s="707" t="n">
        <v>41.157685061686</v>
      </c>
      <c r="BI23" s="707" t="n">
        <v>41.157685061686</v>
      </c>
      <c r="BJ23" s="707" t="n">
        <v>41.157685061686</v>
      </c>
      <c r="BK23" s="707" t="n">
        <v>41.157685061686</v>
      </c>
      <c r="BL23" s="707" t="n">
        <v>42.3924156135366</v>
      </c>
      <c r="BM23" s="707" t="n">
        <v>41.2815621608925</v>
      </c>
      <c r="BN23" s="707" t="n">
        <v>41.2815621608925</v>
      </c>
      <c r="BO23" s="707" t="n">
        <v>41.2815621608925</v>
      </c>
      <c r="BP23" s="707" t="n">
        <v>41.2815621608925</v>
      </c>
      <c r="BQ23" s="707" t="n">
        <v>41.2815621608925</v>
      </c>
      <c r="BR23" s="707" t="n">
        <v>41.2815621608925</v>
      </c>
      <c r="BS23" s="707" t="n">
        <v>41.2815621608925</v>
      </c>
      <c r="BT23" s="707" t="n">
        <v>41.2815621608925</v>
      </c>
      <c r="BU23" s="707" t="n">
        <v>41.2815621608925</v>
      </c>
      <c r="BV23" s="707" t="n">
        <v>41.2815621608925</v>
      </c>
      <c r="BW23" s="707" t="n">
        <v>41.2815621608925</v>
      </c>
      <c r="BX23" s="707" t="n">
        <v>42.5200090257193</v>
      </c>
      <c r="BY23" s="707" t="n">
        <v>42.5200090257193</v>
      </c>
      <c r="BZ23" s="707" t="n">
        <v>42.5200090257193</v>
      </c>
      <c r="CA23" s="707" t="n">
        <v>42.5200090257193</v>
      </c>
      <c r="CB23" s="707" t="n">
        <v>42.5200090257193</v>
      </c>
      <c r="CC23" s="707" t="n">
        <v>42.5200090257193</v>
      </c>
      <c r="CD23" s="707" t="n">
        <v>42.5200090257193</v>
      </c>
      <c r="CE23" s="707" t="n">
        <v>42.5200090257193</v>
      </c>
      <c r="CF23" s="707" t="n">
        <v>42.5200090257193</v>
      </c>
      <c r="CG23" s="707" t="n">
        <v>42.5200090257193</v>
      </c>
      <c r="CH23" s="707" t="n">
        <v>42.5200090257193</v>
      </c>
      <c r="CI23" s="707" t="n">
        <v>42.5200090257193</v>
      </c>
      <c r="CJ23" s="707" t="n">
        <v>43.7956092964909</v>
      </c>
      <c r="CK23" s="707" t="n">
        <v>43.7956092964909</v>
      </c>
      <c r="CL23" s="707" t="n">
        <v>43.7956092964909</v>
      </c>
      <c r="CM23" s="707" t="n">
        <v>43.7956092964909</v>
      </c>
      <c r="CN23" s="707" t="n">
        <v>43.7956092964909</v>
      </c>
      <c r="CO23" s="707" t="n">
        <v>43.7956092964909</v>
      </c>
      <c r="CP23" s="707" t="n">
        <v>43.7956092964909</v>
      </c>
      <c r="CQ23" s="707" t="n">
        <v>43.7956092964909</v>
      </c>
      <c r="CR23" s="707" t="n">
        <v>43.7956092964909</v>
      </c>
      <c r="CS23" s="707" t="n">
        <v>43.7956092964909</v>
      </c>
      <c r="CT23" s="707" t="n">
        <v>43.7956092964909</v>
      </c>
      <c r="CU23" s="707" t="n">
        <v>43.7956092964909</v>
      </c>
      <c r="CV23" s="707" t="n">
        <v>45.1094775753856</v>
      </c>
      <c r="CW23" s="707" t="n">
        <v>45.1094775753856</v>
      </c>
      <c r="CX23" s="707" t="n">
        <v>45.1094775753856</v>
      </c>
      <c r="CY23" s="707" t="n">
        <v>45.1094775753856</v>
      </c>
      <c r="CZ23" s="707" t="n">
        <v>45.1094775753856</v>
      </c>
      <c r="DA23" s="707" t="n">
        <v>45.1094775753856</v>
      </c>
      <c r="DB23" s="707" t="n">
        <v>45.1094775753856</v>
      </c>
      <c r="DC23" s="707" t="n">
        <v>45.1094775753856</v>
      </c>
      <c r="DD23" s="707" t="n">
        <v>45.1094775753856</v>
      </c>
      <c r="DE23" s="707" t="n">
        <v>45.1094775753856</v>
      </c>
      <c r="DF23" s="707" t="n">
        <v>45.1094775753856</v>
      </c>
      <c r="DG23" s="707" t="n">
        <v>45.1094775753856</v>
      </c>
      <c r="DH23" s="707" t="n">
        <v>45.1094775753856</v>
      </c>
      <c r="DI23" s="707" t="n">
        <v>45.1094775753856</v>
      </c>
      <c r="DJ23" s="707" t="n">
        <v>45.1094775753856</v>
      </c>
      <c r="DK23" s="707" t="n">
        <v>45.1094775753856</v>
      </c>
      <c r="DL23" s="707" t="n">
        <v>45.1094775753856</v>
      </c>
      <c r="DM23" s="707" t="n">
        <v>45.1094775753856</v>
      </c>
    </row>
    <row r="24" ht="13.5" customHeight="1" s="355">
      <c r="A24" s="702" t="inlineStr">
        <is>
          <t>France</t>
        </is>
      </c>
      <c r="B24" s="703" t="inlineStr">
        <is>
          <t>Gen Acctg</t>
        </is>
      </c>
      <c r="D24" s="704" t="n">
        <v>0</v>
      </c>
      <c r="E24" s="704" t="n">
        <v>0</v>
      </c>
      <c r="F24" s="704" t="n">
        <v>0</v>
      </c>
      <c r="G24" s="704" t="n">
        <v>0</v>
      </c>
      <c r="H24" s="704" t="n">
        <v>0</v>
      </c>
      <c r="I24" s="704" t="n">
        <v>0</v>
      </c>
      <c r="J24" s="704" t="n">
        <v>0</v>
      </c>
      <c r="K24" s="704" t="n">
        <v>0</v>
      </c>
      <c r="L24" s="704" t="n">
        <v>0</v>
      </c>
      <c r="M24" s="704" t="n">
        <v>0</v>
      </c>
      <c r="N24" s="704" t="n">
        <v>0</v>
      </c>
      <c r="O24" s="704" t="n">
        <v>6.38568701110111</v>
      </c>
      <c r="P24" s="704" t="n">
        <v>9.709285060212309</v>
      </c>
      <c r="Q24" s="704" t="n">
        <v>9.709285060212309</v>
      </c>
      <c r="R24" s="704" t="n">
        <v>9.709285060212309</v>
      </c>
      <c r="S24" s="704" t="n">
        <v>9.709285060212309</v>
      </c>
      <c r="T24" s="704" t="n">
        <v>9.709285060212309</v>
      </c>
      <c r="U24" s="704" t="n">
        <v>9.709285060212309</v>
      </c>
      <c r="V24" s="704" t="n">
        <v>9.709285060212309</v>
      </c>
      <c r="W24" s="704" t="n">
        <v>9.709285060212309</v>
      </c>
      <c r="X24" s="704" t="n">
        <v>9.709285060212309</v>
      </c>
      <c r="Y24" s="704" t="n">
        <v>9.709285060212309</v>
      </c>
      <c r="Z24" s="704" t="n">
        <v>9.709285060212309</v>
      </c>
      <c r="AA24" s="704" t="n">
        <v>9.709285060212309</v>
      </c>
      <c r="AB24" s="704" t="n">
        <v>10.0005636120187</v>
      </c>
      <c r="AC24" s="704" t="n">
        <v>9.750549521718209</v>
      </c>
      <c r="AD24" s="704" t="n">
        <v>9.750549521718209</v>
      </c>
      <c r="AE24" s="704" t="n">
        <v>9.750549521718209</v>
      </c>
      <c r="AF24" s="704" t="n">
        <v>9.750549521718209</v>
      </c>
      <c r="AG24" s="704" t="n">
        <v>9.750549521718209</v>
      </c>
      <c r="AH24" s="704" t="n">
        <v>9.750549521718209</v>
      </c>
      <c r="AI24" s="704" t="n">
        <v>9.750549521718209</v>
      </c>
      <c r="AJ24" s="704" t="n">
        <v>9.750549521718209</v>
      </c>
      <c r="AK24" s="704" t="n">
        <v>9.750549521718209</v>
      </c>
      <c r="AL24" s="704" t="n">
        <v>9.750549521718209</v>
      </c>
      <c r="AM24" s="704" t="n">
        <v>9.750549521718209</v>
      </c>
      <c r="AN24" s="704" t="n">
        <v>10.0430660073698</v>
      </c>
      <c r="AO24" s="704" t="n">
        <v>9.785551494360281</v>
      </c>
      <c r="AP24" s="704" t="n">
        <v>9.785551494360281</v>
      </c>
      <c r="AQ24" s="704" t="n">
        <v>9.785551494360281</v>
      </c>
      <c r="AR24" s="704" t="n">
        <v>9.785551494360281</v>
      </c>
      <c r="AS24" s="704" t="n">
        <v>9.785551494360281</v>
      </c>
      <c r="AT24" s="704" t="n">
        <v>9.785551494360281</v>
      </c>
      <c r="AU24" s="704" t="n">
        <v>9.785551494360281</v>
      </c>
      <c r="AV24" s="704" t="n">
        <v>9.785551494360281</v>
      </c>
      <c r="AW24" s="704" t="n">
        <v>9.785551494360281</v>
      </c>
      <c r="AX24" s="704" t="n">
        <v>9.785551494360281</v>
      </c>
      <c r="AY24" s="704" t="n">
        <v>9.785551494360281</v>
      </c>
      <c r="AZ24" s="704" t="n">
        <v>10.0791180391911</v>
      </c>
      <c r="BA24" s="704" t="n">
        <v>9.81387809079132</v>
      </c>
      <c r="BB24" s="704" t="n">
        <v>9.81387809079132</v>
      </c>
      <c r="BC24" s="704" t="n">
        <v>9.81387809079132</v>
      </c>
      <c r="BD24" s="704" t="n">
        <v>9.81387809079132</v>
      </c>
      <c r="BE24" s="704" t="n">
        <v>9.81387809079132</v>
      </c>
      <c r="BF24" s="704" t="n">
        <v>9.81387809079132</v>
      </c>
      <c r="BG24" s="704" t="n">
        <v>9.81387809079132</v>
      </c>
      <c r="BH24" s="704" t="n">
        <v>9.81387809079132</v>
      </c>
      <c r="BI24" s="704" t="n">
        <v>9.81387809079132</v>
      </c>
      <c r="BJ24" s="704" t="n">
        <v>9.81387809079132</v>
      </c>
      <c r="BK24" s="704" t="n">
        <v>9.81387809079132</v>
      </c>
      <c r="BL24" s="704" t="n">
        <v>10.1082944335151</v>
      </c>
      <c r="BM24" s="704" t="n">
        <v>9.56190013981154</v>
      </c>
      <c r="BN24" s="704" t="n">
        <v>9.56190013981154</v>
      </c>
      <c r="BO24" s="704" t="n">
        <v>9.56190013981154</v>
      </c>
      <c r="BP24" s="704" t="n">
        <v>9.56190013981154</v>
      </c>
      <c r="BQ24" s="704" t="n">
        <v>9.56190013981154</v>
      </c>
      <c r="BR24" s="704" t="n">
        <v>9.56190013981154</v>
      </c>
      <c r="BS24" s="704" t="n">
        <v>9.56190013981154</v>
      </c>
      <c r="BT24" s="704" t="n">
        <v>9.56190013981154</v>
      </c>
      <c r="BU24" s="704" t="n">
        <v>9.56190013981154</v>
      </c>
      <c r="BV24" s="704" t="n">
        <v>9.56190013981154</v>
      </c>
      <c r="BW24" s="704" t="n">
        <v>9.56190013981154</v>
      </c>
      <c r="BX24" s="704" t="n">
        <v>9.848757144005891</v>
      </c>
      <c r="BY24" s="704" t="n">
        <v>9.848757144005891</v>
      </c>
      <c r="BZ24" s="704" t="n">
        <v>9.848757144005891</v>
      </c>
      <c r="CA24" s="704" t="n">
        <v>9.848757144005891</v>
      </c>
      <c r="CB24" s="704" t="n">
        <v>9.848757144005891</v>
      </c>
      <c r="CC24" s="704" t="n">
        <v>9.848757144005891</v>
      </c>
      <c r="CD24" s="704" t="n">
        <v>9.848757144005891</v>
      </c>
      <c r="CE24" s="704" t="n">
        <v>9.848757144005891</v>
      </c>
      <c r="CF24" s="704" t="n">
        <v>9.848757144005891</v>
      </c>
      <c r="CG24" s="704" t="n">
        <v>9.848757144005891</v>
      </c>
      <c r="CH24" s="704" t="n">
        <v>9.848757144005891</v>
      </c>
      <c r="CI24" s="704" t="n">
        <v>9.848757144005891</v>
      </c>
      <c r="CJ24" s="704" t="n">
        <v>10.1442198583261</v>
      </c>
      <c r="CK24" s="704" t="n">
        <v>10.1442198583261</v>
      </c>
      <c r="CL24" s="704" t="n">
        <v>10.1442198583261</v>
      </c>
      <c r="CM24" s="704" t="n">
        <v>10.1442198583261</v>
      </c>
      <c r="CN24" s="704" t="n">
        <v>10.1442198583261</v>
      </c>
      <c r="CO24" s="704" t="n">
        <v>10.1442198583261</v>
      </c>
      <c r="CP24" s="704" t="n">
        <v>10.1442198583261</v>
      </c>
      <c r="CQ24" s="704" t="n">
        <v>10.1442198583261</v>
      </c>
      <c r="CR24" s="704" t="n">
        <v>10.1442198583261</v>
      </c>
      <c r="CS24" s="704" t="n">
        <v>10.1442198583261</v>
      </c>
      <c r="CT24" s="704" t="n">
        <v>10.1442198583261</v>
      </c>
      <c r="CU24" s="704" t="n">
        <v>10.1442198583261</v>
      </c>
      <c r="CV24" s="704" t="n">
        <v>10.4485464540758</v>
      </c>
      <c r="CW24" s="704" t="n">
        <v>10.4485464540758</v>
      </c>
      <c r="CX24" s="704" t="n">
        <v>10.4485464540758</v>
      </c>
      <c r="CY24" s="704" t="n">
        <v>10.4485464540758</v>
      </c>
      <c r="CZ24" s="704" t="n">
        <v>10.4485464540758</v>
      </c>
      <c r="DA24" s="704" t="n">
        <v>10.4485464540758</v>
      </c>
      <c r="DB24" s="704" t="n">
        <v>10.4485464540758</v>
      </c>
      <c r="DC24" s="704" t="n">
        <v>10.4485464540758</v>
      </c>
      <c r="DD24" s="704" t="n">
        <v>10.4485464540758</v>
      </c>
      <c r="DE24" s="704" t="n">
        <v>10.4485464540758</v>
      </c>
      <c r="DF24" s="704" t="n">
        <v>10.4485464540758</v>
      </c>
      <c r="DG24" s="704" t="n">
        <v>10.4485464540758</v>
      </c>
      <c r="DH24" s="704" t="n">
        <v>10.4485464540758</v>
      </c>
      <c r="DI24" s="704" t="n">
        <v>10.4485464540758</v>
      </c>
      <c r="DJ24" s="704" t="n">
        <v>10.4485464540758</v>
      </c>
      <c r="DK24" s="704" t="n">
        <v>10.4485464540758</v>
      </c>
      <c r="DL24" s="704" t="n">
        <v>10.4485464540758</v>
      </c>
      <c r="DM24" s="704" t="n">
        <v>10.4485464540758</v>
      </c>
    </row>
    <row r="25" ht="13.5" customHeight="1" s="355">
      <c r="B25" s="703" t="inlineStr">
        <is>
          <t>Reporting</t>
        </is>
      </c>
      <c r="D25" s="704" t="n">
        <v>0</v>
      </c>
      <c r="E25" s="704" t="n">
        <v>0</v>
      </c>
      <c r="F25" s="704" t="n">
        <v>0</v>
      </c>
      <c r="G25" s="704" t="n">
        <v>0</v>
      </c>
      <c r="H25" s="704" t="n">
        <v>0</v>
      </c>
      <c r="I25" s="704" t="n">
        <v>0</v>
      </c>
      <c r="J25" s="704" t="n">
        <v>0</v>
      </c>
      <c r="K25" s="704" t="n">
        <v>0</v>
      </c>
      <c r="L25" s="704" t="n">
        <v>0</v>
      </c>
      <c r="M25" s="704" t="n">
        <v>0</v>
      </c>
      <c r="N25" s="704" t="n">
        <v>0</v>
      </c>
      <c r="O25" s="704" t="n">
        <v>0</v>
      </c>
      <c r="P25" s="704" t="n">
        <v>0</v>
      </c>
      <c r="Q25" s="704" t="n">
        <v>0</v>
      </c>
      <c r="R25" s="704" t="n">
        <v>0</v>
      </c>
      <c r="S25" s="704" t="n">
        <v>0</v>
      </c>
      <c r="T25" s="704" t="n">
        <v>0</v>
      </c>
      <c r="U25" s="704" t="n">
        <v>0</v>
      </c>
      <c r="V25" s="704" t="n">
        <v>0</v>
      </c>
      <c r="W25" s="704" t="n">
        <v>0</v>
      </c>
      <c r="X25" s="704" t="n">
        <v>0</v>
      </c>
      <c r="Y25" s="704" t="n">
        <v>0</v>
      </c>
      <c r="Z25" s="704" t="n">
        <v>0</v>
      </c>
      <c r="AA25" s="704" t="n">
        <v>0</v>
      </c>
      <c r="AB25" s="704" t="n">
        <v>0</v>
      </c>
      <c r="AC25" s="704" t="n">
        <v>0</v>
      </c>
      <c r="AD25" s="704" t="n">
        <v>0</v>
      </c>
      <c r="AE25" s="704" t="n">
        <v>0</v>
      </c>
      <c r="AF25" s="704" t="n">
        <v>0</v>
      </c>
      <c r="AG25" s="704" t="n">
        <v>0</v>
      </c>
      <c r="AH25" s="704" t="n">
        <v>0</v>
      </c>
      <c r="AI25" s="704" t="n">
        <v>0</v>
      </c>
      <c r="AJ25" s="704" t="n">
        <v>0</v>
      </c>
      <c r="AK25" s="704" t="n">
        <v>0</v>
      </c>
      <c r="AL25" s="704" t="n">
        <v>0</v>
      </c>
      <c r="AM25" s="704" t="n">
        <v>0</v>
      </c>
      <c r="AN25" s="704" t="n">
        <v>0</v>
      </c>
      <c r="AO25" s="704" t="n">
        <v>0</v>
      </c>
      <c r="AP25" s="704" t="n">
        <v>0</v>
      </c>
      <c r="AQ25" s="704" t="n">
        <v>0</v>
      </c>
      <c r="AR25" s="704" t="n">
        <v>0</v>
      </c>
      <c r="AS25" s="704" t="n">
        <v>0</v>
      </c>
      <c r="AT25" s="704" t="n">
        <v>0</v>
      </c>
      <c r="AU25" s="704" t="n">
        <v>0</v>
      </c>
      <c r="AV25" s="704" t="n">
        <v>0</v>
      </c>
      <c r="AW25" s="704" t="n">
        <v>0</v>
      </c>
      <c r="AX25" s="704" t="n">
        <v>0</v>
      </c>
      <c r="AY25" s="704" t="n">
        <v>0</v>
      </c>
      <c r="AZ25" s="704" t="n">
        <v>0</v>
      </c>
      <c r="BA25" s="704" t="n">
        <v>0</v>
      </c>
      <c r="BB25" s="704" t="n">
        <v>0</v>
      </c>
      <c r="BC25" s="704" t="n">
        <v>0</v>
      </c>
      <c r="BD25" s="704" t="n">
        <v>0</v>
      </c>
      <c r="BE25" s="704" t="n">
        <v>0</v>
      </c>
      <c r="BF25" s="704" t="n">
        <v>0</v>
      </c>
      <c r="BG25" s="704" t="n">
        <v>0</v>
      </c>
      <c r="BH25" s="704" t="n">
        <v>0</v>
      </c>
      <c r="BI25" s="704" t="n">
        <v>0</v>
      </c>
      <c r="BJ25" s="704" t="n">
        <v>0</v>
      </c>
      <c r="BK25" s="704" t="n">
        <v>0</v>
      </c>
      <c r="BL25" s="704" t="n">
        <v>0</v>
      </c>
      <c r="BM25" s="704" t="n">
        <v>0</v>
      </c>
      <c r="BN25" s="704" t="n">
        <v>0</v>
      </c>
      <c r="BO25" s="704" t="n">
        <v>0</v>
      </c>
      <c r="BP25" s="704" t="n">
        <v>0</v>
      </c>
      <c r="BQ25" s="704" t="n">
        <v>0</v>
      </c>
      <c r="BR25" s="704" t="n">
        <v>0</v>
      </c>
      <c r="BS25" s="704" t="n">
        <v>0</v>
      </c>
      <c r="BT25" s="704" t="n">
        <v>0</v>
      </c>
      <c r="BU25" s="704" t="n">
        <v>0</v>
      </c>
      <c r="BV25" s="704" t="n">
        <v>0</v>
      </c>
      <c r="BW25" s="704" t="n">
        <v>0</v>
      </c>
      <c r="BX25" s="704" t="n">
        <v>0</v>
      </c>
      <c r="BY25" s="704" t="n">
        <v>0</v>
      </c>
      <c r="BZ25" s="704" t="n">
        <v>0</v>
      </c>
      <c r="CA25" s="704" t="n">
        <v>0</v>
      </c>
      <c r="CB25" s="704" t="n">
        <v>0</v>
      </c>
      <c r="CC25" s="704" t="n">
        <v>0</v>
      </c>
      <c r="CD25" s="704" t="n">
        <v>0</v>
      </c>
      <c r="CE25" s="704" t="n">
        <v>0</v>
      </c>
      <c r="CF25" s="704" t="n">
        <v>0</v>
      </c>
      <c r="CG25" s="704" t="n">
        <v>0</v>
      </c>
      <c r="CH25" s="704" t="n">
        <v>0</v>
      </c>
      <c r="CI25" s="704" t="n">
        <v>0</v>
      </c>
      <c r="CJ25" s="704" t="n">
        <v>0</v>
      </c>
      <c r="CK25" s="704" t="n">
        <v>0</v>
      </c>
      <c r="CL25" s="704" t="n">
        <v>0</v>
      </c>
      <c r="CM25" s="704" t="n">
        <v>0</v>
      </c>
      <c r="CN25" s="704" t="n">
        <v>0</v>
      </c>
      <c r="CO25" s="704" t="n">
        <v>0</v>
      </c>
      <c r="CP25" s="704" t="n">
        <v>0</v>
      </c>
      <c r="CQ25" s="704" t="n">
        <v>0</v>
      </c>
      <c r="CR25" s="704" t="n">
        <v>0</v>
      </c>
      <c r="CS25" s="704" t="n">
        <v>0</v>
      </c>
      <c r="CT25" s="704" t="n">
        <v>0</v>
      </c>
      <c r="CU25" s="704" t="n">
        <v>0</v>
      </c>
      <c r="CV25" s="704" t="n">
        <v>0</v>
      </c>
      <c r="CW25" s="704" t="n">
        <v>0</v>
      </c>
      <c r="CX25" s="704" t="n">
        <v>0</v>
      </c>
      <c r="CY25" s="704" t="n">
        <v>0</v>
      </c>
      <c r="CZ25" s="704" t="n">
        <v>0</v>
      </c>
      <c r="DA25" s="704" t="n">
        <v>0</v>
      </c>
      <c r="DB25" s="704" t="n">
        <v>0</v>
      </c>
      <c r="DC25" s="704" t="n">
        <v>0</v>
      </c>
      <c r="DD25" s="704" t="n">
        <v>0</v>
      </c>
      <c r="DE25" s="704" t="n">
        <v>0</v>
      </c>
      <c r="DF25" s="704" t="n">
        <v>0</v>
      </c>
      <c r="DG25" s="704" t="n">
        <v>0</v>
      </c>
      <c r="DH25" s="704" t="n">
        <v>0</v>
      </c>
      <c r="DI25" s="704" t="n">
        <v>0</v>
      </c>
      <c r="DJ25" s="704" t="n">
        <v>0</v>
      </c>
      <c r="DK25" s="704" t="n">
        <v>0</v>
      </c>
      <c r="DL25" s="704" t="n">
        <v>0</v>
      </c>
      <c r="DM25" s="704" t="n">
        <v>0</v>
      </c>
    </row>
    <row r="26" ht="13.5" customHeight="1" s="355">
      <c r="B26" s="703" t="inlineStr">
        <is>
          <t>Fixed Assets</t>
        </is>
      </c>
      <c r="D26" s="704" t="n">
        <v>0</v>
      </c>
      <c r="E26" s="704" t="n">
        <v>0</v>
      </c>
      <c r="F26" s="704" t="n">
        <v>0</v>
      </c>
      <c r="G26" s="704" t="n">
        <v>0</v>
      </c>
      <c r="H26" s="704" t="n">
        <v>0</v>
      </c>
      <c r="I26" s="704" t="n">
        <v>0</v>
      </c>
      <c r="J26" s="704" t="n">
        <v>0</v>
      </c>
      <c r="K26" s="704" t="n">
        <v>0</v>
      </c>
      <c r="L26" s="704" t="n">
        <v>0</v>
      </c>
      <c r="M26" s="704" t="n">
        <v>0</v>
      </c>
      <c r="N26" s="704" t="n">
        <v>0</v>
      </c>
      <c r="O26" s="704" t="n">
        <v>0</v>
      </c>
      <c r="P26" s="704" t="n">
        <v>0</v>
      </c>
      <c r="Q26" s="704" t="n">
        <v>0</v>
      </c>
      <c r="R26" s="704" t="n">
        <v>0</v>
      </c>
      <c r="S26" s="704" t="n">
        <v>0</v>
      </c>
      <c r="T26" s="704" t="n">
        <v>0</v>
      </c>
      <c r="U26" s="704" t="n">
        <v>0</v>
      </c>
      <c r="V26" s="704" t="n">
        <v>0</v>
      </c>
      <c r="W26" s="704" t="n">
        <v>0</v>
      </c>
      <c r="X26" s="704" t="n">
        <v>0</v>
      </c>
      <c r="Y26" s="704" t="n">
        <v>0</v>
      </c>
      <c r="Z26" s="704" t="n">
        <v>0</v>
      </c>
      <c r="AA26" s="704" t="n">
        <v>0</v>
      </c>
      <c r="AB26" s="704" t="n">
        <v>0</v>
      </c>
      <c r="AC26" s="704" t="n">
        <v>0</v>
      </c>
      <c r="AD26" s="704" t="n">
        <v>0</v>
      </c>
      <c r="AE26" s="704" t="n">
        <v>0</v>
      </c>
      <c r="AF26" s="704" t="n">
        <v>0</v>
      </c>
      <c r="AG26" s="704" t="n">
        <v>0</v>
      </c>
      <c r="AH26" s="704" t="n">
        <v>0</v>
      </c>
      <c r="AI26" s="704" t="n">
        <v>0</v>
      </c>
      <c r="AJ26" s="704" t="n">
        <v>0</v>
      </c>
      <c r="AK26" s="704" t="n">
        <v>0</v>
      </c>
      <c r="AL26" s="704" t="n">
        <v>0</v>
      </c>
      <c r="AM26" s="704" t="n">
        <v>0</v>
      </c>
      <c r="AN26" s="704" t="n">
        <v>0</v>
      </c>
      <c r="AO26" s="704" t="n">
        <v>0</v>
      </c>
      <c r="AP26" s="704" t="n">
        <v>0</v>
      </c>
      <c r="AQ26" s="704" t="n">
        <v>0</v>
      </c>
      <c r="AR26" s="704" t="n">
        <v>0</v>
      </c>
      <c r="AS26" s="704" t="n">
        <v>0</v>
      </c>
      <c r="AT26" s="704" t="n">
        <v>0</v>
      </c>
      <c r="AU26" s="704" t="n">
        <v>0</v>
      </c>
      <c r="AV26" s="704" t="n">
        <v>0</v>
      </c>
      <c r="AW26" s="704" t="n">
        <v>0</v>
      </c>
      <c r="AX26" s="704" t="n">
        <v>0</v>
      </c>
      <c r="AY26" s="704" t="n">
        <v>0</v>
      </c>
      <c r="AZ26" s="704" t="n">
        <v>0</v>
      </c>
      <c r="BA26" s="704" t="n">
        <v>0</v>
      </c>
      <c r="BB26" s="704" t="n">
        <v>0</v>
      </c>
      <c r="BC26" s="704" t="n">
        <v>0</v>
      </c>
      <c r="BD26" s="704" t="n">
        <v>0</v>
      </c>
      <c r="BE26" s="704" t="n">
        <v>0</v>
      </c>
      <c r="BF26" s="704" t="n">
        <v>0</v>
      </c>
      <c r="BG26" s="704" t="n">
        <v>0</v>
      </c>
      <c r="BH26" s="704" t="n">
        <v>0</v>
      </c>
      <c r="BI26" s="704" t="n">
        <v>0</v>
      </c>
      <c r="BJ26" s="704" t="n">
        <v>0</v>
      </c>
      <c r="BK26" s="704" t="n">
        <v>0</v>
      </c>
      <c r="BL26" s="704" t="n">
        <v>0</v>
      </c>
      <c r="BM26" s="704" t="n">
        <v>0</v>
      </c>
      <c r="BN26" s="704" t="n">
        <v>0</v>
      </c>
      <c r="BO26" s="704" t="n">
        <v>0</v>
      </c>
      <c r="BP26" s="704" t="n">
        <v>0</v>
      </c>
      <c r="BQ26" s="704" t="n">
        <v>0</v>
      </c>
      <c r="BR26" s="704" t="n">
        <v>0</v>
      </c>
      <c r="BS26" s="704" t="n">
        <v>0</v>
      </c>
      <c r="BT26" s="704" t="n">
        <v>0</v>
      </c>
      <c r="BU26" s="704" t="n">
        <v>0</v>
      </c>
      <c r="BV26" s="704" t="n">
        <v>0</v>
      </c>
      <c r="BW26" s="704" t="n">
        <v>0</v>
      </c>
      <c r="BX26" s="704" t="n">
        <v>0</v>
      </c>
      <c r="BY26" s="704" t="n">
        <v>0</v>
      </c>
      <c r="BZ26" s="704" t="n">
        <v>0</v>
      </c>
      <c r="CA26" s="704" t="n">
        <v>0</v>
      </c>
      <c r="CB26" s="704" t="n">
        <v>0</v>
      </c>
      <c r="CC26" s="704" t="n">
        <v>0</v>
      </c>
      <c r="CD26" s="704" t="n">
        <v>0</v>
      </c>
      <c r="CE26" s="704" t="n">
        <v>0</v>
      </c>
      <c r="CF26" s="704" t="n">
        <v>0</v>
      </c>
      <c r="CG26" s="704" t="n">
        <v>0</v>
      </c>
      <c r="CH26" s="704" t="n">
        <v>0</v>
      </c>
      <c r="CI26" s="704" t="n">
        <v>0</v>
      </c>
      <c r="CJ26" s="704" t="n">
        <v>0</v>
      </c>
      <c r="CK26" s="704" t="n">
        <v>0</v>
      </c>
      <c r="CL26" s="704" t="n">
        <v>0</v>
      </c>
      <c r="CM26" s="704" t="n">
        <v>0</v>
      </c>
      <c r="CN26" s="704" t="n">
        <v>0</v>
      </c>
      <c r="CO26" s="704" t="n">
        <v>0</v>
      </c>
      <c r="CP26" s="704" t="n">
        <v>0</v>
      </c>
      <c r="CQ26" s="704" t="n">
        <v>0</v>
      </c>
      <c r="CR26" s="704" t="n">
        <v>0</v>
      </c>
      <c r="CS26" s="704" t="n">
        <v>0</v>
      </c>
      <c r="CT26" s="704" t="n">
        <v>0</v>
      </c>
      <c r="CU26" s="704" t="n">
        <v>0</v>
      </c>
      <c r="CV26" s="704" t="n">
        <v>0</v>
      </c>
      <c r="CW26" s="704" t="n">
        <v>0</v>
      </c>
      <c r="CX26" s="704" t="n">
        <v>0</v>
      </c>
      <c r="CY26" s="704" t="n">
        <v>0</v>
      </c>
      <c r="CZ26" s="704" t="n">
        <v>0</v>
      </c>
      <c r="DA26" s="704" t="n">
        <v>0</v>
      </c>
      <c r="DB26" s="704" t="n">
        <v>0</v>
      </c>
      <c r="DC26" s="704" t="n">
        <v>0</v>
      </c>
      <c r="DD26" s="704" t="n">
        <v>0</v>
      </c>
      <c r="DE26" s="704" t="n">
        <v>0</v>
      </c>
      <c r="DF26" s="704" t="n">
        <v>0</v>
      </c>
      <c r="DG26" s="704" t="n">
        <v>0</v>
      </c>
      <c r="DH26" s="704" t="n">
        <v>0</v>
      </c>
      <c r="DI26" s="704" t="n">
        <v>0</v>
      </c>
      <c r="DJ26" s="704" t="n">
        <v>0</v>
      </c>
      <c r="DK26" s="704" t="n">
        <v>0</v>
      </c>
      <c r="DL26" s="704" t="n">
        <v>0</v>
      </c>
      <c r="DM26" s="704" t="n">
        <v>0</v>
      </c>
    </row>
    <row r="27" ht="13.5" customHeight="1" s="355">
      <c r="B27" s="703" t="inlineStr">
        <is>
          <t>Acct Payable</t>
        </is>
      </c>
      <c r="D27" s="704" t="n">
        <v>0</v>
      </c>
      <c r="E27" s="704" t="n">
        <v>0</v>
      </c>
      <c r="F27" s="704" t="n">
        <v>0</v>
      </c>
      <c r="G27" s="704" t="n">
        <v>0</v>
      </c>
      <c r="H27" s="704" t="n">
        <v>0</v>
      </c>
      <c r="I27" s="704" t="n">
        <v>0</v>
      </c>
      <c r="J27" s="704" t="n">
        <v>0</v>
      </c>
      <c r="K27" s="704" t="n">
        <v>0</v>
      </c>
      <c r="L27" s="704" t="n">
        <v>0</v>
      </c>
      <c r="M27" s="704" t="n">
        <v>0</v>
      </c>
      <c r="N27" s="704" t="n">
        <v>3.02274983899012</v>
      </c>
      <c r="O27" s="704" t="n">
        <v>22.6706237924259</v>
      </c>
      <c r="P27" s="704" t="n">
        <v>23.3507425061987</v>
      </c>
      <c r="Q27" s="704" t="n">
        <v>23.3507425061987</v>
      </c>
      <c r="R27" s="704" t="n">
        <v>23.3507425061987</v>
      </c>
      <c r="S27" s="704" t="n">
        <v>23.3507425061987</v>
      </c>
      <c r="T27" s="704" t="n">
        <v>22.1532685315218</v>
      </c>
      <c r="U27" s="704" t="n">
        <v>22.1532685315218</v>
      </c>
      <c r="V27" s="704" t="n">
        <v>22.1532685315218</v>
      </c>
      <c r="W27" s="704" t="n">
        <v>22.1532685315218</v>
      </c>
      <c r="X27" s="704" t="n">
        <v>22.1532685315218</v>
      </c>
      <c r="Y27" s="704" t="n">
        <v>22.1532685315218</v>
      </c>
      <c r="Z27" s="704" t="n">
        <v>22.1532685315218</v>
      </c>
      <c r="AA27" s="704" t="n">
        <v>22.1532685315218</v>
      </c>
      <c r="AB27" s="704" t="n">
        <v>22.8178665874675</v>
      </c>
      <c r="AC27" s="704" t="n">
        <v>21.5844683935503</v>
      </c>
      <c r="AD27" s="704" t="n">
        <v>21.5844683935503</v>
      </c>
      <c r="AE27" s="704" t="n">
        <v>21.5844683935503</v>
      </c>
      <c r="AF27" s="704" t="n">
        <v>21.5844683935503</v>
      </c>
      <c r="AG27" s="704" t="n">
        <v>21.5844683935503</v>
      </c>
      <c r="AH27" s="704" t="n">
        <v>21.5844683935503</v>
      </c>
      <c r="AI27" s="704" t="n">
        <v>21.5844683935503</v>
      </c>
      <c r="AJ27" s="704" t="n">
        <v>21.5844683935503</v>
      </c>
      <c r="AK27" s="704" t="n">
        <v>21.5844683935503</v>
      </c>
      <c r="AL27" s="704" t="n">
        <v>21.5844683935503</v>
      </c>
      <c r="AM27" s="704" t="n">
        <v>21.5844683935503</v>
      </c>
      <c r="AN27" s="704" t="n">
        <v>22.2320024453568</v>
      </c>
      <c r="AO27" s="704" t="n">
        <v>20.9616023056222</v>
      </c>
      <c r="AP27" s="704" t="n">
        <v>20.9616023056222</v>
      </c>
      <c r="AQ27" s="704" t="n">
        <v>20.9616023056222</v>
      </c>
      <c r="AR27" s="704" t="n">
        <v>20.9616023056222</v>
      </c>
      <c r="AS27" s="704" t="n">
        <v>20.9616023056222</v>
      </c>
      <c r="AT27" s="704" t="n">
        <v>20.9616023056222</v>
      </c>
      <c r="AU27" s="704" t="n">
        <v>20.9616023056222</v>
      </c>
      <c r="AV27" s="704" t="n">
        <v>20.9616023056222</v>
      </c>
      <c r="AW27" s="704" t="n">
        <v>20.9616023056222</v>
      </c>
      <c r="AX27" s="704" t="n">
        <v>20.9616023056222</v>
      </c>
      <c r="AY27" s="704" t="n">
        <v>20.9616023056222</v>
      </c>
      <c r="AZ27" s="704" t="n">
        <v>21.5904503747908</v>
      </c>
      <c r="BA27" s="704" t="n">
        <v>20.9361943028275</v>
      </c>
      <c r="BB27" s="704" t="n">
        <v>20.9361943028275</v>
      </c>
      <c r="BC27" s="704" t="n">
        <v>20.9361943028275</v>
      </c>
      <c r="BD27" s="704" t="n">
        <v>20.9361943028275</v>
      </c>
      <c r="BE27" s="704" t="n">
        <v>20.9361943028275</v>
      </c>
      <c r="BF27" s="704" t="n">
        <v>20.9361943028275</v>
      </c>
      <c r="BG27" s="704" t="n">
        <v>20.9361943028275</v>
      </c>
      <c r="BH27" s="704" t="n">
        <v>20.9361943028275</v>
      </c>
      <c r="BI27" s="704" t="n">
        <v>20.9361943028275</v>
      </c>
      <c r="BJ27" s="704" t="n">
        <v>20.9361943028275</v>
      </c>
      <c r="BK27" s="704" t="n">
        <v>20.9361943028275</v>
      </c>
      <c r="BL27" s="704" t="n">
        <v>21.5642801319123</v>
      </c>
      <c r="BM27" s="704" t="n">
        <v>20.89039637779</v>
      </c>
      <c r="BN27" s="704" t="n">
        <v>20.89039637779</v>
      </c>
      <c r="BO27" s="704" t="n">
        <v>20.89039637779</v>
      </c>
      <c r="BP27" s="704" t="n">
        <v>20.89039637779</v>
      </c>
      <c r="BQ27" s="704" t="n">
        <v>20.89039637779</v>
      </c>
      <c r="BR27" s="704" t="n">
        <v>20.89039637779</v>
      </c>
      <c r="BS27" s="704" t="n">
        <v>20.89039637779</v>
      </c>
      <c r="BT27" s="704" t="n">
        <v>20.89039637779</v>
      </c>
      <c r="BU27" s="704" t="n">
        <v>20.89039637779</v>
      </c>
      <c r="BV27" s="704" t="n">
        <v>20.89039637779</v>
      </c>
      <c r="BW27" s="704" t="n">
        <v>20.89039637779</v>
      </c>
      <c r="BX27" s="704" t="n">
        <v>21.5171082691237</v>
      </c>
      <c r="BY27" s="704" t="n">
        <v>20.8230080023778</v>
      </c>
      <c r="BZ27" s="704" t="n">
        <v>20.8230080023778</v>
      </c>
      <c r="CA27" s="704" t="n">
        <v>20.8230080023778</v>
      </c>
      <c r="CB27" s="704" t="n">
        <v>20.8230080023778</v>
      </c>
      <c r="CC27" s="704" t="n">
        <v>20.8230080023778</v>
      </c>
      <c r="CD27" s="704" t="n">
        <v>20.8230080023778</v>
      </c>
      <c r="CE27" s="704" t="n">
        <v>20.8230080023778</v>
      </c>
      <c r="CF27" s="704" t="n">
        <v>20.8230080023778</v>
      </c>
      <c r="CG27" s="704" t="n">
        <v>20.8230080023778</v>
      </c>
      <c r="CH27" s="704" t="n">
        <v>20.8230080023778</v>
      </c>
      <c r="CI27" s="704" t="n">
        <v>20.8230080023778</v>
      </c>
      <c r="CJ27" s="704" t="n">
        <v>21.4476982424491</v>
      </c>
      <c r="CK27" s="704" t="n">
        <v>21.4476982424491</v>
      </c>
      <c r="CL27" s="704" t="n">
        <v>21.4476982424491</v>
      </c>
      <c r="CM27" s="704" t="n">
        <v>21.4476982424491</v>
      </c>
      <c r="CN27" s="704" t="n">
        <v>21.4476982424491</v>
      </c>
      <c r="CO27" s="704" t="n">
        <v>21.4476982424491</v>
      </c>
      <c r="CP27" s="704" t="n">
        <v>21.4476982424491</v>
      </c>
      <c r="CQ27" s="704" t="n">
        <v>21.4476982424491</v>
      </c>
      <c r="CR27" s="704" t="n">
        <v>21.4476982424491</v>
      </c>
      <c r="CS27" s="704" t="n">
        <v>21.4476982424491</v>
      </c>
      <c r="CT27" s="704" t="n">
        <v>21.4476982424491</v>
      </c>
      <c r="CU27" s="704" t="n">
        <v>21.4476982424491</v>
      </c>
      <c r="CV27" s="704" t="n">
        <v>22.0911291897226</v>
      </c>
      <c r="CW27" s="704" t="n">
        <v>22.0911291897226</v>
      </c>
      <c r="CX27" s="704" t="n">
        <v>22.0911291897226</v>
      </c>
      <c r="CY27" s="704" t="n">
        <v>22.0911291897226</v>
      </c>
      <c r="CZ27" s="704" t="n">
        <v>22.0911291897226</v>
      </c>
      <c r="DA27" s="704" t="n">
        <v>22.0911291897226</v>
      </c>
      <c r="DB27" s="704" t="n">
        <v>22.0911291897226</v>
      </c>
      <c r="DC27" s="704" t="n">
        <v>22.0911291897226</v>
      </c>
      <c r="DD27" s="704" t="n">
        <v>22.0911291897226</v>
      </c>
      <c r="DE27" s="704" t="n">
        <v>22.0911291897226</v>
      </c>
      <c r="DF27" s="704" t="n">
        <v>22.0911291897226</v>
      </c>
      <c r="DG27" s="704" t="n">
        <v>22.0911291897226</v>
      </c>
      <c r="DH27" s="704" t="n">
        <v>22.0911291897226</v>
      </c>
      <c r="DI27" s="704" t="n">
        <v>22.0911291897226</v>
      </c>
      <c r="DJ27" s="704" t="n">
        <v>22.0911291897226</v>
      </c>
      <c r="DK27" s="704" t="n">
        <v>22.0911291897226</v>
      </c>
      <c r="DL27" s="704" t="n">
        <v>22.0911291897226</v>
      </c>
      <c r="DM27" s="704" t="n">
        <v>22.0911291897226</v>
      </c>
    </row>
    <row r="28" ht="13.5" customHeight="1" s="355">
      <c r="B28" s="703" t="inlineStr">
        <is>
          <t>Cash&amp;Bank</t>
        </is>
      </c>
      <c r="D28" s="704" t="n">
        <v>0</v>
      </c>
      <c r="E28" s="704" t="n">
        <v>0</v>
      </c>
      <c r="F28" s="704" t="n">
        <v>0</v>
      </c>
      <c r="G28" s="704" t="n">
        <v>0</v>
      </c>
      <c r="H28" s="704" t="n">
        <v>0</v>
      </c>
      <c r="I28" s="704" t="n">
        <v>0</v>
      </c>
      <c r="J28" s="704" t="n">
        <v>0</v>
      </c>
      <c r="K28" s="704" t="n">
        <v>0</v>
      </c>
      <c r="L28" s="704" t="n">
        <v>0</v>
      </c>
      <c r="M28" s="704" t="n">
        <v>0</v>
      </c>
      <c r="N28" s="704" t="n">
        <v>0</v>
      </c>
      <c r="O28" s="704" t="n">
        <v>0</v>
      </c>
      <c r="P28" s="704" t="n">
        <v>0</v>
      </c>
      <c r="Q28" s="704" t="n">
        <v>0</v>
      </c>
      <c r="R28" s="704" t="n">
        <v>0</v>
      </c>
      <c r="S28" s="704" t="n">
        <v>0</v>
      </c>
      <c r="T28" s="704" t="n">
        <v>0</v>
      </c>
      <c r="U28" s="704" t="n">
        <v>0</v>
      </c>
      <c r="V28" s="704" t="n">
        <v>0</v>
      </c>
      <c r="W28" s="704" t="n">
        <v>0</v>
      </c>
      <c r="X28" s="704" t="n">
        <v>0</v>
      </c>
      <c r="Y28" s="704" t="n">
        <v>0</v>
      </c>
      <c r="Z28" s="704" t="n">
        <v>0</v>
      </c>
      <c r="AA28" s="704" t="n">
        <v>0</v>
      </c>
      <c r="AB28" s="704" t="n">
        <v>0</v>
      </c>
      <c r="AC28" s="704" t="n">
        <v>0</v>
      </c>
      <c r="AD28" s="704" t="n">
        <v>0</v>
      </c>
      <c r="AE28" s="704" t="n">
        <v>0</v>
      </c>
      <c r="AF28" s="704" t="n">
        <v>0</v>
      </c>
      <c r="AG28" s="704" t="n">
        <v>0</v>
      </c>
      <c r="AH28" s="704" t="n">
        <v>0</v>
      </c>
      <c r="AI28" s="704" t="n">
        <v>0</v>
      </c>
      <c r="AJ28" s="704" t="n">
        <v>0</v>
      </c>
      <c r="AK28" s="704" t="n">
        <v>0</v>
      </c>
      <c r="AL28" s="704" t="n">
        <v>0</v>
      </c>
      <c r="AM28" s="704" t="n">
        <v>0</v>
      </c>
      <c r="AN28" s="704" t="n">
        <v>0</v>
      </c>
      <c r="AO28" s="704" t="n">
        <v>0</v>
      </c>
      <c r="AP28" s="704" t="n">
        <v>0</v>
      </c>
      <c r="AQ28" s="704" t="n">
        <v>0</v>
      </c>
      <c r="AR28" s="704" t="n">
        <v>0</v>
      </c>
      <c r="AS28" s="704" t="n">
        <v>0</v>
      </c>
      <c r="AT28" s="704" t="n">
        <v>0</v>
      </c>
      <c r="AU28" s="704" t="n">
        <v>0</v>
      </c>
      <c r="AV28" s="704" t="n">
        <v>0</v>
      </c>
      <c r="AW28" s="704" t="n">
        <v>0</v>
      </c>
      <c r="AX28" s="704" t="n">
        <v>0</v>
      </c>
      <c r="AY28" s="704" t="n">
        <v>0</v>
      </c>
      <c r="AZ28" s="704" t="n">
        <v>0</v>
      </c>
      <c r="BA28" s="704" t="n">
        <v>0</v>
      </c>
      <c r="BB28" s="704" t="n">
        <v>0</v>
      </c>
      <c r="BC28" s="704" t="n">
        <v>0</v>
      </c>
      <c r="BD28" s="704" t="n">
        <v>0</v>
      </c>
      <c r="BE28" s="704" t="n">
        <v>0</v>
      </c>
      <c r="BF28" s="704" t="n">
        <v>0</v>
      </c>
      <c r="BG28" s="704" t="n">
        <v>0</v>
      </c>
      <c r="BH28" s="704" t="n">
        <v>0</v>
      </c>
      <c r="BI28" s="704" t="n">
        <v>0</v>
      </c>
      <c r="BJ28" s="704" t="n">
        <v>0</v>
      </c>
      <c r="BK28" s="704" t="n">
        <v>0</v>
      </c>
      <c r="BL28" s="704" t="n">
        <v>0</v>
      </c>
      <c r="BM28" s="704" t="n">
        <v>0</v>
      </c>
      <c r="BN28" s="704" t="n">
        <v>0</v>
      </c>
      <c r="BO28" s="704" t="n">
        <v>0</v>
      </c>
      <c r="BP28" s="704" t="n">
        <v>0</v>
      </c>
      <c r="BQ28" s="704" t="n">
        <v>0</v>
      </c>
      <c r="BR28" s="704" t="n">
        <v>0</v>
      </c>
      <c r="BS28" s="704" t="n">
        <v>0</v>
      </c>
      <c r="BT28" s="704" t="n">
        <v>0</v>
      </c>
      <c r="BU28" s="704" t="n">
        <v>0</v>
      </c>
      <c r="BV28" s="704" t="n">
        <v>0</v>
      </c>
      <c r="BW28" s="704" t="n">
        <v>0</v>
      </c>
      <c r="BX28" s="704" t="n">
        <v>0</v>
      </c>
      <c r="BY28" s="704" t="n">
        <v>0</v>
      </c>
      <c r="BZ28" s="704" t="n">
        <v>0</v>
      </c>
      <c r="CA28" s="704" t="n">
        <v>0</v>
      </c>
      <c r="CB28" s="704" t="n">
        <v>0</v>
      </c>
      <c r="CC28" s="704" t="n">
        <v>0</v>
      </c>
      <c r="CD28" s="704" t="n">
        <v>0</v>
      </c>
      <c r="CE28" s="704" t="n">
        <v>0</v>
      </c>
      <c r="CF28" s="704" t="n">
        <v>0</v>
      </c>
      <c r="CG28" s="704" t="n">
        <v>0</v>
      </c>
      <c r="CH28" s="704" t="n">
        <v>0</v>
      </c>
      <c r="CI28" s="704" t="n">
        <v>0</v>
      </c>
      <c r="CJ28" s="704" t="n">
        <v>0</v>
      </c>
      <c r="CK28" s="704" t="n">
        <v>0</v>
      </c>
      <c r="CL28" s="704" t="n">
        <v>0</v>
      </c>
      <c r="CM28" s="704" t="n">
        <v>0</v>
      </c>
      <c r="CN28" s="704" t="n">
        <v>0</v>
      </c>
      <c r="CO28" s="704" t="n">
        <v>0</v>
      </c>
      <c r="CP28" s="704" t="n">
        <v>0</v>
      </c>
      <c r="CQ28" s="704" t="n">
        <v>0</v>
      </c>
      <c r="CR28" s="704" t="n">
        <v>0</v>
      </c>
      <c r="CS28" s="704" t="n">
        <v>0</v>
      </c>
      <c r="CT28" s="704" t="n">
        <v>0</v>
      </c>
      <c r="CU28" s="704" t="n">
        <v>0</v>
      </c>
      <c r="CV28" s="704" t="n">
        <v>0</v>
      </c>
      <c r="CW28" s="704" t="n">
        <v>0</v>
      </c>
      <c r="CX28" s="704" t="n">
        <v>0</v>
      </c>
      <c r="CY28" s="704" t="n">
        <v>0</v>
      </c>
      <c r="CZ28" s="704" t="n">
        <v>0</v>
      </c>
      <c r="DA28" s="704" t="n">
        <v>0</v>
      </c>
      <c r="DB28" s="704" t="n">
        <v>0</v>
      </c>
      <c r="DC28" s="704" t="n">
        <v>0</v>
      </c>
      <c r="DD28" s="704" t="n">
        <v>0</v>
      </c>
      <c r="DE28" s="704" t="n">
        <v>0</v>
      </c>
      <c r="DF28" s="704" t="n">
        <v>0</v>
      </c>
      <c r="DG28" s="704" t="n">
        <v>0</v>
      </c>
      <c r="DH28" s="704" t="n">
        <v>0</v>
      </c>
      <c r="DI28" s="704" t="n">
        <v>0</v>
      </c>
      <c r="DJ28" s="704" t="n">
        <v>0</v>
      </c>
      <c r="DK28" s="704" t="n">
        <v>0</v>
      </c>
      <c r="DL28" s="704" t="n">
        <v>0</v>
      </c>
      <c r="DM28" s="704" t="n">
        <v>0</v>
      </c>
    </row>
    <row r="29" ht="13.5" customHeight="1" s="355">
      <c r="B29" s="703" t="inlineStr">
        <is>
          <t>T&amp;E</t>
        </is>
      </c>
      <c r="D29" s="704" t="n">
        <v>0</v>
      </c>
      <c r="E29" s="704" t="n">
        <v>0</v>
      </c>
      <c r="F29" s="704" t="n">
        <v>0</v>
      </c>
      <c r="G29" s="704" t="n">
        <v>0</v>
      </c>
      <c r="H29" s="704" t="n">
        <v>0</v>
      </c>
      <c r="I29" s="704" t="n">
        <v>0</v>
      </c>
      <c r="J29" s="704" t="n">
        <v>0</v>
      </c>
      <c r="K29" s="704" t="n">
        <v>0</v>
      </c>
      <c r="L29" s="704" t="n">
        <v>0</v>
      </c>
      <c r="M29" s="704" t="n">
        <v>0</v>
      </c>
      <c r="N29" s="704" t="n">
        <v>0.377843729873765</v>
      </c>
      <c r="O29" s="704" t="n">
        <v>2.83382797405324</v>
      </c>
      <c r="P29" s="704" t="n">
        <v>2.91884281327484</v>
      </c>
      <c r="Q29" s="704" t="n">
        <v>2.91884281327484</v>
      </c>
      <c r="R29" s="704" t="n">
        <v>2.91884281327484</v>
      </c>
      <c r="S29" s="704" t="n">
        <v>2.91884281327484</v>
      </c>
      <c r="T29" s="704" t="n">
        <v>2.91884281327484</v>
      </c>
      <c r="U29" s="704" t="n">
        <v>2.91884281327484</v>
      </c>
      <c r="V29" s="704" t="n">
        <v>2.91884281327484</v>
      </c>
      <c r="W29" s="704" t="n">
        <v>2.91884281327484</v>
      </c>
      <c r="X29" s="704" t="n">
        <v>2.91884281327484</v>
      </c>
      <c r="Y29" s="704" t="n">
        <v>2.91884281327484</v>
      </c>
      <c r="Z29" s="704" t="n">
        <v>2.91884281327484</v>
      </c>
      <c r="AA29" s="704" t="n">
        <v>2.91884281327484</v>
      </c>
      <c r="AB29" s="704" t="n">
        <v>3.00640809767308</v>
      </c>
      <c r="AC29" s="704" t="n">
        <v>2.93124789523125</v>
      </c>
      <c r="AD29" s="704" t="n">
        <v>2.93124789523125</v>
      </c>
      <c r="AE29" s="704" t="n">
        <v>2.93124789523125</v>
      </c>
      <c r="AF29" s="704" t="n">
        <v>2.93124789523125</v>
      </c>
      <c r="AG29" s="704" t="n">
        <v>2.93124789523125</v>
      </c>
      <c r="AH29" s="704" t="n">
        <v>2.93124789523125</v>
      </c>
      <c r="AI29" s="704" t="n">
        <v>2.93124789523125</v>
      </c>
      <c r="AJ29" s="704" t="n">
        <v>2.93124789523125</v>
      </c>
      <c r="AK29" s="704" t="n">
        <v>2.93124789523125</v>
      </c>
      <c r="AL29" s="704" t="n">
        <v>2.93124789523125</v>
      </c>
      <c r="AM29" s="704" t="n">
        <v>2.93124789523125</v>
      </c>
      <c r="AN29" s="704" t="n">
        <v>3.01918533208819</v>
      </c>
      <c r="AO29" s="704" t="n">
        <v>2.94177032357311</v>
      </c>
      <c r="AP29" s="704" t="n">
        <v>2.94177032357311</v>
      </c>
      <c r="AQ29" s="704" t="n">
        <v>2.94177032357311</v>
      </c>
      <c r="AR29" s="704" t="n">
        <v>2.94177032357311</v>
      </c>
      <c r="AS29" s="704" t="n">
        <v>2.94177032357311</v>
      </c>
      <c r="AT29" s="704" t="n">
        <v>2.94177032357311</v>
      </c>
      <c r="AU29" s="704" t="n">
        <v>2.94177032357311</v>
      </c>
      <c r="AV29" s="704" t="n">
        <v>2.94177032357311</v>
      </c>
      <c r="AW29" s="704" t="n">
        <v>2.94177032357311</v>
      </c>
      <c r="AX29" s="704" t="n">
        <v>2.94177032357311</v>
      </c>
      <c r="AY29" s="704" t="n">
        <v>2.94177032357311</v>
      </c>
      <c r="AZ29" s="704" t="n">
        <v>3.0300234332803</v>
      </c>
      <c r="BA29" s="704" t="n">
        <v>2.95028597450977</v>
      </c>
      <c r="BB29" s="704" t="n">
        <v>2.95028597450977</v>
      </c>
      <c r="BC29" s="704" t="n">
        <v>2.95028597450977</v>
      </c>
      <c r="BD29" s="704" t="n">
        <v>2.95028597450977</v>
      </c>
      <c r="BE29" s="704" t="n">
        <v>2.95028597450977</v>
      </c>
      <c r="BF29" s="704" t="n">
        <v>2.95028597450977</v>
      </c>
      <c r="BG29" s="704" t="n">
        <v>2.95028597450977</v>
      </c>
      <c r="BH29" s="704" t="n">
        <v>2.95028597450977</v>
      </c>
      <c r="BI29" s="704" t="n">
        <v>2.95028597450977</v>
      </c>
      <c r="BJ29" s="704" t="n">
        <v>2.95028597450977</v>
      </c>
      <c r="BK29" s="704" t="n">
        <v>2.95028597450977</v>
      </c>
      <c r="BL29" s="704" t="n">
        <v>3.03879455374506</v>
      </c>
      <c r="BM29" s="704" t="n">
        <v>2.87453538867776</v>
      </c>
      <c r="BN29" s="704" t="n">
        <v>2.87453538867776</v>
      </c>
      <c r="BO29" s="704" t="n">
        <v>2.87453538867776</v>
      </c>
      <c r="BP29" s="704" t="n">
        <v>2.87453538867776</v>
      </c>
      <c r="BQ29" s="704" t="n">
        <v>2.87453538867776</v>
      </c>
      <c r="BR29" s="704" t="n">
        <v>2.87453538867776</v>
      </c>
      <c r="BS29" s="704" t="n">
        <v>2.87453538867776</v>
      </c>
      <c r="BT29" s="704" t="n">
        <v>2.87453538867776</v>
      </c>
      <c r="BU29" s="704" t="n">
        <v>2.87453538867776</v>
      </c>
      <c r="BV29" s="704" t="n">
        <v>2.87453538867776</v>
      </c>
      <c r="BW29" s="704" t="n">
        <v>2.87453538867776</v>
      </c>
      <c r="BX29" s="704" t="n">
        <v>2.96077145033809</v>
      </c>
      <c r="BY29" s="704" t="n">
        <v>2.96077145033809</v>
      </c>
      <c r="BZ29" s="704" t="n">
        <v>2.96077145033809</v>
      </c>
      <c r="CA29" s="704" t="n">
        <v>2.96077145033809</v>
      </c>
      <c r="CB29" s="704" t="n">
        <v>2.96077145033809</v>
      </c>
      <c r="CC29" s="704" t="n">
        <v>2.96077145033809</v>
      </c>
      <c r="CD29" s="704" t="n">
        <v>2.96077145033809</v>
      </c>
      <c r="CE29" s="704" t="n">
        <v>2.96077145033809</v>
      </c>
      <c r="CF29" s="704" t="n">
        <v>2.96077145033809</v>
      </c>
      <c r="CG29" s="704" t="n">
        <v>2.96077145033809</v>
      </c>
      <c r="CH29" s="704" t="n">
        <v>2.96077145033809</v>
      </c>
      <c r="CI29" s="704" t="n">
        <v>2.96077145033809</v>
      </c>
      <c r="CJ29" s="704" t="n">
        <v>3.04959459384824</v>
      </c>
      <c r="CK29" s="704" t="n">
        <v>3.04959459384824</v>
      </c>
      <c r="CL29" s="704" t="n">
        <v>3.04959459384824</v>
      </c>
      <c r="CM29" s="704" t="n">
        <v>3.04959459384824</v>
      </c>
      <c r="CN29" s="704" t="n">
        <v>3.04959459384824</v>
      </c>
      <c r="CO29" s="704" t="n">
        <v>3.04959459384824</v>
      </c>
      <c r="CP29" s="704" t="n">
        <v>3.04959459384824</v>
      </c>
      <c r="CQ29" s="704" t="n">
        <v>3.04959459384824</v>
      </c>
      <c r="CR29" s="704" t="n">
        <v>3.04959459384824</v>
      </c>
      <c r="CS29" s="704" t="n">
        <v>3.04959459384824</v>
      </c>
      <c r="CT29" s="704" t="n">
        <v>3.04959459384824</v>
      </c>
      <c r="CU29" s="704" t="n">
        <v>3.04959459384824</v>
      </c>
      <c r="CV29" s="704" t="n">
        <v>3.14108243166368</v>
      </c>
      <c r="CW29" s="704" t="n">
        <v>3.14108243166368</v>
      </c>
      <c r="CX29" s="704" t="n">
        <v>3.14108243166368</v>
      </c>
      <c r="CY29" s="704" t="n">
        <v>3.14108243166368</v>
      </c>
      <c r="CZ29" s="704" t="n">
        <v>3.14108243166368</v>
      </c>
      <c r="DA29" s="704" t="n">
        <v>3.14108243166368</v>
      </c>
      <c r="DB29" s="704" t="n">
        <v>3.14108243166368</v>
      </c>
      <c r="DC29" s="704" t="n">
        <v>3.14108243166368</v>
      </c>
      <c r="DD29" s="704" t="n">
        <v>3.14108243166368</v>
      </c>
      <c r="DE29" s="704" t="n">
        <v>3.14108243166368</v>
      </c>
      <c r="DF29" s="704" t="n">
        <v>3.14108243166368</v>
      </c>
      <c r="DG29" s="704" t="n">
        <v>3.14108243166368</v>
      </c>
      <c r="DH29" s="704" t="n">
        <v>3.14108243166368</v>
      </c>
      <c r="DI29" s="704" t="n">
        <v>3.14108243166368</v>
      </c>
      <c r="DJ29" s="704" t="n">
        <v>3.14108243166368</v>
      </c>
      <c r="DK29" s="704" t="n">
        <v>3.14108243166368</v>
      </c>
      <c r="DL29" s="704" t="n">
        <v>3.14108243166368</v>
      </c>
      <c r="DM29" s="704" t="n">
        <v>3.14108243166368</v>
      </c>
    </row>
    <row r="30" ht="13.5" customHeight="1" s="355">
      <c r="B30" s="703" t="inlineStr">
        <is>
          <t>Order to Cash</t>
        </is>
      </c>
      <c r="D30" s="704" t="n">
        <v>0</v>
      </c>
      <c r="E30" s="704" t="n">
        <v>0</v>
      </c>
      <c r="F30" s="704" t="n">
        <v>0</v>
      </c>
      <c r="G30" s="704" t="n">
        <v>0</v>
      </c>
      <c r="H30" s="704" t="n">
        <v>0</v>
      </c>
      <c r="I30" s="704" t="n">
        <v>0</v>
      </c>
      <c r="J30" s="704" t="n">
        <v>0</v>
      </c>
      <c r="K30" s="704" t="n">
        <v>0</v>
      </c>
      <c r="L30" s="704" t="n">
        <v>0</v>
      </c>
      <c r="M30" s="704" t="n">
        <v>0</v>
      </c>
      <c r="N30" s="704" t="n">
        <v>1.91497075473468</v>
      </c>
      <c r="O30" s="704" t="n">
        <v>14.3622806605101</v>
      </c>
      <c r="P30" s="704" t="n">
        <v>14.7931490803254</v>
      </c>
      <c r="Q30" s="704" t="n">
        <v>14.7931490803254</v>
      </c>
      <c r="R30" s="704" t="n">
        <v>14.7931490803254</v>
      </c>
      <c r="S30" s="704" t="n">
        <v>14.7931490803254</v>
      </c>
      <c r="T30" s="704" t="n">
        <v>14.7931490803254</v>
      </c>
      <c r="U30" s="704" t="n">
        <v>14.7931490803254</v>
      </c>
      <c r="V30" s="704" t="n">
        <v>14.7931490803254</v>
      </c>
      <c r="W30" s="704" t="n">
        <v>14.7931490803254</v>
      </c>
      <c r="X30" s="704" t="n">
        <v>14.7931490803254</v>
      </c>
      <c r="Y30" s="704" t="n">
        <v>14.7931490803254</v>
      </c>
      <c r="Z30" s="704" t="n">
        <v>14.7931490803254</v>
      </c>
      <c r="AA30" s="704" t="n">
        <v>14.7931490803254</v>
      </c>
      <c r="AB30" s="704" t="n">
        <v>15.2369435527352</v>
      </c>
      <c r="AC30" s="704" t="n">
        <v>14.8560199639168</v>
      </c>
      <c r="AD30" s="704" t="n">
        <v>14.8560199639168</v>
      </c>
      <c r="AE30" s="704" t="n">
        <v>14.8560199639168</v>
      </c>
      <c r="AF30" s="704" t="n">
        <v>14.8560199639168</v>
      </c>
      <c r="AG30" s="704" t="n">
        <v>14.8560199639168</v>
      </c>
      <c r="AH30" s="704" t="n">
        <v>14.8560199639168</v>
      </c>
      <c r="AI30" s="704" t="n">
        <v>14.8560199639168</v>
      </c>
      <c r="AJ30" s="704" t="n">
        <v>14.8560199639168</v>
      </c>
      <c r="AK30" s="704" t="n">
        <v>14.8560199639168</v>
      </c>
      <c r="AL30" s="704" t="n">
        <v>14.8560199639168</v>
      </c>
      <c r="AM30" s="704" t="n">
        <v>14.8560199639168</v>
      </c>
      <c r="AN30" s="704" t="n">
        <v>15.3017005628343</v>
      </c>
      <c r="AO30" s="704" t="n">
        <v>14.9093492663513</v>
      </c>
      <c r="AP30" s="704" t="n">
        <v>14.9093492663513</v>
      </c>
      <c r="AQ30" s="704" t="n">
        <v>14.9093492663513</v>
      </c>
      <c r="AR30" s="704" t="n">
        <v>14.9093492663513</v>
      </c>
      <c r="AS30" s="704" t="n">
        <v>14.9093492663513</v>
      </c>
      <c r="AT30" s="704" t="n">
        <v>14.9093492663513</v>
      </c>
      <c r="AU30" s="704" t="n">
        <v>14.9093492663513</v>
      </c>
      <c r="AV30" s="704" t="n">
        <v>14.9093492663513</v>
      </c>
      <c r="AW30" s="704" t="n">
        <v>14.9093492663513</v>
      </c>
      <c r="AX30" s="704" t="n">
        <v>14.9093492663513</v>
      </c>
      <c r="AY30" s="704" t="n">
        <v>14.9093492663513</v>
      </c>
      <c r="AZ30" s="704" t="n">
        <v>15.3566297443419</v>
      </c>
      <c r="BA30" s="704" t="n">
        <v>14.9525079089645</v>
      </c>
      <c r="BB30" s="704" t="n">
        <v>14.9525079089645</v>
      </c>
      <c r="BC30" s="704" t="n">
        <v>14.9525079089645</v>
      </c>
      <c r="BD30" s="704" t="n">
        <v>14.9525079089645</v>
      </c>
      <c r="BE30" s="704" t="n">
        <v>14.9525079089645</v>
      </c>
      <c r="BF30" s="704" t="n">
        <v>14.9525079089645</v>
      </c>
      <c r="BG30" s="704" t="n">
        <v>14.9525079089645</v>
      </c>
      <c r="BH30" s="704" t="n">
        <v>14.9525079089645</v>
      </c>
      <c r="BI30" s="704" t="n">
        <v>14.9525079089645</v>
      </c>
      <c r="BJ30" s="704" t="n">
        <v>14.9525079089645</v>
      </c>
      <c r="BK30" s="704" t="n">
        <v>14.9525079089645</v>
      </c>
      <c r="BL30" s="704" t="n">
        <v>15.4010831462334</v>
      </c>
      <c r="BM30" s="704" t="n">
        <v>14.5685921653559</v>
      </c>
      <c r="BN30" s="704" t="n">
        <v>14.5685921653559</v>
      </c>
      <c r="BO30" s="704" t="n">
        <v>14.5685921653559</v>
      </c>
      <c r="BP30" s="704" t="n">
        <v>14.5685921653559</v>
      </c>
      <c r="BQ30" s="704" t="n">
        <v>14.5685921653559</v>
      </c>
      <c r="BR30" s="704" t="n">
        <v>14.5685921653559</v>
      </c>
      <c r="BS30" s="704" t="n">
        <v>14.5685921653559</v>
      </c>
      <c r="BT30" s="704" t="n">
        <v>14.5685921653559</v>
      </c>
      <c r="BU30" s="704" t="n">
        <v>14.5685921653559</v>
      </c>
      <c r="BV30" s="704" t="n">
        <v>14.5685921653559</v>
      </c>
      <c r="BW30" s="704" t="n">
        <v>14.5685921653559</v>
      </c>
      <c r="BX30" s="704" t="n">
        <v>15.0056499303166</v>
      </c>
      <c r="BY30" s="704" t="n">
        <v>15.0056499303166</v>
      </c>
      <c r="BZ30" s="704" t="n">
        <v>15.0056499303166</v>
      </c>
      <c r="CA30" s="704" t="n">
        <v>15.0056499303166</v>
      </c>
      <c r="CB30" s="704" t="n">
        <v>15.0056499303166</v>
      </c>
      <c r="CC30" s="704" t="n">
        <v>15.0056499303166</v>
      </c>
      <c r="CD30" s="704" t="n">
        <v>15.0056499303166</v>
      </c>
      <c r="CE30" s="704" t="n">
        <v>15.0056499303166</v>
      </c>
      <c r="CF30" s="704" t="n">
        <v>15.0056499303166</v>
      </c>
      <c r="CG30" s="704" t="n">
        <v>15.0056499303166</v>
      </c>
      <c r="CH30" s="704" t="n">
        <v>15.0056499303166</v>
      </c>
      <c r="CI30" s="704" t="n">
        <v>15.0056499303166</v>
      </c>
      <c r="CJ30" s="704" t="n">
        <v>15.4558194282261</v>
      </c>
      <c r="CK30" s="704" t="n">
        <v>15.4558194282261</v>
      </c>
      <c r="CL30" s="704" t="n">
        <v>15.4558194282261</v>
      </c>
      <c r="CM30" s="704" t="n">
        <v>15.4558194282261</v>
      </c>
      <c r="CN30" s="704" t="n">
        <v>15.4558194282261</v>
      </c>
      <c r="CO30" s="704" t="n">
        <v>15.4558194282261</v>
      </c>
      <c r="CP30" s="704" t="n">
        <v>15.4558194282261</v>
      </c>
      <c r="CQ30" s="704" t="n">
        <v>15.4558194282261</v>
      </c>
      <c r="CR30" s="704" t="n">
        <v>15.4558194282261</v>
      </c>
      <c r="CS30" s="704" t="n">
        <v>15.4558194282261</v>
      </c>
      <c r="CT30" s="704" t="n">
        <v>15.4558194282261</v>
      </c>
      <c r="CU30" s="704" t="n">
        <v>15.4558194282261</v>
      </c>
      <c r="CV30" s="704" t="n">
        <v>15.9194940110729</v>
      </c>
      <c r="CW30" s="704" t="n">
        <v>15.9194940110729</v>
      </c>
      <c r="CX30" s="704" t="n">
        <v>15.9194940110729</v>
      </c>
      <c r="CY30" s="704" t="n">
        <v>15.9194940110729</v>
      </c>
      <c r="CZ30" s="704" t="n">
        <v>15.9194940110729</v>
      </c>
      <c r="DA30" s="704" t="n">
        <v>15.9194940110729</v>
      </c>
      <c r="DB30" s="704" t="n">
        <v>15.9194940110729</v>
      </c>
      <c r="DC30" s="704" t="n">
        <v>15.9194940110729</v>
      </c>
      <c r="DD30" s="704" t="n">
        <v>15.9194940110729</v>
      </c>
      <c r="DE30" s="704" t="n">
        <v>15.9194940110729</v>
      </c>
      <c r="DF30" s="704" t="n">
        <v>15.9194940110729</v>
      </c>
      <c r="DG30" s="704" t="n">
        <v>15.9194940110729</v>
      </c>
      <c r="DH30" s="704" t="n">
        <v>15.9194940110729</v>
      </c>
      <c r="DI30" s="704" t="n">
        <v>15.9194940110729</v>
      </c>
      <c r="DJ30" s="704" t="n">
        <v>15.9194940110729</v>
      </c>
      <c r="DK30" s="704" t="n">
        <v>15.9194940110729</v>
      </c>
      <c r="DL30" s="704" t="n">
        <v>15.9194940110729</v>
      </c>
      <c r="DM30" s="704" t="n">
        <v>15.9194940110729</v>
      </c>
    </row>
    <row r="31" ht="13.5" customHeight="1" s="355">
      <c r="B31" s="703" t="inlineStr">
        <is>
          <t>Req to Pay</t>
        </is>
      </c>
      <c r="D31" s="704" t="n">
        <v>0</v>
      </c>
      <c r="E31" s="704" t="n">
        <v>0</v>
      </c>
      <c r="F31" s="704" t="n">
        <v>0</v>
      </c>
      <c r="G31" s="704" t="n">
        <v>0</v>
      </c>
      <c r="H31" s="704" t="n">
        <v>0</v>
      </c>
      <c r="I31" s="704" t="n">
        <v>0</v>
      </c>
      <c r="J31" s="704" t="n">
        <v>0</v>
      </c>
      <c r="K31" s="704" t="n">
        <v>0</v>
      </c>
      <c r="L31" s="704" t="n">
        <v>0</v>
      </c>
      <c r="M31" s="704" t="n">
        <v>0</v>
      </c>
      <c r="N31" s="704" t="n">
        <v>11.3389716063146</v>
      </c>
      <c r="O31" s="704" t="n">
        <v>18.8982860105243</v>
      </c>
      <c r="P31" s="704" t="n">
        <v>19.46523459084</v>
      </c>
      <c r="Q31" s="704" t="n">
        <v>19.46523459084</v>
      </c>
      <c r="R31" s="704" t="n">
        <v>19.46523459084</v>
      </c>
      <c r="S31" s="704" t="n">
        <v>19.46523459084</v>
      </c>
      <c r="T31" s="704" t="n">
        <v>18.794019604949</v>
      </c>
      <c r="U31" s="704" t="n">
        <v>18.794019604949</v>
      </c>
      <c r="V31" s="704" t="n">
        <v>18.794019604949</v>
      </c>
      <c r="W31" s="704" t="n">
        <v>18.794019604949</v>
      </c>
      <c r="X31" s="704" t="n">
        <v>18.794019604949</v>
      </c>
      <c r="Y31" s="704" t="n">
        <v>18.794019604949</v>
      </c>
      <c r="Z31" s="704" t="n">
        <v>18.794019604949</v>
      </c>
      <c r="AA31" s="704" t="n">
        <v>18.794019604949</v>
      </c>
      <c r="AB31" s="704" t="n">
        <v>19.3578401930975</v>
      </c>
      <c r="AC31" s="704" t="n">
        <v>18.6664887576297</v>
      </c>
      <c r="AD31" s="704" t="n">
        <v>18.6664887576297</v>
      </c>
      <c r="AE31" s="704" t="n">
        <v>18.6664887576297</v>
      </c>
      <c r="AF31" s="704" t="n">
        <v>18.6664887576297</v>
      </c>
      <c r="AG31" s="704" t="n">
        <v>18.6664887576297</v>
      </c>
      <c r="AH31" s="704" t="n">
        <v>18.6664887576297</v>
      </c>
      <c r="AI31" s="704" t="n">
        <v>18.6664887576297</v>
      </c>
      <c r="AJ31" s="704" t="n">
        <v>18.6664887576297</v>
      </c>
      <c r="AK31" s="704" t="n">
        <v>18.6664887576297</v>
      </c>
      <c r="AL31" s="704" t="n">
        <v>18.6664887576297</v>
      </c>
      <c r="AM31" s="704" t="n">
        <v>18.6664887576297</v>
      </c>
      <c r="AN31" s="704" t="n">
        <v>19.2264834203586</v>
      </c>
      <c r="AO31" s="704" t="n">
        <v>18.5143914418268</v>
      </c>
      <c r="AP31" s="704" t="n">
        <v>18.5143914418268</v>
      </c>
      <c r="AQ31" s="704" t="n">
        <v>18.5143914418268</v>
      </c>
      <c r="AR31" s="704" t="n">
        <v>18.5143914418268</v>
      </c>
      <c r="AS31" s="704" t="n">
        <v>18.5143914418268</v>
      </c>
      <c r="AT31" s="704" t="n">
        <v>18.5143914418268</v>
      </c>
      <c r="AU31" s="704" t="n">
        <v>18.5143914418268</v>
      </c>
      <c r="AV31" s="704" t="n">
        <v>18.5143914418268</v>
      </c>
      <c r="AW31" s="704" t="n">
        <v>18.5143914418268</v>
      </c>
      <c r="AX31" s="704" t="n">
        <v>18.5143914418268</v>
      </c>
      <c r="AY31" s="704" t="n">
        <v>18.5143914418268</v>
      </c>
      <c r="AZ31" s="704" t="n">
        <v>19.0698231850816</v>
      </c>
      <c r="BA31" s="704" t="n">
        <v>18.3363684471939</v>
      </c>
      <c r="BB31" s="704" t="n">
        <v>18.3363684471939</v>
      </c>
      <c r="BC31" s="704" t="n">
        <v>18.3363684471939</v>
      </c>
      <c r="BD31" s="704" t="n">
        <v>18.3363684471939</v>
      </c>
      <c r="BE31" s="704" t="n">
        <v>18.3363684471939</v>
      </c>
      <c r="BF31" s="704" t="n">
        <v>18.3363684471939</v>
      </c>
      <c r="BG31" s="704" t="n">
        <v>18.3363684471939</v>
      </c>
      <c r="BH31" s="704" t="n">
        <v>18.3363684471939</v>
      </c>
      <c r="BI31" s="704" t="n">
        <v>18.3363684471939</v>
      </c>
      <c r="BJ31" s="704" t="n">
        <v>18.3363684471939</v>
      </c>
      <c r="BK31" s="704" t="n">
        <v>18.3363684471939</v>
      </c>
      <c r="BL31" s="704" t="n">
        <v>18.8864595006097</v>
      </c>
      <c r="BM31" s="704" t="n">
        <v>18.1310011205853</v>
      </c>
      <c r="BN31" s="704" t="n">
        <v>18.1310011205853</v>
      </c>
      <c r="BO31" s="704" t="n">
        <v>18.1310011205853</v>
      </c>
      <c r="BP31" s="704" t="n">
        <v>18.1310011205853</v>
      </c>
      <c r="BQ31" s="704" t="n">
        <v>18.1310011205853</v>
      </c>
      <c r="BR31" s="704" t="n">
        <v>18.1310011205853</v>
      </c>
      <c r="BS31" s="704" t="n">
        <v>18.1310011205853</v>
      </c>
      <c r="BT31" s="704" t="n">
        <v>18.1310011205853</v>
      </c>
      <c r="BU31" s="704" t="n">
        <v>18.1310011205853</v>
      </c>
      <c r="BV31" s="704" t="n">
        <v>18.1310011205853</v>
      </c>
      <c r="BW31" s="704" t="n">
        <v>18.1310011205853</v>
      </c>
      <c r="BX31" s="704" t="n">
        <v>18.6749311542028</v>
      </c>
      <c r="BY31" s="704" t="n">
        <v>18.6749311542028</v>
      </c>
      <c r="BZ31" s="704" t="n">
        <v>18.6749311542028</v>
      </c>
      <c r="CA31" s="704" t="n">
        <v>18.6749311542028</v>
      </c>
      <c r="CB31" s="704" t="n">
        <v>18.6749311542028</v>
      </c>
      <c r="CC31" s="704" t="n">
        <v>18.6749311542028</v>
      </c>
      <c r="CD31" s="704" t="n">
        <v>18.6749311542028</v>
      </c>
      <c r="CE31" s="704" t="n">
        <v>18.6749311542028</v>
      </c>
      <c r="CF31" s="704" t="n">
        <v>18.6749311542028</v>
      </c>
      <c r="CG31" s="704" t="n">
        <v>18.6749311542028</v>
      </c>
      <c r="CH31" s="704" t="n">
        <v>18.6749311542028</v>
      </c>
      <c r="CI31" s="704" t="n">
        <v>18.6749311542028</v>
      </c>
      <c r="CJ31" s="704" t="n">
        <v>19.2351790888289</v>
      </c>
      <c r="CK31" s="704" t="n">
        <v>19.2351790888289</v>
      </c>
      <c r="CL31" s="704" t="n">
        <v>19.2351790888289</v>
      </c>
      <c r="CM31" s="704" t="n">
        <v>19.2351790888289</v>
      </c>
      <c r="CN31" s="704" t="n">
        <v>19.2351790888289</v>
      </c>
      <c r="CO31" s="704" t="n">
        <v>19.2351790888289</v>
      </c>
      <c r="CP31" s="704" t="n">
        <v>19.2351790888289</v>
      </c>
      <c r="CQ31" s="704" t="n">
        <v>19.2351790888289</v>
      </c>
      <c r="CR31" s="704" t="n">
        <v>19.2351790888289</v>
      </c>
      <c r="CS31" s="704" t="n">
        <v>19.2351790888289</v>
      </c>
      <c r="CT31" s="704" t="n">
        <v>19.2351790888289</v>
      </c>
      <c r="CU31" s="704" t="n">
        <v>19.2351790888289</v>
      </c>
      <c r="CV31" s="704" t="n">
        <v>19.8122344614938</v>
      </c>
      <c r="CW31" s="704" t="n">
        <v>19.8122344614938</v>
      </c>
      <c r="CX31" s="704" t="n">
        <v>19.8122344614938</v>
      </c>
      <c r="CY31" s="704" t="n">
        <v>19.8122344614938</v>
      </c>
      <c r="CZ31" s="704" t="n">
        <v>19.8122344614938</v>
      </c>
      <c r="DA31" s="704" t="n">
        <v>19.8122344614938</v>
      </c>
      <c r="DB31" s="704" t="n">
        <v>19.8122344614938</v>
      </c>
      <c r="DC31" s="704" t="n">
        <v>19.8122344614938</v>
      </c>
      <c r="DD31" s="704" t="n">
        <v>19.8122344614938</v>
      </c>
      <c r="DE31" s="704" t="n">
        <v>19.8122344614938</v>
      </c>
      <c r="DF31" s="704" t="n">
        <v>19.8122344614938</v>
      </c>
      <c r="DG31" s="704" t="n">
        <v>19.8122344614938</v>
      </c>
      <c r="DH31" s="704" t="n">
        <v>19.8122344614938</v>
      </c>
      <c r="DI31" s="704" t="n">
        <v>19.8122344614938</v>
      </c>
      <c r="DJ31" s="704" t="n">
        <v>19.8122344614938</v>
      </c>
      <c r="DK31" s="704" t="n">
        <v>19.8122344614938</v>
      </c>
      <c r="DL31" s="704" t="n">
        <v>19.8122344614938</v>
      </c>
      <c r="DM31" s="704" t="n">
        <v>19.8122344614938</v>
      </c>
    </row>
    <row r="32" ht="13.5" customHeight="1" s="355">
      <c r="B32" s="703" t="inlineStr">
        <is>
          <t>Team Leader</t>
        </is>
      </c>
      <c r="D32" s="704" t="n">
        <v>0</v>
      </c>
      <c r="E32" s="704" t="n">
        <v>0</v>
      </c>
      <c r="F32" s="704" t="n">
        <v>0</v>
      </c>
      <c r="G32" s="704" t="n">
        <v>0</v>
      </c>
      <c r="H32" s="704" t="n">
        <v>0</v>
      </c>
      <c r="I32" s="704" t="n">
        <v>0</v>
      </c>
      <c r="J32" s="704" t="n">
        <v>0</v>
      </c>
      <c r="K32" s="704" t="n">
        <v>0</v>
      </c>
      <c r="L32" s="704" t="n">
        <v>0</v>
      </c>
      <c r="M32" s="704" t="n">
        <v>0</v>
      </c>
      <c r="N32" s="704" t="n">
        <v>0</v>
      </c>
      <c r="O32" s="704" t="n">
        <v>0</v>
      </c>
      <c r="P32" s="704" t="n">
        <v>0</v>
      </c>
      <c r="Q32" s="704" t="n">
        <v>0</v>
      </c>
      <c r="R32" s="704" t="n">
        <v>0</v>
      </c>
      <c r="S32" s="704" t="n">
        <v>0</v>
      </c>
      <c r="T32" s="704" t="n">
        <v>0</v>
      </c>
      <c r="U32" s="704" t="n">
        <v>0</v>
      </c>
      <c r="V32" s="704" t="n">
        <v>0</v>
      </c>
      <c r="W32" s="704" t="n">
        <v>0</v>
      </c>
      <c r="X32" s="704" t="n">
        <v>0</v>
      </c>
      <c r="Y32" s="704" t="n">
        <v>0</v>
      </c>
      <c r="Z32" s="704" t="n">
        <v>0</v>
      </c>
      <c r="AA32" s="704" t="n">
        <v>0</v>
      </c>
      <c r="AB32" s="704" t="n">
        <v>0</v>
      </c>
      <c r="AC32" s="704" t="n">
        <v>0</v>
      </c>
      <c r="AD32" s="704" t="n">
        <v>0</v>
      </c>
      <c r="AE32" s="704" t="n">
        <v>0</v>
      </c>
      <c r="AF32" s="704" t="n">
        <v>0</v>
      </c>
      <c r="AG32" s="704" t="n">
        <v>0</v>
      </c>
      <c r="AH32" s="704" t="n">
        <v>0</v>
      </c>
      <c r="AI32" s="704" t="n">
        <v>0</v>
      </c>
      <c r="AJ32" s="704" t="n">
        <v>0</v>
      </c>
      <c r="AK32" s="704" t="n">
        <v>0</v>
      </c>
      <c r="AL32" s="704" t="n">
        <v>0</v>
      </c>
      <c r="AM32" s="704" t="n">
        <v>0</v>
      </c>
      <c r="AN32" s="704" t="n">
        <v>0</v>
      </c>
      <c r="AO32" s="704" t="n">
        <v>0</v>
      </c>
      <c r="AP32" s="704" t="n">
        <v>0</v>
      </c>
      <c r="AQ32" s="704" t="n">
        <v>0</v>
      </c>
      <c r="AR32" s="704" t="n">
        <v>0</v>
      </c>
      <c r="AS32" s="704" t="n">
        <v>0</v>
      </c>
      <c r="AT32" s="704" t="n">
        <v>0</v>
      </c>
      <c r="AU32" s="704" t="n">
        <v>0</v>
      </c>
      <c r="AV32" s="704" t="n">
        <v>0</v>
      </c>
      <c r="AW32" s="704" t="n">
        <v>0</v>
      </c>
      <c r="AX32" s="704" t="n">
        <v>0</v>
      </c>
      <c r="AY32" s="704" t="n">
        <v>0</v>
      </c>
      <c r="AZ32" s="704" t="n">
        <v>0</v>
      </c>
      <c r="BA32" s="704" t="n">
        <v>0</v>
      </c>
      <c r="BB32" s="704" t="n">
        <v>0</v>
      </c>
      <c r="BC32" s="704" t="n">
        <v>0</v>
      </c>
      <c r="BD32" s="704" t="n">
        <v>0</v>
      </c>
      <c r="BE32" s="704" t="n">
        <v>0</v>
      </c>
      <c r="BF32" s="704" t="n">
        <v>0</v>
      </c>
      <c r="BG32" s="704" t="n">
        <v>0</v>
      </c>
      <c r="BH32" s="704" t="n">
        <v>0</v>
      </c>
      <c r="BI32" s="704" t="n">
        <v>0</v>
      </c>
      <c r="BJ32" s="704" t="n">
        <v>0</v>
      </c>
      <c r="BK32" s="704" t="n">
        <v>0</v>
      </c>
      <c r="BL32" s="704" t="n">
        <v>0</v>
      </c>
      <c r="BM32" s="704" t="n">
        <v>0</v>
      </c>
      <c r="BN32" s="704" t="n">
        <v>0</v>
      </c>
      <c r="BO32" s="704" t="n">
        <v>0</v>
      </c>
      <c r="BP32" s="704" t="n">
        <v>0</v>
      </c>
      <c r="BQ32" s="704" t="n">
        <v>0</v>
      </c>
      <c r="BR32" s="704" t="n">
        <v>0</v>
      </c>
      <c r="BS32" s="704" t="n">
        <v>0</v>
      </c>
      <c r="BT32" s="704" t="n">
        <v>0</v>
      </c>
      <c r="BU32" s="704" t="n">
        <v>0</v>
      </c>
      <c r="BV32" s="704" t="n">
        <v>0</v>
      </c>
      <c r="BW32" s="704" t="n">
        <v>0</v>
      </c>
      <c r="BX32" s="704" t="n">
        <v>0</v>
      </c>
      <c r="BY32" s="704" t="n">
        <v>0</v>
      </c>
      <c r="BZ32" s="704" t="n">
        <v>0</v>
      </c>
      <c r="CA32" s="704" t="n">
        <v>0</v>
      </c>
      <c r="CB32" s="704" t="n">
        <v>0</v>
      </c>
      <c r="CC32" s="704" t="n">
        <v>0</v>
      </c>
      <c r="CD32" s="704" t="n">
        <v>0</v>
      </c>
      <c r="CE32" s="704" t="n">
        <v>0</v>
      </c>
      <c r="CF32" s="704" t="n">
        <v>0</v>
      </c>
      <c r="CG32" s="704" t="n">
        <v>0</v>
      </c>
      <c r="CH32" s="704" t="n">
        <v>0</v>
      </c>
      <c r="CI32" s="704" t="n">
        <v>0</v>
      </c>
      <c r="CJ32" s="704" t="n">
        <v>0</v>
      </c>
      <c r="CK32" s="704" t="n">
        <v>0</v>
      </c>
      <c r="CL32" s="704" t="n">
        <v>0</v>
      </c>
      <c r="CM32" s="704" t="n">
        <v>0</v>
      </c>
      <c r="CN32" s="704" t="n">
        <v>0</v>
      </c>
      <c r="CO32" s="704" t="n">
        <v>0</v>
      </c>
      <c r="CP32" s="704" t="n">
        <v>0</v>
      </c>
      <c r="CQ32" s="704" t="n">
        <v>0</v>
      </c>
      <c r="CR32" s="704" t="n">
        <v>0</v>
      </c>
      <c r="CS32" s="704" t="n">
        <v>0</v>
      </c>
      <c r="CT32" s="704" t="n">
        <v>0</v>
      </c>
      <c r="CU32" s="704" t="n">
        <v>0</v>
      </c>
      <c r="CV32" s="704" t="n">
        <v>0</v>
      </c>
      <c r="CW32" s="704" t="n">
        <v>0</v>
      </c>
      <c r="CX32" s="704" t="n">
        <v>0</v>
      </c>
      <c r="CY32" s="704" t="n">
        <v>0</v>
      </c>
      <c r="CZ32" s="704" t="n">
        <v>0</v>
      </c>
      <c r="DA32" s="704" t="n">
        <v>0</v>
      </c>
      <c r="DB32" s="704" t="n">
        <v>0</v>
      </c>
      <c r="DC32" s="704" t="n">
        <v>0</v>
      </c>
      <c r="DD32" s="704" t="n">
        <v>0</v>
      </c>
      <c r="DE32" s="704" t="n">
        <v>0</v>
      </c>
      <c r="DF32" s="704" t="n">
        <v>0</v>
      </c>
      <c r="DG32" s="704" t="n">
        <v>0</v>
      </c>
      <c r="DH32" s="704" t="n">
        <v>0</v>
      </c>
      <c r="DI32" s="704" t="n">
        <v>0</v>
      </c>
      <c r="DJ32" s="704" t="n">
        <v>0</v>
      </c>
      <c r="DK32" s="704" t="n">
        <v>0</v>
      </c>
      <c r="DL32" s="704" t="n">
        <v>0</v>
      </c>
      <c r="DM32" s="704" t="n">
        <v>0</v>
      </c>
    </row>
    <row r="33" ht="13.5" customHeight="1" s="355">
      <c r="B33" s="703" t="inlineStr">
        <is>
          <t>SLA Metric Reporting</t>
        </is>
      </c>
      <c r="D33" s="704" t="n">
        <v>0</v>
      </c>
      <c r="E33" s="704" t="n">
        <v>0</v>
      </c>
      <c r="F33" s="704" t="n">
        <v>0</v>
      </c>
      <c r="G33" s="704" t="n">
        <v>0</v>
      </c>
      <c r="H33" s="704" t="n">
        <v>0</v>
      </c>
      <c r="I33" s="704" t="n">
        <v>0</v>
      </c>
      <c r="J33" s="704" t="n">
        <v>0</v>
      </c>
      <c r="K33" s="704" t="n">
        <v>0</v>
      </c>
      <c r="L33" s="704" t="n">
        <v>0</v>
      </c>
      <c r="M33" s="704" t="n">
        <v>0</v>
      </c>
      <c r="N33" s="704" t="n">
        <v>0</v>
      </c>
      <c r="O33" s="704" t="n">
        <v>0</v>
      </c>
      <c r="P33" s="704" t="n">
        <v>0</v>
      </c>
      <c r="Q33" s="704" t="n">
        <v>0</v>
      </c>
      <c r="R33" s="704" t="n">
        <v>0</v>
      </c>
      <c r="S33" s="704" t="n">
        <v>0</v>
      </c>
      <c r="T33" s="704" t="n">
        <v>0</v>
      </c>
      <c r="U33" s="704" t="n">
        <v>0</v>
      </c>
      <c r="V33" s="704" t="n">
        <v>0</v>
      </c>
      <c r="W33" s="704" t="n">
        <v>0</v>
      </c>
      <c r="X33" s="704" t="n">
        <v>0</v>
      </c>
      <c r="Y33" s="704" t="n">
        <v>0</v>
      </c>
      <c r="Z33" s="704" t="n">
        <v>0</v>
      </c>
      <c r="AA33" s="704" t="n">
        <v>0</v>
      </c>
      <c r="AB33" s="704" t="n">
        <v>0</v>
      </c>
      <c r="AC33" s="704" t="n">
        <v>0</v>
      </c>
      <c r="AD33" s="704" t="n">
        <v>0</v>
      </c>
      <c r="AE33" s="704" t="n">
        <v>0</v>
      </c>
      <c r="AF33" s="704" t="n">
        <v>0</v>
      </c>
      <c r="AG33" s="704" t="n">
        <v>0</v>
      </c>
      <c r="AH33" s="704" t="n">
        <v>0</v>
      </c>
      <c r="AI33" s="704" t="n">
        <v>0</v>
      </c>
      <c r="AJ33" s="704" t="n">
        <v>0</v>
      </c>
      <c r="AK33" s="704" t="n">
        <v>0</v>
      </c>
      <c r="AL33" s="704" t="n">
        <v>0</v>
      </c>
      <c r="AM33" s="704" t="n">
        <v>0</v>
      </c>
      <c r="AN33" s="704" t="n">
        <v>0</v>
      </c>
      <c r="AO33" s="704" t="n">
        <v>0</v>
      </c>
      <c r="AP33" s="704" t="n">
        <v>0</v>
      </c>
      <c r="AQ33" s="704" t="n">
        <v>0</v>
      </c>
      <c r="AR33" s="704" t="n">
        <v>0</v>
      </c>
      <c r="AS33" s="704" t="n">
        <v>0</v>
      </c>
      <c r="AT33" s="704" t="n">
        <v>0</v>
      </c>
      <c r="AU33" s="704" t="n">
        <v>0</v>
      </c>
      <c r="AV33" s="704" t="n">
        <v>0</v>
      </c>
      <c r="AW33" s="704" t="n">
        <v>0</v>
      </c>
      <c r="AX33" s="704" t="n">
        <v>0</v>
      </c>
      <c r="AY33" s="704" t="n">
        <v>0</v>
      </c>
      <c r="AZ33" s="704" t="n">
        <v>0</v>
      </c>
      <c r="BA33" s="704" t="n">
        <v>0</v>
      </c>
      <c r="BB33" s="704" t="n">
        <v>0</v>
      </c>
      <c r="BC33" s="704" t="n">
        <v>0</v>
      </c>
      <c r="BD33" s="704" t="n">
        <v>0</v>
      </c>
      <c r="BE33" s="704" t="n">
        <v>0</v>
      </c>
      <c r="BF33" s="704" t="n">
        <v>0</v>
      </c>
      <c r="BG33" s="704" t="n">
        <v>0</v>
      </c>
      <c r="BH33" s="704" t="n">
        <v>0</v>
      </c>
      <c r="BI33" s="704" t="n">
        <v>0</v>
      </c>
      <c r="BJ33" s="704" t="n">
        <v>0</v>
      </c>
      <c r="BK33" s="704" t="n">
        <v>0</v>
      </c>
      <c r="BL33" s="704" t="n">
        <v>0</v>
      </c>
      <c r="BM33" s="704" t="n">
        <v>0</v>
      </c>
      <c r="BN33" s="704" t="n">
        <v>0</v>
      </c>
      <c r="BO33" s="704" t="n">
        <v>0</v>
      </c>
      <c r="BP33" s="704" t="n">
        <v>0</v>
      </c>
      <c r="BQ33" s="704" t="n">
        <v>0</v>
      </c>
      <c r="BR33" s="704" t="n">
        <v>0</v>
      </c>
      <c r="BS33" s="704" t="n">
        <v>0</v>
      </c>
      <c r="BT33" s="704" t="n">
        <v>0</v>
      </c>
      <c r="BU33" s="704" t="n">
        <v>0</v>
      </c>
      <c r="BV33" s="704" t="n">
        <v>0</v>
      </c>
      <c r="BW33" s="704" t="n">
        <v>0</v>
      </c>
      <c r="BX33" s="704" t="n">
        <v>0</v>
      </c>
      <c r="BY33" s="704" t="n">
        <v>0</v>
      </c>
      <c r="BZ33" s="704" t="n">
        <v>0</v>
      </c>
      <c r="CA33" s="704" t="n">
        <v>0</v>
      </c>
      <c r="CB33" s="704" t="n">
        <v>0</v>
      </c>
      <c r="CC33" s="704" t="n">
        <v>0</v>
      </c>
      <c r="CD33" s="704" t="n">
        <v>0</v>
      </c>
      <c r="CE33" s="704" t="n">
        <v>0</v>
      </c>
      <c r="CF33" s="704" t="n">
        <v>0</v>
      </c>
      <c r="CG33" s="704" t="n">
        <v>0</v>
      </c>
      <c r="CH33" s="704" t="n">
        <v>0</v>
      </c>
      <c r="CI33" s="704" t="n">
        <v>0</v>
      </c>
      <c r="CJ33" s="704" t="n">
        <v>0</v>
      </c>
      <c r="CK33" s="704" t="n">
        <v>0</v>
      </c>
      <c r="CL33" s="704" t="n">
        <v>0</v>
      </c>
      <c r="CM33" s="704" t="n">
        <v>0</v>
      </c>
      <c r="CN33" s="704" t="n">
        <v>0</v>
      </c>
      <c r="CO33" s="704" t="n">
        <v>0</v>
      </c>
      <c r="CP33" s="704" t="n">
        <v>0</v>
      </c>
      <c r="CQ33" s="704" t="n">
        <v>0</v>
      </c>
      <c r="CR33" s="704" t="n">
        <v>0</v>
      </c>
      <c r="CS33" s="704" t="n">
        <v>0</v>
      </c>
      <c r="CT33" s="704" t="n">
        <v>0</v>
      </c>
      <c r="CU33" s="704" t="n">
        <v>0</v>
      </c>
      <c r="CV33" s="704" t="n">
        <v>0</v>
      </c>
      <c r="CW33" s="704" t="n">
        <v>0</v>
      </c>
      <c r="CX33" s="704" t="n">
        <v>0</v>
      </c>
      <c r="CY33" s="704" t="n">
        <v>0</v>
      </c>
      <c r="CZ33" s="704" t="n">
        <v>0</v>
      </c>
      <c r="DA33" s="704" t="n">
        <v>0</v>
      </c>
      <c r="DB33" s="704" t="n">
        <v>0</v>
      </c>
      <c r="DC33" s="704" t="n">
        <v>0</v>
      </c>
      <c r="DD33" s="704" t="n">
        <v>0</v>
      </c>
      <c r="DE33" s="704" t="n">
        <v>0</v>
      </c>
      <c r="DF33" s="704" t="n">
        <v>0</v>
      </c>
      <c r="DG33" s="704" t="n">
        <v>0</v>
      </c>
      <c r="DH33" s="704" t="n">
        <v>0</v>
      </c>
      <c r="DI33" s="704" t="n">
        <v>0</v>
      </c>
      <c r="DJ33" s="704" t="n">
        <v>0</v>
      </c>
      <c r="DK33" s="704" t="n">
        <v>0</v>
      </c>
      <c r="DL33" s="704" t="n">
        <v>0</v>
      </c>
      <c r="DM33" s="704" t="n">
        <v>0</v>
      </c>
    </row>
    <row r="34" ht="13.5" customHeight="1" s="355">
      <c r="B34" s="705" t="inlineStr">
        <is>
          <t>Grand Total</t>
        </is>
      </c>
      <c r="C34" s="706" t="n"/>
      <c r="D34" s="707" t="n">
        <v>0</v>
      </c>
      <c r="E34" s="707" t="n">
        <v>0</v>
      </c>
      <c r="F34" s="707" t="n">
        <v>0</v>
      </c>
      <c r="G34" s="707" t="n">
        <v>0</v>
      </c>
      <c r="H34" s="707" t="n">
        <v>0</v>
      </c>
      <c r="I34" s="707" t="n">
        <v>0</v>
      </c>
      <c r="J34" s="707" t="n">
        <v>0</v>
      </c>
      <c r="K34" s="707" t="n">
        <v>0</v>
      </c>
      <c r="L34" s="707" t="n">
        <v>0</v>
      </c>
      <c r="M34" s="707" t="n">
        <v>0</v>
      </c>
      <c r="N34" s="707" t="n">
        <v>16.6545359299131</v>
      </c>
      <c r="O34" s="707" t="n">
        <v>65.1507054486146</v>
      </c>
      <c r="P34" s="707" t="n">
        <v>70.23725405085131</v>
      </c>
      <c r="Q34" s="707" t="n">
        <v>70.23725405085131</v>
      </c>
      <c r="R34" s="707" t="n">
        <v>70.23725405085131</v>
      </c>
      <c r="S34" s="707" t="n">
        <v>70.23725405085131</v>
      </c>
      <c r="T34" s="707" t="n">
        <v>68.3685650902834</v>
      </c>
      <c r="U34" s="707" t="n">
        <v>68.3685650902834</v>
      </c>
      <c r="V34" s="707" t="n">
        <v>68.3685650902834</v>
      </c>
      <c r="W34" s="707" t="n">
        <v>68.3685650902834</v>
      </c>
      <c r="X34" s="707" t="n">
        <v>68.3685650902834</v>
      </c>
      <c r="Y34" s="707" t="n">
        <v>68.3685650902834</v>
      </c>
      <c r="Z34" s="707" t="n">
        <v>68.3685650902834</v>
      </c>
      <c r="AA34" s="707" t="n">
        <v>68.3685650902834</v>
      </c>
      <c r="AB34" s="707" t="n">
        <v>70.4196220429919</v>
      </c>
      <c r="AC34" s="707" t="n">
        <v>67.7887745320463</v>
      </c>
      <c r="AD34" s="707" t="n">
        <v>67.7887745320463</v>
      </c>
      <c r="AE34" s="707" t="n">
        <v>67.7887745320463</v>
      </c>
      <c r="AF34" s="707" t="n">
        <v>67.7887745320463</v>
      </c>
      <c r="AG34" s="707" t="n">
        <v>67.7887745320463</v>
      </c>
      <c r="AH34" s="707" t="n">
        <v>67.7887745320463</v>
      </c>
      <c r="AI34" s="707" t="n">
        <v>67.7887745320463</v>
      </c>
      <c r="AJ34" s="707" t="n">
        <v>67.7887745320463</v>
      </c>
      <c r="AK34" s="707" t="n">
        <v>67.7887745320463</v>
      </c>
      <c r="AL34" s="707" t="n">
        <v>67.7887745320463</v>
      </c>
      <c r="AM34" s="707" t="n">
        <v>67.7887745320463</v>
      </c>
      <c r="AN34" s="707" t="n">
        <v>69.8224377680077</v>
      </c>
      <c r="AO34" s="707" t="n">
        <v>67.1126648317337</v>
      </c>
      <c r="AP34" s="707" t="n">
        <v>67.1126648317337</v>
      </c>
      <c r="AQ34" s="707" t="n">
        <v>67.1126648317337</v>
      </c>
      <c r="AR34" s="707" t="n">
        <v>67.1126648317337</v>
      </c>
      <c r="AS34" s="707" t="n">
        <v>67.1126648317337</v>
      </c>
      <c r="AT34" s="707" t="n">
        <v>67.1126648317337</v>
      </c>
      <c r="AU34" s="707" t="n">
        <v>67.1126648317337</v>
      </c>
      <c r="AV34" s="707" t="n">
        <v>67.1126648317337</v>
      </c>
      <c r="AW34" s="707" t="n">
        <v>67.1126648317337</v>
      </c>
      <c r="AX34" s="707" t="n">
        <v>67.1126648317337</v>
      </c>
      <c r="AY34" s="707" t="n">
        <v>67.1126648317337</v>
      </c>
      <c r="AZ34" s="707" t="n">
        <v>69.1260447766857</v>
      </c>
      <c r="BA34" s="707" t="n">
        <v>66.9892347242869</v>
      </c>
      <c r="BB34" s="707" t="n">
        <v>66.9892347242869</v>
      </c>
      <c r="BC34" s="707" t="n">
        <v>66.9892347242869</v>
      </c>
      <c r="BD34" s="707" t="n">
        <v>66.9892347242869</v>
      </c>
      <c r="BE34" s="707" t="n">
        <v>66.9892347242869</v>
      </c>
      <c r="BF34" s="707" t="n">
        <v>66.9892347242869</v>
      </c>
      <c r="BG34" s="707" t="n">
        <v>66.9892347242869</v>
      </c>
      <c r="BH34" s="707" t="n">
        <v>66.9892347242869</v>
      </c>
      <c r="BI34" s="707" t="n">
        <v>66.9892347242869</v>
      </c>
      <c r="BJ34" s="707" t="n">
        <v>66.9892347242869</v>
      </c>
      <c r="BK34" s="707" t="n">
        <v>66.9892347242869</v>
      </c>
      <c r="BL34" s="707" t="n">
        <v>68.9989117660155</v>
      </c>
      <c r="BM34" s="707" t="n">
        <v>66.0264251922205</v>
      </c>
      <c r="BN34" s="707" t="n">
        <v>66.0264251922205</v>
      </c>
      <c r="BO34" s="707" t="n">
        <v>66.0264251922205</v>
      </c>
      <c r="BP34" s="707" t="n">
        <v>66.0264251922205</v>
      </c>
      <c r="BQ34" s="707" t="n">
        <v>66.0264251922205</v>
      </c>
      <c r="BR34" s="707" t="n">
        <v>66.0264251922205</v>
      </c>
      <c r="BS34" s="707" t="n">
        <v>66.0264251922205</v>
      </c>
      <c r="BT34" s="707" t="n">
        <v>66.0264251922205</v>
      </c>
      <c r="BU34" s="707" t="n">
        <v>66.0264251922205</v>
      </c>
      <c r="BV34" s="707" t="n">
        <v>66.0264251922205</v>
      </c>
      <c r="BW34" s="707" t="n">
        <v>66.0264251922205</v>
      </c>
      <c r="BX34" s="707" t="n">
        <v>68.0072179479871</v>
      </c>
      <c r="BY34" s="707" t="n">
        <v>67.3131176812412</v>
      </c>
      <c r="BZ34" s="707" t="n">
        <v>67.3131176812412</v>
      </c>
      <c r="CA34" s="707" t="n">
        <v>67.3131176812412</v>
      </c>
      <c r="CB34" s="707" t="n">
        <v>67.3131176812412</v>
      </c>
      <c r="CC34" s="707" t="n">
        <v>67.3131176812412</v>
      </c>
      <c r="CD34" s="707" t="n">
        <v>67.3131176812412</v>
      </c>
      <c r="CE34" s="707" t="n">
        <v>67.3131176812412</v>
      </c>
      <c r="CF34" s="707" t="n">
        <v>67.3131176812412</v>
      </c>
      <c r="CG34" s="707" t="n">
        <v>67.3131176812412</v>
      </c>
      <c r="CH34" s="707" t="n">
        <v>67.3131176812412</v>
      </c>
      <c r="CI34" s="707" t="n">
        <v>67.3131176812412</v>
      </c>
      <c r="CJ34" s="707" t="n">
        <v>69.33251121167849</v>
      </c>
      <c r="CK34" s="707" t="n">
        <v>69.33251121167849</v>
      </c>
      <c r="CL34" s="707" t="n">
        <v>69.33251121167849</v>
      </c>
      <c r="CM34" s="707" t="n">
        <v>69.33251121167849</v>
      </c>
      <c r="CN34" s="707" t="n">
        <v>69.33251121167849</v>
      </c>
      <c r="CO34" s="707" t="n">
        <v>69.33251121167849</v>
      </c>
      <c r="CP34" s="707" t="n">
        <v>69.33251121167849</v>
      </c>
      <c r="CQ34" s="707" t="n">
        <v>69.33251121167849</v>
      </c>
      <c r="CR34" s="707" t="n">
        <v>69.33251121167849</v>
      </c>
      <c r="CS34" s="707" t="n">
        <v>69.33251121167849</v>
      </c>
      <c r="CT34" s="707" t="n">
        <v>69.33251121167849</v>
      </c>
      <c r="CU34" s="707" t="n">
        <v>69.33251121167849</v>
      </c>
      <c r="CV34" s="707" t="n">
        <v>71.4124865480288</v>
      </c>
      <c r="CW34" s="707" t="n">
        <v>71.4124865480288</v>
      </c>
      <c r="CX34" s="707" t="n">
        <v>71.4124865480288</v>
      </c>
      <c r="CY34" s="707" t="n">
        <v>71.4124865480288</v>
      </c>
      <c r="CZ34" s="707" t="n">
        <v>71.4124865480288</v>
      </c>
      <c r="DA34" s="707" t="n">
        <v>71.4124865480288</v>
      </c>
      <c r="DB34" s="707" t="n">
        <v>71.4124865480288</v>
      </c>
      <c r="DC34" s="707" t="n">
        <v>71.4124865480288</v>
      </c>
      <c r="DD34" s="707" t="n">
        <v>71.4124865480288</v>
      </c>
      <c r="DE34" s="707" t="n">
        <v>71.4124865480288</v>
      </c>
      <c r="DF34" s="707" t="n">
        <v>71.4124865480288</v>
      </c>
      <c r="DG34" s="707" t="n">
        <v>71.4124865480288</v>
      </c>
      <c r="DH34" s="707" t="n">
        <v>71.4124865480288</v>
      </c>
      <c r="DI34" s="707" t="n">
        <v>71.4124865480288</v>
      </c>
      <c r="DJ34" s="707" t="n">
        <v>71.4124865480288</v>
      </c>
      <c r="DK34" s="707" t="n">
        <v>71.4124865480288</v>
      </c>
      <c r="DL34" s="707" t="n">
        <v>71.4124865480288</v>
      </c>
      <c r="DM34" s="707" t="n">
        <v>71.4124865480288</v>
      </c>
    </row>
    <row r="35" ht="13.5" customHeight="1" s="355">
      <c r="A35" s="702" t="inlineStr">
        <is>
          <t>Germany</t>
        </is>
      </c>
      <c r="B35" s="703" t="inlineStr">
        <is>
          <t>Gen Acctg</t>
        </is>
      </c>
      <c r="D35" s="704" t="n">
        <v>0</v>
      </c>
      <c r="E35" s="704" t="n">
        <v>0</v>
      </c>
      <c r="F35" s="704" t="n">
        <v>0</v>
      </c>
      <c r="G35" s="704" t="n">
        <v>0</v>
      </c>
      <c r="H35" s="704" t="n">
        <v>0</v>
      </c>
      <c r="I35" s="704" t="n">
        <v>0</v>
      </c>
      <c r="J35" s="704" t="n">
        <v>0</v>
      </c>
      <c r="K35" s="704" t="n">
        <v>0</v>
      </c>
      <c r="L35" s="704" t="n">
        <v>0</v>
      </c>
      <c r="M35" s="704" t="n">
        <v>0</v>
      </c>
      <c r="N35" s="704" t="n">
        <v>0</v>
      </c>
      <c r="O35" s="704" t="n">
        <v>0</v>
      </c>
      <c r="P35" s="704" t="n">
        <v>0</v>
      </c>
      <c r="Q35" s="704" t="n">
        <v>0</v>
      </c>
      <c r="R35" s="704" t="n">
        <v>0</v>
      </c>
      <c r="S35" s="704" t="n">
        <v>0</v>
      </c>
      <c r="T35" s="704" t="n">
        <v>0</v>
      </c>
      <c r="U35" s="704" t="n">
        <v>0</v>
      </c>
      <c r="V35" s="704" t="n">
        <v>0</v>
      </c>
      <c r="W35" s="704" t="n">
        <v>0</v>
      </c>
      <c r="X35" s="704" t="n">
        <v>0</v>
      </c>
      <c r="Y35" s="704" t="n">
        <v>0</v>
      </c>
      <c r="Z35" s="704" t="n">
        <v>0</v>
      </c>
      <c r="AA35" s="704" t="n">
        <v>0</v>
      </c>
      <c r="AB35" s="704" t="n">
        <v>0</v>
      </c>
      <c r="AC35" s="704" t="n">
        <v>0</v>
      </c>
      <c r="AD35" s="704" t="n">
        <v>0</v>
      </c>
      <c r="AE35" s="704" t="n">
        <v>0</v>
      </c>
      <c r="AF35" s="704" t="n">
        <v>0</v>
      </c>
      <c r="AG35" s="704" t="n">
        <v>0</v>
      </c>
      <c r="AH35" s="704" t="n">
        <v>0</v>
      </c>
      <c r="AI35" s="704" t="n">
        <v>0</v>
      </c>
      <c r="AJ35" s="704" t="n">
        <v>0</v>
      </c>
      <c r="AK35" s="704" t="n">
        <v>0</v>
      </c>
      <c r="AL35" s="704" t="n">
        <v>0</v>
      </c>
      <c r="AM35" s="704" t="n">
        <v>0</v>
      </c>
      <c r="AN35" s="704" t="n">
        <v>0</v>
      </c>
      <c r="AO35" s="704" t="n">
        <v>0</v>
      </c>
      <c r="AP35" s="704" t="n">
        <v>0</v>
      </c>
      <c r="AQ35" s="704" t="n">
        <v>0</v>
      </c>
      <c r="AR35" s="704" t="n">
        <v>0</v>
      </c>
      <c r="AS35" s="704" t="n">
        <v>0</v>
      </c>
      <c r="AT35" s="704" t="n">
        <v>0</v>
      </c>
      <c r="AU35" s="704" t="n">
        <v>0</v>
      </c>
      <c r="AV35" s="704" t="n">
        <v>0</v>
      </c>
      <c r="AW35" s="704" t="n">
        <v>0</v>
      </c>
      <c r="AX35" s="704" t="n">
        <v>0</v>
      </c>
      <c r="AY35" s="704" t="n">
        <v>0</v>
      </c>
      <c r="AZ35" s="704" t="n">
        <v>0</v>
      </c>
      <c r="BA35" s="704" t="n">
        <v>0</v>
      </c>
      <c r="BB35" s="704" t="n">
        <v>0</v>
      </c>
      <c r="BC35" s="704" t="n">
        <v>0</v>
      </c>
      <c r="BD35" s="704" t="n">
        <v>0</v>
      </c>
      <c r="BE35" s="704" t="n">
        <v>0</v>
      </c>
      <c r="BF35" s="704" t="n">
        <v>0</v>
      </c>
      <c r="BG35" s="704" t="n">
        <v>0</v>
      </c>
      <c r="BH35" s="704" t="n">
        <v>0</v>
      </c>
      <c r="BI35" s="704" t="n">
        <v>0</v>
      </c>
      <c r="BJ35" s="704" t="n">
        <v>0</v>
      </c>
      <c r="BK35" s="704" t="n">
        <v>0</v>
      </c>
      <c r="BL35" s="704" t="n">
        <v>0</v>
      </c>
      <c r="BM35" s="704" t="n">
        <v>0</v>
      </c>
      <c r="BN35" s="704" t="n">
        <v>0</v>
      </c>
      <c r="BO35" s="704" t="n">
        <v>0</v>
      </c>
      <c r="BP35" s="704" t="n">
        <v>0</v>
      </c>
      <c r="BQ35" s="704" t="n">
        <v>0</v>
      </c>
      <c r="BR35" s="704" t="n">
        <v>0</v>
      </c>
      <c r="BS35" s="704" t="n">
        <v>0</v>
      </c>
      <c r="BT35" s="704" t="n">
        <v>0</v>
      </c>
      <c r="BU35" s="704" t="n">
        <v>0</v>
      </c>
      <c r="BV35" s="704" t="n">
        <v>0</v>
      </c>
      <c r="BW35" s="704" t="n">
        <v>0</v>
      </c>
      <c r="BX35" s="704" t="n">
        <v>0</v>
      </c>
      <c r="BY35" s="704" t="n">
        <v>0</v>
      </c>
      <c r="BZ35" s="704" t="n">
        <v>0</v>
      </c>
      <c r="CA35" s="704" t="n">
        <v>0</v>
      </c>
      <c r="CB35" s="704" t="n">
        <v>0</v>
      </c>
      <c r="CC35" s="704" t="n">
        <v>0</v>
      </c>
      <c r="CD35" s="704" t="n">
        <v>0</v>
      </c>
      <c r="CE35" s="704" t="n">
        <v>0</v>
      </c>
      <c r="CF35" s="704" t="n">
        <v>0</v>
      </c>
      <c r="CG35" s="704" t="n">
        <v>0</v>
      </c>
      <c r="CH35" s="704" t="n">
        <v>0</v>
      </c>
      <c r="CI35" s="704" t="n">
        <v>0</v>
      </c>
      <c r="CJ35" s="704" t="n">
        <v>0</v>
      </c>
      <c r="CK35" s="704" t="n">
        <v>0</v>
      </c>
      <c r="CL35" s="704" t="n">
        <v>0</v>
      </c>
      <c r="CM35" s="704" t="n">
        <v>0</v>
      </c>
      <c r="CN35" s="704" t="n">
        <v>0</v>
      </c>
      <c r="CO35" s="704" t="n">
        <v>0</v>
      </c>
      <c r="CP35" s="704" t="n">
        <v>0</v>
      </c>
      <c r="CQ35" s="704" t="n">
        <v>0</v>
      </c>
      <c r="CR35" s="704" t="n">
        <v>0</v>
      </c>
      <c r="CS35" s="704" t="n">
        <v>0</v>
      </c>
      <c r="CT35" s="704" t="n">
        <v>0</v>
      </c>
      <c r="CU35" s="704" t="n">
        <v>0</v>
      </c>
      <c r="CV35" s="704" t="n">
        <v>0</v>
      </c>
      <c r="CW35" s="704" t="n">
        <v>0</v>
      </c>
      <c r="CX35" s="704" t="n">
        <v>0</v>
      </c>
      <c r="CY35" s="704" t="n">
        <v>0</v>
      </c>
      <c r="CZ35" s="704" t="n">
        <v>0</v>
      </c>
      <c r="DA35" s="704" t="n">
        <v>0</v>
      </c>
      <c r="DB35" s="704" t="n">
        <v>0</v>
      </c>
      <c r="DC35" s="704" t="n">
        <v>0</v>
      </c>
      <c r="DD35" s="704" t="n">
        <v>0</v>
      </c>
      <c r="DE35" s="704" t="n">
        <v>0</v>
      </c>
      <c r="DF35" s="704" t="n">
        <v>0</v>
      </c>
      <c r="DG35" s="704" t="n">
        <v>0</v>
      </c>
      <c r="DH35" s="704" t="n">
        <v>0</v>
      </c>
      <c r="DI35" s="704" t="n">
        <v>0</v>
      </c>
      <c r="DJ35" s="704" t="n">
        <v>0</v>
      </c>
      <c r="DK35" s="704" t="n">
        <v>0</v>
      </c>
      <c r="DL35" s="704" t="n">
        <v>0</v>
      </c>
      <c r="DM35" s="704" t="n">
        <v>0</v>
      </c>
    </row>
    <row r="36" ht="13.5" customHeight="1" s="355">
      <c r="B36" s="703" t="inlineStr">
        <is>
          <t>Reporting</t>
        </is>
      </c>
      <c r="D36" s="704" t="n">
        <v>0</v>
      </c>
      <c r="E36" s="704" t="n">
        <v>0</v>
      </c>
      <c r="F36" s="704" t="n">
        <v>0</v>
      </c>
      <c r="G36" s="704" t="n">
        <v>0</v>
      </c>
      <c r="H36" s="704" t="n">
        <v>0</v>
      </c>
      <c r="I36" s="704" t="n">
        <v>0</v>
      </c>
      <c r="J36" s="704" t="n">
        <v>0</v>
      </c>
      <c r="K36" s="704" t="n">
        <v>0</v>
      </c>
      <c r="L36" s="704" t="n">
        <v>0</v>
      </c>
      <c r="M36" s="704" t="n">
        <v>0</v>
      </c>
      <c r="N36" s="704" t="n">
        <v>0</v>
      </c>
      <c r="O36" s="704" t="n">
        <v>0</v>
      </c>
      <c r="P36" s="704" t="n">
        <v>0</v>
      </c>
      <c r="Q36" s="704" t="n">
        <v>0</v>
      </c>
      <c r="R36" s="704" t="n">
        <v>0</v>
      </c>
      <c r="S36" s="704" t="n">
        <v>0</v>
      </c>
      <c r="T36" s="704" t="n">
        <v>0</v>
      </c>
      <c r="U36" s="704" t="n">
        <v>0</v>
      </c>
      <c r="V36" s="704" t="n">
        <v>0</v>
      </c>
      <c r="W36" s="704" t="n">
        <v>0</v>
      </c>
      <c r="X36" s="704" t="n">
        <v>0</v>
      </c>
      <c r="Y36" s="704" t="n">
        <v>0</v>
      </c>
      <c r="Z36" s="704" t="n">
        <v>0</v>
      </c>
      <c r="AA36" s="704" t="n">
        <v>0</v>
      </c>
      <c r="AB36" s="704" t="n">
        <v>0</v>
      </c>
      <c r="AC36" s="704" t="n">
        <v>0</v>
      </c>
      <c r="AD36" s="704" t="n">
        <v>0</v>
      </c>
      <c r="AE36" s="704" t="n">
        <v>0</v>
      </c>
      <c r="AF36" s="704" t="n">
        <v>0</v>
      </c>
      <c r="AG36" s="704" t="n">
        <v>0</v>
      </c>
      <c r="AH36" s="704" t="n">
        <v>0</v>
      </c>
      <c r="AI36" s="704" t="n">
        <v>0</v>
      </c>
      <c r="AJ36" s="704" t="n">
        <v>0</v>
      </c>
      <c r="AK36" s="704" t="n">
        <v>0</v>
      </c>
      <c r="AL36" s="704" t="n">
        <v>0</v>
      </c>
      <c r="AM36" s="704" t="n">
        <v>0</v>
      </c>
      <c r="AN36" s="704" t="n">
        <v>0</v>
      </c>
      <c r="AO36" s="704" t="n">
        <v>0</v>
      </c>
      <c r="AP36" s="704" t="n">
        <v>0</v>
      </c>
      <c r="AQ36" s="704" t="n">
        <v>0</v>
      </c>
      <c r="AR36" s="704" t="n">
        <v>0</v>
      </c>
      <c r="AS36" s="704" t="n">
        <v>0</v>
      </c>
      <c r="AT36" s="704" t="n">
        <v>0</v>
      </c>
      <c r="AU36" s="704" t="n">
        <v>0</v>
      </c>
      <c r="AV36" s="704" t="n">
        <v>0</v>
      </c>
      <c r="AW36" s="704" t="n">
        <v>0</v>
      </c>
      <c r="AX36" s="704" t="n">
        <v>0</v>
      </c>
      <c r="AY36" s="704" t="n">
        <v>0</v>
      </c>
      <c r="AZ36" s="704" t="n">
        <v>0</v>
      </c>
      <c r="BA36" s="704" t="n">
        <v>0</v>
      </c>
      <c r="BB36" s="704" t="n">
        <v>0</v>
      </c>
      <c r="BC36" s="704" t="n">
        <v>0</v>
      </c>
      <c r="BD36" s="704" t="n">
        <v>0</v>
      </c>
      <c r="BE36" s="704" t="n">
        <v>0</v>
      </c>
      <c r="BF36" s="704" t="n">
        <v>0</v>
      </c>
      <c r="BG36" s="704" t="n">
        <v>0</v>
      </c>
      <c r="BH36" s="704" t="n">
        <v>0</v>
      </c>
      <c r="BI36" s="704" t="n">
        <v>0</v>
      </c>
      <c r="BJ36" s="704" t="n">
        <v>0</v>
      </c>
      <c r="BK36" s="704" t="n">
        <v>0</v>
      </c>
      <c r="BL36" s="704" t="n">
        <v>0</v>
      </c>
      <c r="BM36" s="704" t="n">
        <v>0</v>
      </c>
      <c r="BN36" s="704" t="n">
        <v>0</v>
      </c>
      <c r="BO36" s="704" t="n">
        <v>0</v>
      </c>
      <c r="BP36" s="704" t="n">
        <v>0</v>
      </c>
      <c r="BQ36" s="704" t="n">
        <v>0</v>
      </c>
      <c r="BR36" s="704" t="n">
        <v>0</v>
      </c>
      <c r="BS36" s="704" t="n">
        <v>0</v>
      </c>
      <c r="BT36" s="704" t="n">
        <v>0</v>
      </c>
      <c r="BU36" s="704" t="n">
        <v>0</v>
      </c>
      <c r="BV36" s="704" t="n">
        <v>0</v>
      </c>
      <c r="BW36" s="704" t="n">
        <v>0</v>
      </c>
      <c r="BX36" s="704" t="n">
        <v>0</v>
      </c>
      <c r="BY36" s="704" t="n">
        <v>0</v>
      </c>
      <c r="BZ36" s="704" t="n">
        <v>0</v>
      </c>
      <c r="CA36" s="704" t="n">
        <v>0</v>
      </c>
      <c r="CB36" s="704" t="n">
        <v>0</v>
      </c>
      <c r="CC36" s="704" t="n">
        <v>0</v>
      </c>
      <c r="CD36" s="704" t="n">
        <v>0</v>
      </c>
      <c r="CE36" s="704" t="n">
        <v>0</v>
      </c>
      <c r="CF36" s="704" t="n">
        <v>0</v>
      </c>
      <c r="CG36" s="704" t="n">
        <v>0</v>
      </c>
      <c r="CH36" s="704" t="n">
        <v>0</v>
      </c>
      <c r="CI36" s="704" t="n">
        <v>0</v>
      </c>
      <c r="CJ36" s="704" t="n">
        <v>0</v>
      </c>
      <c r="CK36" s="704" t="n">
        <v>0</v>
      </c>
      <c r="CL36" s="704" t="n">
        <v>0</v>
      </c>
      <c r="CM36" s="704" t="n">
        <v>0</v>
      </c>
      <c r="CN36" s="704" t="n">
        <v>0</v>
      </c>
      <c r="CO36" s="704" t="n">
        <v>0</v>
      </c>
      <c r="CP36" s="704" t="n">
        <v>0</v>
      </c>
      <c r="CQ36" s="704" t="n">
        <v>0</v>
      </c>
      <c r="CR36" s="704" t="n">
        <v>0</v>
      </c>
      <c r="CS36" s="704" t="n">
        <v>0</v>
      </c>
      <c r="CT36" s="704" t="n">
        <v>0</v>
      </c>
      <c r="CU36" s="704" t="n">
        <v>0</v>
      </c>
      <c r="CV36" s="704" t="n">
        <v>0</v>
      </c>
      <c r="CW36" s="704" t="n">
        <v>0</v>
      </c>
      <c r="CX36" s="704" t="n">
        <v>0</v>
      </c>
      <c r="CY36" s="704" t="n">
        <v>0</v>
      </c>
      <c r="CZ36" s="704" t="n">
        <v>0</v>
      </c>
      <c r="DA36" s="704" t="n">
        <v>0</v>
      </c>
      <c r="DB36" s="704" t="n">
        <v>0</v>
      </c>
      <c r="DC36" s="704" t="n">
        <v>0</v>
      </c>
      <c r="DD36" s="704" t="n">
        <v>0</v>
      </c>
      <c r="DE36" s="704" t="n">
        <v>0</v>
      </c>
      <c r="DF36" s="704" t="n">
        <v>0</v>
      </c>
      <c r="DG36" s="704" t="n">
        <v>0</v>
      </c>
      <c r="DH36" s="704" t="n">
        <v>0</v>
      </c>
      <c r="DI36" s="704" t="n">
        <v>0</v>
      </c>
      <c r="DJ36" s="704" t="n">
        <v>0</v>
      </c>
      <c r="DK36" s="704" t="n">
        <v>0</v>
      </c>
      <c r="DL36" s="704" t="n">
        <v>0</v>
      </c>
      <c r="DM36" s="704" t="n">
        <v>0</v>
      </c>
    </row>
    <row r="37" ht="13.5" customHeight="1" s="355">
      <c r="B37" s="703" t="inlineStr">
        <is>
          <t>Fixed Assets</t>
        </is>
      </c>
      <c r="D37" s="704" t="n">
        <v>0</v>
      </c>
      <c r="E37" s="704" t="n">
        <v>0</v>
      </c>
      <c r="F37" s="704" t="n">
        <v>0</v>
      </c>
      <c r="G37" s="704" t="n">
        <v>0</v>
      </c>
      <c r="H37" s="704" t="n">
        <v>0</v>
      </c>
      <c r="I37" s="704" t="n">
        <v>0</v>
      </c>
      <c r="J37" s="704" t="n">
        <v>0</v>
      </c>
      <c r="K37" s="704" t="n">
        <v>0</v>
      </c>
      <c r="L37" s="704" t="n">
        <v>0</v>
      </c>
      <c r="M37" s="704" t="n">
        <v>0</v>
      </c>
      <c r="N37" s="704" t="n">
        <v>0</v>
      </c>
      <c r="O37" s="704" t="n">
        <v>1.06428116851685</v>
      </c>
      <c r="P37" s="704" t="n">
        <v>1.61821417670205</v>
      </c>
      <c r="Q37" s="704" t="n">
        <v>1.61821417670205</v>
      </c>
      <c r="R37" s="704" t="n">
        <v>1.61821417670205</v>
      </c>
      <c r="S37" s="704" t="n">
        <v>1.61821417670205</v>
      </c>
      <c r="T37" s="704" t="n">
        <v>1.61821417670205</v>
      </c>
      <c r="U37" s="704" t="n">
        <v>1.61821417670205</v>
      </c>
      <c r="V37" s="704" t="n">
        <v>1.61821417670205</v>
      </c>
      <c r="W37" s="704" t="n">
        <v>1.61821417670205</v>
      </c>
      <c r="X37" s="704" t="n">
        <v>1.61821417670205</v>
      </c>
      <c r="Y37" s="704" t="n">
        <v>1.61821417670205</v>
      </c>
      <c r="Z37" s="704" t="n">
        <v>1.61821417670205</v>
      </c>
      <c r="AA37" s="704" t="n">
        <v>1.61821417670205</v>
      </c>
      <c r="AB37" s="704" t="n">
        <v>1.66676060200311</v>
      </c>
      <c r="AC37" s="704" t="n">
        <v>1.62509158695304</v>
      </c>
      <c r="AD37" s="704" t="n">
        <v>1.62509158695304</v>
      </c>
      <c r="AE37" s="704" t="n">
        <v>1.62509158695304</v>
      </c>
      <c r="AF37" s="704" t="n">
        <v>1.62509158695304</v>
      </c>
      <c r="AG37" s="704" t="n">
        <v>1.62509158695304</v>
      </c>
      <c r="AH37" s="704" t="n">
        <v>1.62509158695304</v>
      </c>
      <c r="AI37" s="704" t="n">
        <v>1.62509158695304</v>
      </c>
      <c r="AJ37" s="704" t="n">
        <v>1.62509158695304</v>
      </c>
      <c r="AK37" s="704" t="n">
        <v>1.62509158695304</v>
      </c>
      <c r="AL37" s="704" t="n">
        <v>1.62509158695304</v>
      </c>
      <c r="AM37" s="704" t="n">
        <v>1.62509158695304</v>
      </c>
      <c r="AN37" s="704" t="n">
        <v>1.67384433456163</v>
      </c>
      <c r="AO37" s="704" t="n">
        <v>1.63092524906005</v>
      </c>
      <c r="AP37" s="704" t="n">
        <v>1.63092524906005</v>
      </c>
      <c r="AQ37" s="704" t="n">
        <v>1.63092524906005</v>
      </c>
      <c r="AR37" s="704" t="n">
        <v>1.63092524906005</v>
      </c>
      <c r="AS37" s="704" t="n">
        <v>1.63092524906005</v>
      </c>
      <c r="AT37" s="704" t="n">
        <v>1.63092524906005</v>
      </c>
      <c r="AU37" s="704" t="n">
        <v>1.63092524906005</v>
      </c>
      <c r="AV37" s="704" t="n">
        <v>1.63092524906005</v>
      </c>
      <c r="AW37" s="704" t="n">
        <v>1.63092524906005</v>
      </c>
      <c r="AX37" s="704" t="n">
        <v>1.63092524906005</v>
      </c>
      <c r="AY37" s="704" t="n">
        <v>1.63092524906005</v>
      </c>
      <c r="AZ37" s="704" t="n">
        <v>1.67985300653185</v>
      </c>
      <c r="BA37" s="704" t="n">
        <v>1.63564634846522</v>
      </c>
      <c r="BB37" s="704" t="n">
        <v>1.63564634846522</v>
      </c>
      <c r="BC37" s="704" t="n">
        <v>1.63564634846522</v>
      </c>
      <c r="BD37" s="704" t="n">
        <v>1.63564634846522</v>
      </c>
      <c r="BE37" s="704" t="n">
        <v>1.63564634846522</v>
      </c>
      <c r="BF37" s="704" t="n">
        <v>1.63564634846522</v>
      </c>
      <c r="BG37" s="704" t="n">
        <v>1.63564634846522</v>
      </c>
      <c r="BH37" s="704" t="n">
        <v>1.63564634846522</v>
      </c>
      <c r="BI37" s="704" t="n">
        <v>1.63564634846522</v>
      </c>
      <c r="BJ37" s="704" t="n">
        <v>1.63564634846522</v>
      </c>
      <c r="BK37" s="704" t="n">
        <v>1.63564634846522</v>
      </c>
      <c r="BL37" s="704" t="n">
        <v>1.68471573891918</v>
      </c>
      <c r="BM37" s="704" t="n">
        <v>1.59365002330192</v>
      </c>
      <c r="BN37" s="704" t="n">
        <v>1.59365002330192</v>
      </c>
      <c r="BO37" s="704" t="n">
        <v>1.59365002330192</v>
      </c>
      <c r="BP37" s="704" t="n">
        <v>1.59365002330192</v>
      </c>
      <c r="BQ37" s="704" t="n">
        <v>1.59365002330192</v>
      </c>
      <c r="BR37" s="704" t="n">
        <v>1.59365002330192</v>
      </c>
      <c r="BS37" s="704" t="n">
        <v>1.59365002330192</v>
      </c>
      <c r="BT37" s="704" t="n">
        <v>1.59365002330192</v>
      </c>
      <c r="BU37" s="704" t="n">
        <v>1.59365002330192</v>
      </c>
      <c r="BV37" s="704" t="n">
        <v>1.59365002330192</v>
      </c>
      <c r="BW37" s="704" t="n">
        <v>1.59365002330192</v>
      </c>
      <c r="BX37" s="704" t="n">
        <v>1.64145952400098</v>
      </c>
      <c r="BY37" s="704" t="n">
        <v>1.64145952400098</v>
      </c>
      <c r="BZ37" s="704" t="n">
        <v>1.64145952400098</v>
      </c>
      <c r="CA37" s="704" t="n">
        <v>1.64145952400098</v>
      </c>
      <c r="CB37" s="704" t="n">
        <v>1.64145952400098</v>
      </c>
      <c r="CC37" s="704" t="n">
        <v>1.64145952400098</v>
      </c>
      <c r="CD37" s="704" t="n">
        <v>1.64145952400098</v>
      </c>
      <c r="CE37" s="704" t="n">
        <v>1.64145952400098</v>
      </c>
      <c r="CF37" s="704" t="n">
        <v>1.64145952400098</v>
      </c>
      <c r="CG37" s="704" t="n">
        <v>1.64145952400098</v>
      </c>
      <c r="CH37" s="704" t="n">
        <v>1.64145952400098</v>
      </c>
      <c r="CI37" s="704" t="n">
        <v>1.64145952400098</v>
      </c>
      <c r="CJ37" s="704" t="n">
        <v>1.69070330972101</v>
      </c>
      <c r="CK37" s="704" t="n">
        <v>1.69070330972101</v>
      </c>
      <c r="CL37" s="704" t="n">
        <v>1.69070330972101</v>
      </c>
      <c r="CM37" s="704" t="n">
        <v>1.69070330972101</v>
      </c>
      <c r="CN37" s="704" t="n">
        <v>1.69070330972101</v>
      </c>
      <c r="CO37" s="704" t="n">
        <v>1.69070330972101</v>
      </c>
      <c r="CP37" s="704" t="n">
        <v>1.69070330972101</v>
      </c>
      <c r="CQ37" s="704" t="n">
        <v>1.69070330972101</v>
      </c>
      <c r="CR37" s="704" t="n">
        <v>1.69070330972101</v>
      </c>
      <c r="CS37" s="704" t="n">
        <v>1.69070330972101</v>
      </c>
      <c r="CT37" s="704" t="n">
        <v>1.69070330972101</v>
      </c>
      <c r="CU37" s="704" t="n">
        <v>1.69070330972101</v>
      </c>
      <c r="CV37" s="704" t="n">
        <v>1.74142440901264</v>
      </c>
      <c r="CW37" s="704" t="n">
        <v>1.74142440901264</v>
      </c>
      <c r="CX37" s="704" t="n">
        <v>1.74142440901264</v>
      </c>
      <c r="CY37" s="704" t="n">
        <v>1.74142440901264</v>
      </c>
      <c r="CZ37" s="704" t="n">
        <v>1.74142440901264</v>
      </c>
      <c r="DA37" s="704" t="n">
        <v>1.74142440901264</v>
      </c>
      <c r="DB37" s="704" t="n">
        <v>1.74142440901264</v>
      </c>
      <c r="DC37" s="704" t="n">
        <v>1.74142440901264</v>
      </c>
      <c r="DD37" s="704" t="n">
        <v>1.74142440901264</v>
      </c>
      <c r="DE37" s="704" t="n">
        <v>1.74142440901264</v>
      </c>
      <c r="DF37" s="704" t="n">
        <v>1.74142440901264</v>
      </c>
      <c r="DG37" s="704" t="n">
        <v>1.74142440901264</v>
      </c>
      <c r="DH37" s="704" t="n">
        <v>1.74142440901264</v>
      </c>
      <c r="DI37" s="704" t="n">
        <v>1.74142440901264</v>
      </c>
      <c r="DJ37" s="704" t="n">
        <v>1.74142440901264</v>
      </c>
      <c r="DK37" s="704" t="n">
        <v>1.74142440901264</v>
      </c>
      <c r="DL37" s="704" t="n">
        <v>1.74142440901264</v>
      </c>
      <c r="DM37" s="704" t="n">
        <v>1.74142440901264</v>
      </c>
    </row>
    <row r="38" ht="13.5" customHeight="1" s="355">
      <c r="B38" s="703" t="inlineStr">
        <is>
          <t>Acct Payable</t>
        </is>
      </c>
      <c r="D38" s="704" t="n">
        <v>0</v>
      </c>
      <c r="E38" s="704" t="n">
        <v>0</v>
      </c>
      <c r="F38" s="704" t="n">
        <v>0</v>
      </c>
      <c r="G38" s="704" t="n">
        <v>0</v>
      </c>
      <c r="H38" s="704" t="n">
        <v>0</v>
      </c>
      <c r="I38" s="704" t="n">
        <v>0</v>
      </c>
      <c r="J38" s="704" t="n">
        <v>0</v>
      </c>
      <c r="K38" s="704" t="n">
        <v>0</v>
      </c>
      <c r="L38" s="704" t="n">
        <v>0</v>
      </c>
      <c r="M38" s="704" t="n">
        <v>0</v>
      </c>
      <c r="N38" s="704" t="n">
        <v>3.40059356886389</v>
      </c>
      <c r="O38" s="704" t="n">
        <v>25.5044517664791</v>
      </c>
      <c r="P38" s="704" t="n">
        <v>26.2695853194735</v>
      </c>
      <c r="Q38" s="704" t="n">
        <v>26.2695853194735</v>
      </c>
      <c r="R38" s="704" t="n">
        <v>26.2695853194735</v>
      </c>
      <c r="S38" s="704" t="n">
        <v>26.2695853194735</v>
      </c>
      <c r="T38" s="704" t="n">
        <v>24.9224270979621</v>
      </c>
      <c r="U38" s="704" t="n">
        <v>24.9224270979621</v>
      </c>
      <c r="V38" s="704" t="n">
        <v>24.9224270979621</v>
      </c>
      <c r="W38" s="704" t="n">
        <v>24.9224270979621</v>
      </c>
      <c r="X38" s="704" t="n">
        <v>24.9224270979621</v>
      </c>
      <c r="Y38" s="704" t="n">
        <v>24.9224270979621</v>
      </c>
      <c r="Z38" s="704" t="n">
        <v>24.9224270979621</v>
      </c>
      <c r="AA38" s="704" t="n">
        <v>24.9224270979621</v>
      </c>
      <c r="AB38" s="704" t="n">
        <v>25.6700999109009</v>
      </c>
      <c r="AC38" s="704" t="n">
        <v>24.2825269427441</v>
      </c>
      <c r="AD38" s="704" t="n">
        <v>24.2825269427441</v>
      </c>
      <c r="AE38" s="704" t="n">
        <v>24.2825269427441</v>
      </c>
      <c r="AF38" s="704" t="n">
        <v>24.2825269427441</v>
      </c>
      <c r="AG38" s="704" t="n">
        <v>24.2825269427441</v>
      </c>
      <c r="AH38" s="704" t="n">
        <v>24.2825269427441</v>
      </c>
      <c r="AI38" s="704" t="n">
        <v>24.2825269427441</v>
      </c>
      <c r="AJ38" s="704" t="n">
        <v>24.2825269427441</v>
      </c>
      <c r="AK38" s="704" t="n">
        <v>24.2825269427441</v>
      </c>
      <c r="AL38" s="704" t="n">
        <v>24.2825269427441</v>
      </c>
      <c r="AM38" s="704" t="n">
        <v>24.2825269427441</v>
      </c>
      <c r="AN38" s="704" t="n">
        <v>25.0110027510264</v>
      </c>
      <c r="AO38" s="704" t="n">
        <v>23.5818025938249</v>
      </c>
      <c r="AP38" s="704" t="n">
        <v>23.5818025938249</v>
      </c>
      <c r="AQ38" s="704" t="n">
        <v>23.5818025938249</v>
      </c>
      <c r="AR38" s="704" t="n">
        <v>23.5818025938249</v>
      </c>
      <c r="AS38" s="704" t="n">
        <v>23.5818025938249</v>
      </c>
      <c r="AT38" s="704" t="n">
        <v>23.5818025938249</v>
      </c>
      <c r="AU38" s="704" t="n">
        <v>23.5818025938249</v>
      </c>
      <c r="AV38" s="704" t="n">
        <v>23.5818025938249</v>
      </c>
      <c r="AW38" s="704" t="n">
        <v>23.5818025938249</v>
      </c>
      <c r="AX38" s="704" t="n">
        <v>23.5818025938249</v>
      </c>
      <c r="AY38" s="704" t="n">
        <v>23.5818025938249</v>
      </c>
      <c r="AZ38" s="704" t="n">
        <v>24.2892566716397</v>
      </c>
      <c r="BA38" s="704" t="n">
        <v>23.5532185906809</v>
      </c>
      <c r="BB38" s="704" t="n">
        <v>23.5532185906809</v>
      </c>
      <c r="BC38" s="704" t="n">
        <v>23.5532185906809</v>
      </c>
      <c r="BD38" s="704" t="n">
        <v>23.5532185906809</v>
      </c>
      <c r="BE38" s="704" t="n">
        <v>23.5532185906809</v>
      </c>
      <c r="BF38" s="704" t="n">
        <v>23.5532185906809</v>
      </c>
      <c r="BG38" s="704" t="n">
        <v>23.5532185906809</v>
      </c>
      <c r="BH38" s="704" t="n">
        <v>23.5532185906809</v>
      </c>
      <c r="BI38" s="704" t="n">
        <v>23.5532185906809</v>
      </c>
      <c r="BJ38" s="704" t="n">
        <v>23.5532185906809</v>
      </c>
      <c r="BK38" s="704" t="n">
        <v>23.5532185906809</v>
      </c>
      <c r="BL38" s="704" t="n">
        <v>24.2598151484013</v>
      </c>
      <c r="BM38" s="704" t="n">
        <v>23.5016959250138</v>
      </c>
      <c r="BN38" s="704" t="n">
        <v>23.5016959250138</v>
      </c>
      <c r="BO38" s="704" t="n">
        <v>23.5016959250138</v>
      </c>
      <c r="BP38" s="704" t="n">
        <v>23.5016959250138</v>
      </c>
      <c r="BQ38" s="704" t="n">
        <v>23.5016959250138</v>
      </c>
      <c r="BR38" s="704" t="n">
        <v>23.5016959250138</v>
      </c>
      <c r="BS38" s="704" t="n">
        <v>23.5016959250138</v>
      </c>
      <c r="BT38" s="704" t="n">
        <v>23.5016959250138</v>
      </c>
      <c r="BU38" s="704" t="n">
        <v>23.5016959250138</v>
      </c>
      <c r="BV38" s="704" t="n">
        <v>23.5016959250138</v>
      </c>
      <c r="BW38" s="704" t="n">
        <v>23.5016959250138</v>
      </c>
      <c r="BX38" s="704" t="n">
        <v>24.2067468027642</v>
      </c>
      <c r="BY38" s="704" t="n">
        <v>23.425884002675</v>
      </c>
      <c r="BZ38" s="704" t="n">
        <v>23.425884002675</v>
      </c>
      <c r="CA38" s="704" t="n">
        <v>23.425884002675</v>
      </c>
      <c r="CB38" s="704" t="n">
        <v>23.425884002675</v>
      </c>
      <c r="CC38" s="704" t="n">
        <v>23.425884002675</v>
      </c>
      <c r="CD38" s="704" t="n">
        <v>23.425884002675</v>
      </c>
      <c r="CE38" s="704" t="n">
        <v>23.425884002675</v>
      </c>
      <c r="CF38" s="704" t="n">
        <v>23.425884002675</v>
      </c>
      <c r="CG38" s="704" t="n">
        <v>23.425884002675</v>
      </c>
      <c r="CH38" s="704" t="n">
        <v>23.425884002675</v>
      </c>
      <c r="CI38" s="704" t="n">
        <v>23.425884002675</v>
      </c>
      <c r="CJ38" s="704" t="n">
        <v>24.1286605227553</v>
      </c>
      <c r="CK38" s="704" t="n">
        <v>24.1286605227553</v>
      </c>
      <c r="CL38" s="704" t="n">
        <v>24.1286605227553</v>
      </c>
      <c r="CM38" s="704" t="n">
        <v>24.1286605227553</v>
      </c>
      <c r="CN38" s="704" t="n">
        <v>24.1286605227553</v>
      </c>
      <c r="CO38" s="704" t="n">
        <v>24.1286605227553</v>
      </c>
      <c r="CP38" s="704" t="n">
        <v>24.1286605227553</v>
      </c>
      <c r="CQ38" s="704" t="n">
        <v>24.1286605227553</v>
      </c>
      <c r="CR38" s="704" t="n">
        <v>24.1286605227553</v>
      </c>
      <c r="CS38" s="704" t="n">
        <v>24.1286605227553</v>
      </c>
      <c r="CT38" s="704" t="n">
        <v>24.1286605227553</v>
      </c>
      <c r="CU38" s="704" t="n">
        <v>24.1286605227553</v>
      </c>
      <c r="CV38" s="704" t="n">
        <v>24.8525203384379</v>
      </c>
      <c r="CW38" s="704" t="n">
        <v>24.8525203384379</v>
      </c>
      <c r="CX38" s="704" t="n">
        <v>24.8525203384379</v>
      </c>
      <c r="CY38" s="704" t="n">
        <v>24.8525203384379</v>
      </c>
      <c r="CZ38" s="704" t="n">
        <v>24.8525203384379</v>
      </c>
      <c r="DA38" s="704" t="n">
        <v>24.8525203384379</v>
      </c>
      <c r="DB38" s="704" t="n">
        <v>24.8525203384379</v>
      </c>
      <c r="DC38" s="704" t="n">
        <v>24.8525203384379</v>
      </c>
      <c r="DD38" s="704" t="n">
        <v>24.8525203384379</v>
      </c>
      <c r="DE38" s="704" t="n">
        <v>24.8525203384379</v>
      </c>
      <c r="DF38" s="704" t="n">
        <v>24.8525203384379</v>
      </c>
      <c r="DG38" s="704" t="n">
        <v>24.8525203384379</v>
      </c>
      <c r="DH38" s="704" t="n">
        <v>24.8525203384379</v>
      </c>
      <c r="DI38" s="704" t="n">
        <v>24.8525203384379</v>
      </c>
      <c r="DJ38" s="704" t="n">
        <v>24.8525203384379</v>
      </c>
      <c r="DK38" s="704" t="n">
        <v>24.8525203384379</v>
      </c>
      <c r="DL38" s="704" t="n">
        <v>24.8525203384379</v>
      </c>
      <c r="DM38" s="704" t="n">
        <v>24.8525203384379</v>
      </c>
    </row>
    <row r="39" ht="13.5" customHeight="1" s="355">
      <c r="B39" s="703" t="inlineStr">
        <is>
          <t>Cash&amp;Bank</t>
        </is>
      </c>
      <c r="D39" s="704" t="n">
        <v>0</v>
      </c>
      <c r="E39" s="704" t="n">
        <v>0</v>
      </c>
      <c r="F39" s="704" t="n">
        <v>0</v>
      </c>
      <c r="G39" s="704" t="n">
        <v>0</v>
      </c>
      <c r="H39" s="704" t="n">
        <v>0</v>
      </c>
      <c r="I39" s="704" t="n">
        <v>0</v>
      </c>
      <c r="J39" s="704" t="n">
        <v>0</v>
      </c>
      <c r="K39" s="704" t="n">
        <v>0</v>
      </c>
      <c r="L39" s="704" t="n">
        <v>0</v>
      </c>
      <c r="M39" s="704" t="n">
        <v>0</v>
      </c>
      <c r="N39" s="704" t="n">
        <v>0</v>
      </c>
      <c r="O39" s="704" t="n">
        <v>3.19284350555056</v>
      </c>
      <c r="P39" s="704" t="n">
        <v>4.85464253010615</v>
      </c>
      <c r="Q39" s="704" t="n">
        <v>4.85464253010615</v>
      </c>
      <c r="R39" s="704" t="n">
        <v>4.85464253010615</v>
      </c>
      <c r="S39" s="704" t="n">
        <v>4.85464253010615</v>
      </c>
      <c r="T39" s="704" t="n">
        <v>4.85464253010615</v>
      </c>
      <c r="U39" s="704" t="n">
        <v>4.85464253010615</v>
      </c>
      <c r="V39" s="704" t="n">
        <v>4.85464253010615</v>
      </c>
      <c r="W39" s="704" t="n">
        <v>4.85464253010615</v>
      </c>
      <c r="X39" s="704" t="n">
        <v>4.85464253010615</v>
      </c>
      <c r="Y39" s="704" t="n">
        <v>4.85464253010615</v>
      </c>
      <c r="Z39" s="704" t="n">
        <v>4.85464253010615</v>
      </c>
      <c r="AA39" s="704" t="n">
        <v>4.85464253010615</v>
      </c>
      <c r="AB39" s="704" t="n">
        <v>5.00028180600934</v>
      </c>
      <c r="AC39" s="704" t="n">
        <v>4.87527476085911</v>
      </c>
      <c r="AD39" s="704" t="n">
        <v>4.87527476085911</v>
      </c>
      <c r="AE39" s="704" t="n">
        <v>4.87527476085911</v>
      </c>
      <c r="AF39" s="704" t="n">
        <v>4.87527476085911</v>
      </c>
      <c r="AG39" s="704" t="n">
        <v>4.87527476085911</v>
      </c>
      <c r="AH39" s="704" t="n">
        <v>4.87527476085911</v>
      </c>
      <c r="AI39" s="704" t="n">
        <v>4.87527476085911</v>
      </c>
      <c r="AJ39" s="704" t="n">
        <v>4.87527476085911</v>
      </c>
      <c r="AK39" s="704" t="n">
        <v>4.87527476085911</v>
      </c>
      <c r="AL39" s="704" t="n">
        <v>4.87527476085911</v>
      </c>
      <c r="AM39" s="704" t="n">
        <v>4.87527476085911</v>
      </c>
      <c r="AN39" s="704" t="n">
        <v>5.02153300368488</v>
      </c>
      <c r="AO39" s="704" t="n">
        <v>4.89277574718014</v>
      </c>
      <c r="AP39" s="704" t="n">
        <v>4.89277574718014</v>
      </c>
      <c r="AQ39" s="704" t="n">
        <v>4.89277574718014</v>
      </c>
      <c r="AR39" s="704" t="n">
        <v>4.89277574718014</v>
      </c>
      <c r="AS39" s="704" t="n">
        <v>4.89277574718014</v>
      </c>
      <c r="AT39" s="704" t="n">
        <v>4.89277574718014</v>
      </c>
      <c r="AU39" s="704" t="n">
        <v>4.89277574718014</v>
      </c>
      <c r="AV39" s="704" t="n">
        <v>4.89277574718014</v>
      </c>
      <c r="AW39" s="704" t="n">
        <v>4.89277574718014</v>
      </c>
      <c r="AX39" s="704" t="n">
        <v>4.89277574718014</v>
      </c>
      <c r="AY39" s="704" t="n">
        <v>4.89277574718014</v>
      </c>
      <c r="AZ39" s="704" t="n">
        <v>5.03955901959554</v>
      </c>
      <c r="BA39" s="704" t="n">
        <v>4.90693904539566</v>
      </c>
      <c r="BB39" s="704" t="n">
        <v>4.90693904539566</v>
      </c>
      <c r="BC39" s="704" t="n">
        <v>4.90693904539566</v>
      </c>
      <c r="BD39" s="704" t="n">
        <v>4.90693904539566</v>
      </c>
      <c r="BE39" s="704" t="n">
        <v>4.90693904539566</v>
      </c>
      <c r="BF39" s="704" t="n">
        <v>4.90693904539566</v>
      </c>
      <c r="BG39" s="704" t="n">
        <v>4.90693904539566</v>
      </c>
      <c r="BH39" s="704" t="n">
        <v>4.90693904539566</v>
      </c>
      <c r="BI39" s="704" t="n">
        <v>4.90693904539566</v>
      </c>
      <c r="BJ39" s="704" t="n">
        <v>4.90693904539566</v>
      </c>
      <c r="BK39" s="704" t="n">
        <v>4.90693904539566</v>
      </c>
      <c r="BL39" s="704" t="n">
        <v>5.05414721675753</v>
      </c>
      <c r="BM39" s="704" t="n">
        <v>4.78095006990577</v>
      </c>
      <c r="BN39" s="704" t="n">
        <v>4.78095006990577</v>
      </c>
      <c r="BO39" s="704" t="n">
        <v>4.78095006990577</v>
      </c>
      <c r="BP39" s="704" t="n">
        <v>4.78095006990577</v>
      </c>
      <c r="BQ39" s="704" t="n">
        <v>4.78095006990577</v>
      </c>
      <c r="BR39" s="704" t="n">
        <v>4.78095006990577</v>
      </c>
      <c r="BS39" s="704" t="n">
        <v>4.78095006990577</v>
      </c>
      <c r="BT39" s="704" t="n">
        <v>4.78095006990577</v>
      </c>
      <c r="BU39" s="704" t="n">
        <v>4.78095006990577</v>
      </c>
      <c r="BV39" s="704" t="n">
        <v>4.78095006990577</v>
      </c>
      <c r="BW39" s="704" t="n">
        <v>4.78095006990577</v>
      </c>
      <c r="BX39" s="704" t="n">
        <v>4.92437857200294</v>
      </c>
      <c r="BY39" s="704" t="n">
        <v>4.92437857200294</v>
      </c>
      <c r="BZ39" s="704" t="n">
        <v>4.92437857200294</v>
      </c>
      <c r="CA39" s="704" t="n">
        <v>4.92437857200294</v>
      </c>
      <c r="CB39" s="704" t="n">
        <v>4.92437857200294</v>
      </c>
      <c r="CC39" s="704" t="n">
        <v>4.92437857200294</v>
      </c>
      <c r="CD39" s="704" t="n">
        <v>4.92437857200294</v>
      </c>
      <c r="CE39" s="704" t="n">
        <v>4.92437857200294</v>
      </c>
      <c r="CF39" s="704" t="n">
        <v>4.92437857200294</v>
      </c>
      <c r="CG39" s="704" t="n">
        <v>4.92437857200294</v>
      </c>
      <c r="CH39" s="704" t="n">
        <v>4.92437857200294</v>
      </c>
      <c r="CI39" s="704" t="n">
        <v>4.92437857200294</v>
      </c>
      <c r="CJ39" s="704" t="n">
        <v>5.07210992916303</v>
      </c>
      <c r="CK39" s="704" t="n">
        <v>5.07210992916303</v>
      </c>
      <c r="CL39" s="704" t="n">
        <v>5.07210992916303</v>
      </c>
      <c r="CM39" s="704" t="n">
        <v>5.07210992916303</v>
      </c>
      <c r="CN39" s="704" t="n">
        <v>5.07210992916303</v>
      </c>
      <c r="CO39" s="704" t="n">
        <v>5.07210992916303</v>
      </c>
      <c r="CP39" s="704" t="n">
        <v>5.07210992916303</v>
      </c>
      <c r="CQ39" s="704" t="n">
        <v>5.07210992916303</v>
      </c>
      <c r="CR39" s="704" t="n">
        <v>5.07210992916303</v>
      </c>
      <c r="CS39" s="704" t="n">
        <v>5.07210992916303</v>
      </c>
      <c r="CT39" s="704" t="n">
        <v>5.07210992916303</v>
      </c>
      <c r="CU39" s="704" t="n">
        <v>5.07210992916303</v>
      </c>
      <c r="CV39" s="704" t="n">
        <v>5.22427322703792</v>
      </c>
      <c r="CW39" s="704" t="n">
        <v>5.22427322703792</v>
      </c>
      <c r="CX39" s="704" t="n">
        <v>5.22427322703792</v>
      </c>
      <c r="CY39" s="704" t="n">
        <v>5.22427322703792</v>
      </c>
      <c r="CZ39" s="704" t="n">
        <v>5.22427322703792</v>
      </c>
      <c r="DA39" s="704" t="n">
        <v>5.22427322703792</v>
      </c>
      <c r="DB39" s="704" t="n">
        <v>5.22427322703792</v>
      </c>
      <c r="DC39" s="704" t="n">
        <v>5.22427322703792</v>
      </c>
      <c r="DD39" s="704" t="n">
        <v>5.22427322703792</v>
      </c>
      <c r="DE39" s="704" t="n">
        <v>5.22427322703792</v>
      </c>
      <c r="DF39" s="704" t="n">
        <v>5.22427322703792</v>
      </c>
      <c r="DG39" s="704" t="n">
        <v>5.22427322703792</v>
      </c>
      <c r="DH39" s="704" t="n">
        <v>5.22427322703792</v>
      </c>
      <c r="DI39" s="704" t="n">
        <v>5.22427322703792</v>
      </c>
      <c r="DJ39" s="704" t="n">
        <v>5.22427322703792</v>
      </c>
      <c r="DK39" s="704" t="n">
        <v>5.22427322703792</v>
      </c>
      <c r="DL39" s="704" t="n">
        <v>5.22427322703792</v>
      </c>
      <c r="DM39" s="704" t="n">
        <v>5.22427322703792</v>
      </c>
    </row>
    <row r="40" ht="13.5" customHeight="1" s="355">
      <c r="B40" s="703" t="inlineStr">
        <is>
          <t>T&amp;E</t>
        </is>
      </c>
      <c r="D40" s="704" t="n">
        <v>0</v>
      </c>
      <c r="E40" s="704" t="n">
        <v>0</v>
      </c>
      <c r="F40" s="704" t="n">
        <v>0</v>
      </c>
      <c r="G40" s="704" t="n">
        <v>0</v>
      </c>
      <c r="H40" s="704" t="n">
        <v>0</v>
      </c>
      <c r="I40" s="704" t="n">
        <v>0</v>
      </c>
      <c r="J40" s="704" t="n">
        <v>0</v>
      </c>
      <c r="K40" s="704" t="n">
        <v>0</v>
      </c>
      <c r="L40" s="704" t="n">
        <v>0</v>
      </c>
      <c r="M40" s="704" t="n">
        <v>0</v>
      </c>
      <c r="N40" s="704" t="n">
        <v>1.1335311896213</v>
      </c>
      <c r="O40" s="704" t="n">
        <v>8.501483922159711</v>
      </c>
      <c r="P40" s="704" t="n">
        <v>8.75652843982451</v>
      </c>
      <c r="Q40" s="704" t="n">
        <v>8.75652843982451</v>
      </c>
      <c r="R40" s="704" t="n">
        <v>8.75652843982451</v>
      </c>
      <c r="S40" s="704" t="n">
        <v>8.75652843982451</v>
      </c>
      <c r="T40" s="704" t="n">
        <v>8.75652843982451</v>
      </c>
      <c r="U40" s="704" t="n">
        <v>8.75652843982451</v>
      </c>
      <c r="V40" s="704" t="n">
        <v>8.75652843982451</v>
      </c>
      <c r="W40" s="704" t="n">
        <v>8.75652843982451</v>
      </c>
      <c r="X40" s="704" t="n">
        <v>8.75652843982451</v>
      </c>
      <c r="Y40" s="704" t="n">
        <v>8.75652843982451</v>
      </c>
      <c r="Z40" s="704" t="n">
        <v>8.75652843982451</v>
      </c>
      <c r="AA40" s="704" t="n">
        <v>8.75652843982451</v>
      </c>
      <c r="AB40" s="704" t="n">
        <v>9.01922429301924</v>
      </c>
      <c r="AC40" s="704" t="n">
        <v>8.793743685693761</v>
      </c>
      <c r="AD40" s="704" t="n">
        <v>8.793743685693761</v>
      </c>
      <c r="AE40" s="704" t="n">
        <v>8.793743685693761</v>
      </c>
      <c r="AF40" s="704" t="n">
        <v>8.793743685693761</v>
      </c>
      <c r="AG40" s="704" t="n">
        <v>8.793743685693761</v>
      </c>
      <c r="AH40" s="704" t="n">
        <v>8.793743685693761</v>
      </c>
      <c r="AI40" s="704" t="n">
        <v>8.793743685693761</v>
      </c>
      <c r="AJ40" s="704" t="n">
        <v>8.793743685693761</v>
      </c>
      <c r="AK40" s="704" t="n">
        <v>8.793743685693761</v>
      </c>
      <c r="AL40" s="704" t="n">
        <v>8.793743685693761</v>
      </c>
      <c r="AM40" s="704" t="n">
        <v>8.793743685693761</v>
      </c>
      <c r="AN40" s="704" t="n">
        <v>9.05755599626457</v>
      </c>
      <c r="AO40" s="704" t="n">
        <v>8.825310970719331</v>
      </c>
      <c r="AP40" s="704" t="n">
        <v>8.825310970719331</v>
      </c>
      <c r="AQ40" s="704" t="n">
        <v>8.825310970719331</v>
      </c>
      <c r="AR40" s="704" t="n">
        <v>8.825310970719331</v>
      </c>
      <c r="AS40" s="704" t="n">
        <v>8.825310970719331</v>
      </c>
      <c r="AT40" s="704" t="n">
        <v>8.825310970719331</v>
      </c>
      <c r="AU40" s="704" t="n">
        <v>8.825310970719331</v>
      </c>
      <c r="AV40" s="704" t="n">
        <v>8.825310970719331</v>
      </c>
      <c r="AW40" s="704" t="n">
        <v>8.825310970719331</v>
      </c>
      <c r="AX40" s="704" t="n">
        <v>8.825310970719331</v>
      </c>
      <c r="AY40" s="704" t="n">
        <v>8.825310970719331</v>
      </c>
      <c r="AZ40" s="704" t="n">
        <v>9.09007029984091</v>
      </c>
      <c r="BA40" s="704" t="n">
        <v>8.850857923529309</v>
      </c>
      <c r="BB40" s="704" t="n">
        <v>8.850857923529309</v>
      </c>
      <c r="BC40" s="704" t="n">
        <v>8.850857923529309</v>
      </c>
      <c r="BD40" s="704" t="n">
        <v>8.850857923529309</v>
      </c>
      <c r="BE40" s="704" t="n">
        <v>8.850857923529309</v>
      </c>
      <c r="BF40" s="704" t="n">
        <v>8.850857923529309</v>
      </c>
      <c r="BG40" s="704" t="n">
        <v>8.850857923529309</v>
      </c>
      <c r="BH40" s="704" t="n">
        <v>8.850857923529309</v>
      </c>
      <c r="BI40" s="704" t="n">
        <v>8.850857923529309</v>
      </c>
      <c r="BJ40" s="704" t="n">
        <v>8.850857923529309</v>
      </c>
      <c r="BK40" s="704" t="n">
        <v>8.850857923529309</v>
      </c>
      <c r="BL40" s="704" t="n">
        <v>9.11638366123519</v>
      </c>
      <c r="BM40" s="704" t="n">
        <v>8.62360616603328</v>
      </c>
      <c r="BN40" s="704" t="n">
        <v>8.62360616603328</v>
      </c>
      <c r="BO40" s="704" t="n">
        <v>8.62360616603328</v>
      </c>
      <c r="BP40" s="704" t="n">
        <v>8.62360616603328</v>
      </c>
      <c r="BQ40" s="704" t="n">
        <v>8.62360616603328</v>
      </c>
      <c r="BR40" s="704" t="n">
        <v>8.62360616603328</v>
      </c>
      <c r="BS40" s="704" t="n">
        <v>8.62360616603328</v>
      </c>
      <c r="BT40" s="704" t="n">
        <v>8.62360616603328</v>
      </c>
      <c r="BU40" s="704" t="n">
        <v>8.62360616603328</v>
      </c>
      <c r="BV40" s="704" t="n">
        <v>8.62360616603328</v>
      </c>
      <c r="BW40" s="704" t="n">
        <v>8.62360616603328</v>
      </c>
      <c r="BX40" s="704" t="n">
        <v>8.88231435101428</v>
      </c>
      <c r="BY40" s="704" t="n">
        <v>8.88231435101428</v>
      </c>
      <c r="BZ40" s="704" t="n">
        <v>8.88231435101428</v>
      </c>
      <c r="CA40" s="704" t="n">
        <v>8.88231435101428</v>
      </c>
      <c r="CB40" s="704" t="n">
        <v>8.88231435101428</v>
      </c>
      <c r="CC40" s="704" t="n">
        <v>8.88231435101428</v>
      </c>
      <c r="CD40" s="704" t="n">
        <v>8.88231435101428</v>
      </c>
      <c r="CE40" s="704" t="n">
        <v>8.88231435101428</v>
      </c>
      <c r="CF40" s="704" t="n">
        <v>8.88231435101428</v>
      </c>
      <c r="CG40" s="704" t="n">
        <v>8.88231435101428</v>
      </c>
      <c r="CH40" s="704" t="n">
        <v>8.88231435101428</v>
      </c>
      <c r="CI40" s="704" t="n">
        <v>8.88231435101428</v>
      </c>
      <c r="CJ40" s="704" t="n">
        <v>9.14878378154471</v>
      </c>
      <c r="CK40" s="704" t="n">
        <v>9.14878378154471</v>
      </c>
      <c r="CL40" s="704" t="n">
        <v>9.14878378154471</v>
      </c>
      <c r="CM40" s="704" t="n">
        <v>9.14878378154471</v>
      </c>
      <c r="CN40" s="704" t="n">
        <v>9.14878378154471</v>
      </c>
      <c r="CO40" s="704" t="n">
        <v>9.14878378154471</v>
      </c>
      <c r="CP40" s="704" t="n">
        <v>9.14878378154471</v>
      </c>
      <c r="CQ40" s="704" t="n">
        <v>9.14878378154471</v>
      </c>
      <c r="CR40" s="704" t="n">
        <v>9.14878378154471</v>
      </c>
      <c r="CS40" s="704" t="n">
        <v>9.14878378154471</v>
      </c>
      <c r="CT40" s="704" t="n">
        <v>9.14878378154471</v>
      </c>
      <c r="CU40" s="704" t="n">
        <v>9.14878378154471</v>
      </c>
      <c r="CV40" s="704" t="n">
        <v>9.42324729499105</v>
      </c>
      <c r="CW40" s="704" t="n">
        <v>9.42324729499105</v>
      </c>
      <c r="CX40" s="704" t="n">
        <v>9.42324729499105</v>
      </c>
      <c r="CY40" s="704" t="n">
        <v>9.42324729499105</v>
      </c>
      <c r="CZ40" s="704" t="n">
        <v>9.42324729499105</v>
      </c>
      <c r="DA40" s="704" t="n">
        <v>9.42324729499105</v>
      </c>
      <c r="DB40" s="704" t="n">
        <v>9.42324729499105</v>
      </c>
      <c r="DC40" s="704" t="n">
        <v>9.42324729499105</v>
      </c>
      <c r="DD40" s="704" t="n">
        <v>9.42324729499105</v>
      </c>
      <c r="DE40" s="704" t="n">
        <v>9.42324729499105</v>
      </c>
      <c r="DF40" s="704" t="n">
        <v>9.42324729499105</v>
      </c>
      <c r="DG40" s="704" t="n">
        <v>9.42324729499105</v>
      </c>
      <c r="DH40" s="704" t="n">
        <v>9.42324729499105</v>
      </c>
      <c r="DI40" s="704" t="n">
        <v>9.42324729499105</v>
      </c>
      <c r="DJ40" s="704" t="n">
        <v>9.42324729499105</v>
      </c>
      <c r="DK40" s="704" t="n">
        <v>9.42324729499105</v>
      </c>
      <c r="DL40" s="704" t="n">
        <v>9.42324729499105</v>
      </c>
      <c r="DM40" s="704" t="n">
        <v>9.42324729499105</v>
      </c>
    </row>
    <row r="41" ht="13.5" customHeight="1" s="355">
      <c r="B41" s="703" t="inlineStr">
        <is>
          <t>Order to Cash</t>
        </is>
      </c>
      <c r="D41" s="704" t="n">
        <v>0</v>
      </c>
      <c r="E41" s="704" t="n">
        <v>0</v>
      </c>
      <c r="F41" s="704" t="n">
        <v>0</v>
      </c>
      <c r="G41" s="704" t="n">
        <v>0</v>
      </c>
      <c r="H41" s="704" t="n">
        <v>0</v>
      </c>
      <c r="I41" s="704" t="n">
        <v>0</v>
      </c>
      <c r="J41" s="704" t="n">
        <v>0</v>
      </c>
      <c r="K41" s="704" t="n">
        <v>0</v>
      </c>
      <c r="L41" s="704" t="n">
        <v>0</v>
      </c>
      <c r="M41" s="704" t="n">
        <v>0</v>
      </c>
      <c r="N41" s="704" t="n">
        <v>0.765988301893872</v>
      </c>
      <c r="O41" s="704" t="n">
        <v>5.74491226420404</v>
      </c>
      <c r="P41" s="704" t="n">
        <v>5.91725963213016</v>
      </c>
      <c r="Q41" s="704" t="n">
        <v>5.91725963213016</v>
      </c>
      <c r="R41" s="704" t="n">
        <v>5.91725963213016</v>
      </c>
      <c r="S41" s="704" t="n">
        <v>5.91725963213016</v>
      </c>
      <c r="T41" s="704" t="n">
        <v>5.91725963213016</v>
      </c>
      <c r="U41" s="704" t="n">
        <v>5.91725963213016</v>
      </c>
      <c r="V41" s="704" t="n">
        <v>5.91725963213016</v>
      </c>
      <c r="W41" s="704" t="n">
        <v>5.91725963213016</v>
      </c>
      <c r="X41" s="704" t="n">
        <v>5.91725963213016</v>
      </c>
      <c r="Y41" s="704" t="n">
        <v>5.91725963213016</v>
      </c>
      <c r="Z41" s="704" t="n">
        <v>5.91725963213016</v>
      </c>
      <c r="AA41" s="704" t="n">
        <v>5.91725963213016</v>
      </c>
      <c r="AB41" s="704" t="n">
        <v>6.09477742109406</v>
      </c>
      <c r="AC41" s="704" t="n">
        <v>5.94240798556671</v>
      </c>
      <c r="AD41" s="704" t="n">
        <v>5.94240798556671</v>
      </c>
      <c r="AE41" s="704" t="n">
        <v>5.94240798556671</v>
      </c>
      <c r="AF41" s="704" t="n">
        <v>5.94240798556671</v>
      </c>
      <c r="AG41" s="704" t="n">
        <v>5.94240798556671</v>
      </c>
      <c r="AH41" s="704" t="n">
        <v>5.94240798556671</v>
      </c>
      <c r="AI41" s="704" t="n">
        <v>5.94240798556671</v>
      </c>
      <c r="AJ41" s="704" t="n">
        <v>5.94240798556671</v>
      </c>
      <c r="AK41" s="704" t="n">
        <v>5.94240798556671</v>
      </c>
      <c r="AL41" s="704" t="n">
        <v>5.94240798556671</v>
      </c>
      <c r="AM41" s="704" t="n">
        <v>5.94240798556671</v>
      </c>
      <c r="AN41" s="704" t="n">
        <v>6.12068022513371</v>
      </c>
      <c r="AO41" s="704" t="n">
        <v>5.96373970654054</v>
      </c>
      <c r="AP41" s="704" t="n">
        <v>5.96373970654054</v>
      </c>
      <c r="AQ41" s="704" t="n">
        <v>5.96373970654054</v>
      </c>
      <c r="AR41" s="704" t="n">
        <v>5.96373970654054</v>
      </c>
      <c r="AS41" s="704" t="n">
        <v>5.96373970654054</v>
      </c>
      <c r="AT41" s="704" t="n">
        <v>5.96373970654054</v>
      </c>
      <c r="AU41" s="704" t="n">
        <v>5.96373970654054</v>
      </c>
      <c r="AV41" s="704" t="n">
        <v>5.96373970654054</v>
      </c>
      <c r="AW41" s="704" t="n">
        <v>5.96373970654054</v>
      </c>
      <c r="AX41" s="704" t="n">
        <v>5.96373970654054</v>
      </c>
      <c r="AY41" s="704" t="n">
        <v>5.96373970654054</v>
      </c>
      <c r="AZ41" s="704" t="n">
        <v>6.14265189773676</v>
      </c>
      <c r="BA41" s="704" t="n">
        <v>5.98100316358579</v>
      </c>
      <c r="BB41" s="704" t="n">
        <v>5.98100316358579</v>
      </c>
      <c r="BC41" s="704" t="n">
        <v>5.98100316358579</v>
      </c>
      <c r="BD41" s="704" t="n">
        <v>5.98100316358579</v>
      </c>
      <c r="BE41" s="704" t="n">
        <v>5.98100316358579</v>
      </c>
      <c r="BF41" s="704" t="n">
        <v>5.98100316358579</v>
      </c>
      <c r="BG41" s="704" t="n">
        <v>5.98100316358579</v>
      </c>
      <c r="BH41" s="704" t="n">
        <v>5.98100316358579</v>
      </c>
      <c r="BI41" s="704" t="n">
        <v>5.98100316358579</v>
      </c>
      <c r="BJ41" s="704" t="n">
        <v>5.98100316358579</v>
      </c>
      <c r="BK41" s="704" t="n">
        <v>5.98100316358579</v>
      </c>
      <c r="BL41" s="704" t="n">
        <v>6.16043325849336</v>
      </c>
      <c r="BM41" s="704" t="n">
        <v>5.82743686614237</v>
      </c>
      <c r="BN41" s="704" t="n">
        <v>5.82743686614237</v>
      </c>
      <c r="BO41" s="704" t="n">
        <v>5.82743686614237</v>
      </c>
      <c r="BP41" s="704" t="n">
        <v>5.82743686614237</v>
      </c>
      <c r="BQ41" s="704" t="n">
        <v>5.82743686614237</v>
      </c>
      <c r="BR41" s="704" t="n">
        <v>5.82743686614237</v>
      </c>
      <c r="BS41" s="704" t="n">
        <v>5.82743686614237</v>
      </c>
      <c r="BT41" s="704" t="n">
        <v>5.82743686614237</v>
      </c>
      <c r="BU41" s="704" t="n">
        <v>5.82743686614237</v>
      </c>
      <c r="BV41" s="704" t="n">
        <v>5.82743686614237</v>
      </c>
      <c r="BW41" s="704" t="n">
        <v>5.82743686614237</v>
      </c>
      <c r="BX41" s="704" t="n">
        <v>6.00225997212664</v>
      </c>
      <c r="BY41" s="704" t="n">
        <v>6.00225997212664</v>
      </c>
      <c r="BZ41" s="704" t="n">
        <v>6.00225997212664</v>
      </c>
      <c r="CA41" s="704" t="n">
        <v>6.00225997212664</v>
      </c>
      <c r="CB41" s="704" t="n">
        <v>6.00225997212664</v>
      </c>
      <c r="CC41" s="704" t="n">
        <v>6.00225997212664</v>
      </c>
      <c r="CD41" s="704" t="n">
        <v>6.00225997212664</v>
      </c>
      <c r="CE41" s="704" t="n">
        <v>6.00225997212664</v>
      </c>
      <c r="CF41" s="704" t="n">
        <v>6.00225997212664</v>
      </c>
      <c r="CG41" s="704" t="n">
        <v>6.00225997212664</v>
      </c>
      <c r="CH41" s="704" t="n">
        <v>6.00225997212664</v>
      </c>
      <c r="CI41" s="704" t="n">
        <v>6.00225997212664</v>
      </c>
      <c r="CJ41" s="704" t="n">
        <v>6.18232777129044</v>
      </c>
      <c r="CK41" s="704" t="n">
        <v>6.18232777129044</v>
      </c>
      <c r="CL41" s="704" t="n">
        <v>6.18232777129044</v>
      </c>
      <c r="CM41" s="704" t="n">
        <v>6.18232777129044</v>
      </c>
      <c r="CN41" s="704" t="n">
        <v>6.18232777129044</v>
      </c>
      <c r="CO41" s="704" t="n">
        <v>6.18232777129044</v>
      </c>
      <c r="CP41" s="704" t="n">
        <v>6.18232777129044</v>
      </c>
      <c r="CQ41" s="704" t="n">
        <v>6.18232777129044</v>
      </c>
      <c r="CR41" s="704" t="n">
        <v>6.18232777129044</v>
      </c>
      <c r="CS41" s="704" t="n">
        <v>6.18232777129044</v>
      </c>
      <c r="CT41" s="704" t="n">
        <v>6.18232777129044</v>
      </c>
      <c r="CU41" s="704" t="n">
        <v>6.18232777129044</v>
      </c>
      <c r="CV41" s="704" t="n">
        <v>6.36779760442915</v>
      </c>
      <c r="CW41" s="704" t="n">
        <v>6.36779760442915</v>
      </c>
      <c r="CX41" s="704" t="n">
        <v>6.36779760442915</v>
      </c>
      <c r="CY41" s="704" t="n">
        <v>6.36779760442915</v>
      </c>
      <c r="CZ41" s="704" t="n">
        <v>6.36779760442915</v>
      </c>
      <c r="DA41" s="704" t="n">
        <v>6.36779760442915</v>
      </c>
      <c r="DB41" s="704" t="n">
        <v>6.36779760442915</v>
      </c>
      <c r="DC41" s="704" t="n">
        <v>6.36779760442915</v>
      </c>
      <c r="DD41" s="704" t="n">
        <v>6.36779760442915</v>
      </c>
      <c r="DE41" s="704" t="n">
        <v>6.36779760442915</v>
      </c>
      <c r="DF41" s="704" t="n">
        <v>6.36779760442915</v>
      </c>
      <c r="DG41" s="704" t="n">
        <v>6.36779760442915</v>
      </c>
      <c r="DH41" s="704" t="n">
        <v>6.36779760442915</v>
      </c>
      <c r="DI41" s="704" t="n">
        <v>6.36779760442915</v>
      </c>
      <c r="DJ41" s="704" t="n">
        <v>6.36779760442915</v>
      </c>
      <c r="DK41" s="704" t="n">
        <v>6.36779760442915</v>
      </c>
      <c r="DL41" s="704" t="n">
        <v>6.36779760442915</v>
      </c>
      <c r="DM41" s="704" t="n">
        <v>6.36779760442915</v>
      </c>
    </row>
    <row r="42" ht="13.5" customHeight="1" s="355">
      <c r="B42" s="703" t="inlineStr">
        <is>
          <t>Req to Pay</t>
        </is>
      </c>
      <c r="D42" s="704" t="n">
        <v>0</v>
      </c>
      <c r="E42" s="704" t="n">
        <v>0</v>
      </c>
      <c r="F42" s="704" t="n">
        <v>0</v>
      </c>
      <c r="G42" s="704" t="n">
        <v>0</v>
      </c>
      <c r="H42" s="704" t="n">
        <v>0</v>
      </c>
      <c r="I42" s="704" t="n">
        <v>0</v>
      </c>
      <c r="J42" s="704" t="n">
        <v>0</v>
      </c>
      <c r="K42" s="704" t="n">
        <v>0</v>
      </c>
      <c r="L42" s="704" t="n">
        <v>0</v>
      </c>
      <c r="M42" s="704" t="n">
        <v>0</v>
      </c>
      <c r="N42" s="704" t="n">
        <v>1.88982860105243</v>
      </c>
      <c r="O42" s="704" t="n">
        <v>3.14971433508738</v>
      </c>
      <c r="P42" s="704" t="n">
        <v>3.24420576514001</v>
      </c>
      <c r="Q42" s="704" t="n">
        <v>3.24420576514001</v>
      </c>
      <c r="R42" s="704" t="n">
        <v>3.24420576514001</v>
      </c>
      <c r="S42" s="704" t="n">
        <v>3.24420576514001</v>
      </c>
      <c r="T42" s="704" t="n">
        <v>3.13233660082483</v>
      </c>
      <c r="U42" s="704" t="n">
        <v>3.13233660082483</v>
      </c>
      <c r="V42" s="704" t="n">
        <v>3.13233660082483</v>
      </c>
      <c r="W42" s="704" t="n">
        <v>3.13233660082483</v>
      </c>
      <c r="X42" s="704" t="n">
        <v>3.13233660082483</v>
      </c>
      <c r="Y42" s="704" t="n">
        <v>3.13233660082483</v>
      </c>
      <c r="Z42" s="704" t="n">
        <v>3.13233660082483</v>
      </c>
      <c r="AA42" s="704" t="n">
        <v>3.13233660082483</v>
      </c>
      <c r="AB42" s="704" t="n">
        <v>3.22630669884958</v>
      </c>
      <c r="AC42" s="704" t="n">
        <v>3.11108145960495</v>
      </c>
      <c r="AD42" s="704" t="n">
        <v>3.11108145960495</v>
      </c>
      <c r="AE42" s="704" t="n">
        <v>3.11108145960495</v>
      </c>
      <c r="AF42" s="704" t="n">
        <v>3.11108145960495</v>
      </c>
      <c r="AG42" s="704" t="n">
        <v>3.11108145960495</v>
      </c>
      <c r="AH42" s="704" t="n">
        <v>3.11108145960495</v>
      </c>
      <c r="AI42" s="704" t="n">
        <v>3.11108145960495</v>
      </c>
      <c r="AJ42" s="704" t="n">
        <v>3.11108145960495</v>
      </c>
      <c r="AK42" s="704" t="n">
        <v>3.11108145960495</v>
      </c>
      <c r="AL42" s="704" t="n">
        <v>3.11108145960495</v>
      </c>
      <c r="AM42" s="704" t="n">
        <v>3.11108145960495</v>
      </c>
      <c r="AN42" s="704" t="n">
        <v>3.2044139033931</v>
      </c>
      <c r="AO42" s="704" t="n">
        <v>3.08573190697113</v>
      </c>
      <c r="AP42" s="704" t="n">
        <v>3.08573190697113</v>
      </c>
      <c r="AQ42" s="704" t="n">
        <v>3.08573190697113</v>
      </c>
      <c r="AR42" s="704" t="n">
        <v>3.08573190697113</v>
      </c>
      <c r="AS42" s="704" t="n">
        <v>3.08573190697113</v>
      </c>
      <c r="AT42" s="704" t="n">
        <v>3.08573190697113</v>
      </c>
      <c r="AU42" s="704" t="n">
        <v>3.08573190697113</v>
      </c>
      <c r="AV42" s="704" t="n">
        <v>3.08573190697113</v>
      </c>
      <c r="AW42" s="704" t="n">
        <v>3.08573190697113</v>
      </c>
      <c r="AX42" s="704" t="n">
        <v>3.08573190697113</v>
      </c>
      <c r="AY42" s="704" t="n">
        <v>3.08573190697113</v>
      </c>
      <c r="AZ42" s="704" t="n">
        <v>3.17830386418027</v>
      </c>
      <c r="BA42" s="704" t="n">
        <v>3.05606140786564</v>
      </c>
      <c r="BB42" s="704" t="n">
        <v>3.05606140786564</v>
      </c>
      <c r="BC42" s="704" t="n">
        <v>3.05606140786564</v>
      </c>
      <c r="BD42" s="704" t="n">
        <v>3.05606140786564</v>
      </c>
      <c r="BE42" s="704" t="n">
        <v>3.05606140786564</v>
      </c>
      <c r="BF42" s="704" t="n">
        <v>3.05606140786564</v>
      </c>
      <c r="BG42" s="704" t="n">
        <v>3.05606140786564</v>
      </c>
      <c r="BH42" s="704" t="n">
        <v>3.05606140786564</v>
      </c>
      <c r="BI42" s="704" t="n">
        <v>3.05606140786564</v>
      </c>
      <c r="BJ42" s="704" t="n">
        <v>3.05606140786564</v>
      </c>
      <c r="BK42" s="704" t="n">
        <v>3.05606140786564</v>
      </c>
      <c r="BL42" s="704" t="n">
        <v>3.14774325010161</v>
      </c>
      <c r="BM42" s="704" t="n">
        <v>3.02183352009755</v>
      </c>
      <c r="BN42" s="704" t="n">
        <v>3.02183352009755</v>
      </c>
      <c r="BO42" s="704" t="n">
        <v>3.02183352009755</v>
      </c>
      <c r="BP42" s="704" t="n">
        <v>3.02183352009755</v>
      </c>
      <c r="BQ42" s="704" t="n">
        <v>3.02183352009755</v>
      </c>
      <c r="BR42" s="704" t="n">
        <v>3.02183352009755</v>
      </c>
      <c r="BS42" s="704" t="n">
        <v>3.02183352009755</v>
      </c>
      <c r="BT42" s="704" t="n">
        <v>3.02183352009755</v>
      </c>
      <c r="BU42" s="704" t="n">
        <v>3.02183352009755</v>
      </c>
      <c r="BV42" s="704" t="n">
        <v>3.02183352009755</v>
      </c>
      <c r="BW42" s="704" t="n">
        <v>3.02183352009755</v>
      </c>
      <c r="BX42" s="704" t="n">
        <v>3.11248852570047</v>
      </c>
      <c r="BY42" s="704" t="n">
        <v>3.11248852570047</v>
      </c>
      <c r="BZ42" s="704" t="n">
        <v>3.11248852570047</v>
      </c>
      <c r="CA42" s="704" t="n">
        <v>3.11248852570047</v>
      </c>
      <c r="CB42" s="704" t="n">
        <v>3.11248852570047</v>
      </c>
      <c r="CC42" s="704" t="n">
        <v>3.11248852570047</v>
      </c>
      <c r="CD42" s="704" t="n">
        <v>3.11248852570047</v>
      </c>
      <c r="CE42" s="704" t="n">
        <v>3.11248852570047</v>
      </c>
      <c r="CF42" s="704" t="n">
        <v>3.11248852570047</v>
      </c>
      <c r="CG42" s="704" t="n">
        <v>3.11248852570047</v>
      </c>
      <c r="CH42" s="704" t="n">
        <v>3.11248852570047</v>
      </c>
      <c r="CI42" s="704" t="n">
        <v>3.11248852570047</v>
      </c>
      <c r="CJ42" s="704" t="n">
        <v>3.20586318147149</v>
      </c>
      <c r="CK42" s="704" t="n">
        <v>3.20586318147149</v>
      </c>
      <c r="CL42" s="704" t="n">
        <v>3.20586318147149</v>
      </c>
      <c r="CM42" s="704" t="n">
        <v>3.20586318147149</v>
      </c>
      <c r="CN42" s="704" t="n">
        <v>3.20586318147149</v>
      </c>
      <c r="CO42" s="704" t="n">
        <v>3.20586318147149</v>
      </c>
      <c r="CP42" s="704" t="n">
        <v>3.20586318147149</v>
      </c>
      <c r="CQ42" s="704" t="n">
        <v>3.20586318147149</v>
      </c>
      <c r="CR42" s="704" t="n">
        <v>3.20586318147149</v>
      </c>
      <c r="CS42" s="704" t="n">
        <v>3.20586318147149</v>
      </c>
      <c r="CT42" s="704" t="n">
        <v>3.20586318147149</v>
      </c>
      <c r="CU42" s="704" t="n">
        <v>3.20586318147149</v>
      </c>
      <c r="CV42" s="704" t="n">
        <v>3.30203907691563</v>
      </c>
      <c r="CW42" s="704" t="n">
        <v>3.30203907691563</v>
      </c>
      <c r="CX42" s="704" t="n">
        <v>3.30203907691563</v>
      </c>
      <c r="CY42" s="704" t="n">
        <v>3.30203907691563</v>
      </c>
      <c r="CZ42" s="704" t="n">
        <v>3.30203907691563</v>
      </c>
      <c r="DA42" s="704" t="n">
        <v>3.30203907691563</v>
      </c>
      <c r="DB42" s="704" t="n">
        <v>3.30203907691563</v>
      </c>
      <c r="DC42" s="704" t="n">
        <v>3.30203907691563</v>
      </c>
      <c r="DD42" s="704" t="n">
        <v>3.30203907691563</v>
      </c>
      <c r="DE42" s="704" t="n">
        <v>3.30203907691563</v>
      </c>
      <c r="DF42" s="704" t="n">
        <v>3.30203907691563</v>
      </c>
      <c r="DG42" s="704" t="n">
        <v>3.30203907691563</v>
      </c>
      <c r="DH42" s="704" t="n">
        <v>3.30203907691563</v>
      </c>
      <c r="DI42" s="704" t="n">
        <v>3.30203907691563</v>
      </c>
      <c r="DJ42" s="704" t="n">
        <v>3.30203907691563</v>
      </c>
      <c r="DK42" s="704" t="n">
        <v>3.30203907691563</v>
      </c>
      <c r="DL42" s="704" t="n">
        <v>3.30203907691563</v>
      </c>
      <c r="DM42" s="704" t="n">
        <v>3.30203907691563</v>
      </c>
    </row>
    <row r="43" ht="13.5" customHeight="1" s="355">
      <c r="B43" s="703" t="inlineStr">
        <is>
          <t>Team Leader</t>
        </is>
      </c>
      <c r="D43" s="704" t="n">
        <v>0</v>
      </c>
      <c r="E43" s="704" t="n">
        <v>0</v>
      </c>
      <c r="F43" s="704" t="n">
        <v>0</v>
      </c>
      <c r="G43" s="704" t="n">
        <v>0</v>
      </c>
      <c r="H43" s="704" t="n">
        <v>0</v>
      </c>
      <c r="I43" s="704" t="n">
        <v>0</v>
      </c>
      <c r="J43" s="704" t="n">
        <v>0</v>
      </c>
      <c r="K43" s="704" t="n">
        <v>0</v>
      </c>
      <c r="L43" s="704" t="n">
        <v>0</v>
      </c>
      <c r="M43" s="704" t="n">
        <v>0</v>
      </c>
      <c r="N43" s="704" t="n">
        <v>0</v>
      </c>
      <c r="O43" s="704" t="n">
        <v>0</v>
      </c>
      <c r="P43" s="704" t="n">
        <v>0</v>
      </c>
      <c r="Q43" s="704" t="n">
        <v>0</v>
      </c>
      <c r="R43" s="704" t="n">
        <v>0</v>
      </c>
      <c r="S43" s="704" t="n">
        <v>0</v>
      </c>
      <c r="T43" s="704" t="n">
        <v>0</v>
      </c>
      <c r="U43" s="704" t="n">
        <v>0</v>
      </c>
      <c r="V43" s="704" t="n">
        <v>0</v>
      </c>
      <c r="W43" s="704" t="n">
        <v>0</v>
      </c>
      <c r="X43" s="704" t="n">
        <v>0</v>
      </c>
      <c r="Y43" s="704" t="n">
        <v>0</v>
      </c>
      <c r="Z43" s="704" t="n">
        <v>0</v>
      </c>
      <c r="AA43" s="704" t="n">
        <v>0</v>
      </c>
      <c r="AB43" s="704" t="n">
        <v>0</v>
      </c>
      <c r="AC43" s="704" t="n">
        <v>0</v>
      </c>
      <c r="AD43" s="704" t="n">
        <v>0</v>
      </c>
      <c r="AE43" s="704" t="n">
        <v>0</v>
      </c>
      <c r="AF43" s="704" t="n">
        <v>0</v>
      </c>
      <c r="AG43" s="704" t="n">
        <v>0</v>
      </c>
      <c r="AH43" s="704" t="n">
        <v>0</v>
      </c>
      <c r="AI43" s="704" t="n">
        <v>0</v>
      </c>
      <c r="AJ43" s="704" t="n">
        <v>0</v>
      </c>
      <c r="AK43" s="704" t="n">
        <v>0</v>
      </c>
      <c r="AL43" s="704" t="n">
        <v>0</v>
      </c>
      <c r="AM43" s="704" t="n">
        <v>0</v>
      </c>
      <c r="AN43" s="704" t="n">
        <v>0</v>
      </c>
      <c r="AO43" s="704" t="n">
        <v>0</v>
      </c>
      <c r="AP43" s="704" t="n">
        <v>0</v>
      </c>
      <c r="AQ43" s="704" t="n">
        <v>0</v>
      </c>
      <c r="AR43" s="704" t="n">
        <v>0</v>
      </c>
      <c r="AS43" s="704" t="n">
        <v>0</v>
      </c>
      <c r="AT43" s="704" t="n">
        <v>0</v>
      </c>
      <c r="AU43" s="704" t="n">
        <v>0</v>
      </c>
      <c r="AV43" s="704" t="n">
        <v>0</v>
      </c>
      <c r="AW43" s="704" t="n">
        <v>0</v>
      </c>
      <c r="AX43" s="704" t="n">
        <v>0</v>
      </c>
      <c r="AY43" s="704" t="n">
        <v>0</v>
      </c>
      <c r="AZ43" s="704" t="n">
        <v>0</v>
      </c>
      <c r="BA43" s="704" t="n">
        <v>0</v>
      </c>
      <c r="BB43" s="704" t="n">
        <v>0</v>
      </c>
      <c r="BC43" s="704" t="n">
        <v>0</v>
      </c>
      <c r="BD43" s="704" t="n">
        <v>0</v>
      </c>
      <c r="BE43" s="704" t="n">
        <v>0</v>
      </c>
      <c r="BF43" s="704" t="n">
        <v>0</v>
      </c>
      <c r="BG43" s="704" t="n">
        <v>0</v>
      </c>
      <c r="BH43" s="704" t="n">
        <v>0</v>
      </c>
      <c r="BI43" s="704" t="n">
        <v>0</v>
      </c>
      <c r="BJ43" s="704" t="n">
        <v>0</v>
      </c>
      <c r="BK43" s="704" t="n">
        <v>0</v>
      </c>
      <c r="BL43" s="704" t="n">
        <v>0</v>
      </c>
      <c r="BM43" s="704" t="n">
        <v>0</v>
      </c>
      <c r="BN43" s="704" t="n">
        <v>0</v>
      </c>
      <c r="BO43" s="704" t="n">
        <v>0</v>
      </c>
      <c r="BP43" s="704" t="n">
        <v>0</v>
      </c>
      <c r="BQ43" s="704" t="n">
        <v>0</v>
      </c>
      <c r="BR43" s="704" t="n">
        <v>0</v>
      </c>
      <c r="BS43" s="704" t="n">
        <v>0</v>
      </c>
      <c r="BT43" s="704" t="n">
        <v>0</v>
      </c>
      <c r="BU43" s="704" t="n">
        <v>0</v>
      </c>
      <c r="BV43" s="704" t="n">
        <v>0</v>
      </c>
      <c r="BW43" s="704" t="n">
        <v>0</v>
      </c>
      <c r="BX43" s="704" t="n">
        <v>0</v>
      </c>
      <c r="BY43" s="704" t="n">
        <v>0</v>
      </c>
      <c r="BZ43" s="704" t="n">
        <v>0</v>
      </c>
      <c r="CA43" s="704" t="n">
        <v>0</v>
      </c>
      <c r="CB43" s="704" t="n">
        <v>0</v>
      </c>
      <c r="CC43" s="704" t="n">
        <v>0</v>
      </c>
      <c r="CD43" s="704" t="n">
        <v>0</v>
      </c>
      <c r="CE43" s="704" t="n">
        <v>0</v>
      </c>
      <c r="CF43" s="704" t="n">
        <v>0</v>
      </c>
      <c r="CG43" s="704" t="n">
        <v>0</v>
      </c>
      <c r="CH43" s="704" t="n">
        <v>0</v>
      </c>
      <c r="CI43" s="704" t="n">
        <v>0</v>
      </c>
      <c r="CJ43" s="704" t="n">
        <v>0</v>
      </c>
      <c r="CK43" s="704" t="n">
        <v>0</v>
      </c>
      <c r="CL43" s="704" t="n">
        <v>0</v>
      </c>
      <c r="CM43" s="704" t="n">
        <v>0</v>
      </c>
      <c r="CN43" s="704" t="n">
        <v>0</v>
      </c>
      <c r="CO43" s="704" t="n">
        <v>0</v>
      </c>
      <c r="CP43" s="704" t="n">
        <v>0</v>
      </c>
      <c r="CQ43" s="704" t="n">
        <v>0</v>
      </c>
      <c r="CR43" s="704" t="n">
        <v>0</v>
      </c>
      <c r="CS43" s="704" t="n">
        <v>0</v>
      </c>
      <c r="CT43" s="704" t="n">
        <v>0</v>
      </c>
      <c r="CU43" s="704" t="n">
        <v>0</v>
      </c>
      <c r="CV43" s="704" t="n">
        <v>0</v>
      </c>
      <c r="CW43" s="704" t="n">
        <v>0</v>
      </c>
      <c r="CX43" s="704" t="n">
        <v>0</v>
      </c>
      <c r="CY43" s="704" t="n">
        <v>0</v>
      </c>
      <c r="CZ43" s="704" t="n">
        <v>0</v>
      </c>
      <c r="DA43" s="704" t="n">
        <v>0</v>
      </c>
      <c r="DB43" s="704" t="n">
        <v>0</v>
      </c>
      <c r="DC43" s="704" t="n">
        <v>0</v>
      </c>
      <c r="DD43" s="704" t="n">
        <v>0</v>
      </c>
      <c r="DE43" s="704" t="n">
        <v>0</v>
      </c>
      <c r="DF43" s="704" t="n">
        <v>0</v>
      </c>
      <c r="DG43" s="704" t="n">
        <v>0</v>
      </c>
      <c r="DH43" s="704" t="n">
        <v>0</v>
      </c>
      <c r="DI43" s="704" t="n">
        <v>0</v>
      </c>
      <c r="DJ43" s="704" t="n">
        <v>0</v>
      </c>
      <c r="DK43" s="704" t="n">
        <v>0</v>
      </c>
      <c r="DL43" s="704" t="n">
        <v>0</v>
      </c>
      <c r="DM43" s="704" t="n">
        <v>0</v>
      </c>
    </row>
    <row r="44" ht="13.5" customHeight="1" s="355">
      <c r="B44" s="703" t="inlineStr">
        <is>
          <t>SLA Metric Reporting</t>
        </is>
      </c>
      <c r="D44" s="704" t="n">
        <v>0</v>
      </c>
      <c r="E44" s="704" t="n">
        <v>0</v>
      </c>
      <c r="F44" s="704" t="n">
        <v>0</v>
      </c>
      <c r="G44" s="704" t="n">
        <v>0</v>
      </c>
      <c r="H44" s="704" t="n">
        <v>0</v>
      </c>
      <c r="I44" s="704" t="n">
        <v>0</v>
      </c>
      <c r="J44" s="704" t="n">
        <v>0</v>
      </c>
      <c r="K44" s="704" t="n">
        <v>0</v>
      </c>
      <c r="L44" s="704" t="n">
        <v>0</v>
      </c>
      <c r="M44" s="704" t="n">
        <v>0</v>
      </c>
      <c r="N44" s="704" t="n">
        <v>0</v>
      </c>
      <c r="O44" s="704" t="n">
        <v>0</v>
      </c>
      <c r="P44" s="704" t="n">
        <v>0</v>
      </c>
      <c r="Q44" s="704" t="n">
        <v>0</v>
      </c>
      <c r="R44" s="704" t="n">
        <v>0</v>
      </c>
      <c r="S44" s="704" t="n">
        <v>0</v>
      </c>
      <c r="T44" s="704" t="n">
        <v>0</v>
      </c>
      <c r="U44" s="704" t="n">
        <v>0</v>
      </c>
      <c r="V44" s="704" t="n">
        <v>0</v>
      </c>
      <c r="W44" s="704" t="n">
        <v>0</v>
      </c>
      <c r="X44" s="704" t="n">
        <v>0</v>
      </c>
      <c r="Y44" s="704" t="n">
        <v>0</v>
      </c>
      <c r="Z44" s="704" t="n">
        <v>0</v>
      </c>
      <c r="AA44" s="704" t="n">
        <v>0</v>
      </c>
      <c r="AB44" s="704" t="n">
        <v>0</v>
      </c>
      <c r="AC44" s="704" t="n">
        <v>0</v>
      </c>
      <c r="AD44" s="704" t="n">
        <v>0</v>
      </c>
      <c r="AE44" s="704" t="n">
        <v>0</v>
      </c>
      <c r="AF44" s="704" t="n">
        <v>0</v>
      </c>
      <c r="AG44" s="704" t="n">
        <v>0</v>
      </c>
      <c r="AH44" s="704" t="n">
        <v>0</v>
      </c>
      <c r="AI44" s="704" t="n">
        <v>0</v>
      </c>
      <c r="AJ44" s="704" t="n">
        <v>0</v>
      </c>
      <c r="AK44" s="704" t="n">
        <v>0</v>
      </c>
      <c r="AL44" s="704" t="n">
        <v>0</v>
      </c>
      <c r="AM44" s="704" t="n">
        <v>0</v>
      </c>
      <c r="AN44" s="704" t="n">
        <v>0</v>
      </c>
      <c r="AO44" s="704" t="n">
        <v>0</v>
      </c>
      <c r="AP44" s="704" t="n">
        <v>0</v>
      </c>
      <c r="AQ44" s="704" t="n">
        <v>0</v>
      </c>
      <c r="AR44" s="704" t="n">
        <v>0</v>
      </c>
      <c r="AS44" s="704" t="n">
        <v>0</v>
      </c>
      <c r="AT44" s="704" t="n">
        <v>0</v>
      </c>
      <c r="AU44" s="704" t="n">
        <v>0</v>
      </c>
      <c r="AV44" s="704" t="n">
        <v>0</v>
      </c>
      <c r="AW44" s="704" t="n">
        <v>0</v>
      </c>
      <c r="AX44" s="704" t="n">
        <v>0</v>
      </c>
      <c r="AY44" s="704" t="n">
        <v>0</v>
      </c>
      <c r="AZ44" s="704" t="n">
        <v>0</v>
      </c>
      <c r="BA44" s="704" t="n">
        <v>0</v>
      </c>
      <c r="BB44" s="704" t="n">
        <v>0</v>
      </c>
      <c r="BC44" s="704" t="n">
        <v>0</v>
      </c>
      <c r="BD44" s="704" t="n">
        <v>0</v>
      </c>
      <c r="BE44" s="704" t="n">
        <v>0</v>
      </c>
      <c r="BF44" s="704" t="n">
        <v>0</v>
      </c>
      <c r="BG44" s="704" t="n">
        <v>0</v>
      </c>
      <c r="BH44" s="704" t="n">
        <v>0</v>
      </c>
      <c r="BI44" s="704" t="n">
        <v>0</v>
      </c>
      <c r="BJ44" s="704" t="n">
        <v>0</v>
      </c>
      <c r="BK44" s="704" t="n">
        <v>0</v>
      </c>
      <c r="BL44" s="704" t="n">
        <v>0</v>
      </c>
      <c r="BM44" s="704" t="n">
        <v>0</v>
      </c>
      <c r="BN44" s="704" t="n">
        <v>0</v>
      </c>
      <c r="BO44" s="704" t="n">
        <v>0</v>
      </c>
      <c r="BP44" s="704" t="n">
        <v>0</v>
      </c>
      <c r="BQ44" s="704" t="n">
        <v>0</v>
      </c>
      <c r="BR44" s="704" t="n">
        <v>0</v>
      </c>
      <c r="BS44" s="704" t="n">
        <v>0</v>
      </c>
      <c r="BT44" s="704" t="n">
        <v>0</v>
      </c>
      <c r="BU44" s="704" t="n">
        <v>0</v>
      </c>
      <c r="BV44" s="704" t="n">
        <v>0</v>
      </c>
      <c r="BW44" s="704" t="n">
        <v>0</v>
      </c>
      <c r="BX44" s="704" t="n">
        <v>0</v>
      </c>
      <c r="BY44" s="704" t="n">
        <v>0</v>
      </c>
      <c r="BZ44" s="704" t="n">
        <v>0</v>
      </c>
      <c r="CA44" s="704" t="n">
        <v>0</v>
      </c>
      <c r="CB44" s="704" t="n">
        <v>0</v>
      </c>
      <c r="CC44" s="704" t="n">
        <v>0</v>
      </c>
      <c r="CD44" s="704" t="n">
        <v>0</v>
      </c>
      <c r="CE44" s="704" t="n">
        <v>0</v>
      </c>
      <c r="CF44" s="704" t="n">
        <v>0</v>
      </c>
      <c r="CG44" s="704" t="n">
        <v>0</v>
      </c>
      <c r="CH44" s="704" t="n">
        <v>0</v>
      </c>
      <c r="CI44" s="704" t="n">
        <v>0</v>
      </c>
      <c r="CJ44" s="704" t="n">
        <v>0</v>
      </c>
      <c r="CK44" s="704" t="n">
        <v>0</v>
      </c>
      <c r="CL44" s="704" t="n">
        <v>0</v>
      </c>
      <c r="CM44" s="704" t="n">
        <v>0</v>
      </c>
      <c r="CN44" s="704" t="n">
        <v>0</v>
      </c>
      <c r="CO44" s="704" t="n">
        <v>0</v>
      </c>
      <c r="CP44" s="704" t="n">
        <v>0</v>
      </c>
      <c r="CQ44" s="704" t="n">
        <v>0</v>
      </c>
      <c r="CR44" s="704" t="n">
        <v>0</v>
      </c>
      <c r="CS44" s="704" t="n">
        <v>0</v>
      </c>
      <c r="CT44" s="704" t="n">
        <v>0</v>
      </c>
      <c r="CU44" s="704" t="n">
        <v>0</v>
      </c>
      <c r="CV44" s="704" t="n">
        <v>0</v>
      </c>
      <c r="CW44" s="704" t="n">
        <v>0</v>
      </c>
      <c r="CX44" s="704" t="n">
        <v>0</v>
      </c>
      <c r="CY44" s="704" t="n">
        <v>0</v>
      </c>
      <c r="CZ44" s="704" t="n">
        <v>0</v>
      </c>
      <c r="DA44" s="704" t="n">
        <v>0</v>
      </c>
      <c r="DB44" s="704" t="n">
        <v>0</v>
      </c>
      <c r="DC44" s="704" t="n">
        <v>0</v>
      </c>
      <c r="DD44" s="704" t="n">
        <v>0</v>
      </c>
      <c r="DE44" s="704" t="n">
        <v>0</v>
      </c>
      <c r="DF44" s="704" t="n">
        <v>0</v>
      </c>
      <c r="DG44" s="704" t="n">
        <v>0</v>
      </c>
      <c r="DH44" s="704" t="n">
        <v>0</v>
      </c>
      <c r="DI44" s="704" t="n">
        <v>0</v>
      </c>
      <c r="DJ44" s="704" t="n">
        <v>0</v>
      </c>
      <c r="DK44" s="704" t="n">
        <v>0</v>
      </c>
      <c r="DL44" s="704" t="n">
        <v>0</v>
      </c>
      <c r="DM44" s="704" t="n">
        <v>0</v>
      </c>
    </row>
    <row r="45" ht="13.5" customHeight="1" s="355">
      <c r="B45" s="705" t="inlineStr">
        <is>
          <t>Grand Total</t>
        </is>
      </c>
      <c r="C45" s="706" t="n"/>
      <c r="D45" s="707" t="n">
        <v>0</v>
      </c>
      <c r="E45" s="707" t="n">
        <v>0</v>
      </c>
      <c r="F45" s="707" t="n">
        <v>0</v>
      </c>
      <c r="G45" s="707" t="n">
        <v>0</v>
      </c>
      <c r="H45" s="707" t="n">
        <v>0</v>
      </c>
      <c r="I45" s="707" t="n">
        <v>0</v>
      </c>
      <c r="J45" s="707" t="n">
        <v>0</v>
      </c>
      <c r="K45" s="707" t="n">
        <v>0</v>
      </c>
      <c r="L45" s="707" t="n">
        <v>0</v>
      </c>
      <c r="M45" s="707" t="n">
        <v>0</v>
      </c>
      <c r="N45" s="707" t="n">
        <v>7.18994166143148</v>
      </c>
      <c r="O45" s="707" t="n">
        <v>47.1576869619977</v>
      </c>
      <c r="P45" s="707" t="n">
        <v>50.6604358633764</v>
      </c>
      <c r="Q45" s="707" t="n">
        <v>50.6604358633764</v>
      </c>
      <c r="R45" s="707" t="n">
        <v>50.6604358633764</v>
      </c>
      <c r="S45" s="707" t="n">
        <v>50.6604358633764</v>
      </c>
      <c r="T45" s="707" t="n">
        <v>49.2014084775498</v>
      </c>
      <c r="U45" s="707" t="n">
        <v>49.2014084775498</v>
      </c>
      <c r="V45" s="707" t="n">
        <v>49.2014084775498</v>
      </c>
      <c r="W45" s="707" t="n">
        <v>49.2014084775498</v>
      </c>
      <c r="X45" s="707" t="n">
        <v>49.2014084775498</v>
      </c>
      <c r="Y45" s="707" t="n">
        <v>49.2014084775498</v>
      </c>
      <c r="Z45" s="707" t="n">
        <v>49.2014084775498</v>
      </c>
      <c r="AA45" s="707" t="n">
        <v>49.2014084775498</v>
      </c>
      <c r="AB45" s="707" t="n">
        <v>50.6774507318762</v>
      </c>
      <c r="AC45" s="707" t="n">
        <v>48.6301264214217</v>
      </c>
      <c r="AD45" s="707" t="n">
        <v>48.6301264214217</v>
      </c>
      <c r="AE45" s="707" t="n">
        <v>48.6301264214217</v>
      </c>
      <c r="AF45" s="707" t="n">
        <v>48.6301264214217</v>
      </c>
      <c r="AG45" s="707" t="n">
        <v>48.6301264214217</v>
      </c>
      <c r="AH45" s="707" t="n">
        <v>48.6301264214217</v>
      </c>
      <c r="AI45" s="707" t="n">
        <v>48.6301264214217</v>
      </c>
      <c r="AJ45" s="707" t="n">
        <v>48.6301264214217</v>
      </c>
      <c r="AK45" s="707" t="n">
        <v>48.6301264214217</v>
      </c>
      <c r="AL45" s="707" t="n">
        <v>48.6301264214217</v>
      </c>
      <c r="AM45" s="707" t="n">
        <v>48.6301264214217</v>
      </c>
      <c r="AN45" s="707" t="n">
        <v>50.0890302140643</v>
      </c>
      <c r="AO45" s="707" t="n">
        <v>47.9802861742961</v>
      </c>
      <c r="AP45" s="707" t="n">
        <v>47.9802861742961</v>
      </c>
      <c r="AQ45" s="707" t="n">
        <v>47.9802861742961</v>
      </c>
      <c r="AR45" s="707" t="n">
        <v>47.9802861742961</v>
      </c>
      <c r="AS45" s="707" t="n">
        <v>47.9802861742961</v>
      </c>
      <c r="AT45" s="707" t="n">
        <v>47.9802861742961</v>
      </c>
      <c r="AU45" s="707" t="n">
        <v>47.9802861742961</v>
      </c>
      <c r="AV45" s="707" t="n">
        <v>47.9802861742961</v>
      </c>
      <c r="AW45" s="707" t="n">
        <v>47.9802861742961</v>
      </c>
      <c r="AX45" s="707" t="n">
        <v>47.9802861742961</v>
      </c>
      <c r="AY45" s="707" t="n">
        <v>47.9802861742961</v>
      </c>
      <c r="AZ45" s="707" t="n">
        <v>49.419694759525</v>
      </c>
      <c r="BA45" s="707" t="n">
        <v>47.9837264795225</v>
      </c>
      <c r="BB45" s="707" t="n">
        <v>47.9837264795225</v>
      </c>
      <c r="BC45" s="707" t="n">
        <v>47.9837264795225</v>
      </c>
      <c r="BD45" s="707" t="n">
        <v>47.9837264795225</v>
      </c>
      <c r="BE45" s="707" t="n">
        <v>47.9837264795225</v>
      </c>
      <c r="BF45" s="707" t="n">
        <v>47.9837264795225</v>
      </c>
      <c r="BG45" s="707" t="n">
        <v>47.9837264795225</v>
      </c>
      <c r="BH45" s="707" t="n">
        <v>47.9837264795225</v>
      </c>
      <c r="BI45" s="707" t="n">
        <v>47.9837264795225</v>
      </c>
      <c r="BJ45" s="707" t="n">
        <v>47.9837264795225</v>
      </c>
      <c r="BK45" s="707" t="n">
        <v>47.9837264795225</v>
      </c>
      <c r="BL45" s="707" t="n">
        <v>49.4232382739082</v>
      </c>
      <c r="BM45" s="707" t="n">
        <v>47.3491725704947</v>
      </c>
      <c r="BN45" s="707" t="n">
        <v>47.3491725704947</v>
      </c>
      <c r="BO45" s="707" t="n">
        <v>47.3491725704947</v>
      </c>
      <c r="BP45" s="707" t="n">
        <v>47.3491725704947</v>
      </c>
      <c r="BQ45" s="707" t="n">
        <v>47.3491725704947</v>
      </c>
      <c r="BR45" s="707" t="n">
        <v>47.3491725704947</v>
      </c>
      <c r="BS45" s="707" t="n">
        <v>47.3491725704947</v>
      </c>
      <c r="BT45" s="707" t="n">
        <v>47.3491725704947</v>
      </c>
      <c r="BU45" s="707" t="n">
        <v>47.3491725704947</v>
      </c>
      <c r="BV45" s="707" t="n">
        <v>47.3491725704947</v>
      </c>
      <c r="BW45" s="707" t="n">
        <v>47.3491725704947</v>
      </c>
      <c r="BX45" s="707" t="n">
        <v>48.7696477476095</v>
      </c>
      <c r="BY45" s="707" t="n">
        <v>47.9887849475203</v>
      </c>
      <c r="BZ45" s="707" t="n">
        <v>47.9887849475203</v>
      </c>
      <c r="CA45" s="707" t="n">
        <v>47.9887849475203</v>
      </c>
      <c r="CB45" s="707" t="n">
        <v>47.9887849475203</v>
      </c>
      <c r="CC45" s="707" t="n">
        <v>47.9887849475203</v>
      </c>
      <c r="CD45" s="707" t="n">
        <v>47.9887849475203</v>
      </c>
      <c r="CE45" s="707" t="n">
        <v>47.9887849475203</v>
      </c>
      <c r="CF45" s="707" t="n">
        <v>47.9887849475203</v>
      </c>
      <c r="CG45" s="707" t="n">
        <v>47.9887849475203</v>
      </c>
      <c r="CH45" s="707" t="n">
        <v>47.9887849475203</v>
      </c>
      <c r="CI45" s="707" t="n">
        <v>47.9887849475203</v>
      </c>
      <c r="CJ45" s="707" t="n">
        <v>49.428448495946</v>
      </c>
      <c r="CK45" s="707" t="n">
        <v>49.428448495946</v>
      </c>
      <c r="CL45" s="707" t="n">
        <v>49.428448495946</v>
      </c>
      <c r="CM45" s="707" t="n">
        <v>49.428448495946</v>
      </c>
      <c r="CN45" s="707" t="n">
        <v>49.428448495946</v>
      </c>
      <c r="CO45" s="707" t="n">
        <v>49.428448495946</v>
      </c>
      <c r="CP45" s="707" t="n">
        <v>49.428448495946</v>
      </c>
      <c r="CQ45" s="707" t="n">
        <v>49.428448495946</v>
      </c>
      <c r="CR45" s="707" t="n">
        <v>49.428448495946</v>
      </c>
      <c r="CS45" s="707" t="n">
        <v>49.428448495946</v>
      </c>
      <c r="CT45" s="707" t="n">
        <v>49.428448495946</v>
      </c>
      <c r="CU45" s="707" t="n">
        <v>49.428448495946</v>
      </c>
      <c r="CV45" s="707" t="n">
        <v>50.9113019508243</v>
      </c>
      <c r="CW45" s="707" t="n">
        <v>50.9113019508243</v>
      </c>
      <c r="CX45" s="707" t="n">
        <v>50.9113019508243</v>
      </c>
      <c r="CY45" s="707" t="n">
        <v>50.9113019508243</v>
      </c>
      <c r="CZ45" s="707" t="n">
        <v>50.9113019508243</v>
      </c>
      <c r="DA45" s="707" t="n">
        <v>50.9113019508243</v>
      </c>
      <c r="DB45" s="707" t="n">
        <v>50.9113019508243</v>
      </c>
      <c r="DC45" s="707" t="n">
        <v>50.9113019508243</v>
      </c>
      <c r="DD45" s="707" t="n">
        <v>50.9113019508243</v>
      </c>
      <c r="DE45" s="707" t="n">
        <v>50.9113019508243</v>
      </c>
      <c r="DF45" s="707" t="n">
        <v>50.9113019508243</v>
      </c>
      <c r="DG45" s="707" t="n">
        <v>50.9113019508243</v>
      </c>
      <c r="DH45" s="707" t="n">
        <v>50.9113019508243</v>
      </c>
      <c r="DI45" s="707" t="n">
        <v>50.9113019508243</v>
      </c>
      <c r="DJ45" s="707" t="n">
        <v>50.9113019508243</v>
      </c>
      <c r="DK45" s="707" t="n">
        <v>50.9113019508243</v>
      </c>
      <c r="DL45" s="707" t="n">
        <v>50.9113019508243</v>
      </c>
      <c r="DM45" s="707" t="n">
        <v>50.9113019508243</v>
      </c>
    </row>
    <row r="46" ht="13.5" customHeight="1" s="355">
      <c r="A46" s="702" t="inlineStr">
        <is>
          <t>Spain</t>
        </is>
      </c>
      <c r="B46" s="703" t="inlineStr">
        <is>
          <t>Gen Acctg</t>
        </is>
      </c>
      <c r="D46" s="704" t="n">
        <v>0</v>
      </c>
      <c r="E46" s="704" t="n">
        <v>0</v>
      </c>
      <c r="F46" s="704" t="n">
        <v>0</v>
      </c>
      <c r="G46" s="704" t="n">
        <v>0</v>
      </c>
      <c r="H46" s="704" t="n">
        <v>0</v>
      </c>
      <c r="I46" s="704" t="n">
        <v>0</v>
      </c>
      <c r="J46" s="704" t="n">
        <v>0</v>
      </c>
      <c r="K46" s="704" t="n">
        <v>0</v>
      </c>
      <c r="L46" s="704" t="n">
        <v>0</v>
      </c>
      <c r="M46" s="704" t="n">
        <v>6.99384767882503</v>
      </c>
      <c r="N46" s="704" t="n">
        <v>9.426490349720691</v>
      </c>
      <c r="O46" s="704" t="n">
        <v>9.426490349720691</v>
      </c>
      <c r="P46" s="704" t="n">
        <v>9.709285060212309</v>
      </c>
      <c r="Q46" s="704" t="n">
        <v>9.709285060212309</v>
      </c>
      <c r="R46" s="704" t="n">
        <v>9.709285060212309</v>
      </c>
      <c r="S46" s="704" t="n">
        <v>9.709285060212309</v>
      </c>
      <c r="T46" s="704" t="n">
        <v>9.709285060212309</v>
      </c>
      <c r="U46" s="704" t="n">
        <v>9.709285060212309</v>
      </c>
      <c r="V46" s="704" t="n">
        <v>9.709285060212309</v>
      </c>
      <c r="W46" s="704" t="n">
        <v>9.709285060212309</v>
      </c>
      <c r="X46" s="704" t="n">
        <v>9.709285060212309</v>
      </c>
      <c r="Y46" s="704" t="n">
        <v>9.709285060212309</v>
      </c>
      <c r="Z46" s="704" t="n">
        <v>9.709285060212309</v>
      </c>
      <c r="AA46" s="704" t="n">
        <v>9.709285060212309</v>
      </c>
      <c r="AB46" s="704" t="n">
        <v>10.0005636120187</v>
      </c>
      <c r="AC46" s="704" t="n">
        <v>9.750549521718209</v>
      </c>
      <c r="AD46" s="704" t="n">
        <v>9.750549521718209</v>
      </c>
      <c r="AE46" s="704" t="n">
        <v>9.750549521718209</v>
      </c>
      <c r="AF46" s="704" t="n">
        <v>9.750549521718209</v>
      </c>
      <c r="AG46" s="704" t="n">
        <v>9.750549521718209</v>
      </c>
      <c r="AH46" s="704" t="n">
        <v>9.750549521718209</v>
      </c>
      <c r="AI46" s="704" t="n">
        <v>9.750549521718209</v>
      </c>
      <c r="AJ46" s="704" t="n">
        <v>9.750549521718209</v>
      </c>
      <c r="AK46" s="704" t="n">
        <v>9.750549521718209</v>
      </c>
      <c r="AL46" s="704" t="n">
        <v>9.750549521718209</v>
      </c>
      <c r="AM46" s="704" t="n">
        <v>9.750549521718209</v>
      </c>
      <c r="AN46" s="704" t="n">
        <v>10.0430660073698</v>
      </c>
      <c r="AO46" s="704" t="n">
        <v>9.785551494360281</v>
      </c>
      <c r="AP46" s="704" t="n">
        <v>9.785551494360281</v>
      </c>
      <c r="AQ46" s="704" t="n">
        <v>9.785551494360281</v>
      </c>
      <c r="AR46" s="704" t="n">
        <v>9.785551494360281</v>
      </c>
      <c r="AS46" s="704" t="n">
        <v>9.785551494360281</v>
      </c>
      <c r="AT46" s="704" t="n">
        <v>9.785551494360281</v>
      </c>
      <c r="AU46" s="704" t="n">
        <v>9.785551494360281</v>
      </c>
      <c r="AV46" s="704" t="n">
        <v>9.785551494360281</v>
      </c>
      <c r="AW46" s="704" t="n">
        <v>9.785551494360281</v>
      </c>
      <c r="AX46" s="704" t="n">
        <v>9.785551494360281</v>
      </c>
      <c r="AY46" s="704" t="n">
        <v>9.785551494360281</v>
      </c>
      <c r="AZ46" s="704" t="n">
        <v>10.0791180391911</v>
      </c>
      <c r="BA46" s="704" t="n">
        <v>9.81387809079132</v>
      </c>
      <c r="BB46" s="704" t="n">
        <v>9.81387809079132</v>
      </c>
      <c r="BC46" s="704" t="n">
        <v>9.81387809079132</v>
      </c>
      <c r="BD46" s="704" t="n">
        <v>9.81387809079132</v>
      </c>
      <c r="BE46" s="704" t="n">
        <v>9.81387809079132</v>
      </c>
      <c r="BF46" s="704" t="n">
        <v>9.81387809079132</v>
      </c>
      <c r="BG46" s="704" t="n">
        <v>9.81387809079132</v>
      </c>
      <c r="BH46" s="704" t="n">
        <v>9.81387809079132</v>
      </c>
      <c r="BI46" s="704" t="n">
        <v>9.81387809079132</v>
      </c>
      <c r="BJ46" s="704" t="n">
        <v>9.81387809079132</v>
      </c>
      <c r="BK46" s="704" t="n">
        <v>9.81387809079132</v>
      </c>
      <c r="BL46" s="704" t="n">
        <v>10.1082944335151</v>
      </c>
      <c r="BM46" s="704" t="n">
        <v>9.56190013981154</v>
      </c>
      <c r="BN46" s="704" t="n">
        <v>9.56190013981154</v>
      </c>
      <c r="BO46" s="704" t="n">
        <v>9.56190013981154</v>
      </c>
      <c r="BP46" s="704" t="n">
        <v>9.56190013981154</v>
      </c>
      <c r="BQ46" s="704" t="n">
        <v>9.56190013981154</v>
      </c>
      <c r="BR46" s="704" t="n">
        <v>9.56190013981154</v>
      </c>
      <c r="BS46" s="704" t="n">
        <v>9.56190013981154</v>
      </c>
      <c r="BT46" s="704" t="n">
        <v>9.56190013981154</v>
      </c>
      <c r="BU46" s="704" t="n">
        <v>9.56190013981154</v>
      </c>
      <c r="BV46" s="704" t="n">
        <v>9.56190013981154</v>
      </c>
      <c r="BW46" s="704" t="n">
        <v>9.56190013981154</v>
      </c>
      <c r="BX46" s="704" t="n">
        <v>9.848757144005891</v>
      </c>
      <c r="BY46" s="704" t="n">
        <v>9.848757144005891</v>
      </c>
      <c r="BZ46" s="704" t="n">
        <v>9.848757144005891</v>
      </c>
      <c r="CA46" s="704" t="n">
        <v>9.848757144005891</v>
      </c>
      <c r="CB46" s="704" t="n">
        <v>9.848757144005891</v>
      </c>
      <c r="CC46" s="704" t="n">
        <v>9.848757144005891</v>
      </c>
      <c r="CD46" s="704" t="n">
        <v>9.848757144005891</v>
      </c>
      <c r="CE46" s="704" t="n">
        <v>9.848757144005891</v>
      </c>
      <c r="CF46" s="704" t="n">
        <v>9.848757144005891</v>
      </c>
      <c r="CG46" s="704" t="n">
        <v>9.848757144005891</v>
      </c>
      <c r="CH46" s="704" t="n">
        <v>9.848757144005891</v>
      </c>
      <c r="CI46" s="704" t="n">
        <v>9.848757144005891</v>
      </c>
      <c r="CJ46" s="704" t="n">
        <v>10.1442198583261</v>
      </c>
      <c r="CK46" s="704" t="n">
        <v>10.1442198583261</v>
      </c>
      <c r="CL46" s="704" t="n">
        <v>10.1442198583261</v>
      </c>
      <c r="CM46" s="704" t="n">
        <v>10.1442198583261</v>
      </c>
      <c r="CN46" s="704" t="n">
        <v>10.1442198583261</v>
      </c>
      <c r="CO46" s="704" t="n">
        <v>10.1442198583261</v>
      </c>
      <c r="CP46" s="704" t="n">
        <v>10.1442198583261</v>
      </c>
      <c r="CQ46" s="704" t="n">
        <v>10.1442198583261</v>
      </c>
      <c r="CR46" s="704" t="n">
        <v>10.1442198583261</v>
      </c>
      <c r="CS46" s="704" t="n">
        <v>10.1442198583261</v>
      </c>
      <c r="CT46" s="704" t="n">
        <v>10.1442198583261</v>
      </c>
      <c r="CU46" s="704" t="n">
        <v>10.1442198583261</v>
      </c>
      <c r="CV46" s="704" t="n">
        <v>10.4485464540758</v>
      </c>
      <c r="CW46" s="704" t="n">
        <v>10.4485464540758</v>
      </c>
      <c r="CX46" s="704" t="n">
        <v>10.4485464540758</v>
      </c>
      <c r="CY46" s="704" t="n">
        <v>10.4485464540758</v>
      </c>
      <c r="CZ46" s="704" t="n">
        <v>10.4485464540758</v>
      </c>
      <c r="DA46" s="704" t="n">
        <v>10.4485464540758</v>
      </c>
      <c r="DB46" s="704" t="n">
        <v>10.4485464540758</v>
      </c>
      <c r="DC46" s="704" t="n">
        <v>10.4485464540758</v>
      </c>
      <c r="DD46" s="704" t="n">
        <v>10.4485464540758</v>
      </c>
      <c r="DE46" s="704" t="n">
        <v>10.4485464540758</v>
      </c>
      <c r="DF46" s="704" t="n">
        <v>10.4485464540758</v>
      </c>
      <c r="DG46" s="704" t="n">
        <v>10.4485464540758</v>
      </c>
      <c r="DH46" s="704" t="n">
        <v>10.4485464540758</v>
      </c>
      <c r="DI46" s="704" t="n">
        <v>10.4485464540758</v>
      </c>
      <c r="DJ46" s="704" t="n">
        <v>10.4485464540758</v>
      </c>
      <c r="DK46" s="704" t="n">
        <v>10.4485464540758</v>
      </c>
      <c r="DL46" s="704" t="n">
        <v>10.4485464540758</v>
      </c>
      <c r="DM46" s="704" t="n">
        <v>10.4485464540758</v>
      </c>
    </row>
    <row r="47" ht="13.5" customHeight="1" s="355">
      <c r="B47" s="703" t="inlineStr">
        <is>
          <t>Reporting</t>
        </is>
      </c>
      <c r="D47" s="704" t="n">
        <v>0</v>
      </c>
      <c r="E47" s="704" t="n">
        <v>0</v>
      </c>
      <c r="F47" s="704" t="n">
        <v>0</v>
      </c>
      <c r="G47" s="704" t="n">
        <v>0</v>
      </c>
      <c r="H47" s="704" t="n">
        <v>0</v>
      </c>
      <c r="I47" s="704" t="n">
        <v>0</v>
      </c>
      <c r="J47" s="704" t="n">
        <v>0</v>
      </c>
      <c r="K47" s="704" t="n">
        <v>0</v>
      </c>
      <c r="L47" s="704" t="n">
        <v>0</v>
      </c>
      <c r="M47" s="704" t="n">
        <v>0</v>
      </c>
      <c r="N47" s="704" t="n">
        <v>0</v>
      </c>
      <c r="O47" s="704" t="n">
        <v>0</v>
      </c>
      <c r="P47" s="704" t="n">
        <v>0</v>
      </c>
      <c r="Q47" s="704" t="n">
        <v>0</v>
      </c>
      <c r="R47" s="704" t="n">
        <v>0</v>
      </c>
      <c r="S47" s="704" t="n">
        <v>0</v>
      </c>
      <c r="T47" s="704" t="n">
        <v>0</v>
      </c>
      <c r="U47" s="704" t="n">
        <v>0</v>
      </c>
      <c r="V47" s="704" t="n">
        <v>0</v>
      </c>
      <c r="W47" s="704" t="n">
        <v>0</v>
      </c>
      <c r="X47" s="704" t="n">
        <v>0</v>
      </c>
      <c r="Y47" s="704" t="n">
        <v>0</v>
      </c>
      <c r="Z47" s="704" t="n">
        <v>0</v>
      </c>
      <c r="AA47" s="704" t="n">
        <v>0</v>
      </c>
      <c r="AB47" s="704" t="n">
        <v>0</v>
      </c>
      <c r="AC47" s="704" t="n">
        <v>0</v>
      </c>
      <c r="AD47" s="704" t="n">
        <v>0</v>
      </c>
      <c r="AE47" s="704" t="n">
        <v>0</v>
      </c>
      <c r="AF47" s="704" t="n">
        <v>0</v>
      </c>
      <c r="AG47" s="704" t="n">
        <v>0</v>
      </c>
      <c r="AH47" s="704" t="n">
        <v>0</v>
      </c>
      <c r="AI47" s="704" t="n">
        <v>0</v>
      </c>
      <c r="AJ47" s="704" t="n">
        <v>0</v>
      </c>
      <c r="AK47" s="704" t="n">
        <v>0</v>
      </c>
      <c r="AL47" s="704" t="n">
        <v>0</v>
      </c>
      <c r="AM47" s="704" t="n">
        <v>0</v>
      </c>
      <c r="AN47" s="704" t="n">
        <v>0</v>
      </c>
      <c r="AO47" s="704" t="n">
        <v>0</v>
      </c>
      <c r="AP47" s="704" t="n">
        <v>0</v>
      </c>
      <c r="AQ47" s="704" t="n">
        <v>0</v>
      </c>
      <c r="AR47" s="704" t="n">
        <v>0</v>
      </c>
      <c r="AS47" s="704" t="n">
        <v>0</v>
      </c>
      <c r="AT47" s="704" t="n">
        <v>0</v>
      </c>
      <c r="AU47" s="704" t="n">
        <v>0</v>
      </c>
      <c r="AV47" s="704" t="n">
        <v>0</v>
      </c>
      <c r="AW47" s="704" t="n">
        <v>0</v>
      </c>
      <c r="AX47" s="704" t="n">
        <v>0</v>
      </c>
      <c r="AY47" s="704" t="n">
        <v>0</v>
      </c>
      <c r="AZ47" s="704" t="n">
        <v>0</v>
      </c>
      <c r="BA47" s="704" t="n">
        <v>0</v>
      </c>
      <c r="BB47" s="704" t="n">
        <v>0</v>
      </c>
      <c r="BC47" s="704" t="n">
        <v>0</v>
      </c>
      <c r="BD47" s="704" t="n">
        <v>0</v>
      </c>
      <c r="BE47" s="704" t="n">
        <v>0</v>
      </c>
      <c r="BF47" s="704" t="n">
        <v>0</v>
      </c>
      <c r="BG47" s="704" t="n">
        <v>0</v>
      </c>
      <c r="BH47" s="704" t="n">
        <v>0</v>
      </c>
      <c r="BI47" s="704" t="n">
        <v>0</v>
      </c>
      <c r="BJ47" s="704" t="n">
        <v>0</v>
      </c>
      <c r="BK47" s="704" t="n">
        <v>0</v>
      </c>
      <c r="BL47" s="704" t="n">
        <v>0</v>
      </c>
      <c r="BM47" s="704" t="n">
        <v>0</v>
      </c>
      <c r="BN47" s="704" t="n">
        <v>0</v>
      </c>
      <c r="BO47" s="704" t="n">
        <v>0</v>
      </c>
      <c r="BP47" s="704" t="n">
        <v>0</v>
      </c>
      <c r="BQ47" s="704" t="n">
        <v>0</v>
      </c>
      <c r="BR47" s="704" t="n">
        <v>0</v>
      </c>
      <c r="BS47" s="704" t="n">
        <v>0</v>
      </c>
      <c r="BT47" s="704" t="n">
        <v>0</v>
      </c>
      <c r="BU47" s="704" t="n">
        <v>0</v>
      </c>
      <c r="BV47" s="704" t="n">
        <v>0</v>
      </c>
      <c r="BW47" s="704" t="n">
        <v>0</v>
      </c>
      <c r="BX47" s="704" t="n">
        <v>0</v>
      </c>
      <c r="BY47" s="704" t="n">
        <v>0</v>
      </c>
      <c r="BZ47" s="704" t="n">
        <v>0</v>
      </c>
      <c r="CA47" s="704" t="n">
        <v>0</v>
      </c>
      <c r="CB47" s="704" t="n">
        <v>0</v>
      </c>
      <c r="CC47" s="704" t="n">
        <v>0</v>
      </c>
      <c r="CD47" s="704" t="n">
        <v>0</v>
      </c>
      <c r="CE47" s="704" t="n">
        <v>0</v>
      </c>
      <c r="CF47" s="704" t="n">
        <v>0</v>
      </c>
      <c r="CG47" s="704" t="n">
        <v>0</v>
      </c>
      <c r="CH47" s="704" t="n">
        <v>0</v>
      </c>
      <c r="CI47" s="704" t="n">
        <v>0</v>
      </c>
      <c r="CJ47" s="704" t="n">
        <v>0</v>
      </c>
      <c r="CK47" s="704" t="n">
        <v>0</v>
      </c>
      <c r="CL47" s="704" t="n">
        <v>0</v>
      </c>
      <c r="CM47" s="704" t="n">
        <v>0</v>
      </c>
      <c r="CN47" s="704" t="n">
        <v>0</v>
      </c>
      <c r="CO47" s="704" t="n">
        <v>0</v>
      </c>
      <c r="CP47" s="704" t="n">
        <v>0</v>
      </c>
      <c r="CQ47" s="704" t="n">
        <v>0</v>
      </c>
      <c r="CR47" s="704" t="n">
        <v>0</v>
      </c>
      <c r="CS47" s="704" t="n">
        <v>0</v>
      </c>
      <c r="CT47" s="704" t="n">
        <v>0</v>
      </c>
      <c r="CU47" s="704" t="n">
        <v>0</v>
      </c>
      <c r="CV47" s="704" t="n">
        <v>0</v>
      </c>
      <c r="CW47" s="704" t="n">
        <v>0</v>
      </c>
      <c r="CX47" s="704" t="n">
        <v>0</v>
      </c>
      <c r="CY47" s="704" t="n">
        <v>0</v>
      </c>
      <c r="CZ47" s="704" t="n">
        <v>0</v>
      </c>
      <c r="DA47" s="704" t="n">
        <v>0</v>
      </c>
      <c r="DB47" s="704" t="n">
        <v>0</v>
      </c>
      <c r="DC47" s="704" t="n">
        <v>0</v>
      </c>
      <c r="DD47" s="704" t="n">
        <v>0</v>
      </c>
      <c r="DE47" s="704" t="n">
        <v>0</v>
      </c>
      <c r="DF47" s="704" t="n">
        <v>0</v>
      </c>
      <c r="DG47" s="704" t="n">
        <v>0</v>
      </c>
      <c r="DH47" s="704" t="n">
        <v>0</v>
      </c>
      <c r="DI47" s="704" t="n">
        <v>0</v>
      </c>
      <c r="DJ47" s="704" t="n">
        <v>0</v>
      </c>
      <c r="DK47" s="704" t="n">
        <v>0</v>
      </c>
      <c r="DL47" s="704" t="n">
        <v>0</v>
      </c>
      <c r="DM47" s="704" t="n">
        <v>0</v>
      </c>
    </row>
    <row r="48" ht="13.5" customHeight="1" s="355">
      <c r="B48" s="703" t="inlineStr">
        <is>
          <t>Fixed Assets</t>
        </is>
      </c>
      <c r="D48" s="704" t="n">
        <v>0</v>
      </c>
      <c r="E48" s="704" t="n">
        <v>0</v>
      </c>
      <c r="F48" s="704" t="n">
        <v>0</v>
      </c>
      <c r="G48" s="704" t="n">
        <v>0</v>
      </c>
      <c r="H48" s="704" t="n">
        <v>0</v>
      </c>
      <c r="I48" s="704" t="n">
        <v>0</v>
      </c>
      <c r="J48" s="704" t="n">
        <v>0</v>
      </c>
      <c r="K48" s="704" t="n">
        <v>0</v>
      </c>
      <c r="L48" s="704" t="n">
        <v>0</v>
      </c>
      <c r="M48" s="704" t="n">
        <v>0</v>
      </c>
      <c r="N48" s="704" t="n">
        <v>0</v>
      </c>
      <c r="O48" s="704" t="n">
        <v>0</v>
      </c>
      <c r="P48" s="704" t="n">
        <v>0</v>
      </c>
      <c r="Q48" s="704" t="n">
        <v>0</v>
      </c>
      <c r="R48" s="704" t="n">
        <v>0</v>
      </c>
      <c r="S48" s="704" t="n">
        <v>0</v>
      </c>
      <c r="T48" s="704" t="n">
        <v>0</v>
      </c>
      <c r="U48" s="704" t="n">
        <v>0</v>
      </c>
      <c r="V48" s="704" t="n">
        <v>0</v>
      </c>
      <c r="W48" s="704" t="n">
        <v>0</v>
      </c>
      <c r="X48" s="704" t="n">
        <v>0</v>
      </c>
      <c r="Y48" s="704" t="n">
        <v>0</v>
      </c>
      <c r="Z48" s="704" t="n">
        <v>0</v>
      </c>
      <c r="AA48" s="704" t="n">
        <v>0</v>
      </c>
      <c r="AB48" s="704" t="n">
        <v>0</v>
      </c>
      <c r="AC48" s="704" t="n">
        <v>0</v>
      </c>
      <c r="AD48" s="704" t="n">
        <v>0</v>
      </c>
      <c r="AE48" s="704" t="n">
        <v>0</v>
      </c>
      <c r="AF48" s="704" t="n">
        <v>0</v>
      </c>
      <c r="AG48" s="704" t="n">
        <v>0</v>
      </c>
      <c r="AH48" s="704" t="n">
        <v>0</v>
      </c>
      <c r="AI48" s="704" t="n">
        <v>0</v>
      </c>
      <c r="AJ48" s="704" t="n">
        <v>0</v>
      </c>
      <c r="AK48" s="704" t="n">
        <v>0</v>
      </c>
      <c r="AL48" s="704" t="n">
        <v>0</v>
      </c>
      <c r="AM48" s="704" t="n">
        <v>0</v>
      </c>
      <c r="AN48" s="704" t="n">
        <v>0</v>
      </c>
      <c r="AO48" s="704" t="n">
        <v>0</v>
      </c>
      <c r="AP48" s="704" t="n">
        <v>0</v>
      </c>
      <c r="AQ48" s="704" t="n">
        <v>0</v>
      </c>
      <c r="AR48" s="704" t="n">
        <v>0</v>
      </c>
      <c r="AS48" s="704" t="n">
        <v>0</v>
      </c>
      <c r="AT48" s="704" t="n">
        <v>0</v>
      </c>
      <c r="AU48" s="704" t="n">
        <v>0</v>
      </c>
      <c r="AV48" s="704" t="n">
        <v>0</v>
      </c>
      <c r="AW48" s="704" t="n">
        <v>0</v>
      </c>
      <c r="AX48" s="704" t="n">
        <v>0</v>
      </c>
      <c r="AY48" s="704" t="n">
        <v>0</v>
      </c>
      <c r="AZ48" s="704" t="n">
        <v>0</v>
      </c>
      <c r="BA48" s="704" t="n">
        <v>0</v>
      </c>
      <c r="BB48" s="704" t="n">
        <v>0</v>
      </c>
      <c r="BC48" s="704" t="n">
        <v>0</v>
      </c>
      <c r="BD48" s="704" t="n">
        <v>0</v>
      </c>
      <c r="BE48" s="704" t="n">
        <v>0</v>
      </c>
      <c r="BF48" s="704" t="n">
        <v>0</v>
      </c>
      <c r="BG48" s="704" t="n">
        <v>0</v>
      </c>
      <c r="BH48" s="704" t="n">
        <v>0</v>
      </c>
      <c r="BI48" s="704" t="n">
        <v>0</v>
      </c>
      <c r="BJ48" s="704" t="n">
        <v>0</v>
      </c>
      <c r="BK48" s="704" t="n">
        <v>0</v>
      </c>
      <c r="BL48" s="704" t="n">
        <v>0</v>
      </c>
      <c r="BM48" s="704" t="n">
        <v>0</v>
      </c>
      <c r="BN48" s="704" t="n">
        <v>0</v>
      </c>
      <c r="BO48" s="704" t="n">
        <v>0</v>
      </c>
      <c r="BP48" s="704" t="n">
        <v>0</v>
      </c>
      <c r="BQ48" s="704" t="n">
        <v>0</v>
      </c>
      <c r="BR48" s="704" t="n">
        <v>0</v>
      </c>
      <c r="BS48" s="704" t="n">
        <v>0</v>
      </c>
      <c r="BT48" s="704" t="n">
        <v>0</v>
      </c>
      <c r="BU48" s="704" t="n">
        <v>0</v>
      </c>
      <c r="BV48" s="704" t="n">
        <v>0</v>
      </c>
      <c r="BW48" s="704" t="n">
        <v>0</v>
      </c>
      <c r="BX48" s="704" t="n">
        <v>0</v>
      </c>
      <c r="BY48" s="704" t="n">
        <v>0</v>
      </c>
      <c r="BZ48" s="704" t="n">
        <v>0</v>
      </c>
      <c r="CA48" s="704" t="n">
        <v>0</v>
      </c>
      <c r="CB48" s="704" t="n">
        <v>0</v>
      </c>
      <c r="CC48" s="704" t="n">
        <v>0</v>
      </c>
      <c r="CD48" s="704" t="n">
        <v>0</v>
      </c>
      <c r="CE48" s="704" t="n">
        <v>0</v>
      </c>
      <c r="CF48" s="704" t="n">
        <v>0</v>
      </c>
      <c r="CG48" s="704" t="n">
        <v>0</v>
      </c>
      <c r="CH48" s="704" t="n">
        <v>0</v>
      </c>
      <c r="CI48" s="704" t="n">
        <v>0</v>
      </c>
      <c r="CJ48" s="704" t="n">
        <v>0</v>
      </c>
      <c r="CK48" s="704" t="n">
        <v>0</v>
      </c>
      <c r="CL48" s="704" t="n">
        <v>0</v>
      </c>
      <c r="CM48" s="704" t="n">
        <v>0</v>
      </c>
      <c r="CN48" s="704" t="n">
        <v>0</v>
      </c>
      <c r="CO48" s="704" t="n">
        <v>0</v>
      </c>
      <c r="CP48" s="704" t="n">
        <v>0</v>
      </c>
      <c r="CQ48" s="704" t="n">
        <v>0</v>
      </c>
      <c r="CR48" s="704" t="n">
        <v>0</v>
      </c>
      <c r="CS48" s="704" t="n">
        <v>0</v>
      </c>
      <c r="CT48" s="704" t="n">
        <v>0</v>
      </c>
      <c r="CU48" s="704" t="n">
        <v>0</v>
      </c>
      <c r="CV48" s="704" t="n">
        <v>0</v>
      </c>
      <c r="CW48" s="704" t="n">
        <v>0</v>
      </c>
      <c r="CX48" s="704" t="n">
        <v>0</v>
      </c>
      <c r="CY48" s="704" t="n">
        <v>0</v>
      </c>
      <c r="CZ48" s="704" t="n">
        <v>0</v>
      </c>
      <c r="DA48" s="704" t="n">
        <v>0</v>
      </c>
      <c r="DB48" s="704" t="n">
        <v>0</v>
      </c>
      <c r="DC48" s="704" t="n">
        <v>0</v>
      </c>
      <c r="DD48" s="704" t="n">
        <v>0</v>
      </c>
      <c r="DE48" s="704" t="n">
        <v>0</v>
      </c>
      <c r="DF48" s="704" t="n">
        <v>0</v>
      </c>
      <c r="DG48" s="704" t="n">
        <v>0</v>
      </c>
      <c r="DH48" s="704" t="n">
        <v>0</v>
      </c>
      <c r="DI48" s="704" t="n">
        <v>0</v>
      </c>
      <c r="DJ48" s="704" t="n">
        <v>0</v>
      </c>
      <c r="DK48" s="704" t="n">
        <v>0</v>
      </c>
      <c r="DL48" s="704" t="n">
        <v>0</v>
      </c>
      <c r="DM48" s="704" t="n">
        <v>0</v>
      </c>
    </row>
    <row r="49" ht="13.5" customHeight="1" s="355">
      <c r="B49" s="703" t="inlineStr">
        <is>
          <t>Acct Payable</t>
        </is>
      </c>
      <c r="D49" s="704" t="n">
        <v>0</v>
      </c>
      <c r="E49" s="704" t="n">
        <v>0</v>
      </c>
      <c r="F49" s="704" t="n">
        <v>0</v>
      </c>
      <c r="G49" s="704" t="n">
        <v>0</v>
      </c>
      <c r="H49" s="704" t="n">
        <v>0</v>
      </c>
      <c r="I49" s="704" t="n">
        <v>0</v>
      </c>
      <c r="J49" s="704" t="n">
        <v>0</v>
      </c>
      <c r="K49" s="704" t="n">
        <v>0</v>
      </c>
      <c r="L49" s="704" t="n">
        <v>1.98367958183727</v>
      </c>
      <c r="M49" s="704" t="n">
        <v>9.91839790918633</v>
      </c>
      <c r="N49" s="704" t="n">
        <v>9.91839790918633</v>
      </c>
      <c r="O49" s="704" t="n">
        <v>9.91839790918633</v>
      </c>
      <c r="P49" s="704" t="n">
        <v>10.2159498464619</v>
      </c>
      <c r="Q49" s="704" t="n">
        <v>10.2159498464619</v>
      </c>
      <c r="R49" s="704" t="n">
        <v>10.2159498464619</v>
      </c>
      <c r="S49" s="704" t="n">
        <v>10.2159498464619</v>
      </c>
      <c r="T49" s="704" t="n">
        <v>9.6920549825408</v>
      </c>
      <c r="U49" s="704" t="n">
        <v>9.6920549825408</v>
      </c>
      <c r="V49" s="704" t="n">
        <v>9.6920549825408</v>
      </c>
      <c r="W49" s="704" t="n">
        <v>9.6920549825408</v>
      </c>
      <c r="X49" s="704" t="n">
        <v>9.6920549825408</v>
      </c>
      <c r="Y49" s="704" t="n">
        <v>9.6920549825408</v>
      </c>
      <c r="Z49" s="704" t="n">
        <v>9.6920549825408</v>
      </c>
      <c r="AA49" s="704" t="n">
        <v>9.6920549825408</v>
      </c>
      <c r="AB49" s="704" t="n">
        <v>9.98281663201702</v>
      </c>
      <c r="AC49" s="704" t="n">
        <v>9.443204922178261</v>
      </c>
      <c r="AD49" s="704" t="n">
        <v>9.443204922178261</v>
      </c>
      <c r="AE49" s="704" t="n">
        <v>9.443204922178261</v>
      </c>
      <c r="AF49" s="704" t="n">
        <v>9.443204922178261</v>
      </c>
      <c r="AG49" s="704" t="n">
        <v>9.443204922178261</v>
      </c>
      <c r="AH49" s="704" t="n">
        <v>9.443204922178261</v>
      </c>
      <c r="AI49" s="704" t="n">
        <v>9.443204922178261</v>
      </c>
      <c r="AJ49" s="704" t="n">
        <v>9.443204922178261</v>
      </c>
      <c r="AK49" s="704" t="n">
        <v>9.443204922178261</v>
      </c>
      <c r="AL49" s="704" t="n">
        <v>9.443204922178261</v>
      </c>
      <c r="AM49" s="704" t="n">
        <v>9.443204922178261</v>
      </c>
      <c r="AN49" s="704" t="n">
        <v>9.726501069843611</v>
      </c>
      <c r="AO49" s="704" t="n">
        <v>9.17070100870969</v>
      </c>
      <c r="AP49" s="704" t="n">
        <v>9.17070100870969</v>
      </c>
      <c r="AQ49" s="704" t="n">
        <v>9.17070100870969</v>
      </c>
      <c r="AR49" s="704" t="n">
        <v>9.17070100870969</v>
      </c>
      <c r="AS49" s="704" t="n">
        <v>9.17070100870969</v>
      </c>
      <c r="AT49" s="704" t="n">
        <v>9.17070100870969</v>
      </c>
      <c r="AU49" s="704" t="n">
        <v>9.17070100870969</v>
      </c>
      <c r="AV49" s="704" t="n">
        <v>9.17070100870969</v>
      </c>
      <c r="AW49" s="704" t="n">
        <v>9.17070100870969</v>
      </c>
      <c r="AX49" s="704" t="n">
        <v>9.17070100870969</v>
      </c>
      <c r="AY49" s="704" t="n">
        <v>9.17070100870969</v>
      </c>
      <c r="AZ49" s="704" t="n">
        <v>9.445822038970981</v>
      </c>
      <c r="BA49" s="704" t="n">
        <v>9.159585007487021</v>
      </c>
      <c r="BB49" s="704" t="n">
        <v>9.159585007487021</v>
      </c>
      <c r="BC49" s="704" t="n">
        <v>9.159585007487021</v>
      </c>
      <c r="BD49" s="704" t="n">
        <v>9.159585007487021</v>
      </c>
      <c r="BE49" s="704" t="n">
        <v>9.159585007487021</v>
      </c>
      <c r="BF49" s="704" t="n">
        <v>9.159585007487021</v>
      </c>
      <c r="BG49" s="704" t="n">
        <v>9.159585007487021</v>
      </c>
      <c r="BH49" s="704" t="n">
        <v>9.159585007487021</v>
      </c>
      <c r="BI49" s="704" t="n">
        <v>9.159585007487021</v>
      </c>
      <c r="BJ49" s="704" t="n">
        <v>9.159585007487021</v>
      </c>
      <c r="BK49" s="704" t="n">
        <v>9.159585007487021</v>
      </c>
      <c r="BL49" s="704" t="n">
        <v>9.43437255771163</v>
      </c>
      <c r="BM49" s="704" t="n">
        <v>9.139548415283141</v>
      </c>
      <c r="BN49" s="704" t="n">
        <v>9.139548415283141</v>
      </c>
      <c r="BO49" s="704" t="n">
        <v>9.139548415283141</v>
      </c>
      <c r="BP49" s="704" t="n">
        <v>9.139548415283141</v>
      </c>
      <c r="BQ49" s="704" t="n">
        <v>9.139548415283141</v>
      </c>
      <c r="BR49" s="704" t="n">
        <v>9.139548415283141</v>
      </c>
      <c r="BS49" s="704" t="n">
        <v>9.139548415283141</v>
      </c>
      <c r="BT49" s="704" t="n">
        <v>9.139548415283141</v>
      </c>
      <c r="BU49" s="704" t="n">
        <v>9.139548415283141</v>
      </c>
      <c r="BV49" s="704" t="n">
        <v>9.139548415283141</v>
      </c>
      <c r="BW49" s="704" t="n">
        <v>9.139548415283141</v>
      </c>
      <c r="BX49" s="704" t="n">
        <v>9.413734867741629</v>
      </c>
      <c r="BY49" s="704" t="n">
        <v>9.110066001040289</v>
      </c>
      <c r="BZ49" s="704" t="n">
        <v>9.110066001040289</v>
      </c>
      <c r="CA49" s="704" t="n">
        <v>9.110066001040289</v>
      </c>
      <c r="CB49" s="704" t="n">
        <v>9.110066001040289</v>
      </c>
      <c r="CC49" s="704" t="n">
        <v>9.110066001040289</v>
      </c>
      <c r="CD49" s="704" t="n">
        <v>9.110066001040289</v>
      </c>
      <c r="CE49" s="704" t="n">
        <v>9.110066001040289</v>
      </c>
      <c r="CF49" s="704" t="n">
        <v>9.110066001040289</v>
      </c>
      <c r="CG49" s="704" t="n">
        <v>9.110066001040289</v>
      </c>
      <c r="CH49" s="704" t="n">
        <v>9.110066001040289</v>
      </c>
      <c r="CI49" s="704" t="n">
        <v>9.110066001040289</v>
      </c>
      <c r="CJ49" s="704" t="n">
        <v>9.383367981071499</v>
      </c>
      <c r="CK49" s="704" t="n">
        <v>9.383367981071499</v>
      </c>
      <c r="CL49" s="704" t="n">
        <v>9.383367981071499</v>
      </c>
      <c r="CM49" s="704" t="n">
        <v>9.383367981071499</v>
      </c>
      <c r="CN49" s="704" t="n">
        <v>9.383367981071499</v>
      </c>
      <c r="CO49" s="704" t="n">
        <v>9.383367981071499</v>
      </c>
      <c r="CP49" s="704" t="n">
        <v>9.383367981071499</v>
      </c>
      <c r="CQ49" s="704" t="n">
        <v>9.383367981071499</v>
      </c>
      <c r="CR49" s="704" t="n">
        <v>9.383367981071499</v>
      </c>
      <c r="CS49" s="704" t="n">
        <v>9.383367981071499</v>
      </c>
      <c r="CT49" s="704" t="n">
        <v>9.383367981071499</v>
      </c>
      <c r="CU49" s="704" t="n">
        <v>9.383367981071499</v>
      </c>
      <c r="CV49" s="704" t="n">
        <v>9.664869020503639</v>
      </c>
      <c r="CW49" s="704" t="n">
        <v>9.664869020503639</v>
      </c>
      <c r="CX49" s="704" t="n">
        <v>9.664869020503639</v>
      </c>
      <c r="CY49" s="704" t="n">
        <v>9.664869020503639</v>
      </c>
      <c r="CZ49" s="704" t="n">
        <v>9.664869020503639</v>
      </c>
      <c r="DA49" s="704" t="n">
        <v>9.664869020503639</v>
      </c>
      <c r="DB49" s="704" t="n">
        <v>9.664869020503639</v>
      </c>
      <c r="DC49" s="704" t="n">
        <v>9.664869020503639</v>
      </c>
      <c r="DD49" s="704" t="n">
        <v>9.664869020503639</v>
      </c>
      <c r="DE49" s="704" t="n">
        <v>9.664869020503639</v>
      </c>
      <c r="DF49" s="704" t="n">
        <v>9.664869020503639</v>
      </c>
      <c r="DG49" s="704" t="n">
        <v>9.664869020503639</v>
      </c>
      <c r="DH49" s="704" t="n">
        <v>9.664869020503639</v>
      </c>
      <c r="DI49" s="704" t="n">
        <v>9.664869020503639</v>
      </c>
      <c r="DJ49" s="704" t="n">
        <v>9.664869020503639</v>
      </c>
      <c r="DK49" s="704" t="n">
        <v>9.664869020503639</v>
      </c>
      <c r="DL49" s="704" t="n">
        <v>9.664869020503639</v>
      </c>
      <c r="DM49" s="704" t="n">
        <v>9.664869020503639</v>
      </c>
    </row>
    <row r="50" ht="13.5" customHeight="1" s="355">
      <c r="B50" s="703" t="inlineStr">
        <is>
          <t>Cash&amp;Bank</t>
        </is>
      </c>
      <c r="D50" s="704" t="n">
        <v>0</v>
      </c>
      <c r="E50" s="704" t="n">
        <v>0</v>
      </c>
      <c r="F50" s="704" t="n">
        <v>0</v>
      </c>
      <c r="G50" s="704" t="n">
        <v>0</v>
      </c>
      <c r="H50" s="704" t="n">
        <v>0</v>
      </c>
      <c r="I50" s="704" t="n">
        <v>0</v>
      </c>
      <c r="J50" s="704" t="n">
        <v>0</v>
      </c>
      <c r="K50" s="704" t="n">
        <v>0</v>
      </c>
      <c r="L50" s="704" t="n">
        <v>0</v>
      </c>
      <c r="M50" s="704" t="n">
        <v>0</v>
      </c>
      <c r="N50" s="704" t="n">
        <v>0</v>
      </c>
      <c r="O50" s="704" t="n">
        <v>0</v>
      </c>
      <c r="P50" s="704" t="n">
        <v>0</v>
      </c>
      <c r="Q50" s="704" t="n">
        <v>0</v>
      </c>
      <c r="R50" s="704" t="n">
        <v>0</v>
      </c>
      <c r="S50" s="704" t="n">
        <v>0</v>
      </c>
      <c r="T50" s="704" t="n">
        <v>0</v>
      </c>
      <c r="U50" s="704" t="n">
        <v>0</v>
      </c>
      <c r="V50" s="704" t="n">
        <v>0</v>
      </c>
      <c r="W50" s="704" t="n">
        <v>0</v>
      </c>
      <c r="X50" s="704" t="n">
        <v>0</v>
      </c>
      <c r="Y50" s="704" t="n">
        <v>0</v>
      </c>
      <c r="Z50" s="704" t="n">
        <v>0</v>
      </c>
      <c r="AA50" s="704" t="n">
        <v>0</v>
      </c>
      <c r="AB50" s="704" t="n">
        <v>0</v>
      </c>
      <c r="AC50" s="704" t="n">
        <v>0</v>
      </c>
      <c r="AD50" s="704" t="n">
        <v>0</v>
      </c>
      <c r="AE50" s="704" t="n">
        <v>0</v>
      </c>
      <c r="AF50" s="704" t="n">
        <v>0</v>
      </c>
      <c r="AG50" s="704" t="n">
        <v>0</v>
      </c>
      <c r="AH50" s="704" t="n">
        <v>0</v>
      </c>
      <c r="AI50" s="704" t="n">
        <v>0</v>
      </c>
      <c r="AJ50" s="704" t="n">
        <v>0</v>
      </c>
      <c r="AK50" s="704" t="n">
        <v>0</v>
      </c>
      <c r="AL50" s="704" t="n">
        <v>0</v>
      </c>
      <c r="AM50" s="704" t="n">
        <v>0</v>
      </c>
      <c r="AN50" s="704" t="n">
        <v>0</v>
      </c>
      <c r="AO50" s="704" t="n">
        <v>0</v>
      </c>
      <c r="AP50" s="704" t="n">
        <v>0</v>
      </c>
      <c r="AQ50" s="704" t="n">
        <v>0</v>
      </c>
      <c r="AR50" s="704" t="n">
        <v>0</v>
      </c>
      <c r="AS50" s="704" t="n">
        <v>0</v>
      </c>
      <c r="AT50" s="704" t="n">
        <v>0</v>
      </c>
      <c r="AU50" s="704" t="n">
        <v>0</v>
      </c>
      <c r="AV50" s="704" t="n">
        <v>0</v>
      </c>
      <c r="AW50" s="704" t="n">
        <v>0</v>
      </c>
      <c r="AX50" s="704" t="n">
        <v>0</v>
      </c>
      <c r="AY50" s="704" t="n">
        <v>0</v>
      </c>
      <c r="AZ50" s="704" t="n">
        <v>0</v>
      </c>
      <c r="BA50" s="704" t="n">
        <v>0</v>
      </c>
      <c r="BB50" s="704" t="n">
        <v>0</v>
      </c>
      <c r="BC50" s="704" t="n">
        <v>0</v>
      </c>
      <c r="BD50" s="704" t="n">
        <v>0</v>
      </c>
      <c r="BE50" s="704" t="n">
        <v>0</v>
      </c>
      <c r="BF50" s="704" t="n">
        <v>0</v>
      </c>
      <c r="BG50" s="704" t="n">
        <v>0</v>
      </c>
      <c r="BH50" s="704" t="n">
        <v>0</v>
      </c>
      <c r="BI50" s="704" t="n">
        <v>0</v>
      </c>
      <c r="BJ50" s="704" t="n">
        <v>0</v>
      </c>
      <c r="BK50" s="704" t="n">
        <v>0</v>
      </c>
      <c r="BL50" s="704" t="n">
        <v>0</v>
      </c>
      <c r="BM50" s="704" t="n">
        <v>0</v>
      </c>
      <c r="BN50" s="704" t="n">
        <v>0</v>
      </c>
      <c r="BO50" s="704" t="n">
        <v>0</v>
      </c>
      <c r="BP50" s="704" t="n">
        <v>0</v>
      </c>
      <c r="BQ50" s="704" t="n">
        <v>0</v>
      </c>
      <c r="BR50" s="704" t="n">
        <v>0</v>
      </c>
      <c r="BS50" s="704" t="n">
        <v>0</v>
      </c>
      <c r="BT50" s="704" t="n">
        <v>0</v>
      </c>
      <c r="BU50" s="704" t="n">
        <v>0</v>
      </c>
      <c r="BV50" s="704" t="n">
        <v>0</v>
      </c>
      <c r="BW50" s="704" t="n">
        <v>0</v>
      </c>
      <c r="BX50" s="704" t="n">
        <v>0</v>
      </c>
      <c r="BY50" s="704" t="n">
        <v>0</v>
      </c>
      <c r="BZ50" s="704" t="n">
        <v>0</v>
      </c>
      <c r="CA50" s="704" t="n">
        <v>0</v>
      </c>
      <c r="CB50" s="704" t="n">
        <v>0</v>
      </c>
      <c r="CC50" s="704" t="n">
        <v>0</v>
      </c>
      <c r="CD50" s="704" t="n">
        <v>0</v>
      </c>
      <c r="CE50" s="704" t="n">
        <v>0</v>
      </c>
      <c r="CF50" s="704" t="n">
        <v>0</v>
      </c>
      <c r="CG50" s="704" t="n">
        <v>0</v>
      </c>
      <c r="CH50" s="704" t="n">
        <v>0</v>
      </c>
      <c r="CI50" s="704" t="n">
        <v>0</v>
      </c>
      <c r="CJ50" s="704" t="n">
        <v>0</v>
      </c>
      <c r="CK50" s="704" t="n">
        <v>0</v>
      </c>
      <c r="CL50" s="704" t="n">
        <v>0</v>
      </c>
      <c r="CM50" s="704" t="n">
        <v>0</v>
      </c>
      <c r="CN50" s="704" t="n">
        <v>0</v>
      </c>
      <c r="CO50" s="704" t="n">
        <v>0</v>
      </c>
      <c r="CP50" s="704" t="n">
        <v>0</v>
      </c>
      <c r="CQ50" s="704" t="n">
        <v>0</v>
      </c>
      <c r="CR50" s="704" t="n">
        <v>0</v>
      </c>
      <c r="CS50" s="704" t="n">
        <v>0</v>
      </c>
      <c r="CT50" s="704" t="n">
        <v>0</v>
      </c>
      <c r="CU50" s="704" t="n">
        <v>0</v>
      </c>
      <c r="CV50" s="704" t="n">
        <v>0</v>
      </c>
      <c r="CW50" s="704" t="n">
        <v>0</v>
      </c>
      <c r="CX50" s="704" t="n">
        <v>0</v>
      </c>
      <c r="CY50" s="704" t="n">
        <v>0</v>
      </c>
      <c r="CZ50" s="704" t="n">
        <v>0</v>
      </c>
      <c r="DA50" s="704" t="n">
        <v>0</v>
      </c>
      <c r="DB50" s="704" t="n">
        <v>0</v>
      </c>
      <c r="DC50" s="704" t="n">
        <v>0</v>
      </c>
      <c r="DD50" s="704" t="n">
        <v>0</v>
      </c>
      <c r="DE50" s="704" t="n">
        <v>0</v>
      </c>
      <c r="DF50" s="704" t="n">
        <v>0</v>
      </c>
      <c r="DG50" s="704" t="n">
        <v>0</v>
      </c>
      <c r="DH50" s="704" t="n">
        <v>0</v>
      </c>
      <c r="DI50" s="704" t="n">
        <v>0</v>
      </c>
      <c r="DJ50" s="704" t="n">
        <v>0</v>
      </c>
      <c r="DK50" s="704" t="n">
        <v>0</v>
      </c>
      <c r="DL50" s="704" t="n">
        <v>0</v>
      </c>
      <c r="DM50" s="704" t="n">
        <v>0</v>
      </c>
    </row>
    <row r="51" ht="13.5" customHeight="1" s="355">
      <c r="B51" s="703" t="inlineStr">
        <is>
          <t>T&amp;E</t>
        </is>
      </c>
      <c r="D51" s="704" t="n">
        <v>0</v>
      </c>
      <c r="E51" s="704" t="n">
        <v>0</v>
      </c>
      <c r="F51" s="704" t="n">
        <v>0</v>
      </c>
      <c r="G51" s="704" t="n">
        <v>0</v>
      </c>
      <c r="H51" s="704" t="n">
        <v>0</v>
      </c>
      <c r="I51" s="704" t="n">
        <v>0</v>
      </c>
      <c r="J51" s="704" t="n">
        <v>0</v>
      </c>
      <c r="K51" s="704" t="n">
        <v>0</v>
      </c>
      <c r="L51" s="704" t="n">
        <v>0.283382797405324</v>
      </c>
      <c r="M51" s="704" t="n">
        <v>1.41691398702662</v>
      </c>
      <c r="N51" s="704" t="n">
        <v>1.41691398702662</v>
      </c>
      <c r="O51" s="704" t="n">
        <v>1.41691398702662</v>
      </c>
      <c r="P51" s="704" t="n">
        <v>1.45942140663742</v>
      </c>
      <c r="Q51" s="704" t="n">
        <v>1.45942140663742</v>
      </c>
      <c r="R51" s="704" t="n">
        <v>1.45942140663742</v>
      </c>
      <c r="S51" s="704" t="n">
        <v>1.45942140663742</v>
      </c>
      <c r="T51" s="704" t="n">
        <v>1.45942140663742</v>
      </c>
      <c r="U51" s="704" t="n">
        <v>1.45942140663742</v>
      </c>
      <c r="V51" s="704" t="n">
        <v>1.45942140663742</v>
      </c>
      <c r="W51" s="704" t="n">
        <v>1.45942140663742</v>
      </c>
      <c r="X51" s="704" t="n">
        <v>1.45942140663742</v>
      </c>
      <c r="Y51" s="704" t="n">
        <v>1.45942140663742</v>
      </c>
      <c r="Z51" s="704" t="n">
        <v>1.45942140663742</v>
      </c>
      <c r="AA51" s="704" t="n">
        <v>1.45942140663742</v>
      </c>
      <c r="AB51" s="704" t="n">
        <v>1.50320404883654</v>
      </c>
      <c r="AC51" s="704" t="n">
        <v>1.46562394761563</v>
      </c>
      <c r="AD51" s="704" t="n">
        <v>1.46562394761563</v>
      </c>
      <c r="AE51" s="704" t="n">
        <v>1.46562394761563</v>
      </c>
      <c r="AF51" s="704" t="n">
        <v>1.46562394761563</v>
      </c>
      <c r="AG51" s="704" t="n">
        <v>1.46562394761563</v>
      </c>
      <c r="AH51" s="704" t="n">
        <v>1.46562394761563</v>
      </c>
      <c r="AI51" s="704" t="n">
        <v>1.46562394761563</v>
      </c>
      <c r="AJ51" s="704" t="n">
        <v>1.46562394761563</v>
      </c>
      <c r="AK51" s="704" t="n">
        <v>1.46562394761563</v>
      </c>
      <c r="AL51" s="704" t="n">
        <v>1.46562394761563</v>
      </c>
      <c r="AM51" s="704" t="n">
        <v>1.46562394761563</v>
      </c>
      <c r="AN51" s="704" t="n">
        <v>1.5095926660441</v>
      </c>
      <c r="AO51" s="704" t="n">
        <v>1.47088516178655</v>
      </c>
      <c r="AP51" s="704" t="n">
        <v>1.47088516178655</v>
      </c>
      <c r="AQ51" s="704" t="n">
        <v>1.47088516178655</v>
      </c>
      <c r="AR51" s="704" t="n">
        <v>1.47088516178655</v>
      </c>
      <c r="AS51" s="704" t="n">
        <v>1.47088516178655</v>
      </c>
      <c r="AT51" s="704" t="n">
        <v>1.47088516178655</v>
      </c>
      <c r="AU51" s="704" t="n">
        <v>1.47088516178655</v>
      </c>
      <c r="AV51" s="704" t="n">
        <v>1.47088516178655</v>
      </c>
      <c r="AW51" s="704" t="n">
        <v>1.47088516178655</v>
      </c>
      <c r="AX51" s="704" t="n">
        <v>1.47088516178655</v>
      </c>
      <c r="AY51" s="704" t="n">
        <v>1.47088516178655</v>
      </c>
      <c r="AZ51" s="704" t="n">
        <v>1.51501171664015</v>
      </c>
      <c r="BA51" s="704" t="n">
        <v>1.47514298725488</v>
      </c>
      <c r="BB51" s="704" t="n">
        <v>1.47514298725488</v>
      </c>
      <c r="BC51" s="704" t="n">
        <v>1.47514298725488</v>
      </c>
      <c r="BD51" s="704" t="n">
        <v>1.47514298725488</v>
      </c>
      <c r="BE51" s="704" t="n">
        <v>1.47514298725488</v>
      </c>
      <c r="BF51" s="704" t="n">
        <v>1.47514298725488</v>
      </c>
      <c r="BG51" s="704" t="n">
        <v>1.47514298725488</v>
      </c>
      <c r="BH51" s="704" t="n">
        <v>1.47514298725488</v>
      </c>
      <c r="BI51" s="704" t="n">
        <v>1.47514298725488</v>
      </c>
      <c r="BJ51" s="704" t="n">
        <v>1.47514298725488</v>
      </c>
      <c r="BK51" s="704" t="n">
        <v>1.47514298725488</v>
      </c>
      <c r="BL51" s="704" t="n">
        <v>1.51939727687253</v>
      </c>
      <c r="BM51" s="704" t="n">
        <v>1.43726769433888</v>
      </c>
      <c r="BN51" s="704" t="n">
        <v>1.43726769433888</v>
      </c>
      <c r="BO51" s="704" t="n">
        <v>1.43726769433888</v>
      </c>
      <c r="BP51" s="704" t="n">
        <v>1.43726769433888</v>
      </c>
      <c r="BQ51" s="704" t="n">
        <v>1.43726769433888</v>
      </c>
      <c r="BR51" s="704" t="n">
        <v>1.43726769433888</v>
      </c>
      <c r="BS51" s="704" t="n">
        <v>1.43726769433888</v>
      </c>
      <c r="BT51" s="704" t="n">
        <v>1.43726769433888</v>
      </c>
      <c r="BU51" s="704" t="n">
        <v>1.43726769433888</v>
      </c>
      <c r="BV51" s="704" t="n">
        <v>1.43726769433888</v>
      </c>
      <c r="BW51" s="704" t="n">
        <v>1.43726769433888</v>
      </c>
      <c r="BX51" s="704" t="n">
        <v>1.48038572516905</v>
      </c>
      <c r="BY51" s="704" t="n">
        <v>1.48038572516905</v>
      </c>
      <c r="BZ51" s="704" t="n">
        <v>1.48038572516905</v>
      </c>
      <c r="CA51" s="704" t="n">
        <v>1.48038572516905</v>
      </c>
      <c r="CB51" s="704" t="n">
        <v>1.48038572516905</v>
      </c>
      <c r="CC51" s="704" t="n">
        <v>1.48038572516905</v>
      </c>
      <c r="CD51" s="704" t="n">
        <v>1.48038572516905</v>
      </c>
      <c r="CE51" s="704" t="n">
        <v>1.48038572516905</v>
      </c>
      <c r="CF51" s="704" t="n">
        <v>1.48038572516905</v>
      </c>
      <c r="CG51" s="704" t="n">
        <v>1.48038572516905</v>
      </c>
      <c r="CH51" s="704" t="n">
        <v>1.48038572516905</v>
      </c>
      <c r="CI51" s="704" t="n">
        <v>1.48038572516905</v>
      </c>
      <c r="CJ51" s="704" t="n">
        <v>1.52479729692412</v>
      </c>
      <c r="CK51" s="704" t="n">
        <v>1.52479729692412</v>
      </c>
      <c r="CL51" s="704" t="n">
        <v>1.52479729692412</v>
      </c>
      <c r="CM51" s="704" t="n">
        <v>1.52479729692412</v>
      </c>
      <c r="CN51" s="704" t="n">
        <v>1.52479729692412</v>
      </c>
      <c r="CO51" s="704" t="n">
        <v>1.52479729692412</v>
      </c>
      <c r="CP51" s="704" t="n">
        <v>1.52479729692412</v>
      </c>
      <c r="CQ51" s="704" t="n">
        <v>1.52479729692412</v>
      </c>
      <c r="CR51" s="704" t="n">
        <v>1.52479729692412</v>
      </c>
      <c r="CS51" s="704" t="n">
        <v>1.52479729692412</v>
      </c>
      <c r="CT51" s="704" t="n">
        <v>1.52479729692412</v>
      </c>
      <c r="CU51" s="704" t="n">
        <v>1.52479729692412</v>
      </c>
      <c r="CV51" s="704" t="n">
        <v>1.57054121583184</v>
      </c>
      <c r="CW51" s="704" t="n">
        <v>1.57054121583184</v>
      </c>
      <c r="CX51" s="704" t="n">
        <v>1.57054121583184</v>
      </c>
      <c r="CY51" s="704" t="n">
        <v>1.57054121583184</v>
      </c>
      <c r="CZ51" s="704" t="n">
        <v>1.57054121583184</v>
      </c>
      <c r="DA51" s="704" t="n">
        <v>1.57054121583184</v>
      </c>
      <c r="DB51" s="704" t="n">
        <v>1.57054121583184</v>
      </c>
      <c r="DC51" s="704" t="n">
        <v>1.57054121583184</v>
      </c>
      <c r="DD51" s="704" t="n">
        <v>1.57054121583184</v>
      </c>
      <c r="DE51" s="704" t="n">
        <v>1.57054121583184</v>
      </c>
      <c r="DF51" s="704" t="n">
        <v>1.57054121583184</v>
      </c>
      <c r="DG51" s="704" t="n">
        <v>1.57054121583184</v>
      </c>
      <c r="DH51" s="704" t="n">
        <v>1.57054121583184</v>
      </c>
      <c r="DI51" s="704" t="n">
        <v>1.57054121583184</v>
      </c>
      <c r="DJ51" s="704" t="n">
        <v>1.57054121583184</v>
      </c>
      <c r="DK51" s="704" t="n">
        <v>1.57054121583184</v>
      </c>
      <c r="DL51" s="704" t="n">
        <v>1.57054121583184</v>
      </c>
      <c r="DM51" s="704" t="n">
        <v>1.57054121583184</v>
      </c>
    </row>
    <row r="52" ht="13.5" customHeight="1" s="355">
      <c r="B52" s="703" t="inlineStr">
        <is>
          <t>Order to Cash</t>
        </is>
      </c>
      <c r="D52" s="704" t="n">
        <v>0</v>
      </c>
      <c r="E52" s="704" t="n">
        <v>0</v>
      </c>
      <c r="F52" s="704" t="n">
        <v>0</v>
      </c>
      <c r="G52" s="704" t="n">
        <v>0</v>
      </c>
      <c r="H52" s="704" t="n">
        <v>0</v>
      </c>
      <c r="I52" s="704" t="n">
        <v>0</v>
      </c>
      <c r="J52" s="704" t="n">
        <v>0</v>
      </c>
      <c r="K52" s="704" t="n">
        <v>0</v>
      </c>
      <c r="L52" s="704" t="n">
        <v>0.574491226420404</v>
      </c>
      <c r="M52" s="704" t="n">
        <v>2.87245613210202</v>
      </c>
      <c r="N52" s="704" t="n">
        <v>2.87245613210202</v>
      </c>
      <c r="O52" s="704" t="n">
        <v>2.87245613210202</v>
      </c>
      <c r="P52" s="704" t="n">
        <v>2.95862981606508</v>
      </c>
      <c r="Q52" s="704" t="n">
        <v>2.95862981606508</v>
      </c>
      <c r="R52" s="704" t="n">
        <v>2.95862981606508</v>
      </c>
      <c r="S52" s="704" t="n">
        <v>2.95862981606508</v>
      </c>
      <c r="T52" s="704" t="n">
        <v>2.95862981606508</v>
      </c>
      <c r="U52" s="704" t="n">
        <v>2.95862981606508</v>
      </c>
      <c r="V52" s="704" t="n">
        <v>2.95862981606508</v>
      </c>
      <c r="W52" s="704" t="n">
        <v>2.95862981606508</v>
      </c>
      <c r="X52" s="704" t="n">
        <v>2.95862981606508</v>
      </c>
      <c r="Y52" s="704" t="n">
        <v>2.95862981606508</v>
      </c>
      <c r="Z52" s="704" t="n">
        <v>2.95862981606508</v>
      </c>
      <c r="AA52" s="704" t="n">
        <v>2.95862981606508</v>
      </c>
      <c r="AB52" s="704" t="n">
        <v>3.04738871054703</v>
      </c>
      <c r="AC52" s="704" t="n">
        <v>2.97120399278336</v>
      </c>
      <c r="AD52" s="704" t="n">
        <v>2.97120399278336</v>
      </c>
      <c r="AE52" s="704" t="n">
        <v>2.97120399278336</v>
      </c>
      <c r="AF52" s="704" t="n">
        <v>2.97120399278336</v>
      </c>
      <c r="AG52" s="704" t="n">
        <v>2.97120399278336</v>
      </c>
      <c r="AH52" s="704" t="n">
        <v>2.97120399278336</v>
      </c>
      <c r="AI52" s="704" t="n">
        <v>2.97120399278336</v>
      </c>
      <c r="AJ52" s="704" t="n">
        <v>2.97120399278336</v>
      </c>
      <c r="AK52" s="704" t="n">
        <v>2.97120399278336</v>
      </c>
      <c r="AL52" s="704" t="n">
        <v>2.97120399278336</v>
      </c>
      <c r="AM52" s="704" t="n">
        <v>2.97120399278336</v>
      </c>
      <c r="AN52" s="704" t="n">
        <v>3.06034011256686</v>
      </c>
      <c r="AO52" s="704" t="n">
        <v>2.98186985327027</v>
      </c>
      <c r="AP52" s="704" t="n">
        <v>2.98186985327027</v>
      </c>
      <c r="AQ52" s="704" t="n">
        <v>2.98186985327027</v>
      </c>
      <c r="AR52" s="704" t="n">
        <v>2.98186985327027</v>
      </c>
      <c r="AS52" s="704" t="n">
        <v>2.98186985327027</v>
      </c>
      <c r="AT52" s="704" t="n">
        <v>2.98186985327027</v>
      </c>
      <c r="AU52" s="704" t="n">
        <v>2.98186985327027</v>
      </c>
      <c r="AV52" s="704" t="n">
        <v>2.98186985327027</v>
      </c>
      <c r="AW52" s="704" t="n">
        <v>2.98186985327027</v>
      </c>
      <c r="AX52" s="704" t="n">
        <v>2.98186985327027</v>
      </c>
      <c r="AY52" s="704" t="n">
        <v>2.98186985327027</v>
      </c>
      <c r="AZ52" s="704" t="n">
        <v>3.07132594886838</v>
      </c>
      <c r="BA52" s="704" t="n">
        <v>2.99050158179289</v>
      </c>
      <c r="BB52" s="704" t="n">
        <v>2.99050158179289</v>
      </c>
      <c r="BC52" s="704" t="n">
        <v>2.99050158179289</v>
      </c>
      <c r="BD52" s="704" t="n">
        <v>2.99050158179289</v>
      </c>
      <c r="BE52" s="704" t="n">
        <v>2.99050158179289</v>
      </c>
      <c r="BF52" s="704" t="n">
        <v>2.99050158179289</v>
      </c>
      <c r="BG52" s="704" t="n">
        <v>2.99050158179289</v>
      </c>
      <c r="BH52" s="704" t="n">
        <v>2.99050158179289</v>
      </c>
      <c r="BI52" s="704" t="n">
        <v>2.99050158179289</v>
      </c>
      <c r="BJ52" s="704" t="n">
        <v>2.99050158179289</v>
      </c>
      <c r="BK52" s="704" t="n">
        <v>2.99050158179289</v>
      </c>
      <c r="BL52" s="704" t="n">
        <v>3.08021662924668</v>
      </c>
      <c r="BM52" s="704" t="n">
        <v>2.91371843307119</v>
      </c>
      <c r="BN52" s="704" t="n">
        <v>2.91371843307119</v>
      </c>
      <c r="BO52" s="704" t="n">
        <v>2.91371843307119</v>
      </c>
      <c r="BP52" s="704" t="n">
        <v>2.91371843307119</v>
      </c>
      <c r="BQ52" s="704" t="n">
        <v>2.91371843307119</v>
      </c>
      <c r="BR52" s="704" t="n">
        <v>2.91371843307119</v>
      </c>
      <c r="BS52" s="704" t="n">
        <v>2.91371843307119</v>
      </c>
      <c r="BT52" s="704" t="n">
        <v>2.91371843307119</v>
      </c>
      <c r="BU52" s="704" t="n">
        <v>2.91371843307119</v>
      </c>
      <c r="BV52" s="704" t="n">
        <v>2.91371843307119</v>
      </c>
      <c r="BW52" s="704" t="n">
        <v>2.91371843307119</v>
      </c>
      <c r="BX52" s="704" t="n">
        <v>3.00112998606332</v>
      </c>
      <c r="BY52" s="704" t="n">
        <v>3.00112998606332</v>
      </c>
      <c r="BZ52" s="704" t="n">
        <v>3.00112998606332</v>
      </c>
      <c r="CA52" s="704" t="n">
        <v>3.00112998606332</v>
      </c>
      <c r="CB52" s="704" t="n">
        <v>3.00112998606332</v>
      </c>
      <c r="CC52" s="704" t="n">
        <v>3.00112998606332</v>
      </c>
      <c r="CD52" s="704" t="n">
        <v>3.00112998606332</v>
      </c>
      <c r="CE52" s="704" t="n">
        <v>3.00112998606332</v>
      </c>
      <c r="CF52" s="704" t="n">
        <v>3.00112998606332</v>
      </c>
      <c r="CG52" s="704" t="n">
        <v>3.00112998606332</v>
      </c>
      <c r="CH52" s="704" t="n">
        <v>3.00112998606332</v>
      </c>
      <c r="CI52" s="704" t="n">
        <v>3.00112998606332</v>
      </c>
      <c r="CJ52" s="704" t="n">
        <v>3.09116388564522</v>
      </c>
      <c r="CK52" s="704" t="n">
        <v>3.09116388564522</v>
      </c>
      <c r="CL52" s="704" t="n">
        <v>3.09116388564522</v>
      </c>
      <c r="CM52" s="704" t="n">
        <v>3.09116388564522</v>
      </c>
      <c r="CN52" s="704" t="n">
        <v>3.09116388564522</v>
      </c>
      <c r="CO52" s="704" t="n">
        <v>3.09116388564522</v>
      </c>
      <c r="CP52" s="704" t="n">
        <v>3.09116388564522</v>
      </c>
      <c r="CQ52" s="704" t="n">
        <v>3.09116388564522</v>
      </c>
      <c r="CR52" s="704" t="n">
        <v>3.09116388564522</v>
      </c>
      <c r="CS52" s="704" t="n">
        <v>3.09116388564522</v>
      </c>
      <c r="CT52" s="704" t="n">
        <v>3.09116388564522</v>
      </c>
      <c r="CU52" s="704" t="n">
        <v>3.09116388564522</v>
      </c>
      <c r="CV52" s="704" t="n">
        <v>3.18389880221458</v>
      </c>
      <c r="CW52" s="704" t="n">
        <v>3.18389880221458</v>
      </c>
      <c r="CX52" s="704" t="n">
        <v>3.18389880221458</v>
      </c>
      <c r="CY52" s="704" t="n">
        <v>3.18389880221458</v>
      </c>
      <c r="CZ52" s="704" t="n">
        <v>3.18389880221458</v>
      </c>
      <c r="DA52" s="704" t="n">
        <v>3.18389880221458</v>
      </c>
      <c r="DB52" s="704" t="n">
        <v>3.18389880221458</v>
      </c>
      <c r="DC52" s="704" t="n">
        <v>3.18389880221458</v>
      </c>
      <c r="DD52" s="704" t="n">
        <v>3.18389880221458</v>
      </c>
      <c r="DE52" s="704" t="n">
        <v>3.18389880221458</v>
      </c>
      <c r="DF52" s="704" t="n">
        <v>3.18389880221458</v>
      </c>
      <c r="DG52" s="704" t="n">
        <v>3.18389880221458</v>
      </c>
      <c r="DH52" s="704" t="n">
        <v>3.18389880221458</v>
      </c>
      <c r="DI52" s="704" t="n">
        <v>3.18389880221458</v>
      </c>
      <c r="DJ52" s="704" t="n">
        <v>3.18389880221458</v>
      </c>
      <c r="DK52" s="704" t="n">
        <v>3.18389880221458</v>
      </c>
      <c r="DL52" s="704" t="n">
        <v>3.18389880221458</v>
      </c>
      <c r="DM52" s="704" t="n">
        <v>3.18389880221458</v>
      </c>
    </row>
    <row r="53" ht="13.5" customHeight="1" s="355">
      <c r="B53" s="703" t="inlineStr">
        <is>
          <t>Req to Pay</t>
        </is>
      </c>
      <c r="D53" s="704" t="n">
        <v>0</v>
      </c>
      <c r="E53" s="704" t="n">
        <v>0</v>
      </c>
      <c r="F53" s="704" t="n">
        <v>0</v>
      </c>
      <c r="G53" s="704" t="n">
        <v>0</v>
      </c>
      <c r="H53" s="704" t="n">
        <v>0</v>
      </c>
      <c r="I53" s="704" t="n">
        <v>0</v>
      </c>
      <c r="J53" s="704" t="n">
        <v>0</v>
      </c>
      <c r="K53" s="704" t="n">
        <v>0</v>
      </c>
      <c r="L53" s="704" t="n">
        <v>8.399238226899691</v>
      </c>
      <c r="M53" s="704" t="n">
        <v>12.5988573403495</v>
      </c>
      <c r="N53" s="704" t="n">
        <v>12.5988573403495</v>
      </c>
      <c r="O53" s="704" t="n">
        <v>12.5988573403495</v>
      </c>
      <c r="P53" s="704" t="n">
        <v>12.97682306056</v>
      </c>
      <c r="Q53" s="704" t="n">
        <v>12.97682306056</v>
      </c>
      <c r="R53" s="704" t="n">
        <v>12.97682306056</v>
      </c>
      <c r="S53" s="704" t="n">
        <v>12.97682306056</v>
      </c>
      <c r="T53" s="704" t="n">
        <v>12.5293464032993</v>
      </c>
      <c r="U53" s="704" t="n">
        <v>12.5293464032993</v>
      </c>
      <c r="V53" s="704" t="n">
        <v>12.5293464032993</v>
      </c>
      <c r="W53" s="704" t="n">
        <v>12.5293464032993</v>
      </c>
      <c r="X53" s="704" t="n">
        <v>12.5293464032993</v>
      </c>
      <c r="Y53" s="704" t="n">
        <v>12.5293464032993</v>
      </c>
      <c r="Z53" s="704" t="n">
        <v>12.5293464032993</v>
      </c>
      <c r="AA53" s="704" t="n">
        <v>12.5293464032993</v>
      </c>
      <c r="AB53" s="704" t="n">
        <v>12.9052267953983</v>
      </c>
      <c r="AC53" s="704" t="n">
        <v>12.4443258384198</v>
      </c>
      <c r="AD53" s="704" t="n">
        <v>12.4443258384198</v>
      </c>
      <c r="AE53" s="704" t="n">
        <v>12.4443258384198</v>
      </c>
      <c r="AF53" s="704" t="n">
        <v>12.4443258384198</v>
      </c>
      <c r="AG53" s="704" t="n">
        <v>12.4443258384198</v>
      </c>
      <c r="AH53" s="704" t="n">
        <v>12.4443258384198</v>
      </c>
      <c r="AI53" s="704" t="n">
        <v>12.4443258384198</v>
      </c>
      <c r="AJ53" s="704" t="n">
        <v>12.4443258384198</v>
      </c>
      <c r="AK53" s="704" t="n">
        <v>12.4443258384198</v>
      </c>
      <c r="AL53" s="704" t="n">
        <v>12.4443258384198</v>
      </c>
      <c r="AM53" s="704" t="n">
        <v>12.4443258384198</v>
      </c>
      <c r="AN53" s="704" t="n">
        <v>12.8176556135724</v>
      </c>
      <c r="AO53" s="704" t="n">
        <v>12.3429276278845</v>
      </c>
      <c r="AP53" s="704" t="n">
        <v>12.3429276278845</v>
      </c>
      <c r="AQ53" s="704" t="n">
        <v>12.3429276278845</v>
      </c>
      <c r="AR53" s="704" t="n">
        <v>12.3429276278845</v>
      </c>
      <c r="AS53" s="704" t="n">
        <v>12.3429276278845</v>
      </c>
      <c r="AT53" s="704" t="n">
        <v>12.3429276278845</v>
      </c>
      <c r="AU53" s="704" t="n">
        <v>12.3429276278845</v>
      </c>
      <c r="AV53" s="704" t="n">
        <v>12.3429276278845</v>
      </c>
      <c r="AW53" s="704" t="n">
        <v>12.3429276278845</v>
      </c>
      <c r="AX53" s="704" t="n">
        <v>12.3429276278845</v>
      </c>
      <c r="AY53" s="704" t="n">
        <v>12.3429276278845</v>
      </c>
      <c r="AZ53" s="704" t="n">
        <v>12.7132154567211</v>
      </c>
      <c r="BA53" s="704" t="n">
        <v>12.2242456314626</v>
      </c>
      <c r="BB53" s="704" t="n">
        <v>12.2242456314626</v>
      </c>
      <c r="BC53" s="704" t="n">
        <v>12.2242456314626</v>
      </c>
      <c r="BD53" s="704" t="n">
        <v>12.2242456314626</v>
      </c>
      <c r="BE53" s="704" t="n">
        <v>12.2242456314626</v>
      </c>
      <c r="BF53" s="704" t="n">
        <v>12.2242456314626</v>
      </c>
      <c r="BG53" s="704" t="n">
        <v>12.2242456314626</v>
      </c>
      <c r="BH53" s="704" t="n">
        <v>12.2242456314626</v>
      </c>
      <c r="BI53" s="704" t="n">
        <v>12.2242456314626</v>
      </c>
      <c r="BJ53" s="704" t="n">
        <v>12.2242456314626</v>
      </c>
      <c r="BK53" s="704" t="n">
        <v>12.2242456314626</v>
      </c>
      <c r="BL53" s="704" t="n">
        <v>12.5909730004064</v>
      </c>
      <c r="BM53" s="704" t="n">
        <v>12.0873340803902</v>
      </c>
      <c r="BN53" s="704" t="n">
        <v>12.0873340803902</v>
      </c>
      <c r="BO53" s="704" t="n">
        <v>12.0873340803902</v>
      </c>
      <c r="BP53" s="704" t="n">
        <v>12.0873340803902</v>
      </c>
      <c r="BQ53" s="704" t="n">
        <v>12.0873340803902</v>
      </c>
      <c r="BR53" s="704" t="n">
        <v>12.0873340803902</v>
      </c>
      <c r="BS53" s="704" t="n">
        <v>12.0873340803902</v>
      </c>
      <c r="BT53" s="704" t="n">
        <v>12.0873340803902</v>
      </c>
      <c r="BU53" s="704" t="n">
        <v>12.0873340803902</v>
      </c>
      <c r="BV53" s="704" t="n">
        <v>12.0873340803902</v>
      </c>
      <c r="BW53" s="704" t="n">
        <v>12.0873340803902</v>
      </c>
      <c r="BX53" s="704" t="n">
        <v>12.4499541028019</v>
      </c>
      <c r="BY53" s="704" t="n">
        <v>12.4499541028019</v>
      </c>
      <c r="BZ53" s="704" t="n">
        <v>12.4499541028019</v>
      </c>
      <c r="CA53" s="704" t="n">
        <v>12.4499541028019</v>
      </c>
      <c r="CB53" s="704" t="n">
        <v>12.4499541028019</v>
      </c>
      <c r="CC53" s="704" t="n">
        <v>12.4499541028019</v>
      </c>
      <c r="CD53" s="704" t="n">
        <v>12.4499541028019</v>
      </c>
      <c r="CE53" s="704" t="n">
        <v>12.4499541028019</v>
      </c>
      <c r="CF53" s="704" t="n">
        <v>12.4499541028019</v>
      </c>
      <c r="CG53" s="704" t="n">
        <v>12.4499541028019</v>
      </c>
      <c r="CH53" s="704" t="n">
        <v>12.4499541028019</v>
      </c>
      <c r="CI53" s="704" t="n">
        <v>12.4499541028019</v>
      </c>
      <c r="CJ53" s="704" t="n">
        <v>12.8234527258859</v>
      </c>
      <c r="CK53" s="704" t="n">
        <v>12.8234527258859</v>
      </c>
      <c r="CL53" s="704" t="n">
        <v>12.8234527258859</v>
      </c>
      <c r="CM53" s="704" t="n">
        <v>12.8234527258859</v>
      </c>
      <c r="CN53" s="704" t="n">
        <v>12.8234527258859</v>
      </c>
      <c r="CO53" s="704" t="n">
        <v>12.8234527258859</v>
      </c>
      <c r="CP53" s="704" t="n">
        <v>12.8234527258859</v>
      </c>
      <c r="CQ53" s="704" t="n">
        <v>12.8234527258859</v>
      </c>
      <c r="CR53" s="704" t="n">
        <v>12.8234527258859</v>
      </c>
      <c r="CS53" s="704" t="n">
        <v>12.8234527258859</v>
      </c>
      <c r="CT53" s="704" t="n">
        <v>12.8234527258859</v>
      </c>
      <c r="CU53" s="704" t="n">
        <v>12.8234527258859</v>
      </c>
      <c r="CV53" s="704" t="n">
        <v>13.2081563076625</v>
      </c>
      <c r="CW53" s="704" t="n">
        <v>13.2081563076625</v>
      </c>
      <c r="CX53" s="704" t="n">
        <v>13.2081563076625</v>
      </c>
      <c r="CY53" s="704" t="n">
        <v>13.2081563076625</v>
      </c>
      <c r="CZ53" s="704" t="n">
        <v>13.2081563076625</v>
      </c>
      <c r="DA53" s="704" t="n">
        <v>13.2081563076625</v>
      </c>
      <c r="DB53" s="704" t="n">
        <v>13.2081563076625</v>
      </c>
      <c r="DC53" s="704" t="n">
        <v>13.2081563076625</v>
      </c>
      <c r="DD53" s="704" t="n">
        <v>13.2081563076625</v>
      </c>
      <c r="DE53" s="704" t="n">
        <v>13.2081563076625</v>
      </c>
      <c r="DF53" s="704" t="n">
        <v>13.2081563076625</v>
      </c>
      <c r="DG53" s="704" t="n">
        <v>13.2081563076625</v>
      </c>
      <c r="DH53" s="704" t="n">
        <v>13.2081563076625</v>
      </c>
      <c r="DI53" s="704" t="n">
        <v>13.2081563076625</v>
      </c>
      <c r="DJ53" s="704" t="n">
        <v>13.2081563076625</v>
      </c>
      <c r="DK53" s="704" t="n">
        <v>13.2081563076625</v>
      </c>
      <c r="DL53" s="704" t="n">
        <v>13.2081563076625</v>
      </c>
      <c r="DM53" s="704" t="n">
        <v>13.2081563076625</v>
      </c>
    </row>
    <row r="54" ht="13.5" customHeight="1" s="355">
      <c r="B54" s="703" t="inlineStr">
        <is>
          <t>Team Leader</t>
        </is>
      </c>
      <c r="D54" s="704" t="n">
        <v>0</v>
      </c>
      <c r="E54" s="704" t="n">
        <v>0</v>
      </c>
      <c r="F54" s="704" t="n">
        <v>0</v>
      </c>
      <c r="G54" s="704" t="n">
        <v>0</v>
      </c>
      <c r="H54" s="704" t="n">
        <v>0</v>
      </c>
      <c r="I54" s="704" t="n">
        <v>0</v>
      </c>
      <c r="J54" s="704" t="n">
        <v>0</v>
      </c>
      <c r="K54" s="704" t="n">
        <v>0</v>
      </c>
      <c r="L54" s="704" t="n">
        <v>0</v>
      </c>
      <c r="M54" s="704" t="n">
        <v>0</v>
      </c>
      <c r="N54" s="704" t="n">
        <v>0</v>
      </c>
      <c r="O54" s="704" t="n">
        <v>0</v>
      </c>
      <c r="P54" s="704" t="n">
        <v>0</v>
      </c>
      <c r="Q54" s="704" t="n">
        <v>0</v>
      </c>
      <c r="R54" s="704" t="n">
        <v>0</v>
      </c>
      <c r="S54" s="704" t="n">
        <v>0</v>
      </c>
      <c r="T54" s="704" t="n">
        <v>0</v>
      </c>
      <c r="U54" s="704" t="n">
        <v>0</v>
      </c>
      <c r="V54" s="704" t="n">
        <v>0</v>
      </c>
      <c r="W54" s="704" t="n">
        <v>0</v>
      </c>
      <c r="X54" s="704" t="n">
        <v>0</v>
      </c>
      <c r="Y54" s="704" t="n">
        <v>0</v>
      </c>
      <c r="Z54" s="704" t="n">
        <v>0</v>
      </c>
      <c r="AA54" s="704" t="n">
        <v>0</v>
      </c>
      <c r="AB54" s="704" t="n">
        <v>0</v>
      </c>
      <c r="AC54" s="704" t="n">
        <v>0</v>
      </c>
      <c r="AD54" s="704" t="n">
        <v>0</v>
      </c>
      <c r="AE54" s="704" t="n">
        <v>0</v>
      </c>
      <c r="AF54" s="704" t="n">
        <v>0</v>
      </c>
      <c r="AG54" s="704" t="n">
        <v>0</v>
      </c>
      <c r="AH54" s="704" t="n">
        <v>0</v>
      </c>
      <c r="AI54" s="704" t="n">
        <v>0</v>
      </c>
      <c r="AJ54" s="704" t="n">
        <v>0</v>
      </c>
      <c r="AK54" s="704" t="n">
        <v>0</v>
      </c>
      <c r="AL54" s="704" t="n">
        <v>0</v>
      </c>
      <c r="AM54" s="704" t="n">
        <v>0</v>
      </c>
      <c r="AN54" s="704" t="n">
        <v>0</v>
      </c>
      <c r="AO54" s="704" t="n">
        <v>0</v>
      </c>
      <c r="AP54" s="704" t="n">
        <v>0</v>
      </c>
      <c r="AQ54" s="704" t="n">
        <v>0</v>
      </c>
      <c r="AR54" s="704" t="n">
        <v>0</v>
      </c>
      <c r="AS54" s="704" t="n">
        <v>0</v>
      </c>
      <c r="AT54" s="704" t="n">
        <v>0</v>
      </c>
      <c r="AU54" s="704" t="n">
        <v>0</v>
      </c>
      <c r="AV54" s="704" t="n">
        <v>0</v>
      </c>
      <c r="AW54" s="704" t="n">
        <v>0</v>
      </c>
      <c r="AX54" s="704" t="n">
        <v>0</v>
      </c>
      <c r="AY54" s="704" t="n">
        <v>0</v>
      </c>
      <c r="AZ54" s="704" t="n">
        <v>0</v>
      </c>
      <c r="BA54" s="704" t="n">
        <v>0</v>
      </c>
      <c r="BB54" s="704" t="n">
        <v>0</v>
      </c>
      <c r="BC54" s="704" t="n">
        <v>0</v>
      </c>
      <c r="BD54" s="704" t="n">
        <v>0</v>
      </c>
      <c r="BE54" s="704" t="n">
        <v>0</v>
      </c>
      <c r="BF54" s="704" t="n">
        <v>0</v>
      </c>
      <c r="BG54" s="704" t="n">
        <v>0</v>
      </c>
      <c r="BH54" s="704" t="n">
        <v>0</v>
      </c>
      <c r="BI54" s="704" t="n">
        <v>0</v>
      </c>
      <c r="BJ54" s="704" t="n">
        <v>0</v>
      </c>
      <c r="BK54" s="704" t="n">
        <v>0</v>
      </c>
      <c r="BL54" s="704" t="n">
        <v>0</v>
      </c>
      <c r="BM54" s="704" t="n">
        <v>0</v>
      </c>
      <c r="BN54" s="704" t="n">
        <v>0</v>
      </c>
      <c r="BO54" s="704" t="n">
        <v>0</v>
      </c>
      <c r="BP54" s="704" t="n">
        <v>0</v>
      </c>
      <c r="BQ54" s="704" t="n">
        <v>0</v>
      </c>
      <c r="BR54" s="704" t="n">
        <v>0</v>
      </c>
      <c r="BS54" s="704" t="n">
        <v>0</v>
      </c>
      <c r="BT54" s="704" t="n">
        <v>0</v>
      </c>
      <c r="BU54" s="704" t="n">
        <v>0</v>
      </c>
      <c r="BV54" s="704" t="n">
        <v>0</v>
      </c>
      <c r="BW54" s="704" t="n">
        <v>0</v>
      </c>
      <c r="BX54" s="704" t="n">
        <v>0</v>
      </c>
      <c r="BY54" s="704" t="n">
        <v>0</v>
      </c>
      <c r="BZ54" s="704" t="n">
        <v>0</v>
      </c>
      <c r="CA54" s="704" t="n">
        <v>0</v>
      </c>
      <c r="CB54" s="704" t="n">
        <v>0</v>
      </c>
      <c r="CC54" s="704" t="n">
        <v>0</v>
      </c>
      <c r="CD54" s="704" t="n">
        <v>0</v>
      </c>
      <c r="CE54" s="704" t="n">
        <v>0</v>
      </c>
      <c r="CF54" s="704" t="n">
        <v>0</v>
      </c>
      <c r="CG54" s="704" t="n">
        <v>0</v>
      </c>
      <c r="CH54" s="704" t="n">
        <v>0</v>
      </c>
      <c r="CI54" s="704" t="n">
        <v>0</v>
      </c>
      <c r="CJ54" s="704" t="n">
        <v>0</v>
      </c>
      <c r="CK54" s="704" t="n">
        <v>0</v>
      </c>
      <c r="CL54" s="704" t="n">
        <v>0</v>
      </c>
      <c r="CM54" s="704" t="n">
        <v>0</v>
      </c>
      <c r="CN54" s="704" t="n">
        <v>0</v>
      </c>
      <c r="CO54" s="704" t="n">
        <v>0</v>
      </c>
      <c r="CP54" s="704" t="n">
        <v>0</v>
      </c>
      <c r="CQ54" s="704" t="n">
        <v>0</v>
      </c>
      <c r="CR54" s="704" t="n">
        <v>0</v>
      </c>
      <c r="CS54" s="704" t="n">
        <v>0</v>
      </c>
      <c r="CT54" s="704" t="n">
        <v>0</v>
      </c>
      <c r="CU54" s="704" t="n">
        <v>0</v>
      </c>
      <c r="CV54" s="704" t="n">
        <v>0</v>
      </c>
      <c r="CW54" s="704" t="n">
        <v>0</v>
      </c>
      <c r="CX54" s="704" t="n">
        <v>0</v>
      </c>
      <c r="CY54" s="704" t="n">
        <v>0</v>
      </c>
      <c r="CZ54" s="704" t="n">
        <v>0</v>
      </c>
      <c r="DA54" s="704" t="n">
        <v>0</v>
      </c>
      <c r="DB54" s="704" t="n">
        <v>0</v>
      </c>
      <c r="DC54" s="704" t="n">
        <v>0</v>
      </c>
      <c r="DD54" s="704" t="n">
        <v>0</v>
      </c>
      <c r="DE54" s="704" t="n">
        <v>0</v>
      </c>
      <c r="DF54" s="704" t="n">
        <v>0</v>
      </c>
      <c r="DG54" s="704" t="n">
        <v>0</v>
      </c>
      <c r="DH54" s="704" t="n">
        <v>0</v>
      </c>
      <c r="DI54" s="704" t="n">
        <v>0</v>
      </c>
      <c r="DJ54" s="704" t="n">
        <v>0</v>
      </c>
      <c r="DK54" s="704" t="n">
        <v>0</v>
      </c>
      <c r="DL54" s="704" t="n">
        <v>0</v>
      </c>
      <c r="DM54" s="704" t="n">
        <v>0</v>
      </c>
    </row>
    <row r="55" ht="13.5" customHeight="1" s="355">
      <c r="B55" s="703" t="inlineStr">
        <is>
          <t>SLA Metric Reporting</t>
        </is>
      </c>
      <c r="D55" s="704" t="n">
        <v>0</v>
      </c>
      <c r="E55" s="704" t="n">
        <v>0</v>
      </c>
      <c r="F55" s="704" t="n">
        <v>0</v>
      </c>
      <c r="G55" s="704" t="n">
        <v>0</v>
      </c>
      <c r="H55" s="704" t="n">
        <v>0</v>
      </c>
      <c r="I55" s="704" t="n">
        <v>0</v>
      </c>
      <c r="J55" s="704" t="n">
        <v>0</v>
      </c>
      <c r="K55" s="704" t="n">
        <v>0</v>
      </c>
      <c r="L55" s="704" t="n">
        <v>0</v>
      </c>
      <c r="M55" s="704" t="n">
        <v>0</v>
      </c>
      <c r="N55" s="704" t="n">
        <v>0</v>
      </c>
      <c r="O55" s="704" t="n">
        <v>0</v>
      </c>
      <c r="P55" s="704" t="n">
        <v>0</v>
      </c>
      <c r="Q55" s="704" t="n">
        <v>0</v>
      </c>
      <c r="R55" s="704" t="n">
        <v>0</v>
      </c>
      <c r="S55" s="704" t="n">
        <v>0</v>
      </c>
      <c r="T55" s="704" t="n">
        <v>0</v>
      </c>
      <c r="U55" s="704" t="n">
        <v>0</v>
      </c>
      <c r="V55" s="704" t="n">
        <v>0</v>
      </c>
      <c r="W55" s="704" t="n">
        <v>0</v>
      </c>
      <c r="X55" s="704" t="n">
        <v>0</v>
      </c>
      <c r="Y55" s="704" t="n">
        <v>0</v>
      </c>
      <c r="Z55" s="704" t="n">
        <v>0</v>
      </c>
      <c r="AA55" s="704" t="n">
        <v>0</v>
      </c>
      <c r="AB55" s="704" t="n">
        <v>0</v>
      </c>
      <c r="AC55" s="704" t="n">
        <v>0</v>
      </c>
      <c r="AD55" s="704" t="n">
        <v>0</v>
      </c>
      <c r="AE55" s="704" t="n">
        <v>0</v>
      </c>
      <c r="AF55" s="704" t="n">
        <v>0</v>
      </c>
      <c r="AG55" s="704" t="n">
        <v>0</v>
      </c>
      <c r="AH55" s="704" t="n">
        <v>0</v>
      </c>
      <c r="AI55" s="704" t="n">
        <v>0</v>
      </c>
      <c r="AJ55" s="704" t="n">
        <v>0</v>
      </c>
      <c r="AK55" s="704" t="n">
        <v>0</v>
      </c>
      <c r="AL55" s="704" t="n">
        <v>0</v>
      </c>
      <c r="AM55" s="704" t="n">
        <v>0</v>
      </c>
      <c r="AN55" s="704" t="n">
        <v>0</v>
      </c>
      <c r="AO55" s="704" t="n">
        <v>0</v>
      </c>
      <c r="AP55" s="704" t="n">
        <v>0</v>
      </c>
      <c r="AQ55" s="704" t="n">
        <v>0</v>
      </c>
      <c r="AR55" s="704" t="n">
        <v>0</v>
      </c>
      <c r="AS55" s="704" t="n">
        <v>0</v>
      </c>
      <c r="AT55" s="704" t="n">
        <v>0</v>
      </c>
      <c r="AU55" s="704" t="n">
        <v>0</v>
      </c>
      <c r="AV55" s="704" t="n">
        <v>0</v>
      </c>
      <c r="AW55" s="704" t="n">
        <v>0</v>
      </c>
      <c r="AX55" s="704" t="n">
        <v>0</v>
      </c>
      <c r="AY55" s="704" t="n">
        <v>0</v>
      </c>
      <c r="AZ55" s="704" t="n">
        <v>0</v>
      </c>
      <c r="BA55" s="704" t="n">
        <v>0</v>
      </c>
      <c r="BB55" s="704" t="n">
        <v>0</v>
      </c>
      <c r="BC55" s="704" t="n">
        <v>0</v>
      </c>
      <c r="BD55" s="704" t="n">
        <v>0</v>
      </c>
      <c r="BE55" s="704" t="n">
        <v>0</v>
      </c>
      <c r="BF55" s="704" t="n">
        <v>0</v>
      </c>
      <c r="BG55" s="704" t="n">
        <v>0</v>
      </c>
      <c r="BH55" s="704" t="n">
        <v>0</v>
      </c>
      <c r="BI55" s="704" t="n">
        <v>0</v>
      </c>
      <c r="BJ55" s="704" t="n">
        <v>0</v>
      </c>
      <c r="BK55" s="704" t="n">
        <v>0</v>
      </c>
      <c r="BL55" s="704" t="n">
        <v>0</v>
      </c>
      <c r="BM55" s="704" t="n">
        <v>0</v>
      </c>
      <c r="BN55" s="704" t="n">
        <v>0</v>
      </c>
      <c r="BO55" s="704" t="n">
        <v>0</v>
      </c>
      <c r="BP55" s="704" t="n">
        <v>0</v>
      </c>
      <c r="BQ55" s="704" t="n">
        <v>0</v>
      </c>
      <c r="BR55" s="704" t="n">
        <v>0</v>
      </c>
      <c r="BS55" s="704" t="n">
        <v>0</v>
      </c>
      <c r="BT55" s="704" t="n">
        <v>0</v>
      </c>
      <c r="BU55" s="704" t="n">
        <v>0</v>
      </c>
      <c r="BV55" s="704" t="n">
        <v>0</v>
      </c>
      <c r="BW55" s="704" t="n">
        <v>0</v>
      </c>
      <c r="BX55" s="704" t="n">
        <v>0</v>
      </c>
      <c r="BY55" s="704" t="n">
        <v>0</v>
      </c>
      <c r="BZ55" s="704" t="n">
        <v>0</v>
      </c>
      <c r="CA55" s="704" t="n">
        <v>0</v>
      </c>
      <c r="CB55" s="704" t="n">
        <v>0</v>
      </c>
      <c r="CC55" s="704" t="n">
        <v>0</v>
      </c>
      <c r="CD55" s="704" t="n">
        <v>0</v>
      </c>
      <c r="CE55" s="704" t="n">
        <v>0</v>
      </c>
      <c r="CF55" s="704" t="n">
        <v>0</v>
      </c>
      <c r="CG55" s="704" t="n">
        <v>0</v>
      </c>
      <c r="CH55" s="704" t="n">
        <v>0</v>
      </c>
      <c r="CI55" s="704" t="n">
        <v>0</v>
      </c>
      <c r="CJ55" s="704" t="n">
        <v>0</v>
      </c>
      <c r="CK55" s="704" t="n">
        <v>0</v>
      </c>
      <c r="CL55" s="704" t="n">
        <v>0</v>
      </c>
      <c r="CM55" s="704" t="n">
        <v>0</v>
      </c>
      <c r="CN55" s="704" t="n">
        <v>0</v>
      </c>
      <c r="CO55" s="704" t="n">
        <v>0</v>
      </c>
      <c r="CP55" s="704" t="n">
        <v>0</v>
      </c>
      <c r="CQ55" s="704" t="n">
        <v>0</v>
      </c>
      <c r="CR55" s="704" t="n">
        <v>0</v>
      </c>
      <c r="CS55" s="704" t="n">
        <v>0</v>
      </c>
      <c r="CT55" s="704" t="n">
        <v>0</v>
      </c>
      <c r="CU55" s="704" t="n">
        <v>0</v>
      </c>
      <c r="CV55" s="704" t="n">
        <v>0</v>
      </c>
      <c r="CW55" s="704" t="n">
        <v>0</v>
      </c>
      <c r="CX55" s="704" t="n">
        <v>0</v>
      </c>
      <c r="CY55" s="704" t="n">
        <v>0</v>
      </c>
      <c r="CZ55" s="704" t="n">
        <v>0</v>
      </c>
      <c r="DA55" s="704" t="n">
        <v>0</v>
      </c>
      <c r="DB55" s="704" t="n">
        <v>0</v>
      </c>
      <c r="DC55" s="704" t="n">
        <v>0</v>
      </c>
      <c r="DD55" s="704" t="n">
        <v>0</v>
      </c>
      <c r="DE55" s="704" t="n">
        <v>0</v>
      </c>
      <c r="DF55" s="704" t="n">
        <v>0</v>
      </c>
      <c r="DG55" s="704" t="n">
        <v>0</v>
      </c>
      <c r="DH55" s="704" t="n">
        <v>0</v>
      </c>
      <c r="DI55" s="704" t="n">
        <v>0</v>
      </c>
      <c r="DJ55" s="704" t="n">
        <v>0</v>
      </c>
      <c r="DK55" s="704" t="n">
        <v>0</v>
      </c>
      <c r="DL55" s="704" t="n">
        <v>0</v>
      </c>
      <c r="DM55" s="704" t="n">
        <v>0</v>
      </c>
    </row>
    <row r="56" ht="13.5" customHeight="1" s="355">
      <c r="B56" s="705" t="inlineStr">
        <is>
          <t>Grand Total</t>
        </is>
      </c>
      <c r="C56" s="706" t="n"/>
      <c r="D56" s="707" t="n">
        <v>0</v>
      </c>
      <c r="E56" s="707" t="n">
        <v>0</v>
      </c>
      <c r="F56" s="707" t="n">
        <v>0</v>
      </c>
      <c r="G56" s="707" t="n">
        <v>0</v>
      </c>
      <c r="H56" s="707" t="n">
        <v>0</v>
      </c>
      <c r="I56" s="707" t="n">
        <v>0</v>
      </c>
      <c r="J56" s="707" t="n">
        <v>0</v>
      </c>
      <c r="K56" s="707" t="n">
        <v>0</v>
      </c>
      <c r="L56" s="707" t="n">
        <v>11.2407918325627</v>
      </c>
      <c r="M56" s="707" t="n">
        <v>33.8004730474895</v>
      </c>
      <c r="N56" s="707" t="n">
        <v>36.2331157183852</v>
      </c>
      <c r="O56" s="707" t="n">
        <v>36.2331157183852</v>
      </c>
      <c r="P56" s="707" t="n">
        <v>37.3201091899367</v>
      </c>
      <c r="Q56" s="707" t="n">
        <v>37.3201091899367</v>
      </c>
      <c r="R56" s="707" t="n">
        <v>37.3201091899367</v>
      </c>
      <c r="S56" s="707" t="n">
        <v>37.3201091899367</v>
      </c>
      <c r="T56" s="707" t="n">
        <v>36.3487376687549</v>
      </c>
      <c r="U56" s="707" t="n">
        <v>36.3487376687549</v>
      </c>
      <c r="V56" s="707" t="n">
        <v>36.3487376687549</v>
      </c>
      <c r="W56" s="707" t="n">
        <v>36.3487376687549</v>
      </c>
      <c r="X56" s="707" t="n">
        <v>36.3487376687549</v>
      </c>
      <c r="Y56" s="707" t="n">
        <v>36.3487376687549</v>
      </c>
      <c r="Z56" s="707" t="n">
        <v>36.3487376687549</v>
      </c>
      <c r="AA56" s="707" t="n">
        <v>36.3487376687549</v>
      </c>
      <c r="AB56" s="707" t="n">
        <v>37.4391997988176</v>
      </c>
      <c r="AC56" s="707" t="n">
        <v>36.0749082227153</v>
      </c>
      <c r="AD56" s="707" t="n">
        <v>36.0749082227153</v>
      </c>
      <c r="AE56" s="707" t="n">
        <v>36.0749082227153</v>
      </c>
      <c r="AF56" s="707" t="n">
        <v>36.0749082227153</v>
      </c>
      <c r="AG56" s="707" t="n">
        <v>36.0749082227153</v>
      </c>
      <c r="AH56" s="707" t="n">
        <v>36.0749082227153</v>
      </c>
      <c r="AI56" s="707" t="n">
        <v>36.0749082227153</v>
      </c>
      <c r="AJ56" s="707" t="n">
        <v>36.0749082227153</v>
      </c>
      <c r="AK56" s="707" t="n">
        <v>36.0749082227153</v>
      </c>
      <c r="AL56" s="707" t="n">
        <v>36.0749082227153</v>
      </c>
      <c r="AM56" s="707" t="n">
        <v>36.0749082227153</v>
      </c>
      <c r="AN56" s="707" t="n">
        <v>37.1571554693967</v>
      </c>
      <c r="AO56" s="707" t="n">
        <v>35.7519351460113</v>
      </c>
      <c r="AP56" s="707" t="n">
        <v>35.7519351460113</v>
      </c>
      <c r="AQ56" s="707" t="n">
        <v>35.7519351460113</v>
      </c>
      <c r="AR56" s="707" t="n">
        <v>35.7519351460113</v>
      </c>
      <c r="AS56" s="707" t="n">
        <v>35.7519351460113</v>
      </c>
      <c r="AT56" s="707" t="n">
        <v>35.7519351460113</v>
      </c>
      <c r="AU56" s="707" t="n">
        <v>35.7519351460113</v>
      </c>
      <c r="AV56" s="707" t="n">
        <v>35.7519351460113</v>
      </c>
      <c r="AW56" s="707" t="n">
        <v>35.7519351460113</v>
      </c>
      <c r="AX56" s="707" t="n">
        <v>35.7519351460113</v>
      </c>
      <c r="AY56" s="707" t="n">
        <v>35.7519351460113</v>
      </c>
      <c r="AZ56" s="707" t="n">
        <v>36.8244932003917</v>
      </c>
      <c r="BA56" s="707" t="n">
        <v>35.6633532987887</v>
      </c>
      <c r="BB56" s="707" t="n">
        <v>35.6633532987887</v>
      </c>
      <c r="BC56" s="707" t="n">
        <v>35.6633532987887</v>
      </c>
      <c r="BD56" s="707" t="n">
        <v>35.6633532987887</v>
      </c>
      <c r="BE56" s="707" t="n">
        <v>35.6633532987887</v>
      </c>
      <c r="BF56" s="707" t="n">
        <v>35.6633532987887</v>
      </c>
      <c r="BG56" s="707" t="n">
        <v>35.6633532987887</v>
      </c>
      <c r="BH56" s="707" t="n">
        <v>35.6633532987887</v>
      </c>
      <c r="BI56" s="707" t="n">
        <v>35.6633532987887</v>
      </c>
      <c r="BJ56" s="707" t="n">
        <v>35.6633532987887</v>
      </c>
      <c r="BK56" s="707" t="n">
        <v>35.6633532987887</v>
      </c>
      <c r="BL56" s="707" t="n">
        <v>36.7332538977523</v>
      </c>
      <c r="BM56" s="707" t="n">
        <v>35.1397687628949</v>
      </c>
      <c r="BN56" s="707" t="n">
        <v>35.1397687628949</v>
      </c>
      <c r="BO56" s="707" t="n">
        <v>35.1397687628949</v>
      </c>
      <c r="BP56" s="707" t="n">
        <v>35.1397687628949</v>
      </c>
      <c r="BQ56" s="707" t="n">
        <v>35.1397687628949</v>
      </c>
      <c r="BR56" s="707" t="n">
        <v>35.1397687628949</v>
      </c>
      <c r="BS56" s="707" t="n">
        <v>35.1397687628949</v>
      </c>
      <c r="BT56" s="707" t="n">
        <v>35.1397687628949</v>
      </c>
      <c r="BU56" s="707" t="n">
        <v>35.1397687628949</v>
      </c>
      <c r="BV56" s="707" t="n">
        <v>35.1397687628949</v>
      </c>
      <c r="BW56" s="707" t="n">
        <v>35.1397687628949</v>
      </c>
      <c r="BX56" s="707" t="n">
        <v>36.1939618257818</v>
      </c>
      <c r="BY56" s="707" t="n">
        <v>35.8902929590804</v>
      </c>
      <c r="BZ56" s="707" t="n">
        <v>35.8902929590804</v>
      </c>
      <c r="CA56" s="707" t="n">
        <v>35.8902929590804</v>
      </c>
      <c r="CB56" s="707" t="n">
        <v>35.8902929590804</v>
      </c>
      <c r="CC56" s="707" t="n">
        <v>35.8902929590804</v>
      </c>
      <c r="CD56" s="707" t="n">
        <v>35.8902929590804</v>
      </c>
      <c r="CE56" s="707" t="n">
        <v>35.8902929590804</v>
      </c>
      <c r="CF56" s="707" t="n">
        <v>35.8902929590804</v>
      </c>
      <c r="CG56" s="707" t="n">
        <v>35.8902929590804</v>
      </c>
      <c r="CH56" s="707" t="n">
        <v>35.8902929590804</v>
      </c>
      <c r="CI56" s="707" t="n">
        <v>35.8902929590804</v>
      </c>
      <c r="CJ56" s="707" t="n">
        <v>36.9670017478529</v>
      </c>
      <c r="CK56" s="707" t="n">
        <v>36.9670017478529</v>
      </c>
      <c r="CL56" s="707" t="n">
        <v>36.9670017478529</v>
      </c>
      <c r="CM56" s="707" t="n">
        <v>36.9670017478529</v>
      </c>
      <c r="CN56" s="707" t="n">
        <v>36.9670017478529</v>
      </c>
      <c r="CO56" s="707" t="n">
        <v>36.9670017478529</v>
      </c>
      <c r="CP56" s="707" t="n">
        <v>36.9670017478529</v>
      </c>
      <c r="CQ56" s="707" t="n">
        <v>36.9670017478529</v>
      </c>
      <c r="CR56" s="707" t="n">
        <v>36.9670017478529</v>
      </c>
      <c r="CS56" s="707" t="n">
        <v>36.9670017478529</v>
      </c>
      <c r="CT56" s="707" t="n">
        <v>36.9670017478529</v>
      </c>
      <c r="CU56" s="707" t="n">
        <v>36.9670017478529</v>
      </c>
      <c r="CV56" s="707" t="n">
        <v>38.0760118002884</v>
      </c>
      <c r="CW56" s="707" t="n">
        <v>38.0760118002884</v>
      </c>
      <c r="CX56" s="707" t="n">
        <v>38.0760118002884</v>
      </c>
      <c r="CY56" s="707" t="n">
        <v>38.0760118002884</v>
      </c>
      <c r="CZ56" s="707" t="n">
        <v>38.0760118002884</v>
      </c>
      <c r="DA56" s="707" t="n">
        <v>38.0760118002884</v>
      </c>
      <c r="DB56" s="707" t="n">
        <v>38.0760118002884</v>
      </c>
      <c r="DC56" s="707" t="n">
        <v>38.0760118002884</v>
      </c>
      <c r="DD56" s="707" t="n">
        <v>38.0760118002884</v>
      </c>
      <c r="DE56" s="707" t="n">
        <v>38.0760118002884</v>
      </c>
      <c r="DF56" s="707" t="n">
        <v>38.0760118002884</v>
      </c>
      <c r="DG56" s="707" t="n">
        <v>38.0760118002884</v>
      </c>
      <c r="DH56" s="707" t="n">
        <v>38.0760118002884</v>
      </c>
      <c r="DI56" s="707" t="n">
        <v>38.0760118002884</v>
      </c>
      <c r="DJ56" s="707" t="n">
        <v>38.0760118002884</v>
      </c>
      <c r="DK56" s="707" t="n">
        <v>38.0760118002884</v>
      </c>
      <c r="DL56" s="707" t="n">
        <v>38.0760118002884</v>
      </c>
      <c r="DM56" s="707" t="n">
        <v>38.0760118002884</v>
      </c>
    </row>
    <row r="57" ht="13.5" customHeight="1" s="355">
      <c r="A57" s="702" t="inlineStr">
        <is>
          <t>Italy</t>
        </is>
      </c>
      <c r="B57" s="703" t="inlineStr">
        <is>
          <t>Gen Acctg</t>
        </is>
      </c>
      <c r="D57" s="704" t="n">
        <v>0</v>
      </c>
      <c r="E57" s="704" t="n">
        <v>0</v>
      </c>
      <c r="F57" s="704" t="n">
        <v>0</v>
      </c>
      <c r="G57" s="704" t="n">
        <v>0</v>
      </c>
      <c r="H57" s="704" t="n">
        <v>0</v>
      </c>
      <c r="I57" s="704" t="n">
        <v>0</v>
      </c>
      <c r="J57" s="704" t="n">
        <v>0</v>
      </c>
      <c r="K57" s="704" t="n">
        <v>0</v>
      </c>
      <c r="L57" s="704" t="n">
        <v>0</v>
      </c>
      <c r="M57" s="704" t="n">
        <v>2.33128255960834</v>
      </c>
      <c r="N57" s="704" t="n">
        <v>3.1421634499069</v>
      </c>
      <c r="O57" s="704" t="n">
        <v>3.1421634499069</v>
      </c>
      <c r="P57" s="704" t="n">
        <v>3.2364283534041</v>
      </c>
      <c r="Q57" s="704" t="n">
        <v>3.2364283534041</v>
      </c>
      <c r="R57" s="704" t="n">
        <v>3.2364283534041</v>
      </c>
      <c r="S57" s="704" t="n">
        <v>3.2364283534041</v>
      </c>
      <c r="T57" s="704" t="n">
        <v>3.2364283534041</v>
      </c>
      <c r="U57" s="704" t="n">
        <v>3.2364283534041</v>
      </c>
      <c r="V57" s="704" t="n">
        <v>3.2364283534041</v>
      </c>
      <c r="W57" s="704" t="n">
        <v>3.2364283534041</v>
      </c>
      <c r="X57" s="704" t="n">
        <v>3.2364283534041</v>
      </c>
      <c r="Y57" s="704" t="n">
        <v>3.2364283534041</v>
      </c>
      <c r="Z57" s="704" t="n">
        <v>3.2364283534041</v>
      </c>
      <c r="AA57" s="704" t="n">
        <v>3.2364283534041</v>
      </c>
      <c r="AB57" s="704" t="n">
        <v>3.33352120400623</v>
      </c>
      <c r="AC57" s="704" t="n">
        <v>3.25018317390607</v>
      </c>
      <c r="AD57" s="704" t="n">
        <v>3.25018317390607</v>
      </c>
      <c r="AE57" s="704" t="n">
        <v>3.25018317390607</v>
      </c>
      <c r="AF57" s="704" t="n">
        <v>3.25018317390607</v>
      </c>
      <c r="AG57" s="704" t="n">
        <v>3.25018317390607</v>
      </c>
      <c r="AH57" s="704" t="n">
        <v>3.25018317390607</v>
      </c>
      <c r="AI57" s="704" t="n">
        <v>3.25018317390607</v>
      </c>
      <c r="AJ57" s="704" t="n">
        <v>3.25018317390607</v>
      </c>
      <c r="AK57" s="704" t="n">
        <v>3.25018317390607</v>
      </c>
      <c r="AL57" s="704" t="n">
        <v>3.25018317390607</v>
      </c>
      <c r="AM57" s="704" t="n">
        <v>3.25018317390607</v>
      </c>
      <c r="AN57" s="704" t="n">
        <v>3.34768866912325</v>
      </c>
      <c r="AO57" s="704" t="n">
        <v>3.26185049812009</v>
      </c>
      <c r="AP57" s="704" t="n">
        <v>3.26185049812009</v>
      </c>
      <c r="AQ57" s="704" t="n">
        <v>3.26185049812009</v>
      </c>
      <c r="AR57" s="704" t="n">
        <v>3.26185049812009</v>
      </c>
      <c r="AS57" s="704" t="n">
        <v>3.26185049812009</v>
      </c>
      <c r="AT57" s="704" t="n">
        <v>3.26185049812009</v>
      </c>
      <c r="AU57" s="704" t="n">
        <v>3.26185049812009</v>
      </c>
      <c r="AV57" s="704" t="n">
        <v>3.26185049812009</v>
      </c>
      <c r="AW57" s="704" t="n">
        <v>3.26185049812009</v>
      </c>
      <c r="AX57" s="704" t="n">
        <v>3.26185049812009</v>
      </c>
      <c r="AY57" s="704" t="n">
        <v>3.26185049812009</v>
      </c>
      <c r="AZ57" s="704" t="n">
        <v>3.35970601306369</v>
      </c>
      <c r="BA57" s="704" t="n">
        <v>3.27129269693044</v>
      </c>
      <c r="BB57" s="704" t="n">
        <v>3.27129269693044</v>
      </c>
      <c r="BC57" s="704" t="n">
        <v>3.27129269693044</v>
      </c>
      <c r="BD57" s="704" t="n">
        <v>3.27129269693044</v>
      </c>
      <c r="BE57" s="704" t="n">
        <v>3.27129269693044</v>
      </c>
      <c r="BF57" s="704" t="n">
        <v>3.27129269693044</v>
      </c>
      <c r="BG57" s="704" t="n">
        <v>3.27129269693044</v>
      </c>
      <c r="BH57" s="704" t="n">
        <v>3.27129269693044</v>
      </c>
      <c r="BI57" s="704" t="n">
        <v>3.27129269693044</v>
      </c>
      <c r="BJ57" s="704" t="n">
        <v>3.27129269693044</v>
      </c>
      <c r="BK57" s="704" t="n">
        <v>3.27129269693044</v>
      </c>
      <c r="BL57" s="704" t="n">
        <v>3.36943147783835</v>
      </c>
      <c r="BM57" s="704" t="n">
        <v>3.18730004660385</v>
      </c>
      <c r="BN57" s="704" t="n">
        <v>3.18730004660385</v>
      </c>
      <c r="BO57" s="704" t="n">
        <v>3.18730004660385</v>
      </c>
      <c r="BP57" s="704" t="n">
        <v>3.18730004660385</v>
      </c>
      <c r="BQ57" s="704" t="n">
        <v>3.18730004660385</v>
      </c>
      <c r="BR57" s="704" t="n">
        <v>3.18730004660385</v>
      </c>
      <c r="BS57" s="704" t="n">
        <v>3.18730004660385</v>
      </c>
      <c r="BT57" s="704" t="n">
        <v>3.18730004660385</v>
      </c>
      <c r="BU57" s="704" t="n">
        <v>3.18730004660385</v>
      </c>
      <c r="BV57" s="704" t="n">
        <v>3.18730004660385</v>
      </c>
      <c r="BW57" s="704" t="n">
        <v>3.18730004660385</v>
      </c>
      <c r="BX57" s="704" t="n">
        <v>3.28291904800196</v>
      </c>
      <c r="BY57" s="704" t="n">
        <v>3.28291904800196</v>
      </c>
      <c r="BZ57" s="704" t="n">
        <v>3.28291904800196</v>
      </c>
      <c r="CA57" s="704" t="n">
        <v>3.28291904800196</v>
      </c>
      <c r="CB57" s="704" t="n">
        <v>3.28291904800196</v>
      </c>
      <c r="CC57" s="704" t="n">
        <v>3.28291904800196</v>
      </c>
      <c r="CD57" s="704" t="n">
        <v>3.28291904800196</v>
      </c>
      <c r="CE57" s="704" t="n">
        <v>3.28291904800196</v>
      </c>
      <c r="CF57" s="704" t="n">
        <v>3.28291904800196</v>
      </c>
      <c r="CG57" s="704" t="n">
        <v>3.28291904800196</v>
      </c>
      <c r="CH57" s="704" t="n">
        <v>3.28291904800196</v>
      </c>
      <c r="CI57" s="704" t="n">
        <v>3.28291904800196</v>
      </c>
      <c r="CJ57" s="704" t="n">
        <v>3.38140661944202</v>
      </c>
      <c r="CK57" s="704" t="n">
        <v>3.38140661944202</v>
      </c>
      <c r="CL57" s="704" t="n">
        <v>3.38140661944202</v>
      </c>
      <c r="CM57" s="704" t="n">
        <v>3.38140661944202</v>
      </c>
      <c r="CN57" s="704" t="n">
        <v>3.38140661944202</v>
      </c>
      <c r="CO57" s="704" t="n">
        <v>3.38140661944202</v>
      </c>
      <c r="CP57" s="704" t="n">
        <v>3.38140661944202</v>
      </c>
      <c r="CQ57" s="704" t="n">
        <v>3.38140661944202</v>
      </c>
      <c r="CR57" s="704" t="n">
        <v>3.38140661944202</v>
      </c>
      <c r="CS57" s="704" t="n">
        <v>3.38140661944202</v>
      </c>
      <c r="CT57" s="704" t="n">
        <v>3.38140661944202</v>
      </c>
      <c r="CU57" s="704" t="n">
        <v>3.38140661944202</v>
      </c>
      <c r="CV57" s="704" t="n">
        <v>3.48284881802528</v>
      </c>
      <c r="CW57" s="704" t="n">
        <v>3.48284881802528</v>
      </c>
      <c r="CX57" s="704" t="n">
        <v>3.48284881802528</v>
      </c>
      <c r="CY57" s="704" t="n">
        <v>3.48284881802528</v>
      </c>
      <c r="CZ57" s="704" t="n">
        <v>3.48284881802528</v>
      </c>
      <c r="DA57" s="704" t="n">
        <v>3.48284881802528</v>
      </c>
      <c r="DB57" s="704" t="n">
        <v>3.48284881802528</v>
      </c>
      <c r="DC57" s="704" t="n">
        <v>3.48284881802528</v>
      </c>
      <c r="DD57" s="704" t="n">
        <v>3.48284881802528</v>
      </c>
      <c r="DE57" s="704" t="n">
        <v>3.48284881802528</v>
      </c>
      <c r="DF57" s="704" t="n">
        <v>3.48284881802528</v>
      </c>
      <c r="DG57" s="704" t="n">
        <v>3.48284881802528</v>
      </c>
      <c r="DH57" s="704" t="n">
        <v>3.48284881802528</v>
      </c>
      <c r="DI57" s="704" t="n">
        <v>3.48284881802528</v>
      </c>
      <c r="DJ57" s="704" t="n">
        <v>3.48284881802528</v>
      </c>
      <c r="DK57" s="704" t="n">
        <v>3.48284881802528</v>
      </c>
      <c r="DL57" s="704" t="n">
        <v>3.48284881802528</v>
      </c>
      <c r="DM57" s="704" t="n">
        <v>3.48284881802528</v>
      </c>
    </row>
    <row r="58" ht="13.5" customHeight="1" s="355">
      <c r="B58" s="703" t="inlineStr">
        <is>
          <t>Reporting</t>
        </is>
      </c>
      <c r="D58" s="704" t="n">
        <v>0</v>
      </c>
      <c r="E58" s="704" t="n">
        <v>0</v>
      </c>
      <c r="F58" s="704" t="n">
        <v>0</v>
      </c>
      <c r="G58" s="704" t="n">
        <v>0</v>
      </c>
      <c r="H58" s="704" t="n">
        <v>0</v>
      </c>
      <c r="I58" s="704" t="n">
        <v>0</v>
      </c>
      <c r="J58" s="704" t="n">
        <v>0</v>
      </c>
      <c r="K58" s="704" t="n">
        <v>0</v>
      </c>
      <c r="L58" s="704" t="n">
        <v>0</v>
      </c>
      <c r="M58" s="704" t="n">
        <v>0</v>
      </c>
      <c r="N58" s="704" t="n">
        <v>0</v>
      </c>
      <c r="O58" s="704" t="n">
        <v>0</v>
      </c>
      <c r="P58" s="704" t="n">
        <v>0</v>
      </c>
      <c r="Q58" s="704" t="n">
        <v>0</v>
      </c>
      <c r="R58" s="704" t="n">
        <v>0</v>
      </c>
      <c r="S58" s="704" t="n">
        <v>0</v>
      </c>
      <c r="T58" s="704" t="n">
        <v>0</v>
      </c>
      <c r="U58" s="704" t="n">
        <v>0</v>
      </c>
      <c r="V58" s="704" t="n">
        <v>0</v>
      </c>
      <c r="W58" s="704" t="n">
        <v>0</v>
      </c>
      <c r="X58" s="704" t="n">
        <v>0</v>
      </c>
      <c r="Y58" s="704" t="n">
        <v>0</v>
      </c>
      <c r="Z58" s="704" t="n">
        <v>0</v>
      </c>
      <c r="AA58" s="704" t="n">
        <v>0</v>
      </c>
      <c r="AB58" s="704" t="n">
        <v>0</v>
      </c>
      <c r="AC58" s="704" t="n">
        <v>0</v>
      </c>
      <c r="AD58" s="704" t="n">
        <v>0</v>
      </c>
      <c r="AE58" s="704" t="n">
        <v>0</v>
      </c>
      <c r="AF58" s="704" t="n">
        <v>0</v>
      </c>
      <c r="AG58" s="704" t="n">
        <v>0</v>
      </c>
      <c r="AH58" s="704" t="n">
        <v>0</v>
      </c>
      <c r="AI58" s="704" t="n">
        <v>0</v>
      </c>
      <c r="AJ58" s="704" t="n">
        <v>0</v>
      </c>
      <c r="AK58" s="704" t="n">
        <v>0</v>
      </c>
      <c r="AL58" s="704" t="n">
        <v>0</v>
      </c>
      <c r="AM58" s="704" t="n">
        <v>0</v>
      </c>
      <c r="AN58" s="704" t="n">
        <v>0</v>
      </c>
      <c r="AO58" s="704" t="n">
        <v>0</v>
      </c>
      <c r="AP58" s="704" t="n">
        <v>0</v>
      </c>
      <c r="AQ58" s="704" t="n">
        <v>0</v>
      </c>
      <c r="AR58" s="704" t="n">
        <v>0</v>
      </c>
      <c r="AS58" s="704" t="n">
        <v>0</v>
      </c>
      <c r="AT58" s="704" t="n">
        <v>0</v>
      </c>
      <c r="AU58" s="704" t="n">
        <v>0</v>
      </c>
      <c r="AV58" s="704" t="n">
        <v>0</v>
      </c>
      <c r="AW58" s="704" t="n">
        <v>0</v>
      </c>
      <c r="AX58" s="704" t="n">
        <v>0</v>
      </c>
      <c r="AY58" s="704" t="n">
        <v>0</v>
      </c>
      <c r="AZ58" s="704" t="n">
        <v>0</v>
      </c>
      <c r="BA58" s="704" t="n">
        <v>0</v>
      </c>
      <c r="BB58" s="704" t="n">
        <v>0</v>
      </c>
      <c r="BC58" s="704" t="n">
        <v>0</v>
      </c>
      <c r="BD58" s="704" t="n">
        <v>0</v>
      </c>
      <c r="BE58" s="704" t="n">
        <v>0</v>
      </c>
      <c r="BF58" s="704" t="n">
        <v>0</v>
      </c>
      <c r="BG58" s="704" t="n">
        <v>0</v>
      </c>
      <c r="BH58" s="704" t="n">
        <v>0</v>
      </c>
      <c r="BI58" s="704" t="n">
        <v>0</v>
      </c>
      <c r="BJ58" s="704" t="n">
        <v>0</v>
      </c>
      <c r="BK58" s="704" t="n">
        <v>0</v>
      </c>
      <c r="BL58" s="704" t="n">
        <v>0</v>
      </c>
      <c r="BM58" s="704" t="n">
        <v>0</v>
      </c>
      <c r="BN58" s="704" t="n">
        <v>0</v>
      </c>
      <c r="BO58" s="704" t="n">
        <v>0</v>
      </c>
      <c r="BP58" s="704" t="n">
        <v>0</v>
      </c>
      <c r="BQ58" s="704" t="n">
        <v>0</v>
      </c>
      <c r="BR58" s="704" t="n">
        <v>0</v>
      </c>
      <c r="BS58" s="704" t="n">
        <v>0</v>
      </c>
      <c r="BT58" s="704" t="n">
        <v>0</v>
      </c>
      <c r="BU58" s="704" t="n">
        <v>0</v>
      </c>
      <c r="BV58" s="704" t="n">
        <v>0</v>
      </c>
      <c r="BW58" s="704" t="n">
        <v>0</v>
      </c>
      <c r="BX58" s="704" t="n">
        <v>0</v>
      </c>
      <c r="BY58" s="704" t="n">
        <v>0</v>
      </c>
      <c r="BZ58" s="704" t="n">
        <v>0</v>
      </c>
      <c r="CA58" s="704" t="n">
        <v>0</v>
      </c>
      <c r="CB58" s="704" t="n">
        <v>0</v>
      </c>
      <c r="CC58" s="704" t="n">
        <v>0</v>
      </c>
      <c r="CD58" s="704" t="n">
        <v>0</v>
      </c>
      <c r="CE58" s="704" t="n">
        <v>0</v>
      </c>
      <c r="CF58" s="704" t="n">
        <v>0</v>
      </c>
      <c r="CG58" s="704" t="n">
        <v>0</v>
      </c>
      <c r="CH58" s="704" t="n">
        <v>0</v>
      </c>
      <c r="CI58" s="704" t="n">
        <v>0</v>
      </c>
      <c r="CJ58" s="704" t="n">
        <v>0</v>
      </c>
      <c r="CK58" s="704" t="n">
        <v>0</v>
      </c>
      <c r="CL58" s="704" t="n">
        <v>0</v>
      </c>
      <c r="CM58" s="704" t="n">
        <v>0</v>
      </c>
      <c r="CN58" s="704" t="n">
        <v>0</v>
      </c>
      <c r="CO58" s="704" t="n">
        <v>0</v>
      </c>
      <c r="CP58" s="704" t="n">
        <v>0</v>
      </c>
      <c r="CQ58" s="704" t="n">
        <v>0</v>
      </c>
      <c r="CR58" s="704" t="n">
        <v>0</v>
      </c>
      <c r="CS58" s="704" t="n">
        <v>0</v>
      </c>
      <c r="CT58" s="704" t="n">
        <v>0</v>
      </c>
      <c r="CU58" s="704" t="n">
        <v>0</v>
      </c>
      <c r="CV58" s="704" t="n">
        <v>0</v>
      </c>
      <c r="CW58" s="704" t="n">
        <v>0</v>
      </c>
      <c r="CX58" s="704" t="n">
        <v>0</v>
      </c>
      <c r="CY58" s="704" t="n">
        <v>0</v>
      </c>
      <c r="CZ58" s="704" t="n">
        <v>0</v>
      </c>
      <c r="DA58" s="704" t="n">
        <v>0</v>
      </c>
      <c r="DB58" s="704" t="n">
        <v>0</v>
      </c>
      <c r="DC58" s="704" t="n">
        <v>0</v>
      </c>
      <c r="DD58" s="704" t="n">
        <v>0</v>
      </c>
      <c r="DE58" s="704" t="n">
        <v>0</v>
      </c>
      <c r="DF58" s="704" t="n">
        <v>0</v>
      </c>
      <c r="DG58" s="704" t="n">
        <v>0</v>
      </c>
      <c r="DH58" s="704" t="n">
        <v>0</v>
      </c>
      <c r="DI58" s="704" t="n">
        <v>0</v>
      </c>
      <c r="DJ58" s="704" t="n">
        <v>0</v>
      </c>
      <c r="DK58" s="704" t="n">
        <v>0</v>
      </c>
      <c r="DL58" s="704" t="n">
        <v>0</v>
      </c>
      <c r="DM58" s="704" t="n">
        <v>0</v>
      </c>
    </row>
    <row r="59" ht="13.5" customHeight="1" s="355">
      <c r="B59" s="703" t="inlineStr">
        <is>
          <t>Fixed Assets</t>
        </is>
      </c>
      <c r="D59" s="704" t="n">
        <v>0</v>
      </c>
      <c r="E59" s="704" t="n">
        <v>0</v>
      </c>
      <c r="F59" s="704" t="n">
        <v>0</v>
      </c>
      <c r="G59" s="704" t="n">
        <v>0</v>
      </c>
      <c r="H59" s="704" t="n">
        <v>0</v>
      </c>
      <c r="I59" s="704" t="n">
        <v>0</v>
      </c>
      <c r="J59" s="704" t="n">
        <v>0</v>
      </c>
      <c r="K59" s="704" t="n">
        <v>0</v>
      </c>
      <c r="L59" s="704" t="n">
        <v>0</v>
      </c>
      <c r="M59" s="704" t="n">
        <v>0</v>
      </c>
      <c r="N59" s="704" t="n">
        <v>0</v>
      </c>
      <c r="O59" s="704" t="n">
        <v>0</v>
      </c>
      <c r="P59" s="704" t="n">
        <v>0</v>
      </c>
      <c r="Q59" s="704" t="n">
        <v>0</v>
      </c>
      <c r="R59" s="704" t="n">
        <v>0</v>
      </c>
      <c r="S59" s="704" t="n">
        <v>0</v>
      </c>
      <c r="T59" s="704" t="n">
        <v>0</v>
      </c>
      <c r="U59" s="704" t="n">
        <v>0</v>
      </c>
      <c r="V59" s="704" t="n">
        <v>0</v>
      </c>
      <c r="W59" s="704" t="n">
        <v>0</v>
      </c>
      <c r="X59" s="704" t="n">
        <v>0</v>
      </c>
      <c r="Y59" s="704" t="n">
        <v>0</v>
      </c>
      <c r="Z59" s="704" t="n">
        <v>0</v>
      </c>
      <c r="AA59" s="704" t="n">
        <v>0</v>
      </c>
      <c r="AB59" s="704" t="n">
        <v>0</v>
      </c>
      <c r="AC59" s="704" t="n">
        <v>0</v>
      </c>
      <c r="AD59" s="704" t="n">
        <v>0</v>
      </c>
      <c r="AE59" s="704" t="n">
        <v>0</v>
      </c>
      <c r="AF59" s="704" t="n">
        <v>0</v>
      </c>
      <c r="AG59" s="704" t="n">
        <v>0</v>
      </c>
      <c r="AH59" s="704" t="n">
        <v>0</v>
      </c>
      <c r="AI59" s="704" t="n">
        <v>0</v>
      </c>
      <c r="AJ59" s="704" t="n">
        <v>0</v>
      </c>
      <c r="AK59" s="704" t="n">
        <v>0</v>
      </c>
      <c r="AL59" s="704" t="n">
        <v>0</v>
      </c>
      <c r="AM59" s="704" t="n">
        <v>0</v>
      </c>
      <c r="AN59" s="704" t="n">
        <v>0</v>
      </c>
      <c r="AO59" s="704" t="n">
        <v>0</v>
      </c>
      <c r="AP59" s="704" t="n">
        <v>0</v>
      </c>
      <c r="AQ59" s="704" t="n">
        <v>0</v>
      </c>
      <c r="AR59" s="704" t="n">
        <v>0</v>
      </c>
      <c r="AS59" s="704" t="n">
        <v>0</v>
      </c>
      <c r="AT59" s="704" t="n">
        <v>0</v>
      </c>
      <c r="AU59" s="704" t="n">
        <v>0</v>
      </c>
      <c r="AV59" s="704" t="n">
        <v>0</v>
      </c>
      <c r="AW59" s="704" t="n">
        <v>0</v>
      </c>
      <c r="AX59" s="704" t="n">
        <v>0</v>
      </c>
      <c r="AY59" s="704" t="n">
        <v>0</v>
      </c>
      <c r="AZ59" s="704" t="n">
        <v>0</v>
      </c>
      <c r="BA59" s="704" t="n">
        <v>0</v>
      </c>
      <c r="BB59" s="704" t="n">
        <v>0</v>
      </c>
      <c r="BC59" s="704" t="n">
        <v>0</v>
      </c>
      <c r="BD59" s="704" t="n">
        <v>0</v>
      </c>
      <c r="BE59" s="704" t="n">
        <v>0</v>
      </c>
      <c r="BF59" s="704" t="n">
        <v>0</v>
      </c>
      <c r="BG59" s="704" t="n">
        <v>0</v>
      </c>
      <c r="BH59" s="704" t="n">
        <v>0</v>
      </c>
      <c r="BI59" s="704" t="n">
        <v>0</v>
      </c>
      <c r="BJ59" s="704" t="n">
        <v>0</v>
      </c>
      <c r="BK59" s="704" t="n">
        <v>0</v>
      </c>
      <c r="BL59" s="704" t="n">
        <v>0</v>
      </c>
      <c r="BM59" s="704" t="n">
        <v>0</v>
      </c>
      <c r="BN59" s="704" t="n">
        <v>0</v>
      </c>
      <c r="BO59" s="704" t="n">
        <v>0</v>
      </c>
      <c r="BP59" s="704" t="n">
        <v>0</v>
      </c>
      <c r="BQ59" s="704" t="n">
        <v>0</v>
      </c>
      <c r="BR59" s="704" t="n">
        <v>0</v>
      </c>
      <c r="BS59" s="704" t="n">
        <v>0</v>
      </c>
      <c r="BT59" s="704" t="n">
        <v>0</v>
      </c>
      <c r="BU59" s="704" t="n">
        <v>0</v>
      </c>
      <c r="BV59" s="704" t="n">
        <v>0</v>
      </c>
      <c r="BW59" s="704" t="n">
        <v>0</v>
      </c>
      <c r="BX59" s="704" t="n">
        <v>0</v>
      </c>
      <c r="BY59" s="704" t="n">
        <v>0</v>
      </c>
      <c r="BZ59" s="704" t="n">
        <v>0</v>
      </c>
      <c r="CA59" s="704" t="n">
        <v>0</v>
      </c>
      <c r="CB59" s="704" t="n">
        <v>0</v>
      </c>
      <c r="CC59" s="704" t="n">
        <v>0</v>
      </c>
      <c r="CD59" s="704" t="n">
        <v>0</v>
      </c>
      <c r="CE59" s="704" t="n">
        <v>0</v>
      </c>
      <c r="CF59" s="704" t="n">
        <v>0</v>
      </c>
      <c r="CG59" s="704" t="n">
        <v>0</v>
      </c>
      <c r="CH59" s="704" t="n">
        <v>0</v>
      </c>
      <c r="CI59" s="704" t="n">
        <v>0</v>
      </c>
      <c r="CJ59" s="704" t="n">
        <v>0</v>
      </c>
      <c r="CK59" s="704" t="n">
        <v>0</v>
      </c>
      <c r="CL59" s="704" t="n">
        <v>0</v>
      </c>
      <c r="CM59" s="704" t="n">
        <v>0</v>
      </c>
      <c r="CN59" s="704" t="n">
        <v>0</v>
      </c>
      <c r="CO59" s="704" t="n">
        <v>0</v>
      </c>
      <c r="CP59" s="704" t="n">
        <v>0</v>
      </c>
      <c r="CQ59" s="704" t="n">
        <v>0</v>
      </c>
      <c r="CR59" s="704" t="n">
        <v>0</v>
      </c>
      <c r="CS59" s="704" t="n">
        <v>0</v>
      </c>
      <c r="CT59" s="704" t="n">
        <v>0</v>
      </c>
      <c r="CU59" s="704" t="n">
        <v>0</v>
      </c>
      <c r="CV59" s="704" t="n">
        <v>0</v>
      </c>
      <c r="CW59" s="704" t="n">
        <v>0</v>
      </c>
      <c r="CX59" s="704" t="n">
        <v>0</v>
      </c>
      <c r="CY59" s="704" t="n">
        <v>0</v>
      </c>
      <c r="CZ59" s="704" t="n">
        <v>0</v>
      </c>
      <c r="DA59" s="704" t="n">
        <v>0</v>
      </c>
      <c r="DB59" s="704" t="n">
        <v>0</v>
      </c>
      <c r="DC59" s="704" t="n">
        <v>0</v>
      </c>
      <c r="DD59" s="704" t="n">
        <v>0</v>
      </c>
      <c r="DE59" s="704" t="n">
        <v>0</v>
      </c>
      <c r="DF59" s="704" t="n">
        <v>0</v>
      </c>
      <c r="DG59" s="704" t="n">
        <v>0</v>
      </c>
      <c r="DH59" s="704" t="n">
        <v>0</v>
      </c>
      <c r="DI59" s="704" t="n">
        <v>0</v>
      </c>
      <c r="DJ59" s="704" t="n">
        <v>0</v>
      </c>
      <c r="DK59" s="704" t="n">
        <v>0</v>
      </c>
      <c r="DL59" s="704" t="n">
        <v>0</v>
      </c>
      <c r="DM59" s="704" t="n">
        <v>0</v>
      </c>
    </row>
    <row r="60" ht="13.5" customHeight="1" s="355">
      <c r="B60" s="703" t="inlineStr">
        <is>
          <t>Acct Payable</t>
        </is>
      </c>
      <c r="D60" s="704" t="n">
        <v>0</v>
      </c>
      <c r="E60" s="704" t="n">
        <v>0</v>
      </c>
      <c r="F60" s="704" t="n">
        <v>0</v>
      </c>
      <c r="G60" s="704" t="n">
        <v>0</v>
      </c>
      <c r="H60" s="704" t="n">
        <v>0</v>
      </c>
      <c r="I60" s="704" t="n">
        <v>0</v>
      </c>
      <c r="J60" s="704" t="n">
        <v>0</v>
      </c>
      <c r="K60" s="704" t="n">
        <v>0</v>
      </c>
      <c r="L60" s="704" t="n">
        <v>3.11721077145856</v>
      </c>
      <c r="M60" s="704" t="n">
        <v>15.5860538572928</v>
      </c>
      <c r="N60" s="704" t="n">
        <v>15.5860538572928</v>
      </c>
      <c r="O60" s="704" t="n">
        <v>15.5860538572928</v>
      </c>
      <c r="P60" s="704" t="n">
        <v>16.0536354730116</v>
      </c>
      <c r="Q60" s="704" t="n">
        <v>16.0536354730116</v>
      </c>
      <c r="R60" s="704" t="n">
        <v>16.0536354730116</v>
      </c>
      <c r="S60" s="704" t="n">
        <v>16.0536354730116</v>
      </c>
      <c r="T60" s="704" t="n">
        <v>15.2303721154213</v>
      </c>
      <c r="U60" s="704" t="n">
        <v>15.2303721154213</v>
      </c>
      <c r="V60" s="704" t="n">
        <v>15.2303721154213</v>
      </c>
      <c r="W60" s="704" t="n">
        <v>15.2303721154213</v>
      </c>
      <c r="X60" s="704" t="n">
        <v>15.2303721154213</v>
      </c>
      <c r="Y60" s="704" t="n">
        <v>15.2303721154213</v>
      </c>
      <c r="Z60" s="704" t="n">
        <v>15.2303721154213</v>
      </c>
      <c r="AA60" s="704" t="n">
        <v>15.2303721154213</v>
      </c>
      <c r="AB60" s="704" t="n">
        <v>15.6872832788839</v>
      </c>
      <c r="AC60" s="704" t="n">
        <v>14.8393220205658</v>
      </c>
      <c r="AD60" s="704" t="n">
        <v>14.8393220205658</v>
      </c>
      <c r="AE60" s="704" t="n">
        <v>14.8393220205658</v>
      </c>
      <c r="AF60" s="704" t="n">
        <v>14.8393220205658</v>
      </c>
      <c r="AG60" s="704" t="n">
        <v>14.8393220205658</v>
      </c>
      <c r="AH60" s="704" t="n">
        <v>14.8393220205658</v>
      </c>
      <c r="AI60" s="704" t="n">
        <v>14.8393220205658</v>
      </c>
      <c r="AJ60" s="704" t="n">
        <v>14.8393220205658</v>
      </c>
      <c r="AK60" s="704" t="n">
        <v>14.8393220205658</v>
      </c>
      <c r="AL60" s="704" t="n">
        <v>14.8393220205658</v>
      </c>
      <c r="AM60" s="704" t="n">
        <v>14.8393220205658</v>
      </c>
      <c r="AN60" s="704" t="n">
        <v>15.2845016811828</v>
      </c>
      <c r="AO60" s="704" t="n">
        <v>14.4111015851152</v>
      </c>
      <c r="AP60" s="704" t="n">
        <v>14.4111015851152</v>
      </c>
      <c r="AQ60" s="704" t="n">
        <v>14.4111015851152</v>
      </c>
      <c r="AR60" s="704" t="n">
        <v>14.4111015851152</v>
      </c>
      <c r="AS60" s="704" t="n">
        <v>14.4111015851152</v>
      </c>
      <c r="AT60" s="704" t="n">
        <v>14.4111015851152</v>
      </c>
      <c r="AU60" s="704" t="n">
        <v>14.4111015851152</v>
      </c>
      <c r="AV60" s="704" t="n">
        <v>14.4111015851152</v>
      </c>
      <c r="AW60" s="704" t="n">
        <v>14.4111015851152</v>
      </c>
      <c r="AX60" s="704" t="n">
        <v>14.4111015851152</v>
      </c>
      <c r="AY60" s="704" t="n">
        <v>14.4111015851152</v>
      </c>
      <c r="AZ60" s="704" t="n">
        <v>14.8434346326687</v>
      </c>
      <c r="BA60" s="704" t="n">
        <v>14.3936335831939</v>
      </c>
      <c r="BB60" s="704" t="n">
        <v>14.3936335831939</v>
      </c>
      <c r="BC60" s="704" t="n">
        <v>14.3936335831939</v>
      </c>
      <c r="BD60" s="704" t="n">
        <v>14.3936335831939</v>
      </c>
      <c r="BE60" s="704" t="n">
        <v>14.3936335831939</v>
      </c>
      <c r="BF60" s="704" t="n">
        <v>14.3936335831939</v>
      </c>
      <c r="BG60" s="704" t="n">
        <v>14.3936335831939</v>
      </c>
      <c r="BH60" s="704" t="n">
        <v>14.3936335831939</v>
      </c>
      <c r="BI60" s="704" t="n">
        <v>14.3936335831939</v>
      </c>
      <c r="BJ60" s="704" t="n">
        <v>14.3936335831939</v>
      </c>
      <c r="BK60" s="704" t="n">
        <v>14.3936335831939</v>
      </c>
      <c r="BL60" s="704" t="n">
        <v>14.8254425906897</v>
      </c>
      <c r="BM60" s="704" t="n">
        <v>14.3621475097306</v>
      </c>
      <c r="BN60" s="704" t="n">
        <v>14.3621475097306</v>
      </c>
      <c r="BO60" s="704" t="n">
        <v>14.3621475097306</v>
      </c>
      <c r="BP60" s="704" t="n">
        <v>14.3621475097306</v>
      </c>
      <c r="BQ60" s="704" t="n">
        <v>14.3621475097306</v>
      </c>
      <c r="BR60" s="704" t="n">
        <v>14.3621475097306</v>
      </c>
      <c r="BS60" s="704" t="n">
        <v>14.3621475097306</v>
      </c>
      <c r="BT60" s="704" t="n">
        <v>14.3621475097306</v>
      </c>
      <c r="BU60" s="704" t="n">
        <v>14.3621475097306</v>
      </c>
      <c r="BV60" s="704" t="n">
        <v>14.3621475097306</v>
      </c>
      <c r="BW60" s="704" t="n">
        <v>14.3621475097306</v>
      </c>
      <c r="BX60" s="704" t="n">
        <v>14.7930119350226</v>
      </c>
      <c r="BY60" s="704" t="n">
        <v>14.3158180016347</v>
      </c>
      <c r="BZ60" s="704" t="n">
        <v>14.3158180016347</v>
      </c>
      <c r="CA60" s="704" t="n">
        <v>14.3158180016347</v>
      </c>
      <c r="CB60" s="704" t="n">
        <v>14.3158180016347</v>
      </c>
      <c r="CC60" s="704" t="n">
        <v>14.3158180016347</v>
      </c>
      <c r="CD60" s="704" t="n">
        <v>14.3158180016347</v>
      </c>
      <c r="CE60" s="704" t="n">
        <v>14.3158180016347</v>
      </c>
      <c r="CF60" s="704" t="n">
        <v>14.3158180016347</v>
      </c>
      <c r="CG60" s="704" t="n">
        <v>14.3158180016347</v>
      </c>
      <c r="CH60" s="704" t="n">
        <v>14.3158180016347</v>
      </c>
      <c r="CI60" s="704" t="n">
        <v>14.3158180016347</v>
      </c>
      <c r="CJ60" s="704" t="n">
        <v>14.7452925416838</v>
      </c>
      <c r="CK60" s="704" t="n">
        <v>14.7452925416838</v>
      </c>
      <c r="CL60" s="704" t="n">
        <v>14.7452925416838</v>
      </c>
      <c r="CM60" s="704" t="n">
        <v>14.7452925416838</v>
      </c>
      <c r="CN60" s="704" t="n">
        <v>14.7452925416838</v>
      </c>
      <c r="CO60" s="704" t="n">
        <v>14.7452925416838</v>
      </c>
      <c r="CP60" s="704" t="n">
        <v>14.7452925416838</v>
      </c>
      <c r="CQ60" s="704" t="n">
        <v>14.7452925416838</v>
      </c>
      <c r="CR60" s="704" t="n">
        <v>14.7452925416838</v>
      </c>
      <c r="CS60" s="704" t="n">
        <v>14.7452925416838</v>
      </c>
      <c r="CT60" s="704" t="n">
        <v>14.7452925416838</v>
      </c>
      <c r="CU60" s="704" t="n">
        <v>14.7452925416838</v>
      </c>
      <c r="CV60" s="704" t="n">
        <v>15.1876513179343</v>
      </c>
      <c r="CW60" s="704" t="n">
        <v>15.1876513179343</v>
      </c>
      <c r="CX60" s="704" t="n">
        <v>15.1876513179343</v>
      </c>
      <c r="CY60" s="704" t="n">
        <v>15.1876513179343</v>
      </c>
      <c r="CZ60" s="704" t="n">
        <v>15.1876513179343</v>
      </c>
      <c r="DA60" s="704" t="n">
        <v>15.1876513179343</v>
      </c>
      <c r="DB60" s="704" t="n">
        <v>15.1876513179343</v>
      </c>
      <c r="DC60" s="704" t="n">
        <v>15.1876513179343</v>
      </c>
      <c r="DD60" s="704" t="n">
        <v>15.1876513179343</v>
      </c>
      <c r="DE60" s="704" t="n">
        <v>15.1876513179343</v>
      </c>
      <c r="DF60" s="704" t="n">
        <v>15.1876513179343</v>
      </c>
      <c r="DG60" s="704" t="n">
        <v>15.1876513179343</v>
      </c>
      <c r="DH60" s="704" t="n">
        <v>15.1876513179343</v>
      </c>
      <c r="DI60" s="704" t="n">
        <v>15.1876513179343</v>
      </c>
      <c r="DJ60" s="704" t="n">
        <v>15.1876513179343</v>
      </c>
      <c r="DK60" s="704" t="n">
        <v>15.1876513179343</v>
      </c>
      <c r="DL60" s="704" t="n">
        <v>15.1876513179343</v>
      </c>
      <c r="DM60" s="704" t="n">
        <v>15.1876513179343</v>
      </c>
    </row>
    <row r="61" ht="13.5" customHeight="1" s="355">
      <c r="B61" s="703" t="inlineStr">
        <is>
          <t>Cash&amp;Bank</t>
        </is>
      </c>
      <c r="D61" s="704" t="n">
        <v>0</v>
      </c>
      <c r="E61" s="704" t="n">
        <v>0</v>
      </c>
      <c r="F61" s="704" t="n">
        <v>0</v>
      </c>
      <c r="G61" s="704" t="n">
        <v>0</v>
      </c>
      <c r="H61" s="704" t="n">
        <v>0</v>
      </c>
      <c r="I61" s="704" t="n">
        <v>0</v>
      </c>
      <c r="J61" s="704" t="n">
        <v>0</v>
      </c>
      <c r="K61" s="704" t="n">
        <v>0</v>
      </c>
      <c r="L61" s="704" t="n">
        <v>0</v>
      </c>
      <c r="M61" s="704" t="n">
        <v>0</v>
      </c>
      <c r="N61" s="704" t="n">
        <v>0</v>
      </c>
      <c r="O61" s="704" t="n">
        <v>0</v>
      </c>
      <c r="P61" s="704" t="n">
        <v>0</v>
      </c>
      <c r="Q61" s="704" t="n">
        <v>0</v>
      </c>
      <c r="R61" s="704" t="n">
        <v>0</v>
      </c>
      <c r="S61" s="704" t="n">
        <v>0</v>
      </c>
      <c r="T61" s="704" t="n">
        <v>0</v>
      </c>
      <c r="U61" s="704" t="n">
        <v>0</v>
      </c>
      <c r="V61" s="704" t="n">
        <v>0</v>
      </c>
      <c r="W61" s="704" t="n">
        <v>0</v>
      </c>
      <c r="X61" s="704" t="n">
        <v>0</v>
      </c>
      <c r="Y61" s="704" t="n">
        <v>0</v>
      </c>
      <c r="Z61" s="704" t="n">
        <v>0</v>
      </c>
      <c r="AA61" s="704" t="n">
        <v>0</v>
      </c>
      <c r="AB61" s="704" t="n">
        <v>0</v>
      </c>
      <c r="AC61" s="704" t="n">
        <v>0</v>
      </c>
      <c r="AD61" s="704" t="n">
        <v>0</v>
      </c>
      <c r="AE61" s="704" t="n">
        <v>0</v>
      </c>
      <c r="AF61" s="704" t="n">
        <v>0</v>
      </c>
      <c r="AG61" s="704" t="n">
        <v>0</v>
      </c>
      <c r="AH61" s="704" t="n">
        <v>0</v>
      </c>
      <c r="AI61" s="704" t="n">
        <v>0</v>
      </c>
      <c r="AJ61" s="704" t="n">
        <v>0</v>
      </c>
      <c r="AK61" s="704" t="n">
        <v>0</v>
      </c>
      <c r="AL61" s="704" t="n">
        <v>0</v>
      </c>
      <c r="AM61" s="704" t="n">
        <v>0</v>
      </c>
      <c r="AN61" s="704" t="n">
        <v>0</v>
      </c>
      <c r="AO61" s="704" t="n">
        <v>0</v>
      </c>
      <c r="AP61" s="704" t="n">
        <v>0</v>
      </c>
      <c r="AQ61" s="704" t="n">
        <v>0</v>
      </c>
      <c r="AR61" s="704" t="n">
        <v>0</v>
      </c>
      <c r="AS61" s="704" t="n">
        <v>0</v>
      </c>
      <c r="AT61" s="704" t="n">
        <v>0</v>
      </c>
      <c r="AU61" s="704" t="n">
        <v>0</v>
      </c>
      <c r="AV61" s="704" t="n">
        <v>0</v>
      </c>
      <c r="AW61" s="704" t="n">
        <v>0</v>
      </c>
      <c r="AX61" s="704" t="n">
        <v>0</v>
      </c>
      <c r="AY61" s="704" t="n">
        <v>0</v>
      </c>
      <c r="AZ61" s="704" t="n">
        <v>0</v>
      </c>
      <c r="BA61" s="704" t="n">
        <v>0</v>
      </c>
      <c r="BB61" s="704" t="n">
        <v>0</v>
      </c>
      <c r="BC61" s="704" t="n">
        <v>0</v>
      </c>
      <c r="BD61" s="704" t="n">
        <v>0</v>
      </c>
      <c r="BE61" s="704" t="n">
        <v>0</v>
      </c>
      <c r="BF61" s="704" t="n">
        <v>0</v>
      </c>
      <c r="BG61" s="704" t="n">
        <v>0</v>
      </c>
      <c r="BH61" s="704" t="n">
        <v>0</v>
      </c>
      <c r="BI61" s="704" t="n">
        <v>0</v>
      </c>
      <c r="BJ61" s="704" t="n">
        <v>0</v>
      </c>
      <c r="BK61" s="704" t="n">
        <v>0</v>
      </c>
      <c r="BL61" s="704" t="n">
        <v>0</v>
      </c>
      <c r="BM61" s="704" t="n">
        <v>0</v>
      </c>
      <c r="BN61" s="704" t="n">
        <v>0</v>
      </c>
      <c r="BO61" s="704" t="n">
        <v>0</v>
      </c>
      <c r="BP61" s="704" t="n">
        <v>0</v>
      </c>
      <c r="BQ61" s="704" t="n">
        <v>0</v>
      </c>
      <c r="BR61" s="704" t="n">
        <v>0</v>
      </c>
      <c r="BS61" s="704" t="n">
        <v>0</v>
      </c>
      <c r="BT61" s="704" t="n">
        <v>0</v>
      </c>
      <c r="BU61" s="704" t="n">
        <v>0</v>
      </c>
      <c r="BV61" s="704" t="n">
        <v>0</v>
      </c>
      <c r="BW61" s="704" t="n">
        <v>0</v>
      </c>
      <c r="BX61" s="704" t="n">
        <v>0</v>
      </c>
      <c r="BY61" s="704" t="n">
        <v>0</v>
      </c>
      <c r="BZ61" s="704" t="n">
        <v>0</v>
      </c>
      <c r="CA61" s="704" t="n">
        <v>0</v>
      </c>
      <c r="CB61" s="704" t="n">
        <v>0</v>
      </c>
      <c r="CC61" s="704" t="n">
        <v>0</v>
      </c>
      <c r="CD61" s="704" t="n">
        <v>0</v>
      </c>
      <c r="CE61" s="704" t="n">
        <v>0</v>
      </c>
      <c r="CF61" s="704" t="n">
        <v>0</v>
      </c>
      <c r="CG61" s="704" t="n">
        <v>0</v>
      </c>
      <c r="CH61" s="704" t="n">
        <v>0</v>
      </c>
      <c r="CI61" s="704" t="n">
        <v>0</v>
      </c>
      <c r="CJ61" s="704" t="n">
        <v>0</v>
      </c>
      <c r="CK61" s="704" t="n">
        <v>0</v>
      </c>
      <c r="CL61" s="704" t="n">
        <v>0</v>
      </c>
      <c r="CM61" s="704" t="n">
        <v>0</v>
      </c>
      <c r="CN61" s="704" t="n">
        <v>0</v>
      </c>
      <c r="CO61" s="704" t="n">
        <v>0</v>
      </c>
      <c r="CP61" s="704" t="n">
        <v>0</v>
      </c>
      <c r="CQ61" s="704" t="n">
        <v>0</v>
      </c>
      <c r="CR61" s="704" t="n">
        <v>0</v>
      </c>
      <c r="CS61" s="704" t="n">
        <v>0</v>
      </c>
      <c r="CT61" s="704" t="n">
        <v>0</v>
      </c>
      <c r="CU61" s="704" t="n">
        <v>0</v>
      </c>
      <c r="CV61" s="704" t="n">
        <v>0</v>
      </c>
      <c r="CW61" s="704" t="n">
        <v>0</v>
      </c>
      <c r="CX61" s="704" t="n">
        <v>0</v>
      </c>
      <c r="CY61" s="704" t="n">
        <v>0</v>
      </c>
      <c r="CZ61" s="704" t="n">
        <v>0</v>
      </c>
      <c r="DA61" s="704" t="n">
        <v>0</v>
      </c>
      <c r="DB61" s="704" t="n">
        <v>0</v>
      </c>
      <c r="DC61" s="704" t="n">
        <v>0</v>
      </c>
      <c r="DD61" s="704" t="n">
        <v>0</v>
      </c>
      <c r="DE61" s="704" t="n">
        <v>0</v>
      </c>
      <c r="DF61" s="704" t="n">
        <v>0</v>
      </c>
      <c r="DG61" s="704" t="n">
        <v>0</v>
      </c>
      <c r="DH61" s="704" t="n">
        <v>0</v>
      </c>
      <c r="DI61" s="704" t="n">
        <v>0</v>
      </c>
      <c r="DJ61" s="704" t="n">
        <v>0</v>
      </c>
      <c r="DK61" s="704" t="n">
        <v>0</v>
      </c>
      <c r="DL61" s="704" t="n">
        <v>0</v>
      </c>
      <c r="DM61" s="704" t="n">
        <v>0</v>
      </c>
    </row>
    <row r="62" ht="13.5" customHeight="1" s="355">
      <c r="B62" s="703" t="inlineStr">
        <is>
          <t>T&amp;E</t>
        </is>
      </c>
      <c r="D62" s="704" t="n">
        <v>0</v>
      </c>
      <c r="E62" s="704" t="n">
        <v>0</v>
      </c>
      <c r="F62" s="704" t="n">
        <v>0</v>
      </c>
      <c r="G62" s="704" t="n">
        <v>0</v>
      </c>
      <c r="H62" s="704" t="n">
        <v>0</v>
      </c>
      <c r="I62" s="704" t="n">
        <v>0</v>
      </c>
      <c r="J62" s="704" t="n">
        <v>0</v>
      </c>
      <c r="K62" s="704" t="n">
        <v>0</v>
      </c>
      <c r="L62" s="704" t="n">
        <v>1.41691398702662</v>
      </c>
      <c r="M62" s="704" t="n">
        <v>7.0845699351331</v>
      </c>
      <c r="N62" s="704" t="n">
        <v>7.0845699351331</v>
      </c>
      <c r="O62" s="704" t="n">
        <v>7.0845699351331</v>
      </c>
      <c r="P62" s="704" t="n">
        <v>7.29710703318709</v>
      </c>
      <c r="Q62" s="704" t="n">
        <v>7.29710703318709</v>
      </c>
      <c r="R62" s="704" t="n">
        <v>7.29710703318709</v>
      </c>
      <c r="S62" s="704" t="n">
        <v>7.29710703318709</v>
      </c>
      <c r="T62" s="704" t="n">
        <v>7.29710703318709</v>
      </c>
      <c r="U62" s="704" t="n">
        <v>7.29710703318709</v>
      </c>
      <c r="V62" s="704" t="n">
        <v>7.29710703318709</v>
      </c>
      <c r="W62" s="704" t="n">
        <v>7.29710703318709</v>
      </c>
      <c r="X62" s="704" t="n">
        <v>7.29710703318709</v>
      </c>
      <c r="Y62" s="704" t="n">
        <v>7.29710703318709</v>
      </c>
      <c r="Z62" s="704" t="n">
        <v>7.29710703318709</v>
      </c>
      <c r="AA62" s="704" t="n">
        <v>7.29710703318709</v>
      </c>
      <c r="AB62" s="704" t="n">
        <v>7.5160202441827</v>
      </c>
      <c r="AC62" s="704" t="n">
        <v>7.32811973807813</v>
      </c>
      <c r="AD62" s="704" t="n">
        <v>7.32811973807813</v>
      </c>
      <c r="AE62" s="704" t="n">
        <v>7.32811973807813</v>
      </c>
      <c r="AF62" s="704" t="n">
        <v>7.32811973807813</v>
      </c>
      <c r="AG62" s="704" t="n">
        <v>7.32811973807813</v>
      </c>
      <c r="AH62" s="704" t="n">
        <v>7.32811973807813</v>
      </c>
      <c r="AI62" s="704" t="n">
        <v>7.32811973807813</v>
      </c>
      <c r="AJ62" s="704" t="n">
        <v>7.32811973807813</v>
      </c>
      <c r="AK62" s="704" t="n">
        <v>7.32811973807813</v>
      </c>
      <c r="AL62" s="704" t="n">
        <v>7.32811973807813</v>
      </c>
      <c r="AM62" s="704" t="n">
        <v>7.32811973807813</v>
      </c>
      <c r="AN62" s="704" t="n">
        <v>7.54796333022048</v>
      </c>
      <c r="AO62" s="704" t="n">
        <v>7.35442580893277</v>
      </c>
      <c r="AP62" s="704" t="n">
        <v>7.35442580893277</v>
      </c>
      <c r="AQ62" s="704" t="n">
        <v>7.35442580893277</v>
      </c>
      <c r="AR62" s="704" t="n">
        <v>7.35442580893277</v>
      </c>
      <c r="AS62" s="704" t="n">
        <v>7.35442580893277</v>
      </c>
      <c r="AT62" s="704" t="n">
        <v>7.35442580893277</v>
      </c>
      <c r="AU62" s="704" t="n">
        <v>7.35442580893277</v>
      </c>
      <c r="AV62" s="704" t="n">
        <v>7.35442580893277</v>
      </c>
      <c r="AW62" s="704" t="n">
        <v>7.35442580893277</v>
      </c>
      <c r="AX62" s="704" t="n">
        <v>7.35442580893277</v>
      </c>
      <c r="AY62" s="704" t="n">
        <v>7.35442580893277</v>
      </c>
      <c r="AZ62" s="704" t="n">
        <v>7.57505858320076</v>
      </c>
      <c r="BA62" s="704" t="n">
        <v>7.37571493627442</v>
      </c>
      <c r="BB62" s="704" t="n">
        <v>7.37571493627442</v>
      </c>
      <c r="BC62" s="704" t="n">
        <v>7.37571493627442</v>
      </c>
      <c r="BD62" s="704" t="n">
        <v>7.37571493627442</v>
      </c>
      <c r="BE62" s="704" t="n">
        <v>7.37571493627442</v>
      </c>
      <c r="BF62" s="704" t="n">
        <v>7.37571493627442</v>
      </c>
      <c r="BG62" s="704" t="n">
        <v>7.37571493627442</v>
      </c>
      <c r="BH62" s="704" t="n">
        <v>7.37571493627442</v>
      </c>
      <c r="BI62" s="704" t="n">
        <v>7.37571493627442</v>
      </c>
      <c r="BJ62" s="704" t="n">
        <v>7.37571493627442</v>
      </c>
      <c r="BK62" s="704" t="n">
        <v>7.37571493627442</v>
      </c>
      <c r="BL62" s="704" t="n">
        <v>7.59698638436265</v>
      </c>
      <c r="BM62" s="704" t="n">
        <v>7.1863384716944</v>
      </c>
      <c r="BN62" s="704" t="n">
        <v>7.1863384716944</v>
      </c>
      <c r="BO62" s="704" t="n">
        <v>7.1863384716944</v>
      </c>
      <c r="BP62" s="704" t="n">
        <v>7.1863384716944</v>
      </c>
      <c r="BQ62" s="704" t="n">
        <v>7.1863384716944</v>
      </c>
      <c r="BR62" s="704" t="n">
        <v>7.1863384716944</v>
      </c>
      <c r="BS62" s="704" t="n">
        <v>7.1863384716944</v>
      </c>
      <c r="BT62" s="704" t="n">
        <v>7.1863384716944</v>
      </c>
      <c r="BU62" s="704" t="n">
        <v>7.1863384716944</v>
      </c>
      <c r="BV62" s="704" t="n">
        <v>7.1863384716944</v>
      </c>
      <c r="BW62" s="704" t="n">
        <v>7.1863384716944</v>
      </c>
      <c r="BX62" s="704" t="n">
        <v>7.40192862584523</v>
      </c>
      <c r="BY62" s="704" t="n">
        <v>7.40192862584523</v>
      </c>
      <c r="BZ62" s="704" t="n">
        <v>7.40192862584523</v>
      </c>
      <c r="CA62" s="704" t="n">
        <v>7.40192862584523</v>
      </c>
      <c r="CB62" s="704" t="n">
        <v>7.40192862584523</v>
      </c>
      <c r="CC62" s="704" t="n">
        <v>7.40192862584523</v>
      </c>
      <c r="CD62" s="704" t="n">
        <v>7.40192862584523</v>
      </c>
      <c r="CE62" s="704" t="n">
        <v>7.40192862584523</v>
      </c>
      <c r="CF62" s="704" t="n">
        <v>7.40192862584523</v>
      </c>
      <c r="CG62" s="704" t="n">
        <v>7.40192862584523</v>
      </c>
      <c r="CH62" s="704" t="n">
        <v>7.40192862584523</v>
      </c>
      <c r="CI62" s="704" t="n">
        <v>7.40192862584523</v>
      </c>
      <c r="CJ62" s="704" t="n">
        <v>7.62398648462059</v>
      </c>
      <c r="CK62" s="704" t="n">
        <v>7.62398648462059</v>
      </c>
      <c r="CL62" s="704" t="n">
        <v>7.62398648462059</v>
      </c>
      <c r="CM62" s="704" t="n">
        <v>7.62398648462059</v>
      </c>
      <c r="CN62" s="704" t="n">
        <v>7.62398648462059</v>
      </c>
      <c r="CO62" s="704" t="n">
        <v>7.62398648462059</v>
      </c>
      <c r="CP62" s="704" t="n">
        <v>7.62398648462059</v>
      </c>
      <c r="CQ62" s="704" t="n">
        <v>7.62398648462059</v>
      </c>
      <c r="CR62" s="704" t="n">
        <v>7.62398648462059</v>
      </c>
      <c r="CS62" s="704" t="n">
        <v>7.62398648462059</v>
      </c>
      <c r="CT62" s="704" t="n">
        <v>7.62398648462059</v>
      </c>
      <c r="CU62" s="704" t="n">
        <v>7.62398648462059</v>
      </c>
      <c r="CV62" s="704" t="n">
        <v>7.85270607915921</v>
      </c>
      <c r="CW62" s="704" t="n">
        <v>7.85270607915921</v>
      </c>
      <c r="CX62" s="704" t="n">
        <v>7.85270607915921</v>
      </c>
      <c r="CY62" s="704" t="n">
        <v>7.85270607915921</v>
      </c>
      <c r="CZ62" s="704" t="n">
        <v>7.85270607915921</v>
      </c>
      <c r="DA62" s="704" t="n">
        <v>7.85270607915921</v>
      </c>
      <c r="DB62" s="704" t="n">
        <v>7.85270607915921</v>
      </c>
      <c r="DC62" s="704" t="n">
        <v>7.85270607915921</v>
      </c>
      <c r="DD62" s="704" t="n">
        <v>7.85270607915921</v>
      </c>
      <c r="DE62" s="704" t="n">
        <v>7.85270607915921</v>
      </c>
      <c r="DF62" s="704" t="n">
        <v>7.85270607915921</v>
      </c>
      <c r="DG62" s="704" t="n">
        <v>7.85270607915921</v>
      </c>
      <c r="DH62" s="704" t="n">
        <v>7.85270607915921</v>
      </c>
      <c r="DI62" s="704" t="n">
        <v>7.85270607915921</v>
      </c>
      <c r="DJ62" s="704" t="n">
        <v>7.85270607915921</v>
      </c>
      <c r="DK62" s="704" t="n">
        <v>7.85270607915921</v>
      </c>
      <c r="DL62" s="704" t="n">
        <v>7.85270607915921</v>
      </c>
      <c r="DM62" s="704" t="n">
        <v>7.85270607915921</v>
      </c>
    </row>
    <row r="63" ht="13.5" customHeight="1" s="355">
      <c r="B63" s="703" t="inlineStr">
        <is>
          <t>Order to Cash</t>
        </is>
      </c>
      <c r="D63" s="704" t="n">
        <v>0</v>
      </c>
      <c r="E63" s="704" t="n">
        <v>0</v>
      </c>
      <c r="F63" s="704" t="n">
        <v>0</v>
      </c>
      <c r="G63" s="704" t="n">
        <v>0</v>
      </c>
      <c r="H63" s="704" t="n">
        <v>0</v>
      </c>
      <c r="I63" s="704" t="n">
        <v>0</v>
      </c>
      <c r="J63" s="704" t="n">
        <v>0</v>
      </c>
      <c r="K63" s="704" t="n">
        <v>0</v>
      </c>
      <c r="L63" s="704" t="n">
        <v>1.14898245284081</v>
      </c>
      <c r="M63" s="704" t="n">
        <v>5.74491226420404</v>
      </c>
      <c r="N63" s="704" t="n">
        <v>5.74491226420404</v>
      </c>
      <c r="O63" s="704" t="n">
        <v>5.74491226420404</v>
      </c>
      <c r="P63" s="704" t="n">
        <v>5.91725963213016</v>
      </c>
      <c r="Q63" s="704" t="n">
        <v>5.91725963213016</v>
      </c>
      <c r="R63" s="704" t="n">
        <v>5.91725963213016</v>
      </c>
      <c r="S63" s="704" t="n">
        <v>5.91725963213016</v>
      </c>
      <c r="T63" s="704" t="n">
        <v>5.91725963213016</v>
      </c>
      <c r="U63" s="704" t="n">
        <v>5.91725963213016</v>
      </c>
      <c r="V63" s="704" t="n">
        <v>5.91725963213016</v>
      </c>
      <c r="W63" s="704" t="n">
        <v>5.91725963213016</v>
      </c>
      <c r="X63" s="704" t="n">
        <v>5.91725963213016</v>
      </c>
      <c r="Y63" s="704" t="n">
        <v>5.91725963213016</v>
      </c>
      <c r="Z63" s="704" t="n">
        <v>5.91725963213016</v>
      </c>
      <c r="AA63" s="704" t="n">
        <v>5.91725963213016</v>
      </c>
      <c r="AB63" s="704" t="n">
        <v>6.09477742109406</v>
      </c>
      <c r="AC63" s="704" t="n">
        <v>5.94240798556671</v>
      </c>
      <c r="AD63" s="704" t="n">
        <v>5.94240798556671</v>
      </c>
      <c r="AE63" s="704" t="n">
        <v>5.94240798556671</v>
      </c>
      <c r="AF63" s="704" t="n">
        <v>5.94240798556671</v>
      </c>
      <c r="AG63" s="704" t="n">
        <v>5.94240798556671</v>
      </c>
      <c r="AH63" s="704" t="n">
        <v>5.94240798556671</v>
      </c>
      <c r="AI63" s="704" t="n">
        <v>5.94240798556671</v>
      </c>
      <c r="AJ63" s="704" t="n">
        <v>5.94240798556671</v>
      </c>
      <c r="AK63" s="704" t="n">
        <v>5.94240798556671</v>
      </c>
      <c r="AL63" s="704" t="n">
        <v>5.94240798556671</v>
      </c>
      <c r="AM63" s="704" t="n">
        <v>5.94240798556671</v>
      </c>
      <c r="AN63" s="704" t="n">
        <v>6.12068022513371</v>
      </c>
      <c r="AO63" s="704" t="n">
        <v>5.96373970654054</v>
      </c>
      <c r="AP63" s="704" t="n">
        <v>5.96373970654054</v>
      </c>
      <c r="AQ63" s="704" t="n">
        <v>5.96373970654054</v>
      </c>
      <c r="AR63" s="704" t="n">
        <v>5.96373970654054</v>
      </c>
      <c r="AS63" s="704" t="n">
        <v>5.96373970654054</v>
      </c>
      <c r="AT63" s="704" t="n">
        <v>5.96373970654054</v>
      </c>
      <c r="AU63" s="704" t="n">
        <v>5.96373970654054</v>
      </c>
      <c r="AV63" s="704" t="n">
        <v>5.96373970654054</v>
      </c>
      <c r="AW63" s="704" t="n">
        <v>5.96373970654054</v>
      </c>
      <c r="AX63" s="704" t="n">
        <v>5.96373970654054</v>
      </c>
      <c r="AY63" s="704" t="n">
        <v>5.96373970654054</v>
      </c>
      <c r="AZ63" s="704" t="n">
        <v>6.14265189773676</v>
      </c>
      <c r="BA63" s="704" t="n">
        <v>5.98100316358579</v>
      </c>
      <c r="BB63" s="704" t="n">
        <v>5.98100316358579</v>
      </c>
      <c r="BC63" s="704" t="n">
        <v>5.98100316358579</v>
      </c>
      <c r="BD63" s="704" t="n">
        <v>5.98100316358579</v>
      </c>
      <c r="BE63" s="704" t="n">
        <v>5.98100316358579</v>
      </c>
      <c r="BF63" s="704" t="n">
        <v>5.98100316358579</v>
      </c>
      <c r="BG63" s="704" t="n">
        <v>5.98100316358579</v>
      </c>
      <c r="BH63" s="704" t="n">
        <v>5.98100316358579</v>
      </c>
      <c r="BI63" s="704" t="n">
        <v>5.98100316358579</v>
      </c>
      <c r="BJ63" s="704" t="n">
        <v>5.98100316358579</v>
      </c>
      <c r="BK63" s="704" t="n">
        <v>5.98100316358579</v>
      </c>
      <c r="BL63" s="704" t="n">
        <v>6.16043325849336</v>
      </c>
      <c r="BM63" s="704" t="n">
        <v>5.82743686614237</v>
      </c>
      <c r="BN63" s="704" t="n">
        <v>5.82743686614237</v>
      </c>
      <c r="BO63" s="704" t="n">
        <v>5.82743686614237</v>
      </c>
      <c r="BP63" s="704" t="n">
        <v>5.82743686614237</v>
      </c>
      <c r="BQ63" s="704" t="n">
        <v>5.82743686614237</v>
      </c>
      <c r="BR63" s="704" t="n">
        <v>5.82743686614237</v>
      </c>
      <c r="BS63" s="704" t="n">
        <v>5.82743686614237</v>
      </c>
      <c r="BT63" s="704" t="n">
        <v>5.82743686614237</v>
      </c>
      <c r="BU63" s="704" t="n">
        <v>5.82743686614237</v>
      </c>
      <c r="BV63" s="704" t="n">
        <v>5.82743686614237</v>
      </c>
      <c r="BW63" s="704" t="n">
        <v>5.82743686614237</v>
      </c>
      <c r="BX63" s="704" t="n">
        <v>6.00225997212664</v>
      </c>
      <c r="BY63" s="704" t="n">
        <v>6.00225997212664</v>
      </c>
      <c r="BZ63" s="704" t="n">
        <v>6.00225997212664</v>
      </c>
      <c r="CA63" s="704" t="n">
        <v>6.00225997212664</v>
      </c>
      <c r="CB63" s="704" t="n">
        <v>6.00225997212664</v>
      </c>
      <c r="CC63" s="704" t="n">
        <v>6.00225997212664</v>
      </c>
      <c r="CD63" s="704" t="n">
        <v>6.00225997212664</v>
      </c>
      <c r="CE63" s="704" t="n">
        <v>6.00225997212664</v>
      </c>
      <c r="CF63" s="704" t="n">
        <v>6.00225997212664</v>
      </c>
      <c r="CG63" s="704" t="n">
        <v>6.00225997212664</v>
      </c>
      <c r="CH63" s="704" t="n">
        <v>6.00225997212664</v>
      </c>
      <c r="CI63" s="704" t="n">
        <v>6.00225997212664</v>
      </c>
      <c r="CJ63" s="704" t="n">
        <v>6.18232777129044</v>
      </c>
      <c r="CK63" s="704" t="n">
        <v>6.18232777129044</v>
      </c>
      <c r="CL63" s="704" t="n">
        <v>6.18232777129044</v>
      </c>
      <c r="CM63" s="704" t="n">
        <v>6.18232777129044</v>
      </c>
      <c r="CN63" s="704" t="n">
        <v>6.18232777129044</v>
      </c>
      <c r="CO63" s="704" t="n">
        <v>6.18232777129044</v>
      </c>
      <c r="CP63" s="704" t="n">
        <v>6.18232777129044</v>
      </c>
      <c r="CQ63" s="704" t="n">
        <v>6.18232777129044</v>
      </c>
      <c r="CR63" s="704" t="n">
        <v>6.18232777129044</v>
      </c>
      <c r="CS63" s="704" t="n">
        <v>6.18232777129044</v>
      </c>
      <c r="CT63" s="704" t="n">
        <v>6.18232777129044</v>
      </c>
      <c r="CU63" s="704" t="n">
        <v>6.18232777129044</v>
      </c>
      <c r="CV63" s="704" t="n">
        <v>6.36779760442915</v>
      </c>
      <c r="CW63" s="704" t="n">
        <v>6.36779760442915</v>
      </c>
      <c r="CX63" s="704" t="n">
        <v>6.36779760442915</v>
      </c>
      <c r="CY63" s="704" t="n">
        <v>6.36779760442915</v>
      </c>
      <c r="CZ63" s="704" t="n">
        <v>6.36779760442915</v>
      </c>
      <c r="DA63" s="704" t="n">
        <v>6.36779760442915</v>
      </c>
      <c r="DB63" s="704" t="n">
        <v>6.36779760442915</v>
      </c>
      <c r="DC63" s="704" t="n">
        <v>6.36779760442915</v>
      </c>
      <c r="DD63" s="704" t="n">
        <v>6.36779760442915</v>
      </c>
      <c r="DE63" s="704" t="n">
        <v>6.36779760442915</v>
      </c>
      <c r="DF63" s="704" t="n">
        <v>6.36779760442915</v>
      </c>
      <c r="DG63" s="704" t="n">
        <v>6.36779760442915</v>
      </c>
      <c r="DH63" s="704" t="n">
        <v>6.36779760442915</v>
      </c>
      <c r="DI63" s="704" t="n">
        <v>6.36779760442915</v>
      </c>
      <c r="DJ63" s="704" t="n">
        <v>6.36779760442915</v>
      </c>
      <c r="DK63" s="704" t="n">
        <v>6.36779760442915</v>
      </c>
      <c r="DL63" s="704" t="n">
        <v>6.36779760442915</v>
      </c>
      <c r="DM63" s="704" t="n">
        <v>6.36779760442915</v>
      </c>
    </row>
    <row r="64" ht="13.5" customHeight="1" s="355">
      <c r="B64" s="703" t="inlineStr">
        <is>
          <t>Req to Pay</t>
        </is>
      </c>
      <c r="D64" s="704" t="n">
        <v>0</v>
      </c>
      <c r="E64" s="704" t="n">
        <v>0</v>
      </c>
      <c r="F64" s="704" t="n">
        <v>0</v>
      </c>
      <c r="G64" s="704" t="n">
        <v>0</v>
      </c>
      <c r="H64" s="704" t="n">
        <v>0</v>
      </c>
      <c r="I64" s="704" t="n">
        <v>0</v>
      </c>
      <c r="J64" s="704" t="n">
        <v>0</v>
      </c>
      <c r="K64" s="704" t="n">
        <v>0</v>
      </c>
      <c r="L64" s="704" t="n">
        <v>6.29942867017477</v>
      </c>
      <c r="M64" s="704" t="n">
        <v>9.449143005262149</v>
      </c>
      <c r="N64" s="704" t="n">
        <v>9.449143005262149</v>
      </c>
      <c r="O64" s="704" t="n">
        <v>9.449143005262149</v>
      </c>
      <c r="P64" s="704" t="n">
        <v>9.73261729542002</v>
      </c>
      <c r="Q64" s="704" t="n">
        <v>9.73261729542002</v>
      </c>
      <c r="R64" s="704" t="n">
        <v>9.73261729542002</v>
      </c>
      <c r="S64" s="704" t="n">
        <v>9.73261729542002</v>
      </c>
      <c r="T64" s="704" t="n">
        <v>9.3970098024745</v>
      </c>
      <c r="U64" s="704" t="n">
        <v>9.3970098024745</v>
      </c>
      <c r="V64" s="704" t="n">
        <v>9.3970098024745</v>
      </c>
      <c r="W64" s="704" t="n">
        <v>9.3970098024745</v>
      </c>
      <c r="X64" s="704" t="n">
        <v>9.3970098024745</v>
      </c>
      <c r="Y64" s="704" t="n">
        <v>9.3970098024745</v>
      </c>
      <c r="Z64" s="704" t="n">
        <v>9.3970098024745</v>
      </c>
      <c r="AA64" s="704" t="n">
        <v>9.3970098024745</v>
      </c>
      <c r="AB64" s="704" t="n">
        <v>9.67892009654874</v>
      </c>
      <c r="AC64" s="704" t="n">
        <v>9.33324437881485</v>
      </c>
      <c r="AD64" s="704" t="n">
        <v>9.33324437881485</v>
      </c>
      <c r="AE64" s="704" t="n">
        <v>9.33324437881485</v>
      </c>
      <c r="AF64" s="704" t="n">
        <v>9.33324437881485</v>
      </c>
      <c r="AG64" s="704" t="n">
        <v>9.33324437881485</v>
      </c>
      <c r="AH64" s="704" t="n">
        <v>9.33324437881485</v>
      </c>
      <c r="AI64" s="704" t="n">
        <v>9.33324437881485</v>
      </c>
      <c r="AJ64" s="704" t="n">
        <v>9.33324437881485</v>
      </c>
      <c r="AK64" s="704" t="n">
        <v>9.33324437881485</v>
      </c>
      <c r="AL64" s="704" t="n">
        <v>9.33324437881485</v>
      </c>
      <c r="AM64" s="704" t="n">
        <v>9.33324437881485</v>
      </c>
      <c r="AN64" s="704" t="n">
        <v>9.613241710179301</v>
      </c>
      <c r="AO64" s="704" t="n">
        <v>9.257195720913399</v>
      </c>
      <c r="AP64" s="704" t="n">
        <v>9.257195720913399</v>
      </c>
      <c r="AQ64" s="704" t="n">
        <v>9.257195720913399</v>
      </c>
      <c r="AR64" s="704" t="n">
        <v>9.257195720913399</v>
      </c>
      <c r="AS64" s="704" t="n">
        <v>9.257195720913399</v>
      </c>
      <c r="AT64" s="704" t="n">
        <v>9.257195720913399</v>
      </c>
      <c r="AU64" s="704" t="n">
        <v>9.257195720913399</v>
      </c>
      <c r="AV64" s="704" t="n">
        <v>9.257195720913399</v>
      </c>
      <c r="AW64" s="704" t="n">
        <v>9.257195720913399</v>
      </c>
      <c r="AX64" s="704" t="n">
        <v>9.257195720913399</v>
      </c>
      <c r="AY64" s="704" t="n">
        <v>9.257195720913399</v>
      </c>
      <c r="AZ64" s="704" t="n">
        <v>9.5349115925408</v>
      </c>
      <c r="BA64" s="704" t="n">
        <v>9.168184223596921</v>
      </c>
      <c r="BB64" s="704" t="n">
        <v>9.168184223596921</v>
      </c>
      <c r="BC64" s="704" t="n">
        <v>9.168184223596921</v>
      </c>
      <c r="BD64" s="704" t="n">
        <v>9.168184223596921</v>
      </c>
      <c r="BE64" s="704" t="n">
        <v>9.168184223596921</v>
      </c>
      <c r="BF64" s="704" t="n">
        <v>9.168184223596921</v>
      </c>
      <c r="BG64" s="704" t="n">
        <v>9.168184223596921</v>
      </c>
      <c r="BH64" s="704" t="n">
        <v>9.168184223596921</v>
      </c>
      <c r="BI64" s="704" t="n">
        <v>9.168184223596921</v>
      </c>
      <c r="BJ64" s="704" t="n">
        <v>9.168184223596921</v>
      </c>
      <c r="BK64" s="704" t="n">
        <v>9.168184223596921</v>
      </c>
      <c r="BL64" s="704" t="n">
        <v>9.44322975030483</v>
      </c>
      <c r="BM64" s="704" t="n">
        <v>9.065500560292641</v>
      </c>
      <c r="BN64" s="704" t="n">
        <v>9.065500560292641</v>
      </c>
      <c r="BO64" s="704" t="n">
        <v>9.065500560292641</v>
      </c>
      <c r="BP64" s="704" t="n">
        <v>9.065500560292641</v>
      </c>
      <c r="BQ64" s="704" t="n">
        <v>9.065500560292641</v>
      </c>
      <c r="BR64" s="704" t="n">
        <v>9.065500560292641</v>
      </c>
      <c r="BS64" s="704" t="n">
        <v>9.065500560292641</v>
      </c>
      <c r="BT64" s="704" t="n">
        <v>9.065500560292641</v>
      </c>
      <c r="BU64" s="704" t="n">
        <v>9.065500560292641</v>
      </c>
      <c r="BV64" s="704" t="n">
        <v>9.065500560292641</v>
      </c>
      <c r="BW64" s="704" t="n">
        <v>9.065500560292641</v>
      </c>
      <c r="BX64" s="704" t="n">
        <v>9.337465577101421</v>
      </c>
      <c r="BY64" s="704" t="n">
        <v>9.337465577101421</v>
      </c>
      <c r="BZ64" s="704" t="n">
        <v>9.337465577101421</v>
      </c>
      <c r="CA64" s="704" t="n">
        <v>9.337465577101421</v>
      </c>
      <c r="CB64" s="704" t="n">
        <v>9.337465577101421</v>
      </c>
      <c r="CC64" s="704" t="n">
        <v>9.337465577101421</v>
      </c>
      <c r="CD64" s="704" t="n">
        <v>9.337465577101421</v>
      </c>
      <c r="CE64" s="704" t="n">
        <v>9.337465577101421</v>
      </c>
      <c r="CF64" s="704" t="n">
        <v>9.337465577101421</v>
      </c>
      <c r="CG64" s="704" t="n">
        <v>9.337465577101421</v>
      </c>
      <c r="CH64" s="704" t="n">
        <v>9.337465577101421</v>
      </c>
      <c r="CI64" s="704" t="n">
        <v>9.337465577101421</v>
      </c>
      <c r="CJ64" s="704" t="n">
        <v>9.617589544414461</v>
      </c>
      <c r="CK64" s="704" t="n">
        <v>9.617589544414461</v>
      </c>
      <c r="CL64" s="704" t="n">
        <v>9.617589544414461</v>
      </c>
      <c r="CM64" s="704" t="n">
        <v>9.617589544414461</v>
      </c>
      <c r="CN64" s="704" t="n">
        <v>9.617589544414461</v>
      </c>
      <c r="CO64" s="704" t="n">
        <v>9.617589544414461</v>
      </c>
      <c r="CP64" s="704" t="n">
        <v>9.617589544414461</v>
      </c>
      <c r="CQ64" s="704" t="n">
        <v>9.617589544414461</v>
      </c>
      <c r="CR64" s="704" t="n">
        <v>9.617589544414461</v>
      </c>
      <c r="CS64" s="704" t="n">
        <v>9.617589544414461</v>
      </c>
      <c r="CT64" s="704" t="n">
        <v>9.617589544414461</v>
      </c>
      <c r="CU64" s="704" t="n">
        <v>9.617589544414461</v>
      </c>
      <c r="CV64" s="704" t="n">
        <v>9.906117230746901</v>
      </c>
      <c r="CW64" s="704" t="n">
        <v>9.906117230746901</v>
      </c>
      <c r="CX64" s="704" t="n">
        <v>9.906117230746901</v>
      </c>
      <c r="CY64" s="704" t="n">
        <v>9.906117230746901</v>
      </c>
      <c r="CZ64" s="704" t="n">
        <v>9.906117230746901</v>
      </c>
      <c r="DA64" s="704" t="n">
        <v>9.906117230746901</v>
      </c>
      <c r="DB64" s="704" t="n">
        <v>9.906117230746901</v>
      </c>
      <c r="DC64" s="704" t="n">
        <v>9.906117230746901</v>
      </c>
      <c r="DD64" s="704" t="n">
        <v>9.906117230746901</v>
      </c>
      <c r="DE64" s="704" t="n">
        <v>9.906117230746901</v>
      </c>
      <c r="DF64" s="704" t="n">
        <v>9.906117230746901</v>
      </c>
      <c r="DG64" s="704" t="n">
        <v>9.906117230746901</v>
      </c>
      <c r="DH64" s="704" t="n">
        <v>9.906117230746901</v>
      </c>
      <c r="DI64" s="704" t="n">
        <v>9.906117230746901</v>
      </c>
      <c r="DJ64" s="704" t="n">
        <v>9.906117230746901</v>
      </c>
      <c r="DK64" s="704" t="n">
        <v>9.906117230746901</v>
      </c>
      <c r="DL64" s="704" t="n">
        <v>9.906117230746901</v>
      </c>
      <c r="DM64" s="704" t="n">
        <v>9.906117230746901</v>
      </c>
    </row>
    <row r="65" ht="13.5" customHeight="1" s="355">
      <c r="B65" s="703" t="inlineStr">
        <is>
          <t>Team Leader</t>
        </is>
      </c>
      <c r="D65" s="704" t="n">
        <v>0</v>
      </c>
      <c r="E65" s="704" t="n">
        <v>0</v>
      </c>
      <c r="F65" s="704" t="n">
        <v>0</v>
      </c>
      <c r="G65" s="704" t="n">
        <v>0</v>
      </c>
      <c r="H65" s="704" t="n">
        <v>0</v>
      </c>
      <c r="I65" s="704" t="n">
        <v>0</v>
      </c>
      <c r="J65" s="704" t="n">
        <v>0</v>
      </c>
      <c r="K65" s="704" t="n">
        <v>0</v>
      </c>
      <c r="L65" s="704" t="n">
        <v>0</v>
      </c>
      <c r="M65" s="704" t="n">
        <v>0</v>
      </c>
      <c r="N65" s="704" t="n">
        <v>0</v>
      </c>
      <c r="O65" s="704" t="n">
        <v>0</v>
      </c>
      <c r="P65" s="704" t="n">
        <v>0</v>
      </c>
      <c r="Q65" s="704" t="n">
        <v>0</v>
      </c>
      <c r="R65" s="704" t="n">
        <v>0</v>
      </c>
      <c r="S65" s="704" t="n">
        <v>0</v>
      </c>
      <c r="T65" s="704" t="n">
        <v>0</v>
      </c>
      <c r="U65" s="704" t="n">
        <v>0</v>
      </c>
      <c r="V65" s="704" t="n">
        <v>0</v>
      </c>
      <c r="W65" s="704" t="n">
        <v>0</v>
      </c>
      <c r="X65" s="704" t="n">
        <v>0</v>
      </c>
      <c r="Y65" s="704" t="n">
        <v>0</v>
      </c>
      <c r="Z65" s="704" t="n">
        <v>0</v>
      </c>
      <c r="AA65" s="704" t="n">
        <v>0</v>
      </c>
      <c r="AB65" s="704" t="n">
        <v>0</v>
      </c>
      <c r="AC65" s="704" t="n">
        <v>0</v>
      </c>
      <c r="AD65" s="704" t="n">
        <v>0</v>
      </c>
      <c r="AE65" s="704" t="n">
        <v>0</v>
      </c>
      <c r="AF65" s="704" t="n">
        <v>0</v>
      </c>
      <c r="AG65" s="704" t="n">
        <v>0</v>
      </c>
      <c r="AH65" s="704" t="n">
        <v>0</v>
      </c>
      <c r="AI65" s="704" t="n">
        <v>0</v>
      </c>
      <c r="AJ65" s="704" t="n">
        <v>0</v>
      </c>
      <c r="AK65" s="704" t="n">
        <v>0</v>
      </c>
      <c r="AL65" s="704" t="n">
        <v>0</v>
      </c>
      <c r="AM65" s="704" t="n">
        <v>0</v>
      </c>
      <c r="AN65" s="704" t="n">
        <v>0</v>
      </c>
      <c r="AO65" s="704" t="n">
        <v>0</v>
      </c>
      <c r="AP65" s="704" t="n">
        <v>0</v>
      </c>
      <c r="AQ65" s="704" t="n">
        <v>0</v>
      </c>
      <c r="AR65" s="704" t="n">
        <v>0</v>
      </c>
      <c r="AS65" s="704" t="n">
        <v>0</v>
      </c>
      <c r="AT65" s="704" t="n">
        <v>0</v>
      </c>
      <c r="AU65" s="704" t="n">
        <v>0</v>
      </c>
      <c r="AV65" s="704" t="n">
        <v>0</v>
      </c>
      <c r="AW65" s="704" t="n">
        <v>0</v>
      </c>
      <c r="AX65" s="704" t="n">
        <v>0</v>
      </c>
      <c r="AY65" s="704" t="n">
        <v>0</v>
      </c>
      <c r="AZ65" s="704" t="n">
        <v>0</v>
      </c>
      <c r="BA65" s="704" t="n">
        <v>0</v>
      </c>
      <c r="BB65" s="704" t="n">
        <v>0</v>
      </c>
      <c r="BC65" s="704" t="n">
        <v>0</v>
      </c>
      <c r="BD65" s="704" t="n">
        <v>0</v>
      </c>
      <c r="BE65" s="704" t="n">
        <v>0</v>
      </c>
      <c r="BF65" s="704" t="n">
        <v>0</v>
      </c>
      <c r="BG65" s="704" t="n">
        <v>0</v>
      </c>
      <c r="BH65" s="704" t="n">
        <v>0</v>
      </c>
      <c r="BI65" s="704" t="n">
        <v>0</v>
      </c>
      <c r="BJ65" s="704" t="n">
        <v>0</v>
      </c>
      <c r="BK65" s="704" t="n">
        <v>0</v>
      </c>
      <c r="BL65" s="704" t="n">
        <v>0</v>
      </c>
      <c r="BM65" s="704" t="n">
        <v>0</v>
      </c>
      <c r="BN65" s="704" t="n">
        <v>0</v>
      </c>
      <c r="BO65" s="704" t="n">
        <v>0</v>
      </c>
      <c r="BP65" s="704" t="n">
        <v>0</v>
      </c>
      <c r="BQ65" s="704" t="n">
        <v>0</v>
      </c>
      <c r="BR65" s="704" t="n">
        <v>0</v>
      </c>
      <c r="BS65" s="704" t="n">
        <v>0</v>
      </c>
      <c r="BT65" s="704" t="n">
        <v>0</v>
      </c>
      <c r="BU65" s="704" t="n">
        <v>0</v>
      </c>
      <c r="BV65" s="704" t="n">
        <v>0</v>
      </c>
      <c r="BW65" s="704" t="n">
        <v>0</v>
      </c>
      <c r="BX65" s="704" t="n">
        <v>0</v>
      </c>
      <c r="BY65" s="704" t="n">
        <v>0</v>
      </c>
      <c r="BZ65" s="704" t="n">
        <v>0</v>
      </c>
      <c r="CA65" s="704" t="n">
        <v>0</v>
      </c>
      <c r="CB65" s="704" t="n">
        <v>0</v>
      </c>
      <c r="CC65" s="704" t="n">
        <v>0</v>
      </c>
      <c r="CD65" s="704" t="n">
        <v>0</v>
      </c>
      <c r="CE65" s="704" t="n">
        <v>0</v>
      </c>
      <c r="CF65" s="704" t="n">
        <v>0</v>
      </c>
      <c r="CG65" s="704" t="n">
        <v>0</v>
      </c>
      <c r="CH65" s="704" t="n">
        <v>0</v>
      </c>
      <c r="CI65" s="704" t="n">
        <v>0</v>
      </c>
      <c r="CJ65" s="704" t="n">
        <v>0</v>
      </c>
      <c r="CK65" s="704" t="n">
        <v>0</v>
      </c>
      <c r="CL65" s="704" t="n">
        <v>0</v>
      </c>
      <c r="CM65" s="704" t="n">
        <v>0</v>
      </c>
      <c r="CN65" s="704" t="n">
        <v>0</v>
      </c>
      <c r="CO65" s="704" t="n">
        <v>0</v>
      </c>
      <c r="CP65" s="704" t="n">
        <v>0</v>
      </c>
      <c r="CQ65" s="704" t="n">
        <v>0</v>
      </c>
      <c r="CR65" s="704" t="n">
        <v>0</v>
      </c>
      <c r="CS65" s="704" t="n">
        <v>0</v>
      </c>
      <c r="CT65" s="704" t="n">
        <v>0</v>
      </c>
      <c r="CU65" s="704" t="n">
        <v>0</v>
      </c>
      <c r="CV65" s="704" t="n">
        <v>0</v>
      </c>
      <c r="CW65" s="704" t="n">
        <v>0</v>
      </c>
      <c r="CX65" s="704" t="n">
        <v>0</v>
      </c>
      <c r="CY65" s="704" t="n">
        <v>0</v>
      </c>
      <c r="CZ65" s="704" t="n">
        <v>0</v>
      </c>
      <c r="DA65" s="704" t="n">
        <v>0</v>
      </c>
      <c r="DB65" s="704" t="n">
        <v>0</v>
      </c>
      <c r="DC65" s="704" t="n">
        <v>0</v>
      </c>
      <c r="DD65" s="704" t="n">
        <v>0</v>
      </c>
      <c r="DE65" s="704" t="n">
        <v>0</v>
      </c>
      <c r="DF65" s="704" t="n">
        <v>0</v>
      </c>
      <c r="DG65" s="704" t="n">
        <v>0</v>
      </c>
      <c r="DH65" s="704" t="n">
        <v>0</v>
      </c>
      <c r="DI65" s="704" t="n">
        <v>0</v>
      </c>
      <c r="DJ65" s="704" t="n">
        <v>0</v>
      </c>
      <c r="DK65" s="704" t="n">
        <v>0</v>
      </c>
      <c r="DL65" s="704" t="n">
        <v>0</v>
      </c>
      <c r="DM65" s="704" t="n">
        <v>0</v>
      </c>
    </row>
    <row r="66" ht="13.5" customHeight="1" s="355">
      <c r="B66" s="703" t="inlineStr">
        <is>
          <t>SLA Metric Reporting</t>
        </is>
      </c>
      <c r="D66" s="704" t="n">
        <v>0</v>
      </c>
      <c r="E66" s="704" t="n">
        <v>0</v>
      </c>
      <c r="F66" s="704" t="n">
        <v>0</v>
      </c>
      <c r="G66" s="704" t="n">
        <v>0</v>
      </c>
      <c r="H66" s="704" t="n">
        <v>0</v>
      </c>
      <c r="I66" s="704" t="n">
        <v>0</v>
      </c>
      <c r="J66" s="704" t="n">
        <v>0</v>
      </c>
      <c r="K66" s="704" t="n">
        <v>0</v>
      </c>
      <c r="L66" s="704" t="n">
        <v>0</v>
      </c>
      <c r="M66" s="704" t="n">
        <v>0</v>
      </c>
      <c r="N66" s="704" t="n">
        <v>0</v>
      </c>
      <c r="O66" s="704" t="n">
        <v>0</v>
      </c>
      <c r="P66" s="704" t="n">
        <v>0</v>
      </c>
      <c r="Q66" s="704" t="n">
        <v>0</v>
      </c>
      <c r="R66" s="704" t="n">
        <v>0</v>
      </c>
      <c r="S66" s="704" t="n">
        <v>0</v>
      </c>
      <c r="T66" s="704" t="n">
        <v>0</v>
      </c>
      <c r="U66" s="704" t="n">
        <v>0</v>
      </c>
      <c r="V66" s="704" t="n">
        <v>0</v>
      </c>
      <c r="W66" s="704" t="n">
        <v>0</v>
      </c>
      <c r="X66" s="704" t="n">
        <v>0</v>
      </c>
      <c r="Y66" s="704" t="n">
        <v>0</v>
      </c>
      <c r="Z66" s="704" t="n">
        <v>0</v>
      </c>
      <c r="AA66" s="704" t="n">
        <v>0</v>
      </c>
      <c r="AB66" s="704" t="n">
        <v>0</v>
      </c>
      <c r="AC66" s="704" t="n">
        <v>0</v>
      </c>
      <c r="AD66" s="704" t="n">
        <v>0</v>
      </c>
      <c r="AE66" s="704" t="n">
        <v>0</v>
      </c>
      <c r="AF66" s="704" t="n">
        <v>0</v>
      </c>
      <c r="AG66" s="704" t="n">
        <v>0</v>
      </c>
      <c r="AH66" s="704" t="n">
        <v>0</v>
      </c>
      <c r="AI66" s="704" t="n">
        <v>0</v>
      </c>
      <c r="AJ66" s="704" t="n">
        <v>0</v>
      </c>
      <c r="AK66" s="704" t="n">
        <v>0</v>
      </c>
      <c r="AL66" s="704" t="n">
        <v>0</v>
      </c>
      <c r="AM66" s="704" t="n">
        <v>0</v>
      </c>
      <c r="AN66" s="704" t="n">
        <v>0</v>
      </c>
      <c r="AO66" s="704" t="n">
        <v>0</v>
      </c>
      <c r="AP66" s="704" t="n">
        <v>0</v>
      </c>
      <c r="AQ66" s="704" t="n">
        <v>0</v>
      </c>
      <c r="AR66" s="704" t="n">
        <v>0</v>
      </c>
      <c r="AS66" s="704" t="n">
        <v>0</v>
      </c>
      <c r="AT66" s="704" t="n">
        <v>0</v>
      </c>
      <c r="AU66" s="704" t="n">
        <v>0</v>
      </c>
      <c r="AV66" s="704" t="n">
        <v>0</v>
      </c>
      <c r="AW66" s="704" t="n">
        <v>0</v>
      </c>
      <c r="AX66" s="704" t="n">
        <v>0</v>
      </c>
      <c r="AY66" s="704" t="n">
        <v>0</v>
      </c>
      <c r="AZ66" s="704" t="n">
        <v>0</v>
      </c>
      <c r="BA66" s="704" t="n">
        <v>0</v>
      </c>
      <c r="BB66" s="704" t="n">
        <v>0</v>
      </c>
      <c r="BC66" s="704" t="n">
        <v>0</v>
      </c>
      <c r="BD66" s="704" t="n">
        <v>0</v>
      </c>
      <c r="BE66" s="704" t="n">
        <v>0</v>
      </c>
      <c r="BF66" s="704" t="n">
        <v>0</v>
      </c>
      <c r="BG66" s="704" t="n">
        <v>0</v>
      </c>
      <c r="BH66" s="704" t="n">
        <v>0</v>
      </c>
      <c r="BI66" s="704" t="n">
        <v>0</v>
      </c>
      <c r="BJ66" s="704" t="n">
        <v>0</v>
      </c>
      <c r="BK66" s="704" t="n">
        <v>0</v>
      </c>
      <c r="BL66" s="704" t="n">
        <v>0</v>
      </c>
      <c r="BM66" s="704" t="n">
        <v>0</v>
      </c>
      <c r="BN66" s="704" t="n">
        <v>0</v>
      </c>
      <c r="BO66" s="704" t="n">
        <v>0</v>
      </c>
      <c r="BP66" s="704" t="n">
        <v>0</v>
      </c>
      <c r="BQ66" s="704" t="n">
        <v>0</v>
      </c>
      <c r="BR66" s="704" t="n">
        <v>0</v>
      </c>
      <c r="BS66" s="704" t="n">
        <v>0</v>
      </c>
      <c r="BT66" s="704" t="n">
        <v>0</v>
      </c>
      <c r="BU66" s="704" t="n">
        <v>0</v>
      </c>
      <c r="BV66" s="704" t="n">
        <v>0</v>
      </c>
      <c r="BW66" s="704" t="n">
        <v>0</v>
      </c>
      <c r="BX66" s="704" t="n">
        <v>0</v>
      </c>
      <c r="BY66" s="704" t="n">
        <v>0</v>
      </c>
      <c r="BZ66" s="704" t="n">
        <v>0</v>
      </c>
      <c r="CA66" s="704" t="n">
        <v>0</v>
      </c>
      <c r="CB66" s="704" t="n">
        <v>0</v>
      </c>
      <c r="CC66" s="704" t="n">
        <v>0</v>
      </c>
      <c r="CD66" s="704" t="n">
        <v>0</v>
      </c>
      <c r="CE66" s="704" t="n">
        <v>0</v>
      </c>
      <c r="CF66" s="704" t="n">
        <v>0</v>
      </c>
      <c r="CG66" s="704" t="n">
        <v>0</v>
      </c>
      <c r="CH66" s="704" t="n">
        <v>0</v>
      </c>
      <c r="CI66" s="704" t="n">
        <v>0</v>
      </c>
      <c r="CJ66" s="704" t="n">
        <v>0</v>
      </c>
      <c r="CK66" s="704" t="n">
        <v>0</v>
      </c>
      <c r="CL66" s="704" t="n">
        <v>0</v>
      </c>
      <c r="CM66" s="704" t="n">
        <v>0</v>
      </c>
      <c r="CN66" s="704" t="n">
        <v>0</v>
      </c>
      <c r="CO66" s="704" t="n">
        <v>0</v>
      </c>
      <c r="CP66" s="704" t="n">
        <v>0</v>
      </c>
      <c r="CQ66" s="704" t="n">
        <v>0</v>
      </c>
      <c r="CR66" s="704" t="n">
        <v>0</v>
      </c>
      <c r="CS66" s="704" t="n">
        <v>0</v>
      </c>
      <c r="CT66" s="704" t="n">
        <v>0</v>
      </c>
      <c r="CU66" s="704" t="n">
        <v>0</v>
      </c>
      <c r="CV66" s="704" t="n">
        <v>0</v>
      </c>
      <c r="CW66" s="704" t="n">
        <v>0</v>
      </c>
      <c r="CX66" s="704" t="n">
        <v>0</v>
      </c>
      <c r="CY66" s="704" t="n">
        <v>0</v>
      </c>
      <c r="CZ66" s="704" t="n">
        <v>0</v>
      </c>
      <c r="DA66" s="704" t="n">
        <v>0</v>
      </c>
      <c r="DB66" s="704" t="n">
        <v>0</v>
      </c>
      <c r="DC66" s="704" t="n">
        <v>0</v>
      </c>
      <c r="DD66" s="704" t="n">
        <v>0</v>
      </c>
      <c r="DE66" s="704" t="n">
        <v>0</v>
      </c>
      <c r="DF66" s="704" t="n">
        <v>0</v>
      </c>
      <c r="DG66" s="704" t="n">
        <v>0</v>
      </c>
      <c r="DH66" s="704" t="n">
        <v>0</v>
      </c>
      <c r="DI66" s="704" t="n">
        <v>0</v>
      </c>
      <c r="DJ66" s="704" t="n">
        <v>0</v>
      </c>
      <c r="DK66" s="704" t="n">
        <v>0</v>
      </c>
      <c r="DL66" s="704" t="n">
        <v>0</v>
      </c>
      <c r="DM66" s="704" t="n">
        <v>0</v>
      </c>
    </row>
    <row r="67" ht="13.5" customHeight="1" s="355">
      <c r="B67" s="705" t="inlineStr">
        <is>
          <t>Grand Total</t>
        </is>
      </c>
      <c r="C67" s="706" t="n"/>
      <c r="D67" s="707" t="n">
        <v>0</v>
      </c>
      <c r="E67" s="707" t="n">
        <v>0</v>
      </c>
      <c r="F67" s="707" t="n">
        <v>0</v>
      </c>
      <c r="G67" s="707" t="n">
        <v>0</v>
      </c>
      <c r="H67" s="707" t="n">
        <v>0</v>
      </c>
      <c r="I67" s="707" t="n">
        <v>0</v>
      </c>
      <c r="J67" s="707" t="n">
        <v>0</v>
      </c>
      <c r="K67" s="707" t="n">
        <v>0</v>
      </c>
      <c r="L67" s="707" t="n">
        <v>11.9825358815008</v>
      </c>
      <c r="M67" s="707" t="n">
        <v>40.1959616215004</v>
      </c>
      <c r="N67" s="707" t="n">
        <v>41.006842511799</v>
      </c>
      <c r="O67" s="707" t="n">
        <v>41.006842511799</v>
      </c>
      <c r="P67" s="707" t="n">
        <v>42.237047787153</v>
      </c>
      <c r="Q67" s="707" t="n">
        <v>42.237047787153</v>
      </c>
      <c r="R67" s="707" t="n">
        <v>42.237047787153</v>
      </c>
      <c r="S67" s="707" t="n">
        <v>42.237047787153</v>
      </c>
      <c r="T67" s="707" t="n">
        <v>41.0781769366171</v>
      </c>
      <c r="U67" s="707" t="n">
        <v>41.0781769366171</v>
      </c>
      <c r="V67" s="707" t="n">
        <v>41.0781769366171</v>
      </c>
      <c r="W67" s="707" t="n">
        <v>41.0781769366171</v>
      </c>
      <c r="X67" s="707" t="n">
        <v>41.0781769366171</v>
      </c>
      <c r="Y67" s="707" t="n">
        <v>41.0781769366171</v>
      </c>
      <c r="Z67" s="707" t="n">
        <v>41.0781769366171</v>
      </c>
      <c r="AA67" s="707" t="n">
        <v>41.0781769366171</v>
      </c>
      <c r="AB67" s="707" t="n">
        <v>42.3105222447156</v>
      </c>
      <c r="AC67" s="707" t="n">
        <v>40.6932772969316</v>
      </c>
      <c r="AD67" s="707" t="n">
        <v>40.6932772969316</v>
      </c>
      <c r="AE67" s="707" t="n">
        <v>40.6932772969316</v>
      </c>
      <c r="AF67" s="707" t="n">
        <v>40.6932772969316</v>
      </c>
      <c r="AG67" s="707" t="n">
        <v>40.6932772969316</v>
      </c>
      <c r="AH67" s="707" t="n">
        <v>40.6932772969316</v>
      </c>
      <c r="AI67" s="707" t="n">
        <v>40.6932772969316</v>
      </c>
      <c r="AJ67" s="707" t="n">
        <v>40.6932772969316</v>
      </c>
      <c r="AK67" s="707" t="n">
        <v>40.6932772969316</v>
      </c>
      <c r="AL67" s="707" t="n">
        <v>40.6932772969316</v>
      </c>
      <c r="AM67" s="707" t="n">
        <v>40.6932772969316</v>
      </c>
      <c r="AN67" s="707" t="n">
        <v>41.9140756158396</v>
      </c>
      <c r="AO67" s="707" t="n">
        <v>40.248313319622</v>
      </c>
      <c r="AP67" s="707" t="n">
        <v>40.248313319622</v>
      </c>
      <c r="AQ67" s="707" t="n">
        <v>40.248313319622</v>
      </c>
      <c r="AR67" s="707" t="n">
        <v>40.248313319622</v>
      </c>
      <c r="AS67" s="707" t="n">
        <v>40.248313319622</v>
      </c>
      <c r="AT67" s="707" t="n">
        <v>40.248313319622</v>
      </c>
      <c r="AU67" s="707" t="n">
        <v>40.248313319622</v>
      </c>
      <c r="AV67" s="707" t="n">
        <v>40.248313319622</v>
      </c>
      <c r="AW67" s="707" t="n">
        <v>40.248313319622</v>
      </c>
      <c r="AX67" s="707" t="n">
        <v>40.248313319622</v>
      </c>
      <c r="AY67" s="707" t="n">
        <v>40.248313319622</v>
      </c>
      <c r="AZ67" s="707" t="n">
        <v>41.4557627192107</v>
      </c>
      <c r="BA67" s="707" t="n">
        <v>40.1898286035815</v>
      </c>
      <c r="BB67" s="707" t="n">
        <v>40.1898286035815</v>
      </c>
      <c r="BC67" s="707" t="n">
        <v>40.1898286035815</v>
      </c>
      <c r="BD67" s="707" t="n">
        <v>40.1898286035815</v>
      </c>
      <c r="BE67" s="707" t="n">
        <v>40.1898286035815</v>
      </c>
      <c r="BF67" s="707" t="n">
        <v>40.1898286035815</v>
      </c>
      <c r="BG67" s="707" t="n">
        <v>40.1898286035815</v>
      </c>
      <c r="BH67" s="707" t="n">
        <v>40.1898286035815</v>
      </c>
      <c r="BI67" s="707" t="n">
        <v>40.1898286035815</v>
      </c>
      <c r="BJ67" s="707" t="n">
        <v>40.1898286035815</v>
      </c>
      <c r="BK67" s="707" t="n">
        <v>40.1898286035815</v>
      </c>
      <c r="BL67" s="707" t="n">
        <v>41.3955234616889</v>
      </c>
      <c r="BM67" s="707" t="n">
        <v>39.6287234544639</v>
      </c>
      <c r="BN67" s="707" t="n">
        <v>39.6287234544639</v>
      </c>
      <c r="BO67" s="707" t="n">
        <v>39.6287234544639</v>
      </c>
      <c r="BP67" s="707" t="n">
        <v>39.6287234544639</v>
      </c>
      <c r="BQ67" s="707" t="n">
        <v>39.6287234544639</v>
      </c>
      <c r="BR67" s="707" t="n">
        <v>39.6287234544639</v>
      </c>
      <c r="BS67" s="707" t="n">
        <v>39.6287234544639</v>
      </c>
      <c r="BT67" s="707" t="n">
        <v>39.6287234544639</v>
      </c>
      <c r="BU67" s="707" t="n">
        <v>39.6287234544639</v>
      </c>
      <c r="BV67" s="707" t="n">
        <v>39.6287234544639</v>
      </c>
      <c r="BW67" s="707" t="n">
        <v>39.6287234544639</v>
      </c>
      <c r="BX67" s="707" t="n">
        <v>40.8175851580978</v>
      </c>
      <c r="BY67" s="707" t="n">
        <v>40.34039122471</v>
      </c>
      <c r="BZ67" s="707" t="n">
        <v>40.34039122471</v>
      </c>
      <c r="CA67" s="707" t="n">
        <v>40.34039122471</v>
      </c>
      <c r="CB67" s="707" t="n">
        <v>40.34039122471</v>
      </c>
      <c r="CC67" s="707" t="n">
        <v>40.34039122471</v>
      </c>
      <c r="CD67" s="707" t="n">
        <v>40.34039122471</v>
      </c>
      <c r="CE67" s="707" t="n">
        <v>40.34039122471</v>
      </c>
      <c r="CF67" s="707" t="n">
        <v>40.34039122471</v>
      </c>
      <c r="CG67" s="707" t="n">
        <v>40.34039122471</v>
      </c>
      <c r="CH67" s="707" t="n">
        <v>40.34039122471</v>
      </c>
      <c r="CI67" s="707" t="n">
        <v>40.34039122471</v>
      </c>
      <c r="CJ67" s="707" t="n">
        <v>41.5506029614513</v>
      </c>
      <c r="CK67" s="707" t="n">
        <v>41.5506029614513</v>
      </c>
      <c r="CL67" s="707" t="n">
        <v>41.5506029614513</v>
      </c>
      <c r="CM67" s="707" t="n">
        <v>41.5506029614513</v>
      </c>
      <c r="CN67" s="707" t="n">
        <v>41.5506029614513</v>
      </c>
      <c r="CO67" s="707" t="n">
        <v>41.5506029614513</v>
      </c>
      <c r="CP67" s="707" t="n">
        <v>41.5506029614513</v>
      </c>
      <c r="CQ67" s="707" t="n">
        <v>41.5506029614513</v>
      </c>
      <c r="CR67" s="707" t="n">
        <v>41.5506029614513</v>
      </c>
      <c r="CS67" s="707" t="n">
        <v>41.5506029614513</v>
      </c>
      <c r="CT67" s="707" t="n">
        <v>41.5506029614513</v>
      </c>
      <c r="CU67" s="707" t="n">
        <v>41.5506029614513</v>
      </c>
      <c r="CV67" s="707" t="n">
        <v>42.7971210502948</v>
      </c>
      <c r="CW67" s="707" t="n">
        <v>42.7971210502948</v>
      </c>
      <c r="CX67" s="707" t="n">
        <v>42.7971210502948</v>
      </c>
      <c r="CY67" s="707" t="n">
        <v>42.7971210502948</v>
      </c>
      <c r="CZ67" s="707" t="n">
        <v>42.7971210502948</v>
      </c>
      <c r="DA67" s="707" t="n">
        <v>42.7971210502948</v>
      </c>
      <c r="DB67" s="707" t="n">
        <v>42.7971210502948</v>
      </c>
      <c r="DC67" s="707" t="n">
        <v>42.7971210502948</v>
      </c>
      <c r="DD67" s="707" t="n">
        <v>42.7971210502948</v>
      </c>
      <c r="DE67" s="707" t="n">
        <v>42.7971210502948</v>
      </c>
      <c r="DF67" s="707" t="n">
        <v>42.7971210502948</v>
      </c>
      <c r="DG67" s="707" t="n">
        <v>42.7971210502948</v>
      </c>
      <c r="DH67" s="707" t="n">
        <v>42.7971210502948</v>
      </c>
      <c r="DI67" s="707" t="n">
        <v>42.7971210502948</v>
      </c>
      <c r="DJ67" s="707" t="n">
        <v>42.7971210502948</v>
      </c>
      <c r="DK67" s="707" t="n">
        <v>42.7971210502948</v>
      </c>
      <c r="DL67" s="707" t="n">
        <v>42.7971210502948</v>
      </c>
      <c r="DM67" s="707" t="n">
        <v>42.7971210502948</v>
      </c>
    </row>
    <row r="68" ht="13.5" customHeight="1" s="355">
      <c r="A68" s="702" t="inlineStr">
        <is>
          <t>UK</t>
        </is>
      </c>
      <c r="B68" s="703" t="inlineStr">
        <is>
          <t>Gen Acctg</t>
        </is>
      </c>
      <c r="D68" s="704" t="n">
        <v>0</v>
      </c>
      <c r="E68" s="704" t="n">
        <v>0</v>
      </c>
      <c r="F68" s="704" t="n">
        <v>0</v>
      </c>
      <c r="G68" s="704" t="n">
        <v>0</v>
      </c>
      <c r="H68" s="704" t="n">
        <v>0</v>
      </c>
      <c r="I68" s="704" t="n">
        <v>0</v>
      </c>
      <c r="J68" s="704" t="n">
        <v>0</v>
      </c>
      <c r="K68" s="704" t="n">
        <v>1.04544241838351</v>
      </c>
      <c r="L68" s="704" t="n">
        <v>1.80048416499383</v>
      </c>
      <c r="M68" s="704" t="n">
        <v>1.80048416499383</v>
      </c>
      <c r="N68" s="704" t="n">
        <v>1.80048416499383</v>
      </c>
      <c r="O68" s="704" t="n">
        <v>1.80048416499383</v>
      </c>
      <c r="P68" s="704" t="n">
        <v>1.85449868994364</v>
      </c>
      <c r="Q68" s="704" t="n">
        <v>1.85449868994364</v>
      </c>
      <c r="R68" s="704" t="n">
        <v>1.85449868994364</v>
      </c>
      <c r="S68" s="704" t="n">
        <v>1.85449868994364</v>
      </c>
      <c r="T68" s="704" t="n">
        <v>1.85449868994364</v>
      </c>
      <c r="U68" s="704" t="n">
        <v>1.85449868994364</v>
      </c>
      <c r="V68" s="704" t="n">
        <v>1.85449868994364</v>
      </c>
      <c r="W68" s="704" t="n">
        <v>1.85449868994364</v>
      </c>
      <c r="X68" s="704" t="n">
        <v>1.85449868994364</v>
      </c>
      <c r="Y68" s="704" t="n">
        <v>1.85449868994364</v>
      </c>
      <c r="Z68" s="704" t="n">
        <v>1.85449868994364</v>
      </c>
      <c r="AA68" s="704" t="n">
        <v>1.85449868994364</v>
      </c>
      <c r="AB68" s="704" t="n">
        <v>1.91013365064195</v>
      </c>
      <c r="AC68" s="704" t="n">
        <v>1.8623803093759</v>
      </c>
      <c r="AD68" s="704" t="n">
        <v>1.8623803093759</v>
      </c>
      <c r="AE68" s="704" t="n">
        <v>1.8623803093759</v>
      </c>
      <c r="AF68" s="704" t="n">
        <v>1.8623803093759</v>
      </c>
      <c r="AG68" s="704" t="n">
        <v>1.8623803093759</v>
      </c>
      <c r="AH68" s="704" t="n">
        <v>1.8623803093759</v>
      </c>
      <c r="AI68" s="704" t="n">
        <v>1.8623803093759</v>
      </c>
      <c r="AJ68" s="704" t="n">
        <v>1.8623803093759</v>
      </c>
      <c r="AK68" s="704" t="n">
        <v>1.8623803093759</v>
      </c>
      <c r="AL68" s="704" t="n">
        <v>1.8623803093759</v>
      </c>
      <c r="AM68" s="704" t="n">
        <v>1.8623803093759</v>
      </c>
      <c r="AN68" s="704" t="n">
        <v>1.91825171865718</v>
      </c>
      <c r="AO68" s="704" t="n">
        <v>1.86906577715315</v>
      </c>
      <c r="AP68" s="704" t="n">
        <v>1.86906577715315</v>
      </c>
      <c r="AQ68" s="704" t="n">
        <v>1.86906577715315</v>
      </c>
      <c r="AR68" s="704" t="n">
        <v>1.86906577715315</v>
      </c>
      <c r="AS68" s="704" t="n">
        <v>1.86906577715315</v>
      </c>
      <c r="AT68" s="704" t="n">
        <v>1.86906577715315</v>
      </c>
      <c r="AU68" s="704" t="n">
        <v>1.86906577715315</v>
      </c>
      <c r="AV68" s="704" t="n">
        <v>1.86906577715315</v>
      </c>
      <c r="AW68" s="704" t="n">
        <v>1.86906577715315</v>
      </c>
      <c r="AX68" s="704" t="n">
        <v>1.86906577715315</v>
      </c>
      <c r="AY68" s="704" t="n">
        <v>1.86906577715315</v>
      </c>
      <c r="AZ68" s="704" t="n">
        <v>1.92513775046774</v>
      </c>
      <c r="BA68" s="704" t="n">
        <v>1.87447623071859</v>
      </c>
      <c r="BB68" s="704" t="n">
        <v>1.87447623071859</v>
      </c>
      <c r="BC68" s="704" t="n">
        <v>1.87447623071859</v>
      </c>
      <c r="BD68" s="704" t="n">
        <v>1.87447623071859</v>
      </c>
      <c r="BE68" s="704" t="n">
        <v>1.87447623071859</v>
      </c>
      <c r="BF68" s="704" t="n">
        <v>1.87447623071859</v>
      </c>
      <c r="BG68" s="704" t="n">
        <v>1.87447623071859</v>
      </c>
      <c r="BH68" s="704" t="n">
        <v>1.87447623071859</v>
      </c>
      <c r="BI68" s="704" t="n">
        <v>1.87447623071859</v>
      </c>
      <c r="BJ68" s="704" t="n">
        <v>1.87447623071859</v>
      </c>
      <c r="BK68" s="704" t="n">
        <v>1.87447623071859</v>
      </c>
      <c r="BL68" s="704" t="n">
        <v>1.93071051764015</v>
      </c>
      <c r="BM68" s="704" t="n">
        <v>1.8263477869569</v>
      </c>
      <c r="BN68" s="704" t="n">
        <v>1.8263477869569</v>
      </c>
      <c r="BO68" s="704" t="n">
        <v>1.8263477869569</v>
      </c>
      <c r="BP68" s="704" t="n">
        <v>1.8263477869569</v>
      </c>
      <c r="BQ68" s="704" t="n">
        <v>1.8263477869569</v>
      </c>
      <c r="BR68" s="704" t="n">
        <v>1.8263477869569</v>
      </c>
      <c r="BS68" s="704" t="n">
        <v>1.8263477869569</v>
      </c>
      <c r="BT68" s="704" t="n">
        <v>1.8263477869569</v>
      </c>
      <c r="BU68" s="704" t="n">
        <v>1.8263477869569</v>
      </c>
      <c r="BV68" s="704" t="n">
        <v>1.8263477869569</v>
      </c>
      <c r="BW68" s="704" t="n">
        <v>1.8263477869569</v>
      </c>
      <c r="BX68" s="704" t="n">
        <v>1.88113822056561</v>
      </c>
      <c r="BY68" s="704" t="n">
        <v>1.88113822056561</v>
      </c>
      <c r="BZ68" s="704" t="n">
        <v>1.88113822056561</v>
      </c>
      <c r="CA68" s="704" t="n">
        <v>1.88113822056561</v>
      </c>
      <c r="CB68" s="704" t="n">
        <v>1.88113822056561</v>
      </c>
      <c r="CC68" s="704" t="n">
        <v>1.88113822056561</v>
      </c>
      <c r="CD68" s="704" t="n">
        <v>1.88113822056561</v>
      </c>
      <c r="CE68" s="704" t="n">
        <v>1.88113822056561</v>
      </c>
      <c r="CF68" s="704" t="n">
        <v>1.88113822056561</v>
      </c>
      <c r="CG68" s="704" t="n">
        <v>1.88113822056561</v>
      </c>
      <c r="CH68" s="704" t="n">
        <v>1.88113822056561</v>
      </c>
      <c r="CI68" s="704" t="n">
        <v>1.88113822056561</v>
      </c>
      <c r="CJ68" s="704" t="n">
        <v>1.93757236718257</v>
      </c>
      <c r="CK68" s="704" t="n">
        <v>1.93757236718257</v>
      </c>
      <c r="CL68" s="704" t="n">
        <v>1.93757236718257</v>
      </c>
      <c r="CM68" s="704" t="n">
        <v>1.93757236718257</v>
      </c>
      <c r="CN68" s="704" t="n">
        <v>1.93757236718257</v>
      </c>
      <c r="CO68" s="704" t="n">
        <v>1.93757236718257</v>
      </c>
      <c r="CP68" s="704" t="n">
        <v>1.93757236718257</v>
      </c>
      <c r="CQ68" s="704" t="n">
        <v>1.93757236718257</v>
      </c>
      <c r="CR68" s="704" t="n">
        <v>1.93757236718257</v>
      </c>
      <c r="CS68" s="704" t="n">
        <v>1.93757236718257</v>
      </c>
      <c r="CT68" s="704" t="n">
        <v>1.93757236718257</v>
      </c>
      <c r="CU68" s="704" t="n">
        <v>1.93757236718257</v>
      </c>
      <c r="CV68" s="704" t="n">
        <v>1.99569953819805</v>
      </c>
      <c r="CW68" s="704" t="n">
        <v>1.99569953819805</v>
      </c>
      <c r="CX68" s="704" t="n">
        <v>1.99569953819805</v>
      </c>
      <c r="CY68" s="704" t="n">
        <v>1.99569953819805</v>
      </c>
      <c r="CZ68" s="704" t="n">
        <v>1.99569953819805</v>
      </c>
      <c r="DA68" s="704" t="n">
        <v>1.99569953819805</v>
      </c>
      <c r="DB68" s="704" t="n">
        <v>1.99569953819805</v>
      </c>
      <c r="DC68" s="704" t="n">
        <v>1.99569953819805</v>
      </c>
      <c r="DD68" s="704" t="n">
        <v>1.99569953819805</v>
      </c>
      <c r="DE68" s="704" t="n">
        <v>1.99569953819805</v>
      </c>
      <c r="DF68" s="704" t="n">
        <v>1.99569953819805</v>
      </c>
      <c r="DG68" s="704" t="n">
        <v>1.99569953819805</v>
      </c>
      <c r="DH68" s="704" t="n">
        <v>1.99569953819805</v>
      </c>
      <c r="DI68" s="704" t="n">
        <v>1.99569953819805</v>
      </c>
      <c r="DJ68" s="704" t="n">
        <v>1.99569953819805</v>
      </c>
      <c r="DK68" s="704" t="n">
        <v>1.99569953819805</v>
      </c>
      <c r="DL68" s="704" t="n">
        <v>1.99569953819805</v>
      </c>
      <c r="DM68" s="704" t="n">
        <v>1.99569953819805</v>
      </c>
    </row>
    <row r="69" ht="13.5" customHeight="1" s="355">
      <c r="B69" s="703" t="inlineStr">
        <is>
          <t>Reporting</t>
        </is>
      </c>
      <c r="D69" s="704" t="n">
        <v>0</v>
      </c>
      <c r="E69" s="704" t="n">
        <v>0</v>
      </c>
      <c r="F69" s="704" t="n">
        <v>0</v>
      </c>
      <c r="G69" s="704" t="n">
        <v>0</v>
      </c>
      <c r="H69" s="704" t="n">
        <v>0</v>
      </c>
      <c r="I69" s="704" t="n">
        <v>0</v>
      </c>
      <c r="J69" s="704" t="n">
        <v>0</v>
      </c>
      <c r="K69" s="704" t="n">
        <v>0</v>
      </c>
      <c r="L69" s="704" t="n">
        <v>0</v>
      </c>
      <c r="M69" s="704" t="n">
        <v>0</v>
      </c>
      <c r="N69" s="704" t="n">
        <v>0</v>
      </c>
      <c r="O69" s="704" t="n">
        <v>0</v>
      </c>
      <c r="P69" s="704" t="n">
        <v>0</v>
      </c>
      <c r="Q69" s="704" t="n">
        <v>0</v>
      </c>
      <c r="R69" s="704" t="n">
        <v>0</v>
      </c>
      <c r="S69" s="704" t="n">
        <v>0</v>
      </c>
      <c r="T69" s="704" t="n">
        <v>0</v>
      </c>
      <c r="U69" s="704" t="n">
        <v>0</v>
      </c>
      <c r="V69" s="704" t="n">
        <v>0</v>
      </c>
      <c r="W69" s="704" t="n">
        <v>0</v>
      </c>
      <c r="X69" s="704" t="n">
        <v>0</v>
      </c>
      <c r="Y69" s="704" t="n">
        <v>0</v>
      </c>
      <c r="Z69" s="704" t="n">
        <v>0</v>
      </c>
      <c r="AA69" s="704" t="n">
        <v>0</v>
      </c>
      <c r="AB69" s="704" t="n">
        <v>0</v>
      </c>
      <c r="AC69" s="704" t="n">
        <v>0</v>
      </c>
      <c r="AD69" s="704" t="n">
        <v>0</v>
      </c>
      <c r="AE69" s="704" t="n">
        <v>0</v>
      </c>
      <c r="AF69" s="704" t="n">
        <v>0</v>
      </c>
      <c r="AG69" s="704" t="n">
        <v>0</v>
      </c>
      <c r="AH69" s="704" t="n">
        <v>0</v>
      </c>
      <c r="AI69" s="704" t="n">
        <v>0</v>
      </c>
      <c r="AJ69" s="704" t="n">
        <v>0</v>
      </c>
      <c r="AK69" s="704" t="n">
        <v>0</v>
      </c>
      <c r="AL69" s="704" t="n">
        <v>0</v>
      </c>
      <c r="AM69" s="704" t="n">
        <v>0</v>
      </c>
      <c r="AN69" s="704" t="n">
        <v>0</v>
      </c>
      <c r="AO69" s="704" t="n">
        <v>0</v>
      </c>
      <c r="AP69" s="704" t="n">
        <v>0</v>
      </c>
      <c r="AQ69" s="704" t="n">
        <v>0</v>
      </c>
      <c r="AR69" s="704" t="n">
        <v>0</v>
      </c>
      <c r="AS69" s="704" t="n">
        <v>0</v>
      </c>
      <c r="AT69" s="704" t="n">
        <v>0</v>
      </c>
      <c r="AU69" s="704" t="n">
        <v>0</v>
      </c>
      <c r="AV69" s="704" t="n">
        <v>0</v>
      </c>
      <c r="AW69" s="704" t="n">
        <v>0</v>
      </c>
      <c r="AX69" s="704" t="n">
        <v>0</v>
      </c>
      <c r="AY69" s="704" t="n">
        <v>0</v>
      </c>
      <c r="AZ69" s="704" t="n">
        <v>0</v>
      </c>
      <c r="BA69" s="704" t="n">
        <v>0</v>
      </c>
      <c r="BB69" s="704" t="n">
        <v>0</v>
      </c>
      <c r="BC69" s="704" t="n">
        <v>0</v>
      </c>
      <c r="BD69" s="704" t="n">
        <v>0</v>
      </c>
      <c r="BE69" s="704" t="n">
        <v>0</v>
      </c>
      <c r="BF69" s="704" t="n">
        <v>0</v>
      </c>
      <c r="BG69" s="704" t="n">
        <v>0</v>
      </c>
      <c r="BH69" s="704" t="n">
        <v>0</v>
      </c>
      <c r="BI69" s="704" t="n">
        <v>0</v>
      </c>
      <c r="BJ69" s="704" t="n">
        <v>0</v>
      </c>
      <c r="BK69" s="704" t="n">
        <v>0</v>
      </c>
      <c r="BL69" s="704" t="n">
        <v>0</v>
      </c>
      <c r="BM69" s="704" t="n">
        <v>0</v>
      </c>
      <c r="BN69" s="704" t="n">
        <v>0</v>
      </c>
      <c r="BO69" s="704" t="n">
        <v>0</v>
      </c>
      <c r="BP69" s="704" t="n">
        <v>0</v>
      </c>
      <c r="BQ69" s="704" t="n">
        <v>0</v>
      </c>
      <c r="BR69" s="704" t="n">
        <v>0</v>
      </c>
      <c r="BS69" s="704" t="n">
        <v>0</v>
      </c>
      <c r="BT69" s="704" t="n">
        <v>0</v>
      </c>
      <c r="BU69" s="704" t="n">
        <v>0</v>
      </c>
      <c r="BV69" s="704" t="n">
        <v>0</v>
      </c>
      <c r="BW69" s="704" t="n">
        <v>0</v>
      </c>
      <c r="BX69" s="704" t="n">
        <v>0</v>
      </c>
      <c r="BY69" s="704" t="n">
        <v>0</v>
      </c>
      <c r="BZ69" s="704" t="n">
        <v>0</v>
      </c>
      <c r="CA69" s="704" t="n">
        <v>0</v>
      </c>
      <c r="CB69" s="704" t="n">
        <v>0</v>
      </c>
      <c r="CC69" s="704" t="n">
        <v>0</v>
      </c>
      <c r="CD69" s="704" t="n">
        <v>0</v>
      </c>
      <c r="CE69" s="704" t="n">
        <v>0</v>
      </c>
      <c r="CF69" s="704" t="n">
        <v>0</v>
      </c>
      <c r="CG69" s="704" t="n">
        <v>0</v>
      </c>
      <c r="CH69" s="704" t="n">
        <v>0</v>
      </c>
      <c r="CI69" s="704" t="n">
        <v>0</v>
      </c>
      <c r="CJ69" s="704" t="n">
        <v>0</v>
      </c>
      <c r="CK69" s="704" t="n">
        <v>0</v>
      </c>
      <c r="CL69" s="704" t="n">
        <v>0</v>
      </c>
      <c r="CM69" s="704" t="n">
        <v>0</v>
      </c>
      <c r="CN69" s="704" t="n">
        <v>0</v>
      </c>
      <c r="CO69" s="704" t="n">
        <v>0</v>
      </c>
      <c r="CP69" s="704" t="n">
        <v>0</v>
      </c>
      <c r="CQ69" s="704" t="n">
        <v>0</v>
      </c>
      <c r="CR69" s="704" t="n">
        <v>0</v>
      </c>
      <c r="CS69" s="704" t="n">
        <v>0</v>
      </c>
      <c r="CT69" s="704" t="n">
        <v>0</v>
      </c>
      <c r="CU69" s="704" t="n">
        <v>0</v>
      </c>
      <c r="CV69" s="704" t="n">
        <v>0</v>
      </c>
      <c r="CW69" s="704" t="n">
        <v>0</v>
      </c>
      <c r="CX69" s="704" t="n">
        <v>0</v>
      </c>
      <c r="CY69" s="704" t="n">
        <v>0</v>
      </c>
      <c r="CZ69" s="704" t="n">
        <v>0</v>
      </c>
      <c r="DA69" s="704" t="n">
        <v>0</v>
      </c>
      <c r="DB69" s="704" t="n">
        <v>0</v>
      </c>
      <c r="DC69" s="704" t="n">
        <v>0</v>
      </c>
      <c r="DD69" s="704" t="n">
        <v>0</v>
      </c>
      <c r="DE69" s="704" t="n">
        <v>0</v>
      </c>
      <c r="DF69" s="704" t="n">
        <v>0</v>
      </c>
      <c r="DG69" s="704" t="n">
        <v>0</v>
      </c>
      <c r="DH69" s="704" t="n">
        <v>0</v>
      </c>
      <c r="DI69" s="704" t="n">
        <v>0</v>
      </c>
      <c r="DJ69" s="704" t="n">
        <v>0</v>
      </c>
      <c r="DK69" s="704" t="n">
        <v>0</v>
      </c>
      <c r="DL69" s="704" t="n">
        <v>0</v>
      </c>
      <c r="DM69" s="704" t="n">
        <v>0</v>
      </c>
    </row>
    <row r="70" ht="13.5" customHeight="1" s="355">
      <c r="B70" s="703" t="inlineStr">
        <is>
          <t>Fixed Assets</t>
        </is>
      </c>
      <c r="D70" s="704" t="n">
        <v>0</v>
      </c>
      <c r="E70" s="704" t="n">
        <v>0</v>
      </c>
      <c r="F70" s="704" t="n">
        <v>0</v>
      </c>
      <c r="G70" s="704" t="n">
        <v>0</v>
      </c>
      <c r="H70" s="704" t="n">
        <v>0</v>
      </c>
      <c r="I70" s="704" t="n">
        <v>0</v>
      </c>
      <c r="J70" s="704" t="n">
        <v>0</v>
      </c>
      <c r="K70" s="704" t="n">
        <v>0</v>
      </c>
      <c r="L70" s="704" t="n">
        <v>0</v>
      </c>
      <c r="M70" s="704" t="n">
        <v>0</v>
      </c>
      <c r="N70" s="704" t="n">
        <v>0</v>
      </c>
      <c r="O70" s="704" t="n">
        <v>0</v>
      </c>
      <c r="P70" s="704" t="n">
        <v>0</v>
      </c>
      <c r="Q70" s="704" t="n">
        <v>0</v>
      </c>
      <c r="R70" s="704" t="n">
        <v>0</v>
      </c>
      <c r="S70" s="704" t="n">
        <v>0</v>
      </c>
      <c r="T70" s="704" t="n">
        <v>0</v>
      </c>
      <c r="U70" s="704" t="n">
        <v>0</v>
      </c>
      <c r="V70" s="704" t="n">
        <v>0</v>
      </c>
      <c r="W70" s="704" t="n">
        <v>0</v>
      </c>
      <c r="X70" s="704" t="n">
        <v>0</v>
      </c>
      <c r="Y70" s="704" t="n">
        <v>0</v>
      </c>
      <c r="Z70" s="704" t="n">
        <v>0</v>
      </c>
      <c r="AA70" s="704" t="n">
        <v>0</v>
      </c>
      <c r="AB70" s="704" t="n">
        <v>0</v>
      </c>
      <c r="AC70" s="704" t="n">
        <v>0</v>
      </c>
      <c r="AD70" s="704" t="n">
        <v>0</v>
      </c>
      <c r="AE70" s="704" t="n">
        <v>0</v>
      </c>
      <c r="AF70" s="704" t="n">
        <v>0</v>
      </c>
      <c r="AG70" s="704" t="n">
        <v>0</v>
      </c>
      <c r="AH70" s="704" t="n">
        <v>0</v>
      </c>
      <c r="AI70" s="704" t="n">
        <v>0</v>
      </c>
      <c r="AJ70" s="704" t="n">
        <v>0</v>
      </c>
      <c r="AK70" s="704" t="n">
        <v>0</v>
      </c>
      <c r="AL70" s="704" t="n">
        <v>0</v>
      </c>
      <c r="AM70" s="704" t="n">
        <v>0</v>
      </c>
      <c r="AN70" s="704" t="n">
        <v>0</v>
      </c>
      <c r="AO70" s="704" t="n">
        <v>0</v>
      </c>
      <c r="AP70" s="704" t="n">
        <v>0</v>
      </c>
      <c r="AQ70" s="704" t="n">
        <v>0</v>
      </c>
      <c r="AR70" s="704" t="n">
        <v>0</v>
      </c>
      <c r="AS70" s="704" t="n">
        <v>0</v>
      </c>
      <c r="AT70" s="704" t="n">
        <v>0</v>
      </c>
      <c r="AU70" s="704" t="n">
        <v>0</v>
      </c>
      <c r="AV70" s="704" t="n">
        <v>0</v>
      </c>
      <c r="AW70" s="704" t="n">
        <v>0</v>
      </c>
      <c r="AX70" s="704" t="n">
        <v>0</v>
      </c>
      <c r="AY70" s="704" t="n">
        <v>0</v>
      </c>
      <c r="AZ70" s="704" t="n">
        <v>0</v>
      </c>
      <c r="BA70" s="704" t="n">
        <v>0</v>
      </c>
      <c r="BB70" s="704" t="n">
        <v>0</v>
      </c>
      <c r="BC70" s="704" t="n">
        <v>0</v>
      </c>
      <c r="BD70" s="704" t="n">
        <v>0</v>
      </c>
      <c r="BE70" s="704" t="n">
        <v>0</v>
      </c>
      <c r="BF70" s="704" t="n">
        <v>0</v>
      </c>
      <c r="BG70" s="704" t="n">
        <v>0</v>
      </c>
      <c r="BH70" s="704" t="n">
        <v>0</v>
      </c>
      <c r="BI70" s="704" t="n">
        <v>0</v>
      </c>
      <c r="BJ70" s="704" t="n">
        <v>0</v>
      </c>
      <c r="BK70" s="704" t="n">
        <v>0</v>
      </c>
      <c r="BL70" s="704" t="n">
        <v>0</v>
      </c>
      <c r="BM70" s="704" t="n">
        <v>0</v>
      </c>
      <c r="BN70" s="704" t="n">
        <v>0</v>
      </c>
      <c r="BO70" s="704" t="n">
        <v>0</v>
      </c>
      <c r="BP70" s="704" t="n">
        <v>0</v>
      </c>
      <c r="BQ70" s="704" t="n">
        <v>0</v>
      </c>
      <c r="BR70" s="704" t="n">
        <v>0</v>
      </c>
      <c r="BS70" s="704" t="n">
        <v>0</v>
      </c>
      <c r="BT70" s="704" t="n">
        <v>0</v>
      </c>
      <c r="BU70" s="704" t="n">
        <v>0</v>
      </c>
      <c r="BV70" s="704" t="n">
        <v>0</v>
      </c>
      <c r="BW70" s="704" t="n">
        <v>0</v>
      </c>
      <c r="BX70" s="704" t="n">
        <v>0</v>
      </c>
      <c r="BY70" s="704" t="n">
        <v>0</v>
      </c>
      <c r="BZ70" s="704" t="n">
        <v>0</v>
      </c>
      <c r="CA70" s="704" t="n">
        <v>0</v>
      </c>
      <c r="CB70" s="704" t="n">
        <v>0</v>
      </c>
      <c r="CC70" s="704" t="n">
        <v>0</v>
      </c>
      <c r="CD70" s="704" t="n">
        <v>0</v>
      </c>
      <c r="CE70" s="704" t="n">
        <v>0</v>
      </c>
      <c r="CF70" s="704" t="n">
        <v>0</v>
      </c>
      <c r="CG70" s="704" t="n">
        <v>0</v>
      </c>
      <c r="CH70" s="704" t="n">
        <v>0</v>
      </c>
      <c r="CI70" s="704" t="n">
        <v>0</v>
      </c>
      <c r="CJ70" s="704" t="n">
        <v>0</v>
      </c>
      <c r="CK70" s="704" t="n">
        <v>0</v>
      </c>
      <c r="CL70" s="704" t="n">
        <v>0</v>
      </c>
      <c r="CM70" s="704" t="n">
        <v>0</v>
      </c>
      <c r="CN70" s="704" t="n">
        <v>0</v>
      </c>
      <c r="CO70" s="704" t="n">
        <v>0</v>
      </c>
      <c r="CP70" s="704" t="n">
        <v>0</v>
      </c>
      <c r="CQ70" s="704" t="n">
        <v>0</v>
      </c>
      <c r="CR70" s="704" t="n">
        <v>0</v>
      </c>
      <c r="CS70" s="704" t="n">
        <v>0</v>
      </c>
      <c r="CT70" s="704" t="n">
        <v>0</v>
      </c>
      <c r="CU70" s="704" t="n">
        <v>0</v>
      </c>
      <c r="CV70" s="704" t="n">
        <v>0</v>
      </c>
      <c r="CW70" s="704" t="n">
        <v>0</v>
      </c>
      <c r="CX70" s="704" t="n">
        <v>0</v>
      </c>
      <c r="CY70" s="704" t="n">
        <v>0</v>
      </c>
      <c r="CZ70" s="704" t="n">
        <v>0</v>
      </c>
      <c r="DA70" s="704" t="n">
        <v>0</v>
      </c>
      <c r="DB70" s="704" t="n">
        <v>0</v>
      </c>
      <c r="DC70" s="704" t="n">
        <v>0</v>
      </c>
      <c r="DD70" s="704" t="n">
        <v>0</v>
      </c>
      <c r="DE70" s="704" t="n">
        <v>0</v>
      </c>
      <c r="DF70" s="704" t="n">
        <v>0</v>
      </c>
      <c r="DG70" s="704" t="n">
        <v>0</v>
      </c>
      <c r="DH70" s="704" t="n">
        <v>0</v>
      </c>
      <c r="DI70" s="704" t="n">
        <v>0</v>
      </c>
      <c r="DJ70" s="704" t="n">
        <v>0</v>
      </c>
      <c r="DK70" s="704" t="n">
        <v>0</v>
      </c>
      <c r="DL70" s="704" t="n">
        <v>0</v>
      </c>
      <c r="DM70" s="704" t="n">
        <v>0</v>
      </c>
    </row>
    <row r="71" ht="13.5" customHeight="1" s="355">
      <c r="B71" s="703" t="inlineStr">
        <is>
          <t>Acct Payable</t>
        </is>
      </c>
      <c r="D71" s="704" t="n">
        <v>0</v>
      </c>
      <c r="E71" s="704" t="n">
        <v>0</v>
      </c>
      <c r="F71" s="704" t="n">
        <v>0</v>
      </c>
      <c r="G71" s="704" t="n">
        <v>0</v>
      </c>
      <c r="H71" s="704" t="n">
        <v>0</v>
      </c>
      <c r="I71" s="704" t="n">
        <v>0</v>
      </c>
      <c r="J71" s="704" t="n">
        <v>0</v>
      </c>
      <c r="K71" s="704" t="n">
        <v>0</v>
      </c>
      <c r="L71" s="704" t="n">
        <v>6.63958594796109</v>
      </c>
      <c r="M71" s="704" t="n">
        <v>9.95937892194164</v>
      </c>
      <c r="N71" s="704" t="n">
        <v>9.95937892194164</v>
      </c>
      <c r="O71" s="704" t="n">
        <v>9.95937892194164</v>
      </c>
      <c r="P71" s="704" t="n">
        <v>10.2581602895999</v>
      </c>
      <c r="Q71" s="704" t="n">
        <v>10.2581602895999</v>
      </c>
      <c r="R71" s="704" t="n">
        <v>10.2581602895999</v>
      </c>
      <c r="S71" s="704" t="n">
        <v>10.2581602895999</v>
      </c>
      <c r="T71" s="704" t="n">
        <v>9.68826249573322</v>
      </c>
      <c r="U71" s="704" t="n">
        <v>9.68826249573322</v>
      </c>
      <c r="V71" s="704" t="n">
        <v>9.68826249573322</v>
      </c>
      <c r="W71" s="704" t="n">
        <v>9.68826249573322</v>
      </c>
      <c r="X71" s="704" t="n">
        <v>9.68826249573322</v>
      </c>
      <c r="Y71" s="704" t="n">
        <v>9.68826249573322</v>
      </c>
      <c r="Z71" s="704" t="n">
        <v>9.68826249573322</v>
      </c>
      <c r="AA71" s="704" t="n">
        <v>9.68826249573322</v>
      </c>
      <c r="AB71" s="704" t="n">
        <v>9.97891037060522</v>
      </c>
      <c r="AC71" s="704" t="n">
        <v>9.391915642922561</v>
      </c>
      <c r="AD71" s="704" t="n">
        <v>9.391915642922561</v>
      </c>
      <c r="AE71" s="704" t="n">
        <v>9.391915642922561</v>
      </c>
      <c r="AF71" s="704" t="n">
        <v>9.391915642922561</v>
      </c>
      <c r="AG71" s="704" t="n">
        <v>9.391915642922561</v>
      </c>
      <c r="AH71" s="704" t="n">
        <v>9.391915642922561</v>
      </c>
      <c r="AI71" s="704" t="n">
        <v>9.391915642922561</v>
      </c>
      <c r="AJ71" s="704" t="n">
        <v>9.391915642922561</v>
      </c>
      <c r="AK71" s="704" t="n">
        <v>9.391915642922561</v>
      </c>
      <c r="AL71" s="704" t="n">
        <v>9.391915642922561</v>
      </c>
      <c r="AM71" s="704" t="n">
        <v>9.391915642922561</v>
      </c>
      <c r="AN71" s="704" t="n">
        <v>9.67367311221024</v>
      </c>
      <c r="AO71" s="704" t="n">
        <v>9.069068542697099</v>
      </c>
      <c r="AP71" s="704" t="n">
        <v>9.069068542697099</v>
      </c>
      <c r="AQ71" s="704" t="n">
        <v>9.069068542697099</v>
      </c>
      <c r="AR71" s="704" t="n">
        <v>9.069068542697099</v>
      </c>
      <c r="AS71" s="704" t="n">
        <v>9.069068542697099</v>
      </c>
      <c r="AT71" s="704" t="n">
        <v>9.069068542697099</v>
      </c>
      <c r="AU71" s="704" t="n">
        <v>9.069068542697099</v>
      </c>
      <c r="AV71" s="704" t="n">
        <v>9.069068542697099</v>
      </c>
      <c r="AW71" s="704" t="n">
        <v>9.069068542697099</v>
      </c>
      <c r="AX71" s="704" t="n">
        <v>9.069068542697099</v>
      </c>
      <c r="AY71" s="704" t="n">
        <v>9.069068542697099</v>
      </c>
      <c r="AZ71" s="704" t="n">
        <v>9.34114059897801</v>
      </c>
      <c r="BA71" s="704" t="n">
        <v>8.71839789237948</v>
      </c>
      <c r="BB71" s="704" t="n">
        <v>8.71839789237948</v>
      </c>
      <c r="BC71" s="704" t="n">
        <v>8.71839789237948</v>
      </c>
      <c r="BD71" s="704" t="n">
        <v>8.71839789237948</v>
      </c>
      <c r="BE71" s="704" t="n">
        <v>8.71839789237948</v>
      </c>
      <c r="BF71" s="704" t="n">
        <v>8.71839789237948</v>
      </c>
      <c r="BG71" s="704" t="n">
        <v>8.71839789237948</v>
      </c>
      <c r="BH71" s="704" t="n">
        <v>8.71839789237948</v>
      </c>
      <c r="BI71" s="704" t="n">
        <v>8.71839789237948</v>
      </c>
      <c r="BJ71" s="704" t="n">
        <v>8.71839789237948</v>
      </c>
      <c r="BK71" s="704" t="n">
        <v>8.71839789237948</v>
      </c>
      <c r="BL71" s="704" t="n">
        <v>8.979949829150859</v>
      </c>
      <c r="BM71" s="704" t="n">
        <v>8.979949829150859</v>
      </c>
      <c r="BN71" s="704" t="n">
        <v>8.979949829150859</v>
      </c>
      <c r="BO71" s="704" t="n">
        <v>8.979949829150859</v>
      </c>
      <c r="BP71" s="704" t="n">
        <v>8.979949829150859</v>
      </c>
      <c r="BQ71" s="704" t="n">
        <v>8.979949829150859</v>
      </c>
      <c r="BR71" s="704" t="n">
        <v>8.979949829150859</v>
      </c>
      <c r="BS71" s="704" t="n">
        <v>8.979949829150859</v>
      </c>
      <c r="BT71" s="704" t="n">
        <v>8.979949829150859</v>
      </c>
      <c r="BU71" s="704" t="n">
        <v>8.979949829150859</v>
      </c>
      <c r="BV71" s="704" t="n">
        <v>8.979949829150859</v>
      </c>
      <c r="BW71" s="704" t="n">
        <v>8.979949829150859</v>
      </c>
      <c r="BX71" s="704" t="n">
        <v>9.249348324025391</v>
      </c>
      <c r="BY71" s="704" t="n">
        <v>9.249348324025391</v>
      </c>
      <c r="BZ71" s="704" t="n">
        <v>9.249348324025391</v>
      </c>
      <c r="CA71" s="704" t="n">
        <v>9.249348324025391</v>
      </c>
      <c r="CB71" s="704" t="n">
        <v>9.249348324025391</v>
      </c>
      <c r="CC71" s="704" t="n">
        <v>9.249348324025391</v>
      </c>
      <c r="CD71" s="704" t="n">
        <v>9.249348324025391</v>
      </c>
      <c r="CE71" s="704" t="n">
        <v>9.249348324025391</v>
      </c>
      <c r="CF71" s="704" t="n">
        <v>9.249348324025391</v>
      </c>
      <c r="CG71" s="704" t="n">
        <v>9.249348324025391</v>
      </c>
      <c r="CH71" s="704" t="n">
        <v>9.249348324025391</v>
      </c>
      <c r="CI71" s="704" t="n">
        <v>9.249348324025391</v>
      </c>
      <c r="CJ71" s="704" t="n">
        <v>9.52682877374615</v>
      </c>
      <c r="CK71" s="704" t="n">
        <v>9.52682877374615</v>
      </c>
      <c r="CL71" s="704" t="n">
        <v>9.52682877374615</v>
      </c>
      <c r="CM71" s="704" t="n">
        <v>9.52682877374615</v>
      </c>
      <c r="CN71" s="704" t="n">
        <v>9.52682877374615</v>
      </c>
      <c r="CO71" s="704" t="n">
        <v>9.52682877374615</v>
      </c>
      <c r="CP71" s="704" t="n">
        <v>9.52682877374615</v>
      </c>
      <c r="CQ71" s="704" t="n">
        <v>9.52682877374615</v>
      </c>
      <c r="CR71" s="704" t="n">
        <v>9.52682877374615</v>
      </c>
      <c r="CS71" s="704" t="n">
        <v>9.52682877374615</v>
      </c>
      <c r="CT71" s="704" t="n">
        <v>9.52682877374615</v>
      </c>
      <c r="CU71" s="704" t="n">
        <v>9.52682877374615</v>
      </c>
      <c r="CV71" s="704" t="n">
        <v>9.812633636958539</v>
      </c>
      <c r="CW71" s="704" t="n">
        <v>9.812633636958539</v>
      </c>
      <c r="CX71" s="704" t="n">
        <v>9.812633636958539</v>
      </c>
      <c r="CY71" s="704" t="n">
        <v>9.812633636958539</v>
      </c>
      <c r="CZ71" s="704" t="n">
        <v>9.812633636958539</v>
      </c>
      <c r="DA71" s="704" t="n">
        <v>9.812633636958539</v>
      </c>
      <c r="DB71" s="704" t="n">
        <v>9.812633636958539</v>
      </c>
      <c r="DC71" s="704" t="n">
        <v>9.812633636958539</v>
      </c>
      <c r="DD71" s="704" t="n">
        <v>9.812633636958539</v>
      </c>
      <c r="DE71" s="704" t="n">
        <v>9.812633636958539</v>
      </c>
      <c r="DF71" s="704" t="n">
        <v>9.812633636958539</v>
      </c>
      <c r="DG71" s="704" t="n">
        <v>9.812633636958539</v>
      </c>
      <c r="DH71" s="704" t="n">
        <v>9.812633636958539</v>
      </c>
      <c r="DI71" s="704" t="n">
        <v>9.812633636958539</v>
      </c>
      <c r="DJ71" s="704" t="n">
        <v>9.812633636958539</v>
      </c>
      <c r="DK71" s="704" t="n">
        <v>9.812633636958539</v>
      </c>
      <c r="DL71" s="704" t="n">
        <v>9.812633636958539</v>
      </c>
      <c r="DM71" s="704" t="n">
        <v>9.812633636958539</v>
      </c>
    </row>
    <row r="72" ht="13.5" customHeight="1" s="355">
      <c r="B72" s="703" t="inlineStr">
        <is>
          <t>Cash&amp;Bank</t>
        </is>
      </c>
      <c r="D72" s="704" t="n">
        <v>0</v>
      </c>
      <c r="E72" s="704" t="n">
        <v>0</v>
      </c>
      <c r="F72" s="704" t="n">
        <v>0</v>
      </c>
      <c r="G72" s="704" t="n">
        <v>0</v>
      </c>
      <c r="H72" s="704" t="n">
        <v>0</v>
      </c>
      <c r="I72" s="704" t="n">
        <v>0</v>
      </c>
      <c r="J72" s="704" t="n">
        <v>0</v>
      </c>
      <c r="K72" s="704" t="n">
        <v>0</v>
      </c>
      <c r="L72" s="704" t="n">
        <v>0</v>
      </c>
      <c r="M72" s="704" t="n">
        <v>0</v>
      </c>
      <c r="N72" s="704" t="n">
        <v>0</v>
      </c>
      <c r="O72" s="704" t="n">
        <v>0</v>
      </c>
      <c r="P72" s="704" t="n">
        <v>0</v>
      </c>
      <c r="Q72" s="704" t="n">
        <v>0</v>
      </c>
      <c r="R72" s="704" t="n">
        <v>0</v>
      </c>
      <c r="S72" s="704" t="n">
        <v>0</v>
      </c>
      <c r="T72" s="704" t="n">
        <v>0</v>
      </c>
      <c r="U72" s="704" t="n">
        <v>0</v>
      </c>
      <c r="V72" s="704" t="n">
        <v>0</v>
      </c>
      <c r="W72" s="704" t="n">
        <v>0</v>
      </c>
      <c r="X72" s="704" t="n">
        <v>0</v>
      </c>
      <c r="Y72" s="704" t="n">
        <v>0</v>
      </c>
      <c r="Z72" s="704" t="n">
        <v>0</v>
      </c>
      <c r="AA72" s="704" t="n">
        <v>0</v>
      </c>
      <c r="AB72" s="704" t="n">
        <v>0</v>
      </c>
      <c r="AC72" s="704" t="n">
        <v>0</v>
      </c>
      <c r="AD72" s="704" t="n">
        <v>0</v>
      </c>
      <c r="AE72" s="704" t="n">
        <v>0</v>
      </c>
      <c r="AF72" s="704" t="n">
        <v>0</v>
      </c>
      <c r="AG72" s="704" t="n">
        <v>0</v>
      </c>
      <c r="AH72" s="704" t="n">
        <v>0</v>
      </c>
      <c r="AI72" s="704" t="n">
        <v>0</v>
      </c>
      <c r="AJ72" s="704" t="n">
        <v>0</v>
      </c>
      <c r="AK72" s="704" t="n">
        <v>0</v>
      </c>
      <c r="AL72" s="704" t="n">
        <v>0</v>
      </c>
      <c r="AM72" s="704" t="n">
        <v>0</v>
      </c>
      <c r="AN72" s="704" t="n">
        <v>0</v>
      </c>
      <c r="AO72" s="704" t="n">
        <v>0</v>
      </c>
      <c r="AP72" s="704" t="n">
        <v>0</v>
      </c>
      <c r="AQ72" s="704" t="n">
        <v>0</v>
      </c>
      <c r="AR72" s="704" t="n">
        <v>0</v>
      </c>
      <c r="AS72" s="704" t="n">
        <v>0</v>
      </c>
      <c r="AT72" s="704" t="n">
        <v>0</v>
      </c>
      <c r="AU72" s="704" t="n">
        <v>0</v>
      </c>
      <c r="AV72" s="704" t="n">
        <v>0</v>
      </c>
      <c r="AW72" s="704" t="n">
        <v>0</v>
      </c>
      <c r="AX72" s="704" t="n">
        <v>0</v>
      </c>
      <c r="AY72" s="704" t="n">
        <v>0</v>
      </c>
      <c r="AZ72" s="704" t="n">
        <v>0</v>
      </c>
      <c r="BA72" s="704" t="n">
        <v>0</v>
      </c>
      <c r="BB72" s="704" t="n">
        <v>0</v>
      </c>
      <c r="BC72" s="704" t="n">
        <v>0</v>
      </c>
      <c r="BD72" s="704" t="n">
        <v>0</v>
      </c>
      <c r="BE72" s="704" t="n">
        <v>0</v>
      </c>
      <c r="BF72" s="704" t="n">
        <v>0</v>
      </c>
      <c r="BG72" s="704" t="n">
        <v>0</v>
      </c>
      <c r="BH72" s="704" t="n">
        <v>0</v>
      </c>
      <c r="BI72" s="704" t="n">
        <v>0</v>
      </c>
      <c r="BJ72" s="704" t="n">
        <v>0</v>
      </c>
      <c r="BK72" s="704" t="n">
        <v>0</v>
      </c>
      <c r="BL72" s="704" t="n">
        <v>0</v>
      </c>
      <c r="BM72" s="704" t="n">
        <v>0</v>
      </c>
      <c r="BN72" s="704" t="n">
        <v>0</v>
      </c>
      <c r="BO72" s="704" t="n">
        <v>0</v>
      </c>
      <c r="BP72" s="704" t="n">
        <v>0</v>
      </c>
      <c r="BQ72" s="704" t="n">
        <v>0</v>
      </c>
      <c r="BR72" s="704" t="n">
        <v>0</v>
      </c>
      <c r="BS72" s="704" t="n">
        <v>0</v>
      </c>
      <c r="BT72" s="704" t="n">
        <v>0</v>
      </c>
      <c r="BU72" s="704" t="n">
        <v>0</v>
      </c>
      <c r="BV72" s="704" t="n">
        <v>0</v>
      </c>
      <c r="BW72" s="704" t="n">
        <v>0</v>
      </c>
      <c r="BX72" s="704" t="n">
        <v>0</v>
      </c>
      <c r="BY72" s="704" t="n">
        <v>0</v>
      </c>
      <c r="BZ72" s="704" t="n">
        <v>0</v>
      </c>
      <c r="CA72" s="704" t="n">
        <v>0</v>
      </c>
      <c r="CB72" s="704" t="n">
        <v>0</v>
      </c>
      <c r="CC72" s="704" t="n">
        <v>0</v>
      </c>
      <c r="CD72" s="704" t="n">
        <v>0</v>
      </c>
      <c r="CE72" s="704" t="n">
        <v>0</v>
      </c>
      <c r="CF72" s="704" t="n">
        <v>0</v>
      </c>
      <c r="CG72" s="704" t="n">
        <v>0</v>
      </c>
      <c r="CH72" s="704" t="n">
        <v>0</v>
      </c>
      <c r="CI72" s="704" t="n">
        <v>0</v>
      </c>
      <c r="CJ72" s="704" t="n">
        <v>0</v>
      </c>
      <c r="CK72" s="704" t="n">
        <v>0</v>
      </c>
      <c r="CL72" s="704" t="n">
        <v>0</v>
      </c>
      <c r="CM72" s="704" t="n">
        <v>0</v>
      </c>
      <c r="CN72" s="704" t="n">
        <v>0</v>
      </c>
      <c r="CO72" s="704" t="n">
        <v>0</v>
      </c>
      <c r="CP72" s="704" t="n">
        <v>0</v>
      </c>
      <c r="CQ72" s="704" t="n">
        <v>0</v>
      </c>
      <c r="CR72" s="704" t="n">
        <v>0</v>
      </c>
      <c r="CS72" s="704" t="n">
        <v>0</v>
      </c>
      <c r="CT72" s="704" t="n">
        <v>0</v>
      </c>
      <c r="CU72" s="704" t="n">
        <v>0</v>
      </c>
      <c r="CV72" s="704" t="n">
        <v>0</v>
      </c>
      <c r="CW72" s="704" t="n">
        <v>0</v>
      </c>
      <c r="CX72" s="704" t="n">
        <v>0</v>
      </c>
      <c r="CY72" s="704" t="n">
        <v>0</v>
      </c>
      <c r="CZ72" s="704" t="n">
        <v>0</v>
      </c>
      <c r="DA72" s="704" t="n">
        <v>0</v>
      </c>
      <c r="DB72" s="704" t="n">
        <v>0</v>
      </c>
      <c r="DC72" s="704" t="n">
        <v>0</v>
      </c>
      <c r="DD72" s="704" t="n">
        <v>0</v>
      </c>
      <c r="DE72" s="704" t="n">
        <v>0</v>
      </c>
      <c r="DF72" s="704" t="n">
        <v>0</v>
      </c>
      <c r="DG72" s="704" t="n">
        <v>0</v>
      </c>
      <c r="DH72" s="704" t="n">
        <v>0</v>
      </c>
      <c r="DI72" s="704" t="n">
        <v>0</v>
      </c>
      <c r="DJ72" s="704" t="n">
        <v>0</v>
      </c>
      <c r="DK72" s="704" t="n">
        <v>0</v>
      </c>
      <c r="DL72" s="704" t="n">
        <v>0</v>
      </c>
      <c r="DM72" s="704" t="n">
        <v>0</v>
      </c>
    </row>
    <row r="73" ht="13.5" customHeight="1" s="355">
      <c r="B73" s="703" t="inlineStr">
        <is>
          <t>T&amp;E</t>
        </is>
      </c>
      <c r="D73" s="704" t="n">
        <v>0</v>
      </c>
      <c r="E73" s="704" t="n">
        <v>0</v>
      </c>
      <c r="F73" s="704" t="n">
        <v>0</v>
      </c>
      <c r="G73" s="704" t="n">
        <v>0</v>
      </c>
      <c r="H73" s="704" t="n">
        <v>0</v>
      </c>
      <c r="I73" s="704" t="n">
        <v>0</v>
      </c>
      <c r="J73" s="704" t="n">
        <v>0.107090095934856</v>
      </c>
      <c r="K73" s="704" t="n">
        <v>3.31979297398055</v>
      </c>
      <c r="L73" s="704" t="n">
        <v>3.31979297398055</v>
      </c>
      <c r="M73" s="704" t="n">
        <v>3.31979297398055</v>
      </c>
      <c r="N73" s="704" t="n">
        <v>3.31979297398055</v>
      </c>
      <c r="O73" s="704" t="n">
        <v>3.31979297398055</v>
      </c>
      <c r="P73" s="704" t="n">
        <v>3.41938676319996</v>
      </c>
      <c r="Q73" s="704" t="n">
        <v>3.41938676319996</v>
      </c>
      <c r="R73" s="704" t="n">
        <v>3.41938676319996</v>
      </c>
      <c r="S73" s="704" t="n">
        <v>3.41938676319996</v>
      </c>
      <c r="T73" s="704" t="n">
        <v>3.41938676319996</v>
      </c>
      <c r="U73" s="704" t="n">
        <v>3.41938676319996</v>
      </c>
      <c r="V73" s="704" t="n">
        <v>3.41938676319996</v>
      </c>
      <c r="W73" s="704" t="n">
        <v>3.41938676319996</v>
      </c>
      <c r="X73" s="704" t="n">
        <v>3.41938676319996</v>
      </c>
      <c r="Y73" s="704" t="n">
        <v>3.41938676319996</v>
      </c>
      <c r="Z73" s="704" t="n">
        <v>3.41938676319996</v>
      </c>
      <c r="AA73" s="704" t="n">
        <v>3.41938676319996</v>
      </c>
      <c r="AB73" s="704" t="n">
        <v>3.52196836609596</v>
      </c>
      <c r="AC73" s="704" t="n">
        <v>3.43391915694356</v>
      </c>
      <c r="AD73" s="704" t="n">
        <v>3.43391915694356</v>
      </c>
      <c r="AE73" s="704" t="n">
        <v>3.43391915694356</v>
      </c>
      <c r="AF73" s="704" t="n">
        <v>3.43391915694356</v>
      </c>
      <c r="AG73" s="704" t="n">
        <v>3.43391915694356</v>
      </c>
      <c r="AH73" s="704" t="n">
        <v>3.43391915694356</v>
      </c>
      <c r="AI73" s="704" t="n">
        <v>3.43391915694356</v>
      </c>
      <c r="AJ73" s="704" t="n">
        <v>3.43391915694356</v>
      </c>
      <c r="AK73" s="704" t="n">
        <v>3.43391915694356</v>
      </c>
      <c r="AL73" s="704" t="n">
        <v>3.43391915694356</v>
      </c>
      <c r="AM73" s="704" t="n">
        <v>3.43391915694356</v>
      </c>
      <c r="AN73" s="704" t="n">
        <v>3.53693673165187</v>
      </c>
      <c r="AO73" s="704" t="n">
        <v>3.4462460462249</v>
      </c>
      <c r="AP73" s="704" t="n">
        <v>3.4462460462249</v>
      </c>
      <c r="AQ73" s="704" t="n">
        <v>3.4462460462249</v>
      </c>
      <c r="AR73" s="704" t="n">
        <v>3.4462460462249</v>
      </c>
      <c r="AS73" s="704" t="n">
        <v>3.4462460462249</v>
      </c>
      <c r="AT73" s="704" t="n">
        <v>3.4462460462249</v>
      </c>
      <c r="AU73" s="704" t="n">
        <v>3.4462460462249</v>
      </c>
      <c r="AV73" s="704" t="n">
        <v>3.4462460462249</v>
      </c>
      <c r="AW73" s="704" t="n">
        <v>3.4462460462249</v>
      </c>
      <c r="AX73" s="704" t="n">
        <v>3.4462460462249</v>
      </c>
      <c r="AY73" s="704" t="n">
        <v>3.4462460462249</v>
      </c>
      <c r="AZ73" s="704" t="n">
        <v>3.54963342761164</v>
      </c>
      <c r="BA73" s="704" t="n">
        <v>3.45622202162186</v>
      </c>
      <c r="BB73" s="704" t="n">
        <v>3.45622202162186</v>
      </c>
      <c r="BC73" s="704" t="n">
        <v>3.45622202162186</v>
      </c>
      <c r="BD73" s="704" t="n">
        <v>3.45622202162186</v>
      </c>
      <c r="BE73" s="704" t="n">
        <v>3.45622202162186</v>
      </c>
      <c r="BF73" s="704" t="n">
        <v>3.45622202162186</v>
      </c>
      <c r="BG73" s="704" t="n">
        <v>3.45622202162186</v>
      </c>
      <c r="BH73" s="704" t="n">
        <v>3.45622202162186</v>
      </c>
      <c r="BI73" s="704" t="n">
        <v>3.45622202162186</v>
      </c>
      <c r="BJ73" s="704" t="n">
        <v>3.45622202162186</v>
      </c>
      <c r="BK73" s="704" t="n">
        <v>3.45622202162186</v>
      </c>
      <c r="BL73" s="704" t="n">
        <v>3.55990868227052</v>
      </c>
      <c r="BM73" s="704" t="n">
        <v>3.36748118593157</v>
      </c>
      <c r="BN73" s="704" t="n">
        <v>3.36748118593157</v>
      </c>
      <c r="BO73" s="704" t="n">
        <v>3.36748118593157</v>
      </c>
      <c r="BP73" s="704" t="n">
        <v>3.36748118593157</v>
      </c>
      <c r="BQ73" s="704" t="n">
        <v>3.36748118593157</v>
      </c>
      <c r="BR73" s="704" t="n">
        <v>3.36748118593157</v>
      </c>
      <c r="BS73" s="704" t="n">
        <v>3.36748118593157</v>
      </c>
      <c r="BT73" s="704" t="n">
        <v>3.36748118593157</v>
      </c>
      <c r="BU73" s="704" t="n">
        <v>3.36748118593157</v>
      </c>
      <c r="BV73" s="704" t="n">
        <v>3.36748118593157</v>
      </c>
      <c r="BW73" s="704" t="n">
        <v>3.36748118593157</v>
      </c>
      <c r="BX73" s="704" t="n">
        <v>3.46850562150952</v>
      </c>
      <c r="BY73" s="704" t="n">
        <v>3.46850562150952</v>
      </c>
      <c r="BZ73" s="704" t="n">
        <v>3.46850562150952</v>
      </c>
      <c r="CA73" s="704" t="n">
        <v>3.46850562150952</v>
      </c>
      <c r="CB73" s="704" t="n">
        <v>3.46850562150952</v>
      </c>
      <c r="CC73" s="704" t="n">
        <v>3.46850562150952</v>
      </c>
      <c r="CD73" s="704" t="n">
        <v>3.46850562150952</v>
      </c>
      <c r="CE73" s="704" t="n">
        <v>3.46850562150952</v>
      </c>
      <c r="CF73" s="704" t="n">
        <v>3.46850562150952</v>
      </c>
      <c r="CG73" s="704" t="n">
        <v>3.46850562150952</v>
      </c>
      <c r="CH73" s="704" t="n">
        <v>3.46850562150952</v>
      </c>
      <c r="CI73" s="704" t="n">
        <v>3.46850562150952</v>
      </c>
      <c r="CJ73" s="704" t="n">
        <v>3.57256079015481</v>
      </c>
      <c r="CK73" s="704" t="n">
        <v>3.57256079015481</v>
      </c>
      <c r="CL73" s="704" t="n">
        <v>3.57256079015481</v>
      </c>
      <c r="CM73" s="704" t="n">
        <v>3.57256079015481</v>
      </c>
      <c r="CN73" s="704" t="n">
        <v>3.57256079015481</v>
      </c>
      <c r="CO73" s="704" t="n">
        <v>3.57256079015481</v>
      </c>
      <c r="CP73" s="704" t="n">
        <v>3.57256079015481</v>
      </c>
      <c r="CQ73" s="704" t="n">
        <v>3.57256079015481</v>
      </c>
      <c r="CR73" s="704" t="n">
        <v>3.57256079015481</v>
      </c>
      <c r="CS73" s="704" t="n">
        <v>3.57256079015481</v>
      </c>
      <c r="CT73" s="704" t="n">
        <v>3.57256079015481</v>
      </c>
      <c r="CU73" s="704" t="n">
        <v>3.57256079015481</v>
      </c>
      <c r="CV73" s="704" t="n">
        <v>3.67973761385945</v>
      </c>
      <c r="CW73" s="704" t="n">
        <v>3.67973761385945</v>
      </c>
      <c r="CX73" s="704" t="n">
        <v>3.67973761385945</v>
      </c>
      <c r="CY73" s="704" t="n">
        <v>3.67973761385945</v>
      </c>
      <c r="CZ73" s="704" t="n">
        <v>3.67973761385945</v>
      </c>
      <c r="DA73" s="704" t="n">
        <v>3.67973761385945</v>
      </c>
      <c r="DB73" s="704" t="n">
        <v>3.67973761385945</v>
      </c>
      <c r="DC73" s="704" t="n">
        <v>3.67973761385945</v>
      </c>
      <c r="DD73" s="704" t="n">
        <v>3.67973761385945</v>
      </c>
      <c r="DE73" s="704" t="n">
        <v>3.67973761385945</v>
      </c>
      <c r="DF73" s="704" t="n">
        <v>3.67973761385945</v>
      </c>
      <c r="DG73" s="704" t="n">
        <v>3.67973761385945</v>
      </c>
      <c r="DH73" s="704" t="n">
        <v>3.67973761385945</v>
      </c>
      <c r="DI73" s="704" t="n">
        <v>3.67973761385945</v>
      </c>
      <c r="DJ73" s="704" t="n">
        <v>3.67973761385945</v>
      </c>
      <c r="DK73" s="704" t="n">
        <v>3.67973761385945</v>
      </c>
      <c r="DL73" s="704" t="n">
        <v>3.67973761385945</v>
      </c>
      <c r="DM73" s="704" t="n">
        <v>3.67973761385945</v>
      </c>
    </row>
    <row r="74" ht="13.5" customHeight="1" s="355">
      <c r="B74" s="703" t="inlineStr">
        <is>
          <t>Order to Cash</t>
        </is>
      </c>
      <c r="D74" s="704" t="n">
        <v>0</v>
      </c>
      <c r="E74" s="704" t="n">
        <v>0</v>
      </c>
      <c r="F74" s="704" t="n">
        <v>0</v>
      </c>
      <c r="G74" s="704" t="n">
        <v>0</v>
      </c>
      <c r="H74" s="704" t="n">
        <v>0</v>
      </c>
      <c r="I74" s="704" t="n">
        <v>0</v>
      </c>
      <c r="J74" s="704" t="n">
        <v>0.107090095934856</v>
      </c>
      <c r="K74" s="704" t="n">
        <v>3.31979297398055</v>
      </c>
      <c r="L74" s="704" t="n">
        <v>3.31979297398055</v>
      </c>
      <c r="M74" s="704" t="n">
        <v>3.31979297398055</v>
      </c>
      <c r="N74" s="704" t="n">
        <v>3.31979297398055</v>
      </c>
      <c r="O74" s="704" t="n">
        <v>3.31979297398055</v>
      </c>
      <c r="P74" s="704" t="n">
        <v>3.41938676319996</v>
      </c>
      <c r="Q74" s="704" t="n">
        <v>3.41938676319996</v>
      </c>
      <c r="R74" s="704" t="n">
        <v>3.41938676319996</v>
      </c>
      <c r="S74" s="704" t="n">
        <v>3.41938676319996</v>
      </c>
      <c r="T74" s="704" t="n">
        <v>3.41938676319996</v>
      </c>
      <c r="U74" s="704" t="n">
        <v>3.41938676319996</v>
      </c>
      <c r="V74" s="704" t="n">
        <v>3.41938676319996</v>
      </c>
      <c r="W74" s="704" t="n">
        <v>3.41938676319996</v>
      </c>
      <c r="X74" s="704" t="n">
        <v>3.41938676319996</v>
      </c>
      <c r="Y74" s="704" t="n">
        <v>3.41938676319996</v>
      </c>
      <c r="Z74" s="704" t="n">
        <v>3.41938676319996</v>
      </c>
      <c r="AA74" s="704" t="n">
        <v>3.41938676319996</v>
      </c>
      <c r="AB74" s="704" t="n">
        <v>3.52196836609596</v>
      </c>
      <c r="AC74" s="704" t="n">
        <v>3.43391915694356</v>
      </c>
      <c r="AD74" s="704" t="n">
        <v>3.43391915694356</v>
      </c>
      <c r="AE74" s="704" t="n">
        <v>3.43391915694356</v>
      </c>
      <c r="AF74" s="704" t="n">
        <v>3.43391915694356</v>
      </c>
      <c r="AG74" s="704" t="n">
        <v>3.43391915694356</v>
      </c>
      <c r="AH74" s="704" t="n">
        <v>3.43391915694356</v>
      </c>
      <c r="AI74" s="704" t="n">
        <v>3.43391915694356</v>
      </c>
      <c r="AJ74" s="704" t="n">
        <v>3.43391915694356</v>
      </c>
      <c r="AK74" s="704" t="n">
        <v>3.43391915694356</v>
      </c>
      <c r="AL74" s="704" t="n">
        <v>3.43391915694356</v>
      </c>
      <c r="AM74" s="704" t="n">
        <v>3.43391915694356</v>
      </c>
      <c r="AN74" s="704" t="n">
        <v>3.53693673165187</v>
      </c>
      <c r="AO74" s="704" t="n">
        <v>3.4462460462249</v>
      </c>
      <c r="AP74" s="704" t="n">
        <v>3.4462460462249</v>
      </c>
      <c r="AQ74" s="704" t="n">
        <v>3.4462460462249</v>
      </c>
      <c r="AR74" s="704" t="n">
        <v>3.4462460462249</v>
      </c>
      <c r="AS74" s="704" t="n">
        <v>3.4462460462249</v>
      </c>
      <c r="AT74" s="704" t="n">
        <v>3.4462460462249</v>
      </c>
      <c r="AU74" s="704" t="n">
        <v>3.4462460462249</v>
      </c>
      <c r="AV74" s="704" t="n">
        <v>3.4462460462249</v>
      </c>
      <c r="AW74" s="704" t="n">
        <v>3.4462460462249</v>
      </c>
      <c r="AX74" s="704" t="n">
        <v>3.4462460462249</v>
      </c>
      <c r="AY74" s="704" t="n">
        <v>3.4462460462249</v>
      </c>
      <c r="AZ74" s="704" t="n">
        <v>3.54963342761164</v>
      </c>
      <c r="BA74" s="704" t="n">
        <v>3.45622202162186</v>
      </c>
      <c r="BB74" s="704" t="n">
        <v>3.45622202162186</v>
      </c>
      <c r="BC74" s="704" t="n">
        <v>3.45622202162186</v>
      </c>
      <c r="BD74" s="704" t="n">
        <v>3.45622202162186</v>
      </c>
      <c r="BE74" s="704" t="n">
        <v>3.45622202162186</v>
      </c>
      <c r="BF74" s="704" t="n">
        <v>3.45622202162186</v>
      </c>
      <c r="BG74" s="704" t="n">
        <v>3.45622202162186</v>
      </c>
      <c r="BH74" s="704" t="n">
        <v>3.45622202162186</v>
      </c>
      <c r="BI74" s="704" t="n">
        <v>3.45622202162186</v>
      </c>
      <c r="BJ74" s="704" t="n">
        <v>3.45622202162186</v>
      </c>
      <c r="BK74" s="704" t="n">
        <v>3.45622202162186</v>
      </c>
      <c r="BL74" s="704" t="n">
        <v>3.55990868227052</v>
      </c>
      <c r="BM74" s="704" t="n">
        <v>3.36748118593157</v>
      </c>
      <c r="BN74" s="704" t="n">
        <v>3.36748118593157</v>
      </c>
      <c r="BO74" s="704" t="n">
        <v>3.36748118593157</v>
      </c>
      <c r="BP74" s="704" t="n">
        <v>3.36748118593157</v>
      </c>
      <c r="BQ74" s="704" t="n">
        <v>3.36748118593157</v>
      </c>
      <c r="BR74" s="704" t="n">
        <v>3.36748118593157</v>
      </c>
      <c r="BS74" s="704" t="n">
        <v>3.36748118593157</v>
      </c>
      <c r="BT74" s="704" t="n">
        <v>3.36748118593157</v>
      </c>
      <c r="BU74" s="704" t="n">
        <v>3.36748118593157</v>
      </c>
      <c r="BV74" s="704" t="n">
        <v>3.36748118593157</v>
      </c>
      <c r="BW74" s="704" t="n">
        <v>3.36748118593157</v>
      </c>
      <c r="BX74" s="704" t="n">
        <v>3.46850562150952</v>
      </c>
      <c r="BY74" s="704" t="n">
        <v>3.46850562150952</v>
      </c>
      <c r="BZ74" s="704" t="n">
        <v>3.46850562150952</v>
      </c>
      <c r="CA74" s="704" t="n">
        <v>3.46850562150952</v>
      </c>
      <c r="CB74" s="704" t="n">
        <v>3.46850562150952</v>
      </c>
      <c r="CC74" s="704" t="n">
        <v>3.46850562150952</v>
      </c>
      <c r="CD74" s="704" t="n">
        <v>3.46850562150952</v>
      </c>
      <c r="CE74" s="704" t="n">
        <v>3.46850562150952</v>
      </c>
      <c r="CF74" s="704" t="n">
        <v>3.46850562150952</v>
      </c>
      <c r="CG74" s="704" t="n">
        <v>3.46850562150952</v>
      </c>
      <c r="CH74" s="704" t="n">
        <v>3.46850562150952</v>
      </c>
      <c r="CI74" s="704" t="n">
        <v>3.46850562150952</v>
      </c>
      <c r="CJ74" s="704" t="n">
        <v>3.57256079015481</v>
      </c>
      <c r="CK74" s="704" t="n">
        <v>3.57256079015481</v>
      </c>
      <c r="CL74" s="704" t="n">
        <v>3.57256079015481</v>
      </c>
      <c r="CM74" s="704" t="n">
        <v>3.57256079015481</v>
      </c>
      <c r="CN74" s="704" t="n">
        <v>3.57256079015481</v>
      </c>
      <c r="CO74" s="704" t="n">
        <v>3.57256079015481</v>
      </c>
      <c r="CP74" s="704" t="n">
        <v>3.57256079015481</v>
      </c>
      <c r="CQ74" s="704" t="n">
        <v>3.57256079015481</v>
      </c>
      <c r="CR74" s="704" t="n">
        <v>3.57256079015481</v>
      </c>
      <c r="CS74" s="704" t="n">
        <v>3.57256079015481</v>
      </c>
      <c r="CT74" s="704" t="n">
        <v>3.57256079015481</v>
      </c>
      <c r="CU74" s="704" t="n">
        <v>3.57256079015481</v>
      </c>
      <c r="CV74" s="704" t="n">
        <v>3.67973761385945</v>
      </c>
      <c r="CW74" s="704" t="n">
        <v>3.67973761385945</v>
      </c>
      <c r="CX74" s="704" t="n">
        <v>3.67973761385945</v>
      </c>
      <c r="CY74" s="704" t="n">
        <v>3.67973761385945</v>
      </c>
      <c r="CZ74" s="704" t="n">
        <v>3.67973761385945</v>
      </c>
      <c r="DA74" s="704" t="n">
        <v>3.67973761385945</v>
      </c>
      <c r="DB74" s="704" t="n">
        <v>3.67973761385945</v>
      </c>
      <c r="DC74" s="704" t="n">
        <v>3.67973761385945</v>
      </c>
      <c r="DD74" s="704" t="n">
        <v>3.67973761385945</v>
      </c>
      <c r="DE74" s="704" t="n">
        <v>3.67973761385945</v>
      </c>
      <c r="DF74" s="704" t="n">
        <v>3.67973761385945</v>
      </c>
      <c r="DG74" s="704" t="n">
        <v>3.67973761385945</v>
      </c>
      <c r="DH74" s="704" t="n">
        <v>3.67973761385945</v>
      </c>
      <c r="DI74" s="704" t="n">
        <v>3.67973761385945</v>
      </c>
      <c r="DJ74" s="704" t="n">
        <v>3.67973761385945</v>
      </c>
      <c r="DK74" s="704" t="n">
        <v>3.67973761385945</v>
      </c>
      <c r="DL74" s="704" t="n">
        <v>3.67973761385945</v>
      </c>
      <c r="DM74" s="704" t="n">
        <v>3.67973761385945</v>
      </c>
    </row>
    <row r="75" ht="13.5" customHeight="1" s="355">
      <c r="B75" s="703" t="inlineStr">
        <is>
          <t>Req to Pay</t>
        </is>
      </c>
      <c r="D75" s="704" t="n">
        <v>0</v>
      </c>
      <c r="E75" s="704" t="n">
        <v>0</v>
      </c>
      <c r="F75" s="704" t="n">
        <v>0</v>
      </c>
      <c r="G75" s="704" t="n">
        <v>0</v>
      </c>
      <c r="H75" s="704" t="n">
        <v>0</v>
      </c>
      <c r="I75" s="704" t="n">
        <v>0</v>
      </c>
      <c r="J75" s="704" t="n">
        <v>0</v>
      </c>
      <c r="K75" s="704" t="n">
        <v>0</v>
      </c>
      <c r="L75" s="704" t="n">
        <v>0</v>
      </c>
      <c r="M75" s="704" t="n">
        <v>0</v>
      </c>
      <c r="N75" s="704" t="n">
        <v>0</v>
      </c>
      <c r="O75" s="704" t="n">
        <v>0</v>
      </c>
      <c r="P75" s="704" t="n">
        <v>0</v>
      </c>
      <c r="Q75" s="704" t="n">
        <v>0</v>
      </c>
      <c r="R75" s="704" t="n">
        <v>0</v>
      </c>
      <c r="S75" s="704" t="n">
        <v>0</v>
      </c>
      <c r="T75" s="704" t="n">
        <v>0</v>
      </c>
      <c r="U75" s="704" t="n">
        <v>0</v>
      </c>
      <c r="V75" s="704" t="n">
        <v>0</v>
      </c>
      <c r="W75" s="704" t="n">
        <v>0</v>
      </c>
      <c r="X75" s="704" t="n">
        <v>0</v>
      </c>
      <c r="Y75" s="704" t="n">
        <v>0</v>
      </c>
      <c r="Z75" s="704" t="n">
        <v>0</v>
      </c>
      <c r="AA75" s="704" t="n">
        <v>0</v>
      </c>
      <c r="AB75" s="704" t="n">
        <v>0</v>
      </c>
      <c r="AC75" s="704" t="n">
        <v>0</v>
      </c>
      <c r="AD75" s="704" t="n">
        <v>0</v>
      </c>
      <c r="AE75" s="704" t="n">
        <v>0</v>
      </c>
      <c r="AF75" s="704" t="n">
        <v>0</v>
      </c>
      <c r="AG75" s="704" t="n">
        <v>0</v>
      </c>
      <c r="AH75" s="704" t="n">
        <v>0</v>
      </c>
      <c r="AI75" s="704" t="n">
        <v>0</v>
      </c>
      <c r="AJ75" s="704" t="n">
        <v>0</v>
      </c>
      <c r="AK75" s="704" t="n">
        <v>0</v>
      </c>
      <c r="AL75" s="704" t="n">
        <v>0</v>
      </c>
      <c r="AM75" s="704" t="n">
        <v>0</v>
      </c>
      <c r="AN75" s="704" t="n">
        <v>0</v>
      </c>
      <c r="AO75" s="704" t="n">
        <v>0</v>
      </c>
      <c r="AP75" s="704" t="n">
        <v>0</v>
      </c>
      <c r="AQ75" s="704" t="n">
        <v>0</v>
      </c>
      <c r="AR75" s="704" t="n">
        <v>0</v>
      </c>
      <c r="AS75" s="704" t="n">
        <v>0</v>
      </c>
      <c r="AT75" s="704" t="n">
        <v>0</v>
      </c>
      <c r="AU75" s="704" t="n">
        <v>0</v>
      </c>
      <c r="AV75" s="704" t="n">
        <v>0</v>
      </c>
      <c r="AW75" s="704" t="n">
        <v>0</v>
      </c>
      <c r="AX75" s="704" t="n">
        <v>0</v>
      </c>
      <c r="AY75" s="704" t="n">
        <v>0</v>
      </c>
      <c r="AZ75" s="704" t="n">
        <v>0</v>
      </c>
      <c r="BA75" s="704" t="n">
        <v>0</v>
      </c>
      <c r="BB75" s="704" t="n">
        <v>0</v>
      </c>
      <c r="BC75" s="704" t="n">
        <v>0</v>
      </c>
      <c r="BD75" s="704" t="n">
        <v>0</v>
      </c>
      <c r="BE75" s="704" t="n">
        <v>0</v>
      </c>
      <c r="BF75" s="704" t="n">
        <v>0</v>
      </c>
      <c r="BG75" s="704" t="n">
        <v>0</v>
      </c>
      <c r="BH75" s="704" t="n">
        <v>0</v>
      </c>
      <c r="BI75" s="704" t="n">
        <v>0</v>
      </c>
      <c r="BJ75" s="704" t="n">
        <v>0</v>
      </c>
      <c r="BK75" s="704" t="n">
        <v>0</v>
      </c>
      <c r="BL75" s="704" t="n">
        <v>0</v>
      </c>
      <c r="BM75" s="704" t="n">
        <v>0</v>
      </c>
      <c r="BN75" s="704" t="n">
        <v>0</v>
      </c>
      <c r="BO75" s="704" t="n">
        <v>0</v>
      </c>
      <c r="BP75" s="704" t="n">
        <v>0</v>
      </c>
      <c r="BQ75" s="704" t="n">
        <v>0</v>
      </c>
      <c r="BR75" s="704" t="n">
        <v>0</v>
      </c>
      <c r="BS75" s="704" t="n">
        <v>0</v>
      </c>
      <c r="BT75" s="704" t="n">
        <v>0</v>
      </c>
      <c r="BU75" s="704" t="n">
        <v>0</v>
      </c>
      <c r="BV75" s="704" t="n">
        <v>0</v>
      </c>
      <c r="BW75" s="704" t="n">
        <v>0</v>
      </c>
      <c r="BX75" s="704" t="n">
        <v>0</v>
      </c>
      <c r="BY75" s="704" t="n">
        <v>0</v>
      </c>
      <c r="BZ75" s="704" t="n">
        <v>0</v>
      </c>
      <c r="CA75" s="704" t="n">
        <v>0</v>
      </c>
      <c r="CB75" s="704" t="n">
        <v>0</v>
      </c>
      <c r="CC75" s="704" t="n">
        <v>0</v>
      </c>
      <c r="CD75" s="704" t="n">
        <v>0</v>
      </c>
      <c r="CE75" s="704" t="n">
        <v>0</v>
      </c>
      <c r="CF75" s="704" t="n">
        <v>0</v>
      </c>
      <c r="CG75" s="704" t="n">
        <v>0</v>
      </c>
      <c r="CH75" s="704" t="n">
        <v>0</v>
      </c>
      <c r="CI75" s="704" t="n">
        <v>0</v>
      </c>
      <c r="CJ75" s="704" t="n">
        <v>0</v>
      </c>
      <c r="CK75" s="704" t="n">
        <v>0</v>
      </c>
      <c r="CL75" s="704" t="n">
        <v>0</v>
      </c>
      <c r="CM75" s="704" t="n">
        <v>0</v>
      </c>
      <c r="CN75" s="704" t="n">
        <v>0</v>
      </c>
      <c r="CO75" s="704" t="n">
        <v>0</v>
      </c>
      <c r="CP75" s="704" t="n">
        <v>0</v>
      </c>
      <c r="CQ75" s="704" t="n">
        <v>0</v>
      </c>
      <c r="CR75" s="704" t="n">
        <v>0</v>
      </c>
      <c r="CS75" s="704" t="n">
        <v>0</v>
      </c>
      <c r="CT75" s="704" t="n">
        <v>0</v>
      </c>
      <c r="CU75" s="704" t="n">
        <v>0</v>
      </c>
      <c r="CV75" s="704" t="n">
        <v>0</v>
      </c>
      <c r="CW75" s="704" t="n">
        <v>0</v>
      </c>
      <c r="CX75" s="704" t="n">
        <v>0</v>
      </c>
      <c r="CY75" s="704" t="n">
        <v>0</v>
      </c>
      <c r="CZ75" s="704" t="n">
        <v>0</v>
      </c>
      <c r="DA75" s="704" t="n">
        <v>0</v>
      </c>
      <c r="DB75" s="704" t="n">
        <v>0</v>
      </c>
      <c r="DC75" s="704" t="n">
        <v>0</v>
      </c>
      <c r="DD75" s="704" t="n">
        <v>0</v>
      </c>
      <c r="DE75" s="704" t="n">
        <v>0</v>
      </c>
      <c r="DF75" s="704" t="n">
        <v>0</v>
      </c>
      <c r="DG75" s="704" t="n">
        <v>0</v>
      </c>
      <c r="DH75" s="704" t="n">
        <v>0</v>
      </c>
      <c r="DI75" s="704" t="n">
        <v>0</v>
      </c>
      <c r="DJ75" s="704" t="n">
        <v>0</v>
      </c>
      <c r="DK75" s="704" t="n">
        <v>0</v>
      </c>
      <c r="DL75" s="704" t="n">
        <v>0</v>
      </c>
      <c r="DM75" s="704" t="n">
        <v>0</v>
      </c>
    </row>
    <row r="76" ht="13.5" customHeight="1" s="355">
      <c r="B76" s="703" t="inlineStr">
        <is>
          <t>Team Leader</t>
        </is>
      </c>
      <c r="D76" s="704" t="n">
        <v>0</v>
      </c>
      <c r="E76" s="704" t="n">
        <v>0</v>
      </c>
      <c r="F76" s="704" t="n">
        <v>0</v>
      </c>
      <c r="G76" s="704" t="n">
        <v>0</v>
      </c>
      <c r="H76" s="704" t="n">
        <v>0</v>
      </c>
      <c r="I76" s="704" t="n">
        <v>0</v>
      </c>
      <c r="J76" s="704" t="n">
        <v>0</v>
      </c>
      <c r="K76" s="704" t="n">
        <v>0</v>
      </c>
      <c r="L76" s="704" t="n">
        <v>0</v>
      </c>
      <c r="M76" s="704" t="n">
        <v>0</v>
      </c>
      <c r="N76" s="704" t="n">
        <v>0</v>
      </c>
      <c r="O76" s="704" t="n">
        <v>0</v>
      </c>
      <c r="P76" s="704" t="n">
        <v>0</v>
      </c>
      <c r="Q76" s="704" t="n">
        <v>0</v>
      </c>
      <c r="R76" s="704" t="n">
        <v>0</v>
      </c>
      <c r="S76" s="704" t="n">
        <v>0</v>
      </c>
      <c r="T76" s="704" t="n">
        <v>0</v>
      </c>
      <c r="U76" s="704" t="n">
        <v>0</v>
      </c>
      <c r="V76" s="704" t="n">
        <v>0</v>
      </c>
      <c r="W76" s="704" t="n">
        <v>0</v>
      </c>
      <c r="X76" s="704" t="n">
        <v>0</v>
      </c>
      <c r="Y76" s="704" t="n">
        <v>0</v>
      </c>
      <c r="Z76" s="704" t="n">
        <v>0</v>
      </c>
      <c r="AA76" s="704" t="n">
        <v>0</v>
      </c>
      <c r="AB76" s="704" t="n">
        <v>0</v>
      </c>
      <c r="AC76" s="704" t="n">
        <v>0</v>
      </c>
      <c r="AD76" s="704" t="n">
        <v>0</v>
      </c>
      <c r="AE76" s="704" t="n">
        <v>0</v>
      </c>
      <c r="AF76" s="704" t="n">
        <v>0</v>
      </c>
      <c r="AG76" s="704" t="n">
        <v>0</v>
      </c>
      <c r="AH76" s="704" t="n">
        <v>0</v>
      </c>
      <c r="AI76" s="704" t="n">
        <v>0</v>
      </c>
      <c r="AJ76" s="704" t="n">
        <v>0</v>
      </c>
      <c r="AK76" s="704" t="n">
        <v>0</v>
      </c>
      <c r="AL76" s="704" t="n">
        <v>0</v>
      </c>
      <c r="AM76" s="704" t="n">
        <v>0</v>
      </c>
      <c r="AN76" s="704" t="n">
        <v>0</v>
      </c>
      <c r="AO76" s="704" t="n">
        <v>0</v>
      </c>
      <c r="AP76" s="704" t="n">
        <v>0</v>
      </c>
      <c r="AQ76" s="704" t="n">
        <v>0</v>
      </c>
      <c r="AR76" s="704" t="n">
        <v>0</v>
      </c>
      <c r="AS76" s="704" t="n">
        <v>0</v>
      </c>
      <c r="AT76" s="704" t="n">
        <v>0</v>
      </c>
      <c r="AU76" s="704" t="n">
        <v>0</v>
      </c>
      <c r="AV76" s="704" t="n">
        <v>0</v>
      </c>
      <c r="AW76" s="704" t="n">
        <v>0</v>
      </c>
      <c r="AX76" s="704" t="n">
        <v>0</v>
      </c>
      <c r="AY76" s="704" t="n">
        <v>0</v>
      </c>
      <c r="AZ76" s="704" t="n">
        <v>0</v>
      </c>
      <c r="BA76" s="704" t="n">
        <v>0</v>
      </c>
      <c r="BB76" s="704" t="n">
        <v>0</v>
      </c>
      <c r="BC76" s="704" t="n">
        <v>0</v>
      </c>
      <c r="BD76" s="704" t="n">
        <v>0</v>
      </c>
      <c r="BE76" s="704" t="n">
        <v>0</v>
      </c>
      <c r="BF76" s="704" t="n">
        <v>0</v>
      </c>
      <c r="BG76" s="704" t="n">
        <v>0</v>
      </c>
      <c r="BH76" s="704" t="n">
        <v>0</v>
      </c>
      <c r="BI76" s="704" t="n">
        <v>0</v>
      </c>
      <c r="BJ76" s="704" t="n">
        <v>0</v>
      </c>
      <c r="BK76" s="704" t="n">
        <v>0</v>
      </c>
      <c r="BL76" s="704" t="n">
        <v>0</v>
      </c>
      <c r="BM76" s="704" t="n">
        <v>0</v>
      </c>
      <c r="BN76" s="704" t="n">
        <v>0</v>
      </c>
      <c r="BO76" s="704" t="n">
        <v>0</v>
      </c>
      <c r="BP76" s="704" t="n">
        <v>0</v>
      </c>
      <c r="BQ76" s="704" t="n">
        <v>0</v>
      </c>
      <c r="BR76" s="704" t="n">
        <v>0</v>
      </c>
      <c r="BS76" s="704" t="n">
        <v>0</v>
      </c>
      <c r="BT76" s="704" t="n">
        <v>0</v>
      </c>
      <c r="BU76" s="704" t="n">
        <v>0</v>
      </c>
      <c r="BV76" s="704" t="n">
        <v>0</v>
      </c>
      <c r="BW76" s="704" t="n">
        <v>0</v>
      </c>
      <c r="BX76" s="704" t="n">
        <v>0</v>
      </c>
      <c r="BY76" s="704" t="n">
        <v>0</v>
      </c>
      <c r="BZ76" s="704" t="n">
        <v>0</v>
      </c>
      <c r="CA76" s="704" t="n">
        <v>0</v>
      </c>
      <c r="CB76" s="704" t="n">
        <v>0</v>
      </c>
      <c r="CC76" s="704" t="n">
        <v>0</v>
      </c>
      <c r="CD76" s="704" t="n">
        <v>0</v>
      </c>
      <c r="CE76" s="704" t="n">
        <v>0</v>
      </c>
      <c r="CF76" s="704" t="n">
        <v>0</v>
      </c>
      <c r="CG76" s="704" t="n">
        <v>0</v>
      </c>
      <c r="CH76" s="704" t="n">
        <v>0</v>
      </c>
      <c r="CI76" s="704" t="n">
        <v>0</v>
      </c>
      <c r="CJ76" s="704" t="n">
        <v>0</v>
      </c>
      <c r="CK76" s="704" t="n">
        <v>0</v>
      </c>
      <c r="CL76" s="704" t="n">
        <v>0</v>
      </c>
      <c r="CM76" s="704" t="n">
        <v>0</v>
      </c>
      <c r="CN76" s="704" t="n">
        <v>0</v>
      </c>
      <c r="CO76" s="704" t="n">
        <v>0</v>
      </c>
      <c r="CP76" s="704" t="n">
        <v>0</v>
      </c>
      <c r="CQ76" s="704" t="n">
        <v>0</v>
      </c>
      <c r="CR76" s="704" t="n">
        <v>0</v>
      </c>
      <c r="CS76" s="704" t="n">
        <v>0</v>
      </c>
      <c r="CT76" s="704" t="n">
        <v>0</v>
      </c>
      <c r="CU76" s="704" t="n">
        <v>0</v>
      </c>
      <c r="CV76" s="704" t="n">
        <v>0</v>
      </c>
      <c r="CW76" s="704" t="n">
        <v>0</v>
      </c>
      <c r="CX76" s="704" t="n">
        <v>0</v>
      </c>
      <c r="CY76" s="704" t="n">
        <v>0</v>
      </c>
      <c r="CZ76" s="704" t="n">
        <v>0</v>
      </c>
      <c r="DA76" s="704" t="n">
        <v>0</v>
      </c>
      <c r="DB76" s="704" t="n">
        <v>0</v>
      </c>
      <c r="DC76" s="704" t="n">
        <v>0</v>
      </c>
      <c r="DD76" s="704" t="n">
        <v>0</v>
      </c>
      <c r="DE76" s="704" t="n">
        <v>0</v>
      </c>
      <c r="DF76" s="704" t="n">
        <v>0</v>
      </c>
      <c r="DG76" s="704" t="n">
        <v>0</v>
      </c>
      <c r="DH76" s="704" t="n">
        <v>0</v>
      </c>
      <c r="DI76" s="704" t="n">
        <v>0</v>
      </c>
      <c r="DJ76" s="704" t="n">
        <v>0</v>
      </c>
      <c r="DK76" s="704" t="n">
        <v>0</v>
      </c>
      <c r="DL76" s="704" t="n">
        <v>0</v>
      </c>
      <c r="DM76" s="704" t="n">
        <v>0</v>
      </c>
    </row>
    <row r="77" ht="13.5" customHeight="1" s="355">
      <c r="B77" s="703" t="inlineStr">
        <is>
          <t>SLA Metric Reporting</t>
        </is>
      </c>
      <c r="D77" s="704" t="n">
        <v>0</v>
      </c>
      <c r="E77" s="704" t="n">
        <v>0</v>
      </c>
      <c r="F77" s="704" t="n">
        <v>0</v>
      </c>
      <c r="G77" s="704" t="n">
        <v>0</v>
      </c>
      <c r="H77" s="704" t="n">
        <v>0</v>
      </c>
      <c r="I77" s="704" t="n">
        <v>0</v>
      </c>
      <c r="J77" s="704" t="n">
        <v>0</v>
      </c>
      <c r="K77" s="704" t="n">
        <v>0</v>
      </c>
      <c r="L77" s="704" t="n">
        <v>0</v>
      </c>
      <c r="M77" s="704" t="n">
        <v>0</v>
      </c>
      <c r="N77" s="704" t="n">
        <v>0</v>
      </c>
      <c r="O77" s="704" t="n">
        <v>0</v>
      </c>
      <c r="P77" s="704" t="n">
        <v>0</v>
      </c>
      <c r="Q77" s="704" t="n">
        <v>0</v>
      </c>
      <c r="R77" s="704" t="n">
        <v>0</v>
      </c>
      <c r="S77" s="704" t="n">
        <v>0</v>
      </c>
      <c r="T77" s="704" t="n">
        <v>0</v>
      </c>
      <c r="U77" s="704" t="n">
        <v>0</v>
      </c>
      <c r="V77" s="704" t="n">
        <v>0</v>
      </c>
      <c r="W77" s="704" t="n">
        <v>0</v>
      </c>
      <c r="X77" s="704" t="n">
        <v>0</v>
      </c>
      <c r="Y77" s="704" t="n">
        <v>0</v>
      </c>
      <c r="Z77" s="704" t="n">
        <v>0</v>
      </c>
      <c r="AA77" s="704" t="n">
        <v>0</v>
      </c>
      <c r="AB77" s="704" t="n">
        <v>0</v>
      </c>
      <c r="AC77" s="704" t="n">
        <v>0</v>
      </c>
      <c r="AD77" s="704" t="n">
        <v>0</v>
      </c>
      <c r="AE77" s="704" t="n">
        <v>0</v>
      </c>
      <c r="AF77" s="704" t="n">
        <v>0</v>
      </c>
      <c r="AG77" s="704" t="n">
        <v>0</v>
      </c>
      <c r="AH77" s="704" t="n">
        <v>0</v>
      </c>
      <c r="AI77" s="704" t="n">
        <v>0</v>
      </c>
      <c r="AJ77" s="704" t="n">
        <v>0</v>
      </c>
      <c r="AK77" s="704" t="n">
        <v>0</v>
      </c>
      <c r="AL77" s="704" t="n">
        <v>0</v>
      </c>
      <c r="AM77" s="704" t="n">
        <v>0</v>
      </c>
      <c r="AN77" s="704" t="n">
        <v>0</v>
      </c>
      <c r="AO77" s="704" t="n">
        <v>0</v>
      </c>
      <c r="AP77" s="704" t="n">
        <v>0</v>
      </c>
      <c r="AQ77" s="704" t="n">
        <v>0</v>
      </c>
      <c r="AR77" s="704" t="n">
        <v>0</v>
      </c>
      <c r="AS77" s="704" t="n">
        <v>0</v>
      </c>
      <c r="AT77" s="704" t="n">
        <v>0</v>
      </c>
      <c r="AU77" s="704" t="n">
        <v>0</v>
      </c>
      <c r="AV77" s="704" t="n">
        <v>0</v>
      </c>
      <c r="AW77" s="704" t="n">
        <v>0</v>
      </c>
      <c r="AX77" s="704" t="n">
        <v>0</v>
      </c>
      <c r="AY77" s="704" t="n">
        <v>0</v>
      </c>
      <c r="AZ77" s="704" t="n">
        <v>0</v>
      </c>
      <c r="BA77" s="704" t="n">
        <v>0</v>
      </c>
      <c r="BB77" s="704" t="n">
        <v>0</v>
      </c>
      <c r="BC77" s="704" t="n">
        <v>0</v>
      </c>
      <c r="BD77" s="704" t="n">
        <v>0</v>
      </c>
      <c r="BE77" s="704" t="n">
        <v>0</v>
      </c>
      <c r="BF77" s="704" t="n">
        <v>0</v>
      </c>
      <c r="BG77" s="704" t="n">
        <v>0</v>
      </c>
      <c r="BH77" s="704" t="n">
        <v>0</v>
      </c>
      <c r="BI77" s="704" t="n">
        <v>0</v>
      </c>
      <c r="BJ77" s="704" t="n">
        <v>0</v>
      </c>
      <c r="BK77" s="704" t="n">
        <v>0</v>
      </c>
      <c r="BL77" s="704" t="n">
        <v>0</v>
      </c>
      <c r="BM77" s="704" t="n">
        <v>0</v>
      </c>
      <c r="BN77" s="704" t="n">
        <v>0</v>
      </c>
      <c r="BO77" s="704" t="n">
        <v>0</v>
      </c>
      <c r="BP77" s="704" t="n">
        <v>0</v>
      </c>
      <c r="BQ77" s="704" t="n">
        <v>0</v>
      </c>
      <c r="BR77" s="704" t="n">
        <v>0</v>
      </c>
      <c r="BS77" s="704" t="n">
        <v>0</v>
      </c>
      <c r="BT77" s="704" t="n">
        <v>0</v>
      </c>
      <c r="BU77" s="704" t="n">
        <v>0</v>
      </c>
      <c r="BV77" s="704" t="n">
        <v>0</v>
      </c>
      <c r="BW77" s="704" t="n">
        <v>0</v>
      </c>
      <c r="BX77" s="704" t="n">
        <v>0</v>
      </c>
      <c r="BY77" s="704" t="n">
        <v>0</v>
      </c>
      <c r="BZ77" s="704" t="n">
        <v>0</v>
      </c>
      <c r="CA77" s="704" t="n">
        <v>0</v>
      </c>
      <c r="CB77" s="704" t="n">
        <v>0</v>
      </c>
      <c r="CC77" s="704" t="n">
        <v>0</v>
      </c>
      <c r="CD77" s="704" t="n">
        <v>0</v>
      </c>
      <c r="CE77" s="704" t="n">
        <v>0</v>
      </c>
      <c r="CF77" s="704" t="n">
        <v>0</v>
      </c>
      <c r="CG77" s="704" t="n">
        <v>0</v>
      </c>
      <c r="CH77" s="704" t="n">
        <v>0</v>
      </c>
      <c r="CI77" s="704" t="n">
        <v>0</v>
      </c>
      <c r="CJ77" s="704" t="n">
        <v>0</v>
      </c>
      <c r="CK77" s="704" t="n">
        <v>0</v>
      </c>
      <c r="CL77" s="704" t="n">
        <v>0</v>
      </c>
      <c r="CM77" s="704" t="n">
        <v>0</v>
      </c>
      <c r="CN77" s="704" t="n">
        <v>0</v>
      </c>
      <c r="CO77" s="704" t="n">
        <v>0</v>
      </c>
      <c r="CP77" s="704" t="n">
        <v>0</v>
      </c>
      <c r="CQ77" s="704" t="n">
        <v>0</v>
      </c>
      <c r="CR77" s="704" t="n">
        <v>0</v>
      </c>
      <c r="CS77" s="704" t="n">
        <v>0</v>
      </c>
      <c r="CT77" s="704" t="n">
        <v>0</v>
      </c>
      <c r="CU77" s="704" t="n">
        <v>0</v>
      </c>
      <c r="CV77" s="704" t="n">
        <v>0</v>
      </c>
      <c r="CW77" s="704" t="n">
        <v>0</v>
      </c>
      <c r="CX77" s="704" t="n">
        <v>0</v>
      </c>
      <c r="CY77" s="704" t="n">
        <v>0</v>
      </c>
      <c r="CZ77" s="704" t="n">
        <v>0</v>
      </c>
      <c r="DA77" s="704" t="n">
        <v>0</v>
      </c>
      <c r="DB77" s="704" t="n">
        <v>0</v>
      </c>
      <c r="DC77" s="704" t="n">
        <v>0</v>
      </c>
      <c r="DD77" s="704" t="n">
        <v>0</v>
      </c>
      <c r="DE77" s="704" t="n">
        <v>0</v>
      </c>
      <c r="DF77" s="704" t="n">
        <v>0</v>
      </c>
      <c r="DG77" s="704" t="n">
        <v>0</v>
      </c>
      <c r="DH77" s="704" t="n">
        <v>0</v>
      </c>
      <c r="DI77" s="704" t="n">
        <v>0</v>
      </c>
      <c r="DJ77" s="704" t="n">
        <v>0</v>
      </c>
      <c r="DK77" s="704" t="n">
        <v>0</v>
      </c>
      <c r="DL77" s="704" t="n">
        <v>0</v>
      </c>
      <c r="DM77" s="704" t="n">
        <v>0</v>
      </c>
    </row>
    <row r="78" ht="13.5" customHeight="1" s="355">
      <c r="B78" s="705" t="inlineStr">
        <is>
          <t>Grand Total</t>
        </is>
      </c>
      <c r="C78" s="706" t="n"/>
      <c r="D78" s="707" t="n">
        <v>0</v>
      </c>
      <c r="E78" s="707" t="n">
        <v>0</v>
      </c>
      <c r="F78" s="707" t="n">
        <v>0</v>
      </c>
      <c r="G78" s="707" t="n">
        <v>0</v>
      </c>
      <c r="H78" s="707" t="n">
        <v>0</v>
      </c>
      <c r="I78" s="707" t="n">
        <v>0</v>
      </c>
      <c r="J78" s="707" t="n">
        <v>0.214180191869713</v>
      </c>
      <c r="K78" s="707" t="n">
        <v>7.6850283663446</v>
      </c>
      <c r="L78" s="707" t="n">
        <v>15.079656060916</v>
      </c>
      <c r="M78" s="707" t="n">
        <v>18.3994490348966</v>
      </c>
      <c r="N78" s="707" t="n">
        <v>18.3994490348966</v>
      </c>
      <c r="O78" s="707" t="n">
        <v>18.3994490348966</v>
      </c>
      <c r="P78" s="707" t="n">
        <v>18.9514325059434</v>
      </c>
      <c r="Q78" s="707" t="n">
        <v>18.9514325059434</v>
      </c>
      <c r="R78" s="707" t="n">
        <v>18.9514325059434</v>
      </c>
      <c r="S78" s="707" t="n">
        <v>18.9514325059434</v>
      </c>
      <c r="T78" s="707" t="n">
        <v>18.3815347120768</v>
      </c>
      <c r="U78" s="707" t="n">
        <v>18.3815347120768</v>
      </c>
      <c r="V78" s="707" t="n">
        <v>18.3815347120768</v>
      </c>
      <c r="W78" s="707" t="n">
        <v>18.3815347120768</v>
      </c>
      <c r="X78" s="707" t="n">
        <v>18.3815347120768</v>
      </c>
      <c r="Y78" s="707" t="n">
        <v>18.3815347120768</v>
      </c>
      <c r="Z78" s="707" t="n">
        <v>18.3815347120768</v>
      </c>
      <c r="AA78" s="707" t="n">
        <v>18.3815347120768</v>
      </c>
      <c r="AB78" s="707" t="n">
        <v>18.9329807534391</v>
      </c>
      <c r="AC78" s="707" t="n">
        <v>18.1221342661856</v>
      </c>
      <c r="AD78" s="707" t="n">
        <v>18.1221342661856</v>
      </c>
      <c r="AE78" s="707" t="n">
        <v>18.1221342661856</v>
      </c>
      <c r="AF78" s="707" t="n">
        <v>18.1221342661856</v>
      </c>
      <c r="AG78" s="707" t="n">
        <v>18.1221342661856</v>
      </c>
      <c r="AH78" s="707" t="n">
        <v>18.1221342661856</v>
      </c>
      <c r="AI78" s="707" t="n">
        <v>18.1221342661856</v>
      </c>
      <c r="AJ78" s="707" t="n">
        <v>18.1221342661856</v>
      </c>
      <c r="AK78" s="707" t="n">
        <v>18.1221342661856</v>
      </c>
      <c r="AL78" s="707" t="n">
        <v>18.1221342661856</v>
      </c>
      <c r="AM78" s="707" t="n">
        <v>18.1221342661856</v>
      </c>
      <c r="AN78" s="707" t="n">
        <v>18.6657982941712</v>
      </c>
      <c r="AO78" s="707" t="n">
        <v>17.8306264123</v>
      </c>
      <c r="AP78" s="707" t="n">
        <v>17.8306264123</v>
      </c>
      <c r="AQ78" s="707" t="n">
        <v>17.8306264123</v>
      </c>
      <c r="AR78" s="707" t="n">
        <v>17.8306264123</v>
      </c>
      <c r="AS78" s="707" t="n">
        <v>17.8306264123</v>
      </c>
      <c r="AT78" s="707" t="n">
        <v>17.8306264123</v>
      </c>
      <c r="AU78" s="707" t="n">
        <v>17.8306264123</v>
      </c>
      <c r="AV78" s="707" t="n">
        <v>17.8306264123</v>
      </c>
      <c r="AW78" s="707" t="n">
        <v>17.8306264123</v>
      </c>
      <c r="AX78" s="707" t="n">
        <v>17.8306264123</v>
      </c>
      <c r="AY78" s="707" t="n">
        <v>17.8306264123</v>
      </c>
      <c r="AZ78" s="707" t="n">
        <v>18.365545204669</v>
      </c>
      <c r="BA78" s="707" t="n">
        <v>17.5053181663418</v>
      </c>
      <c r="BB78" s="707" t="n">
        <v>17.5053181663418</v>
      </c>
      <c r="BC78" s="707" t="n">
        <v>17.5053181663418</v>
      </c>
      <c r="BD78" s="707" t="n">
        <v>17.5053181663418</v>
      </c>
      <c r="BE78" s="707" t="n">
        <v>17.5053181663418</v>
      </c>
      <c r="BF78" s="707" t="n">
        <v>17.5053181663418</v>
      </c>
      <c r="BG78" s="707" t="n">
        <v>17.5053181663418</v>
      </c>
      <c r="BH78" s="707" t="n">
        <v>17.5053181663418</v>
      </c>
      <c r="BI78" s="707" t="n">
        <v>17.5053181663418</v>
      </c>
      <c r="BJ78" s="707" t="n">
        <v>17.5053181663418</v>
      </c>
      <c r="BK78" s="707" t="n">
        <v>17.5053181663418</v>
      </c>
      <c r="BL78" s="707" t="n">
        <v>18.0304777113321</v>
      </c>
      <c r="BM78" s="707" t="n">
        <v>17.5412599879709</v>
      </c>
      <c r="BN78" s="707" t="n">
        <v>17.5412599879709</v>
      </c>
      <c r="BO78" s="707" t="n">
        <v>17.5412599879709</v>
      </c>
      <c r="BP78" s="707" t="n">
        <v>17.5412599879709</v>
      </c>
      <c r="BQ78" s="707" t="n">
        <v>17.5412599879709</v>
      </c>
      <c r="BR78" s="707" t="n">
        <v>17.5412599879709</v>
      </c>
      <c r="BS78" s="707" t="n">
        <v>17.5412599879709</v>
      </c>
      <c r="BT78" s="707" t="n">
        <v>17.5412599879709</v>
      </c>
      <c r="BU78" s="707" t="n">
        <v>17.5412599879709</v>
      </c>
      <c r="BV78" s="707" t="n">
        <v>17.5412599879709</v>
      </c>
      <c r="BW78" s="707" t="n">
        <v>17.5412599879709</v>
      </c>
      <c r="BX78" s="707" t="n">
        <v>18.06749778761</v>
      </c>
      <c r="BY78" s="707" t="n">
        <v>18.06749778761</v>
      </c>
      <c r="BZ78" s="707" t="n">
        <v>18.06749778761</v>
      </c>
      <c r="CA78" s="707" t="n">
        <v>18.06749778761</v>
      </c>
      <c r="CB78" s="707" t="n">
        <v>18.06749778761</v>
      </c>
      <c r="CC78" s="707" t="n">
        <v>18.06749778761</v>
      </c>
      <c r="CD78" s="707" t="n">
        <v>18.06749778761</v>
      </c>
      <c r="CE78" s="707" t="n">
        <v>18.06749778761</v>
      </c>
      <c r="CF78" s="707" t="n">
        <v>18.06749778761</v>
      </c>
      <c r="CG78" s="707" t="n">
        <v>18.06749778761</v>
      </c>
      <c r="CH78" s="707" t="n">
        <v>18.06749778761</v>
      </c>
      <c r="CI78" s="707" t="n">
        <v>18.06749778761</v>
      </c>
      <c r="CJ78" s="707" t="n">
        <v>18.6095227212383</v>
      </c>
      <c r="CK78" s="707" t="n">
        <v>18.6095227212383</v>
      </c>
      <c r="CL78" s="707" t="n">
        <v>18.6095227212383</v>
      </c>
      <c r="CM78" s="707" t="n">
        <v>18.6095227212383</v>
      </c>
      <c r="CN78" s="707" t="n">
        <v>18.6095227212383</v>
      </c>
      <c r="CO78" s="707" t="n">
        <v>18.6095227212383</v>
      </c>
      <c r="CP78" s="707" t="n">
        <v>18.6095227212383</v>
      </c>
      <c r="CQ78" s="707" t="n">
        <v>18.6095227212383</v>
      </c>
      <c r="CR78" s="707" t="n">
        <v>18.6095227212383</v>
      </c>
      <c r="CS78" s="707" t="n">
        <v>18.6095227212383</v>
      </c>
      <c r="CT78" s="707" t="n">
        <v>18.6095227212383</v>
      </c>
      <c r="CU78" s="707" t="n">
        <v>18.6095227212383</v>
      </c>
      <c r="CV78" s="707" t="n">
        <v>19.1678084028755</v>
      </c>
      <c r="CW78" s="707" t="n">
        <v>19.1678084028755</v>
      </c>
      <c r="CX78" s="707" t="n">
        <v>19.1678084028755</v>
      </c>
      <c r="CY78" s="707" t="n">
        <v>19.1678084028755</v>
      </c>
      <c r="CZ78" s="707" t="n">
        <v>19.1678084028755</v>
      </c>
      <c r="DA78" s="707" t="n">
        <v>19.1678084028755</v>
      </c>
      <c r="DB78" s="707" t="n">
        <v>19.1678084028755</v>
      </c>
      <c r="DC78" s="707" t="n">
        <v>19.1678084028755</v>
      </c>
      <c r="DD78" s="707" t="n">
        <v>19.1678084028755</v>
      </c>
      <c r="DE78" s="707" t="n">
        <v>19.1678084028755</v>
      </c>
      <c r="DF78" s="707" t="n">
        <v>19.1678084028755</v>
      </c>
      <c r="DG78" s="707" t="n">
        <v>19.1678084028755</v>
      </c>
      <c r="DH78" s="707" t="n">
        <v>19.1678084028755</v>
      </c>
      <c r="DI78" s="707" t="n">
        <v>19.1678084028755</v>
      </c>
      <c r="DJ78" s="707" t="n">
        <v>19.1678084028755</v>
      </c>
      <c r="DK78" s="707" t="n">
        <v>19.1678084028755</v>
      </c>
      <c r="DL78" s="707" t="n">
        <v>19.1678084028755</v>
      </c>
      <c r="DM78" s="707" t="n">
        <v>19.1678084028755</v>
      </c>
    </row>
    <row r="79" ht="13.5" customHeight="1" s="355">
      <c r="A79" s="702" t="inlineStr">
        <is>
          <t>Germany Prod</t>
        </is>
      </c>
      <c r="B79" s="703" t="inlineStr">
        <is>
          <t>Gen Acctg</t>
        </is>
      </c>
      <c r="D79" s="704" t="n">
        <v>0</v>
      </c>
      <c r="E79" s="704" t="n">
        <v>0</v>
      </c>
      <c r="F79" s="704" t="n">
        <v>0</v>
      </c>
      <c r="G79" s="704" t="n">
        <v>0</v>
      </c>
      <c r="H79" s="704" t="n">
        <v>0</v>
      </c>
      <c r="I79" s="704" t="n">
        <v>0</v>
      </c>
      <c r="J79" s="704" t="n">
        <v>0</v>
      </c>
      <c r="K79" s="704" t="n">
        <v>0</v>
      </c>
      <c r="L79" s="704" t="n">
        <v>0</v>
      </c>
      <c r="M79" s="704" t="n">
        <v>0</v>
      </c>
      <c r="N79" s="704" t="n">
        <v>0</v>
      </c>
      <c r="O79" s="704" t="n">
        <v>2.1285623370337</v>
      </c>
      <c r="P79" s="704" t="n">
        <v>3.2364283534041</v>
      </c>
      <c r="Q79" s="704" t="n">
        <v>3.2364283534041</v>
      </c>
      <c r="R79" s="704" t="n">
        <v>3.2364283534041</v>
      </c>
      <c r="S79" s="704" t="n">
        <v>3.2364283534041</v>
      </c>
      <c r="T79" s="704" t="n">
        <v>3.2364283534041</v>
      </c>
      <c r="U79" s="704" t="n">
        <v>3.2364283534041</v>
      </c>
      <c r="V79" s="704" t="n">
        <v>3.2364283534041</v>
      </c>
      <c r="W79" s="704" t="n">
        <v>3.2364283534041</v>
      </c>
      <c r="X79" s="704" t="n">
        <v>3.2364283534041</v>
      </c>
      <c r="Y79" s="704" t="n">
        <v>3.2364283534041</v>
      </c>
      <c r="Z79" s="704" t="n">
        <v>3.2364283534041</v>
      </c>
      <c r="AA79" s="704" t="n">
        <v>3.2364283534041</v>
      </c>
      <c r="AB79" s="704" t="n">
        <v>3.33352120400623</v>
      </c>
      <c r="AC79" s="704" t="n">
        <v>3.25018317390607</v>
      </c>
      <c r="AD79" s="704" t="n">
        <v>3.25018317390607</v>
      </c>
      <c r="AE79" s="704" t="n">
        <v>3.25018317390607</v>
      </c>
      <c r="AF79" s="704" t="n">
        <v>3.25018317390607</v>
      </c>
      <c r="AG79" s="704" t="n">
        <v>3.25018317390607</v>
      </c>
      <c r="AH79" s="704" t="n">
        <v>3.25018317390607</v>
      </c>
      <c r="AI79" s="704" t="n">
        <v>3.25018317390607</v>
      </c>
      <c r="AJ79" s="704" t="n">
        <v>3.25018317390607</v>
      </c>
      <c r="AK79" s="704" t="n">
        <v>3.25018317390607</v>
      </c>
      <c r="AL79" s="704" t="n">
        <v>3.25018317390607</v>
      </c>
      <c r="AM79" s="704" t="n">
        <v>3.25018317390607</v>
      </c>
      <c r="AN79" s="704" t="n">
        <v>3.34768866912325</v>
      </c>
      <c r="AO79" s="704" t="n">
        <v>3.26185049812009</v>
      </c>
      <c r="AP79" s="704" t="n">
        <v>3.26185049812009</v>
      </c>
      <c r="AQ79" s="704" t="n">
        <v>3.26185049812009</v>
      </c>
      <c r="AR79" s="704" t="n">
        <v>3.26185049812009</v>
      </c>
      <c r="AS79" s="704" t="n">
        <v>3.26185049812009</v>
      </c>
      <c r="AT79" s="704" t="n">
        <v>3.26185049812009</v>
      </c>
      <c r="AU79" s="704" t="n">
        <v>3.26185049812009</v>
      </c>
      <c r="AV79" s="704" t="n">
        <v>3.26185049812009</v>
      </c>
      <c r="AW79" s="704" t="n">
        <v>3.26185049812009</v>
      </c>
      <c r="AX79" s="704" t="n">
        <v>3.26185049812009</v>
      </c>
      <c r="AY79" s="704" t="n">
        <v>3.26185049812009</v>
      </c>
      <c r="AZ79" s="704" t="n">
        <v>3.35970601306369</v>
      </c>
      <c r="BA79" s="704" t="n">
        <v>3.27129269693044</v>
      </c>
      <c r="BB79" s="704" t="n">
        <v>3.27129269693044</v>
      </c>
      <c r="BC79" s="704" t="n">
        <v>3.27129269693044</v>
      </c>
      <c r="BD79" s="704" t="n">
        <v>3.27129269693044</v>
      </c>
      <c r="BE79" s="704" t="n">
        <v>3.27129269693044</v>
      </c>
      <c r="BF79" s="704" t="n">
        <v>3.27129269693044</v>
      </c>
      <c r="BG79" s="704" t="n">
        <v>3.27129269693044</v>
      </c>
      <c r="BH79" s="704" t="n">
        <v>3.27129269693044</v>
      </c>
      <c r="BI79" s="704" t="n">
        <v>3.27129269693044</v>
      </c>
      <c r="BJ79" s="704" t="n">
        <v>3.27129269693044</v>
      </c>
      <c r="BK79" s="704" t="n">
        <v>3.27129269693044</v>
      </c>
      <c r="BL79" s="704" t="n">
        <v>3.36943147783835</v>
      </c>
      <c r="BM79" s="704" t="n">
        <v>3.18730004660385</v>
      </c>
      <c r="BN79" s="704" t="n">
        <v>3.18730004660385</v>
      </c>
      <c r="BO79" s="704" t="n">
        <v>3.18730004660385</v>
      </c>
      <c r="BP79" s="704" t="n">
        <v>3.18730004660385</v>
      </c>
      <c r="BQ79" s="704" t="n">
        <v>3.18730004660385</v>
      </c>
      <c r="BR79" s="704" t="n">
        <v>3.18730004660385</v>
      </c>
      <c r="BS79" s="704" t="n">
        <v>3.18730004660385</v>
      </c>
      <c r="BT79" s="704" t="n">
        <v>3.18730004660385</v>
      </c>
      <c r="BU79" s="704" t="n">
        <v>3.18730004660385</v>
      </c>
      <c r="BV79" s="704" t="n">
        <v>3.18730004660385</v>
      </c>
      <c r="BW79" s="704" t="n">
        <v>3.18730004660385</v>
      </c>
      <c r="BX79" s="704" t="n">
        <v>3.28291904800196</v>
      </c>
      <c r="BY79" s="704" t="n">
        <v>3.28291904800196</v>
      </c>
      <c r="BZ79" s="704" t="n">
        <v>3.28291904800196</v>
      </c>
      <c r="CA79" s="704" t="n">
        <v>3.28291904800196</v>
      </c>
      <c r="CB79" s="704" t="n">
        <v>3.28291904800196</v>
      </c>
      <c r="CC79" s="704" t="n">
        <v>3.28291904800196</v>
      </c>
      <c r="CD79" s="704" t="n">
        <v>3.28291904800196</v>
      </c>
      <c r="CE79" s="704" t="n">
        <v>3.28291904800196</v>
      </c>
      <c r="CF79" s="704" t="n">
        <v>3.28291904800196</v>
      </c>
      <c r="CG79" s="704" t="n">
        <v>3.28291904800196</v>
      </c>
      <c r="CH79" s="704" t="n">
        <v>3.28291904800196</v>
      </c>
      <c r="CI79" s="704" t="n">
        <v>3.28291904800196</v>
      </c>
      <c r="CJ79" s="704" t="n">
        <v>3.38140661944202</v>
      </c>
      <c r="CK79" s="704" t="n">
        <v>3.38140661944202</v>
      </c>
      <c r="CL79" s="704" t="n">
        <v>3.38140661944202</v>
      </c>
      <c r="CM79" s="704" t="n">
        <v>3.38140661944202</v>
      </c>
      <c r="CN79" s="704" t="n">
        <v>3.38140661944202</v>
      </c>
      <c r="CO79" s="704" t="n">
        <v>3.38140661944202</v>
      </c>
      <c r="CP79" s="704" t="n">
        <v>3.38140661944202</v>
      </c>
      <c r="CQ79" s="704" t="n">
        <v>3.38140661944202</v>
      </c>
      <c r="CR79" s="704" t="n">
        <v>3.38140661944202</v>
      </c>
      <c r="CS79" s="704" t="n">
        <v>3.38140661944202</v>
      </c>
      <c r="CT79" s="704" t="n">
        <v>3.38140661944202</v>
      </c>
      <c r="CU79" s="704" t="n">
        <v>3.38140661944202</v>
      </c>
      <c r="CV79" s="704" t="n">
        <v>3.48284881802528</v>
      </c>
      <c r="CW79" s="704" t="n">
        <v>3.48284881802528</v>
      </c>
      <c r="CX79" s="704" t="n">
        <v>3.48284881802528</v>
      </c>
      <c r="CY79" s="704" t="n">
        <v>3.48284881802528</v>
      </c>
      <c r="CZ79" s="704" t="n">
        <v>3.48284881802528</v>
      </c>
      <c r="DA79" s="704" t="n">
        <v>3.48284881802528</v>
      </c>
      <c r="DB79" s="704" t="n">
        <v>3.48284881802528</v>
      </c>
      <c r="DC79" s="704" t="n">
        <v>3.48284881802528</v>
      </c>
      <c r="DD79" s="704" t="n">
        <v>3.48284881802528</v>
      </c>
      <c r="DE79" s="704" t="n">
        <v>3.48284881802528</v>
      </c>
      <c r="DF79" s="704" t="n">
        <v>3.48284881802528</v>
      </c>
      <c r="DG79" s="704" t="n">
        <v>3.48284881802528</v>
      </c>
      <c r="DH79" s="704" t="n">
        <v>3.48284881802528</v>
      </c>
      <c r="DI79" s="704" t="n">
        <v>3.48284881802528</v>
      </c>
      <c r="DJ79" s="704" t="n">
        <v>3.48284881802528</v>
      </c>
      <c r="DK79" s="704" t="n">
        <v>3.48284881802528</v>
      </c>
      <c r="DL79" s="704" t="n">
        <v>3.48284881802528</v>
      </c>
      <c r="DM79" s="704" t="n">
        <v>3.48284881802528</v>
      </c>
    </row>
    <row r="80" ht="13.5" customHeight="1" s="355">
      <c r="B80" s="703" t="inlineStr">
        <is>
          <t>Reporting</t>
        </is>
      </c>
      <c r="D80" s="704" t="n">
        <v>0</v>
      </c>
      <c r="E80" s="704" t="n">
        <v>0</v>
      </c>
      <c r="F80" s="704" t="n">
        <v>0</v>
      </c>
      <c r="G80" s="704" t="n">
        <v>0</v>
      </c>
      <c r="H80" s="704" t="n">
        <v>0</v>
      </c>
      <c r="I80" s="704" t="n">
        <v>0</v>
      </c>
      <c r="J80" s="704" t="n">
        <v>0</v>
      </c>
      <c r="K80" s="704" t="n">
        <v>0</v>
      </c>
      <c r="L80" s="704" t="n">
        <v>0</v>
      </c>
      <c r="M80" s="704" t="n">
        <v>0</v>
      </c>
      <c r="N80" s="704" t="n">
        <v>0</v>
      </c>
      <c r="O80" s="704" t="n">
        <v>0</v>
      </c>
      <c r="P80" s="704" t="n">
        <v>0</v>
      </c>
      <c r="Q80" s="704" t="n">
        <v>0</v>
      </c>
      <c r="R80" s="704" t="n">
        <v>0</v>
      </c>
      <c r="S80" s="704" t="n">
        <v>0</v>
      </c>
      <c r="T80" s="704" t="n">
        <v>0</v>
      </c>
      <c r="U80" s="704" t="n">
        <v>0</v>
      </c>
      <c r="V80" s="704" t="n">
        <v>0</v>
      </c>
      <c r="W80" s="704" t="n">
        <v>0</v>
      </c>
      <c r="X80" s="704" t="n">
        <v>0</v>
      </c>
      <c r="Y80" s="704" t="n">
        <v>0</v>
      </c>
      <c r="Z80" s="704" t="n">
        <v>0</v>
      </c>
      <c r="AA80" s="704" t="n">
        <v>0</v>
      </c>
      <c r="AB80" s="704" t="n">
        <v>0</v>
      </c>
      <c r="AC80" s="704" t="n">
        <v>0</v>
      </c>
      <c r="AD80" s="704" t="n">
        <v>0</v>
      </c>
      <c r="AE80" s="704" t="n">
        <v>0</v>
      </c>
      <c r="AF80" s="704" t="n">
        <v>0</v>
      </c>
      <c r="AG80" s="704" t="n">
        <v>0</v>
      </c>
      <c r="AH80" s="704" t="n">
        <v>0</v>
      </c>
      <c r="AI80" s="704" t="n">
        <v>0</v>
      </c>
      <c r="AJ80" s="704" t="n">
        <v>0</v>
      </c>
      <c r="AK80" s="704" t="n">
        <v>0</v>
      </c>
      <c r="AL80" s="704" t="n">
        <v>0</v>
      </c>
      <c r="AM80" s="704" t="n">
        <v>0</v>
      </c>
      <c r="AN80" s="704" t="n">
        <v>0</v>
      </c>
      <c r="AO80" s="704" t="n">
        <v>0</v>
      </c>
      <c r="AP80" s="704" t="n">
        <v>0</v>
      </c>
      <c r="AQ80" s="704" t="n">
        <v>0</v>
      </c>
      <c r="AR80" s="704" t="n">
        <v>0</v>
      </c>
      <c r="AS80" s="704" t="n">
        <v>0</v>
      </c>
      <c r="AT80" s="704" t="n">
        <v>0</v>
      </c>
      <c r="AU80" s="704" t="n">
        <v>0</v>
      </c>
      <c r="AV80" s="704" t="n">
        <v>0</v>
      </c>
      <c r="AW80" s="704" t="n">
        <v>0</v>
      </c>
      <c r="AX80" s="704" t="n">
        <v>0</v>
      </c>
      <c r="AY80" s="704" t="n">
        <v>0</v>
      </c>
      <c r="AZ80" s="704" t="n">
        <v>0</v>
      </c>
      <c r="BA80" s="704" t="n">
        <v>0</v>
      </c>
      <c r="BB80" s="704" t="n">
        <v>0</v>
      </c>
      <c r="BC80" s="704" t="n">
        <v>0</v>
      </c>
      <c r="BD80" s="704" t="n">
        <v>0</v>
      </c>
      <c r="BE80" s="704" t="n">
        <v>0</v>
      </c>
      <c r="BF80" s="704" t="n">
        <v>0</v>
      </c>
      <c r="BG80" s="704" t="n">
        <v>0</v>
      </c>
      <c r="BH80" s="704" t="n">
        <v>0</v>
      </c>
      <c r="BI80" s="704" t="n">
        <v>0</v>
      </c>
      <c r="BJ80" s="704" t="n">
        <v>0</v>
      </c>
      <c r="BK80" s="704" t="n">
        <v>0</v>
      </c>
      <c r="BL80" s="704" t="n">
        <v>0</v>
      </c>
      <c r="BM80" s="704" t="n">
        <v>0</v>
      </c>
      <c r="BN80" s="704" t="n">
        <v>0</v>
      </c>
      <c r="BO80" s="704" t="n">
        <v>0</v>
      </c>
      <c r="BP80" s="704" t="n">
        <v>0</v>
      </c>
      <c r="BQ80" s="704" t="n">
        <v>0</v>
      </c>
      <c r="BR80" s="704" t="n">
        <v>0</v>
      </c>
      <c r="BS80" s="704" t="n">
        <v>0</v>
      </c>
      <c r="BT80" s="704" t="n">
        <v>0</v>
      </c>
      <c r="BU80" s="704" t="n">
        <v>0</v>
      </c>
      <c r="BV80" s="704" t="n">
        <v>0</v>
      </c>
      <c r="BW80" s="704" t="n">
        <v>0</v>
      </c>
      <c r="BX80" s="704" t="n">
        <v>0</v>
      </c>
      <c r="BY80" s="704" t="n">
        <v>0</v>
      </c>
      <c r="BZ80" s="704" t="n">
        <v>0</v>
      </c>
      <c r="CA80" s="704" t="n">
        <v>0</v>
      </c>
      <c r="CB80" s="704" t="n">
        <v>0</v>
      </c>
      <c r="CC80" s="704" t="n">
        <v>0</v>
      </c>
      <c r="CD80" s="704" t="n">
        <v>0</v>
      </c>
      <c r="CE80" s="704" t="n">
        <v>0</v>
      </c>
      <c r="CF80" s="704" t="n">
        <v>0</v>
      </c>
      <c r="CG80" s="704" t="n">
        <v>0</v>
      </c>
      <c r="CH80" s="704" t="n">
        <v>0</v>
      </c>
      <c r="CI80" s="704" t="n">
        <v>0</v>
      </c>
      <c r="CJ80" s="704" t="n">
        <v>0</v>
      </c>
      <c r="CK80" s="704" t="n">
        <v>0</v>
      </c>
      <c r="CL80" s="704" t="n">
        <v>0</v>
      </c>
      <c r="CM80" s="704" t="n">
        <v>0</v>
      </c>
      <c r="CN80" s="704" t="n">
        <v>0</v>
      </c>
      <c r="CO80" s="704" t="n">
        <v>0</v>
      </c>
      <c r="CP80" s="704" t="n">
        <v>0</v>
      </c>
      <c r="CQ80" s="704" t="n">
        <v>0</v>
      </c>
      <c r="CR80" s="704" t="n">
        <v>0</v>
      </c>
      <c r="CS80" s="704" t="n">
        <v>0</v>
      </c>
      <c r="CT80" s="704" t="n">
        <v>0</v>
      </c>
      <c r="CU80" s="704" t="n">
        <v>0</v>
      </c>
      <c r="CV80" s="704" t="n">
        <v>0</v>
      </c>
      <c r="CW80" s="704" t="n">
        <v>0</v>
      </c>
      <c r="CX80" s="704" t="n">
        <v>0</v>
      </c>
      <c r="CY80" s="704" t="n">
        <v>0</v>
      </c>
      <c r="CZ80" s="704" t="n">
        <v>0</v>
      </c>
      <c r="DA80" s="704" t="n">
        <v>0</v>
      </c>
      <c r="DB80" s="704" t="n">
        <v>0</v>
      </c>
      <c r="DC80" s="704" t="n">
        <v>0</v>
      </c>
      <c r="DD80" s="704" t="n">
        <v>0</v>
      </c>
      <c r="DE80" s="704" t="n">
        <v>0</v>
      </c>
      <c r="DF80" s="704" t="n">
        <v>0</v>
      </c>
      <c r="DG80" s="704" t="n">
        <v>0</v>
      </c>
      <c r="DH80" s="704" t="n">
        <v>0</v>
      </c>
      <c r="DI80" s="704" t="n">
        <v>0</v>
      </c>
      <c r="DJ80" s="704" t="n">
        <v>0</v>
      </c>
      <c r="DK80" s="704" t="n">
        <v>0</v>
      </c>
      <c r="DL80" s="704" t="n">
        <v>0</v>
      </c>
      <c r="DM80" s="704" t="n">
        <v>0</v>
      </c>
    </row>
    <row r="81" ht="13.5" customHeight="1" s="355">
      <c r="B81" s="703" t="inlineStr">
        <is>
          <t>Fixed Assets</t>
        </is>
      </c>
      <c r="D81" s="704" t="n">
        <v>0</v>
      </c>
      <c r="E81" s="704" t="n">
        <v>0</v>
      </c>
      <c r="F81" s="704" t="n">
        <v>0</v>
      </c>
      <c r="G81" s="704" t="n">
        <v>0</v>
      </c>
      <c r="H81" s="704" t="n">
        <v>0</v>
      </c>
      <c r="I81" s="704" t="n">
        <v>0</v>
      </c>
      <c r="J81" s="704" t="n">
        <v>0</v>
      </c>
      <c r="K81" s="704" t="n">
        <v>0</v>
      </c>
      <c r="L81" s="704" t="n">
        <v>0</v>
      </c>
      <c r="M81" s="704" t="n">
        <v>0</v>
      </c>
      <c r="N81" s="704" t="n">
        <v>0</v>
      </c>
      <c r="O81" s="704" t="n">
        <v>0</v>
      </c>
      <c r="P81" s="704" t="n">
        <v>0</v>
      </c>
      <c r="Q81" s="704" t="n">
        <v>0</v>
      </c>
      <c r="R81" s="704" t="n">
        <v>0</v>
      </c>
      <c r="S81" s="704" t="n">
        <v>0</v>
      </c>
      <c r="T81" s="704" t="n">
        <v>0</v>
      </c>
      <c r="U81" s="704" t="n">
        <v>0</v>
      </c>
      <c r="V81" s="704" t="n">
        <v>0</v>
      </c>
      <c r="W81" s="704" t="n">
        <v>0</v>
      </c>
      <c r="X81" s="704" t="n">
        <v>0</v>
      </c>
      <c r="Y81" s="704" t="n">
        <v>0</v>
      </c>
      <c r="Z81" s="704" t="n">
        <v>0</v>
      </c>
      <c r="AA81" s="704" t="n">
        <v>0</v>
      </c>
      <c r="AB81" s="704" t="n">
        <v>0</v>
      </c>
      <c r="AC81" s="704" t="n">
        <v>0</v>
      </c>
      <c r="AD81" s="704" t="n">
        <v>0</v>
      </c>
      <c r="AE81" s="704" t="n">
        <v>0</v>
      </c>
      <c r="AF81" s="704" t="n">
        <v>0</v>
      </c>
      <c r="AG81" s="704" t="n">
        <v>0</v>
      </c>
      <c r="AH81" s="704" t="n">
        <v>0</v>
      </c>
      <c r="AI81" s="704" t="n">
        <v>0</v>
      </c>
      <c r="AJ81" s="704" t="n">
        <v>0</v>
      </c>
      <c r="AK81" s="704" t="n">
        <v>0</v>
      </c>
      <c r="AL81" s="704" t="n">
        <v>0</v>
      </c>
      <c r="AM81" s="704" t="n">
        <v>0</v>
      </c>
      <c r="AN81" s="704" t="n">
        <v>0</v>
      </c>
      <c r="AO81" s="704" t="n">
        <v>0</v>
      </c>
      <c r="AP81" s="704" t="n">
        <v>0</v>
      </c>
      <c r="AQ81" s="704" t="n">
        <v>0</v>
      </c>
      <c r="AR81" s="704" t="n">
        <v>0</v>
      </c>
      <c r="AS81" s="704" t="n">
        <v>0</v>
      </c>
      <c r="AT81" s="704" t="n">
        <v>0</v>
      </c>
      <c r="AU81" s="704" t="n">
        <v>0</v>
      </c>
      <c r="AV81" s="704" t="n">
        <v>0</v>
      </c>
      <c r="AW81" s="704" t="n">
        <v>0</v>
      </c>
      <c r="AX81" s="704" t="n">
        <v>0</v>
      </c>
      <c r="AY81" s="704" t="n">
        <v>0</v>
      </c>
      <c r="AZ81" s="704" t="n">
        <v>0</v>
      </c>
      <c r="BA81" s="704" t="n">
        <v>0</v>
      </c>
      <c r="BB81" s="704" t="n">
        <v>0</v>
      </c>
      <c r="BC81" s="704" t="n">
        <v>0</v>
      </c>
      <c r="BD81" s="704" t="n">
        <v>0</v>
      </c>
      <c r="BE81" s="704" t="n">
        <v>0</v>
      </c>
      <c r="BF81" s="704" t="n">
        <v>0</v>
      </c>
      <c r="BG81" s="704" t="n">
        <v>0</v>
      </c>
      <c r="BH81" s="704" t="n">
        <v>0</v>
      </c>
      <c r="BI81" s="704" t="n">
        <v>0</v>
      </c>
      <c r="BJ81" s="704" t="n">
        <v>0</v>
      </c>
      <c r="BK81" s="704" t="n">
        <v>0</v>
      </c>
      <c r="BL81" s="704" t="n">
        <v>0</v>
      </c>
      <c r="BM81" s="704" t="n">
        <v>0</v>
      </c>
      <c r="BN81" s="704" t="n">
        <v>0</v>
      </c>
      <c r="BO81" s="704" t="n">
        <v>0</v>
      </c>
      <c r="BP81" s="704" t="n">
        <v>0</v>
      </c>
      <c r="BQ81" s="704" t="n">
        <v>0</v>
      </c>
      <c r="BR81" s="704" t="n">
        <v>0</v>
      </c>
      <c r="BS81" s="704" t="n">
        <v>0</v>
      </c>
      <c r="BT81" s="704" t="n">
        <v>0</v>
      </c>
      <c r="BU81" s="704" t="n">
        <v>0</v>
      </c>
      <c r="BV81" s="704" t="n">
        <v>0</v>
      </c>
      <c r="BW81" s="704" t="n">
        <v>0</v>
      </c>
      <c r="BX81" s="704" t="n">
        <v>0</v>
      </c>
      <c r="BY81" s="704" t="n">
        <v>0</v>
      </c>
      <c r="BZ81" s="704" t="n">
        <v>0</v>
      </c>
      <c r="CA81" s="704" t="n">
        <v>0</v>
      </c>
      <c r="CB81" s="704" t="n">
        <v>0</v>
      </c>
      <c r="CC81" s="704" t="n">
        <v>0</v>
      </c>
      <c r="CD81" s="704" t="n">
        <v>0</v>
      </c>
      <c r="CE81" s="704" t="n">
        <v>0</v>
      </c>
      <c r="CF81" s="704" t="n">
        <v>0</v>
      </c>
      <c r="CG81" s="704" t="n">
        <v>0</v>
      </c>
      <c r="CH81" s="704" t="n">
        <v>0</v>
      </c>
      <c r="CI81" s="704" t="n">
        <v>0</v>
      </c>
      <c r="CJ81" s="704" t="n">
        <v>0</v>
      </c>
      <c r="CK81" s="704" t="n">
        <v>0</v>
      </c>
      <c r="CL81" s="704" t="n">
        <v>0</v>
      </c>
      <c r="CM81" s="704" t="n">
        <v>0</v>
      </c>
      <c r="CN81" s="704" t="n">
        <v>0</v>
      </c>
      <c r="CO81" s="704" t="n">
        <v>0</v>
      </c>
      <c r="CP81" s="704" t="n">
        <v>0</v>
      </c>
      <c r="CQ81" s="704" t="n">
        <v>0</v>
      </c>
      <c r="CR81" s="704" t="n">
        <v>0</v>
      </c>
      <c r="CS81" s="704" t="n">
        <v>0</v>
      </c>
      <c r="CT81" s="704" t="n">
        <v>0</v>
      </c>
      <c r="CU81" s="704" t="n">
        <v>0</v>
      </c>
      <c r="CV81" s="704" t="n">
        <v>0</v>
      </c>
      <c r="CW81" s="704" t="n">
        <v>0</v>
      </c>
      <c r="CX81" s="704" t="n">
        <v>0</v>
      </c>
      <c r="CY81" s="704" t="n">
        <v>0</v>
      </c>
      <c r="CZ81" s="704" t="n">
        <v>0</v>
      </c>
      <c r="DA81" s="704" t="n">
        <v>0</v>
      </c>
      <c r="DB81" s="704" t="n">
        <v>0</v>
      </c>
      <c r="DC81" s="704" t="n">
        <v>0</v>
      </c>
      <c r="DD81" s="704" t="n">
        <v>0</v>
      </c>
      <c r="DE81" s="704" t="n">
        <v>0</v>
      </c>
      <c r="DF81" s="704" t="n">
        <v>0</v>
      </c>
      <c r="DG81" s="704" t="n">
        <v>0</v>
      </c>
      <c r="DH81" s="704" t="n">
        <v>0</v>
      </c>
      <c r="DI81" s="704" t="n">
        <v>0</v>
      </c>
      <c r="DJ81" s="704" t="n">
        <v>0</v>
      </c>
      <c r="DK81" s="704" t="n">
        <v>0</v>
      </c>
      <c r="DL81" s="704" t="n">
        <v>0</v>
      </c>
      <c r="DM81" s="704" t="n">
        <v>0</v>
      </c>
    </row>
    <row r="82" ht="13.5" customHeight="1" s="355">
      <c r="B82" s="703" t="inlineStr">
        <is>
          <t>Acct Payable</t>
        </is>
      </c>
      <c r="D82" s="704" t="n">
        <v>0</v>
      </c>
      <c r="E82" s="704" t="n">
        <v>0</v>
      </c>
      <c r="F82" s="704" t="n">
        <v>0</v>
      </c>
      <c r="G82" s="704" t="n">
        <v>0</v>
      </c>
      <c r="H82" s="704" t="n">
        <v>0</v>
      </c>
      <c r="I82" s="704" t="n">
        <v>0</v>
      </c>
      <c r="J82" s="704" t="n">
        <v>0</v>
      </c>
      <c r="K82" s="704" t="n">
        <v>0</v>
      </c>
      <c r="L82" s="704" t="n">
        <v>0</v>
      </c>
      <c r="M82" s="704" t="n">
        <v>0</v>
      </c>
      <c r="N82" s="704" t="n">
        <v>0</v>
      </c>
      <c r="O82" s="704" t="n">
        <v>0</v>
      </c>
      <c r="P82" s="704" t="n">
        <v>0</v>
      </c>
      <c r="Q82" s="704" t="n">
        <v>0</v>
      </c>
      <c r="R82" s="704" t="n">
        <v>0</v>
      </c>
      <c r="S82" s="704" t="n">
        <v>0</v>
      </c>
      <c r="T82" s="704" t="n">
        <v>0</v>
      </c>
      <c r="U82" s="704" t="n">
        <v>0</v>
      </c>
      <c r="V82" s="704" t="n">
        <v>0</v>
      </c>
      <c r="W82" s="704" t="n">
        <v>0</v>
      </c>
      <c r="X82" s="704" t="n">
        <v>0</v>
      </c>
      <c r="Y82" s="704" t="n">
        <v>0</v>
      </c>
      <c r="Z82" s="704" t="n">
        <v>0</v>
      </c>
      <c r="AA82" s="704" t="n">
        <v>0</v>
      </c>
      <c r="AB82" s="704" t="n">
        <v>0</v>
      </c>
      <c r="AC82" s="704" t="n">
        <v>0</v>
      </c>
      <c r="AD82" s="704" t="n">
        <v>0</v>
      </c>
      <c r="AE82" s="704" t="n">
        <v>0</v>
      </c>
      <c r="AF82" s="704" t="n">
        <v>0</v>
      </c>
      <c r="AG82" s="704" t="n">
        <v>0</v>
      </c>
      <c r="AH82" s="704" t="n">
        <v>0</v>
      </c>
      <c r="AI82" s="704" t="n">
        <v>0</v>
      </c>
      <c r="AJ82" s="704" t="n">
        <v>0</v>
      </c>
      <c r="AK82" s="704" t="n">
        <v>0</v>
      </c>
      <c r="AL82" s="704" t="n">
        <v>0</v>
      </c>
      <c r="AM82" s="704" t="n">
        <v>0</v>
      </c>
      <c r="AN82" s="704" t="n">
        <v>0</v>
      </c>
      <c r="AO82" s="704" t="n">
        <v>0</v>
      </c>
      <c r="AP82" s="704" t="n">
        <v>0</v>
      </c>
      <c r="AQ82" s="704" t="n">
        <v>0</v>
      </c>
      <c r="AR82" s="704" t="n">
        <v>0</v>
      </c>
      <c r="AS82" s="704" t="n">
        <v>0</v>
      </c>
      <c r="AT82" s="704" t="n">
        <v>0</v>
      </c>
      <c r="AU82" s="704" t="n">
        <v>0</v>
      </c>
      <c r="AV82" s="704" t="n">
        <v>0</v>
      </c>
      <c r="AW82" s="704" t="n">
        <v>0</v>
      </c>
      <c r="AX82" s="704" t="n">
        <v>0</v>
      </c>
      <c r="AY82" s="704" t="n">
        <v>0</v>
      </c>
      <c r="AZ82" s="704" t="n">
        <v>0</v>
      </c>
      <c r="BA82" s="704" t="n">
        <v>0</v>
      </c>
      <c r="BB82" s="704" t="n">
        <v>0</v>
      </c>
      <c r="BC82" s="704" t="n">
        <v>0</v>
      </c>
      <c r="BD82" s="704" t="n">
        <v>0</v>
      </c>
      <c r="BE82" s="704" t="n">
        <v>0</v>
      </c>
      <c r="BF82" s="704" t="n">
        <v>0</v>
      </c>
      <c r="BG82" s="704" t="n">
        <v>0</v>
      </c>
      <c r="BH82" s="704" t="n">
        <v>0</v>
      </c>
      <c r="BI82" s="704" t="n">
        <v>0</v>
      </c>
      <c r="BJ82" s="704" t="n">
        <v>0</v>
      </c>
      <c r="BK82" s="704" t="n">
        <v>0</v>
      </c>
      <c r="BL82" s="704" t="n">
        <v>0</v>
      </c>
      <c r="BM82" s="704" t="n">
        <v>0</v>
      </c>
      <c r="BN82" s="704" t="n">
        <v>0</v>
      </c>
      <c r="BO82" s="704" t="n">
        <v>0</v>
      </c>
      <c r="BP82" s="704" t="n">
        <v>0</v>
      </c>
      <c r="BQ82" s="704" t="n">
        <v>0</v>
      </c>
      <c r="BR82" s="704" t="n">
        <v>0</v>
      </c>
      <c r="BS82" s="704" t="n">
        <v>0</v>
      </c>
      <c r="BT82" s="704" t="n">
        <v>0</v>
      </c>
      <c r="BU82" s="704" t="n">
        <v>0</v>
      </c>
      <c r="BV82" s="704" t="n">
        <v>0</v>
      </c>
      <c r="BW82" s="704" t="n">
        <v>0</v>
      </c>
      <c r="BX82" s="704" t="n">
        <v>0</v>
      </c>
      <c r="BY82" s="704" t="n">
        <v>0</v>
      </c>
      <c r="BZ82" s="704" t="n">
        <v>0</v>
      </c>
      <c r="CA82" s="704" t="n">
        <v>0</v>
      </c>
      <c r="CB82" s="704" t="n">
        <v>0</v>
      </c>
      <c r="CC82" s="704" t="n">
        <v>0</v>
      </c>
      <c r="CD82" s="704" t="n">
        <v>0</v>
      </c>
      <c r="CE82" s="704" t="n">
        <v>0</v>
      </c>
      <c r="CF82" s="704" t="n">
        <v>0</v>
      </c>
      <c r="CG82" s="704" t="n">
        <v>0</v>
      </c>
      <c r="CH82" s="704" t="n">
        <v>0</v>
      </c>
      <c r="CI82" s="704" t="n">
        <v>0</v>
      </c>
      <c r="CJ82" s="704" t="n">
        <v>0</v>
      </c>
      <c r="CK82" s="704" t="n">
        <v>0</v>
      </c>
      <c r="CL82" s="704" t="n">
        <v>0</v>
      </c>
      <c r="CM82" s="704" t="n">
        <v>0</v>
      </c>
      <c r="CN82" s="704" t="n">
        <v>0</v>
      </c>
      <c r="CO82" s="704" t="n">
        <v>0</v>
      </c>
      <c r="CP82" s="704" t="n">
        <v>0</v>
      </c>
      <c r="CQ82" s="704" t="n">
        <v>0</v>
      </c>
      <c r="CR82" s="704" t="n">
        <v>0</v>
      </c>
      <c r="CS82" s="704" t="n">
        <v>0</v>
      </c>
      <c r="CT82" s="704" t="n">
        <v>0</v>
      </c>
      <c r="CU82" s="704" t="n">
        <v>0</v>
      </c>
      <c r="CV82" s="704" t="n">
        <v>0</v>
      </c>
      <c r="CW82" s="704" t="n">
        <v>0</v>
      </c>
      <c r="CX82" s="704" t="n">
        <v>0</v>
      </c>
      <c r="CY82" s="704" t="n">
        <v>0</v>
      </c>
      <c r="CZ82" s="704" t="n">
        <v>0</v>
      </c>
      <c r="DA82" s="704" t="n">
        <v>0</v>
      </c>
      <c r="DB82" s="704" t="n">
        <v>0</v>
      </c>
      <c r="DC82" s="704" t="n">
        <v>0</v>
      </c>
      <c r="DD82" s="704" t="n">
        <v>0</v>
      </c>
      <c r="DE82" s="704" t="n">
        <v>0</v>
      </c>
      <c r="DF82" s="704" t="n">
        <v>0</v>
      </c>
      <c r="DG82" s="704" t="n">
        <v>0</v>
      </c>
      <c r="DH82" s="704" t="n">
        <v>0</v>
      </c>
      <c r="DI82" s="704" t="n">
        <v>0</v>
      </c>
      <c r="DJ82" s="704" t="n">
        <v>0</v>
      </c>
      <c r="DK82" s="704" t="n">
        <v>0</v>
      </c>
      <c r="DL82" s="704" t="n">
        <v>0</v>
      </c>
      <c r="DM82" s="704" t="n">
        <v>0</v>
      </c>
    </row>
    <row r="83" ht="13.5" customHeight="1" s="355">
      <c r="B83" s="703" t="inlineStr">
        <is>
          <t>Cash&amp;Bank</t>
        </is>
      </c>
      <c r="D83" s="704" t="n">
        <v>0</v>
      </c>
      <c r="E83" s="704" t="n">
        <v>0</v>
      </c>
      <c r="F83" s="704" t="n">
        <v>0</v>
      </c>
      <c r="G83" s="704" t="n">
        <v>0</v>
      </c>
      <c r="H83" s="704" t="n">
        <v>0</v>
      </c>
      <c r="I83" s="704" t="n">
        <v>0</v>
      </c>
      <c r="J83" s="704" t="n">
        <v>0</v>
      </c>
      <c r="K83" s="704" t="n">
        <v>0</v>
      </c>
      <c r="L83" s="704" t="n">
        <v>0</v>
      </c>
      <c r="M83" s="704" t="n">
        <v>0</v>
      </c>
      <c r="N83" s="704" t="n">
        <v>0</v>
      </c>
      <c r="O83" s="704" t="n">
        <v>0</v>
      </c>
      <c r="P83" s="704" t="n">
        <v>0</v>
      </c>
      <c r="Q83" s="704" t="n">
        <v>0</v>
      </c>
      <c r="R83" s="704" t="n">
        <v>0</v>
      </c>
      <c r="S83" s="704" t="n">
        <v>0</v>
      </c>
      <c r="T83" s="704" t="n">
        <v>0</v>
      </c>
      <c r="U83" s="704" t="n">
        <v>0</v>
      </c>
      <c r="V83" s="704" t="n">
        <v>0</v>
      </c>
      <c r="W83" s="704" t="n">
        <v>0</v>
      </c>
      <c r="X83" s="704" t="n">
        <v>0</v>
      </c>
      <c r="Y83" s="704" t="n">
        <v>0</v>
      </c>
      <c r="Z83" s="704" t="n">
        <v>0</v>
      </c>
      <c r="AA83" s="704" t="n">
        <v>0</v>
      </c>
      <c r="AB83" s="704" t="n">
        <v>0</v>
      </c>
      <c r="AC83" s="704" t="n">
        <v>0</v>
      </c>
      <c r="AD83" s="704" t="n">
        <v>0</v>
      </c>
      <c r="AE83" s="704" t="n">
        <v>0</v>
      </c>
      <c r="AF83" s="704" t="n">
        <v>0</v>
      </c>
      <c r="AG83" s="704" t="n">
        <v>0</v>
      </c>
      <c r="AH83" s="704" t="n">
        <v>0</v>
      </c>
      <c r="AI83" s="704" t="n">
        <v>0</v>
      </c>
      <c r="AJ83" s="704" t="n">
        <v>0</v>
      </c>
      <c r="AK83" s="704" t="n">
        <v>0</v>
      </c>
      <c r="AL83" s="704" t="n">
        <v>0</v>
      </c>
      <c r="AM83" s="704" t="n">
        <v>0</v>
      </c>
      <c r="AN83" s="704" t="n">
        <v>0</v>
      </c>
      <c r="AO83" s="704" t="n">
        <v>0</v>
      </c>
      <c r="AP83" s="704" t="n">
        <v>0</v>
      </c>
      <c r="AQ83" s="704" t="n">
        <v>0</v>
      </c>
      <c r="AR83" s="704" t="n">
        <v>0</v>
      </c>
      <c r="AS83" s="704" t="n">
        <v>0</v>
      </c>
      <c r="AT83" s="704" t="n">
        <v>0</v>
      </c>
      <c r="AU83" s="704" t="n">
        <v>0</v>
      </c>
      <c r="AV83" s="704" t="n">
        <v>0</v>
      </c>
      <c r="AW83" s="704" t="n">
        <v>0</v>
      </c>
      <c r="AX83" s="704" t="n">
        <v>0</v>
      </c>
      <c r="AY83" s="704" t="n">
        <v>0</v>
      </c>
      <c r="AZ83" s="704" t="n">
        <v>0</v>
      </c>
      <c r="BA83" s="704" t="n">
        <v>0</v>
      </c>
      <c r="BB83" s="704" t="n">
        <v>0</v>
      </c>
      <c r="BC83" s="704" t="n">
        <v>0</v>
      </c>
      <c r="BD83" s="704" t="n">
        <v>0</v>
      </c>
      <c r="BE83" s="704" t="n">
        <v>0</v>
      </c>
      <c r="BF83" s="704" t="n">
        <v>0</v>
      </c>
      <c r="BG83" s="704" t="n">
        <v>0</v>
      </c>
      <c r="BH83" s="704" t="n">
        <v>0</v>
      </c>
      <c r="BI83" s="704" t="n">
        <v>0</v>
      </c>
      <c r="BJ83" s="704" t="n">
        <v>0</v>
      </c>
      <c r="BK83" s="704" t="n">
        <v>0</v>
      </c>
      <c r="BL83" s="704" t="n">
        <v>0</v>
      </c>
      <c r="BM83" s="704" t="n">
        <v>0</v>
      </c>
      <c r="BN83" s="704" t="n">
        <v>0</v>
      </c>
      <c r="BO83" s="704" t="n">
        <v>0</v>
      </c>
      <c r="BP83" s="704" t="n">
        <v>0</v>
      </c>
      <c r="BQ83" s="704" t="n">
        <v>0</v>
      </c>
      <c r="BR83" s="704" t="n">
        <v>0</v>
      </c>
      <c r="BS83" s="704" t="n">
        <v>0</v>
      </c>
      <c r="BT83" s="704" t="n">
        <v>0</v>
      </c>
      <c r="BU83" s="704" t="n">
        <v>0</v>
      </c>
      <c r="BV83" s="704" t="n">
        <v>0</v>
      </c>
      <c r="BW83" s="704" t="n">
        <v>0</v>
      </c>
      <c r="BX83" s="704" t="n">
        <v>0</v>
      </c>
      <c r="BY83" s="704" t="n">
        <v>0</v>
      </c>
      <c r="BZ83" s="704" t="n">
        <v>0</v>
      </c>
      <c r="CA83" s="704" t="n">
        <v>0</v>
      </c>
      <c r="CB83" s="704" t="n">
        <v>0</v>
      </c>
      <c r="CC83" s="704" t="n">
        <v>0</v>
      </c>
      <c r="CD83" s="704" t="n">
        <v>0</v>
      </c>
      <c r="CE83" s="704" t="n">
        <v>0</v>
      </c>
      <c r="CF83" s="704" t="n">
        <v>0</v>
      </c>
      <c r="CG83" s="704" t="n">
        <v>0</v>
      </c>
      <c r="CH83" s="704" t="n">
        <v>0</v>
      </c>
      <c r="CI83" s="704" t="n">
        <v>0</v>
      </c>
      <c r="CJ83" s="704" t="n">
        <v>0</v>
      </c>
      <c r="CK83" s="704" t="n">
        <v>0</v>
      </c>
      <c r="CL83" s="704" t="n">
        <v>0</v>
      </c>
      <c r="CM83" s="704" t="n">
        <v>0</v>
      </c>
      <c r="CN83" s="704" t="n">
        <v>0</v>
      </c>
      <c r="CO83" s="704" t="n">
        <v>0</v>
      </c>
      <c r="CP83" s="704" t="n">
        <v>0</v>
      </c>
      <c r="CQ83" s="704" t="n">
        <v>0</v>
      </c>
      <c r="CR83" s="704" t="n">
        <v>0</v>
      </c>
      <c r="CS83" s="704" t="n">
        <v>0</v>
      </c>
      <c r="CT83" s="704" t="n">
        <v>0</v>
      </c>
      <c r="CU83" s="704" t="n">
        <v>0</v>
      </c>
      <c r="CV83" s="704" t="n">
        <v>0</v>
      </c>
      <c r="CW83" s="704" t="n">
        <v>0</v>
      </c>
      <c r="CX83" s="704" t="n">
        <v>0</v>
      </c>
      <c r="CY83" s="704" t="n">
        <v>0</v>
      </c>
      <c r="CZ83" s="704" t="n">
        <v>0</v>
      </c>
      <c r="DA83" s="704" t="n">
        <v>0</v>
      </c>
      <c r="DB83" s="704" t="n">
        <v>0</v>
      </c>
      <c r="DC83" s="704" t="n">
        <v>0</v>
      </c>
      <c r="DD83" s="704" t="n">
        <v>0</v>
      </c>
      <c r="DE83" s="704" t="n">
        <v>0</v>
      </c>
      <c r="DF83" s="704" t="n">
        <v>0</v>
      </c>
      <c r="DG83" s="704" t="n">
        <v>0</v>
      </c>
      <c r="DH83" s="704" t="n">
        <v>0</v>
      </c>
      <c r="DI83" s="704" t="n">
        <v>0</v>
      </c>
      <c r="DJ83" s="704" t="n">
        <v>0</v>
      </c>
      <c r="DK83" s="704" t="n">
        <v>0</v>
      </c>
      <c r="DL83" s="704" t="n">
        <v>0</v>
      </c>
      <c r="DM83" s="704" t="n">
        <v>0</v>
      </c>
    </row>
    <row r="84" ht="13.5" customHeight="1" s="355">
      <c r="B84" s="703" t="inlineStr">
        <is>
          <t>T&amp;E</t>
        </is>
      </c>
      <c r="D84" s="704" t="n">
        <v>0</v>
      </c>
      <c r="E84" s="704" t="n">
        <v>0</v>
      </c>
      <c r="F84" s="704" t="n">
        <v>0</v>
      </c>
      <c r="G84" s="704" t="n">
        <v>0</v>
      </c>
      <c r="H84" s="704" t="n">
        <v>0</v>
      </c>
      <c r="I84" s="704" t="n">
        <v>0</v>
      </c>
      <c r="J84" s="704" t="n">
        <v>0</v>
      </c>
      <c r="K84" s="704" t="n">
        <v>0</v>
      </c>
      <c r="L84" s="704" t="n">
        <v>0</v>
      </c>
      <c r="M84" s="704" t="n">
        <v>0</v>
      </c>
      <c r="N84" s="704" t="n">
        <v>0</v>
      </c>
      <c r="O84" s="704" t="n">
        <v>0</v>
      </c>
      <c r="P84" s="704" t="n">
        <v>0</v>
      </c>
      <c r="Q84" s="704" t="n">
        <v>0</v>
      </c>
      <c r="R84" s="704" t="n">
        <v>0</v>
      </c>
      <c r="S84" s="704" t="n">
        <v>0</v>
      </c>
      <c r="T84" s="704" t="n">
        <v>0</v>
      </c>
      <c r="U84" s="704" t="n">
        <v>0</v>
      </c>
      <c r="V84" s="704" t="n">
        <v>0</v>
      </c>
      <c r="W84" s="704" t="n">
        <v>0</v>
      </c>
      <c r="X84" s="704" t="n">
        <v>0</v>
      </c>
      <c r="Y84" s="704" t="n">
        <v>0</v>
      </c>
      <c r="Z84" s="704" t="n">
        <v>0</v>
      </c>
      <c r="AA84" s="704" t="n">
        <v>0</v>
      </c>
      <c r="AB84" s="704" t="n">
        <v>0</v>
      </c>
      <c r="AC84" s="704" t="n">
        <v>0</v>
      </c>
      <c r="AD84" s="704" t="n">
        <v>0</v>
      </c>
      <c r="AE84" s="704" t="n">
        <v>0</v>
      </c>
      <c r="AF84" s="704" t="n">
        <v>0</v>
      </c>
      <c r="AG84" s="704" t="n">
        <v>0</v>
      </c>
      <c r="AH84" s="704" t="n">
        <v>0</v>
      </c>
      <c r="AI84" s="704" t="n">
        <v>0</v>
      </c>
      <c r="AJ84" s="704" t="n">
        <v>0</v>
      </c>
      <c r="AK84" s="704" t="n">
        <v>0</v>
      </c>
      <c r="AL84" s="704" t="n">
        <v>0</v>
      </c>
      <c r="AM84" s="704" t="n">
        <v>0</v>
      </c>
      <c r="AN84" s="704" t="n">
        <v>0</v>
      </c>
      <c r="AO84" s="704" t="n">
        <v>0</v>
      </c>
      <c r="AP84" s="704" t="n">
        <v>0</v>
      </c>
      <c r="AQ84" s="704" t="n">
        <v>0</v>
      </c>
      <c r="AR84" s="704" t="n">
        <v>0</v>
      </c>
      <c r="AS84" s="704" t="n">
        <v>0</v>
      </c>
      <c r="AT84" s="704" t="n">
        <v>0</v>
      </c>
      <c r="AU84" s="704" t="n">
        <v>0</v>
      </c>
      <c r="AV84" s="704" t="n">
        <v>0</v>
      </c>
      <c r="AW84" s="704" t="n">
        <v>0</v>
      </c>
      <c r="AX84" s="704" t="n">
        <v>0</v>
      </c>
      <c r="AY84" s="704" t="n">
        <v>0</v>
      </c>
      <c r="AZ84" s="704" t="n">
        <v>0</v>
      </c>
      <c r="BA84" s="704" t="n">
        <v>0</v>
      </c>
      <c r="BB84" s="704" t="n">
        <v>0</v>
      </c>
      <c r="BC84" s="704" t="n">
        <v>0</v>
      </c>
      <c r="BD84" s="704" t="n">
        <v>0</v>
      </c>
      <c r="BE84" s="704" t="n">
        <v>0</v>
      </c>
      <c r="BF84" s="704" t="n">
        <v>0</v>
      </c>
      <c r="BG84" s="704" t="n">
        <v>0</v>
      </c>
      <c r="BH84" s="704" t="n">
        <v>0</v>
      </c>
      <c r="BI84" s="704" t="n">
        <v>0</v>
      </c>
      <c r="BJ84" s="704" t="n">
        <v>0</v>
      </c>
      <c r="BK84" s="704" t="n">
        <v>0</v>
      </c>
      <c r="BL84" s="704" t="n">
        <v>0</v>
      </c>
      <c r="BM84" s="704" t="n">
        <v>0</v>
      </c>
      <c r="BN84" s="704" t="n">
        <v>0</v>
      </c>
      <c r="BO84" s="704" t="n">
        <v>0</v>
      </c>
      <c r="BP84" s="704" t="n">
        <v>0</v>
      </c>
      <c r="BQ84" s="704" t="n">
        <v>0</v>
      </c>
      <c r="BR84" s="704" t="n">
        <v>0</v>
      </c>
      <c r="BS84" s="704" t="n">
        <v>0</v>
      </c>
      <c r="BT84" s="704" t="n">
        <v>0</v>
      </c>
      <c r="BU84" s="704" t="n">
        <v>0</v>
      </c>
      <c r="BV84" s="704" t="n">
        <v>0</v>
      </c>
      <c r="BW84" s="704" t="n">
        <v>0</v>
      </c>
      <c r="BX84" s="704" t="n">
        <v>0</v>
      </c>
      <c r="BY84" s="704" t="n">
        <v>0</v>
      </c>
      <c r="BZ84" s="704" t="n">
        <v>0</v>
      </c>
      <c r="CA84" s="704" t="n">
        <v>0</v>
      </c>
      <c r="CB84" s="704" t="n">
        <v>0</v>
      </c>
      <c r="CC84" s="704" t="n">
        <v>0</v>
      </c>
      <c r="CD84" s="704" t="n">
        <v>0</v>
      </c>
      <c r="CE84" s="704" t="n">
        <v>0</v>
      </c>
      <c r="CF84" s="704" t="n">
        <v>0</v>
      </c>
      <c r="CG84" s="704" t="n">
        <v>0</v>
      </c>
      <c r="CH84" s="704" t="n">
        <v>0</v>
      </c>
      <c r="CI84" s="704" t="n">
        <v>0</v>
      </c>
      <c r="CJ84" s="704" t="n">
        <v>0</v>
      </c>
      <c r="CK84" s="704" t="n">
        <v>0</v>
      </c>
      <c r="CL84" s="704" t="n">
        <v>0</v>
      </c>
      <c r="CM84" s="704" t="n">
        <v>0</v>
      </c>
      <c r="CN84" s="704" t="n">
        <v>0</v>
      </c>
      <c r="CO84" s="704" t="n">
        <v>0</v>
      </c>
      <c r="CP84" s="704" t="n">
        <v>0</v>
      </c>
      <c r="CQ84" s="704" t="n">
        <v>0</v>
      </c>
      <c r="CR84" s="704" t="n">
        <v>0</v>
      </c>
      <c r="CS84" s="704" t="n">
        <v>0</v>
      </c>
      <c r="CT84" s="704" t="n">
        <v>0</v>
      </c>
      <c r="CU84" s="704" t="n">
        <v>0</v>
      </c>
      <c r="CV84" s="704" t="n">
        <v>0</v>
      </c>
      <c r="CW84" s="704" t="n">
        <v>0</v>
      </c>
      <c r="CX84" s="704" t="n">
        <v>0</v>
      </c>
      <c r="CY84" s="704" t="n">
        <v>0</v>
      </c>
      <c r="CZ84" s="704" t="n">
        <v>0</v>
      </c>
      <c r="DA84" s="704" t="n">
        <v>0</v>
      </c>
      <c r="DB84" s="704" t="n">
        <v>0</v>
      </c>
      <c r="DC84" s="704" t="n">
        <v>0</v>
      </c>
      <c r="DD84" s="704" t="n">
        <v>0</v>
      </c>
      <c r="DE84" s="704" t="n">
        <v>0</v>
      </c>
      <c r="DF84" s="704" t="n">
        <v>0</v>
      </c>
      <c r="DG84" s="704" t="n">
        <v>0</v>
      </c>
      <c r="DH84" s="704" t="n">
        <v>0</v>
      </c>
      <c r="DI84" s="704" t="n">
        <v>0</v>
      </c>
      <c r="DJ84" s="704" t="n">
        <v>0</v>
      </c>
      <c r="DK84" s="704" t="n">
        <v>0</v>
      </c>
      <c r="DL84" s="704" t="n">
        <v>0</v>
      </c>
      <c r="DM84" s="704" t="n">
        <v>0</v>
      </c>
    </row>
    <row r="85" ht="13.5" customHeight="1" s="355">
      <c r="B85" s="703" t="inlineStr">
        <is>
          <t>Order to Cash</t>
        </is>
      </c>
      <c r="D85" s="704" t="n">
        <v>0</v>
      </c>
      <c r="E85" s="704" t="n">
        <v>0</v>
      </c>
      <c r="F85" s="704" t="n">
        <v>0</v>
      </c>
      <c r="G85" s="704" t="n">
        <v>0</v>
      </c>
      <c r="H85" s="704" t="n">
        <v>0</v>
      </c>
      <c r="I85" s="704" t="n">
        <v>0</v>
      </c>
      <c r="J85" s="704" t="n">
        <v>0</v>
      </c>
      <c r="K85" s="704" t="n">
        <v>0</v>
      </c>
      <c r="L85" s="704" t="n">
        <v>0</v>
      </c>
      <c r="M85" s="704" t="n">
        <v>0</v>
      </c>
      <c r="N85" s="704" t="n">
        <v>0</v>
      </c>
      <c r="O85" s="704" t="n">
        <v>0</v>
      </c>
      <c r="P85" s="704" t="n">
        <v>0</v>
      </c>
      <c r="Q85" s="704" t="n">
        <v>0</v>
      </c>
      <c r="R85" s="704" t="n">
        <v>0</v>
      </c>
      <c r="S85" s="704" t="n">
        <v>0</v>
      </c>
      <c r="T85" s="704" t="n">
        <v>0</v>
      </c>
      <c r="U85" s="704" t="n">
        <v>0</v>
      </c>
      <c r="V85" s="704" t="n">
        <v>0</v>
      </c>
      <c r="W85" s="704" t="n">
        <v>0</v>
      </c>
      <c r="X85" s="704" t="n">
        <v>0</v>
      </c>
      <c r="Y85" s="704" t="n">
        <v>0</v>
      </c>
      <c r="Z85" s="704" t="n">
        <v>0</v>
      </c>
      <c r="AA85" s="704" t="n">
        <v>0</v>
      </c>
      <c r="AB85" s="704" t="n">
        <v>0</v>
      </c>
      <c r="AC85" s="704" t="n">
        <v>0</v>
      </c>
      <c r="AD85" s="704" t="n">
        <v>0</v>
      </c>
      <c r="AE85" s="704" t="n">
        <v>0</v>
      </c>
      <c r="AF85" s="704" t="n">
        <v>0</v>
      </c>
      <c r="AG85" s="704" t="n">
        <v>0</v>
      </c>
      <c r="AH85" s="704" t="n">
        <v>0</v>
      </c>
      <c r="AI85" s="704" t="n">
        <v>0</v>
      </c>
      <c r="AJ85" s="704" t="n">
        <v>0</v>
      </c>
      <c r="AK85" s="704" t="n">
        <v>0</v>
      </c>
      <c r="AL85" s="704" t="n">
        <v>0</v>
      </c>
      <c r="AM85" s="704" t="n">
        <v>0</v>
      </c>
      <c r="AN85" s="704" t="n">
        <v>0</v>
      </c>
      <c r="AO85" s="704" t="n">
        <v>0</v>
      </c>
      <c r="AP85" s="704" t="n">
        <v>0</v>
      </c>
      <c r="AQ85" s="704" t="n">
        <v>0</v>
      </c>
      <c r="AR85" s="704" t="n">
        <v>0</v>
      </c>
      <c r="AS85" s="704" t="n">
        <v>0</v>
      </c>
      <c r="AT85" s="704" t="n">
        <v>0</v>
      </c>
      <c r="AU85" s="704" t="n">
        <v>0</v>
      </c>
      <c r="AV85" s="704" t="n">
        <v>0</v>
      </c>
      <c r="AW85" s="704" t="n">
        <v>0</v>
      </c>
      <c r="AX85" s="704" t="n">
        <v>0</v>
      </c>
      <c r="AY85" s="704" t="n">
        <v>0</v>
      </c>
      <c r="AZ85" s="704" t="n">
        <v>0</v>
      </c>
      <c r="BA85" s="704" t="n">
        <v>0</v>
      </c>
      <c r="BB85" s="704" t="n">
        <v>0</v>
      </c>
      <c r="BC85" s="704" t="n">
        <v>0</v>
      </c>
      <c r="BD85" s="704" t="n">
        <v>0</v>
      </c>
      <c r="BE85" s="704" t="n">
        <v>0</v>
      </c>
      <c r="BF85" s="704" t="n">
        <v>0</v>
      </c>
      <c r="BG85" s="704" t="n">
        <v>0</v>
      </c>
      <c r="BH85" s="704" t="n">
        <v>0</v>
      </c>
      <c r="BI85" s="704" t="n">
        <v>0</v>
      </c>
      <c r="BJ85" s="704" t="n">
        <v>0</v>
      </c>
      <c r="BK85" s="704" t="n">
        <v>0</v>
      </c>
      <c r="BL85" s="704" t="n">
        <v>0</v>
      </c>
      <c r="BM85" s="704" t="n">
        <v>0</v>
      </c>
      <c r="BN85" s="704" t="n">
        <v>0</v>
      </c>
      <c r="BO85" s="704" t="n">
        <v>0</v>
      </c>
      <c r="BP85" s="704" t="n">
        <v>0</v>
      </c>
      <c r="BQ85" s="704" t="n">
        <v>0</v>
      </c>
      <c r="BR85" s="704" t="n">
        <v>0</v>
      </c>
      <c r="BS85" s="704" t="n">
        <v>0</v>
      </c>
      <c r="BT85" s="704" t="n">
        <v>0</v>
      </c>
      <c r="BU85" s="704" t="n">
        <v>0</v>
      </c>
      <c r="BV85" s="704" t="n">
        <v>0</v>
      </c>
      <c r="BW85" s="704" t="n">
        <v>0</v>
      </c>
      <c r="BX85" s="704" t="n">
        <v>0</v>
      </c>
      <c r="BY85" s="704" t="n">
        <v>0</v>
      </c>
      <c r="BZ85" s="704" t="n">
        <v>0</v>
      </c>
      <c r="CA85" s="704" t="n">
        <v>0</v>
      </c>
      <c r="CB85" s="704" t="n">
        <v>0</v>
      </c>
      <c r="CC85" s="704" t="n">
        <v>0</v>
      </c>
      <c r="CD85" s="704" t="n">
        <v>0</v>
      </c>
      <c r="CE85" s="704" t="n">
        <v>0</v>
      </c>
      <c r="CF85" s="704" t="n">
        <v>0</v>
      </c>
      <c r="CG85" s="704" t="n">
        <v>0</v>
      </c>
      <c r="CH85" s="704" t="n">
        <v>0</v>
      </c>
      <c r="CI85" s="704" t="n">
        <v>0</v>
      </c>
      <c r="CJ85" s="704" t="n">
        <v>0</v>
      </c>
      <c r="CK85" s="704" t="n">
        <v>0</v>
      </c>
      <c r="CL85" s="704" t="n">
        <v>0</v>
      </c>
      <c r="CM85" s="704" t="n">
        <v>0</v>
      </c>
      <c r="CN85" s="704" t="n">
        <v>0</v>
      </c>
      <c r="CO85" s="704" t="n">
        <v>0</v>
      </c>
      <c r="CP85" s="704" t="n">
        <v>0</v>
      </c>
      <c r="CQ85" s="704" t="n">
        <v>0</v>
      </c>
      <c r="CR85" s="704" t="n">
        <v>0</v>
      </c>
      <c r="CS85" s="704" t="n">
        <v>0</v>
      </c>
      <c r="CT85" s="704" t="n">
        <v>0</v>
      </c>
      <c r="CU85" s="704" t="n">
        <v>0</v>
      </c>
      <c r="CV85" s="704" t="n">
        <v>0</v>
      </c>
      <c r="CW85" s="704" t="n">
        <v>0</v>
      </c>
      <c r="CX85" s="704" t="n">
        <v>0</v>
      </c>
      <c r="CY85" s="704" t="n">
        <v>0</v>
      </c>
      <c r="CZ85" s="704" t="n">
        <v>0</v>
      </c>
      <c r="DA85" s="704" t="n">
        <v>0</v>
      </c>
      <c r="DB85" s="704" t="n">
        <v>0</v>
      </c>
      <c r="DC85" s="704" t="n">
        <v>0</v>
      </c>
      <c r="DD85" s="704" t="n">
        <v>0</v>
      </c>
      <c r="DE85" s="704" t="n">
        <v>0</v>
      </c>
      <c r="DF85" s="704" t="n">
        <v>0</v>
      </c>
      <c r="DG85" s="704" t="n">
        <v>0</v>
      </c>
      <c r="DH85" s="704" t="n">
        <v>0</v>
      </c>
      <c r="DI85" s="704" t="n">
        <v>0</v>
      </c>
      <c r="DJ85" s="704" t="n">
        <v>0</v>
      </c>
      <c r="DK85" s="704" t="n">
        <v>0</v>
      </c>
      <c r="DL85" s="704" t="n">
        <v>0</v>
      </c>
      <c r="DM85" s="704" t="n">
        <v>0</v>
      </c>
    </row>
    <row r="86" ht="13.5" customHeight="1" s="355">
      <c r="B86" s="703" t="inlineStr">
        <is>
          <t>Req to Pay</t>
        </is>
      </c>
      <c r="D86" s="704" t="n">
        <v>0</v>
      </c>
      <c r="E86" s="704" t="n">
        <v>0</v>
      </c>
      <c r="F86" s="704" t="n">
        <v>0</v>
      </c>
      <c r="G86" s="704" t="n">
        <v>0</v>
      </c>
      <c r="H86" s="704" t="n">
        <v>0</v>
      </c>
      <c r="I86" s="704" t="n">
        <v>0</v>
      </c>
      <c r="J86" s="704" t="n">
        <v>0</v>
      </c>
      <c r="K86" s="704" t="n">
        <v>0</v>
      </c>
      <c r="L86" s="704" t="n">
        <v>0</v>
      </c>
      <c r="M86" s="704" t="n">
        <v>0</v>
      </c>
      <c r="N86" s="704" t="n">
        <v>0</v>
      </c>
      <c r="O86" s="704" t="n">
        <v>0</v>
      </c>
      <c r="P86" s="704" t="n">
        <v>0</v>
      </c>
      <c r="Q86" s="704" t="n">
        <v>0</v>
      </c>
      <c r="R86" s="704" t="n">
        <v>0</v>
      </c>
      <c r="S86" s="704" t="n">
        <v>0</v>
      </c>
      <c r="T86" s="704" t="n">
        <v>0</v>
      </c>
      <c r="U86" s="704" t="n">
        <v>0</v>
      </c>
      <c r="V86" s="704" t="n">
        <v>0</v>
      </c>
      <c r="W86" s="704" t="n">
        <v>0</v>
      </c>
      <c r="X86" s="704" t="n">
        <v>0</v>
      </c>
      <c r="Y86" s="704" t="n">
        <v>0</v>
      </c>
      <c r="Z86" s="704" t="n">
        <v>0</v>
      </c>
      <c r="AA86" s="704" t="n">
        <v>0</v>
      </c>
      <c r="AB86" s="704" t="n">
        <v>0</v>
      </c>
      <c r="AC86" s="704" t="n">
        <v>0</v>
      </c>
      <c r="AD86" s="704" t="n">
        <v>0</v>
      </c>
      <c r="AE86" s="704" t="n">
        <v>0</v>
      </c>
      <c r="AF86" s="704" t="n">
        <v>0</v>
      </c>
      <c r="AG86" s="704" t="n">
        <v>0</v>
      </c>
      <c r="AH86" s="704" t="n">
        <v>0</v>
      </c>
      <c r="AI86" s="704" t="n">
        <v>0</v>
      </c>
      <c r="AJ86" s="704" t="n">
        <v>0</v>
      </c>
      <c r="AK86" s="704" t="n">
        <v>0</v>
      </c>
      <c r="AL86" s="704" t="n">
        <v>0</v>
      </c>
      <c r="AM86" s="704" t="n">
        <v>0</v>
      </c>
      <c r="AN86" s="704" t="n">
        <v>0</v>
      </c>
      <c r="AO86" s="704" t="n">
        <v>0</v>
      </c>
      <c r="AP86" s="704" t="n">
        <v>0</v>
      </c>
      <c r="AQ86" s="704" t="n">
        <v>0</v>
      </c>
      <c r="AR86" s="704" t="n">
        <v>0</v>
      </c>
      <c r="AS86" s="704" t="n">
        <v>0</v>
      </c>
      <c r="AT86" s="704" t="n">
        <v>0</v>
      </c>
      <c r="AU86" s="704" t="n">
        <v>0</v>
      </c>
      <c r="AV86" s="704" t="n">
        <v>0</v>
      </c>
      <c r="AW86" s="704" t="n">
        <v>0</v>
      </c>
      <c r="AX86" s="704" t="n">
        <v>0</v>
      </c>
      <c r="AY86" s="704" t="n">
        <v>0</v>
      </c>
      <c r="AZ86" s="704" t="n">
        <v>0</v>
      </c>
      <c r="BA86" s="704" t="n">
        <v>0</v>
      </c>
      <c r="BB86" s="704" t="n">
        <v>0</v>
      </c>
      <c r="BC86" s="704" t="n">
        <v>0</v>
      </c>
      <c r="BD86" s="704" t="n">
        <v>0</v>
      </c>
      <c r="BE86" s="704" t="n">
        <v>0</v>
      </c>
      <c r="BF86" s="704" t="n">
        <v>0</v>
      </c>
      <c r="BG86" s="704" t="n">
        <v>0</v>
      </c>
      <c r="BH86" s="704" t="n">
        <v>0</v>
      </c>
      <c r="BI86" s="704" t="n">
        <v>0</v>
      </c>
      <c r="BJ86" s="704" t="n">
        <v>0</v>
      </c>
      <c r="BK86" s="704" t="n">
        <v>0</v>
      </c>
      <c r="BL86" s="704" t="n">
        <v>0</v>
      </c>
      <c r="BM86" s="704" t="n">
        <v>0</v>
      </c>
      <c r="BN86" s="704" t="n">
        <v>0</v>
      </c>
      <c r="BO86" s="704" t="n">
        <v>0</v>
      </c>
      <c r="BP86" s="704" t="n">
        <v>0</v>
      </c>
      <c r="BQ86" s="704" t="n">
        <v>0</v>
      </c>
      <c r="BR86" s="704" t="n">
        <v>0</v>
      </c>
      <c r="BS86" s="704" t="n">
        <v>0</v>
      </c>
      <c r="BT86" s="704" t="n">
        <v>0</v>
      </c>
      <c r="BU86" s="704" t="n">
        <v>0</v>
      </c>
      <c r="BV86" s="704" t="n">
        <v>0</v>
      </c>
      <c r="BW86" s="704" t="n">
        <v>0</v>
      </c>
      <c r="BX86" s="704" t="n">
        <v>0</v>
      </c>
      <c r="BY86" s="704" t="n">
        <v>0</v>
      </c>
      <c r="BZ86" s="704" t="n">
        <v>0</v>
      </c>
      <c r="CA86" s="704" t="n">
        <v>0</v>
      </c>
      <c r="CB86" s="704" t="n">
        <v>0</v>
      </c>
      <c r="CC86" s="704" t="n">
        <v>0</v>
      </c>
      <c r="CD86" s="704" t="n">
        <v>0</v>
      </c>
      <c r="CE86" s="704" t="n">
        <v>0</v>
      </c>
      <c r="CF86" s="704" t="n">
        <v>0</v>
      </c>
      <c r="CG86" s="704" t="n">
        <v>0</v>
      </c>
      <c r="CH86" s="704" t="n">
        <v>0</v>
      </c>
      <c r="CI86" s="704" t="n">
        <v>0</v>
      </c>
      <c r="CJ86" s="704" t="n">
        <v>0</v>
      </c>
      <c r="CK86" s="704" t="n">
        <v>0</v>
      </c>
      <c r="CL86" s="704" t="n">
        <v>0</v>
      </c>
      <c r="CM86" s="704" t="n">
        <v>0</v>
      </c>
      <c r="CN86" s="704" t="n">
        <v>0</v>
      </c>
      <c r="CO86" s="704" t="n">
        <v>0</v>
      </c>
      <c r="CP86" s="704" t="n">
        <v>0</v>
      </c>
      <c r="CQ86" s="704" t="n">
        <v>0</v>
      </c>
      <c r="CR86" s="704" t="n">
        <v>0</v>
      </c>
      <c r="CS86" s="704" t="n">
        <v>0</v>
      </c>
      <c r="CT86" s="704" t="n">
        <v>0</v>
      </c>
      <c r="CU86" s="704" t="n">
        <v>0</v>
      </c>
      <c r="CV86" s="704" t="n">
        <v>0</v>
      </c>
      <c r="CW86" s="704" t="n">
        <v>0</v>
      </c>
      <c r="CX86" s="704" t="n">
        <v>0</v>
      </c>
      <c r="CY86" s="704" t="n">
        <v>0</v>
      </c>
      <c r="CZ86" s="704" t="n">
        <v>0</v>
      </c>
      <c r="DA86" s="704" t="n">
        <v>0</v>
      </c>
      <c r="DB86" s="704" t="n">
        <v>0</v>
      </c>
      <c r="DC86" s="704" t="n">
        <v>0</v>
      </c>
      <c r="DD86" s="704" t="n">
        <v>0</v>
      </c>
      <c r="DE86" s="704" t="n">
        <v>0</v>
      </c>
      <c r="DF86" s="704" t="n">
        <v>0</v>
      </c>
      <c r="DG86" s="704" t="n">
        <v>0</v>
      </c>
      <c r="DH86" s="704" t="n">
        <v>0</v>
      </c>
      <c r="DI86" s="704" t="n">
        <v>0</v>
      </c>
      <c r="DJ86" s="704" t="n">
        <v>0</v>
      </c>
      <c r="DK86" s="704" t="n">
        <v>0</v>
      </c>
      <c r="DL86" s="704" t="n">
        <v>0</v>
      </c>
      <c r="DM86" s="704" t="n">
        <v>0</v>
      </c>
    </row>
    <row r="87" ht="13.5" customHeight="1" s="355">
      <c r="B87" s="703" t="inlineStr">
        <is>
          <t>Team Leader</t>
        </is>
      </c>
      <c r="D87" s="704" t="n">
        <v>0</v>
      </c>
      <c r="E87" s="704" t="n">
        <v>0</v>
      </c>
      <c r="F87" s="704" t="n">
        <v>0</v>
      </c>
      <c r="G87" s="704" t="n">
        <v>0</v>
      </c>
      <c r="H87" s="704" t="n">
        <v>0</v>
      </c>
      <c r="I87" s="704" t="n">
        <v>0</v>
      </c>
      <c r="J87" s="704" t="n">
        <v>0</v>
      </c>
      <c r="K87" s="704" t="n">
        <v>0</v>
      </c>
      <c r="L87" s="704" t="n">
        <v>0</v>
      </c>
      <c r="M87" s="704" t="n">
        <v>0</v>
      </c>
      <c r="N87" s="704" t="n">
        <v>0</v>
      </c>
      <c r="O87" s="704" t="n">
        <v>0</v>
      </c>
      <c r="P87" s="704" t="n">
        <v>0</v>
      </c>
      <c r="Q87" s="704" t="n">
        <v>0</v>
      </c>
      <c r="R87" s="704" t="n">
        <v>0</v>
      </c>
      <c r="S87" s="704" t="n">
        <v>0</v>
      </c>
      <c r="T87" s="704" t="n">
        <v>0</v>
      </c>
      <c r="U87" s="704" t="n">
        <v>0</v>
      </c>
      <c r="V87" s="704" t="n">
        <v>0</v>
      </c>
      <c r="W87" s="704" t="n">
        <v>0</v>
      </c>
      <c r="X87" s="704" t="n">
        <v>0</v>
      </c>
      <c r="Y87" s="704" t="n">
        <v>0</v>
      </c>
      <c r="Z87" s="704" t="n">
        <v>0</v>
      </c>
      <c r="AA87" s="704" t="n">
        <v>0</v>
      </c>
      <c r="AB87" s="704" t="n">
        <v>0</v>
      </c>
      <c r="AC87" s="704" t="n">
        <v>0</v>
      </c>
      <c r="AD87" s="704" t="n">
        <v>0</v>
      </c>
      <c r="AE87" s="704" t="n">
        <v>0</v>
      </c>
      <c r="AF87" s="704" t="n">
        <v>0</v>
      </c>
      <c r="AG87" s="704" t="n">
        <v>0</v>
      </c>
      <c r="AH87" s="704" t="n">
        <v>0</v>
      </c>
      <c r="AI87" s="704" t="n">
        <v>0</v>
      </c>
      <c r="AJ87" s="704" t="n">
        <v>0</v>
      </c>
      <c r="AK87" s="704" t="n">
        <v>0</v>
      </c>
      <c r="AL87" s="704" t="n">
        <v>0</v>
      </c>
      <c r="AM87" s="704" t="n">
        <v>0</v>
      </c>
      <c r="AN87" s="704" t="n">
        <v>0</v>
      </c>
      <c r="AO87" s="704" t="n">
        <v>0</v>
      </c>
      <c r="AP87" s="704" t="n">
        <v>0</v>
      </c>
      <c r="AQ87" s="704" t="n">
        <v>0</v>
      </c>
      <c r="AR87" s="704" t="n">
        <v>0</v>
      </c>
      <c r="AS87" s="704" t="n">
        <v>0</v>
      </c>
      <c r="AT87" s="704" t="n">
        <v>0</v>
      </c>
      <c r="AU87" s="704" t="n">
        <v>0</v>
      </c>
      <c r="AV87" s="704" t="n">
        <v>0</v>
      </c>
      <c r="AW87" s="704" t="n">
        <v>0</v>
      </c>
      <c r="AX87" s="704" t="n">
        <v>0</v>
      </c>
      <c r="AY87" s="704" t="n">
        <v>0</v>
      </c>
      <c r="AZ87" s="704" t="n">
        <v>0</v>
      </c>
      <c r="BA87" s="704" t="n">
        <v>0</v>
      </c>
      <c r="BB87" s="704" t="n">
        <v>0</v>
      </c>
      <c r="BC87" s="704" t="n">
        <v>0</v>
      </c>
      <c r="BD87" s="704" t="n">
        <v>0</v>
      </c>
      <c r="BE87" s="704" t="n">
        <v>0</v>
      </c>
      <c r="BF87" s="704" t="n">
        <v>0</v>
      </c>
      <c r="BG87" s="704" t="n">
        <v>0</v>
      </c>
      <c r="BH87" s="704" t="n">
        <v>0</v>
      </c>
      <c r="BI87" s="704" t="n">
        <v>0</v>
      </c>
      <c r="BJ87" s="704" t="n">
        <v>0</v>
      </c>
      <c r="BK87" s="704" t="n">
        <v>0</v>
      </c>
      <c r="BL87" s="704" t="n">
        <v>0</v>
      </c>
      <c r="BM87" s="704" t="n">
        <v>0</v>
      </c>
      <c r="BN87" s="704" t="n">
        <v>0</v>
      </c>
      <c r="BO87" s="704" t="n">
        <v>0</v>
      </c>
      <c r="BP87" s="704" t="n">
        <v>0</v>
      </c>
      <c r="BQ87" s="704" t="n">
        <v>0</v>
      </c>
      <c r="BR87" s="704" t="n">
        <v>0</v>
      </c>
      <c r="BS87" s="704" t="n">
        <v>0</v>
      </c>
      <c r="BT87" s="704" t="n">
        <v>0</v>
      </c>
      <c r="BU87" s="704" t="n">
        <v>0</v>
      </c>
      <c r="BV87" s="704" t="n">
        <v>0</v>
      </c>
      <c r="BW87" s="704" t="n">
        <v>0</v>
      </c>
      <c r="BX87" s="704" t="n">
        <v>0</v>
      </c>
      <c r="BY87" s="704" t="n">
        <v>0</v>
      </c>
      <c r="BZ87" s="704" t="n">
        <v>0</v>
      </c>
      <c r="CA87" s="704" t="n">
        <v>0</v>
      </c>
      <c r="CB87" s="704" t="n">
        <v>0</v>
      </c>
      <c r="CC87" s="704" t="n">
        <v>0</v>
      </c>
      <c r="CD87" s="704" t="n">
        <v>0</v>
      </c>
      <c r="CE87" s="704" t="n">
        <v>0</v>
      </c>
      <c r="CF87" s="704" t="n">
        <v>0</v>
      </c>
      <c r="CG87" s="704" t="n">
        <v>0</v>
      </c>
      <c r="CH87" s="704" t="n">
        <v>0</v>
      </c>
      <c r="CI87" s="704" t="n">
        <v>0</v>
      </c>
      <c r="CJ87" s="704" t="n">
        <v>0</v>
      </c>
      <c r="CK87" s="704" t="n">
        <v>0</v>
      </c>
      <c r="CL87" s="704" t="n">
        <v>0</v>
      </c>
      <c r="CM87" s="704" t="n">
        <v>0</v>
      </c>
      <c r="CN87" s="704" t="n">
        <v>0</v>
      </c>
      <c r="CO87" s="704" t="n">
        <v>0</v>
      </c>
      <c r="CP87" s="704" t="n">
        <v>0</v>
      </c>
      <c r="CQ87" s="704" t="n">
        <v>0</v>
      </c>
      <c r="CR87" s="704" t="n">
        <v>0</v>
      </c>
      <c r="CS87" s="704" t="n">
        <v>0</v>
      </c>
      <c r="CT87" s="704" t="n">
        <v>0</v>
      </c>
      <c r="CU87" s="704" t="n">
        <v>0</v>
      </c>
      <c r="CV87" s="704" t="n">
        <v>0</v>
      </c>
      <c r="CW87" s="704" t="n">
        <v>0</v>
      </c>
      <c r="CX87" s="704" t="n">
        <v>0</v>
      </c>
      <c r="CY87" s="704" t="n">
        <v>0</v>
      </c>
      <c r="CZ87" s="704" t="n">
        <v>0</v>
      </c>
      <c r="DA87" s="704" t="n">
        <v>0</v>
      </c>
      <c r="DB87" s="704" t="n">
        <v>0</v>
      </c>
      <c r="DC87" s="704" t="n">
        <v>0</v>
      </c>
      <c r="DD87" s="704" t="n">
        <v>0</v>
      </c>
      <c r="DE87" s="704" t="n">
        <v>0</v>
      </c>
      <c r="DF87" s="704" t="n">
        <v>0</v>
      </c>
      <c r="DG87" s="704" t="n">
        <v>0</v>
      </c>
      <c r="DH87" s="704" t="n">
        <v>0</v>
      </c>
      <c r="DI87" s="704" t="n">
        <v>0</v>
      </c>
      <c r="DJ87" s="704" t="n">
        <v>0</v>
      </c>
      <c r="DK87" s="704" t="n">
        <v>0</v>
      </c>
      <c r="DL87" s="704" t="n">
        <v>0</v>
      </c>
      <c r="DM87" s="704" t="n">
        <v>0</v>
      </c>
    </row>
    <row r="88" ht="13.5" customHeight="1" s="355">
      <c r="B88" s="703" t="inlineStr">
        <is>
          <t>SLA Metric Reporting</t>
        </is>
      </c>
      <c r="D88" s="704" t="n">
        <v>0</v>
      </c>
      <c r="E88" s="704" t="n">
        <v>0</v>
      </c>
      <c r="F88" s="704" t="n">
        <v>0</v>
      </c>
      <c r="G88" s="704" t="n">
        <v>0</v>
      </c>
      <c r="H88" s="704" t="n">
        <v>0</v>
      </c>
      <c r="I88" s="704" t="n">
        <v>0</v>
      </c>
      <c r="J88" s="704" t="n">
        <v>0</v>
      </c>
      <c r="K88" s="704" t="n">
        <v>0</v>
      </c>
      <c r="L88" s="704" t="n">
        <v>0</v>
      </c>
      <c r="M88" s="704" t="n">
        <v>0</v>
      </c>
      <c r="N88" s="704" t="n">
        <v>0</v>
      </c>
      <c r="O88" s="704" t="n">
        <v>0</v>
      </c>
      <c r="P88" s="704" t="n">
        <v>0</v>
      </c>
      <c r="Q88" s="704" t="n">
        <v>0</v>
      </c>
      <c r="R88" s="704" t="n">
        <v>0</v>
      </c>
      <c r="S88" s="704" t="n">
        <v>0</v>
      </c>
      <c r="T88" s="704" t="n">
        <v>0</v>
      </c>
      <c r="U88" s="704" t="n">
        <v>0</v>
      </c>
      <c r="V88" s="704" t="n">
        <v>0</v>
      </c>
      <c r="W88" s="704" t="n">
        <v>0</v>
      </c>
      <c r="X88" s="704" t="n">
        <v>0</v>
      </c>
      <c r="Y88" s="704" t="n">
        <v>0</v>
      </c>
      <c r="Z88" s="704" t="n">
        <v>0</v>
      </c>
      <c r="AA88" s="704" t="n">
        <v>0</v>
      </c>
      <c r="AB88" s="704" t="n">
        <v>0</v>
      </c>
      <c r="AC88" s="704" t="n">
        <v>0</v>
      </c>
      <c r="AD88" s="704" t="n">
        <v>0</v>
      </c>
      <c r="AE88" s="704" t="n">
        <v>0</v>
      </c>
      <c r="AF88" s="704" t="n">
        <v>0</v>
      </c>
      <c r="AG88" s="704" t="n">
        <v>0</v>
      </c>
      <c r="AH88" s="704" t="n">
        <v>0</v>
      </c>
      <c r="AI88" s="704" t="n">
        <v>0</v>
      </c>
      <c r="AJ88" s="704" t="n">
        <v>0</v>
      </c>
      <c r="AK88" s="704" t="n">
        <v>0</v>
      </c>
      <c r="AL88" s="704" t="n">
        <v>0</v>
      </c>
      <c r="AM88" s="704" t="n">
        <v>0</v>
      </c>
      <c r="AN88" s="704" t="n">
        <v>0</v>
      </c>
      <c r="AO88" s="704" t="n">
        <v>0</v>
      </c>
      <c r="AP88" s="704" t="n">
        <v>0</v>
      </c>
      <c r="AQ88" s="704" t="n">
        <v>0</v>
      </c>
      <c r="AR88" s="704" t="n">
        <v>0</v>
      </c>
      <c r="AS88" s="704" t="n">
        <v>0</v>
      </c>
      <c r="AT88" s="704" t="n">
        <v>0</v>
      </c>
      <c r="AU88" s="704" t="n">
        <v>0</v>
      </c>
      <c r="AV88" s="704" t="n">
        <v>0</v>
      </c>
      <c r="AW88" s="704" t="n">
        <v>0</v>
      </c>
      <c r="AX88" s="704" t="n">
        <v>0</v>
      </c>
      <c r="AY88" s="704" t="n">
        <v>0</v>
      </c>
      <c r="AZ88" s="704" t="n">
        <v>0</v>
      </c>
      <c r="BA88" s="704" t="n">
        <v>0</v>
      </c>
      <c r="BB88" s="704" t="n">
        <v>0</v>
      </c>
      <c r="BC88" s="704" t="n">
        <v>0</v>
      </c>
      <c r="BD88" s="704" t="n">
        <v>0</v>
      </c>
      <c r="BE88" s="704" t="n">
        <v>0</v>
      </c>
      <c r="BF88" s="704" t="n">
        <v>0</v>
      </c>
      <c r="BG88" s="704" t="n">
        <v>0</v>
      </c>
      <c r="BH88" s="704" t="n">
        <v>0</v>
      </c>
      <c r="BI88" s="704" t="n">
        <v>0</v>
      </c>
      <c r="BJ88" s="704" t="n">
        <v>0</v>
      </c>
      <c r="BK88" s="704" t="n">
        <v>0</v>
      </c>
      <c r="BL88" s="704" t="n">
        <v>0</v>
      </c>
      <c r="BM88" s="704" t="n">
        <v>0</v>
      </c>
      <c r="BN88" s="704" t="n">
        <v>0</v>
      </c>
      <c r="BO88" s="704" t="n">
        <v>0</v>
      </c>
      <c r="BP88" s="704" t="n">
        <v>0</v>
      </c>
      <c r="BQ88" s="704" t="n">
        <v>0</v>
      </c>
      <c r="BR88" s="704" t="n">
        <v>0</v>
      </c>
      <c r="BS88" s="704" t="n">
        <v>0</v>
      </c>
      <c r="BT88" s="704" t="n">
        <v>0</v>
      </c>
      <c r="BU88" s="704" t="n">
        <v>0</v>
      </c>
      <c r="BV88" s="704" t="n">
        <v>0</v>
      </c>
      <c r="BW88" s="704" t="n">
        <v>0</v>
      </c>
      <c r="BX88" s="704" t="n">
        <v>0</v>
      </c>
      <c r="BY88" s="704" t="n">
        <v>0</v>
      </c>
      <c r="BZ88" s="704" t="n">
        <v>0</v>
      </c>
      <c r="CA88" s="704" t="n">
        <v>0</v>
      </c>
      <c r="CB88" s="704" t="n">
        <v>0</v>
      </c>
      <c r="CC88" s="704" t="n">
        <v>0</v>
      </c>
      <c r="CD88" s="704" t="n">
        <v>0</v>
      </c>
      <c r="CE88" s="704" t="n">
        <v>0</v>
      </c>
      <c r="CF88" s="704" t="n">
        <v>0</v>
      </c>
      <c r="CG88" s="704" t="n">
        <v>0</v>
      </c>
      <c r="CH88" s="704" t="n">
        <v>0</v>
      </c>
      <c r="CI88" s="704" t="n">
        <v>0</v>
      </c>
      <c r="CJ88" s="704" t="n">
        <v>0</v>
      </c>
      <c r="CK88" s="704" t="n">
        <v>0</v>
      </c>
      <c r="CL88" s="704" t="n">
        <v>0</v>
      </c>
      <c r="CM88" s="704" t="n">
        <v>0</v>
      </c>
      <c r="CN88" s="704" t="n">
        <v>0</v>
      </c>
      <c r="CO88" s="704" t="n">
        <v>0</v>
      </c>
      <c r="CP88" s="704" t="n">
        <v>0</v>
      </c>
      <c r="CQ88" s="704" t="n">
        <v>0</v>
      </c>
      <c r="CR88" s="704" t="n">
        <v>0</v>
      </c>
      <c r="CS88" s="704" t="n">
        <v>0</v>
      </c>
      <c r="CT88" s="704" t="n">
        <v>0</v>
      </c>
      <c r="CU88" s="704" t="n">
        <v>0</v>
      </c>
      <c r="CV88" s="704" t="n">
        <v>0</v>
      </c>
      <c r="CW88" s="704" t="n">
        <v>0</v>
      </c>
      <c r="CX88" s="704" t="n">
        <v>0</v>
      </c>
      <c r="CY88" s="704" t="n">
        <v>0</v>
      </c>
      <c r="CZ88" s="704" t="n">
        <v>0</v>
      </c>
      <c r="DA88" s="704" t="n">
        <v>0</v>
      </c>
      <c r="DB88" s="704" t="n">
        <v>0</v>
      </c>
      <c r="DC88" s="704" t="n">
        <v>0</v>
      </c>
      <c r="DD88" s="704" t="n">
        <v>0</v>
      </c>
      <c r="DE88" s="704" t="n">
        <v>0</v>
      </c>
      <c r="DF88" s="704" t="n">
        <v>0</v>
      </c>
      <c r="DG88" s="704" t="n">
        <v>0</v>
      </c>
      <c r="DH88" s="704" t="n">
        <v>0</v>
      </c>
      <c r="DI88" s="704" t="n">
        <v>0</v>
      </c>
      <c r="DJ88" s="704" t="n">
        <v>0</v>
      </c>
      <c r="DK88" s="704" t="n">
        <v>0</v>
      </c>
      <c r="DL88" s="704" t="n">
        <v>0</v>
      </c>
      <c r="DM88" s="704" t="n">
        <v>0</v>
      </c>
    </row>
    <row r="89" ht="13.5" customHeight="1" s="355">
      <c r="B89" s="705" t="inlineStr">
        <is>
          <t>Grand Total</t>
        </is>
      </c>
      <c r="C89" s="706" t="n"/>
      <c r="D89" s="707" t="n">
        <v>0</v>
      </c>
      <c r="E89" s="707" t="n">
        <v>0</v>
      </c>
      <c r="F89" s="707" t="n">
        <v>0</v>
      </c>
      <c r="G89" s="707" t="n">
        <v>0</v>
      </c>
      <c r="H89" s="707" t="n">
        <v>0</v>
      </c>
      <c r="I89" s="707" t="n">
        <v>0</v>
      </c>
      <c r="J89" s="707" t="n">
        <v>0</v>
      </c>
      <c r="K89" s="707" t="n">
        <v>0</v>
      </c>
      <c r="L89" s="707" t="n">
        <v>0</v>
      </c>
      <c r="M89" s="707" t="n">
        <v>0</v>
      </c>
      <c r="N89" s="707" t="n">
        <v>0</v>
      </c>
      <c r="O89" s="707" t="n">
        <v>2.1285623370337</v>
      </c>
      <c r="P89" s="707" t="n">
        <v>3.2364283534041</v>
      </c>
      <c r="Q89" s="707" t="n">
        <v>3.2364283534041</v>
      </c>
      <c r="R89" s="707" t="n">
        <v>3.2364283534041</v>
      </c>
      <c r="S89" s="707" t="n">
        <v>3.2364283534041</v>
      </c>
      <c r="T89" s="707" t="n">
        <v>3.2364283534041</v>
      </c>
      <c r="U89" s="707" t="n">
        <v>3.2364283534041</v>
      </c>
      <c r="V89" s="707" t="n">
        <v>3.2364283534041</v>
      </c>
      <c r="W89" s="707" t="n">
        <v>3.2364283534041</v>
      </c>
      <c r="X89" s="707" t="n">
        <v>3.2364283534041</v>
      </c>
      <c r="Y89" s="707" t="n">
        <v>3.2364283534041</v>
      </c>
      <c r="Z89" s="707" t="n">
        <v>3.2364283534041</v>
      </c>
      <c r="AA89" s="707" t="n">
        <v>3.2364283534041</v>
      </c>
      <c r="AB89" s="707" t="n">
        <v>3.33352120400623</v>
      </c>
      <c r="AC89" s="707" t="n">
        <v>3.25018317390607</v>
      </c>
      <c r="AD89" s="707" t="n">
        <v>3.25018317390607</v>
      </c>
      <c r="AE89" s="707" t="n">
        <v>3.25018317390607</v>
      </c>
      <c r="AF89" s="707" t="n">
        <v>3.25018317390607</v>
      </c>
      <c r="AG89" s="707" t="n">
        <v>3.25018317390607</v>
      </c>
      <c r="AH89" s="707" t="n">
        <v>3.25018317390607</v>
      </c>
      <c r="AI89" s="707" t="n">
        <v>3.25018317390607</v>
      </c>
      <c r="AJ89" s="707" t="n">
        <v>3.25018317390607</v>
      </c>
      <c r="AK89" s="707" t="n">
        <v>3.25018317390607</v>
      </c>
      <c r="AL89" s="707" t="n">
        <v>3.25018317390607</v>
      </c>
      <c r="AM89" s="707" t="n">
        <v>3.25018317390607</v>
      </c>
      <c r="AN89" s="707" t="n">
        <v>3.34768866912325</v>
      </c>
      <c r="AO89" s="707" t="n">
        <v>3.26185049812009</v>
      </c>
      <c r="AP89" s="707" t="n">
        <v>3.26185049812009</v>
      </c>
      <c r="AQ89" s="707" t="n">
        <v>3.26185049812009</v>
      </c>
      <c r="AR89" s="707" t="n">
        <v>3.26185049812009</v>
      </c>
      <c r="AS89" s="707" t="n">
        <v>3.26185049812009</v>
      </c>
      <c r="AT89" s="707" t="n">
        <v>3.26185049812009</v>
      </c>
      <c r="AU89" s="707" t="n">
        <v>3.26185049812009</v>
      </c>
      <c r="AV89" s="707" t="n">
        <v>3.26185049812009</v>
      </c>
      <c r="AW89" s="707" t="n">
        <v>3.26185049812009</v>
      </c>
      <c r="AX89" s="707" t="n">
        <v>3.26185049812009</v>
      </c>
      <c r="AY89" s="707" t="n">
        <v>3.26185049812009</v>
      </c>
      <c r="AZ89" s="707" t="n">
        <v>3.35970601306369</v>
      </c>
      <c r="BA89" s="707" t="n">
        <v>3.27129269693044</v>
      </c>
      <c r="BB89" s="707" t="n">
        <v>3.27129269693044</v>
      </c>
      <c r="BC89" s="707" t="n">
        <v>3.27129269693044</v>
      </c>
      <c r="BD89" s="707" t="n">
        <v>3.27129269693044</v>
      </c>
      <c r="BE89" s="707" t="n">
        <v>3.27129269693044</v>
      </c>
      <c r="BF89" s="707" t="n">
        <v>3.27129269693044</v>
      </c>
      <c r="BG89" s="707" t="n">
        <v>3.27129269693044</v>
      </c>
      <c r="BH89" s="707" t="n">
        <v>3.27129269693044</v>
      </c>
      <c r="BI89" s="707" t="n">
        <v>3.27129269693044</v>
      </c>
      <c r="BJ89" s="707" t="n">
        <v>3.27129269693044</v>
      </c>
      <c r="BK89" s="707" t="n">
        <v>3.27129269693044</v>
      </c>
      <c r="BL89" s="707" t="n">
        <v>3.36943147783835</v>
      </c>
      <c r="BM89" s="707" t="n">
        <v>3.18730004660385</v>
      </c>
      <c r="BN89" s="707" t="n">
        <v>3.18730004660385</v>
      </c>
      <c r="BO89" s="707" t="n">
        <v>3.18730004660385</v>
      </c>
      <c r="BP89" s="707" t="n">
        <v>3.18730004660385</v>
      </c>
      <c r="BQ89" s="707" t="n">
        <v>3.18730004660385</v>
      </c>
      <c r="BR89" s="707" t="n">
        <v>3.18730004660385</v>
      </c>
      <c r="BS89" s="707" t="n">
        <v>3.18730004660385</v>
      </c>
      <c r="BT89" s="707" t="n">
        <v>3.18730004660385</v>
      </c>
      <c r="BU89" s="707" t="n">
        <v>3.18730004660385</v>
      </c>
      <c r="BV89" s="707" t="n">
        <v>3.18730004660385</v>
      </c>
      <c r="BW89" s="707" t="n">
        <v>3.18730004660385</v>
      </c>
      <c r="BX89" s="707" t="n">
        <v>3.28291904800196</v>
      </c>
      <c r="BY89" s="707" t="n">
        <v>3.28291904800196</v>
      </c>
      <c r="BZ89" s="707" t="n">
        <v>3.28291904800196</v>
      </c>
      <c r="CA89" s="707" t="n">
        <v>3.28291904800196</v>
      </c>
      <c r="CB89" s="707" t="n">
        <v>3.28291904800196</v>
      </c>
      <c r="CC89" s="707" t="n">
        <v>3.28291904800196</v>
      </c>
      <c r="CD89" s="707" t="n">
        <v>3.28291904800196</v>
      </c>
      <c r="CE89" s="707" t="n">
        <v>3.28291904800196</v>
      </c>
      <c r="CF89" s="707" t="n">
        <v>3.28291904800196</v>
      </c>
      <c r="CG89" s="707" t="n">
        <v>3.28291904800196</v>
      </c>
      <c r="CH89" s="707" t="n">
        <v>3.28291904800196</v>
      </c>
      <c r="CI89" s="707" t="n">
        <v>3.28291904800196</v>
      </c>
      <c r="CJ89" s="707" t="n">
        <v>3.38140661944202</v>
      </c>
      <c r="CK89" s="707" t="n">
        <v>3.38140661944202</v>
      </c>
      <c r="CL89" s="707" t="n">
        <v>3.38140661944202</v>
      </c>
      <c r="CM89" s="707" t="n">
        <v>3.38140661944202</v>
      </c>
      <c r="CN89" s="707" t="n">
        <v>3.38140661944202</v>
      </c>
      <c r="CO89" s="707" t="n">
        <v>3.38140661944202</v>
      </c>
      <c r="CP89" s="707" t="n">
        <v>3.38140661944202</v>
      </c>
      <c r="CQ89" s="707" t="n">
        <v>3.38140661944202</v>
      </c>
      <c r="CR89" s="707" t="n">
        <v>3.38140661944202</v>
      </c>
      <c r="CS89" s="707" t="n">
        <v>3.38140661944202</v>
      </c>
      <c r="CT89" s="707" t="n">
        <v>3.38140661944202</v>
      </c>
      <c r="CU89" s="707" t="n">
        <v>3.38140661944202</v>
      </c>
      <c r="CV89" s="707" t="n">
        <v>3.48284881802528</v>
      </c>
      <c r="CW89" s="707" t="n">
        <v>3.48284881802528</v>
      </c>
      <c r="CX89" s="707" t="n">
        <v>3.48284881802528</v>
      </c>
      <c r="CY89" s="707" t="n">
        <v>3.48284881802528</v>
      </c>
      <c r="CZ89" s="707" t="n">
        <v>3.48284881802528</v>
      </c>
      <c r="DA89" s="707" t="n">
        <v>3.48284881802528</v>
      </c>
      <c r="DB89" s="707" t="n">
        <v>3.48284881802528</v>
      </c>
      <c r="DC89" s="707" t="n">
        <v>3.48284881802528</v>
      </c>
      <c r="DD89" s="707" t="n">
        <v>3.48284881802528</v>
      </c>
      <c r="DE89" s="707" t="n">
        <v>3.48284881802528</v>
      </c>
      <c r="DF89" s="707" t="n">
        <v>3.48284881802528</v>
      </c>
      <c r="DG89" s="707" t="n">
        <v>3.48284881802528</v>
      </c>
      <c r="DH89" s="707" t="n">
        <v>3.48284881802528</v>
      </c>
      <c r="DI89" s="707" t="n">
        <v>3.48284881802528</v>
      </c>
      <c r="DJ89" s="707" t="n">
        <v>3.48284881802528</v>
      </c>
      <c r="DK89" s="707" t="n">
        <v>3.48284881802528</v>
      </c>
      <c r="DL89" s="707" t="n">
        <v>3.48284881802528</v>
      </c>
      <c r="DM89" s="707" t="n">
        <v>3.48284881802528</v>
      </c>
    </row>
    <row r="90" ht="13.5" customHeight="1" s="355">
      <c r="A90" s="702" t="inlineStr">
        <is>
          <t>Country 9</t>
        </is>
      </c>
      <c r="B90" s="703" t="inlineStr">
        <is>
          <t>Gen Acctg</t>
        </is>
      </c>
      <c r="D90" s="704" t="n">
        <v>0</v>
      </c>
      <c r="E90" s="704" t="n">
        <v>0</v>
      </c>
      <c r="F90" s="704" t="n">
        <v>0</v>
      </c>
      <c r="G90" s="704" t="n">
        <v>0</v>
      </c>
      <c r="H90" s="704" t="n">
        <v>0</v>
      </c>
      <c r="I90" s="704" t="n">
        <v>0</v>
      </c>
      <c r="J90" s="704" t="n">
        <v>0</v>
      </c>
      <c r="K90" s="704" t="n">
        <v>0</v>
      </c>
      <c r="L90" s="704" t="n">
        <v>0</v>
      </c>
      <c r="M90" s="704" t="n">
        <v>0</v>
      </c>
      <c r="N90" s="704" t="n">
        <v>0</v>
      </c>
      <c r="O90" s="704" t="n">
        <v>0</v>
      </c>
      <c r="P90" s="704" t="n">
        <v>0</v>
      </c>
      <c r="Q90" s="704" t="n">
        <v>0</v>
      </c>
      <c r="R90" s="704" t="n">
        <v>0</v>
      </c>
      <c r="S90" s="704" t="n">
        <v>0</v>
      </c>
      <c r="T90" s="704" t="n">
        <v>0</v>
      </c>
      <c r="U90" s="704" t="n">
        <v>0</v>
      </c>
      <c r="V90" s="704" t="n">
        <v>0</v>
      </c>
      <c r="W90" s="704" t="n">
        <v>0</v>
      </c>
      <c r="X90" s="704" t="n">
        <v>0</v>
      </c>
      <c r="Y90" s="704" t="n">
        <v>0</v>
      </c>
      <c r="Z90" s="704" t="n">
        <v>0</v>
      </c>
      <c r="AA90" s="704" t="n">
        <v>0</v>
      </c>
      <c r="AB90" s="704" t="n">
        <v>0</v>
      </c>
      <c r="AC90" s="704" t="n">
        <v>0</v>
      </c>
      <c r="AD90" s="704" t="n">
        <v>0</v>
      </c>
      <c r="AE90" s="704" t="n">
        <v>0</v>
      </c>
      <c r="AF90" s="704" t="n">
        <v>0</v>
      </c>
      <c r="AG90" s="704" t="n">
        <v>0</v>
      </c>
      <c r="AH90" s="704" t="n">
        <v>0</v>
      </c>
      <c r="AI90" s="704" t="n">
        <v>0</v>
      </c>
      <c r="AJ90" s="704" t="n">
        <v>0</v>
      </c>
      <c r="AK90" s="704" t="n">
        <v>0</v>
      </c>
      <c r="AL90" s="704" t="n">
        <v>0</v>
      </c>
      <c r="AM90" s="704" t="n">
        <v>0</v>
      </c>
      <c r="AN90" s="704" t="n">
        <v>0</v>
      </c>
      <c r="AO90" s="704" t="n">
        <v>0</v>
      </c>
      <c r="AP90" s="704" t="n">
        <v>0</v>
      </c>
      <c r="AQ90" s="704" t="n">
        <v>0</v>
      </c>
      <c r="AR90" s="704" t="n">
        <v>0</v>
      </c>
      <c r="AS90" s="704" t="n">
        <v>0</v>
      </c>
      <c r="AT90" s="704" t="n">
        <v>0</v>
      </c>
      <c r="AU90" s="704" t="n">
        <v>0</v>
      </c>
      <c r="AV90" s="704" t="n">
        <v>0</v>
      </c>
      <c r="AW90" s="704" t="n">
        <v>0</v>
      </c>
      <c r="AX90" s="704" t="n">
        <v>0</v>
      </c>
      <c r="AY90" s="704" t="n">
        <v>0</v>
      </c>
      <c r="AZ90" s="704" t="n">
        <v>0</v>
      </c>
      <c r="BA90" s="704" t="n">
        <v>0</v>
      </c>
      <c r="BB90" s="704" t="n">
        <v>0</v>
      </c>
      <c r="BC90" s="704" t="n">
        <v>0</v>
      </c>
      <c r="BD90" s="704" t="n">
        <v>0</v>
      </c>
      <c r="BE90" s="704" t="n">
        <v>0</v>
      </c>
      <c r="BF90" s="704" t="n">
        <v>0</v>
      </c>
      <c r="BG90" s="704" t="n">
        <v>0</v>
      </c>
      <c r="BH90" s="704" t="n">
        <v>0</v>
      </c>
      <c r="BI90" s="704" t="n">
        <v>0</v>
      </c>
      <c r="BJ90" s="704" t="n">
        <v>0</v>
      </c>
      <c r="BK90" s="704" t="n">
        <v>0</v>
      </c>
      <c r="BL90" s="704" t="n">
        <v>0</v>
      </c>
      <c r="BM90" s="704" t="n">
        <v>0</v>
      </c>
      <c r="BN90" s="704" t="n">
        <v>0</v>
      </c>
      <c r="BO90" s="704" t="n">
        <v>0</v>
      </c>
      <c r="BP90" s="704" t="n">
        <v>0</v>
      </c>
      <c r="BQ90" s="704" t="n">
        <v>0</v>
      </c>
      <c r="BR90" s="704" t="n">
        <v>0</v>
      </c>
      <c r="BS90" s="704" t="n">
        <v>0</v>
      </c>
      <c r="BT90" s="704" t="n">
        <v>0</v>
      </c>
      <c r="BU90" s="704" t="n">
        <v>0</v>
      </c>
      <c r="BV90" s="704" t="n">
        <v>0</v>
      </c>
      <c r="BW90" s="704" t="n">
        <v>0</v>
      </c>
      <c r="BX90" s="704" t="n">
        <v>0</v>
      </c>
      <c r="BY90" s="704" t="n">
        <v>0</v>
      </c>
      <c r="BZ90" s="704" t="n">
        <v>0</v>
      </c>
      <c r="CA90" s="704" t="n">
        <v>0</v>
      </c>
      <c r="CB90" s="704" t="n">
        <v>0</v>
      </c>
      <c r="CC90" s="704" t="n">
        <v>0</v>
      </c>
      <c r="CD90" s="704" t="n">
        <v>0</v>
      </c>
      <c r="CE90" s="704" t="n">
        <v>0</v>
      </c>
      <c r="CF90" s="704" t="n">
        <v>0</v>
      </c>
      <c r="CG90" s="704" t="n">
        <v>0</v>
      </c>
      <c r="CH90" s="704" t="n">
        <v>0</v>
      </c>
      <c r="CI90" s="704" t="n">
        <v>0</v>
      </c>
      <c r="CJ90" s="704" t="n">
        <v>0</v>
      </c>
      <c r="CK90" s="704" t="n">
        <v>0</v>
      </c>
      <c r="CL90" s="704" t="n">
        <v>0</v>
      </c>
      <c r="CM90" s="704" t="n">
        <v>0</v>
      </c>
      <c r="CN90" s="704" t="n">
        <v>0</v>
      </c>
      <c r="CO90" s="704" t="n">
        <v>0</v>
      </c>
      <c r="CP90" s="704" t="n">
        <v>0</v>
      </c>
      <c r="CQ90" s="704" t="n">
        <v>0</v>
      </c>
      <c r="CR90" s="704" t="n">
        <v>0</v>
      </c>
      <c r="CS90" s="704" t="n">
        <v>0</v>
      </c>
      <c r="CT90" s="704" t="n">
        <v>0</v>
      </c>
      <c r="CU90" s="704" t="n">
        <v>0</v>
      </c>
      <c r="CV90" s="704" t="n">
        <v>0</v>
      </c>
      <c r="CW90" s="704" t="n">
        <v>0</v>
      </c>
      <c r="CX90" s="704" t="n">
        <v>0</v>
      </c>
      <c r="CY90" s="704" t="n">
        <v>0</v>
      </c>
      <c r="CZ90" s="704" t="n">
        <v>0</v>
      </c>
      <c r="DA90" s="704" t="n">
        <v>0</v>
      </c>
      <c r="DB90" s="704" t="n">
        <v>0</v>
      </c>
      <c r="DC90" s="704" t="n">
        <v>0</v>
      </c>
      <c r="DD90" s="704" t="n">
        <v>0</v>
      </c>
      <c r="DE90" s="704" t="n">
        <v>0</v>
      </c>
      <c r="DF90" s="704" t="n">
        <v>0</v>
      </c>
      <c r="DG90" s="704" t="n">
        <v>0</v>
      </c>
      <c r="DH90" s="704" t="n">
        <v>0</v>
      </c>
      <c r="DI90" s="704" t="n">
        <v>0</v>
      </c>
      <c r="DJ90" s="704" t="n">
        <v>0</v>
      </c>
      <c r="DK90" s="704" t="n">
        <v>0</v>
      </c>
      <c r="DL90" s="704" t="n">
        <v>0</v>
      </c>
      <c r="DM90" s="704" t="n">
        <v>0</v>
      </c>
    </row>
    <row r="91" ht="13.5" customHeight="1" s="355">
      <c r="B91" s="703" t="inlineStr">
        <is>
          <t>Reporting</t>
        </is>
      </c>
      <c r="D91" s="704" t="n">
        <v>0</v>
      </c>
      <c r="E91" s="704" t="n">
        <v>0</v>
      </c>
      <c r="F91" s="704" t="n">
        <v>0</v>
      </c>
      <c r="G91" s="704" t="n">
        <v>0</v>
      </c>
      <c r="H91" s="704" t="n">
        <v>0</v>
      </c>
      <c r="I91" s="704" t="n">
        <v>0</v>
      </c>
      <c r="J91" s="704" t="n">
        <v>0</v>
      </c>
      <c r="K91" s="704" t="n">
        <v>0</v>
      </c>
      <c r="L91" s="704" t="n">
        <v>0</v>
      </c>
      <c r="M91" s="704" t="n">
        <v>0</v>
      </c>
      <c r="N91" s="704" t="n">
        <v>0</v>
      </c>
      <c r="O91" s="704" t="n">
        <v>0</v>
      </c>
      <c r="P91" s="704" t="n">
        <v>0</v>
      </c>
      <c r="Q91" s="704" t="n">
        <v>0</v>
      </c>
      <c r="R91" s="704" t="n">
        <v>0</v>
      </c>
      <c r="S91" s="704" t="n">
        <v>0</v>
      </c>
      <c r="T91" s="704" t="n">
        <v>0</v>
      </c>
      <c r="U91" s="704" t="n">
        <v>0</v>
      </c>
      <c r="V91" s="704" t="n">
        <v>0</v>
      </c>
      <c r="W91" s="704" t="n">
        <v>0</v>
      </c>
      <c r="X91" s="704" t="n">
        <v>0</v>
      </c>
      <c r="Y91" s="704" t="n">
        <v>0</v>
      </c>
      <c r="Z91" s="704" t="n">
        <v>0</v>
      </c>
      <c r="AA91" s="704" t="n">
        <v>0</v>
      </c>
      <c r="AB91" s="704" t="n">
        <v>0</v>
      </c>
      <c r="AC91" s="704" t="n">
        <v>0</v>
      </c>
      <c r="AD91" s="704" t="n">
        <v>0</v>
      </c>
      <c r="AE91" s="704" t="n">
        <v>0</v>
      </c>
      <c r="AF91" s="704" t="n">
        <v>0</v>
      </c>
      <c r="AG91" s="704" t="n">
        <v>0</v>
      </c>
      <c r="AH91" s="704" t="n">
        <v>0</v>
      </c>
      <c r="AI91" s="704" t="n">
        <v>0</v>
      </c>
      <c r="AJ91" s="704" t="n">
        <v>0</v>
      </c>
      <c r="AK91" s="704" t="n">
        <v>0</v>
      </c>
      <c r="AL91" s="704" t="n">
        <v>0</v>
      </c>
      <c r="AM91" s="704" t="n">
        <v>0</v>
      </c>
      <c r="AN91" s="704" t="n">
        <v>0</v>
      </c>
      <c r="AO91" s="704" t="n">
        <v>0</v>
      </c>
      <c r="AP91" s="704" t="n">
        <v>0</v>
      </c>
      <c r="AQ91" s="704" t="n">
        <v>0</v>
      </c>
      <c r="AR91" s="704" t="n">
        <v>0</v>
      </c>
      <c r="AS91" s="704" t="n">
        <v>0</v>
      </c>
      <c r="AT91" s="704" t="n">
        <v>0</v>
      </c>
      <c r="AU91" s="704" t="n">
        <v>0</v>
      </c>
      <c r="AV91" s="704" t="n">
        <v>0</v>
      </c>
      <c r="AW91" s="704" t="n">
        <v>0</v>
      </c>
      <c r="AX91" s="704" t="n">
        <v>0</v>
      </c>
      <c r="AY91" s="704" t="n">
        <v>0</v>
      </c>
      <c r="AZ91" s="704" t="n">
        <v>0</v>
      </c>
      <c r="BA91" s="704" t="n">
        <v>0</v>
      </c>
      <c r="BB91" s="704" t="n">
        <v>0</v>
      </c>
      <c r="BC91" s="704" t="n">
        <v>0</v>
      </c>
      <c r="BD91" s="704" t="n">
        <v>0</v>
      </c>
      <c r="BE91" s="704" t="n">
        <v>0</v>
      </c>
      <c r="BF91" s="704" t="n">
        <v>0</v>
      </c>
      <c r="BG91" s="704" t="n">
        <v>0</v>
      </c>
      <c r="BH91" s="704" t="n">
        <v>0</v>
      </c>
      <c r="BI91" s="704" t="n">
        <v>0</v>
      </c>
      <c r="BJ91" s="704" t="n">
        <v>0</v>
      </c>
      <c r="BK91" s="704" t="n">
        <v>0</v>
      </c>
      <c r="BL91" s="704" t="n">
        <v>0</v>
      </c>
      <c r="BM91" s="704" t="n">
        <v>0</v>
      </c>
      <c r="BN91" s="704" t="n">
        <v>0</v>
      </c>
      <c r="BO91" s="704" t="n">
        <v>0</v>
      </c>
      <c r="BP91" s="704" t="n">
        <v>0</v>
      </c>
      <c r="BQ91" s="704" t="n">
        <v>0</v>
      </c>
      <c r="BR91" s="704" t="n">
        <v>0</v>
      </c>
      <c r="BS91" s="704" t="n">
        <v>0</v>
      </c>
      <c r="BT91" s="704" t="n">
        <v>0</v>
      </c>
      <c r="BU91" s="704" t="n">
        <v>0</v>
      </c>
      <c r="BV91" s="704" t="n">
        <v>0</v>
      </c>
      <c r="BW91" s="704" t="n">
        <v>0</v>
      </c>
      <c r="BX91" s="704" t="n">
        <v>0</v>
      </c>
      <c r="BY91" s="704" t="n">
        <v>0</v>
      </c>
      <c r="BZ91" s="704" t="n">
        <v>0</v>
      </c>
      <c r="CA91" s="704" t="n">
        <v>0</v>
      </c>
      <c r="CB91" s="704" t="n">
        <v>0</v>
      </c>
      <c r="CC91" s="704" t="n">
        <v>0</v>
      </c>
      <c r="CD91" s="704" t="n">
        <v>0</v>
      </c>
      <c r="CE91" s="704" t="n">
        <v>0</v>
      </c>
      <c r="CF91" s="704" t="n">
        <v>0</v>
      </c>
      <c r="CG91" s="704" t="n">
        <v>0</v>
      </c>
      <c r="CH91" s="704" t="n">
        <v>0</v>
      </c>
      <c r="CI91" s="704" t="n">
        <v>0</v>
      </c>
      <c r="CJ91" s="704" t="n">
        <v>0</v>
      </c>
      <c r="CK91" s="704" t="n">
        <v>0</v>
      </c>
      <c r="CL91" s="704" t="n">
        <v>0</v>
      </c>
      <c r="CM91" s="704" t="n">
        <v>0</v>
      </c>
      <c r="CN91" s="704" t="n">
        <v>0</v>
      </c>
      <c r="CO91" s="704" t="n">
        <v>0</v>
      </c>
      <c r="CP91" s="704" t="n">
        <v>0</v>
      </c>
      <c r="CQ91" s="704" t="n">
        <v>0</v>
      </c>
      <c r="CR91" s="704" t="n">
        <v>0</v>
      </c>
      <c r="CS91" s="704" t="n">
        <v>0</v>
      </c>
      <c r="CT91" s="704" t="n">
        <v>0</v>
      </c>
      <c r="CU91" s="704" t="n">
        <v>0</v>
      </c>
      <c r="CV91" s="704" t="n">
        <v>0</v>
      </c>
      <c r="CW91" s="704" t="n">
        <v>0</v>
      </c>
      <c r="CX91" s="704" t="n">
        <v>0</v>
      </c>
      <c r="CY91" s="704" t="n">
        <v>0</v>
      </c>
      <c r="CZ91" s="704" t="n">
        <v>0</v>
      </c>
      <c r="DA91" s="704" t="n">
        <v>0</v>
      </c>
      <c r="DB91" s="704" t="n">
        <v>0</v>
      </c>
      <c r="DC91" s="704" t="n">
        <v>0</v>
      </c>
      <c r="DD91" s="704" t="n">
        <v>0</v>
      </c>
      <c r="DE91" s="704" t="n">
        <v>0</v>
      </c>
      <c r="DF91" s="704" t="n">
        <v>0</v>
      </c>
      <c r="DG91" s="704" t="n">
        <v>0</v>
      </c>
      <c r="DH91" s="704" t="n">
        <v>0</v>
      </c>
      <c r="DI91" s="704" t="n">
        <v>0</v>
      </c>
      <c r="DJ91" s="704" t="n">
        <v>0</v>
      </c>
      <c r="DK91" s="704" t="n">
        <v>0</v>
      </c>
      <c r="DL91" s="704" t="n">
        <v>0</v>
      </c>
      <c r="DM91" s="704" t="n">
        <v>0</v>
      </c>
    </row>
    <row r="92" ht="13.5" customHeight="1" s="355">
      <c r="B92" s="703" t="inlineStr">
        <is>
          <t>Fixed Assets</t>
        </is>
      </c>
      <c r="D92" s="704" t="n">
        <v>0</v>
      </c>
      <c r="E92" s="704" t="n">
        <v>0</v>
      </c>
      <c r="F92" s="704" t="n">
        <v>0</v>
      </c>
      <c r="G92" s="704" t="n">
        <v>0</v>
      </c>
      <c r="H92" s="704" t="n">
        <v>0</v>
      </c>
      <c r="I92" s="704" t="n">
        <v>0</v>
      </c>
      <c r="J92" s="704" t="n">
        <v>0</v>
      </c>
      <c r="K92" s="704" t="n">
        <v>0</v>
      </c>
      <c r="L92" s="704" t="n">
        <v>0</v>
      </c>
      <c r="M92" s="704" t="n">
        <v>0</v>
      </c>
      <c r="N92" s="704" t="n">
        <v>0</v>
      </c>
      <c r="O92" s="704" t="n">
        <v>0</v>
      </c>
      <c r="P92" s="704" t="n">
        <v>0</v>
      </c>
      <c r="Q92" s="704" t="n">
        <v>0</v>
      </c>
      <c r="R92" s="704" t="n">
        <v>0</v>
      </c>
      <c r="S92" s="704" t="n">
        <v>0</v>
      </c>
      <c r="T92" s="704" t="n">
        <v>0</v>
      </c>
      <c r="U92" s="704" t="n">
        <v>0</v>
      </c>
      <c r="V92" s="704" t="n">
        <v>0</v>
      </c>
      <c r="W92" s="704" t="n">
        <v>0</v>
      </c>
      <c r="X92" s="704" t="n">
        <v>0</v>
      </c>
      <c r="Y92" s="704" t="n">
        <v>0</v>
      </c>
      <c r="Z92" s="704" t="n">
        <v>0</v>
      </c>
      <c r="AA92" s="704" t="n">
        <v>0</v>
      </c>
      <c r="AB92" s="704" t="n">
        <v>0</v>
      </c>
      <c r="AC92" s="704" t="n">
        <v>0</v>
      </c>
      <c r="AD92" s="704" t="n">
        <v>0</v>
      </c>
      <c r="AE92" s="704" t="n">
        <v>0</v>
      </c>
      <c r="AF92" s="704" t="n">
        <v>0</v>
      </c>
      <c r="AG92" s="704" t="n">
        <v>0</v>
      </c>
      <c r="AH92" s="704" t="n">
        <v>0</v>
      </c>
      <c r="AI92" s="704" t="n">
        <v>0</v>
      </c>
      <c r="AJ92" s="704" t="n">
        <v>0</v>
      </c>
      <c r="AK92" s="704" t="n">
        <v>0</v>
      </c>
      <c r="AL92" s="704" t="n">
        <v>0</v>
      </c>
      <c r="AM92" s="704" t="n">
        <v>0</v>
      </c>
      <c r="AN92" s="704" t="n">
        <v>0</v>
      </c>
      <c r="AO92" s="704" t="n">
        <v>0</v>
      </c>
      <c r="AP92" s="704" t="n">
        <v>0</v>
      </c>
      <c r="AQ92" s="704" t="n">
        <v>0</v>
      </c>
      <c r="AR92" s="704" t="n">
        <v>0</v>
      </c>
      <c r="AS92" s="704" t="n">
        <v>0</v>
      </c>
      <c r="AT92" s="704" t="n">
        <v>0</v>
      </c>
      <c r="AU92" s="704" t="n">
        <v>0</v>
      </c>
      <c r="AV92" s="704" t="n">
        <v>0</v>
      </c>
      <c r="AW92" s="704" t="n">
        <v>0</v>
      </c>
      <c r="AX92" s="704" t="n">
        <v>0</v>
      </c>
      <c r="AY92" s="704" t="n">
        <v>0</v>
      </c>
      <c r="AZ92" s="704" t="n">
        <v>0</v>
      </c>
      <c r="BA92" s="704" t="n">
        <v>0</v>
      </c>
      <c r="BB92" s="704" t="n">
        <v>0</v>
      </c>
      <c r="BC92" s="704" t="n">
        <v>0</v>
      </c>
      <c r="BD92" s="704" t="n">
        <v>0</v>
      </c>
      <c r="BE92" s="704" t="n">
        <v>0</v>
      </c>
      <c r="BF92" s="704" t="n">
        <v>0</v>
      </c>
      <c r="BG92" s="704" t="n">
        <v>0</v>
      </c>
      <c r="BH92" s="704" t="n">
        <v>0</v>
      </c>
      <c r="BI92" s="704" t="n">
        <v>0</v>
      </c>
      <c r="BJ92" s="704" t="n">
        <v>0</v>
      </c>
      <c r="BK92" s="704" t="n">
        <v>0</v>
      </c>
      <c r="BL92" s="704" t="n">
        <v>0</v>
      </c>
      <c r="BM92" s="704" t="n">
        <v>0</v>
      </c>
      <c r="BN92" s="704" t="n">
        <v>0</v>
      </c>
      <c r="BO92" s="704" t="n">
        <v>0</v>
      </c>
      <c r="BP92" s="704" t="n">
        <v>0</v>
      </c>
      <c r="BQ92" s="704" t="n">
        <v>0</v>
      </c>
      <c r="BR92" s="704" t="n">
        <v>0</v>
      </c>
      <c r="BS92" s="704" t="n">
        <v>0</v>
      </c>
      <c r="BT92" s="704" t="n">
        <v>0</v>
      </c>
      <c r="BU92" s="704" t="n">
        <v>0</v>
      </c>
      <c r="BV92" s="704" t="n">
        <v>0</v>
      </c>
      <c r="BW92" s="704" t="n">
        <v>0</v>
      </c>
      <c r="BX92" s="704" t="n">
        <v>0</v>
      </c>
      <c r="BY92" s="704" t="n">
        <v>0</v>
      </c>
      <c r="BZ92" s="704" t="n">
        <v>0</v>
      </c>
      <c r="CA92" s="704" t="n">
        <v>0</v>
      </c>
      <c r="CB92" s="704" t="n">
        <v>0</v>
      </c>
      <c r="CC92" s="704" t="n">
        <v>0</v>
      </c>
      <c r="CD92" s="704" t="n">
        <v>0</v>
      </c>
      <c r="CE92" s="704" t="n">
        <v>0</v>
      </c>
      <c r="CF92" s="704" t="n">
        <v>0</v>
      </c>
      <c r="CG92" s="704" t="n">
        <v>0</v>
      </c>
      <c r="CH92" s="704" t="n">
        <v>0</v>
      </c>
      <c r="CI92" s="704" t="n">
        <v>0</v>
      </c>
      <c r="CJ92" s="704" t="n">
        <v>0</v>
      </c>
      <c r="CK92" s="704" t="n">
        <v>0</v>
      </c>
      <c r="CL92" s="704" t="n">
        <v>0</v>
      </c>
      <c r="CM92" s="704" t="n">
        <v>0</v>
      </c>
      <c r="CN92" s="704" t="n">
        <v>0</v>
      </c>
      <c r="CO92" s="704" t="n">
        <v>0</v>
      </c>
      <c r="CP92" s="704" t="n">
        <v>0</v>
      </c>
      <c r="CQ92" s="704" t="n">
        <v>0</v>
      </c>
      <c r="CR92" s="704" t="n">
        <v>0</v>
      </c>
      <c r="CS92" s="704" t="n">
        <v>0</v>
      </c>
      <c r="CT92" s="704" t="n">
        <v>0</v>
      </c>
      <c r="CU92" s="704" t="n">
        <v>0</v>
      </c>
      <c r="CV92" s="704" t="n">
        <v>0</v>
      </c>
      <c r="CW92" s="704" t="n">
        <v>0</v>
      </c>
      <c r="CX92" s="704" t="n">
        <v>0</v>
      </c>
      <c r="CY92" s="704" t="n">
        <v>0</v>
      </c>
      <c r="CZ92" s="704" t="n">
        <v>0</v>
      </c>
      <c r="DA92" s="704" t="n">
        <v>0</v>
      </c>
      <c r="DB92" s="704" t="n">
        <v>0</v>
      </c>
      <c r="DC92" s="704" t="n">
        <v>0</v>
      </c>
      <c r="DD92" s="704" t="n">
        <v>0</v>
      </c>
      <c r="DE92" s="704" t="n">
        <v>0</v>
      </c>
      <c r="DF92" s="704" t="n">
        <v>0</v>
      </c>
      <c r="DG92" s="704" t="n">
        <v>0</v>
      </c>
      <c r="DH92" s="704" t="n">
        <v>0</v>
      </c>
      <c r="DI92" s="704" t="n">
        <v>0</v>
      </c>
      <c r="DJ92" s="704" t="n">
        <v>0</v>
      </c>
      <c r="DK92" s="704" t="n">
        <v>0</v>
      </c>
      <c r="DL92" s="704" t="n">
        <v>0</v>
      </c>
      <c r="DM92" s="704" t="n">
        <v>0</v>
      </c>
    </row>
    <row r="93" ht="13.5" customHeight="1" s="355">
      <c r="B93" s="703" t="inlineStr">
        <is>
          <t>Acct Payable</t>
        </is>
      </c>
      <c r="D93" s="704" t="n">
        <v>0</v>
      </c>
      <c r="E93" s="704" t="n">
        <v>0</v>
      </c>
      <c r="F93" s="704" t="n">
        <v>0</v>
      </c>
      <c r="G93" s="704" t="n">
        <v>0</v>
      </c>
      <c r="H93" s="704" t="n">
        <v>0</v>
      </c>
      <c r="I93" s="704" t="n">
        <v>0</v>
      </c>
      <c r="J93" s="704" t="n">
        <v>0</v>
      </c>
      <c r="K93" s="704" t="n">
        <v>0</v>
      </c>
      <c r="L93" s="704" t="n">
        <v>0</v>
      </c>
      <c r="M93" s="704" t="n">
        <v>0</v>
      </c>
      <c r="N93" s="704" t="n">
        <v>0</v>
      </c>
      <c r="O93" s="704" t="n">
        <v>0</v>
      </c>
      <c r="P93" s="704" t="n">
        <v>0</v>
      </c>
      <c r="Q93" s="704" t="n">
        <v>0</v>
      </c>
      <c r="R93" s="704" t="n">
        <v>0</v>
      </c>
      <c r="S93" s="704" t="n">
        <v>0</v>
      </c>
      <c r="T93" s="704" t="n">
        <v>0</v>
      </c>
      <c r="U93" s="704" t="n">
        <v>0</v>
      </c>
      <c r="V93" s="704" t="n">
        <v>0</v>
      </c>
      <c r="W93" s="704" t="n">
        <v>0</v>
      </c>
      <c r="X93" s="704" t="n">
        <v>0</v>
      </c>
      <c r="Y93" s="704" t="n">
        <v>0</v>
      </c>
      <c r="Z93" s="704" t="n">
        <v>0</v>
      </c>
      <c r="AA93" s="704" t="n">
        <v>0</v>
      </c>
      <c r="AB93" s="704" t="n">
        <v>0</v>
      </c>
      <c r="AC93" s="704" t="n">
        <v>0</v>
      </c>
      <c r="AD93" s="704" t="n">
        <v>0</v>
      </c>
      <c r="AE93" s="704" t="n">
        <v>0</v>
      </c>
      <c r="AF93" s="704" t="n">
        <v>0</v>
      </c>
      <c r="AG93" s="704" t="n">
        <v>0</v>
      </c>
      <c r="AH93" s="704" t="n">
        <v>0</v>
      </c>
      <c r="AI93" s="704" t="n">
        <v>0</v>
      </c>
      <c r="AJ93" s="704" t="n">
        <v>0</v>
      </c>
      <c r="AK93" s="704" t="n">
        <v>0</v>
      </c>
      <c r="AL93" s="704" t="n">
        <v>0</v>
      </c>
      <c r="AM93" s="704" t="n">
        <v>0</v>
      </c>
      <c r="AN93" s="704" t="n">
        <v>0</v>
      </c>
      <c r="AO93" s="704" t="n">
        <v>0</v>
      </c>
      <c r="AP93" s="704" t="n">
        <v>0</v>
      </c>
      <c r="AQ93" s="704" t="n">
        <v>0</v>
      </c>
      <c r="AR93" s="704" t="n">
        <v>0</v>
      </c>
      <c r="AS93" s="704" t="n">
        <v>0</v>
      </c>
      <c r="AT93" s="704" t="n">
        <v>0</v>
      </c>
      <c r="AU93" s="704" t="n">
        <v>0</v>
      </c>
      <c r="AV93" s="704" t="n">
        <v>0</v>
      </c>
      <c r="AW93" s="704" t="n">
        <v>0</v>
      </c>
      <c r="AX93" s="704" t="n">
        <v>0</v>
      </c>
      <c r="AY93" s="704" t="n">
        <v>0</v>
      </c>
      <c r="AZ93" s="704" t="n">
        <v>0</v>
      </c>
      <c r="BA93" s="704" t="n">
        <v>0</v>
      </c>
      <c r="BB93" s="704" t="n">
        <v>0</v>
      </c>
      <c r="BC93" s="704" t="n">
        <v>0</v>
      </c>
      <c r="BD93" s="704" t="n">
        <v>0</v>
      </c>
      <c r="BE93" s="704" t="n">
        <v>0</v>
      </c>
      <c r="BF93" s="704" t="n">
        <v>0</v>
      </c>
      <c r="BG93" s="704" t="n">
        <v>0</v>
      </c>
      <c r="BH93" s="704" t="n">
        <v>0</v>
      </c>
      <c r="BI93" s="704" t="n">
        <v>0</v>
      </c>
      <c r="BJ93" s="704" t="n">
        <v>0</v>
      </c>
      <c r="BK93" s="704" t="n">
        <v>0</v>
      </c>
      <c r="BL93" s="704" t="n">
        <v>0</v>
      </c>
      <c r="BM93" s="704" t="n">
        <v>0</v>
      </c>
      <c r="BN93" s="704" t="n">
        <v>0</v>
      </c>
      <c r="BO93" s="704" t="n">
        <v>0</v>
      </c>
      <c r="BP93" s="704" t="n">
        <v>0</v>
      </c>
      <c r="BQ93" s="704" t="n">
        <v>0</v>
      </c>
      <c r="BR93" s="704" t="n">
        <v>0</v>
      </c>
      <c r="BS93" s="704" t="n">
        <v>0</v>
      </c>
      <c r="BT93" s="704" t="n">
        <v>0</v>
      </c>
      <c r="BU93" s="704" t="n">
        <v>0</v>
      </c>
      <c r="BV93" s="704" t="n">
        <v>0</v>
      </c>
      <c r="BW93" s="704" t="n">
        <v>0</v>
      </c>
      <c r="BX93" s="704" t="n">
        <v>0</v>
      </c>
      <c r="BY93" s="704" t="n">
        <v>0</v>
      </c>
      <c r="BZ93" s="704" t="n">
        <v>0</v>
      </c>
      <c r="CA93" s="704" t="n">
        <v>0</v>
      </c>
      <c r="CB93" s="704" t="n">
        <v>0</v>
      </c>
      <c r="CC93" s="704" t="n">
        <v>0</v>
      </c>
      <c r="CD93" s="704" t="n">
        <v>0</v>
      </c>
      <c r="CE93" s="704" t="n">
        <v>0</v>
      </c>
      <c r="CF93" s="704" t="n">
        <v>0</v>
      </c>
      <c r="CG93" s="704" t="n">
        <v>0</v>
      </c>
      <c r="CH93" s="704" t="n">
        <v>0</v>
      </c>
      <c r="CI93" s="704" t="n">
        <v>0</v>
      </c>
      <c r="CJ93" s="704" t="n">
        <v>0</v>
      </c>
      <c r="CK93" s="704" t="n">
        <v>0</v>
      </c>
      <c r="CL93" s="704" t="n">
        <v>0</v>
      </c>
      <c r="CM93" s="704" t="n">
        <v>0</v>
      </c>
      <c r="CN93" s="704" t="n">
        <v>0</v>
      </c>
      <c r="CO93" s="704" t="n">
        <v>0</v>
      </c>
      <c r="CP93" s="704" t="n">
        <v>0</v>
      </c>
      <c r="CQ93" s="704" t="n">
        <v>0</v>
      </c>
      <c r="CR93" s="704" t="n">
        <v>0</v>
      </c>
      <c r="CS93" s="704" t="n">
        <v>0</v>
      </c>
      <c r="CT93" s="704" t="n">
        <v>0</v>
      </c>
      <c r="CU93" s="704" t="n">
        <v>0</v>
      </c>
      <c r="CV93" s="704" t="n">
        <v>0</v>
      </c>
      <c r="CW93" s="704" t="n">
        <v>0</v>
      </c>
      <c r="CX93" s="704" t="n">
        <v>0</v>
      </c>
      <c r="CY93" s="704" t="n">
        <v>0</v>
      </c>
      <c r="CZ93" s="704" t="n">
        <v>0</v>
      </c>
      <c r="DA93" s="704" t="n">
        <v>0</v>
      </c>
      <c r="DB93" s="704" t="n">
        <v>0</v>
      </c>
      <c r="DC93" s="704" t="n">
        <v>0</v>
      </c>
      <c r="DD93" s="704" t="n">
        <v>0</v>
      </c>
      <c r="DE93" s="704" t="n">
        <v>0</v>
      </c>
      <c r="DF93" s="704" t="n">
        <v>0</v>
      </c>
      <c r="DG93" s="704" t="n">
        <v>0</v>
      </c>
      <c r="DH93" s="704" t="n">
        <v>0</v>
      </c>
      <c r="DI93" s="704" t="n">
        <v>0</v>
      </c>
      <c r="DJ93" s="704" t="n">
        <v>0</v>
      </c>
      <c r="DK93" s="704" t="n">
        <v>0</v>
      </c>
      <c r="DL93" s="704" t="n">
        <v>0</v>
      </c>
      <c r="DM93" s="704" t="n">
        <v>0</v>
      </c>
    </row>
    <row r="94" ht="13.5" customHeight="1" s="355">
      <c r="B94" s="703" t="inlineStr">
        <is>
          <t>Cash&amp;Bank</t>
        </is>
      </c>
      <c r="D94" s="704" t="n">
        <v>0</v>
      </c>
      <c r="E94" s="704" t="n">
        <v>0</v>
      </c>
      <c r="F94" s="704" t="n">
        <v>0</v>
      </c>
      <c r="G94" s="704" t="n">
        <v>0</v>
      </c>
      <c r="H94" s="704" t="n">
        <v>0</v>
      </c>
      <c r="I94" s="704" t="n">
        <v>0</v>
      </c>
      <c r="J94" s="704" t="n">
        <v>0</v>
      </c>
      <c r="K94" s="704" t="n">
        <v>0</v>
      </c>
      <c r="L94" s="704" t="n">
        <v>0</v>
      </c>
      <c r="M94" s="704" t="n">
        <v>0</v>
      </c>
      <c r="N94" s="704" t="n">
        <v>0</v>
      </c>
      <c r="O94" s="704" t="n">
        <v>0</v>
      </c>
      <c r="P94" s="704" t="n">
        <v>0</v>
      </c>
      <c r="Q94" s="704" t="n">
        <v>0</v>
      </c>
      <c r="R94" s="704" t="n">
        <v>0</v>
      </c>
      <c r="S94" s="704" t="n">
        <v>0</v>
      </c>
      <c r="T94" s="704" t="n">
        <v>0</v>
      </c>
      <c r="U94" s="704" t="n">
        <v>0</v>
      </c>
      <c r="V94" s="704" t="n">
        <v>0</v>
      </c>
      <c r="W94" s="704" t="n">
        <v>0</v>
      </c>
      <c r="X94" s="704" t="n">
        <v>0</v>
      </c>
      <c r="Y94" s="704" t="n">
        <v>0</v>
      </c>
      <c r="Z94" s="704" t="n">
        <v>0</v>
      </c>
      <c r="AA94" s="704" t="n">
        <v>0</v>
      </c>
      <c r="AB94" s="704" t="n">
        <v>0</v>
      </c>
      <c r="AC94" s="704" t="n">
        <v>0</v>
      </c>
      <c r="AD94" s="704" t="n">
        <v>0</v>
      </c>
      <c r="AE94" s="704" t="n">
        <v>0</v>
      </c>
      <c r="AF94" s="704" t="n">
        <v>0</v>
      </c>
      <c r="AG94" s="704" t="n">
        <v>0</v>
      </c>
      <c r="AH94" s="704" t="n">
        <v>0</v>
      </c>
      <c r="AI94" s="704" t="n">
        <v>0</v>
      </c>
      <c r="AJ94" s="704" t="n">
        <v>0</v>
      </c>
      <c r="AK94" s="704" t="n">
        <v>0</v>
      </c>
      <c r="AL94" s="704" t="n">
        <v>0</v>
      </c>
      <c r="AM94" s="704" t="n">
        <v>0</v>
      </c>
      <c r="AN94" s="704" t="n">
        <v>0</v>
      </c>
      <c r="AO94" s="704" t="n">
        <v>0</v>
      </c>
      <c r="AP94" s="704" t="n">
        <v>0</v>
      </c>
      <c r="AQ94" s="704" t="n">
        <v>0</v>
      </c>
      <c r="AR94" s="704" t="n">
        <v>0</v>
      </c>
      <c r="AS94" s="704" t="n">
        <v>0</v>
      </c>
      <c r="AT94" s="704" t="n">
        <v>0</v>
      </c>
      <c r="AU94" s="704" t="n">
        <v>0</v>
      </c>
      <c r="AV94" s="704" t="n">
        <v>0</v>
      </c>
      <c r="AW94" s="704" t="n">
        <v>0</v>
      </c>
      <c r="AX94" s="704" t="n">
        <v>0</v>
      </c>
      <c r="AY94" s="704" t="n">
        <v>0</v>
      </c>
      <c r="AZ94" s="704" t="n">
        <v>0</v>
      </c>
      <c r="BA94" s="704" t="n">
        <v>0</v>
      </c>
      <c r="BB94" s="704" t="n">
        <v>0</v>
      </c>
      <c r="BC94" s="704" t="n">
        <v>0</v>
      </c>
      <c r="BD94" s="704" t="n">
        <v>0</v>
      </c>
      <c r="BE94" s="704" t="n">
        <v>0</v>
      </c>
      <c r="BF94" s="704" t="n">
        <v>0</v>
      </c>
      <c r="BG94" s="704" t="n">
        <v>0</v>
      </c>
      <c r="BH94" s="704" t="n">
        <v>0</v>
      </c>
      <c r="BI94" s="704" t="n">
        <v>0</v>
      </c>
      <c r="BJ94" s="704" t="n">
        <v>0</v>
      </c>
      <c r="BK94" s="704" t="n">
        <v>0</v>
      </c>
      <c r="BL94" s="704" t="n">
        <v>0</v>
      </c>
      <c r="BM94" s="704" t="n">
        <v>0</v>
      </c>
      <c r="BN94" s="704" t="n">
        <v>0</v>
      </c>
      <c r="BO94" s="704" t="n">
        <v>0</v>
      </c>
      <c r="BP94" s="704" t="n">
        <v>0</v>
      </c>
      <c r="BQ94" s="704" t="n">
        <v>0</v>
      </c>
      <c r="BR94" s="704" t="n">
        <v>0</v>
      </c>
      <c r="BS94" s="704" t="n">
        <v>0</v>
      </c>
      <c r="BT94" s="704" t="n">
        <v>0</v>
      </c>
      <c r="BU94" s="704" t="n">
        <v>0</v>
      </c>
      <c r="BV94" s="704" t="n">
        <v>0</v>
      </c>
      <c r="BW94" s="704" t="n">
        <v>0</v>
      </c>
      <c r="BX94" s="704" t="n">
        <v>0</v>
      </c>
      <c r="BY94" s="704" t="n">
        <v>0</v>
      </c>
      <c r="BZ94" s="704" t="n">
        <v>0</v>
      </c>
      <c r="CA94" s="704" t="n">
        <v>0</v>
      </c>
      <c r="CB94" s="704" t="n">
        <v>0</v>
      </c>
      <c r="CC94" s="704" t="n">
        <v>0</v>
      </c>
      <c r="CD94" s="704" t="n">
        <v>0</v>
      </c>
      <c r="CE94" s="704" t="n">
        <v>0</v>
      </c>
      <c r="CF94" s="704" t="n">
        <v>0</v>
      </c>
      <c r="CG94" s="704" t="n">
        <v>0</v>
      </c>
      <c r="CH94" s="704" t="n">
        <v>0</v>
      </c>
      <c r="CI94" s="704" t="n">
        <v>0</v>
      </c>
      <c r="CJ94" s="704" t="n">
        <v>0</v>
      </c>
      <c r="CK94" s="704" t="n">
        <v>0</v>
      </c>
      <c r="CL94" s="704" t="n">
        <v>0</v>
      </c>
      <c r="CM94" s="704" t="n">
        <v>0</v>
      </c>
      <c r="CN94" s="704" t="n">
        <v>0</v>
      </c>
      <c r="CO94" s="704" t="n">
        <v>0</v>
      </c>
      <c r="CP94" s="704" t="n">
        <v>0</v>
      </c>
      <c r="CQ94" s="704" t="n">
        <v>0</v>
      </c>
      <c r="CR94" s="704" t="n">
        <v>0</v>
      </c>
      <c r="CS94" s="704" t="n">
        <v>0</v>
      </c>
      <c r="CT94" s="704" t="n">
        <v>0</v>
      </c>
      <c r="CU94" s="704" t="n">
        <v>0</v>
      </c>
      <c r="CV94" s="704" t="n">
        <v>0</v>
      </c>
      <c r="CW94" s="704" t="n">
        <v>0</v>
      </c>
      <c r="CX94" s="704" t="n">
        <v>0</v>
      </c>
      <c r="CY94" s="704" t="n">
        <v>0</v>
      </c>
      <c r="CZ94" s="704" t="n">
        <v>0</v>
      </c>
      <c r="DA94" s="704" t="n">
        <v>0</v>
      </c>
      <c r="DB94" s="704" t="n">
        <v>0</v>
      </c>
      <c r="DC94" s="704" t="n">
        <v>0</v>
      </c>
      <c r="DD94" s="704" t="n">
        <v>0</v>
      </c>
      <c r="DE94" s="704" t="n">
        <v>0</v>
      </c>
      <c r="DF94" s="704" t="n">
        <v>0</v>
      </c>
      <c r="DG94" s="704" t="n">
        <v>0</v>
      </c>
      <c r="DH94" s="704" t="n">
        <v>0</v>
      </c>
      <c r="DI94" s="704" t="n">
        <v>0</v>
      </c>
      <c r="DJ94" s="704" t="n">
        <v>0</v>
      </c>
      <c r="DK94" s="704" t="n">
        <v>0</v>
      </c>
      <c r="DL94" s="704" t="n">
        <v>0</v>
      </c>
      <c r="DM94" s="704" t="n">
        <v>0</v>
      </c>
    </row>
    <row r="95" ht="13.5" customHeight="1" s="355">
      <c r="B95" s="703" t="inlineStr">
        <is>
          <t>T&amp;E</t>
        </is>
      </c>
      <c r="D95" s="704" t="n">
        <v>0</v>
      </c>
      <c r="E95" s="704" t="n">
        <v>0</v>
      </c>
      <c r="F95" s="704" t="n">
        <v>0</v>
      </c>
      <c r="G95" s="704" t="n">
        <v>0</v>
      </c>
      <c r="H95" s="704" t="n">
        <v>0</v>
      </c>
      <c r="I95" s="704" t="n">
        <v>0</v>
      </c>
      <c r="J95" s="704" t="n">
        <v>0</v>
      </c>
      <c r="K95" s="704" t="n">
        <v>0</v>
      </c>
      <c r="L95" s="704" t="n">
        <v>0</v>
      </c>
      <c r="M95" s="704" t="n">
        <v>0</v>
      </c>
      <c r="N95" s="704" t="n">
        <v>0</v>
      </c>
      <c r="O95" s="704" t="n">
        <v>0</v>
      </c>
      <c r="P95" s="704" t="n">
        <v>0</v>
      </c>
      <c r="Q95" s="704" t="n">
        <v>0</v>
      </c>
      <c r="R95" s="704" t="n">
        <v>0</v>
      </c>
      <c r="S95" s="704" t="n">
        <v>0</v>
      </c>
      <c r="T95" s="704" t="n">
        <v>0</v>
      </c>
      <c r="U95" s="704" t="n">
        <v>0</v>
      </c>
      <c r="V95" s="704" t="n">
        <v>0</v>
      </c>
      <c r="W95" s="704" t="n">
        <v>0</v>
      </c>
      <c r="X95" s="704" t="n">
        <v>0</v>
      </c>
      <c r="Y95" s="704" t="n">
        <v>0</v>
      </c>
      <c r="Z95" s="704" t="n">
        <v>0</v>
      </c>
      <c r="AA95" s="704" t="n">
        <v>0</v>
      </c>
      <c r="AB95" s="704" t="n">
        <v>0</v>
      </c>
      <c r="AC95" s="704" t="n">
        <v>0</v>
      </c>
      <c r="AD95" s="704" t="n">
        <v>0</v>
      </c>
      <c r="AE95" s="704" t="n">
        <v>0</v>
      </c>
      <c r="AF95" s="704" t="n">
        <v>0</v>
      </c>
      <c r="AG95" s="704" t="n">
        <v>0</v>
      </c>
      <c r="AH95" s="704" t="n">
        <v>0</v>
      </c>
      <c r="AI95" s="704" t="n">
        <v>0</v>
      </c>
      <c r="AJ95" s="704" t="n">
        <v>0</v>
      </c>
      <c r="AK95" s="704" t="n">
        <v>0</v>
      </c>
      <c r="AL95" s="704" t="n">
        <v>0</v>
      </c>
      <c r="AM95" s="704" t="n">
        <v>0</v>
      </c>
      <c r="AN95" s="704" t="n">
        <v>0</v>
      </c>
      <c r="AO95" s="704" t="n">
        <v>0</v>
      </c>
      <c r="AP95" s="704" t="n">
        <v>0</v>
      </c>
      <c r="AQ95" s="704" t="n">
        <v>0</v>
      </c>
      <c r="AR95" s="704" t="n">
        <v>0</v>
      </c>
      <c r="AS95" s="704" t="n">
        <v>0</v>
      </c>
      <c r="AT95" s="704" t="n">
        <v>0</v>
      </c>
      <c r="AU95" s="704" t="n">
        <v>0</v>
      </c>
      <c r="AV95" s="704" t="n">
        <v>0</v>
      </c>
      <c r="AW95" s="704" t="n">
        <v>0</v>
      </c>
      <c r="AX95" s="704" t="n">
        <v>0</v>
      </c>
      <c r="AY95" s="704" t="n">
        <v>0</v>
      </c>
      <c r="AZ95" s="704" t="n">
        <v>0</v>
      </c>
      <c r="BA95" s="704" t="n">
        <v>0</v>
      </c>
      <c r="BB95" s="704" t="n">
        <v>0</v>
      </c>
      <c r="BC95" s="704" t="n">
        <v>0</v>
      </c>
      <c r="BD95" s="704" t="n">
        <v>0</v>
      </c>
      <c r="BE95" s="704" t="n">
        <v>0</v>
      </c>
      <c r="BF95" s="704" t="n">
        <v>0</v>
      </c>
      <c r="BG95" s="704" t="n">
        <v>0</v>
      </c>
      <c r="BH95" s="704" t="n">
        <v>0</v>
      </c>
      <c r="BI95" s="704" t="n">
        <v>0</v>
      </c>
      <c r="BJ95" s="704" t="n">
        <v>0</v>
      </c>
      <c r="BK95" s="704" t="n">
        <v>0</v>
      </c>
      <c r="BL95" s="704" t="n">
        <v>0</v>
      </c>
      <c r="BM95" s="704" t="n">
        <v>0</v>
      </c>
      <c r="BN95" s="704" t="n">
        <v>0</v>
      </c>
      <c r="BO95" s="704" t="n">
        <v>0</v>
      </c>
      <c r="BP95" s="704" t="n">
        <v>0</v>
      </c>
      <c r="BQ95" s="704" t="n">
        <v>0</v>
      </c>
      <c r="BR95" s="704" t="n">
        <v>0</v>
      </c>
      <c r="BS95" s="704" t="n">
        <v>0</v>
      </c>
      <c r="BT95" s="704" t="n">
        <v>0</v>
      </c>
      <c r="BU95" s="704" t="n">
        <v>0</v>
      </c>
      <c r="BV95" s="704" t="n">
        <v>0</v>
      </c>
      <c r="BW95" s="704" t="n">
        <v>0</v>
      </c>
      <c r="BX95" s="704" t="n">
        <v>0</v>
      </c>
      <c r="BY95" s="704" t="n">
        <v>0</v>
      </c>
      <c r="BZ95" s="704" t="n">
        <v>0</v>
      </c>
      <c r="CA95" s="704" t="n">
        <v>0</v>
      </c>
      <c r="CB95" s="704" t="n">
        <v>0</v>
      </c>
      <c r="CC95" s="704" t="n">
        <v>0</v>
      </c>
      <c r="CD95" s="704" t="n">
        <v>0</v>
      </c>
      <c r="CE95" s="704" t="n">
        <v>0</v>
      </c>
      <c r="CF95" s="704" t="n">
        <v>0</v>
      </c>
      <c r="CG95" s="704" t="n">
        <v>0</v>
      </c>
      <c r="CH95" s="704" t="n">
        <v>0</v>
      </c>
      <c r="CI95" s="704" t="n">
        <v>0</v>
      </c>
      <c r="CJ95" s="704" t="n">
        <v>0</v>
      </c>
      <c r="CK95" s="704" t="n">
        <v>0</v>
      </c>
      <c r="CL95" s="704" t="n">
        <v>0</v>
      </c>
      <c r="CM95" s="704" t="n">
        <v>0</v>
      </c>
      <c r="CN95" s="704" t="n">
        <v>0</v>
      </c>
      <c r="CO95" s="704" t="n">
        <v>0</v>
      </c>
      <c r="CP95" s="704" t="n">
        <v>0</v>
      </c>
      <c r="CQ95" s="704" t="n">
        <v>0</v>
      </c>
      <c r="CR95" s="704" t="n">
        <v>0</v>
      </c>
      <c r="CS95" s="704" t="n">
        <v>0</v>
      </c>
      <c r="CT95" s="704" t="n">
        <v>0</v>
      </c>
      <c r="CU95" s="704" t="n">
        <v>0</v>
      </c>
      <c r="CV95" s="704" t="n">
        <v>0</v>
      </c>
      <c r="CW95" s="704" t="n">
        <v>0</v>
      </c>
      <c r="CX95" s="704" t="n">
        <v>0</v>
      </c>
      <c r="CY95" s="704" t="n">
        <v>0</v>
      </c>
      <c r="CZ95" s="704" t="n">
        <v>0</v>
      </c>
      <c r="DA95" s="704" t="n">
        <v>0</v>
      </c>
      <c r="DB95" s="704" t="n">
        <v>0</v>
      </c>
      <c r="DC95" s="704" t="n">
        <v>0</v>
      </c>
      <c r="DD95" s="704" t="n">
        <v>0</v>
      </c>
      <c r="DE95" s="704" t="n">
        <v>0</v>
      </c>
      <c r="DF95" s="704" t="n">
        <v>0</v>
      </c>
      <c r="DG95" s="704" t="n">
        <v>0</v>
      </c>
      <c r="DH95" s="704" t="n">
        <v>0</v>
      </c>
      <c r="DI95" s="704" t="n">
        <v>0</v>
      </c>
      <c r="DJ95" s="704" t="n">
        <v>0</v>
      </c>
      <c r="DK95" s="704" t="n">
        <v>0</v>
      </c>
      <c r="DL95" s="704" t="n">
        <v>0</v>
      </c>
      <c r="DM95" s="704" t="n">
        <v>0</v>
      </c>
    </row>
    <row r="96" ht="13.5" customHeight="1" s="355">
      <c r="B96" s="703" t="inlineStr">
        <is>
          <t>Order to Cash</t>
        </is>
      </c>
      <c r="D96" s="704" t="n">
        <v>0</v>
      </c>
      <c r="E96" s="704" t="n">
        <v>0</v>
      </c>
      <c r="F96" s="704" t="n">
        <v>0</v>
      </c>
      <c r="G96" s="704" t="n">
        <v>0</v>
      </c>
      <c r="H96" s="704" t="n">
        <v>0</v>
      </c>
      <c r="I96" s="704" t="n">
        <v>0</v>
      </c>
      <c r="J96" s="704" t="n">
        <v>0</v>
      </c>
      <c r="K96" s="704" t="n">
        <v>0</v>
      </c>
      <c r="L96" s="704" t="n">
        <v>0</v>
      </c>
      <c r="M96" s="704" t="n">
        <v>0</v>
      </c>
      <c r="N96" s="704" t="n">
        <v>0</v>
      </c>
      <c r="O96" s="704" t="n">
        <v>0</v>
      </c>
      <c r="P96" s="704" t="n">
        <v>0</v>
      </c>
      <c r="Q96" s="704" t="n">
        <v>0</v>
      </c>
      <c r="R96" s="704" t="n">
        <v>0</v>
      </c>
      <c r="S96" s="704" t="n">
        <v>0</v>
      </c>
      <c r="T96" s="704" t="n">
        <v>0</v>
      </c>
      <c r="U96" s="704" t="n">
        <v>0</v>
      </c>
      <c r="V96" s="704" t="n">
        <v>0</v>
      </c>
      <c r="W96" s="704" t="n">
        <v>0</v>
      </c>
      <c r="X96" s="704" t="n">
        <v>0</v>
      </c>
      <c r="Y96" s="704" t="n">
        <v>0</v>
      </c>
      <c r="Z96" s="704" t="n">
        <v>0</v>
      </c>
      <c r="AA96" s="704" t="n">
        <v>0</v>
      </c>
      <c r="AB96" s="704" t="n">
        <v>0</v>
      </c>
      <c r="AC96" s="704" t="n">
        <v>0</v>
      </c>
      <c r="AD96" s="704" t="n">
        <v>0</v>
      </c>
      <c r="AE96" s="704" t="n">
        <v>0</v>
      </c>
      <c r="AF96" s="704" t="n">
        <v>0</v>
      </c>
      <c r="AG96" s="704" t="n">
        <v>0</v>
      </c>
      <c r="AH96" s="704" t="n">
        <v>0</v>
      </c>
      <c r="AI96" s="704" t="n">
        <v>0</v>
      </c>
      <c r="AJ96" s="704" t="n">
        <v>0</v>
      </c>
      <c r="AK96" s="704" t="n">
        <v>0</v>
      </c>
      <c r="AL96" s="704" t="n">
        <v>0</v>
      </c>
      <c r="AM96" s="704" t="n">
        <v>0</v>
      </c>
      <c r="AN96" s="704" t="n">
        <v>0</v>
      </c>
      <c r="AO96" s="704" t="n">
        <v>0</v>
      </c>
      <c r="AP96" s="704" t="n">
        <v>0</v>
      </c>
      <c r="AQ96" s="704" t="n">
        <v>0</v>
      </c>
      <c r="AR96" s="704" t="n">
        <v>0</v>
      </c>
      <c r="AS96" s="704" t="n">
        <v>0</v>
      </c>
      <c r="AT96" s="704" t="n">
        <v>0</v>
      </c>
      <c r="AU96" s="704" t="n">
        <v>0</v>
      </c>
      <c r="AV96" s="704" t="n">
        <v>0</v>
      </c>
      <c r="AW96" s="704" t="n">
        <v>0</v>
      </c>
      <c r="AX96" s="704" t="n">
        <v>0</v>
      </c>
      <c r="AY96" s="704" t="n">
        <v>0</v>
      </c>
      <c r="AZ96" s="704" t="n">
        <v>0</v>
      </c>
      <c r="BA96" s="704" t="n">
        <v>0</v>
      </c>
      <c r="BB96" s="704" t="n">
        <v>0</v>
      </c>
      <c r="BC96" s="704" t="n">
        <v>0</v>
      </c>
      <c r="BD96" s="704" t="n">
        <v>0</v>
      </c>
      <c r="BE96" s="704" t="n">
        <v>0</v>
      </c>
      <c r="BF96" s="704" t="n">
        <v>0</v>
      </c>
      <c r="BG96" s="704" t="n">
        <v>0</v>
      </c>
      <c r="BH96" s="704" t="n">
        <v>0</v>
      </c>
      <c r="BI96" s="704" t="n">
        <v>0</v>
      </c>
      <c r="BJ96" s="704" t="n">
        <v>0</v>
      </c>
      <c r="BK96" s="704" t="n">
        <v>0</v>
      </c>
      <c r="BL96" s="704" t="n">
        <v>0</v>
      </c>
      <c r="BM96" s="704" t="n">
        <v>0</v>
      </c>
      <c r="BN96" s="704" t="n">
        <v>0</v>
      </c>
      <c r="BO96" s="704" t="n">
        <v>0</v>
      </c>
      <c r="BP96" s="704" t="n">
        <v>0</v>
      </c>
      <c r="BQ96" s="704" t="n">
        <v>0</v>
      </c>
      <c r="BR96" s="704" t="n">
        <v>0</v>
      </c>
      <c r="BS96" s="704" t="n">
        <v>0</v>
      </c>
      <c r="BT96" s="704" t="n">
        <v>0</v>
      </c>
      <c r="BU96" s="704" t="n">
        <v>0</v>
      </c>
      <c r="BV96" s="704" t="n">
        <v>0</v>
      </c>
      <c r="BW96" s="704" t="n">
        <v>0</v>
      </c>
      <c r="BX96" s="704" t="n">
        <v>0</v>
      </c>
      <c r="BY96" s="704" t="n">
        <v>0</v>
      </c>
      <c r="BZ96" s="704" t="n">
        <v>0</v>
      </c>
      <c r="CA96" s="704" t="n">
        <v>0</v>
      </c>
      <c r="CB96" s="704" t="n">
        <v>0</v>
      </c>
      <c r="CC96" s="704" t="n">
        <v>0</v>
      </c>
      <c r="CD96" s="704" t="n">
        <v>0</v>
      </c>
      <c r="CE96" s="704" t="n">
        <v>0</v>
      </c>
      <c r="CF96" s="704" t="n">
        <v>0</v>
      </c>
      <c r="CG96" s="704" t="n">
        <v>0</v>
      </c>
      <c r="CH96" s="704" t="n">
        <v>0</v>
      </c>
      <c r="CI96" s="704" t="n">
        <v>0</v>
      </c>
      <c r="CJ96" s="704" t="n">
        <v>0</v>
      </c>
      <c r="CK96" s="704" t="n">
        <v>0</v>
      </c>
      <c r="CL96" s="704" t="n">
        <v>0</v>
      </c>
      <c r="CM96" s="704" t="n">
        <v>0</v>
      </c>
      <c r="CN96" s="704" t="n">
        <v>0</v>
      </c>
      <c r="CO96" s="704" t="n">
        <v>0</v>
      </c>
      <c r="CP96" s="704" t="n">
        <v>0</v>
      </c>
      <c r="CQ96" s="704" t="n">
        <v>0</v>
      </c>
      <c r="CR96" s="704" t="n">
        <v>0</v>
      </c>
      <c r="CS96" s="704" t="n">
        <v>0</v>
      </c>
      <c r="CT96" s="704" t="n">
        <v>0</v>
      </c>
      <c r="CU96" s="704" t="n">
        <v>0</v>
      </c>
      <c r="CV96" s="704" t="n">
        <v>0</v>
      </c>
      <c r="CW96" s="704" t="n">
        <v>0</v>
      </c>
      <c r="CX96" s="704" t="n">
        <v>0</v>
      </c>
      <c r="CY96" s="704" t="n">
        <v>0</v>
      </c>
      <c r="CZ96" s="704" t="n">
        <v>0</v>
      </c>
      <c r="DA96" s="704" t="n">
        <v>0</v>
      </c>
      <c r="DB96" s="704" t="n">
        <v>0</v>
      </c>
      <c r="DC96" s="704" t="n">
        <v>0</v>
      </c>
      <c r="DD96" s="704" t="n">
        <v>0</v>
      </c>
      <c r="DE96" s="704" t="n">
        <v>0</v>
      </c>
      <c r="DF96" s="704" t="n">
        <v>0</v>
      </c>
      <c r="DG96" s="704" t="n">
        <v>0</v>
      </c>
      <c r="DH96" s="704" t="n">
        <v>0</v>
      </c>
      <c r="DI96" s="704" t="n">
        <v>0</v>
      </c>
      <c r="DJ96" s="704" t="n">
        <v>0</v>
      </c>
      <c r="DK96" s="704" t="n">
        <v>0</v>
      </c>
      <c r="DL96" s="704" t="n">
        <v>0</v>
      </c>
      <c r="DM96" s="704" t="n">
        <v>0</v>
      </c>
    </row>
    <row r="97" ht="13.5" customHeight="1" s="355">
      <c r="B97" s="703" t="inlineStr">
        <is>
          <t>Req to Pay</t>
        </is>
      </c>
      <c r="D97" s="704" t="n">
        <v>0</v>
      </c>
      <c r="E97" s="704" t="n">
        <v>0</v>
      </c>
      <c r="F97" s="704" t="n">
        <v>0</v>
      </c>
      <c r="G97" s="704" t="n">
        <v>0</v>
      </c>
      <c r="H97" s="704" t="n">
        <v>0</v>
      </c>
      <c r="I97" s="704" t="n">
        <v>0</v>
      </c>
      <c r="J97" s="704" t="n">
        <v>0</v>
      </c>
      <c r="K97" s="704" t="n">
        <v>0</v>
      </c>
      <c r="L97" s="704" t="n">
        <v>0</v>
      </c>
      <c r="M97" s="704" t="n">
        <v>0</v>
      </c>
      <c r="N97" s="704" t="n">
        <v>0</v>
      </c>
      <c r="O97" s="704" t="n">
        <v>0</v>
      </c>
      <c r="P97" s="704" t="n">
        <v>0</v>
      </c>
      <c r="Q97" s="704" t="n">
        <v>0</v>
      </c>
      <c r="R97" s="704" t="n">
        <v>0</v>
      </c>
      <c r="S97" s="704" t="n">
        <v>0</v>
      </c>
      <c r="T97" s="704" t="n">
        <v>0</v>
      </c>
      <c r="U97" s="704" t="n">
        <v>0</v>
      </c>
      <c r="V97" s="704" t="n">
        <v>0</v>
      </c>
      <c r="W97" s="704" t="n">
        <v>0</v>
      </c>
      <c r="X97" s="704" t="n">
        <v>0</v>
      </c>
      <c r="Y97" s="704" t="n">
        <v>0</v>
      </c>
      <c r="Z97" s="704" t="n">
        <v>0</v>
      </c>
      <c r="AA97" s="704" t="n">
        <v>0</v>
      </c>
      <c r="AB97" s="704" t="n">
        <v>0</v>
      </c>
      <c r="AC97" s="704" t="n">
        <v>0</v>
      </c>
      <c r="AD97" s="704" t="n">
        <v>0</v>
      </c>
      <c r="AE97" s="704" t="n">
        <v>0</v>
      </c>
      <c r="AF97" s="704" t="n">
        <v>0</v>
      </c>
      <c r="AG97" s="704" t="n">
        <v>0</v>
      </c>
      <c r="AH97" s="704" t="n">
        <v>0</v>
      </c>
      <c r="AI97" s="704" t="n">
        <v>0</v>
      </c>
      <c r="AJ97" s="704" t="n">
        <v>0</v>
      </c>
      <c r="AK97" s="704" t="n">
        <v>0</v>
      </c>
      <c r="AL97" s="704" t="n">
        <v>0</v>
      </c>
      <c r="AM97" s="704" t="n">
        <v>0</v>
      </c>
      <c r="AN97" s="704" t="n">
        <v>0</v>
      </c>
      <c r="AO97" s="704" t="n">
        <v>0</v>
      </c>
      <c r="AP97" s="704" t="n">
        <v>0</v>
      </c>
      <c r="AQ97" s="704" t="n">
        <v>0</v>
      </c>
      <c r="AR97" s="704" t="n">
        <v>0</v>
      </c>
      <c r="AS97" s="704" t="n">
        <v>0</v>
      </c>
      <c r="AT97" s="704" t="n">
        <v>0</v>
      </c>
      <c r="AU97" s="704" t="n">
        <v>0</v>
      </c>
      <c r="AV97" s="704" t="n">
        <v>0</v>
      </c>
      <c r="AW97" s="704" t="n">
        <v>0</v>
      </c>
      <c r="AX97" s="704" t="n">
        <v>0</v>
      </c>
      <c r="AY97" s="704" t="n">
        <v>0</v>
      </c>
      <c r="AZ97" s="704" t="n">
        <v>0</v>
      </c>
      <c r="BA97" s="704" t="n">
        <v>0</v>
      </c>
      <c r="BB97" s="704" t="n">
        <v>0</v>
      </c>
      <c r="BC97" s="704" t="n">
        <v>0</v>
      </c>
      <c r="BD97" s="704" t="n">
        <v>0</v>
      </c>
      <c r="BE97" s="704" t="n">
        <v>0</v>
      </c>
      <c r="BF97" s="704" t="n">
        <v>0</v>
      </c>
      <c r="BG97" s="704" t="n">
        <v>0</v>
      </c>
      <c r="BH97" s="704" t="n">
        <v>0</v>
      </c>
      <c r="BI97" s="704" t="n">
        <v>0</v>
      </c>
      <c r="BJ97" s="704" t="n">
        <v>0</v>
      </c>
      <c r="BK97" s="704" t="n">
        <v>0</v>
      </c>
      <c r="BL97" s="704" t="n">
        <v>0</v>
      </c>
      <c r="BM97" s="704" t="n">
        <v>0</v>
      </c>
      <c r="BN97" s="704" t="n">
        <v>0</v>
      </c>
      <c r="BO97" s="704" t="n">
        <v>0</v>
      </c>
      <c r="BP97" s="704" t="n">
        <v>0</v>
      </c>
      <c r="BQ97" s="704" t="n">
        <v>0</v>
      </c>
      <c r="BR97" s="704" t="n">
        <v>0</v>
      </c>
      <c r="BS97" s="704" t="n">
        <v>0</v>
      </c>
      <c r="BT97" s="704" t="n">
        <v>0</v>
      </c>
      <c r="BU97" s="704" t="n">
        <v>0</v>
      </c>
      <c r="BV97" s="704" t="n">
        <v>0</v>
      </c>
      <c r="BW97" s="704" t="n">
        <v>0</v>
      </c>
      <c r="BX97" s="704" t="n">
        <v>0</v>
      </c>
      <c r="BY97" s="704" t="n">
        <v>0</v>
      </c>
      <c r="BZ97" s="704" t="n">
        <v>0</v>
      </c>
      <c r="CA97" s="704" t="n">
        <v>0</v>
      </c>
      <c r="CB97" s="704" t="n">
        <v>0</v>
      </c>
      <c r="CC97" s="704" t="n">
        <v>0</v>
      </c>
      <c r="CD97" s="704" t="n">
        <v>0</v>
      </c>
      <c r="CE97" s="704" t="n">
        <v>0</v>
      </c>
      <c r="CF97" s="704" t="n">
        <v>0</v>
      </c>
      <c r="CG97" s="704" t="n">
        <v>0</v>
      </c>
      <c r="CH97" s="704" t="n">
        <v>0</v>
      </c>
      <c r="CI97" s="704" t="n">
        <v>0</v>
      </c>
      <c r="CJ97" s="704" t="n">
        <v>0</v>
      </c>
      <c r="CK97" s="704" t="n">
        <v>0</v>
      </c>
      <c r="CL97" s="704" t="n">
        <v>0</v>
      </c>
      <c r="CM97" s="704" t="n">
        <v>0</v>
      </c>
      <c r="CN97" s="704" t="n">
        <v>0</v>
      </c>
      <c r="CO97" s="704" t="n">
        <v>0</v>
      </c>
      <c r="CP97" s="704" t="n">
        <v>0</v>
      </c>
      <c r="CQ97" s="704" t="n">
        <v>0</v>
      </c>
      <c r="CR97" s="704" t="n">
        <v>0</v>
      </c>
      <c r="CS97" s="704" t="n">
        <v>0</v>
      </c>
      <c r="CT97" s="704" t="n">
        <v>0</v>
      </c>
      <c r="CU97" s="704" t="n">
        <v>0</v>
      </c>
      <c r="CV97" s="704" t="n">
        <v>0</v>
      </c>
      <c r="CW97" s="704" t="n">
        <v>0</v>
      </c>
      <c r="CX97" s="704" t="n">
        <v>0</v>
      </c>
      <c r="CY97" s="704" t="n">
        <v>0</v>
      </c>
      <c r="CZ97" s="704" t="n">
        <v>0</v>
      </c>
      <c r="DA97" s="704" t="n">
        <v>0</v>
      </c>
      <c r="DB97" s="704" t="n">
        <v>0</v>
      </c>
      <c r="DC97" s="704" t="n">
        <v>0</v>
      </c>
      <c r="DD97" s="704" t="n">
        <v>0</v>
      </c>
      <c r="DE97" s="704" t="n">
        <v>0</v>
      </c>
      <c r="DF97" s="704" t="n">
        <v>0</v>
      </c>
      <c r="DG97" s="704" t="n">
        <v>0</v>
      </c>
      <c r="DH97" s="704" t="n">
        <v>0</v>
      </c>
      <c r="DI97" s="704" t="n">
        <v>0</v>
      </c>
      <c r="DJ97" s="704" t="n">
        <v>0</v>
      </c>
      <c r="DK97" s="704" t="n">
        <v>0</v>
      </c>
      <c r="DL97" s="704" t="n">
        <v>0</v>
      </c>
      <c r="DM97" s="704" t="n">
        <v>0</v>
      </c>
    </row>
    <row r="98" ht="13.5" customHeight="1" s="355">
      <c r="B98" s="703" t="inlineStr">
        <is>
          <t>Team Leader</t>
        </is>
      </c>
      <c r="D98" s="704" t="n">
        <v>0</v>
      </c>
      <c r="E98" s="704" t="n">
        <v>0</v>
      </c>
      <c r="F98" s="704" t="n">
        <v>0</v>
      </c>
      <c r="G98" s="704" t="n">
        <v>0</v>
      </c>
      <c r="H98" s="704" t="n">
        <v>0</v>
      </c>
      <c r="I98" s="704" t="n">
        <v>0</v>
      </c>
      <c r="J98" s="704" t="n">
        <v>0</v>
      </c>
      <c r="K98" s="704" t="n">
        <v>0</v>
      </c>
      <c r="L98" s="704" t="n">
        <v>0</v>
      </c>
      <c r="M98" s="704" t="n">
        <v>0</v>
      </c>
      <c r="N98" s="704" t="n">
        <v>0</v>
      </c>
      <c r="O98" s="704" t="n">
        <v>0</v>
      </c>
      <c r="P98" s="704" t="n">
        <v>0</v>
      </c>
      <c r="Q98" s="704" t="n">
        <v>0</v>
      </c>
      <c r="R98" s="704" t="n">
        <v>0</v>
      </c>
      <c r="S98" s="704" t="n">
        <v>0</v>
      </c>
      <c r="T98" s="704" t="n">
        <v>0</v>
      </c>
      <c r="U98" s="704" t="n">
        <v>0</v>
      </c>
      <c r="V98" s="704" t="n">
        <v>0</v>
      </c>
      <c r="W98" s="704" t="n">
        <v>0</v>
      </c>
      <c r="X98" s="704" t="n">
        <v>0</v>
      </c>
      <c r="Y98" s="704" t="n">
        <v>0</v>
      </c>
      <c r="Z98" s="704" t="n">
        <v>0</v>
      </c>
      <c r="AA98" s="704" t="n">
        <v>0</v>
      </c>
      <c r="AB98" s="704" t="n">
        <v>0</v>
      </c>
      <c r="AC98" s="704" t="n">
        <v>0</v>
      </c>
      <c r="AD98" s="704" t="n">
        <v>0</v>
      </c>
      <c r="AE98" s="704" t="n">
        <v>0</v>
      </c>
      <c r="AF98" s="704" t="n">
        <v>0</v>
      </c>
      <c r="AG98" s="704" t="n">
        <v>0</v>
      </c>
      <c r="AH98" s="704" t="n">
        <v>0</v>
      </c>
      <c r="AI98" s="704" t="n">
        <v>0</v>
      </c>
      <c r="AJ98" s="704" t="n">
        <v>0</v>
      </c>
      <c r="AK98" s="704" t="n">
        <v>0</v>
      </c>
      <c r="AL98" s="704" t="n">
        <v>0</v>
      </c>
      <c r="AM98" s="704" t="n">
        <v>0</v>
      </c>
      <c r="AN98" s="704" t="n">
        <v>0</v>
      </c>
      <c r="AO98" s="704" t="n">
        <v>0</v>
      </c>
      <c r="AP98" s="704" t="n">
        <v>0</v>
      </c>
      <c r="AQ98" s="704" t="n">
        <v>0</v>
      </c>
      <c r="AR98" s="704" t="n">
        <v>0</v>
      </c>
      <c r="AS98" s="704" t="n">
        <v>0</v>
      </c>
      <c r="AT98" s="704" t="n">
        <v>0</v>
      </c>
      <c r="AU98" s="704" t="n">
        <v>0</v>
      </c>
      <c r="AV98" s="704" t="n">
        <v>0</v>
      </c>
      <c r="AW98" s="704" t="n">
        <v>0</v>
      </c>
      <c r="AX98" s="704" t="n">
        <v>0</v>
      </c>
      <c r="AY98" s="704" t="n">
        <v>0</v>
      </c>
      <c r="AZ98" s="704" t="n">
        <v>0</v>
      </c>
      <c r="BA98" s="704" t="n">
        <v>0</v>
      </c>
      <c r="BB98" s="704" t="n">
        <v>0</v>
      </c>
      <c r="BC98" s="704" t="n">
        <v>0</v>
      </c>
      <c r="BD98" s="704" t="n">
        <v>0</v>
      </c>
      <c r="BE98" s="704" t="n">
        <v>0</v>
      </c>
      <c r="BF98" s="704" t="n">
        <v>0</v>
      </c>
      <c r="BG98" s="704" t="n">
        <v>0</v>
      </c>
      <c r="BH98" s="704" t="n">
        <v>0</v>
      </c>
      <c r="BI98" s="704" t="n">
        <v>0</v>
      </c>
      <c r="BJ98" s="704" t="n">
        <v>0</v>
      </c>
      <c r="BK98" s="704" t="n">
        <v>0</v>
      </c>
      <c r="BL98" s="704" t="n">
        <v>0</v>
      </c>
      <c r="BM98" s="704" t="n">
        <v>0</v>
      </c>
      <c r="BN98" s="704" t="n">
        <v>0</v>
      </c>
      <c r="BO98" s="704" t="n">
        <v>0</v>
      </c>
      <c r="BP98" s="704" t="n">
        <v>0</v>
      </c>
      <c r="BQ98" s="704" t="n">
        <v>0</v>
      </c>
      <c r="BR98" s="704" t="n">
        <v>0</v>
      </c>
      <c r="BS98" s="704" t="n">
        <v>0</v>
      </c>
      <c r="BT98" s="704" t="n">
        <v>0</v>
      </c>
      <c r="BU98" s="704" t="n">
        <v>0</v>
      </c>
      <c r="BV98" s="704" t="n">
        <v>0</v>
      </c>
      <c r="BW98" s="704" t="n">
        <v>0</v>
      </c>
      <c r="BX98" s="704" t="n">
        <v>0</v>
      </c>
      <c r="BY98" s="704" t="n">
        <v>0</v>
      </c>
      <c r="BZ98" s="704" t="n">
        <v>0</v>
      </c>
      <c r="CA98" s="704" t="n">
        <v>0</v>
      </c>
      <c r="CB98" s="704" t="n">
        <v>0</v>
      </c>
      <c r="CC98" s="704" t="n">
        <v>0</v>
      </c>
      <c r="CD98" s="704" t="n">
        <v>0</v>
      </c>
      <c r="CE98" s="704" t="n">
        <v>0</v>
      </c>
      <c r="CF98" s="704" t="n">
        <v>0</v>
      </c>
      <c r="CG98" s="704" t="n">
        <v>0</v>
      </c>
      <c r="CH98" s="704" t="n">
        <v>0</v>
      </c>
      <c r="CI98" s="704" t="n">
        <v>0</v>
      </c>
      <c r="CJ98" s="704" t="n">
        <v>0</v>
      </c>
      <c r="CK98" s="704" t="n">
        <v>0</v>
      </c>
      <c r="CL98" s="704" t="n">
        <v>0</v>
      </c>
      <c r="CM98" s="704" t="n">
        <v>0</v>
      </c>
      <c r="CN98" s="704" t="n">
        <v>0</v>
      </c>
      <c r="CO98" s="704" t="n">
        <v>0</v>
      </c>
      <c r="CP98" s="704" t="n">
        <v>0</v>
      </c>
      <c r="CQ98" s="704" t="n">
        <v>0</v>
      </c>
      <c r="CR98" s="704" t="n">
        <v>0</v>
      </c>
      <c r="CS98" s="704" t="n">
        <v>0</v>
      </c>
      <c r="CT98" s="704" t="n">
        <v>0</v>
      </c>
      <c r="CU98" s="704" t="n">
        <v>0</v>
      </c>
      <c r="CV98" s="704" t="n">
        <v>0</v>
      </c>
      <c r="CW98" s="704" t="n">
        <v>0</v>
      </c>
      <c r="CX98" s="704" t="n">
        <v>0</v>
      </c>
      <c r="CY98" s="704" t="n">
        <v>0</v>
      </c>
      <c r="CZ98" s="704" t="n">
        <v>0</v>
      </c>
      <c r="DA98" s="704" t="n">
        <v>0</v>
      </c>
      <c r="DB98" s="704" t="n">
        <v>0</v>
      </c>
      <c r="DC98" s="704" t="n">
        <v>0</v>
      </c>
      <c r="DD98" s="704" t="n">
        <v>0</v>
      </c>
      <c r="DE98" s="704" t="n">
        <v>0</v>
      </c>
      <c r="DF98" s="704" t="n">
        <v>0</v>
      </c>
      <c r="DG98" s="704" t="n">
        <v>0</v>
      </c>
      <c r="DH98" s="704" t="n">
        <v>0</v>
      </c>
      <c r="DI98" s="704" t="n">
        <v>0</v>
      </c>
      <c r="DJ98" s="704" t="n">
        <v>0</v>
      </c>
      <c r="DK98" s="704" t="n">
        <v>0</v>
      </c>
      <c r="DL98" s="704" t="n">
        <v>0</v>
      </c>
      <c r="DM98" s="704" t="n">
        <v>0</v>
      </c>
    </row>
    <row r="99" ht="13.5" customHeight="1" s="355">
      <c r="B99" s="703" t="inlineStr">
        <is>
          <t>SLA Metric Reporting</t>
        </is>
      </c>
      <c r="D99" s="704" t="n">
        <v>0</v>
      </c>
      <c r="E99" s="704" t="n">
        <v>0</v>
      </c>
      <c r="F99" s="704" t="n">
        <v>0</v>
      </c>
      <c r="G99" s="704" t="n">
        <v>0</v>
      </c>
      <c r="H99" s="704" t="n">
        <v>0</v>
      </c>
      <c r="I99" s="704" t="n">
        <v>0</v>
      </c>
      <c r="J99" s="704" t="n">
        <v>0</v>
      </c>
      <c r="K99" s="704" t="n">
        <v>0</v>
      </c>
      <c r="L99" s="704" t="n">
        <v>0</v>
      </c>
      <c r="M99" s="704" t="n">
        <v>0</v>
      </c>
      <c r="N99" s="704" t="n">
        <v>0</v>
      </c>
      <c r="O99" s="704" t="n">
        <v>0</v>
      </c>
      <c r="P99" s="704" t="n">
        <v>0</v>
      </c>
      <c r="Q99" s="704" t="n">
        <v>0</v>
      </c>
      <c r="R99" s="704" t="n">
        <v>0</v>
      </c>
      <c r="S99" s="704" t="n">
        <v>0</v>
      </c>
      <c r="T99" s="704" t="n">
        <v>0</v>
      </c>
      <c r="U99" s="704" t="n">
        <v>0</v>
      </c>
      <c r="V99" s="704" t="n">
        <v>0</v>
      </c>
      <c r="W99" s="704" t="n">
        <v>0</v>
      </c>
      <c r="X99" s="704" t="n">
        <v>0</v>
      </c>
      <c r="Y99" s="704" t="n">
        <v>0</v>
      </c>
      <c r="Z99" s="704" t="n">
        <v>0</v>
      </c>
      <c r="AA99" s="704" t="n">
        <v>0</v>
      </c>
      <c r="AB99" s="704" t="n">
        <v>0</v>
      </c>
      <c r="AC99" s="704" t="n">
        <v>0</v>
      </c>
      <c r="AD99" s="704" t="n">
        <v>0</v>
      </c>
      <c r="AE99" s="704" t="n">
        <v>0</v>
      </c>
      <c r="AF99" s="704" t="n">
        <v>0</v>
      </c>
      <c r="AG99" s="704" t="n">
        <v>0</v>
      </c>
      <c r="AH99" s="704" t="n">
        <v>0</v>
      </c>
      <c r="AI99" s="704" t="n">
        <v>0</v>
      </c>
      <c r="AJ99" s="704" t="n">
        <v>0</v>
      </c>
      <c r="AK99" s="704" t="n">
        <v>0</v>
      </c>
      <c r="AL99" s="704" t="n">
        <v>0</v>
      </c>
      <c r="AM99" s="704" t="n">
        <v>0</v>
      </c>
      <c r="AN99" s="704" t="n">
        <v>0</v>
      </c>
      <c r="AO99" s="704" t="n">
        <v>0</v>
      </c>
      <c r="AP99" s="704" t="n">
        <v>0</v>
      </c>
      <c r="AQ99" s="704" t="n">
        <v>0</v>
      </c>
      <c r="AR99" s="704" t="n">
        <v>0</v>
      </c>
      <c r="AS99" s="704" t="n">
        <v>0</v>
      </c>
      <c r="AT99" s="704" t="n">
        <v>0</v>
      </c>
      <c r="AU99" s="704" t="n">
        <v>0</v>
      </c>
      <c r="AV99" s="704" t="n">
        <v>0</v>
      </c>
      <c r="AW99" s="704" t="n">
        <v>0</v>
      </c>
      <c r="AX99" s="704" t="n">
        <v>0</v>
      </c>
      <c r="AY99" s="704" t="n">
        <v>0</v>
      </c>
      <c r="AZ99" s="704" t="n">
        <v>0</v>
      </c>
      <c r="BA99" s="704" t="n">
        <v>0</v>
      </c>
      <c r="BB99" s="704" t="n">
        <v>0</v>
      </c>
      <c r="BC99" s="704" t="n">
        <v>0</v>
      </c>
      <c r="BD99" s="704" t="n">
        <v>0</v>
      </c>
      <c r="BE99" s="704" t="n">
        <v>0</v>
      </c>
      <c r="BF99" s="704" t="n">
        <v>0</v>
      </c>
      <c r="BG99" s="704" t="n">
        <v>0</v>
      </c>
      <c r="BH99" s="704" t="n">
        <v>0</v>
      </c>
      <c r="BI99" s="704" t="n">
        <v>0</v>
      </c>
      <c r="BJ99" s="704" t="n">
        <v>0</v>
      </c>
      <c r="BK99" s="704" t="n">
        <v>0</v>
      </c>
      <c r="BL99" s="704" t="n">
        <v>0</v>
      </c>
      <c r="BM99" s="704" t="n">
        <v>0</v>
      </c>
      <c r="BN99" s="704" t="n">
        <v>0</v>
      </c>
      <c r="BO99" s="704" t="n">
        <v>0</v>
      </c>
      <c r="BP99" s="704" t="n">
        <v>0</v>
      </c>
      <c r="BQ99" s="704" t="n">
        <v>0</v>
      </c>
      <c r="BR99" s="704" t="n">
        <v>0</v>
      </c>
      <c r="BS99" s="704" t="n">
        <v>0</v>
      </c>
      <c r="BT99" s="704" t="n">
        <v>0</v>
      </c>
      <c r="BU99" s="704" t="n">
        <v>0</v>
      </c>
      <c r="BV99" s="704" t="n">
        <v>0</v>
      </c>
      <c r="BW99" s="704" t="n">
        <v>0</v>
      </c>
      <c r="BX99" s="704" t="n">
        <v>0</v>
      </c>
      <c r="BY99" s="704" t="n">
        <v>0</v>
      </c>
      <c r="BZ99" s="704" t="n">
        <v>0</v>
      </c>
      <c r="CA99" s="704" t="n">
        <v>0</v>
      </c>
      <c r="CB99" s="704" t="n">
        <v>0</v>
      </c>
      <c r="CC99" s="704" t="n">
        <v>0</v>
      </c>
      <c r="CD99" s="704" t="n">
        <v>0</v>
      </c>
      <c r="CE99" s="704" t="n">
        <v>0</v>
      </c>
      <c r="CF99" s="704" t="n">
        <v>0</v>
      </c>
      <c r="CG99" s="704" t="n">
        <v>0</v>
      </c>
      <c r="CH99" s="704" t="n">
        <v>0</v>
      </c>
      <c r="CI99" s="704" t="n">
        <v>0</v>
      </c>
      <c r="CJ99" s="704" t="n">
        <v>0</v>
      </c>
      <c r="CK99" s="704" t="n">
        <v>0</v>
      </c>
      <c r="CL99" s="704" t="n">
        <v>0</v>
      </c>
      <c r="CM99" s="704" t="n">
        <v>0</v>
      </c>
      <c r="CN99" s="704" t="n">
        <v>0</v>
      </c>
      <c r="CO99" s="704" t="n">
        <v>0</v>
      </c>
      <c r="CP99" s="704" t="n">
        <v>0</v>
      </c>
      <c r="CQ99" s="704" t="n">
        <v>0</v>
      </c>
      <c r="CR99" s="704" t="n">
        <v>0</v>
      </c>
      <c r="CS99" s="704" t="n">
        <v>0</v>
      </c>
      <c r="CT99" s="704" t="n">
        <v>0</v>
      </c>
      <c r="CU99" s="704" t="n">
        <v>0</v>
      </c>
      <c r="CV99" s="704" t="n">
        <v>0</v>
      </c>
      <c r="CW99" s="704" t="n">
        <v>0</v>
      </c>
      <c r="CX99" s="704" t="n">
        <v>0</v>
      </c>
      <c r="CY99" s="704" t="n">
        <v>0</v>
      </c>
      <c r="CZ99" s="704" t="n">
        <v>0</v>
      </c>
      <c r="DA99" s="704" t="n">
        <v>0</v>
      </c>
      <c r="DB99" s="704" t="n">
        <v>0</v>
      </c>
      <c r="DC99" s="704" t="n">
        <v>0</v>
      </c>
      <c r="DD99" s="704" t="n">
        <v>0</v>
      </c>
      <c r="DE99" s="704" t="n">
        <v>0</v>
      </c>
      <c r="DF99" s="704" t="n">
        <v>0</v>
      </c>
      <c r="DG99" s="704" t="n">
        <v>0</v>
      </c>
      <c r="DH99" s="704" t="n">
        <v>0</v>
      </c>
      <c r="DI99" s="704" t="n">
        <v>0</v>
      </c>
      <c r="DJ99" s="704" t="n">
        <v>0</v>
      </c>
      <c r="DK99" s="704" t="n">
        <v>0</v>
      </c>
      <c r="DL99" s="704" t="n">
        <v>0</v>
      </c>
      <c r="DM99" s="704" t="n">
        <v>0</v>
      </c>
    </row>
    <row r="100" ht="13.5" customHeight="1" s="355">
      <c r="B100" s="705" t="inlineStr">
        <is>
          <t>Grand Total</t>
        </is>
      </c>
      <c r="C100" s="706" t="n"/>
      <c r="D100" s="707" t="n">
        <v>0</v>
      </c>
      <c r="E100" s="707" t="n">
        <v>0</v>
      </c>
      <c r="F100" s="707" t="n">
        <v>0</v>
      </c>
      <c r="G100" s="707" t="n">
        <v>0</v>
      </c>
      <c r="H100" s="707" t="n">
        <v>0</v>
      </c>
      <c r="I100" s="707" t="n">
        <v>0</v>
      </c>
      <c r="J100" s="707" t="n">
        <v>0</v>
      </c>
      <c r="K100" s="707" t="n">
        <v>0</v>
      </c>
      <c r="L100" s="707" t="n">
        <v>0</v>
      </c>
      <c r="M100" s="707" t="n">
        <v>0</v>
      </c>
      <c r="N100" s="707" t="n">
        <v>0</v>
      </c>
      <c r="O100" s="707" t="n">
        <v>0</v>
      </c>
      <c r="P100" s="707" t="n">
        <v>0</v>
      </c>
      <c r="Q100" s="707" t="n">
        <v>0</v>
      </c>
      <c r="R100" s="707" t="n">
        <v>0</v>
      </c>
      <c r="S100" s="707" t="n">
        <v>0</v>
      </c>
      <c r="T100" s="707" t="n">
        <v>0</v>
      </c>
      <c r="U100" s="707" t="n">
        <v>0</v>
      </c>
      <c r="V100" s="707" t="n">
        <v>0</v>
      </c>
      <c r="W100" s="707" t="n">
        <v>0</v>
      </c>
      <c r="X100" s="707" t="n">
        <v>0</v>
      </c>
      <c r="Y100" s="707" t="n">
        <v>0</v>
      </c>
      <c r="Z100" s="707" t="n">
        <v>0</v>
      </c>
      <c r="AA100" s="707" t="n">
        <v>0</v>
      </c>
      <c r="AB100" s="707" t="n">
        <v>0</v>
      </c>
      <c r="AC100" s="707" t="n">
        <v>0</v>
      </c>
      <c r="AD100" s="707" t="n">
        <v>0</v>
      </c>
      <c r="AE100" s="707" t="n">
        <v>0</v>
      </c>
      <c r="AF100" s="707" t="n">
        <v>0</v>
      </c>
      <c r="AG100" s="707" t="n">
        <v>0</v>
      </c>
      <c r="AH100" s="707" t="n">
        <v>0</v>
      </c>
      <c r="AI100" s="707" t="n">
        <v>0</v>
      </c>
      <c r="AJ100" s="707" t="n">
        <v>0</v>
      </c>
      <c r="AK100" s="707" t="n">
        <v>0</v>
      </c>
      <c r="AL100" s="707" t="n">
        <v>0</v>
      </c>
      <c r="AM100" s="707" t="n">
        <v>0</v>
      </c>
      <c r="AN100" s="707" t="n">
        <v>0</v>
      </c>
      <c r="AO100" s="707" t="n">
        <v>0</v>
      </c>
      <c r="AP100" s="707" t="n">
        <v>0</v>
      </c>
      <c r="AQ100" s="707" t="n">
        <v>0</v>
      </c>
      <c r="AR100" s="707" t="n">
        <v>0</v>
      </c>
      <c r="AS100" s="707" t="n">
        <v>0</v>
      </c>
      <c r="AT100" s="707" t="n">
        <v>0</v>
      </c>
      <c r="AU100" s="707" t="n">
        <v>0</v>
      </c>
      <c r="AV100" s="707" t="n">
        <v>0</v>
      </c>
      <c r="AW100" s="707" t="n">
        <v>0</v>
      </c>
      <c r="AX100" s="707" t="n">
        <v>0</v>
      </c>
      <c r="AY100" s="707" t="n">
        <v>0</v>
      </c>
      <c r="AZ100" s="707" t="n">
        <v>0</v>
      </c>
      <c r="BA100" s="707" t="n">
        <v>0</v>
      </c>
      <c r="BB100" s="707" t="n">
        <v>0</v>
      </c>
      <c r="BC100" s="707" t="n">
        <v>0</v>
      </c>
      <c r="BD100" s="707" t="n">
        <v>0</v>
      </c>
      <c r="BE100" s="707" t="n">
        <v>0</v>
      </c>
      <c r="BF100" s="707" t="n">
        <v>0</v>
      </c>
      <c r="BG100" s="707" t="n">
        <v>0</v>
      </c>
      <c r="BH100" s="707" t="n">
        <v>0</v>
      </c>
      <c r="BI100" s="707" t="n">
        <v>0</v>
      </c>
      <c r="BJ100" s="707" t="n">
        <v>0</v>
      </c>
      <c r="BK100" s="707" t="n">
        <v>0</v>
      </c>
      <c r="BL100" s="707" t="n">
        <v>0</v>
      </c>
      <c r="BM100" s="707" t="n">
        <v>0</v>
      </c>
      <c r="BN100" s="707" t="n">
        <v>0</v>
      </c>
      <c r="BO100" s="707" t="n">
        <v>0</v>
      </c>
      <c r="BP100" s="707" t="n">
        <v>0</v>
      </c>
      <c r="BQ100" s="707" t="n">
        <v>0</v>
      </c>
      <c r="BR100" s="707" t="n">
        <v>0</v>
      </c>
      <c r="BS100" s="707" t="n">
        <v>0</v>
      </c>
      <c r="BT100" s="707" t="n">
        <v>0</v>
      </c>
      <c r="BU100" s="707" t="n">
        <v>0</v>
      </c>
      <c r="BV100" s="707" t="n">
        <v>0</v>
      </c>
      <c r="BW100" s="707" t="n">
        <v>0</v>
      </c>
      <c r="BX100" s="707" t="n">
        <v>0</v>
      </c>
      <c r="BY100" s="707" t="n">
        <v>0</v>
      </c>
      <c r="BZ100" s="707" t="n">
        <v>0</v>
      </c>
      <c r="CA100" s="707" t="n">
        <v>0</v>
      </c>
      <c r="CB100" s="707" t="n">
        <v>0</v>
      </c>
      <c r="CC100" s="707" t="n">
        <v>0</v>
      </c>
      <c r="CD100" s="707" t="n">
        <v>0</v>
      </c>
      <c r="CE100" s="707" t="n">
        <v>0</v>
      </c>
      <c r="CF100" s="707" t="n">
        <v>0</v>
      </c>
      <c r="CG100" s="707" t="n">
        <v>0</v>
      </c>
      <c r="CH100" s="707" t="n">
        <v>0</v>
      </c>
      <c r="CI100" s="707" t="n">
        <v>0</v>
      </c>
      <c r="CJ100" s="707" t="n">
        <v>0</v>
      </c>
      <c r="CK100" s="707" t="n">
        <v>0</v>
      </c>
      <c r="CL100" s="707" t="n">
        <v>0</v>
      </c>
      <c r="CM100" s="707" t="n">
        <v>0</v>
      </c>
      <c r="CN100" s="707" t="n">
        <v>0</v>
      </c>
      <c r="CO100" s="707" t="n">
        <v>0</v>
      </c>
      <c r="CP100" s="707" t="n">
        <v>0</v>
      </c>
      <c r="CQ100" s="707" t="n">
        <v>0</v>
      </c>
      <c r="CR100" s="707" t="n">
        <v>0</v>
      </c>
      <c r="CS100" s="707" t="n">
        <v>0</v>
      </c>
      <c r="CT100" s="707" t="n">
        <v>0</v>
      </c>
      <c r="CU100" s="707" t="n">
        <v>0</v>
      </c>
      <c r="CV100" s="707" t="n">
        <v>0</v>
      </c>
      <c r="CW100" s="707" t="n">
        <v>0</v>
      </c>
      <c r="CX100" s="707" t="n">
        <v>0</v>
      </c>
      <c r="CY100" s="707" t="n">
        <v>0</v>
      </c>
      <c r="CZ100" s="707" t="n">
        <v>0</v>
      </c>
      <c r="DA100" s="707" t="n">
        <v>0</v>
      </c>
      <c r="DB100" s="707" t="n">
        <v>0</v>
      </c>
      <c r="DC100" s="707" t="n">
        <v>0</v>
      </c>
      <c r="DD100" s="707" t="n">
        <v>0</v>
      </c>
      <c r="DE100" s="707" t="n">
        <v>0</v>
      </c>
      <c r="DF100" s="707" t="n">
        <v>0</v>
      </c>
      <c r="DG100" s="707" t="n">
        <v>0</v>
      </c>
      <c r="DH100" s="707" t="n">
        <v>0</v>
      </c>
      <c r="DI100" s="707" t="n">
        <v>0</v>
      </c>
      <c r="DJ100" s="707" t="n">
        <v>0</v>
      </c>
      <c r="DK100" s="707" t="n">
        <v>0</v>
      </c>
      <c r="DL100" s="707" t="n">
        <v>0</v>
      </c>
      <c r="DM100" s="707" t="n">
        <v>0</v>
      </c>
    </row>
    <row r="101" ht="13.5" customHeight="1" s="355">
      <c r="A101" s="702" t="inlineStr">
        <is>
          <t>Country 10</t>
        </is>
      </c>
      <c r="B101" s="703" t="inlineStr">
        <is>
          <t>Gen Acctg</t>
        </is>
      </c>
      <c r="D101" s="704" t="n">
        <v>0</v>
      </c>
      <c r="E101" s="704" t="n">
        <v>0</v>
      </c>
      <c r="F101" s="704" t="n">
        <v>0</v>
      </c>
      <c r="G101" s="704" t="n">
        <v>0</v>
      </c>
      <c r="H101" s="704" t="n">
        <v>0</v>
      </c>
      <c r="I101" s="704" t="n">
        <v>0</v>
      </c>
      <c r="J101" s="704" t="n">
        <v>0</v>
      </c>
      <c r="K101" s="704" t="n">
        <v>0</v>
      </c>
      <c r="L101" s="704" t="n">
        <v>0</v>
      </c>
      <c r="M101" s="704" t="n">
        <v>0</v>
      </c>
      <c r="N101" s="704" t="n">
        <v>0</v>
      </c>
      <c r="O101" s="704" t="n">
        <v>0</v>
      </c>
      <c r="P101" s="704" t="n">
        <v>0</v>
      </c>
      <c r="Q101" s="704" t="n">
        <v>0</v>
      </c>
      <c r="R101" s="704" t="n">
        <v>0</v>
      </c>
      <c r="S101" s="704" t="n">
        <v>0</v>
      </c>
      <c r="T101" s="704" t="n">
        <v>0</v>
      </c>
      <c r="U101" s="704" t="n">
        <v>0</v>
      </c>
      <c r="V101" s="704" t="n">
        <v>0</v>
      </c>
      <c r="W101" s="704" t="n">
        <v>0</v>
      </c>
      <c r="X101" s="704" t="n">
        <v>0</v>
      </c>
      <c r="Y101" s="704" t="n">
        <v>0</v>
      </c>
      <c r="Z101" s="704" t="n">
        <v>0</v>
      </c>
      <c r="AA101" s="704" t="n">
        <v>0</v>
      </c>
      <c r="AB101" s="704" t="n">
        <v>0</v>
      </c>
      <c r="AC101" s="704" t="n">
        <v>0</v>
      </c>
      <c r="AD101" s="704" t="n">
        <v>0</v>
      </c>
      <c r="AE101" s="704" t="n">
        <v>0</v>
      </c>
      <c r="AF101" s="704" t="n">
        <v>0</v>
      </c>
      <c r="AG101" s="704" t="n">
        <v>0</v>
      </c>
      <c r="AH101" s="704" t="n">
        <v>0</v>
      </c>
      <c r="AI101" s="704" t="n">
        <v>0</v>
      </c>
      <c r="AJ101" s="704" t="n">
        <v>0</v>
      </c>
      <c r="AK101" s="704" t="n">
        <v>0</v>
      </c>
      <c r="AL101" s="704" t="n">
        <v>0</v>
      </c>
      <c r="AM101" s="704" t="n">
        <v>0</v>
      </c>
      <c r="AN101" s="704" t="n">
        <v>0</v>
      </c>
      <c r="AO101" s="704" t="n">
        <v>0</v>
      </c>
      <c r="AP101" s="704" t="n">
        <v>0</v>
      </c>
      <c r="AQ101" s="704" t="n">
        <v>0</v>
      </c>
      <c r="AR101" s="704" t="n">
        <v>0</v>
      </c>
      <c r="AS101" s="704" t="n">
        <v>0</v>
      </c>
      <c r="AT101" s="704" t="n">
        <v>0</v>
      </c>
      <c r="AU101" s="704" t="n">
        <v>0</v>
      </c>
      <c r="AV101" s="704" t="n">
        <v>0</v>
      </c>
      <c r="AW101" s="704" t="n">
        <v>0</v>
      </c>
      <c r="AX101" s="704" t="n">
        <v>0</v>
      </c>
      <c r="AY101" s="704" t="n">
        <v>0</v>
      </c>
      <c r="AZ101" s="704" t="n">
        <v>0</v>
      </c>
      <c r="BA101" s="704" t="n">
        <v>0</v>
      </c>
      <c r="BB101" s="704" t="n">
        <v>0</v>
      </c>
      <c r="BC101" s="704" t="n">
        <v>0</v>
      </c>
      <c r="BD101" s="704" t="n">
        <v>0</v>
      </c>
      <c r="BE101" s="704" t="n">
        <v>0</v>
      </c>
      <c r="BF101" s="704" t="n">
        <v>0</v>
      </c>
      <c r="BG101" s="704" t="n">
        <v>0</v>
      </c>
      <c r="BH101" s="704" t="n">
        <v>0</v>
      </c>
      <c r="BI101" s="704" t="n">
        <v>0</v>
      </c>
      <c r="BJ101" s="704" t="n">
        <v>0</v>
      </c>
      <c r="BK101" s="704" t="n">
        <v>0</v>
      </c>
      <c r="BL101" s="704" t="n">
        <v>0</v>
      </c>
      <c r="BM101" s="704" t="n">
        <v>0</v>
      </c>
      <c r="BN101" s="704" t="n">
        <v>0</v>
      </c>
      <c r="BO101" s="704" t="n">
        <v>0</v>
      </c>
      <c r="BP101" s="704" t="n">
        <v>0</v>
      </c>
      <c r="BQ101" s="704" t="n">
        <v>0</v>
      </c>
      <c r="BR101" s="704" t="n">
        <v>0</v>
      </c>
      <c r="BS101" s="704" t="n">
        <v>0</v>
      </c>
      <c r="BT101" s="704" t="n">
        <v>0</v>
      </c>
      <c r="BU101" s="704" t="n">
        <v>0</v>
      </c>
      <c r="BV101" s="704" t="n">
        <v>0</v>
      </c>
      <c r="BW101" s="704" t="n">
        <v>0</v>
      </c>
      <c r="BX101" s="704" t="n">
        <v>0</v>
      </c>
      <c r="BY101" s="704" t="n">
        <v>0</v>
      </c>
      <c r="BZ101" s="704" t="n">
        <v>0</v>
      </c>
      <c r="CA101" s="704" t="n">
        <v>0</v>
      </c>
      <c r="CB101" s="704" t="n">
        <v>0</v>
      </c>
      <c r="CC101" s="704" t="n">
        <v>0</v>
      </c>
      <c r="CD101" s="704" t="n">
        <v>0</v>
      </c>
      <c r="CE101" s="704" t="n">
        <v>0</v>
      </c>
      <c r="CF101" s="704" t="n">
        <v>0</v>
      </c>
      <c r="CG101" s="704" t="n">
        <v>0</v>
      </c>
      <c r="CH101" s="704" t="n">
        <v>0</v>
      </c>
      <c r="CI101" s="704" t="n">
        <v>0</v>
      </c>
      <c r="CJ101" s="704" t="n">
        <v>0</v>
      </c>
      <c r="CK101" s="704" t="n">
        <v>0</v>
      </c>
      <c r="CL101" s="704" t="n">
        <v>0</v>
      </c>
      <c r="CM101" s="704" t="n">
        <v>0</v>
      </c>
      <c r="CN101" s="704" t="n">
        <v>0</v>
      </c>
      <c r="CO101" s="704" t="n">
        <v>0</v>
      </c>
      <c r="CP101" s="704" t="n">
        <v>0</v>
      </c>
      <c r="CQ101" s="704" t="n">
        <v>0</v>
      </c>
      <c r="CR101" s="704" t="n">
        <v>0</v>
      </c>
      <c r="CS101" s="704" t="n">
        <v>0</v>
      </c>
      <c r="CT101" s="704" t="n">
        <v>0</v>
      </c>
      <c r="CU101" s="704" t="n">
        <v>0</v>
      </c>
      <c r="CV101" s="704" t="n">
        <v>0</v>
      </c>
      <c r="CW101" s="704" t="n">
        <v>0</v>
      </c>
      <c r="CX101" s="704" t="n">
        <v>0</v>
      </c>
      <c r="CY101" s="704" t="n">
        <v>0</v>
      </c>
      <c r="CZ101" s="704" t="n">
        <v>0</v>
      </c>
      <c r="DA101" s="704" t="n">
        <v>0</v>
      </c>
      <c r="DB101" s="704" t="n">
        <v>0</v>
      </c>
      <c r="DC101" s="704" t="n">
        <v>0</v>
      </c>
      <c r="DD101" s="704" t="n">
        <v>0</v>
      </c>
      <c r="DE101" s="704" t="n">
        <v>0</v>
      </c>
      <c r="DF101" s="704" t="n">
        <v>0</v>
      </c>
      <c r="DG101" s="704" t="n">
        <v>0</v>
      </c>
      <c r="DH101" s="704" t="n">
        <v>0</v>
      </c>
      <c r="DI101" s="704" t="n">
        <v>0</v>
      </c>
      <c r="DJ101" s="704" t="n">
        <v>0</v>
      </c>
      <c r="DK101" s="704" t="n">
        <v>0</v>
      </c>
      <c r="DL101" s="704" t="n">
        <v>0</v>
      </c>
      <c r="DM101" s="704" t="n">
        <v>0</v>
      </c>
    </row>
    <row r="102" ht="13.5" customHeight="1" s="355">
      <c r="B102" s="703" t="inlineStr">
        <is>
          <t>Reporting</t>
        </is>
      </c>
      <c r="D102" s="704" t="n">
        <v>0</v>
      </c>
      <c r="E102" s="704" t="n">
        <v>0</v>
      </c>
      <c r="F102" s="704" t="n">
        <v>0</v>
      </c>
      <c r="G102" s="704" t="n">
        <v>0</v>
      </c>
      <c r="H102" s="704" t="n">
        <v>0</v>
      </c>
      <c r="I102" s="704" t="n">
        <v>0</v>
      </c>
      <c r="J102" s="704" t="n">
        <v>0</v>
      </c>
      <c r="K102" s="704" t="n">
        <v>0</v>
      </c>
      <c r="L102" s="704" t="n">
        <v>0</v>
      </c>
      <c r="M102" s="704" t="n">
        <v>0</v>
      </c>
      <c r="N102" s="704" t="n">
        <v>0</v>
      </c>
      <c r="O102" s="704" t="n">
        <v>0</v>
      </c>
      <c r="P102" s="704" t="n">
        <v>0</v>
      </c>
      <c r="Q102" s="704" t="n">
        <v>0</v>
      </c>
      <c r="R102" s="704" t="n">
        <v>0</v>
      </c>
      <c r="S102" s="704" t="n">
        <v>0</v>
      </c>
      <c r="T102" s="704" t="n">
        <v>0</v>
      </c>
      <c r="U102" s="704" t="n">
        <v>0</v>
      </c>
      <c r="V102" s="704" t="n">
        <v>0</v>
      </c>
      <c r="W102" s="704" t="n">
        <v>0</v>
      </c>
      <c r="X102" s="704" t="n">
        <v>0</v>
      </c>
      <c r="Y102" s="704" t="n">
        <v>0</v>
      </c>
      <c r="Z102" s="704" t="n">
        <v>0</v>
      </c>
      <c r="AA102" s="704" t="n">
        <v>0</v>
      </c>
      <c r="AB102" s="704" t="n">
        <v>0</v>
      </c>
      <c r="AC102" s="704" t="n">
        <v>0</v>
      </c>
      <c r="AD102" s="704" t="n">
        <v>0</v>
      </c>
      <c r="AE102" s="704" t="n">
        <v>0</v>
      </c>
      <c r="AF102" s="704" t="n">
        <v>0</v>
      </c>
      <c r="AG102" s="704" t="n">
        <v>0</v>
      </c>
      <c r="AH102" s="704" t="n">
        <v>0</v>
      </c>
      <c r="AI102" s="704" t="n">
        <v>0</v>
      </c>
      <c r="AJ102" s="704" t="n">
        <v>0</v>
      </c>
      <c r="AK102" s="704" t="n">
        <v>0</v>
      </c>
      <c r="AL102" s="704" t="n">
        <v>0</v>
      </c>
      <c r="AM102" s="704" t="n">
        <v>0</v>
      </c>
      <c r="AN102" s="704" t="n">
        <v>0</v>
      </c>
      <c r="AO102" s="704" t="n">
        <v>0</v>
      </c>
      <c r="AP102" s="704" t="n">
        <v>0</v>
      </c>
      <c r="AQ102" s="704" t="n">
        <v>0</v>
      </c>
      <c r="AR102" s="704" t="n">
        <v>0</v>
      </c>
      <c r="AS102" s="704" t="n">
        <v>0</v>
      </c>
      <c r="AT102" s="704" t="n">
        <v>0</v>
      </c>
      <c r="AU102" s="704" t="n">
        <v>0</v>
      </c>
      <c r="AV102" s="704" t="n">
        <v>0</v>
      </c>
      <c r="AW102" s="704" t="n">
        <v>0</v>
      </c>
      <c r="AX102" s="704" t="n">
        <v>0</v>
      </c>
      <c r="AY102" s="704" t="n">
        <v>0</v>
      </c>
      <c r="AZ102" s="704" t="n">
        <v>0</v>
      </c>
      <c r="BA102" s="704" t="n">
        <v>0</v>
      </c>
      <c r="BB102" s="704" t="n">
        <v>0</v>
      </c>
      <c r="BC102" s="704" t="n">
        <v>0</v>
      </c>
      <c r="BD102" s="704" t="n">
        <v>0</v>
      </c>
      <c r="BE102" s="704" t="n">
        <v>0</v>
      </c>
      <c r="BF102" s="704" t="n">
        <v>0</v>
      </c>
      <c r="BG102" s="704" t="n">
        <v>0</v>
      </c>
      <c r="BH102" s="704" t="n">
        <v>0</v>
      </c>
      <c r="BI102" s="704" t="n">
        <v>0</v>
      </c>
      <c r="BJ102" s="704" t="n">
        <v>0</v>
      </c>
      <c r="BK102" s="704" t="n">
        <v>0</v>
      </c>
      <c r="BL102" s="704" t="n">
        <v>0</v>
      </c>
      <c r="BM102" s="704" t="n">
        <v>0</v>
      </c>
      <c r="BN102" s="704" t="n">
        <v>0</v>
      </c>
      <c r="BO102" s="704" t="n">
        <v>0</v>
      </c>
      <c r="BP102" s="704" t="n">
        <v>0</v>
      </c>
      <c r="BQ102" s="704" t="n">
        <v>0</v>
      </c>
      <c r="BR102" s="704" t="n">
        <v>0</v>
      </c>
      <c r="BS102" s="704" t="n">
        <v>0</v>
      </c>
      <c r="BT102" s="704" t="n">
        <v>0</v>
      </c>
      <c r="BU102" s="704" t="n">
        <v>0</v>
      </c>
      <c r="BV102" s="704" t="n">
        <v>0</v>
      </c>
      <c r="BW102" s="704" t="n">
        <v>0</v>
      </c>
      <c r="BX102" s="704" t="n">
        <v>0</v>
      </c>
      <c r="BY102" s="704" t="n">
        <v>0</v>
      </c>
      <c r="BZ102" s="704" t="n">
        <v>0</v>
      </c>
      <c r="CA102" s="704" t="n">
        <v>0</v>
      </c>
      <c r="CB102" s="704" t="n">
        <v>0</v>
      </c>
      <c r="CC102" s="704" t="n">
        <v>0</v>
      </c>
      <c r="CD102" s="704" t="n">
        <v>0</v>
      </c>
      <c r="CE102" s="704" t="n">
        <v>0</v>
      </c>
      <c r="CF102" s="704" t="n">
        <v>0</v>
      </c>
      <c r="CG102" s="704" t="n">
        <v>0</v>
      </c>
      <c r="CH102" s="704" t="n">
        <v>0</v>
      </c>
      <c r="CI102" s="704" t="n">
        <v>0</v>
      </c>
      <c r="CJ102" s="704" t="n">
        <v>0</v>
      </c>
      <c r="CK102" s="704" t="n">
        <v>0</v>
      </c>
      <c r="CL102" s="704" t="n">
        <v>0</v>
      </c>
      <c r="CM102" s="704" t="n">
        <v>0</v>
      </c>
      <c r="CN102" s="704" t="n">
        <v>0</v>
      </c>
      <c r="CO102" s="704" t="n">
        <v>0</v>
      </c>
      <c r="CP102" s="704" t="n">
        <v>0</v>
      </c>
      <c r="CQ102" s="704" t="n">
        <v>0</v>
      </c>
      <c r="CR102" s="704" t="n">
        <v>0</v>
      </c>
      <c r="CS102" s="704" t="n">
        <v>0</v>
      </c>
      <c r="CT102" s="704" t="n">
        <v>0</v>
      </c>
      <c r="CU102" s="704" t="n">
        <v>0</v>
      </c>
      <c r="CV102" s="704" t="n">
        <v>0</v>
      </c>
      <c r="CW102" s="704" t="n">
        <v>0</v>
      </c>
      <c r="CX102" s="704" t="n">
        <v>0</v>
      </c>
      <c r="CY102" s="704" t="n">
        <v>0</v>
      </c>
      <c r="CZ102" s="704" t="n">
        <v>0</v>
      </c>
      <c r="DA102" s="704" t="n">
        <v>0</v>
      </c>
      <c r="DB102" s="704" t="n">
        <v>0</v>
      </c>
      <c r="DC102" s="704" t="n">
        <v>0</v>
      </c>
      <c r="DD102" s="704" t="n">
        <v>0</v>
      </c>
      <c r="DE102" s="704" t="n">
        <v>0</v>
      </c>
      <c r="DF102" s="704" t="n">
        <v>0</v>
      </c>
      <c r="DG102" s="704" t="n">
        <v>0</v>
      </c>
      <c r="DH102" s="704" t="n">
        <v>0</v>
      </c>
      <c r="DI102" s="704" t="n">
        <v>0</v>
      </c>
      <c r="DJ102" s="704" t="n">
        <v>0</v>
      </c>
      <c r="DK102" s="704" t="n">
        <v>0</v>
      </c>
      <c r="DL102" s="704" t="n">
        <v>0</v>
      </c>
      <c r="DM102" s="704" t="n">
        <v>0</v>
      </c>
    </row>
    <row r="103" ht="13.5" customHeight="1" s="355">
      <c r="B103" s="703" t="inlineStr">
        <is>
          <t>Fixed Assets</t>
        </is>
      </c>
      <c r="D103" s="704" t="n">
        <v>0</v>
      </c>
      <c r="E103" s="704" t="n">
        <v>0</v>
      </c>
      <c r="F103" s="704" t="n">
        <v>0</v>
      </c>
      <c r="G103" s="704" t="n">
        <v>0</v>
      </c>
      <c r="H103" s="704" t="n">
        <v>0</v>
      </c>
      <c r="I103" s="704" t="n">
        <v>0</v>
      </c>
      <c r="J103" s="704" t="n">
        <v>0</v>
      </c>
      <c r="K103" s="704" t="n">
        <v>0</v>
      </c>
      <c r="L103" s="704" t="n">
        <v>0</v>
      </c>
      <c r="M103" s="704" t="n">
        <v>0</v>
      </c>
      <c r="N103" s="704" t="n">
        <v>0</v>
      </c>
      <c r="O103" s="704" t="n">
        <v>0</v>
      </c>
      <c r="P103" s="704" t="n">
        <v>0</v>
      </c>
      <c r="Q103" s="704" t="n">
        <v>0</v>
      </c>
      <c r="R103" s="704" t="n">
        <v>0</v>
      </c>
      <c r="S103" s="704" t="n">
        <v>0</v>
      </c>
      <c r="T103" s="704" t="n">
        <v>0</v>
      </c>
      <c r="U103" s="704" t="n">
        <v>0</v>
      </c>
      <c r="V103" s="704" t="n">
        <v>0</v>
      </c>
      <c r="W103" s="704" t="n">
        <v>0</v>
      </c>
      <c r="X103" s="704" t="n">
        <v>0</v>
      </c>
      <c r="Y103" s="704" t="n">
        <v>0</v>
      </c>
      <c r="Z103" s="704" t="n">
        <v>0</v>
      </c>
      <c r="AA103" s="704" t="n">
        <v>0</v>
      </c>
      <c r="AB103" s="704" t="n">
        <v>0</v>
      </c>
      <c r="AC103" s="704" t="n">
        <v>0</v>
      </c>
      <c r="AD103" s="704" t="n">
        <v>0</v>
      </c>
      <c r="AE103" s="704" t="n">
        <v>0</v>
      </c>
      <c r="AF103" s="704" t="n">
        <v>0</v>
      </c>
      <c r="AG103" s="704" t="n">
        <v>0</v>
      </c>
      <c r="AH103" s="704" t="n">
        <v>0</v>
      </c>
      <c r="AI103" s="704" t="n">
        <v>0</v>
      </c>
      <c r="AJ103" s="704" t="n">
        <v>0</v>
      </c>
      <c r="AK103" s="704" t="n">
        <v>0</v>
      </c>
      <c r="AL103" s="704" t="n">
        <v>0</v>
      </c>
      <c r="AM103" s="704" t="n">
        <v>0</v>
      </c>
      <c r="AN103" s="704" t="n">
        <v>0</v>
      </c>
      <c r="AO103" s="704" t="n">
        <v>0</v>
      </c>
      <c r="AP103" s="704" t="n">
        <v>0</v>
      </c>
      <c r="AQ103" s="704" t="n">
        <v>0</v>
      </c>
      <c r="AR103" s="704" t="n">
        <v>0</v>
      </c>
      <c r="AS103" s="704" t="n">
        <v>0</v>
      </c>
      <c r="AT103" s="704" t="n">
        <v>0</v>
      </c>
      <c r="AU103" s="704" t="n">
        <v>0</v>
      </c>
      <c r="AV103" s="704" t="n">
        <v>0</v>
      </c>
      <c r="AW103" s="704" t="n">
        <v>0</v>
      </c>
      <c r="AX103" s="704" t="n">
        <v>0</v>
      </c>
      <c r="AY103" s="704" t="n">
        <v>0</v>
      </c>
      <c r="AZ103" s="704" t="n">
        <v>0</v>
      </c>
      <c r="BA103" s="704" t="n">
        <v>0</v>
      </c>
      <c r="BB103" s="704" t="n">
        <v>0</v>
      </c>
      <c r="BC103" s="704" t="n">
        <v>0</v>
      </c>
      <c r="BD103" s="704" t="n">
        <v>0</v>
      </c>
      <c r="BE103" s="704" t="n">
        <v>0</v>
      </c>
      <c r="BF103" s="704" t="n">
        <v>0</v>
      </c>
      <c r="BG103" s="704" t="n">
        <v>0</v>
      </c>
      <c r="BH103" s="704" t="n">
        <v>0</v>
      </c>
      <c r="BI103" s="704" t="n">
        <v>0</v>
      </c>
      <c r="BJ103" s="704" t="n">
        <v>0</v>
      </c>
      <c r="BK103" s="704" t="n">
        <v>0</v>
      </c>
      <c r="BL103" s="704" t="n">
        <v>0</v>
      </c>
      <c r="BM103" s="704" t="n">
        <v>0</v>
      </c>
      <c r="BN103" s="704" t="n">
        <v>0</v>
      </c>
      <c r="BO103" s="704" t="n">
        <v>0</v>
      </c>
      <c r="BP103" s="704" t="n">
        <v>0</v>
      </c>
      <c r="BQ103" s="704" t="n">
        <v>0</v>
      </c>
      <c r="BR103" s="704" t="n">
        <v>0</v>
      </c>
      <c r="BS103" s="704" t="n">
        <v>0</v>
      </c>
      <c r="BT103" s="704" t="n">
        <v>0</v>
      </c>
      <c r="BU103" s="704" t="n">
        <v>0</v>
      </c>
      <c r="BV103" s="704" t="n">
        <v>0</v>
      </c>
      <c r="BW103" s="704" t="n">
        <v>0</v>
      </c>
      <c r="BX103" s="704" t="n">
        <v>0</v>
      </c>
      <c r="BY103" s="704" t="n">
        <v>0</v>
      </c>
      <c r="BZ103" s="704" t="n">
        <v>0</v>
      </c>
      <c r="CA103" s="704" t="n">
        <v>0</v>
      </c>
      <c r="CB103" s="704" t="n">
        <v>0</v>
      </c>
      <c r="CC103" s="704" t="n">
        <v>0</v>
      </c>
      <c r="CD103" s="704" t="n">
        <v>0</v>
      </c>
      <c r="CE103" s="704" t="n">
        <v>0</v>
      </c>
      <c r="CF103" s="704" t="n">
        <v>0</v>
      </c>
      <c r="CG103" s="704" t="n">
        <v>0</v>
      </c>
      <c r="CH103" s="704" t="n">
        <v>0</v>
      </c>
      <c r="CI103" s="704" t="n">
        <v>0</v>
      </c>
      <c r="CJ103" s="704" t="n">
        <v>0</v>
      </c>
      <c r="CK103" s="704" t="n">
        <v>0</v>
      </c>
      <c r="CL103" s="704" t="n">
        <v>0</v>
      </c>
      <c r="CM103" s="704" t="n">
        <v>0</v>
      </c>
      <c r="CN103" s="704" t="n">
        <v>0</v>
      </c>
      <c r="CO103" s="704" t="n">
        <v>0</v>
      </c>
      <c r="CP103" s="704" t="n">
        <v>0</v>
      </c>
      <c r="CQ103" s="704" t="n">
        <v>0</v>
      </c>
      <c r="CR103" s="704" t="n">
        <v>0</v>
      </c>
      <c r="CS103" s="704" t="n">
        <v>0</v>
      </c>
      <c r="CT103" s="704" t="n">
        <v>0</v>
      </c>
      <c r="CU103" s="704" t="n">
        <v>0</v>
      </c>
      <c r="CV103" s="704" t="n">
        <v>0</v>
      </c>
      <c r="CW103" s="704" t="n">
        <v>0</v>
      </c>
      <c r="CX103" s="704" t="n">
        <v>0</v>
      </c>
      <c r="CY103" s="704" t="n">
        <v>0</v>
      </c>
      <c r="CZ103" s="704" t="n">
        <v>0</v>
      </c>
      <c r="DA103" s="704" t="n">
        <v>0</v>
      </c>
      <c r="DB103" s="704" t="n">
        <v>0</v>
      </c>
      <c r="DC103" s="704" t="n">
        <v>0</v>
      </c>
      <c r="DD103" s="704" t="n">
        <v>0</v>
      </c>
      <c r="DE103" s="704" t="n">
        <v>0</v>
      </c>
      <c r="DF103" s="704" t="n">
        <v>0</v>
      </c>
      <c r="DG103" s="704" t="n">
        <v>0</v>
      </c>
      <c r="DH103" s="704" t="n">
        <v>0</v>
      </c>
      <c r="DI103" s="704" t="n">
        <v>0</v>
      </c>
      <c r="DJ103" s="704" t="n">
        <v>0</v>
      </c>
      <c r="DK103" s="704" t="n">
        <v>0</v>
      </c>
      <c r="DL103" s="704" t="n">
        <v>0</v>
      </c>
      <c r="DM103" s="704" t="n">
        <v>0</v>
      </c>
    </row>
    <row r="104" ht="13.5" customHeight="1" s="355">
      <c r="B104" s="703" t="inlineStr">
        <is>
          <t>Acct Payable</t>
        </is>
      </c>
      <c r="D104" s="704" t="n">
        <v>0</v>
      </c>
      <c r="E104" s="704" t="n">
        <v>0</v>
      </c>
      <c r="F104" s="704" t="n">
        <v>0</v>
      </c>
      <c r="G104" s="704" t="n">
        <v>0</v>
      </c>
      <c r="H104" s="704" t="n">
        <v>0</v>
      </c>
      <c r="I104" s="704" t="n">
        <v>0</v>
      </c>
      <c r="J104" s="704" t="n">
        <v>0</v>
      </c>
      <c r="K104" s="704" t="n">
        <v>0</v>
      </c>
      <c r="L104" s="704" t="n">
        <v>0</v>
      </c>
      <c r="M104" s="704" t="n">
        <v>0</v>
      </c>
      <c r="N104" s="704" t="n">
        <v>0</v>
      </c>
      <c r="O104" s="704" t="n">
        <v>0</v>
      </c>
      <c r="P104" s="704" t="n">
        <v>0</v>
      </c>
      <c r="Q104" s="704" t="n">
        <v>0</v>
      </c>
      <c r="R104" s="704" t="n">
        <v>0</v>
      </c>
      <c r="S104" s="704" t="n">
        <v>0</v>
      </c>
      <c r="T104" s="704" t="n">
        <v>0</v>
      </c>
      <c r="U104" s="704" t="n">
        <v>0</v>
      </c>
      <c r="V104" s="704" t="n">
        <v>0</v>
      </c>
      <c r="W104" s="704" t="n">
        <v>0</v>
      </c>
      <c r="X104" s="704" t="n">
        <v>0</v>
      </c>
      <c r="Y104" s="704" t="n">
        <v>0</v>
      </c>
      <c r="Z104" s="704" t="n">
        <v>0</v>
      </c>
      <c r="AA104" s="704" t="n">
        <v>0</v>
      </c>
      <c r="AB104" s="704" t="n">
        <v>0</v>
      </c>
      <c r="AC104" s="704" t="n">
        <v>0</v>
      </c>
      <c r="AD104" s="704" t="n">
        <v>0</v>
      </c>
      <c r="AE104" s="704" t="n">
        <v>0</v>
      </c>
      <c r="AF104" s="704" t="n">
        <v>0</v>
      </c>
      <c r="AG104" s="704" t="n">
        <v>0</v>
      </c>
      <c r="AH104" s="704" t="n">
        <v>0</v>
      </c>
      <c r="AI104" s="704" t="n">
        <v>0</v>
      </c>
      <c r="AJ104" s="704" t="n">
        <v>0</v>
      </c>
      <c r="AK104" s="704" t="n">
        <v>0</v>
      </c>
      <c r="AL104" s="704" t="n">
        <v>0</v>
      </c>
      <c r="AM104" s="704" t="n">
        <v>0</v>
      </c>
      <c r="AN104" s="704" t="n">
        <v>0</v>
      </c>
      <c r="AO104" s="704" t="n">
        <v>0</v>
      </c>
      <c r="AP104" s="704" t="n">
        <v>0</v>
      </c>
      <c r="AQ104" s="704" t="n">
        <v>0</v>
      </c>
      <c r="AR104" s="704" t="n">
        <v>0</v>
      </c>
      <c r="AS104" s="704" t="n">
        <v>0</v>
      </c>
      <c r="AT104" s="704" t="n">
        <v>0</v>
      </c>
      <c r="AU104" s="704" t="n">
        <v>0</v>
      </c>
      <c r="AV104" s="704" t="n">
        <v>0</v>
      </c>
      <c r="AW104" s="704" t="n">
        <v>0</v>
      </c>
      <c r="AX104" s="704" t="n">
        <v>0</v>
      </c>
      <c r="AY104" s="704" t="n">
        <v>0</v>
      </c>
      <c r="AZ104" s="704" t="n">
        <v>0</v>
      </c>
      <c r="BA104" s="704" t="n">
        <v>0</v>
      </c>
      <c r="BB104" s="704" t="n">
        <v>0</v>
      </c>
      <c r="BC104" s="704" t="n">
        <v>0</v>
      </c>
      <c r="BD104" s="704" t="n">
        <v>0</v>
      </c>
      <c r="BE104" s="704" t="n">
        <v>0</v>
      </c>
      <c r="BF104" s="704" t="n">
        <v>0</v>
      </c>
      <c r="BG104" s="704" t="n">
        <v>0</v>
      </c>
      <c r="BH104" s="704" t="n">
        <v>0</v>
      </c>
      <c r="BI104" s="704" t="n">
        <v>0</v>
      </c>
      <c r="BJ104" s="704" t="n">
        <v>0</v>
      </c>
      <c r="BK104" s="704" t="n">
        <v>0</v>
      </c>
      <c r="BL104" s="704" t="n">
        <v>0</v>
      </c>
      <c r="BM104" s="704" t="n">
        <v>0</v>
      </c>
      <c r="BN104" s="704" t="n">
        <v>0</v>
      </c>
      <c r="BO104" s="704" t="n">
        <v>0</v>
      </c>
      <c r="BP104" s="704" t="n">
        <v>0</v>
      </c>
      <c r="BQ104" s="704" t="n">
        <v>0</v>
      </c>
      <c r="BR104" s="704" t="n">
        <v>0</v>
      </c>
      <c r="BS104" s="704" t="n">
        <v>0</v>
      </c>
      <c r="BT104" s="704" t="n">
        <v>0</v>
      </c>
      <c r="BU104" s="704" t="n">
        <v>0</v>
      </c>
      <c r="BV104" s="704" t="n">
        <v>0</v>
      </c>
      <c r="BW104" s="704" t="n">
        <v>0</v>
      </c>
      <c r="BX104" s="704" t="n">
        <v>0</v>
      </c>
      <c r="BY104" s="704" t="n">
        <v>0</v>
      </c>
      <c r="BZ104" s="704" t="n">
        <v>0</v>
      </c>
      <c r="CA104" s="704" t="n">
        <v>0</v>
      </c>
      <c r="CB104" s="704" t="n">
        <v>0</v>
      </c>
      <c r="CC104" s="704" t="n">
        <v>0</v>
      </c>
      <c r="CD104" s="704" t="n">
        <v>0</v>
      </c>
      <c r="CE104" s="704" t="n">
        <v>0</v>
      </c>
      <c r="CF104" s="704" t="n">
        <v>0</v>
      </c>
      <c r="CG104" s="704" t="n">
        <v>0</v>
      </c>
      <c r="CH104" s="704" t="n">
        <v>0</v>
      </c>
      <c r="CI104" s="704" t="n">
        <v>0</v>
      </c>
      <c r="CJ104" s="704" t="n">
        <v>0</v>
      </c>
      <c r="CK104" s="704" t="n">
        <v>0</v>
      </c>
      <c r="CL104" s="704" t="n">
        <v>0</v>
      </c>
      <c r="CM104" s="704" t="n">
        <v>0</v>
      </c>
      <c r="CN104" s="704" t="n">
        <v>0</v>
      </c>
      <c r="CO104" s="704" t="n">
        <v>0</v>
      </c>
      <c r="CP104" s="704" t="n">
        <v>0</v>
      </c>
      <c r="CQ104" s="704" t="n">
        <v>0</v>
      </c>
      <c r="CR104" s="704" t="n">
        <v>0</v>
      </c>
      <c r="CS104" s="704" t="n">
        <v>0</v>
      </c>
      <c r="CT104" s="704" t="n">
        <v>0</v>
      </c>
      <c r="CU104" s="704" t="n">
        <v>0</v>
      </c>
      <c r="CV104" s="704" t="n">
        <v>0</v>
      </c>
      <c r="CW104" s="704" t="n">
        <v>0</v>
      </c>
      <c r="CX104" s="704" t="n">
        <v>0</v>
      </c>
      <c r="CY104" s="704" t="n">
        <v>0</v>
      </c>
      <c r="CZ104" s="704" t="n">
        <v>0</v>
      </c>
      <c r="DA104" s="704" t="n">
        <v>0</v>
      </c>
      <c r="DB104" s="704" t="n">
        <v>0</v>
      </c>
      <c r="DC104" s="704" t="n">
        <v>0</v>
      </c>
      <c r="DD104" s="704" t="n">
        <v>0</v>
      </c>
      <c r="DE104" s="704" t="n">
        <v>0</v>
      </c>
      <c r="DF104" s="704" t="n">
        <v>0</v>
      </c>
      <c r="DG104" s="704" t="n">
        <v>0</v>
      </c>
      <c r="DH104" s="704" t="n">
        <v>0</v>
      </c>
      <c r="DI104" s="704" t="n">
        <v>0</v>
      </c>
      <c r="DJ104" s="704" t="n">
        <v>0</v>
      </c>
      <c r="DK104" s="704" t="n">
        <v>0</v>
      </c>
      <c r="DL104" s="704" t="n">
        <v>0</v>
      </c>
      <c r="DM104" s="704" t="n">
        <v>0</v>
      </c>
    </row>
    <row r="105" ht="13.5" customHeight="1" s="355">
      <c r="B105" s="703" t="inlineStr">
        <is>
          <t>Cash&amp;Bank</t>
        </is>
      </c>
      <c r="D105" s="704" t="n">
        <v>0</v>
      </c>
      <c r="E105" s="704" t="n">
        <v>0</v>
      </c>
      <c r="F105" s="704" t="n">
        <v>0</v>
      </c>
      <c r="G105" s="704" t="n">
        <v>0</v>
      </c>
      <c r="H105" s="704" t="n">
        <v>0</v>
      </c>
      <c r="I105" s="704" t="n">
        <v>0</v>
      </c>
      <c r="J105" s="704" t="n">
        <v>0</v>
      </c>
      <c r="K105" s="704" t="n">
        <v>0</v>
      </c>
      <c r="L105" s="704" t="n">
        <v>0</v>
      </c>
      <c r="M105" s="704" t="n">
        <v>0</v>
      </c>
      <c r="N105" s="704" t="n">
        <v>0</v>
      </c>
      <c r="O105" s="704" t="n">
        <v>0</v>
      </c>
      <c r="P105" s="704" t="n">
        <v>0</v>
      </c>
      <c r="Q105" s="704" t="n">
        <v>0</v>
      </c>
      <c r="R105" s="704" t="n">
        <v>0</v>
      </c>
      <c r="S105" s="704" t="n">
        <v>0</v>
      </c>
      <c r="T105" s="704" t="n">
        <v>0</v>
      </c>
      <c r="U105" s="704" t="n">
        <v>0</v>
      </c>
      <c r="V105" s="704" t="n">
        <v>0</v>
      </c>
      <c r="W105" s="704" t="n">
        <v>0</v>
      </c>
      <c r="X105" s="704" t="n">
        <v>0</v>
      </c>
      <c r="Y105" s="704" t="n">
        <v>0</v>
      </c>
      <c r="Z105" s="704" t="n">
        <v>0</v>
      </c>
      <c r="AA105" s="704" t="n">
        <v>0</v>
      </c>
      <c r="AB105" s="704" t="n">
        <v>0</v>
      </c>
      <c r="AC105" s="704" t="n">
        <v>0</v>
      </c>
      <c r="AD105" s="704" t="n">
        <v>0</v>
      </c>
      <c r="AE105" s="704" t="n">
        <v>0</v>
      </c>
      <c r="AF105" s="704" t="n">
        <v>0</v>
      </c>
      <c r="AG105" s="704" t="n">
        <v>0</v>
      </c>
      <c r="AH105" s="704" t="n">
        <v>0</v>
      </c>
      <c r="AI105" s="704" t="n">
        <v>0</v>
      </c>
      <c r="AJ105" s="704" t="n">
        <v>0</v>
      </c>
      <c r="AK105" s="704" t="n">
        <v>0</v>
      </c>
      <c r="AL105" s="704" t="n">
        <v>0</v>
      </c>
      <c r="AM105" s="704" t="n">
        <v>0</v>
      </c>
      <c r="AN105" s="704" t="n">
        <v>0</v>
      </c>
      <c r="AO105" s="704" t="n">
        <v>0</v>
      </c>
      <c r="AP105" s="704" t="n">
        <v>0</v>
      </c>
      <c r="AQ105" s="704" t="n">
        <v>0</v>
      </c>
      <c r="AR105" s="704" t="n">
        <v>0</v>
      </c>
      <c r="AS105" s="704" t="n">
        <v>0</v>
      </c>
      <c r="AT105" s="704" t="n">
        <v>0</v>
      </c>
      <c r="AU105" s="704" t="n">
        <v>0</v>
      </c>
      <c r="AV105" s="704" t="n">
        <v>0</v>
      </c>
      <c r="AW105" s="704" t="n">
        <v>0</v>
      </c>
      <c r="AX105" s="704" t="n">
        <v>0</v>
      </c>
      <c r="AY105" s="704" t="n">
        <v>0</v>
      </c>
      <c r="AZ105" s="704" t="n">
        <v>0</v>
      </c>
      <c r="BA105" s="704" t="n">
        <v>0</v>
      </c>
      <c r="BB105" s="704" t="n">
        <v>0</v>
      </c>
      <c r="BC105" s="704" t="n">
        <v>0</v>
      </c>
      <c r="BD105" s="704" t="n">
        <v>0</v>
      </c>
      <c r="BE105" s="704" t="n">
        <v>0</v>
      </c>
      <c r="BF105" s="704" t="n">
        <v>0</v>
      </c>
      <c r="BG105" s="704" t="n">
        <v>0</v>
      </c>
      <c r="BH105" s="704" t="n">
        <v>0</v>
      </c>
      <c r="BI105" s="704" t="n">
        <v>0</v>
      </c>
      <c r="BJ105" s="704" t="n">
        <v>0</v>
      </c>
      <c r="BK105" s="704" t="n">
        <v>0</v>
      </c>
      <c r="BL105" s="704" t="n">
        <v>0</v>
      </c>
      <c r="BM105" s="704" t="n">
        <v>0</v>
      </c>
      <c r="BN105" s="704" t="n">
        <v>0</v>
      </c>
      <c r="BO105" s="704" t="n">
        <v>0</v>
      </c>
      <c r="BP105" s="704" t="n">
        <v>0</v>
      </c>
      <c r="BQ105" s="704" t="n">
        <v>0</v>
      </c>
      <c r="BR105" s="704" t="n">
        <v>0</v>
      </c>
      <c r="BS105" s="704" t="n">
        <v>0</v>
      </c>
      <c r="BT105" s="704" t="n">
        <v>0</v>
      </c>
      <c r="BU105" s="704" t="n">
        <v>0</v>
      </c>
      <c r="BV105" s="704" t="n">
        <v>0</v>
      </c>
      <c r="BW105" s="704" t="n">
        <v>0</v>
      </c>
      <c r="BX105" s="704" t="n">
        <v>0</v>
      </c>
      <c r="BY105" s="704" t="n">
        <v>0</v>
      </c>
      <c r="BZ105" s="704" t="n">
        <v>0</v>
      </c>
      <c r="CA105" s="704" t="n">
        <v>0</v>
      </c>
      <c r="CB105" s="704" t="n">
        <v>0</v>
      </c>
      <c r="CC105" s="704" t="n">
        <v>0</v>
      </c>
      <c r="CD105" s="704" t="n">
        <v>0</v>
      </c>
      <c r="CE105" s="704" t="n">
        <v>0</v>
      </c>
      <c r="CF105" s="704" t="n">
        <v>0</v>
      </c>
      <c r="CG105" s="704" t="n">
        <v>0</v>
      </c>
      <c r="CH105" s="704" t="n">
        <v>0</v>
      </c>
      <c r="CI105" s="704" t="n">
        <v>0</v>
      </c>
      <c r="CJ105" s="704" t="n">
        <v>0</v>
      </c>
      <c r="CK105" s="704" t="n">
        <v>0</v>
      </c>
      <c r="CL105" s="704" t="n">
        <v>0</v>
      </c>
      <c r="CM105" s="704" t="n">
        <v>0</v>
      </c>
      <c r="CN105" s="704" t="n">
        <v>0</v>
      </c>
      <c r="CO105" s="704" t="n">
        <v>0</v>
      </c>
      <c r="CP105" s="704" t="n">
        <v>0</v>
      </c>
      <c r="CQ105" s="704" t="n">
        <v>0</v>
      </c>
      <c r="CR105" s="704" t="n">
        <v>0</v>
      </c>
      <c r="CS105" s="704" t="n">
        <v>0</v>
      </c>
      <c r="CT105" s="704" t="n">
        <v>0</v>
      </c>
      <c r="CU105" s="704" t="n">
        <v>0</v>
      </c>
      <c r="CV105" s="704" t="n">
        <v>0</v>
      </c>
      <c r="CW105" s="704" t="n">
        <v>0</v>
      </c>
      <c r="CX105" s="704" t="n">
        <v>0</v>
      </c>
      <c r="CY105" s="704" t="n">
        <v>0</v>
      </c>
      <c r="CZ105" s="704" t="n">
        <v>0</v>
      </c>
      <c r="DA105" s="704" t="n">
        <v>0</v>
      </c>
      <c r="DB105" s="704" t="n">
        <v>0</v>
      </c>
      <c r="DC105" s="704" t="n">
        <v>0</v>
      </c>
      <c r="DD105" s="704" t="n">
        <v>0</v>
      </c>
      <c r="DE105" s="704" t="n">
        <v>0</v>
      </c>
      <c r="DF105" s="704" t="n">
        <v>0</v>
      </c>
      <c r="DG105" s="704" t="n">
        <v>0</v>
      </c>
      <c r="DH105" s="704" t="n">
        <v>0</v>
      </c>
      <c r="DI105" s="704" t="n">
        <v>0</v>
      </c>
      <c r="DJ105" s="704" t="n">
        <v>0</v>
      </c>
      <c r="DK105" s="704" t="n">
        <v>0</v>
      </c>
      <c r="DL105" s="704" t="n">
        <v>0</v>
      </c>
      <c r="DM105" s="704" t="n">
        <v>0</v>
      </c>
    </row>
    <row r="106" ht="13.5" customHeight="1" s="355">
      <c r="B106" s="703" t="inlineStr">
        <is>
          <t>T&amp;E</t>
        </is>
      </c>
      <c r="D106" s="704" t="n">
        <v>0</v>
      </c>
      <c r="E106" s="704" t="n">
        <v>0</v>
      </c>
      <c r="F106" s="704" t="n">
        <v>0</v>
      </c>
      <c r="G106" s="704" t="n">
        <v>0</v>
      </c>
      <c r="H106" s="704" t="n">
        <v>0</v>
      </c>
      <c r="I106" s="704" t="n">
        <v>0</v>
      </c>
      <c r="J106" s="704" t="n">
        <v>0</v>
      </c>
      <c r="K106" s="704" t="n">
        <v>0</v>
      </c>
      <c r="L106" s="704" t="n">
        <v>0</v>
      </c>
      <c r="M106" s="704" t="n">
        <v>0</v>
      </c>
      <c r="N106" s="704" t="n">
        <v>0</v>
      </c>
      <c r="O106" s="704" t="n">
        <v>0</v>
      </c>
      <c r="P106" s="704" t="n">
        <v>0</v>
      </c>
      <c r="Q106" s="704" t="n">
        <v>0</v>
      </c>
      <c r="R106" s="704" t="n">
        <v>0</v>
      </c>
      <c r="S106" s="704" t="n">
        <v>0</v>
      </c>
      <c r="T106" s="704" t="n">
        <v>0</v>
      </c>
      <c r="U106" s="704" t="n">
        <v>0</v>
      </c>
      <c r="V106" s="704" t="n">
        <v>0</v>
      </c>
      <c r="W106" s="704" t="n">
        <v>0</v>
      </c>
      <c r="X106" s="704" t="n">
        <v>0</v>
      </c>
      <c r="Y106" s="704" t="n">
        <v>0</v>
      </c>
      <c r="Z106" s="704" t="n">
        <v>0</v>
      </c>
      <c r="AA106" s="704" t="n">
        <v>0</v>
      </c>
      <c r="AB106" s="704" t="n">
        <v>0</v>
      </c>
      <c r="AC106" s="704" t="n">
        <v>0</v>
      </c>
      <c r="AD106" s="704" t="n">
        <v>0</v>
      </c>
      <c r="AE106" s="704" t="n">
        <v>0</v>
      </c>
      <c r="AF106" s="704" t="n">
        <v>0</v>
      </c>
      <c r="AG106" s="704" t="n">
        <v>0</v>
      </c>
      <c r="AH106" s="704" t="n">
        <v>0</v>
      </c>
      <c r="AI106" s="704" t="n">
        <v>0</v>
      </c>
      <c r="AJ106" s="704" t="n">
        <v>0</v>
      </c>
      <c r="AK106" s="704" t="n">
        <v>0</v>
      </c>
      <c r="AL106" s="704" t="n">
        <v>0</v>
      </c>
      <c r="AM106" s="704" t="n">
        <v>0</v>
      </c>
      <c r="AN106" s="704" t="n">
        <v>0</v>
      </c>
      <c r="AO106" s="704" t="n">
        <v>0</v>
      </c>
      <c r="AP106" s="704" t="n">
        <v>0</v>
      </c>
      <c r="AQ106" s="704" t="n">
        <v>0</v>
      </c>
      <c r="AR106" s="704" t="n">
        <v>0</v>
      </c>
      <c r="AS106" s="704" t="n">
        <v>0</v>
      </c>
      <c r="AT106" s="704" t="n">
        <v>0</v>
      </c>
      <c r="AU106" s="704" t="n">
        <v>0</v>
      </c>
      <c r="AV106" s="704" t="n">
        <v>0</v>
      </c>
      <c r="AW106" s="704" t="n">
        <v>0</v>
      </c>
      <c r="AX106" s="704" t="n">
        <v>0</v>
      </c>
      <c r="AY106" s="704" t="n">
        <v>0</v>
      </c>
      <c r="AZ106" s="704" t="n">
        <v>0</v>
      </c>
      <c r="BA106" s="704" t="n">
        <v>0</v>
      </c>
      <c r="BB106" s="704" t="n">
        <v>0</v>
      </c>
      <c r="BC106" s="704" t="n">
        <v>0</v>
      </c>
      <c r="BD106" s="704" t="n">
        <v>0</v>
      </c>
      <c r="BE106" s="704" t="n">
        <v>0</v>
      </c>
      <c r="BF106" s="704" t="n">
        <v>0</v>
      </c>
      <c r="BG106" s="704" t="n">
        <v>0</v>
      </c>
      <c r="BH106" s="704" t="n">
        <v>0</v>
      </c>
      <c r="BI106" s="704" t="n">
        <v>0</v>
      </c>
      <c r="BJ106" s="704" t="n">
        <v>0</v>
      </c>
      <c r="BK106" s="704" t="n">
        <v>0</v>
      </c>
      <c r="BL106" s="704" t="n">
        <v>0</v>
      </c>
      <c r="BM106" s="704" t="n">
        <v>0</v>
      </c>
      <c r="BN106" s="704" t="n">
        <v>0</v>
      </c>
      <c r="BO106" s="704" t="n">
        <v>0</v>
      </c>
      <c r="BP106" s="704" t="n">
        <v>0</v>
      </c>
      <c r="BQ106" s="704" t="n">
        <v>0</v>
      </c>
      <c r="BR106" s="704" t="n">
        <v>0</v>
      </c>
      <c r="BS106" s="704" t="n">
        <v>0</v>
      </c>
      <c r="BT106" s="704" t="n">
        <v>0</v>
      </c>
      <c r="BU106" s="704" t="n">
        <v>0</v>
      </c>
      <c r="BV106" s="704" t="n">
        <v>0</v>
      </c>
      <c r="BW106" s="704" t="n">
        <v>0</v>
      </c>
      <c r="BX106" s="704" t="n">
        <v>0</v>
      </c>
      <c r="BY106" s="704" t="n">
        <v>0</v>
      </c>
      <c r="BZ106" s="704" t="n">
        <v>0</v>
      </c>
      <c r="CA106" s="704" t="n">
        <v>0</v>
      </c>
      <c r="CB106" s="704" t="n">
        <v>0</v>
      </c>
      <c r="CC106" s="704" t="n">
        <v>0</v>
      </c>
      <c r="CD106" s="704" t="n">
        <v>0</v>
      </c>
      <c r="CE106" s="704" t="n">
        <v>0</v>
      </c>
      <c r="CF106" s="704" t="n">
        <v>0</v>
      </c>
      <c r="CG106" s="704" t="n">
        <v>0</v>
      </c>
      <c r="CH106" s="704" t="n">
        <v>0</v>
      </c>
      <c r="CI106" s="704" t="n">
        <v>0</v>
      </c>
      <c r="CJ106" s="704" t="n">
        <v>0</v>
      </c>
      <c r="CK106" s="704" t="n">
        <v>0</v>
      </c>
      <c r="CL106" s="704" t="n">
        <v>0</v>
      </c>
      <c r="CM106" s="704" t="n">
        <v>0</v>
      </c>
      <c r="CN106" s="704" t="n">
        <v>0</v>
      </c>
      <c r="CO106" s="704" t="n">
        <v>0</v>
      </c>
      <c r="CP106" s="704" t="n">
        <v>0</v>
      </c>
      <c r="CQ106" s="704" t="n">
        <v>0</v>
      </c>
      <c r="CR106" s="704" t="n">
        <v>0</v>
      </c>
      <c r="CS106" s="704" t="n">
        <v>0</v>
      </c>
      <c r="CT106" s="704" t="n">
        <v>0</v>
      </c>
      <c r="CU106" s="704" t="n">
        <v>0</v>
      </c>
      <c r="CV106" s="704" t="n">
        <v>0</v>
      </c>
      <c r="CW106" s="704" t="n">
        <v>0</v>
      </c>
      <c r="CX106" s="704" t="n">
        <v>0</v>
      </c>
      <c r="CY106" s="704" t="n">
        <v>0</v>
      </c>
      <c r="CZ106" s="704" t="n">
        <v>0</v>
      </c>
      <c r="DA106" s="704" t="n">
        <v>0</v>
      </c>
      <c r="DB106" s="704" t="n">
        <v>0</v>
      </c>
      <c r="DC106" s="704" t="n">
        <v>0</v>
      </c>
      <c r="DD106" s="704" t="n">
        <v>0</v>
      </c>
      <c r="DE106" s="704" t="n">
        <v>0</v>
      </c>
      <c r="DF106" s="704" t="n">
        <v>0</v>
      </c>
      <c r="DG106" s="704" t="n">
        <v>0</v>
      </c>
      <c r="DH106" s="704" t="n">
        <v>0</v>
      </c>
      <c r="DI106" s="704" t="n">
        <v>0</v>
      </c>
      <c r="DJ106" s="704" t="n">
        <v>0</v>
      </c>
      <c r="DK106" s="704" t="n">
        <v>0</v>
      </c>
      <c r="DL106" s="704" t="n">
        <v>0</v>
      </c>
      <c r="DM106" s="704" t="n">
        <v>0</v>
      </c>
    </row>
    <row r="107" ht="13.5" customHeight="1" s="355">
      <c r="B107" s="703" t="inlineStr">
        <is>
          <t>Order to Cash</t>
        </is>
      </c>
      <c r="D107" s="704" t="n">
        <v>0</v>
      </c>
      <c r="E107" s="704" t="n">
        <v>0</v>
      </c>
      <c r="F107" s="704" t="n">
        <v>0</v>
      </c>
      <c r="G107" s="704" t="n">
        <v>0</v>
      </c>
      <c r="H107" s="704" t="n">
        <v>0</v>
      </c>
      <c r="I107" s="704" t="n">
        <v>0</v>
      </c>
      <c r="J107" s="704" t="n">
        <v>0</v>
      </c>
      <c r="K107" s="704" t="n">
        <v>0</v>
      </c>
      <c r="L107" s="704" t="n">
        <v>0</v>
      </c>
      <c r="M107" s="704" t="n">
        <v>0</v>
      </c>
      <c r="N107" s="704" t="n">
        <v>0</v>
      </c>
      <c r="O107" s="704" t="n">
        <v>0</v>
      </c>
      <c r="P107" s="704" t="n">
        <v>0</v>
      </c>
      <c r="Q107" s="704" t="n">
        <v>0</v>
      </c>
      <c r="R107" s="704" t="n">
        <v>0</v>
      </c>
      <c r="S107" s="704" t="n">
        <v>0</v>
      </c>
      <c r="T107" s="704" t="n">
        <v>0</v>
      </c>
      <c r="U107" s="704" t="n">
        <v>0</v>
      </c>
      <c r="V107" s="704" t="n">
        <v>0</v>
      </c>
      <c r="W107" s="704" t="n">
        <v>0</v>
      </c>
      <c r="X107" s="704" t="n">
        <v>0</v>
      </c>
      <c r="Y107" s="704" t="n">
        <v>0</v>
      </c>
      <c r="Z107" s="704" t="n">
        <v>0</v>
      </c>
      <c r="AA107" s="704" t="n">
        <v>0</v>
      </c>
      <c r="AB107" s="704" t="n">
        <v>0</v>
      </c>
      <c r="AC107" s="704" t="n">
        <v>0</v>
      </c>
      <c r="AD107" s="704" t="n">
        <v>0</v>
      </c>
      <c r="AE107" s="704" t="n">
        <v>0</v>
      </c>
      <c r="AF107" s="704" t="n">
        <v>0</v>
      </c>
      <c r="AG107" s="704" t="n">
        <v>0</v>
      </c>
      <c r="AH107" s="704" t="n">
        <v>0</v>
      </c>
      <c r="AI107" s="704" t="n">
        <v>0</v>
      </c>
      <c r="AJ107" s="704" t="n">
        <v>0</v>
      </c>
      <c r="AK107" s="704" t="n">
        <v>0</v>
      </c>
      <c r="AL107" s="704" t="n">
        <v>0</v>
      </c>
      <c r="AM107" s="704" t="n">
        <v>0</v>
      </c>
      <c r="AN107" s="704" t="n">
        <v>0</v>
      </c>
      <c r="AO107" s="704" t="n">
        <v>0</v>
      </c>
      <c r="AP107" s="704" t="n">
        <v>0</v>
      </c>
      <c r="AQ107" s="704" t="n">
        <v>0</v>
      </c>
      <c r="AR107" s="704" t="n">
        <v>0</v>
      </c>
      <c r="AS107" s="704" t="n">
        <v>0</v>
      </c>
      <c r="AT107" s="704" t="n">
        <v>0</v>
      </c>
      <c r="AU107" s="704" t="n">
        <v>0</v>
      </c>
      <c r="AV107" s="704" t="n">
        <v>0</v>
      </c>
      <c r="AW107" s="704" t="n">
        <v>0</v>
      </c>
      <c r="AX107" s="704" t="n">
        <v>0</v>
      </c>
      <c r="AY107" s="704" t="n">
        <v>0</v>
      </c>
      <c r="AZ107" s="704" t="n">
        <v>0</v>
      </c>
      <c r="BA107" s="704" t="n">
        <v>0</v>
      </c>
      <c r="BB107" s="704" t="n">
        <v>0</v>
      </c>
      <c r="BC107" s="704" t="n">
        <v>0</v>
      </c>
      <c r="BD107" s="704" t="n">
        <v>0</v>
      </c>
      <c r="BE107" s="704" t="n">
        <v>0</v>
      </c>
      <c r="BF107" s="704" t="n">
        <v>0</v>
      </c>
      <c r="BG107" s="704" t="n">
        <v>0</v>
      </c>
      <c r="BH107" s="704" t="n">
        <v>0</v>
      </c>
      <c r="BI107" s="704" t="n">
        <v>0</v>
      </c>
      <c r="BJ107" s="704" t="n">
        <v>0</v>
      </c>
      <c r="BK107" s="704" t="n">
        <v>0</v>
      </c>
      <c r="BL107" s="704" t="n">
        <v>0</v>
      </c>
      <c r="BM107" s="704" t="n">
        <v>0</v>
      </c>
      <c r="BN107" s="704" t="n">
        <v>0</v>
      </c>
      <c r="BO107" s="704" t="n">
        <v>0</v>
      </c>
      <c r="BP107" s="704" t="n">
        <v>0</v>
      </c>
      <c r="BQ107" s="704" t="n">
        <v>0</v>
      </c>
      <c r="BR107" s="704" t="n">
        <v>0</v>
      </c>
      <c r="BS107" s="704" t="n">
        <v>0</v>
      </c>
      <c r="BT107" s="704" t="n">
        <v>0</v>
      </c>
      <c r="BU107" s="704" t="n">
        <v>0</v>
      </c>
      <c r="BV107" s="704" t="n">
        <v>0</v>
      </c>
      <c r="BW107" s="704" t="n">
        <v>0</v>
      </c>
      <c r="BX107" s="704" t="n">
        <v>0</v>
      </c>
      <c r="BY107" s="704" t="n">
        <v>0</v>
      </c>
      <c r="BZ107" s="704" t="n">
        <v>0</v>
      </c>
      <c r="CA107" s="704" t="n">
        <v>0</v>
      </c>
      <c r="CB107" s="704" t="n">
        <v>0</v>
      </c>
      <c r="CC107" s="704" t="n">
        <v>0</v>
      </c>
      <c r="CD107" s="704" t="n">
        <v>0</v>
      </c>
      <c r="CE107" s="704" t="n">
        <v>0</v>
      </c>
      <c r="CF107" s="704" t="n">
        <v>0</v>
      </c>
      <c r="CG107" s="704" t="n">
        <v>0</v>
      </c>
      <c r="CH107" s="704" t="n">
        <v>0</v>
      </c>
      <c r="CI107" s="704" t="n">
        <v>0</v>
      </c>
      <c r="CJ107" s="704" t="n">
        <v>0</v>
      </c>
      <c r="CK107" s="704" t="n">
        <v>0</v>
      </c>
      <c r="CL107" s="704" t="n">
        <v>0</v>
      </c>
      <c r="CM107" s="704" t="n">
        <v>0</v>
      </c>
      <c r="CN107" s="704" t="n">
        <v>0</v>
      </c>
      <c r="CO107" s="704" t="n">
        <v>0</v>
      </c>
      <c r="CP107" s="704" t="n">
        <v>0</v>
      </c>
      <c r="CQ107" s="704" t="n">
        <v>0</v>
      </c>
      <c r="CR107" s="704" t="n">
        <v>0</v>
      </c>
      <c r="CS107" s="704" t="n">
        <v>0</v>
      </c>
      <c r="CT107" s="704" t="n">
        <v>0</v>
      </c>
      <c r="CU107" s="704" t="n">
        <v>0</v>
      </c>
      <c r="CV107" s="704" t="n">
        <v>0</v>
      </c>
      <c r="CW107" s="704" t="n">
        <v>0</v>
      </c>
      <c r="CX107" s="704" t="n">
        <v>0</v>
      </c>
      <c r="CY107" s="704" t="n">
        <v>0</v>
      </c>
      <c r="CZ107" s="704" t="n">
        <v>0</v>
      </c>
      <c r="DA107" s="704" t="n">
        <v>0</v>
      </c>
      <c r="DB107" s="704" t="n">
        <v>0</v>
      </c>
      <c r="DC107" s="704" t="n">
        <v>0</v>
      </c>
      <c r="DD107" s="704" t="n">
        <v>0</v>
      </c>
      <c r="DE107" s="704" t="n">
        <v>0</v>
      </c>
      <c r="DF107" s="704" t="n">
        <v>0</v>
      </c>
      <c r="DG107" s="704" t="n">
        <v>0</v>
      </c>
      <c r="DH107" s="704" t="n">
        <v>0</v>
      </c>
      <c r="DI107" s="704" t="n">
        <v>0</v>
      </c>
      <c r="DJ107" s="704" t="n">
        <v>0</v>
      </c>
      <c r="DK107" s="704" t="n">
        <v>0</v>
      </c>
      <c r="DL107" s="704" t="n">
        <v>0</v>
      </c>
      <c r="DM107" s="704" t="n">
        <v>0</v>
      </c>
    </row>
    <row r="108" ht="13.5" customHeight="1" s="355">
      <c r="B108" s="703" t="inlineStr">
        <is>
          <t>Req to Pay</t>
        </is>
      </c>
      <c r="D108" s="704" t="n">
        <v>0</v>
      </c>
      <c r="E108" s="704" t="n">
        <v>0</v>
      </c>
      <c r="F108" s="704" t="n">
        <v>0</v>
      </c>
      <c r="G108" s="704" t="n">
        <v>0</v>
      </c>
      <c r="H108" s="704" t="n">
        <v>0</v>
      </c>
      <c r="I108" s="704" t="n">
        <v>0</v>
      </c>
      <c r="J108" s="704" t="n">
        <v>0</v>
      </c>
      <c r="K108" s="704" t="n">
        <v>0</v>
      </c>
      <c r="L108" s="704" t="n">
        <v>0</v>
      </c>
      <c r="M108" s="704" t="n">
        <v>0</v>
      </c>
      <c r="N108" s="704" t="n">
        <v>0</v>
      </c>
      <c r="O108" s="704" t="n">
        <v>0</v>
      </c>
      <c r="P108" s="704" t="n">
        <v>0</v>
      </c>
      <c r="Q108" s="704" t="n">
        <v>0</v>
      </c>
      <c r="R108" s="704" t="n">
        <v>0</v>
      </c>
      <c r="S108" s="704" t="n">
        <v>0</v>
      </c>
      <c r="T108" s="704" t="n">
        <v>0</v>
      </c>
      <c r="U108" s="704" t="n">
        <v>0</v>
      </c>
      <c r="V108" s="704" t="n">
        <v>0</v>
      </c>
      <c r="W108" s="704" t="n">
        <v>0</v>
      </c>
      <c r="X108" s="704" t="n">
        <v>0</v>
      </c>
      <c r="Y108" s="704" t="n">
        <v>0</v>
      </c>
      <c r="Z108" s="704" t="n">
        <v>0</v>
      </c>
      <c r="AA108" s="704" t="n">
        <v>0</v>
      </c>
      <c r="AB108" s="704" t="n">
        <v>0</v>
      </c>
      <c r="AC108" s="704" t="n">
        <v>0</v>
      </c>
      <c r="AD108" s="704" t="n">
        <v>0</v>
      </c>
      <c r="AE108" s="704" t="n">
        <v>0</v>
      </c>
      <c r="AF108" s="704" t="n">
        <v>0</v>
      </c>
      <c r="AG108" s="704" t="n">
        <v>0</v>
      </c>
      <c r="AH108" s="704" t="n">
        <v>0</v>
      </c>
      <c r="AI108" s="704" t="n">
        <v>0</v>
      </c>
      <c r="AJ108" s="704" t="n">
        <v>0</v>
      </c>
      <c r="AK108" s="704" t="n">
        <v>0</v>
      </c>
      <c r="AL108" s="704" t="n">
        <v>0</v>
      </c>
      <c r="AM108" s="704" t="n">
        <v>0</v>
      </c>
      <c r="AN108" s="704" t="n">
        <v>0</v>
      </c>
      <c r="AO108" s="704" t="n">
        <v>0</v>
      </c>
      <c r="AP108" s="704" t="n">
        <v>0</v>
      </c>
      <c r="AQ108" s="704" t="n">
        <v>0</v>
      </c>
      <c r="AR108" s="704" t="n">
        <v>0</v>
      </c>
      <c r="AS108" s="704" t="n">
        <v>0</v>
      </c>
      <c r="AT108" s="704" t="n">
        <v>0</v>
      </c>
      <c r="AU108" s="704" t="n">
        <v>0</v>
      </c>
      <c r="AV108" s="704" t="n">
        <v>0</v>
      </c>
      <c r="AW108" s="704" t="n">
        <v>0</v>
      </c>
      <c r="AX108" s="704" t="n">
        <v>0</v>
      </c>
      <c r="AY108" s="704" t="n">
        <v>0</v>
      </c>
      <c r="AZ108" s="704" t="n">
        <v>0</v>
      </c>
      <c r="BA108" s="704" t="n">
        <v>0</v>
      </c>
      <c r="BB108" s="704" t="n">
        <v>0</v>
      </c>
      <c r="BC108" s="704" t="n">
        <v>0</v>
      </c>
      <c r="BD108" s="704" t="n">
        <v>0</v>
      </c>
      <c r="BE108" s="704" t="n">
        <v>0</v>
      </c>
      <c r="BF108" s="704" t="n">
        <v>0</v>
      </c>
      <c r="BG108" s="704" t="n">
        <v>0</v>
      </c>
      <c r="BH108" s="704" t="n">
        <v>0</v>
      </c>
      <c r="BI108" s="704" t="n">
        <v>0</v>
      </c>
      <c r="BJ108" s="704" t="n">
        <v>0</v>
      </c>
      <c r="BK108" s="704" t="n">
        <v>0</v>
      </c>
      <c r="BL108" s="704" t="n">
        <v>0</v>
      </c>
      <c r="BM108" s="704" t="n">
        <v>0</v>
      </c>
      <c r="BN108" s="704" t="n">
        <v>0</v>
      </c>
      <c r="BO108" s="704" t="n">
        <v>0</v>
      </c>
      <c r="BP108" s="704" t="n">
        <v>0</v>
      </c>
      <c r="BQ108" s="704" t="n">
        <v>0</v>
      </c>
      <c r="BR108" s="704" t="n">
        <v>0</v>
      </c>
      <c r="BS108" s="704" t="n">
        <v>0</v>
      </c>
      <c r="BT108" s="704" t="n">
        <v>0</v>
      </c>
      <c r="BU108" s="704" t="n">
        <v>0</v>
      </c>
      <c r="BV108" s="704" t="n">
        <v>0</v>
      </c>
      <c r="BW108" s="704" t="n">
        <v>0</v>
      </c>
      <c r="BX108" s="704" t="n">
        <v>0</v>
      </c>
      <c r="BY108" s="704" t="n">
        <v>0</v>
      </c>
      <c r="BZ108" s="704" t="n">
        <v>0</v>
      </c>
      <c r="CA108" s="704" t="n">
        <v>0</v>
      </c>
      <c r="CB108" s="704" t="n">
        <v>0</v>
      </c>
      <c r="CC108" s="704" t="n">
        <v>0</v>
      </c>
      <c r="CD108" s="704" t="n">
        <v>0</v>
      </c>
      <c r="CE108" s="704" t="n">
        <v>0</v>
      </c>
      <c r="CF108" s="704" t="n">
        <v>0</v>
      </c>
      <c r="CG108" s="704" t="n">
        <v>0</v>
      </c>
      <c r="CH108" s="704" t="n">
        <v>0</v>
      </c>
      <c r="CI108" s="704" t="n">
        <v>0</v>
      </c>
      <c r="CJ108" s="704" t="n">
        <v>0</v>
      </c>
      <c r="CK108" s="704" t="n">
        <v>0</v>
      </c>
      <c r="CL108" s="704" t="n">
        <v>0</v>
      </c>
      <c r="CM108" s="704" t="n">
        <v>0</v>
      </c>
      <c r="CN108" s="704" t="n">
        <v>0</v>
      </c>
      <c r="CO108" s="704" t="n">
        <v>0</v>
      </c>
      <c r="CP108" s="704" t="n">
        <v>0</v>
      </c>
      <c r="CQ108" s="704" t="n">
        <v>0</v>
      </c>
      <c r="CR108" s="704" t="n">
        <v>0</v>
      </c>
      <c r="CS108" s="704" t="n">
        <v>0</v>
      </c>
      <c r="CT108" s="704" t="n">
        <v>0</v>
      </c>
      <c r="CU108" s="704" t="n">
        <v>0</v>
      </c>
      <c r="CV108" s="704" t="n">
        <v>0</v>
      </c>
      <c r="CW108" s="704" t="n">
        <v>0</v>
      </c>
      <c r="CX108" s="704" t="n">
        <v>0</v>
      </c>
      <c r="CY108" s="704" t="n">
        <v>0</v>
      </c>
      <c r="CZ108" s="704" t="n">
        <v>0</v>
      </c>
      <c r="DA108" s="704" t="n">
        <v>0</v>
      </c>
      <c r="DB108" s="704" t="n">
        <v>0</v>
      </c>
      <c r="DC108" s="704" t="n">
        <v>0</v>
      </c>
      <c r="DD108" s="704" t="n">
        <v>0</v>
      </c>
      <c r="DE108" s="704" t="n">
        <v>0</v>
      </c>
      <c r="DF108" s="704" t="n">
        <v>0</v>
      </c>
      <c r="DG108" s="704" t="n">
        <v>0</v>
      </c>
      <c r="DH108" s="704" t="n">
        <v>0</v>
      </c>
      <c r="DI108" s="704" t="n">
        <v>0</v>
      </c>
      <c r="DJ108" s="704" t="n">
        <v>0</v>
      </c>
      <c r="DK108" s="704" t="n">
        <v>0</v>
      </c>
      <c r="DL108" s="704" t="n">
        <v>0</v>
      </c>
      <c r="DM108" s="704" t="n">
        <v>0</v>
      </c>
    </row>
    <row r="109" ht="13.5" customHeight="1" s="355">
      <c r="B109" s="703" t="inlineStr">
        <is>
          <t>Team Leader</t>
        </is>
      </c>
      <c r="D109" s="704" t="n">
        <v>0</v>
      </c>
      <c r="E109" s="704" t="n">
        <v>0</v>
      </c>
      <c r="F109" s="704" t="n">
        <v>0</v>
      </c>
      <c r="G109" s="704" t="n">
        <v>0</v>
      </c>
      <c r="H109" s="704" t="n">
        <v>0</v>
      </c>
      <c r="I109" s="704" t="n">
        <v>0</v>
      </c>
      <c r="J109" s="704" t="n">
        <v>0</v>
      </c>
      <c r="K109" s="704" t="n">
        <v>0</v>
      </c>
      <c r="L109" s="704" t="n">
        <v>0</v>
      </c>
      <c r="M109" s="704" t="n">
        <v>0</v>
      </c>
      <c r="N109" s="704" t="n">
        <v>0</v>
      </c>
      <c r="O109" s="704" t="n">
        <v>0</v>
      </c>
      <c r="P109" s="704" t="n">
        <v>0</v>
      </c>
      <c r="Q109" s="704" t="n">
        <v>0</v>
      </c>
      <c r="R109" s="704" t="n">
        <v>0</v>
      </c>
      <c r="S109" s="704" t="n">
        <v>0</v>
      </c>
      <c r="T109" s="704" t="n">
        <v>0</v>
      </c>
      <c r="U109" s="704" t="n">
        <v>0</v>
      </c>
      <c r="V109" s="704" t="n">
        <v>0</v>
      </c>
      <c r="W109" s="704" t="n">
        <v>0</v>
      </c>
      <c r="X109" s="704" t="n">
        <v>0</v>
      </c>
      <c r="Y109" s="704" t="n">
        <v>0</v>
      </c>
      <c r="Z109" s="704" t="n">
        <v>0</v>
      </c>
      <c r="AA109" s="704" t="n">
        <v>0</v>
      </c>
      <c r="AB109" s="704" t="n">
        <v>0</v>
      </c>
      <c r="AC109" s="704" t="n">
        <v>0</v>
      </c>
      <c r="AD109" s="704" t="n">
        <v>0</v>
      </c>
      <c r="AE109" s="704" t="n">
        <v>0</v>
      </c>
      <c r="AF109" s="704" t="n">
        <v>0</v>
      </c>
      <c r="AG109" s="704" t="n">
        <v>0</v>
      </c>
      <c r="AH109" s="704" t="n">
        <v>0</v>
      </c>
      <c r="AI109" s="704" t="n">
        <v>0</v>
      </c>
      <c r="AJ109" s="704" t="n">
        <v>0</v>
      </c>
      <c r="AK109" s="704" t="n">
        <v>0</v>
      </c>
      <c r="AL109" s="704" t="n">
        <v>0</v>
      </c>
      <c r="AM109" s="704" t="n">
        <v>0</v>
      </c>
      <c r="AN109" s="704" t="n">
        <v>0</v>
      </c>
      <c r="AO109" s="704" t="n">
        <v>0</v>
      </c>
      <c r="AP109" s="704" t="n">
        <v>0</v>
      </c>
      <c r="AQ109" s="704" t="n">
        <v>0</v>
      </c>
      <c r="AR109" s="704" t="n">
        <v>0</v>
      </c>
      <c r="AS109" s="704" t="n">
        <v>0</v>
      </c>
      <c r="AT109" s="704" t="n">
        <v>0</v>
      </c>
      <c r="AU109" s="704" t="n">
        <v>0</v>
      </c>
      <c r="AV109" s="704" t="n">
        <v>0</v>
      </c>
      <c r="AW109" s="704" t="n">
        <v>0</v>
      </c>
      <c r="AX109" s="704" t="n">
        <v>0</v>
      </c>
      <c r="AY109" s="704" t="n">
        <v>0</v>
      </c>
      <c r="AZ109" s="704" t="n">
        <v>0</v>
      </c>
      <c r="BA109" s="704" t="n">
        <v>0</v>
      </c>
      <c r="BB109" s="704" t="n">
        <v>0</v>
      </c>
      <c r="BC109" s="704" t="n">
        <v>0</v>
      </c>
      <c r="BD109" s="704" t="n">
        <v>0</v>
      </c>
      <c r="BE109" s="704" t="n">
        <v>0</v>
      </c>
      <c r="BF109" s="704" t="n">
        <v>0</v>
      </c>
      <c r="BG109" s="704" t="n">
        <v>0</v>
      </c>
      <c r="BH109" s="704" t="n">
        <v>0</v>
      </c>
      <c r="BI109" s="704" t="n">
        <v>0</v>
      </c>
      <c r="BJ109" s="704" t="n">
        <v>0</v>
      </c>
      <c r="BK109" s="704" t="n">
        <v>0</v>
      </c>
      <c r="BL109" s="704" t="n">
        <v>0</v>
      </c>
      <c r="BM109" s="704" t="n">
        <v>0</v>
      </c>
      <c r="BN109" s="704" t="n">
        <v>0</v>
      </c>
      <c r="BO109" s="704" t="n">
        <v>0</v>
      </c>
      <c r="BP109" s="704" t="n">
        <v>0</v>
      </c>
      <c r="BQ109" s="704" t="n">
        <v>0</v>
      </c>
      <c r="BR109" s="704" t="n">
        <v>0</v>
      </c>
      <c r="BS109" s="704" t="n">
        <v>0</v>
      </c>
      <c r="BT109" s="704" t="n">
        <v>0</v>
      </c>
      <c r="BU109" s="704" t="n">
        <v>0</v>
      </c>
      <c r="BV109" s="704" t="n">
        <v>0</v>
      </c>
      <c r="BW109" s="704" t="n">
        <v>0</v>
      </c>
      <c r="BX109" s="704" t="n">
        <v>0</v>
      </c>
      <c r="BY109" s="704" t="n">
        <v>0</v>
      </c>
      <c r="BZ109" s="704" t="n">
        <v>0</v>
      </c>
      <c r="CA109" s="704" t="n">
        <v>0</v>
      </c>
      <c r="CB109" s="704" t="n">
        <v>0</v>
      </c>
      <c r="CC109" s="704" t="n">
        <v>0</v>
      </c>
      <c r="CD109" s="704" t="n">
        <v>0</v>
      </c>
      <c r="CE109" s="704" t="n">
        <v>0</v>
      </c>
      <c r="CF109" s="704" t="n">
        <v>0</v>
      </c>
      <c r="CG109" s="704" t="n">
        <v>0</v>
      </c>
      <c r="CH109" s="704" t="n">
        <v>0</v>
      </c>
      <c r="CI109" s="704" t="n">
        <v>0</v>
      </c>
      <c r="CJ109" s="704" t="n">
        <v>0</v>
      </c>
      <c r="CK109" s="704" t="n">
        <v>0</v>
      </c>
      <c r="CL109" s="704" t="n">
        <v>0</v>
      </c>
      <c r="CM109" s="704" t="n">
        <v>0</v>
      </c>
      <c r="CN109" s="704" t="n">
        <v>0</v>
      </c>
      <c r="CO109" s="704" t="n">
        <v>0</v>
      </c>
      <c r="CP109" s="704" t="n">
        <v>0</v>
      </c>
      <c r="CQ109" s="704" t="n">
        <v>0</v>
      </c>
      <c r="CR109" s="704" t="n">
        <v>0</v>
      </c>
      <c r="CS109" s="704" t="n">
        <v>0</v>
      </c>
      <c r="CT109" s="704" t="n">
        <v>0</v>
      </c>
      <c r="CU109" s="704" t="n">
        <v>0</v>
      </c>
      <c r="CV109" s="704" t="n">
        <v>0</v>
      </c>
      <c r="CW109" s="704" t="n">
        <v>0</v>
      </c>
      <c r="CX109" s="704" t="n">
        <v>0</v>
      </c>
      <c r="CY109" s="704" t="n">
        <v>0</v>
      </c>
      <c r="CZ109" s="704" t="n">
        <v>0</v>
      </c>
      <c r="DA109" s="704" t="n">
        <v>0</v>
      </c>
      <c r="DB109" s="704" t="n">
        <v>0</v>
      </c>
      <c r="DC109" s="704" t="n">
        <v>0</v>
      </c>
      <c r="DD109" s="704" t="n">
        <v>0</v>
      </c>
      <c r="DE109" s="704" t="n">
        <v>0</v>
      </c>
      <c r="DF109" s="704" t="n">
        <v>0</v>
      </c>
      <c r="DG109" s="704" t="n">
        <v>0</v>
      </c>
      <c r="DH109" s="704" t="n">
        <v>0</v>
      </c>
      <c r="DI109" s="704" t="n">
        <v>0</v>
      </c>
      <c r="DJ109" s="704" t="n">
        <v>0</v>
      </c>
      <c r="DK109" s="704" t="n">
        <v>0</v>
      </c>
      <c r="DL109" s="704" t="n">
        <v>0</v>
      </c>
      <c r="DM109" s="704" t="n">
        <v>0</v>
      </c>
    </row>
    <row r="110" ht="13.5" customHeight="1" s="355">
      <c r="B110" s="703" t="inlineStr">
        <is>
          <t>SLA Metric Reporting</t>
        </is>
      </c>
      <c r="D110" s="704" t="n">
        <v>0</v>
      </c>
      <c r="E110" s="704" t="n">
        <v>0</v>
      </c>
      <c r="F110" s="704" t="n">
        <v>0</v>
      </c>
      <c r="G110" s="704" t="n">
        <v>0</v>
      </c>
      <c r="H110" s="704" t="n">
        <v>0</v>
      </c>
      <c r="I110" s="704" t="n">
        <v>0</v>
      </c>
      <c r="J110" s="704" t="n">
        <v>0</v>
      </c>
      <c r="K110" s="704" t="n">
        <v>0</v>
      </c>
      <c r="L110" s="704" t="n">
        <v>0</v>
      </c>
      <c r="M110" s="704" t="n">
        <v>0</v>
      </c>
      <c r="N110" s="704" t="n">
        <v>0</v>
      </c>
      <c r="O110" s="704" t="n">
        <v>0</v>
      </c>
      <c r="P110" s="704" t="n">
        <v>0</v>
      </c>
      <c r="Q110" s="704" t="n">
        <v>0</v>
      </c>
      <c r="R110" s="704" t="n">
        <v>0</v>
      </c>
      <c r="S110" s="704" t="n">
        <v>0</v>
      </c>
      <c r="T110" s="704" t="n">
        <v>0</v>
      </c>
      <c r="U110" s="704" t="n">
        <v>0</v>
      </c>
      <c r="V110" s="704" t="n">
        <v>0</v>
      </c>
      <c r="W110" s="704" t="n">
        <v>0</v>
      </c>
      <c r="X110" s="704" t="n">
        <v>0</v>
      </c>
      <c r="Y110" s="704" t="n">
        <v>0</v>
      </c>
      <c r="Z110" s="704" t="n">
        <v>0</v>
      </c>
      <c r="AA110" s="704" t="n">
        <v>0</v>
      </c>
      <c r="AB110" s="704" t="n">
        <v>0</v>
      </c>
      <c r="AC110" s="704" t="n">
        <v>0</v>
      </c>
      <c r="AD110" s="704" t="n">
        <v>0</v>
      </c>
      <c r="AE110" s="704" t="n">
        <v>0</v>
      </c>
      <c r="AF110" s="704" t="n">
        <v>0</v>
      </c>
      <c r="AG110" s="704" t="n">
        <v>0</v>
      </c>
      <c r="AH110" s="704" t="n">
        <v>0</v>
      </c>
      <c r="AI110" s="704" t="n">
        <v>0</v>
      </c>
      <c r="AJ110" s="704" t="n">
        <v>0</v>
      </c>
      <c r="AK110" s="704" t="n">
        <v>0</v>
      </c>
      <c r="AL110" s="704" t="n">
        <v>0</v>
      </c>
      <c r="AM110" s="704" t="n">
        <v>0</v>
      </c>
      <c r="AN110" s="704" t="n">
        <v>0</v>
      </c>
      <c r="AO110" s="704" t="n">
        <v>0</v>
      </c>
      <c r="AP110" s="704" t="n">
        <v>0</v>
      </c>
      <c r="AQ110" s="704" t="n">
        <v>0</v>
      </c>
      <c r="AR110" s="704" t="n">
        <v>0</v>
      </c>
      <c r="AS110" s="704" t="n">
        <v>0</v>
      </c>
      <c r="AT110" s="704" t="n">
        <v>0</v>
      </c>
      <c r="AU110" s="704" t="n">
        <v>0</v>
      </c>
      <c r="AV110" s="704" t="n">
        <v>0</v>
      </c>
      <c r="AW110" s="704" t="n">
        <v>0</v>
      </c>
      <c r="AX110" s="704" t="n">
        <v>0</v>
      </c>
      <c r="AY110" s="704" t="n">
        <v>0</v>
      </c>
      <c r="AZ110" s="704" t="n">
        <v>0</v>
      </c>
      <c r="BA110" s="704" t="n">
        <v>0</v>
      </c>
      <c r="BB110" s="704" t="n">
        <v>0</v>
      </c>
      <c r="BC110" s="704" t="n">
        <v>0</v>
      </c>
      <c r="BD110" s="704" t="n">
        <v>0</v>
      </c>
      <c r="BE110" s="704" t="n">
        <v>0</v>
      </c>
      <c r="BF110" s="704" t="n">
        <v>0</v>
      </c>
      <c r="BG110" s="704" t="n">
        <v>0</v>
      </c>
      <c r="BH110" s="704" t="n">
        <v>0</v>
      </c>
      <c r="BI110" s="704" t="n">
        <v>0</v>
      </c>
      <c r="BJ110" s="704" t="n">
        <v>0</v>
      </c>
      <c r="BK110" s="704" t="n">
        <v>0</v>
      </c>
      <c r="BL110" s="704" t="n">
        <v>0</v>
      </c>
      <c r="BM110" s="704" t="n">
        <v>0</v>
      </c>
      <c r="BN110" s="704" t="n">
        <v>0</v>
      </c>
      <c r="BO110" s="704" t="n">
        <v>0</v>
      </c>
      <c r="BP110" s="704" t="n">
        <v>0</v>
      </c>
      <c r="BQ110" s="704" t="n">
        <v>0</v>
      </c>
      <c r="BR110" s="704" t="n">
        <v>0</v>
      </c>
      <c r="BS110" s="704" t="n">
        <v>0</v>
      </c>
      <c r="BT110" s="704" t="n">
        <v>0</v>
      </c>
      <c r="BU110" s="704" t="n">
        <v>0</v>
      </c>
      <c r="BV110" s="704" t="n">
        <v>0</v>
      </c>
      <c r="BW110" s="704" t="n">
        <v>0</v>
      </c>
      <c r="BX110" s="704" t="n">
        <v>0</v>
      </c>
      <c r="BY110" s="704" t="n">
        <v>0</v>
      </c>
      <c r="BZ110" s="704" t="n">
        <v>0</v>
      </c>
      <c r="CA110" s="704" t="n">
        <v>0</v>
      </c>
      <c r="CB110" s="704" t="n">
        <v>0</v>
      </c>
      <c r="CC110" s="704" t="n">
        <v>0</v>
      </c>
      <c r="CD110" s="704" t="n">
        <v>0</v>
      </c>
      <c r="CE110" s="704" t="n">
        <v>0</v>
      </c>
      <c r="CF110" s="704" t="n">
        <v>0</v>
      </c>
      <c r="CG110" s="704" t="n">
        <v>0</v>
      </c>
      <c r="CH110" s="704" t="n">
        <v>0</v>
      </c>
      <c r="CI110" s="704" t="n">
        <v>0</v>
      </c>
      <c r="CJ110" s="704" t="n">
        <v>0</v>
      </c>
      <c r="CK110" s="704" t="n">
        <v>0</v>
      </c>
      <c r="CL110" s="704" t="n">
        <v>0</v>
      </c>
      <c r="CM110" s="704" t="n">
        <v>0</v>
      </c>
      <c r="CN110" s="704" t="n">
        <v>0</v>
      </c>
      <c r="CO110" s="704" t="n">
        <v>0</v>
      </c>
      <c r="CP110" s="704" t="n">
        <v>0</v>
      </c>
      <c r="CQ110" s="704" t="n">
        <v>0</v>
      </c>
      <c r="CR110" s="704" t="n">
        <v>0</v>
      </c>
      <c r="CS110" s="704" t="n">
        <v>0</v>
      </c>
      <c r="CT110" s="704" t="n">
        <v>0</v>
      </c>
      <c r="CU110" s="704" t="n">
        <v>0</v>
      </c>
      <c r="CV110" s="704" t="n">
        <v>0</v>
      </c>
      <c r="CW110" s="704" t="n">
        <v>0</v>
      </c>
      <c r="CX110" s="704" t="n">
        <v>0</v>
      </c>
      <c r="CY110" s="704" t="n">
        <v>0</v>
      </c>
      <c r="CZ110" s="704" t="n">
        <v>0</v>
      </c>
      <c r="DA110" s="704" t="n">
        <v>0</v>
      </c>
      <c r="DB110" s="704" t="n">
        <v>0</v>
      </c>
      <c r="DC110" s="704" t="n">
        <v>0</v>
      </c>
      <c r="DD110" s="704" t="n">
        <v>0</v>
      </c>
      <c r="DE110" s="704" t="n">
        <v>0</v>
      </c>
      <c r="DF110" s="704" t="n">
        <v>0</v>
      </c>
      <c r="DG110" s="704" t="n">
        <v>0</v>
      </c>
      <c r="DH110" s="704" t="n">
        <v>0</v>
      </c>
      <c r="DI110" s="704" t="n">
        <v>0</v>
      </c>
      <c r="DJ110" s="704" t="n">
        <v>0</v>
      </c>
      <c r="DK110" s="704" t="n">
        <v>0</v>
      </c>
      <c r="DL110" s="704" t="n">
        <v>0</v>
      </c>
      <c r="DM110" s="704" t="n">
        <v>0</v>
      </c>
    </row>
    <row r="111" ht="13.5" customHeight="1" s="355">
      <c r="B111" s="705" t="inlineStr">
        <is>
          <t>Grand Total</t>
        </is>
      </c>
      <c r="C111" s="706" t="n"/>
      <c r="D111" s="707" t="n">
        <v>0</v>
      </c>
      <c r="E111" s="707" t="n">
        <v>0</v>
      </c>
      <c r="F111" s="707" t="n">
        <v>0</v>
      </c>
      <c r="G111" s="707" t="n">
        <v>0</v>
      </c>
      <c r="H111" s="707" t="n">
        <v>0</v>
      </c>
      <c r="I111" s="707" t="n">
        <v>0</v>
      </c>
      <c r="J111" s="707" t="n">
        <v>0</v>
      </c>
      <c r="K111" s="707" t="n">
        <v>0</v>
      </c>
      <c r="L111" s="707" t="n">
        <v>0</v>
      </c>
      <c r="M111" s="707" t="n">
        <v>0</v>
      </c>
      <c r="N111" s="707" t="n">
        <v>0</v>
      </c>
      <c r="O111" s="707" t="n">
        <v>0</v>
      </c>
      <c r="P111" s="707" t="n">
        <v>0</v>
      </c>
      <c r="Q111" s="707" t="n">
        <v>0</v>
      </c>
      <c r="R111" s="707" t="n">
        <v>0</v>
      </c>
      <c r="S111" s="707" t="n">
        <v>0</v>
      </c>
      <c r="T111" s="707" t="n">
        <v>0</v>
      </c>
      <c r="U111" s="707" t="n">
        <v>0</v>
      </c>
      <c r="V111" s="707" t="n">
        <v>0</v>
      </c>
      <c r="W111" s="707" t="n">
        <v>0</v>
      </c>
      <c r="X111" s="707" t="n">
        <v>0</v>
      </c>
      <c r="Y111" s="707" t="n">
        <v>0</v>
      </c>
      <c r="Z111" s="707" t="n">
        <v>0</v>
      </c>
      <c r="AA111" s="707" t="n">
        <v>0</v>
      </c>
      <c r="AB111" s="707" t="n">
        <v>0</v>
      </c>
      <c r="AC111" s="707" t="n">
        <v>0</v>
      </c>
      <c r="AD111" s="707" t="n">
        <v>0</v>
      </c>
      <c r="AE111" s="707" t="n">
        <v>0</v>
      </c>
      <c r="AF111" s="707" t="n">
        <v>0</v>
      </c>
      <c r="AG111" s="707" t="n">
        <v>0</v>
      </c>
      <c r="AH111" s="707" t="n">
        <v>0</v>
      </c>
      <c r="AI111" s="707" t="n">
        <v>0</v>
      </c>
      <c r="AJ111" s="707" t="n">
        <v>0</v>
      </c>
      <c r="AK111" s="707" t="n">
        <v>0</v>
      </c>
      <c r="AL111" s="707" t="n">
        <v>0</v>
      </c>
      <c r="AM111" s="707" t="n">
        <v>0</v>
      </c>
      <c r="AN111" s="707" t="n">
        <v>0</v>
      </c>
      <c r="AO111" s="707" t="n">
        <v>0</v>
      </c>
      <c r="AP111" s="707" t="n">
        <v>0</v>
      </c>
      <c r="AQ111" s="707" t="n">
        <v>0</v>
      </c>
      <c r="AR111" s="707" t="n">
        <v>0</v>
      </c>
      <c r="AS111" s="707" t="n">
        <v>0</v>
      </c>
      <c r="AT111" s="707" t="n">
        <v>0</v>
      </c>
      <c r="AU111" s="707" t="n">
        <v>0</v>
      </c>
      <c r="AV111" s="707" t="n">
        <v>0</v>
      </c>
      <c r="AW111" s="707" t="n">
        <v>0</v>
      </c>
      <c r="AX111" s="707" t="n">
        <v>0</v>
      </c>
      <c r="AY111" s="707" t="n">
        <v>0</v>
      </c>
      <c r="AZ111" s="707" t="n">
        <v>0</v>
      </c>
      <c r="BA111" s="707" t="n">
        <v>0</v>
      </c>
      <c r="BB111" s="707" t="n">
        <v>0</v>
      </c>
      <c r="BC111" s="707" t="n">
        <v>0</v>
      </c>
      <c r="BD111" s="707" t="n">
        <v>0</v>
      </c>
      <c r="BE111" s="707" t="n">
        <v>0</v>
      </c>
      <c r="BF111" s="707" t="n">
        <v>0</v>
      </c>
      <c r="BG111" s="707" t="n">
        <v>0</v>
      </c>
      <c r="BH111" s="707" t="n">
        <v>0</v>
      </c>
      <c r="BI111" s="707" t="n">
        <v>0</v>
      </c>
      <c r="BJ111" s="707" t="n">
        <v>0</v>
      </c>
      <c r="BK111" s="707" t="n">
        <v>0</v>
      </c>
      <c r="BL111" s="707" t="n">
        <v>0</v>
      </c>
      <c r="BM111" s="707" t="n">
        <v>0</v>
      </c>
      <c r="BN111" s="707" t="n">
        <v>0</v>
      </c>
      <c r="BO111" s="707" t="n">
        <v>0</v>
      </c>
      <c r="BP111" s="707" t="n">
        <v>0</v>
      </c>
      <c r="BQ111" s="707" t="n">
        <v>0</v>
      </c>
      <c r="BR111" s="707" t="n">
        <v>0</v>
      </c>
      <c r="BS111" s="707" t="n">
        <v>0</v>
      </c>
      <c r="BT111" s="707" t="n">
        <v>0</v>
      </c>
      <c r="BU111" s="707" t="n">
        <v>0</v>
      </c>
      <c r="BV111" s="707" t="n">
        <v>0</v>
      </c>
      <c r="BW111" s="707" t="n">
        <v>0</v>
      </c>
      <c r="BX111" s="707" t="n">
        <v>0</v>
      </c>
      <c r="BY111" s="707" t="n">
        <v>0</v>
      </c>
      <c r="BZ111" s="707" t="n">
        <v>0</v>
      </c>
      <c r="CA111" s="707" t="n">
        <v>0</v>
      </c>
      <c r="CB111" s="707" t="n">
        <v>0</v>
      </c>
      <c r="CC111" s="707" t="n">
        <v>0</v>
      </c>
      <c r="CD111" s="707" t="n">
        <v>0</v>
      </c>
      <c r="CE111" s="707" t="n">
        <v>0</v>
      </c>
      <c r="CF111" s="707" t="n">
        <v>0</v>
      </c>
      <c r="CG111" s="707" t="n">
        <v>0</v>
      </c>
      <c r="CH111" s="707" t="n">
        <v>0</v>
      </c>
      <c r="CI111" s="707" t="n">
        <v>0</v>
      </c>
      <c r="CJ111" s="707" t="n">
        <v>0</v>
      </c>
      <c r="CK111" s="707" t="n">
        <v>0</v>
      </c>
      <c r="CL111" s="707" t="n">
        <v>0</v>
      </c>
      <c r="CM111" s="707" t="n">
        <v>0</v>
      </c>
      <c r="CN111" s="707" t="n">
        <v>0</v>
      </c>
      <c r="CO111" s="707" t="n">
        <v>0</v>
      </c>
      <c r="CP111" s="707" t="n">
        <v>0</v>
      </c>
      <c r="CQ111" s="707" t="n">
        <v>0</v>
      </c>
      <c r="CR111" s="707" t="n">
        <v>0</v>
      </c>
      <c r="CS111" s="707" t="n">
        <v>0</v>
      </c>
      <c r="CT111" s="707" t="n">
        <v>0</v>
      </c>
      <c r="CU111" s="707" t="n">
        <v>0</v>
      </c>
      <c r="CV111" s="707" t="n">
        <v>0</v>
      </c>
      <c r="CW111" s="707" t="n">
        <v>0</v>
      </c>
      <c r="CX111" s="707" t="n">
        <v>0</v>
      </c>
      <c r="CY111" s="707" t="n">
        <v>0</v>
      </c>
      <c r="CZ111" s="707" t="n">
        <v>0</v>
      </c>
      <c r="DA111" s="707" t="n">
        <v>0</v>
      </c>
      <c r="DB111" s="707" t="n">
        <v>0</v>
      </c>
      <c r="DC111" s="707" t="n">
        <v>0</v>
      </c>
      <c r="DD111" s="707" t="n">
        <v>0</v>
      </c>
      <c r="DE111" s="707" t="n">
        <v>0</v>
      </c>
      <c r="DF111" s="707" t="n">
        <v>0</v>
      </c>
      <c r="DG111" s="707" t="n">
        <v>0</v>
      </c>
      <c r="DH111" s="707" t="n">
        <v>0</v>
      </c>
      <c r="DI111" s="707" t="n">
        <v>0</v>
      </c>
      <c r="DJ111" s="707" t="n">
        <v>0</v>
      </c>
      <c r="DK111" s="707" t="n">
        <v>0</v>
      </c>
      <c r="DL111" s="707" t="n">
        <v>0</v>
      </c>
      <c r="DM111" s="707" t="n">
        <v>0</v>
      </c>
    </row>
    <row r="112" ht="13.5" customHeight="1" s="355">
      <c r="A112" s="702" t="inlineStr">
        <is>
          <t>Country 11</t>
        </is>
      </c>
      <c r="B112" s="703" t="inlineStr">
        <is>
          <t>Gen Acctg</t>
        </is>
      </c>
      <c r="D112" s="704" t="n">
        <v>0</v>
      </c>
      <c r="E112" s="704" t="n">
        <v>0</v>
      </c>
      <c r="F112" s="704" t="n">
        <v>0</v>
      </c>
      <c r="G112" s="704" t="n">
        <v>0</v>
      </c>
      <c r="H112" s="704" t="n">
        <v>0</v>
      </c>
      <c r="I112" s="704" t="n">
        <v>0</v>
      </c>
      <c r="J112" s="704" t="n">
        <v>0</v>
      </c>
      <c r="K112" s="704" t="n">
        <v>0</v>
      </c>
      <c r="L112" s="704" t="n">
        <v>0</v>
      </c>
      <c r="M112" s="704" t="n">
        <v>0</v>
      </c>
      <c r="N112" s="704" t="n">
        <v>0</v>
      </c>
      <c r="O112" s="704" t="n">
        <v>0</v>
      </c>
      <c r="P112" s="704" t="n">
        <v>0</v>
      </c>
      <c r="Q112" s="704" t="n">
        <v>0</v>
      </c>
      <c r="R112" s="704" t="n">
        <v>0</v>
      </c>
      <c r="S112" s="704" t="n">
        <v>0</v>
      </c>
      <c r="T112" s="704" t="n">
        <v>0</v>
      </c>
      <c r="U112" s="704" t="n">
        <v>0</v>
      </c>
      <c r="V112" s="704" t="n">
        <v>0</v>
      </c>
      <c r="W112" s="704" t="n">
        <v>0</v>
      </c>
      <c r="X112" s="704" t="n">
        <v>0</v>
      </c>
      <c r="Y112" s="704" t="n">
        <v>0</v>
      </c>
      <c r="Z112" s="704" t="n">
        <v>0</v>
      </c>
      <c r="AA112" s="704" t="n">
        <v>0</v>
      </c>
      <c r="AB112" s="704" t="n">
        <v>0</v>
      </c>
      <c r="AC112" s="704" t="n">
        <v>0</v>
      </c>
      <c r="AD112" s="704" t="n">
        <v>0</v>
      </c>
      <c r="AE112" s="704" t="n">
        <v>0</v>
      </c>
      <c r="AF112" s="704" t="n">
        <v>0</v>
      </c>
      <c r="AG112" s="704" t="n">
        <v>0</v>
      </c>
      <c r="AH112" s="704" t="n">
        <v>0</v>
      </c>
      <c r="AI112" s="704" t="n">
        <v>0</v>
      </c>
      <c r="AJ112" s="704" t="n">
        <v>0</v>
      </c>
      <c r="AK112" s="704" t="n">
        <v>0</v>
      </c>
      <c r="AL112" s="704" t="n">
        <v>0</v>
      </c>
      <c r="AM112" s="704" t="n">
        <v>0</v>
      </c>
      <c r="AN112" s="704" t="n">
        <v>0</v>
      </c>
      <c r="AO112" s="704" t="n">
        <v>0</v>
      </c>
      <c r="AP112" s="704" t="n">
        <v>0</v>
      </c>
      <c r="AQ112" s="704" t="n">
        <v>0</v>
      </c>
      <c r="AR112" s="704" t="n">
        <v>0</v>
      </c>
      <c r="AS112" s="704" t="n">
        <v>0</v>
      </c>
      <c r="AT112" s="704" t="n">
        <v>0</v>
      </c>
      <c r="AU112" s="704" t="n">
        <v>0</v>
      </c>
      <c r="AV112" s="704" t="n">
        <v>0</v>
      </c>
      <c r="AW112" s="704" t="n">
        <v>0</v>
      </c>
      <c r="AX112" s="704" t="n">
        <v>0</v>
      </c>
      <c r="AY112" s="704" t="n">
        <v>0</v>
      </c>
      <c r="AZ112" s="704" t="n">
        <v>0</v>
      </c>
      <c r="BA112" s="704" t="n">
        <v>0</v>
      </c>
      <c r="BB112" s="704" t="n">
        <v>0</v>
      </c>
      <c r="BC112" s="704" t="n">
        <v>0</v>
      </c>
      <c r="BD112" s="704" t="n">
        <v>0</v>
      </c>
      <c r="BE112" s="704" t="n">
        <v>0</v>
      </c>
      <c r="BF112" s="704" t="n">
        <v>0</v>
      </c>
      <c r="BG112" s="704" t="n">
        <v>0</v>
      </c>
      <c r="BH112" s="704" t="n">
        <v>0</v>
      </c>
      <c r="BI112" s="704" t="n">
        <v>0</v>
      </c>
      <c r="BJ112" s="704" t="n">
        <v>0</v>
      </c>
      <c r="BK112" s="704" t="n">
        <v>0</v>
      </c>
      <c r="BL112" s="704" t="n">
        <v>0</v>
      </c>
      <c r="BM112" s="704" t="n">
        <v>0</v>
      </c>
      <c r="BN112" s="704" t="n">
        <v>0</v>
      </c>
      <c r="BO112" s="704" t="n">
        <v>0</v>
      </c>
      <c r="BP112" s="704" t="n">
        <v>0</v>
      </c>
      <c r="BQ112" s="704" t="n">
        <v>0</v>
      </c>
      <c r="BR112" s="704" t="n">
        <v>0</v>
      </c>
      <c r="BS112" s="704" t="n">
        <v>0</v>
      </c>
      <c r="BT112" s="704" t="n">
        <v>0</v>
      </c>
      <c r="BU112" s="704" t="n">
        <v>0</v>
      </c>
      <c r="BV112" s="704" t="n">
        <v>0</v>
      </c>
      <c r="BW112" s="704" t="n">
        <v>0</v>
      </c>
      <c r="BX112" s="704" t="n">
        <v>0</v>
      </c>
      <c r="BY112" s="704" t="n">
        <v>0</v>
      </c>
      <c r="BZ112" s="704" t="n">
        <v>0</v>
      </c>
      <c r="CA112" s="704" t="n">
        <v>0</v>
      </c>
      <c r="CB112" s="704" t="n">
        <v>0</v>
      </c>
      <c r="CC112" s="704" t="n">
        <v>0</v>
      </c>
      <c r="CD112" s="704" t="n">
        <v>0</v>
      </c>
      <c r="CE112" s="704" t="n">
        <v>0</v>
      </c>
      <c r="CF112" s="704" t="n">
        <v>0</v>
      </c>
      <c r="CG112" s="704" t="n">
        <v>0</v>
      </c>
      <c r="CH112" s="704" t="n">
        <v>0</v>
      </c>
      <c r="CI112" s="704" t="n">
        <v>0</v>
      </c>
      <c r="CJ112" s="704" t="n">
        <v>0</v>
      </c>
      <c r="CK112" s="704" t="n">
        <v>0</v>
      </c>
      <c r="CL112" s="704" t="n">
        <v>0</v>
      </c>
      <c r="CM112" s="704" t="n">
        <v>0</v>
      </c>
      <c r="CN112" s="704" t="n">
        <v>0</v>
      </c>
      <c r="CO112" s="704" t="n">
        <v>0</v>
      </c>
      <c r="CP112" s="704" t="n">
        <v>0</v>
      </c>
      <c r="CQ112" s="704" t="n">
        <v>0</v>
      </c>
      <c r="CR112" s="704" t="n">
        <v>0</v>
      </c>
      <c r="CS112" s="704" t="n">
        <v>0</v>
      </c>
      <c r="CT112" s="704" t="n">
        <v>0</v>
      </c>
      <c r="CU112" s="704" t="n">
        <v>0</v>
      </c>
      <c r="CV112" s="704" t="n">
        <v>0</v>
      </c>
      <c r="CW112" s="704" t="n">
        <v>0</v>
      </c>
      <c r="CX112" s="704" t="n">
        <v>0</v>
      </c>
      <c r="CY112" s="704" t="n">
        <v>0</v>
      </c>
      <c r="CZ112" s="704" t="n">
        <v>0</v>
      </c>
      <c r="DA112" s="704" t="n">
        <v>0</v>
      </c>
      <c r="DB112" s="704" t="n">
        <v>0</v>
      </c>
      <c r="DC112" s="704" t="n">
        <v>0</v>
      </c>
      <c r="DD112" s="704" t="n">
        <v>0</v>
      </c>
      <c r="DE112" s="704" t="n">
        <v>0</v>
      </c>
      <c r="DF112" s="704" t="n">
        <v>0</v>
      </c>
      <c r="DG112" s="704" t="n">
        <v>0</v>
      </c>
      <c r="DH112" s="704" t="n">
        <v>0</v>
      </c>
      <c r="DI112" s="704" t="n">
        <v>0</v>
      </c>
      <c r="DJ112" s="704" t="n">
        <v>0</v>
      </c>
      <c r="DK112" s="704" t="n">
        <v>0</v>
      </c>
      <c r="DL112" s="704" t="n">
        <v>0</v>
      </c>
      <c r="DM112" s="704" t="n">
        <v>0</v>
      </c>
    </row>
    <row r="113" ht="13.5" customHeight="1" s="355">
      <c r="B113" s="703" t="inlineStr">
        <is>
          <t>Reporting</t>
        </is>
      </c>
      <c r="D113" s="704" t="n">
        <v>0</v>
      </c>
      <c r="E113" s="704" t="n">
        <v>0</v>
      </c>
      <c r="F113" s="704" t="n">
        <v>0</v>
      </c>
      <c r="G113" s="704" t="n">
        <v>0</v>
      </c>
      <c r="H113" s="704" t="n">
        <v>0</v>
      </c>
      <c r="I113" s="704" t="n">
        <v>0</v>
      </c>
      <c r="J113" s="704" t="n">
        <v>0</v>
      </c>
      <c r="K113" s="704" t="n">
        <v>0</v>
      </c>
      <c r="L113" s="704" t="n">
        <v>0</v>
      </c>
      <c r="M113" s="704" t="n">
        <v>0</v>
      </c>
      <c r="N113" s="704" t="n">
        <v>0</v>
      </c>
      <c r="O113" s="704" t="n">
        <v>0</v>
      </c>
      <c r="P113" s="704" t="n">
        <v>0</v>
      </c>
      <c r="Q113" s="704" t="n">
        <v>0</v>
      </c>
      <c r="R113" s="704" t="n">
        <v>0</v>
      </c>
      <c r="S113" s="704" t="n">
        <v>0</v>
      </c>
      <c r="T113" s="704" t="n">
        <v>0</v>
      </c>
      <c r="U113" s="704" t="n">
        <v>0</v>
      </c>
      <c r="V113" s="704" t="n">
        <v>0</v>
      </c>
      <c r="W113" s="704" t="n">
        <v>0</v>
      </c>
      <c r="X113" s="704" t="n">
        <v>0</v>
      </c>
      <c r="Y113" s="704" t="n">
        <v>0</v>
      </c>
      <c r="Z113" s="704" t="n">
        <v>0</v>
      </c>
      <c r="AA113" s="704" t="n">
        <v>0</v>
      </c>
      <c r="AB113" s="704" t="n">
        <v>0</v>
      </c>
      <c r="AC113" s="704" t="n">
        <v>0</v>
      </c>
      <c r="AD113" s="704" t="n">
        <v>0</v>
      </c>
      <c r="AE113" s="704" t="n">
        <v>0</v>
      </c>
      <c r="AF113" s="704" t="n">
        <v>0</v>
      </c>
      <c r="AG113" s="704" t="n">
        <v>0</v>
      </c>
      <c r="AH113" s="704" t="n">
        <v>0</v>
      </c>
      <c r="AI113" s="704" t="n">
        <v>0</v>
      </c>
      <c r="AJ113" s="704" t="n">
        <v>0</v>
      </c>
      <c r="AK113" s="704" t="n">
        <v>0</v>
      </c>
      <c r="AL113" s="704" t="n">
        <v>0</v>
      </c>
      <c r="AM113" s="704" t="n">
        <v>0</v>
      </c>
      <c r="AN113" s="704" t="n">
        <v>0</v>
      </c>
      <c r="AO113" s="704" t="n">
        <v>0</v>
      </c>
      <c r="AP113" s="704" t="n">
        <v>0</v>
      </c>
      <c r="AQ113" s="704" t="n">
        <v>0</v>
      </c>
      <c r="AR113" s="704" t="n">
        <v>0</v>
      </c>
      <c r="AS113" s="704" t="n">
        <v>0</v>
      </c>
      <c r="AT113" s="704" t="n">
        <v>0</v>
      </c>
      <c r="AU113" s="704" t="n">
        <v>0</v>
      </c>
      <c r="AV113" s="704" t="n">
        <v>0</v>
      </c>
      <c r="AW113" s="704" t="n">
        <v>0</v>
      </c>
      <c r="AX113" s="704" t="n">
        <v>0</v>
      </c>
      <c r="AY113" s="704" t="n">
        <v>0</v>
      </c>
      <c r="AZ113" s="704" t="n">
        <v>0</v>
      </c>
      <c r="BA113" s="704" t="n">
        <v>0</v>
      </c>
      <c r="BB113" s="704" t="n">
        <v>0</v>
      </c>
      <c r="BC113" s="704" t="n">
        <v>0</v>
      </c>
      <c r="BD113" s="704" t="n">
        <v>0</v>
      </c>
      <c r="BE113" s="704" t="n">
        <v>0</v>
      </c>
      <c r="BF113" s="704" t="n">
        <v>0</v>
      </c>
      <c r="BG113" s="704" t="n">
        <v>0</v>
      </c>
      <c r="BH113" s="704" t="n">
        <v>0</v>
      </c>
      <c r="BI113" s="704" t="n">
        <v>0</v>
      </c>
      <c r="BJ113" s="704" t="n">
        <v>0</v>
      </c>
      <c r="BK113" s="704" t="n">
        <v>0</v>
      </c>
      <c r="BL113" s="704" t="n">
        <v>0</v>
      </c>
      <c r="BM113" s="704" t="n">
        <v>0</v>
      </c>
      <c r="BN113" s="704" t="n">
        <v>0</v>
      </c>
      <c r="BO113" s="704" t="n">
        <v>0</v>
      </c>
      <c r="BP113" s="704" t="n">
        <v>0</v>
      </c>
      <c r="BQ113" s="704" t="n">
        <v>0</v>
      </c>
      <c r="BR113" s="704" t="n">
        <v>0</v>
      </c>
      <c r="BS113" s="704" t="n">
        <v>0</v>
      </c>
      <c r="BT113" s="704" t="n">
        <v>0</v>
      </c>
      <c r="BU113" s="704" t="n">
        <v>0</v>
      </c>
      <c r="BV113" s="704" t="n">
        <v>0</v>
      </c>
      <c r="BW113" s="704" t="n">
        <v>0</v>
      </c>
      <c r="BX113" s="704" t="n">
        <v>0</v>
      </c>
      <c r="BY113" s="704" t="n">
        <v>0</v>
      </c>
      <c r="BZ113" s="704" t="n">
        <v>0</v>
      </c>
      <c r="CA113" s="704" t="n">
        <v>0</v>
      </c>
      <c r="CB113" s="704" t="n">
        <v>0</v>
      </c>
      <c r="CC113" s="704" t="n">
        <v>0</v>
      </c>
      <c r="CD113" s="704" t="n">
        <v>0</v>
      </c>
      <c r="CE113" s="704" t="n">
        <v>0</v>
      </c>
      <c r="CF113" s="704" t="n">
        <v>0</v>
      </c>
      <c r="CG113" s="704" t="n">
        <v>0</v>
      </c>
      <c r="CH113" s="704" t="n">
        <v>0</v>
      </c>
      <c r="CI113" s="704" t="n">
        <v>0</v>
      </c>
      <c r="CJ113" s="704" t="n">
        <v>0</v>
      </c>
      <c r="CK113" s="704" t="n">
        <v>0</v>
      </c>
      <c r="CL113" s="704" t="n">
        <v>0</v>
      </c>
      <c r="CM113" s="704" t="n">
        <v>0</v>
      </c>
      <c r="CN113" s="704" t="n">
        <v>0</v>
      </c>
      <c r="CO113" s="704" t="n">
        <v>0</v>
      </c>
      <c r="CP113" s="704" t="n">
        <v>0</v>
      </c>
      <c r="CQ113" s="704" t="n">
        <v>0</v>
      </c>
      <c r="CR113" s="704" t="n">
        <v>0</v>
      </c>
      <c r="CS113" s="704" t="n">
        <v>0</v>
      </c>
      <c r="CT113" s="704" t="n">
        <v>0</v>
      </c>
      <c r="CU113" s="704" t="n">
        <v>0</v>
      </c>
      <c r="CV113" s="704" t="n">
        <v>0</v>
      </c>
      <c r="CW113" s="704" t="n">
        <v>0</v>
      </c>
      <c r="CX113" s="704" t="n">
        <v>0</v>
      </c>
      <c r="CY113" s="704" t="n">
        <v>0</v>
      </c>
      <c r="CZ113" s="704" t="n">
        <v>0</v>
      </c>
      <c r="DA113" s="704" t="n">
        <v>0</v>
      </c>
      <c r="DB113" s="704" t="n">
        <v>0</v>
      </c>
      <c r="DC113" s="704" t="n">
        <v>0</v>
      </c>
      <c r="DD113" s="704" t="n">
        <v>0</v>
      </c>
      <c r="DE113" s="704" t="n">
        <v>0</v>
      </c>
      <c r="DF113" s="704" t="n">
        <v>0</v>
      </c>
      <c r="DG113" s="704" t="n">
        <v>0</v>
      </c>
      <c r="DH113" s="704" t="n">
        <v>0</v>
      </c>
      <c r="DI113" s="704" t="n">
        <v>0</v>
      </c>
      <c r="DJ113" s="704" t="n">
        <v>0</v>
      </c>
      <c r="DK113" s="704" t="n">
        <v>0</v>
      </c>
      <c r="DL113" s="704" t="n">
        <v>0</v>
      </c>
      <c r="DM113" s="704" t="n">
        <v>0</v>
      </c>
    </row>
    <row r="114" ht="13.5" customHeight="1" s="355">
      <c r="B114" s="703" t="inlineStr">
        <is>
          <t>Fixed Assets</t>
        </is>
      </c>
      <c r="D114" s="704" t="n">
        <v>0</v>
      </c>
      <c r="E114" s="704" t="n">
        <v>0</v>
      </c>
      <c r="F114" s="704" t="n">
        <v>0</v>
      </c>
      <c r="G114" s="704" t="n">
        <v>0</v>
      </c>
      <c r="H114" s="704" t="n">
        <v>0</v>
      </c>
      <c r="I114" s="704" t="n">
        <v>0</v>
      </c>
      <c r="J114" s="704" t="n">
        <v>0</v>
      </c>
      <c r="K114" s="704" t="n">
        <v>0</v>
      </c>
      <c r="L114" s="704" t="n">
        <v>0</v>
      </c>
      <c r="M114" s="704" t="n">
        <v>0</v>
      </c>
      <c r="N114" s="704" t="n">
        <v>0</v>
      </c>
      <c r="O114" s="704" t="n">
        <v>0</v>
      </c>
      <c r="P114" s="704" t="n">
        <v>0</v>
      </c>
      <c r="Q114" s="704" t="n">
        <v>0</v>
      </c>
      <c r="R114" s="704" t="n">
        <v>0</v>
      </c>
      <c r="S114" s="704" t="n">
        <v>0</v>
      </c>
      <c r="T114" s="704" t="n">
        <v>0</v>
      </c>
      <c r="U114" s="704" t="n">
        <v>0</v>
      </c>
      <c r="V114" s="704" t="n">
        <v>0</v>
      </c>
      <c r="W114" s="704" t="n">
        <v>0</v>
      </c>
      <c r="X114" s="704" t="n">
        <v>0</v>
      </c>
      <c r="Y114" s="704" t="n">
        <v>0</v>
      </c>
      <c r="Z114" s="704" t="n">
        <v>0</v>
      </c>
      <c r="AA114" s="704" t="n">
        <v>0</v>
      </c>
      <c r="AB114" s="704" t="n">
        <v>0</v>
      </c>
      <c r="AC114" s="704" t="n">
        <v>0</v>
      </c>
      <c r="AD114" s="704" t="n">
        <v>0</v>
      </c>
      <c r="AE114" s="704" t="n">
        <v>0</v>
      </c>
      <c r="AF114" s="704" t="n">
        <v>0</v>
      </c>
      <c r="AG114" s="704" t="n">
        <v>0</v>
      </c>
      <c r="AH114" s="704" t="n">
        <v>0</v>
      </c>
      <c r="AI114" s="704" t="n">
        <v>0</v>
      </c>
      <c r="AJ114" s="704" t="n">
        <v>0</v>
      </c>
      <c r="AK114" s="704" t="n">
        <v>0</v>
      </c>
      <c r="AL114" s="704" t="n">
        <v>0</v>
      </c>
      <c r="AM114" s="704" t="n">
        <v>0</v>
      </c>
      <c r="AN114" s="704" t="n">
        <v>0</v>
      </c>
      <c r="AO114" s="704" t="n">
        <v>0</v>
      </c>
      <c r="AP114" s="704" t="n">
        <v>0</v>
      </c>
      <c r="AQ114" s="704" t="n">
        <v>0</v>
      </c>
      <c r="AR114" s="704" t="n">
        <v>0</v>
      </c>
      <c r="AS114" s="704" t="n">
        <v>0</v>
      </c>
      <c r="AT114" s="704" t="n">
        <v>0</v>
      </c>
      <c r="AU114" s="704" t="n">
        <v>0</v>
      </c>
      <c r="AV114" s="704" t="n">
        <v>0</v>
      </c>
      <c r="AW114" s="704" t="n">
        <v>0</v>
      </c>
      <c r="AX114" s="704" t="n">
        <v>0</v>
      </c>
      <c r="AY114" s="704" t="n">
        <v>0</v>
      </c>
      <c r="AZ114" s="704" t="n">
        <v>0</v>
      </c>
      <c r="BA114" s="704" t="n">
        <v>0</v>
      </c>
      <c r="BB114" s="704" t="n">
        <v>0</v>
      </c>
      <c r="BC114" s="704" t="n">
        <v>0</v>
      </c>
      <c r="BD114" s="704" t="n">
        <v>0</v>
      </c>
      <c r="BE114" s="704" t="n">
        <v>0</v>
      </c>
      <c r="BF114" s="704" t="n">
        <v>0</v>
      </c>
      <c r="BG114" s="704" t="n">
        <v>0</v>
      </c>
      <c r="BH114" s="704" t="n">
        <v>0</v>
      </c>
      <c r="BI114" s="704" t="n">
        <v>0</v>
      </c>
      <c r="BJ114" s="704" t="n">
        <v>0</v>
      </c>
      <c r="BK114" s="704" t="n">
        <v>0</v>
      </c>
      <c r="BL114" s="704" t="n">
        <v>0</v>
      </c>
      <c r="BM114" s="704" t="n">
        <v>0</v>
      </c>
      <c r="BN114" s="704" t="n">
        <v>0</v>
      </c>
      <c r="BO114" s="704" t="n">
        <v>0</v>
      </c>
      <c r="BP114" s="704" t="n">
        <v>0</v>
      </c>
      <c r="BQ114" s="704" t="n">
        <v>0</v>
      </c>
      <c r="BR114" s="704" t="n">
        <v>0</v>
      </c>
      <c r="BS114" s="704" t="n">
        <v>0</v>
      </c>
      <c r="BT114" s="704" t="n">
        <v>0</v>
      </c>
      <c r="BU114" s="704" t="n">
        <v>0</v>
      </c>
      <c r="BV114" s="704" t="n">
        <v>0</v>
      </c>
      <c r="BW114" s="704" t="n">
        <v>0</v>
      </c>
      <c r="BX114" s="704" t="n">
        <v>0</v>
      </c>
      <c r="BY114" s="704" t="n">
        <v>0</v>
      </c>
      <c r="BZ114" s="704" t="n">
        <v>0</v>
      </c>
      <c r="CA114" s="704" t="n">
        <v>0</v>
      </c>
      <c r="CB114" s="704" t="n">
        <v>0</v>
      </c>
      <c r="CC114" s="704" t="n">
        <v>0</v>
      </c>
      <c r="CD114" s="704" t="n">
        <v>0</v>
      </c>
      <c r="CE114" s="704" t="n">
        <v>0</v>
      </c>
      <c r="CF114" s="704" t="n">
        <v>0</v>
      </c>
      <c r="CG114" s="704" t="n">
        <v>0</v>
      </c>
      <c r="CH114" s="704" t="n">
        <v>0</v>
      </c>
      <c r="CI114" s="704" t="n">
        <v>0</v>
      </c>
      <c r="CJ114" s="704" t="n">
        <v>0</v>
      </c>
      <c r="CK114" s="704" t="n">
        <v>0</v>
      </c>
      <c r="CL114" s="704" t="n">
        <v>0</v>
      </c>
      <c r="CM114" s="704" t="n">
        <v>0</v>
      </c>
      <c r="CN114" s="704" t="n">
        <v>0</v>
      </c>
      <c r="CO114" s="704" t="n">
        <v>0</v>
      </c>
      <c r="CP114" s="704" t="n">
        <v>0</v>
      </c>
      <c r="CQ114" s="704" t="n">
        <v>0</v>
      </c>
      <c r="CR114" s="704" t="n">
        <v>0</v>
      </c>
      <c r="CS114" s="704" t="n">
        <v>0</v>
      </c>
      <c r="CT114" s="704" t="n">
        <v>0</v>
      </c>
      <c r="CU114" s="704" t="n">
        <v>0</v>
      </c>
      <c r="CV114" s="704" t="n">
        <v>0</v>
      </c>
      <c r="CW114" s="704" t="n">
        <v>0</v>
      </c>
      <c r="CX114" s="704" t="n">
        <v>0</v>
      </c>
      <c r="CY114" s="704" t="n">
        <v>0</v>
      </c>
      <c r="CZ114" s="704" t="n">
        <v>0</v>
      </c>
      <c r="DA114" s="704" t="n">
        <v>0</v>
      </c>
      <c r="DB114" s="704" t="n">
        <v>0</v>
      </c>
      <c r="DC114" s="704" t="n">
        <v>0</v>
      </c>
      <c r="DD114" s="704" t="n">
        <v>0</v>
      </c>
      <c r="DE114" s="704" t="n">
        <v>0</v>
      </c>
      <c r="DF114" s="704" t="n">
        <v>0</v>
      </c>
      <c r="DG114" s="704" t="n">
        <v>0</v>
      </c>
      <c r="DH114" s="704" t="n">
        <v>0</v>
      </c>
      <c r="DI114" s="704" t="n">
        <v>0</v>
      </c>
      <c r="DJ114" s="704" t="n">
        <v>0</v>
      </c>
      <c r="DK114" s="704" t="n">
        <v>0</v>
      </c>
      <c r="DL114" s="704" t="n">
        <v>0</v>
      </c>
      <c r="DM114" s="704" t="n">
        <v>0</v>
      </c>
    </row>
    <row r="115" ht="13.5" customHeight="1" s="355">
      <c r="B115" s="703" t="inlineStr">
        <is>
          <t>Acct Payable</t>
        </is>
      </c>
      <c r="D115" s="704" t="n">
        <v>0</v>
      </c>
      <c r="E115" s="704" t="n">
        <v>0</v>
      </c>
      <c r="F115" s="704" t="n">
        <v>0</v>
      </c>
      <c r="G115" s="704" t="n">
        <v>0</v>
      </c>
      <c r="H115" s="704" t="n">
        <v>0</v>
      </c>
      <c r="I115" s="704" t="n">
        <v>0</v>
      </c>
      <c r="J115" s="704" t="n">
        <v>0</v>
      </c>
      <c r="K115" s="704" t="n">
        <v>0</v>
      </c>
      <c r="L115" s="704" t="n">
        <v>0</v>
      </c>
      <c r="M115" s="704" t="n">
        <v>0</v>
      </c>
      <c r="N115" s="704" t="n">
        <v>0</v>
      </c>
      <c r="O115" s="704" t="n">
        <v>0</v>
      </c>
      <c r="P115" s="704" t="n">
        <v>0</v>
      </c>
      <c r="Q115" s="704" t="n">
        <v>0</v>
      </c>
      <c r="R115" s="704" t="n">
        <v>0</v>
      </c>
      <c r="S115" s="704" t="n">
        <v>0</v>
      </c>
      <c r="T115" s="704" t="n">
        <v>0</v>
      </c>
      <c r="U115" s="704" t="n">
        <v>0</v>
      </c>
      <c r="V115" s="704" t="n">
        <v>0</v>
      </c>
      <c r="W115" s="704" t="n">
        <v>0</v>
      </c>
      <c r="X115" s="704" t="n">
        <v>0</v>
      </c>
      <c r="Y115" s="704" t="n">
        <v>0</v>
      </c>
      <c r="Z115" s="704" t="n">
        <v>0</v>
      </c>
      <c r="AA115" s="704" t="n">
        <v>0</v>
      </c>
      <c r="AB115" s="704" t="n">
        <v>0</v>
      </c>
      <c r="AC115" s="704" t="n">
        <v>0</v>
      </c>
      <c r="AD115" s="704" t="n">
        <v>0</v>
      </c>
      <c r="AE115" s="704" t="n">
        <v>0</v>
      </c>
      <c r="AF115" s="704" t="n">
        <v>0</v>
      </c>
      <c r="AG115" s="704" t="n">
        <v>0</v>
      </c>
      <c r="AH115" s="704" t="n">
        <v>0</v>
      </c>
      <c r="AI115" s="704" t="n">
        <v>0</v>
      </c>
      <c r="AJ115" s="704" t="n">
        <v>0</v>
      </c>
      <c r="AK115" s="704" t="n">
        <v>0</v>
      </c>
      <c r="AL115" s="704" t="n">
        <v>0</v>
      </c>
      <c r="AM115" s="704" t="n">
        <v>0</v>
      </c>
      <c r="AN115" s="704" t="n">
        <v>0</v>
      </c>
      <c r="AO115" s="704" t="n">
        <v>0</v>
      </c>
      <c r="AP115" s="704" t="n">
        <v>0</v>
      </c>
      <c r="AQ115" s="704" t="n">
        <v>0</v>
      </c>
      <c r="AR115" s="704" t="n">
        <v>0</v>
      </c>
      <c r="AS115" s="704" t="n">
        <v>0</v>
      </c>
      <c r="AT115" s="704" t="n">
        <v>0</v>
      </c>
      <c r="AU115" s="704" t="n">
        <v>0</v>
      </c>
      <c r="AV115" s="704" t="n">
        <v>0</v>
      </c>
      <c r="AW115" s="704" t="n">
        <v>0</v>
      </c>
      <c r="AX115" s="704" t="n">
        <v>0</v>
      </c>
      <c r="AY115" s="704" t="n">
        <v>0</v>
      </c>
      <c r="AZ115" s="704" t="n">
        <v>0</v>
      </c>
      <c r="BA115" s="704" t="n">
        <v>0</v>
      </c>
      <c r="BB115" s="704" t="n">
        <v>0</v>
      </c>
      <c r="BC115" s="704" t="n">
        <v>0</v>
      </c>
      <c r="BD115" s="704" t="n">
        <v>0</v>
      </c>
      <c r="BE115" s="704" t="n">
        <v>0</v>
      </c>
      <c r="BF115" s="704" t="n">
        <v>0</v>
      </c>
      <c r="BG115" s="704" t="n">
        <v>0</v>
      </c>
      <c r="BH115" s="704" t="n">
        <v>0</v>
      </c>
      <c r="BI115" s="704" t="n">
        <v>0</v>
      </c>
      <c r="BJ115" s="704" t="n">
        <v>0</v>
      </c>
      <c r="BK115" s="704" t="n">
        <v>0</v>
      </c>
      <c r="BL115" s="704" t="n">
        <v>0</v>
      </c>
      <c r="BM115" s="704" t="n">
        <v>0</v>
      </c>
      <c r="BN115" s="704" t="n">
        <v>0</v>
      </c>
      <c r="BO115" s="704" t="n">
        <v>0</v>
      </c>
      <c r="BP115" s="704" t="n">
        <v>0</v>
      </c>
      <c r="BQ115" s="704" t="n">
        <v>0</v>
      </c>
      <c r="BR115" s="704" t="n">
        <v>0</v>
      </c>
      <c r="BS115" s="704" t="n">
        <v>0</v>
      </c>
      <c r="BT115" s="704" t="n">
        <v>0</v>
      </c>
      <c r="BU115" s="704" t="n">
        <v>0</v>
      </c>
      <c r="BV115" s="704" t="n">
        <v>0</v>
      </c>
      <c r="BW115" s="704" t="n">
        <v>0</v>
      </c>
      <c r="BX115" s="704" t="n">
        <v>0</v>
      </c>
      <c r="BY115" s="704" t="n">
        <v>0</v>
      </c>
      <c r="BZ115" s="704" t="n">
        <v>0</v>
      </c>
      <c r="CA115" s="704" t="n">
        <v>0</v>
      </c>
      <c r="CB115" s="704" t="n">
        <v>0</v>
      </c>
      <c r="CC115" s="704" t="n">
        <v>0</v>
      </c>
      <c r="CD115" s="704" t="n">
        <v>0</v>
      </c>
      <c r="CE115" s="704" t="n">
        <v>0</v>
      </c>
      <c r="CF115" s="704" t="n">
        <v>0</v>
      </c>
      <c r="CG115" s="704" t="n">
        <v>0</v>
      </c>
      <c r="CH115" s="704" t="n">
        <v>0</v>
      </c>
      <c r="CI115" s="704" t="n">
        <v>0</v>
      </c>
      <c r="CJ115" s="704" t="n">
        <v>0</v>
      </c>
      <c r="CK115" s="704" t="n">
        <v>0</v>
      </c>
      <c r="CL115" s="704" t="n">
        <v>0</v>
      </c>
      <c r="CM115" s="704" t="n">
        <v>0</v>
      </c>
      <c r="CN115" s="704" t="n">
        <v>0</v>
      </c>
      <c r="CO115" s="704" t="n">
        <v>0</v>
      </c>
      <c r="CP115" s="704" t="n">
        <v>0</v>
      </c>
      <c r="CQ115" s="704" t="n">
        <v>0</v>
      </c>
      <c r="CR115" s="704" t="n">
        <v>0</v>
      </c>
      <c r="CS115" s="704" t="n">
        <v>0</v>
      </c>
      <c r="CT115" s="704" t="n">
        <v>0</v>
      </c>
      <c r="CU115" s="704" t="n">
        <v>0</v>
      </c>
      <c r="CV115" s="704" t="n">
        <v>0</v>
      </c>
      <c r="CW115" s="704" t="n">
        <v>0</v>
      </c>
      <c r="CX115" s="704" t="n">
        <v>0</v>
      </c>
      <c r="CY115" s="704" t="n">
        <v>0</v>
      </c>
      <c r="CZ115" s="704" t="n">
        <v>0</v>
      </c>
      <c r="DA115" s="704" t="n">
        <v>0</v>
      </c>
      <c r="DB115" s="704" t="n">
        <v>0</v>
      </c>
      <c r="DC115" s="704" t="n">
        <v>0</v>
      </c>
      <c r="DD115" s="704" t="n">
        <v>0</v>
      </c>
      <c r="DE115" s="704" t="n">
        <v>0</v>
      </c>
      <c r="DF115" s="704" t="n">
        <v>0</v>
      </c>
      <c r="DG115" s="704" t="n">
        <v>0</v>
      </c>
      <c r="DH115" s="704" t="n">
        <v>0</v>
      </c>
      <c r="DI115" s="704" t="n">
        <v>0</v>
      </c>
      <c r="DJ115" s="704" t="n">
        <v>0</v>
      </c>
      <c r="DK115" s="704" t="n">
        <v>0</v>
      </c>
      <c r="DL115" s="704" t="n">
        <v>0</v>
      </c>
      <c r="DM115" s="704" t="n">
        <v>0</v>
      </c>
    </row>
    <row r="116" ht="13.5" customHeight="1" s="355">
      <c r="B116" s="703" t="inlineStr">
        <is>
          <t>Cash&amp;Bank</t>
        </is>
      </c>
      <c r="D116" s="704" t="n">
        <v>0</v>
      </c>
      <c r="E116" s="704" t="n">
        <v>0</v>
      </c>
      <c r="F116" s="704" t="n">
        <v>0</v>
      </c>
      <c r="G116" s="704" t="n">
        <v>0</v>
      </c>
      <c r="H116" s="704" t="n">
        <v>0</v>
      </c>
      <c r="I116" s="704" t="n">
        <v>0</v>
      </c>
      <c r="J116" s="704" t="n">
        <v>0</v>
      </c>
      <c r="K116" s="704" t="n">
        <v>0</v>
      </c>
      <c r="L116" s="704" t="n">
        <v>0</v>
      </c>
      <c r="M116" s="704" t="n">
        <v>0</v>
      </c>
      <c r="N116" s="704" t="n">
        <v>0</v>
      </c>
      <c r="O116" s="704" t="n">
        <v>0</v>
      </c>
      <c r="P116" s="704" t="n">
        <v>0</v>
      </c>
      <c r="Q116" s="704" t="n">
        <v>0</v>
      </c>
      <c r="R116" s="704" t="n">
        <v>0</v>
      </c>
      <c r="S116" s="704" t="n">
        <v>0</v>
      </c>
      <c r="T116" s="704" t="n">
        <v>0</v>
      </c>
      <c r="U116" s="704" t="n">
        <v>0</v>
      </c>
      <c r="V116" s="704" t="n">
        <v>0</v>
      </c>
      <c r="W116" s="704" t="n">
        <v>0</v>
      </c>
      <c r="X116" s="704" t="n">
        <v>0</v>
      </c>
      <c r="Y116" s="704" t="n">
        <v>0</v>
      </c>
      <c r="Z116" s="704" t="n">
        <v>0</v>
      </c>
      <c r="AA116" s="704" t="n">
        <v>0</v>
      </c>
      <c r="AB116" s="704" t="n">
        <v>0</v>
      </c>
      <c r="AC116" s="704" t="n">
        <v>0</v>
      </c>
      <c r="AD116" s="704" t="n">
        <v>0</v>
      </c>
      <c r="AE116" s="704" t="n">
        <v>0</v>
      </c>
      <c r="AF116" s="704" t="n">
        <v>0</v>
      </c>
      <c r="AG116" s="704" t="n">
        <v>0</v>
      </c>
      <c r="AH116" s="704" t="n">
        <v>0</v>
      </c>
      <c r="AI116" s="704" t="n">
        <v>0</v>
      </c>
      <c r="AJ116" s="704" t="n">
        <v>0</v>
      </c>
      <c r="AK116" s="704" t="n">
        <v>0</v>
      </c>
      <c r="AL116" s="704" t="n">
        <v>0</v>
      </c>
      <c r="AM116" s="704" t="n">
        <v>0</v>
      </c>
      <c r="AN116" s="704" t="n">
        <v>0</v>
      </c>
      <c r="AO116" s="704" t="n">
        <v>0</v>
      </c>
      <c r="AP116" s="704" t="n">
        <v>0</v>
      </c>
      <c r="AQ116" s="704" t="n">
        <v>0</v>
      </c>
      <c r="AR116" s="704" t="n">
        <v>0</v>
      </c>
      <c r="AS116" s="704" t="n">
        <v>0</v>
      </c>
      <c r="AT116" s="704" t="n">
        <v>0</v>
      </c>
      <c r="AU116" s="704" t="n">
        <v>0</v>
      </c>
      <c r="AV116" s="704" t="n">
        <v>0</v>
      </c>
      <c r="AW116" s="704" t="n">
        <v>0</v>
      </c>
      <c r="AX116" s="704" t="n">
        <v>0</v>
      </c>
      <c r="AY116" s="704" t="n">
        <v>0</v>
      </c>
      <c r="AZ116" s="704" t="n">
        <v>0</v>
      </c>
      <c r="BA116" s="704" t="n">
        <v>0</v>
      </c>
      <c r="BB116" s="704" t="n">
        <v>0</v>
      </c>
      <c r="BC116" s="704" t="n">
        <v>0</v>
      </c>
      <c r="BD116" s="704" t="n">
        <v>0</v>
      </c>
      <c r="BE116" s="704" t="n">
        <v>0</v>
      </c>
      <c r="BF116" s="704" t="n">
        <v>0</v>
      </c>
      <c r="BG116" s="704" t="n">
        <v>0</v>
      </c>
      <c r="BH116" s="704" t="n">
        <v>0</v>
      </c>
      <c r="BI116" s="704" t="n">
        <v>0</v>
      </c>
      <c r="BJ116" s="704" t="n">
        <v>0</v>
      </c>
      <c r="BK116" s="704" t="n">
        <v>0</v>
      </c>
      <c r="BL116" s="704" t="n">
        <v>0</v>
      </c>
      <c r="BM116" s="704" t="n">
        <v>0</v>
      </c>
      <c r="BN116" s="704" t="n">
        <v>0</v>
      </c>
      <c r="BO116" s="704" t="n">
        <v>0</v>
      </c>
      <c r="BP116" s="704" t="n">
        <v>0</v>
      </c>
      <c r="BQ116" s="704" t="n">
        <v>0</v>
      </c>
      <c r="BR116" s="704" t="n">
        <v>0</v>
      </c>
      <c r="BS116" s="704" t="n">
        <v>0</v>
      </c>
      <c r="BT116" s="704" t="n">
        <v>0</v>
      </c>
      <c r="BU116" s="704" t="n">
        <v>0</v>
      </c>
      <c r="BV116" s="704" t="n">
        <v>0</v>
      </c>
      <c r="BW116" s="704" t="n">
        <v>0</v>
      </c>
      <c r="BX116" s="704" t="n">
        <v>0</v>
      </c>
      <c r="BY116" s="704" t="n">
        <v>0</v>
      </c>
      <c r="BZ116" s="704" t="n">
        <v>0</v>
      </c>
      <c r="CA116" s="704" t="n">
        <v>0</v>
      </c>
      <c r="CB116" s="704" t="n">
        <v>0</v>
      </c>
      <c r="CC116" s="704" t="n">
        <v>0</v>
      </c>
      <c r="CD116" s="704" t="n">
        <v>0</v>
      </c>
      <c r="CE116" s="704" t="n">
        <v>0</v>
      </c>
      <c r="CF116" s="704" t="n">
        <v>0</v>
      </c>
      <c r="CG116" s="704" t="n">
        <v>0</v>
      </c>
      <c r="CH116" s="704" t="n">
        <v>0</v>
      </c>
      <c r="CI116" s="704" t="n">
        <v>0</v>
      </c>
      <c r="CJ116" s="704" t="n">
        <v>0</v>
      </c>
      <c r="CK116" s="704" t="n">
        <v>0</v>
      </c>
      <c r="CL116" s="704" t="n">
        <v>0</v>
      </c>
      <c r="CM116" s="704" t="n">
        <v>0</v>
      </c>
      <c r="CN116" s="704" t="n">
        <v>0</v>
      </c>
      <c r="CO116" s="704" t="n">
        <v>0</v>
      </c>
      <c r="CP116" s="704" t="n">
        <v>0</v>
      </c>
      <c r="CQ116" s="704" t="n">
        <v>0</v>
      </c>
      <c r="CR116" s="704" t="n">
        <v>0</v>
      </c>
      <c r="CS116" s="704" t="n">
        <v>0</v>
      </c>
      <c r="CT116" s="704" t="n">
        <v>0</v>
      </c>
      <c r="CU116" s="704" t="n">
        <v>0</v>
      </c>
      <c r="CV116" s="704" t="n">
        <v>0</v>
      </c>
      <c r="CW116" s="704" t="n">
        <v>0</v>
      </c>
      <c r="CX116" s="704" t="n">
        <v>0</v>
      </c>
      <c r="CY116" s="704" t="n">
        <v>0</v>
      </c>
      <c r="CZ116" s="704" t="n">
        <v>0</v>
      </c>
      <c r="DA116" s="704" t="n">
        <v>0</v>
      </c>
      <c r="DB116" s="704" t="n">
        <v>0</v>
      </c>
      <c r="DC116" s="704" t="n">
        <v>0</v>
      </c>
      <c r="DD116" s="704" t="n">
        <v>0</v>
      </c>
      <c r="DE116" s="704" t="n">
        <v>0</v>
      </c>
      <c r="DF116" s="704" t="n">
        <v>0</v>
      </c>
      <c r="DG116" s="704" t="n">
        <v>0</v>
      </c>
      <c r="DH116" s="704" t="n">
        <v>0</v>
      </c>
      <c r="DI116" s="704" t="n">
        <v>0</v>
      </c>
      <c r="DJ116" s="704" t="n">
        <v>0</v>
      </c>
      <c r="DK116" s="704" t="n">
        <v>0</v>
      </c>
      <c r="DL116" s="704" t="n">
        <v>0</v>
      </c>
      <c r="DM116" s="704" t="n">
        <v>0</v>
      </c>
    </row>
    <row r="117" ht="13.5" customHeight="1" s="355">
      <c r="B117" s="703" t="inlineStr">
        <is>
          <t>T&amp;E</t>
        </is>
      </c>
      <c r="D117" s="704" t="n">
        <v>0</v>
      </c>
      <c r="E117" s="704" t="n">
        <v>0</v>
      </c>
      <c r="F117" s="704" t="n">
        <v>0</v>
      </c>
      <c r="G117" s="704" t="n">
        <v>0</v>
      </c>
      <c r="H117" s="704" t="n">
        <v>0</v>
      </c>
      <c r="I117" s="704" t="n">
        <v>0</v>
      </c>
      <c r="J117" s="704" t="n">
        <v>0</v>
      </c>
      <c r="K117" s="704" t="n">
        <v>0</v>
      </c>
      <c r="L117" s="704" t="n">
        <v>0</v>
      </c>
      <c r="M117" s="704" t="n">
        <v>0</v>
      </c>
      <c r="N117" s="704" t="n">
        <v>0</v>
      </c>
      <c r="O117" s="704" t="n">
        <v>0</v>
      </c>
      <c r="P117" s="704" t="n">
        <v>0</v>
      </c>
      <c r="Q117" s="704" t="n">
        <v>0</v>
      </c>
      <c r="R117" s="704" t="n">
        <v>0</v>
      </c>
      <c r="S117" s="704" t="n">
        <v>0</v>
      </c>
      <c r="T117" s="704" t="n">
        <v>0</v>
      </c>
      <c r="U117" s="704" t="n">
        <v>0</v>
      </c>
      <c r="V117" s="704" t="n">
        <v>0</v>
      </c>
      <c r="W117" s="704" t="n">
        <v>0</v>
      </c>
      <c r="X117" s="704" t="n">
        <v>0</v>
      </c>
      <c r="Y117" s="704" t="n">
        <v>0</v>
      </c>
      <c r="Z117" s="704" t="n">
        <v>0</v>
      </c>
      <c r="AA117" s="704" t="n">
        <v>0</v>
      </c>
      <c r="AB117" s="704" t="n">
        <v>0</v>
      </c>
      <c r="AC117" s="704" t="n">
        <v>0</v>
      </c>
      <c r="AD117" s="704" t="n">
        <v>0</v>
      </c>
      <c r="AE117" s="704" t="n">
        <v>0</v>
      </c>
      <c r="AF117" s="704" t="n">
        <v>0</v>
      </c>
      <c r="AG117" s="704" t="n">
        <v>0</v>
      </c>
      <c r="AH117" s="704" t="n">
        <v>0</v>
      </c>
      <c r="AI117" s="704" t="n">
        <v>0</v>
      </c>
      <c r="AJ117" s="704" t="n">
        <v>0</v>
      </c>
      <c r="AK117" s="704" t="n">
        <v>0</v>
      </c>
      <c r="AL117" s="704" t="n">
        <v>0</v>
      </c>
      <c r="AM117" s="704" t="n">
        <v>0</v>
      </c>
      <c r="AN117" s="704" t="n">
        <v>0</v>
      </c>
      <c r="AO117" s="704" t="n">
        <v>0</v>
      </c>
      <c r="AP117" s="704" t="n">
        <v>0</v>
      </c>
      <c r="AQ117" s="704" t="n">
        <v>0</v>
      </c>
      <c r="AR117" s="704" t="n">
        <v>0</v>
      </c>
      <c r="AS117" s="704" t="n">
        <v>0</v>
      </c>
      <c r="AT117" s="704" t="n">
        <v>0</v>
      </c>
      <c r="AU117" s="704" t="n">
        <v>0</v>
      </c>
      <c r="AV117" s="704" t="n">
        <v>0</v>
      </c>
      <c r="AW117" s="704" t="n">
        <v>0</v>
      </c>
      <c r="AX117" s="704" t="n">
        <v>0</v>
      </c>
      <c r="AY117" s="704" t="n">
        <v>0</v>
      </c>
      <c r="AZ117" s="704" t="n">
        <v>0</v>
      </c>
      <c r="BA117" s="704" t="n">
        <v>0</v>
      </c>
      <c r="BB117" s="704" t="n">
        <v>0</v>
      </c>
      <c r="BC117" s="704" t="n">
        <v>0</v>
      </c>
      <c r="BD117" s="704" t="n">
        <v>0</v>
      </c>
      <c r="BE117" s="704" t="n">
        <v>0</v>
      </c>
      <c r="BF117" s="704" t="n">
        <v>0</v>
      </c>
      <c r="BG117" s="704" t="n">
        <v>0</v>
      </c>
      <c r="BH117" s="704" t="n">
        <v>0</v>
      </c>
      <c r="BI117" s="704" t="n">
        <v>0</v>
      </c>
      <c r="BJ117" s="704" t="n">
        <v>0</v>
      </c>
      <c r="BK117" s="704" t="n">
        <v>0</v>
      </c>
      <c r="BL117" s="704" t="n">
        <v>0</v>
      </c>
      <c r="BM117" s="704" t="n">
        <v>0</v>
      </c>
      <c r="BN117" s="704" t="n">
        <v>0</v>
      </c>
      <c r="BO117" s="704" t="n">
        <v>0</v>
      </c>
      <c r="BP117" s="704" t="n">
        <v>0</v>
      </c>
      <c r="BQ117" s="704" t="n">
        <v>0</v>
      </c>
      <c r="BR117" s="704" t="n">
        <v>0</v>
      </c>
      <c r="BS117" s="704" t="n">
        <v>0</v>
      </c>
      <c r="BT117" s="704" t="n">
        <v>0</v>
      </c>
      <c r="BU117" s="704" t="n">
        <v>0</v>
      </c>
      <c r="BV117" s="704" t="n">
        <v>0</v>
      </c>
      <c r="BW117" s="704" t="n">
        <v>0</v>
      </c>
      <c r="BX117" s="704" t="n">
        <v>0</v>
      </c>
      <c r="BY117" s="704" t="n">
        <v>0</v>
      </c>
      <c r="BZ117" s="704" t="n">
        <v>0</v>
      </c>
      <c r="CA117" s="704" t="n">
        <v>0</v>
      </c>
      <c r="CB117" s="704" t="n">
        <v>0</v>
      </c>
      <c r="CC117" s="704" t="n">
        <v>0</v>
      </c>
      <c r="CD117" s="704" t="n">
        <v>0</v>
      </c>
      <c r="CE117" s="704" t="n">
        <v>0</v>
      </c>
      <c r="CF117" s="704" t="n">
        <v>0</v>
      </c>
      <c r="CG117" s="704" t="n">
        <v>0</v>
      </c>
      <c r="CH117" s="704" t="n">
        <v>0</v>
      </c>
      <c r="CI117" s="704" t="n">
        <v>0</v>
      </c>
      <c r="CJ117" s="704" t="n">
        <v>0</v>
      </c>
      <c r="CK117" s="704" t="n">
        <v>0</v>
      </c>
      <c r="CL117" s="704" t="n">
        <v>0</v>
      </c>
      <c r="CM117" s="704" t="n">
        <v>0</v>
      </c>
      <c r="CN117" s="704" t="n">
        <v>0</v>
      </c>
      <c r="CO117" s="704" t="n">
        <v>0</v>
      </c>
      <c r="CP117" s="704" t="n">
        <v>0</v>
      </c>
      <c r="CQ117" s="704" t="n">
        <v>0</v>
      </c>
      <c r="CR117" s="704" t="n">
        <v>0</v>
      </c>
      <c r="CS117" s="704" t="n">
        <v>0</v>
      </c>
      <c r="CT117" s="704" t="n">
        <v>0</v>
      </c>
      <c r="CU117" s="704" t="n">
        <v>0</v>
      </c>
      <c r="CV117" s="704" t="n">
        <v>0</v>
      </c>
      <c r="CW117" s="704" t="n">
        <v>0</v>
      </c>
      <c r="CX117" s="704" t="n">
        <v>0</v>
      </c>
      <c r="CY117" s="704" t="n">
        <v>0</v>
      </c>
      <c r="CZ117" s="704" t="n">
        <v>0</v>
      </c>
      <c r="DA117" s="704" t="n">
        <v>0</v>
      </c>
      <c r="DB117" s="704" t="n">
        <v>0</v>
      </c>
      <c r="DC117" s="704" t="n">
        <v>0</v>
      </c>
      <c r="DD117" s="704" t="n">
        <v>0</v>
      </c>
      <c r="DE117" s="704" t="n">
        <v>0</v>
      </c>
      <c r="DF117" s="704" t="n">
        <v>0</v>
      </c>
      <c r="DG117" s="704" t="n">
        <v>0</v>
      </c>
      <c r="DH117" s="704" t="n">
        <v>0</v>
      </c>
      <c r="DI117" s="704" t="n">
        <v>0</v>
      </c>
      <c r="DJ117" s="704" t="n">
        <v>0</v>
      </c>
      <c r="DK117" s="704" t="n">
        <v>0</v>
      </c>
      <c r="DL117" s="704" t="n">
        <v>0</v>
      </c>
      <c r="DM117" s="704" t="n">
        <v>0</v>
      </c>
    </row>
    <row r="118" ht="13.5" customHeight="1" s="355">
      <c r="B118" s="703" t="inlineStr">
        <is>
          <t>Order to Cash</t>
        </is>
      </c>
      <c r="D118" s="704" t="n">
        <v>0</v>
      </c>
      <c r="E118" s="704" t="n">
        <v>0</v>
      </c>
      <c r="F118" s="704" t="n">
        <v>0</v>
      </c>
      <c r="G118" s="704" t="n">
        <v>0</v>
      </c>
      <c r="H118" s="704" t="n">
        <v>0</v>
      </c>
      <c r="I118" s="704" t="n">
        <v>0</v>
      </c>
      <c r="J118" s="704" t="n">
        <v>0</v>
      </c>
      <c r="K118" s="704" t="n">
        <v>0</v>
      </c>
      <c r="L118" s="704" t="n">
        <v>0</v>
      </c>
      <c r="M118" s="704" t="n">
        <v>0</v>
      </c>
      <c r="N118" s="704" t="n">
        <v>0</v>
      </c>
      <c r="O118" s="704" t="n">
        <v>0</v>
      </c>
      <c r="P118" s="704" t="n">
        <v>0</v>
      </c>
      <c r="Q118" s="704" t="n">
        <v>0</v>
      </c>
      <c r="R118" s="704" t="n">
        <v>0</v>
      </c>
      <c r="S118" s="704" t="n">
        <v>0</v>
      </c>
      <c r="T118" s="704" t="n">
        <v>0</v>
      </c>
      <c r="U118" s="704" t="n">
        <v>0</v>
      </c>
      <c r="V118" s="704" t="n">
        <v>0</v>
      </c>
      <c r="W118" s="704" t="n">
        <v>0</v>
      </c>
      <c r="X118" s="704" t="n">
        <v>0</v>
      </c>
      <c r="Y118" s="704" t="n">
        <v>0</v>
      </c>
      <c r="Z118" s="704" t="n">
        <v>0</v>
      </c>
      <c r="AA118" s="704" t="n">
        <v>0</v>
      </c>
      <c r="AB118" s="704" t="n">
        <v>0</v>
      </c>
      <c r="AC118" s="704" t="n">
        <v>0</v>
      </c>
      <c r="AD118" s="704" t="n">
        <v>0</v>
      </c>
      <c r="AE118" s="704" t="n">
        <v>0</v>
      </c>
      <c r="AF118" s="704" t="n">
        <v>0</v>
      </c>
      <c r="AG118" s="704" t="n">
        <v>0</v>
      </c>
      <c r="AH118" s="704" t="n">
        <v>0</v>
      </c>
      <c r="AI118" s="704" t="n">
        <v>0</v>
      </c>
      <c r="AJ118" s="704" t="n">
        <v>0</v>
      </c>
      <c r="AK118" s="704" t="n">
        <v>0</v>
      </c>
      <c r="AL118" s="704" t="n">
        <v>0</v>
      </c>
      <c r="AM118" s="704" t="n">
        <v>0</v>
      </c>
      <c r="AN118" s="704" t="n">
        <v>0</v>
      </c>
      <c r="AO118" s="704" t="n">
        <v>0</v>
      </c>
      <c r="AP118" s="704" t="n">
        <v>0</v>
      </c>
      <c r="AQ118" s="704" t="n">
        <v>0</v>
      </c>
      <c r="AR118" s="704" t="n">
        <v>0</v>
      </c>
      <c r="AS118" s="704" t="n">
        <v>0</v>
      </c>
      <c r="AT118" s="704" t="n">
        <v>0</v>
      </c>
      <c r="AU118" s="704" t="n">
        <v>0</v>
      </c>
      <c r="AV118" s="704" t="n">
        <v>0</v>
      </c>
      <c r="AW118" s="704" t="n">
        <v>0</v>
      </c>
      <c r="AX118" s="704" t="n">
        <v>0</v>
      </c>
      <c r="AY118" s="704" t="n">
        <v>0</v>
      </c>
      <c r="AZ118" s="704" t="n">
        <v>0</v>
      </c>
      <c r="BA118" s="704" t="n">
        <v>0</v>
      </c>
      <c r="BB118" s="704" t="n">
        <v>0</v>
      </c>
      <c r="BC118" s="704" t="n">
        <v>0</v>
      </c>
      <c r="BD118" s="704" t="n">
        <v>0</v>
      </c>
      <c r="BE118" s="704" t="n">
        <v>0</v>
      </c>
      <c r="BF118" s="704" t="n">
        <v>0</v>
      </c>
      <c r="BG118" s="704" t="n">
        <v>0</v>
      </c>
      <c r="BH118" s="704" t="n">
        <v>0</v>
      </c>
      <c r="BI118" s="704" t="n">
        <v>0</v>
      </c>
      <c r="BJ118" s="704" t="n">
        <v>0</v>
      </c>
      <c r="BK118" s="704" t="n">
        <v>0</v>
      </c>
      <c r="BL118" s="704" t="n">
        <v>0</v>
      </c>
      <c r="BM118" s="704" t="n">
        <v>0</v>
      </c>
      <c r="BN118" s="704" t="n">
        <v>0</v>
      </c>
      <c r="BO118" s="704" t="n">
        <v>0</v>
      </c>
      <c r="BP118" s="704" t="n">
        <v>0</v>
      </c>
      <c r="BQ118" s="704" t="n">
        <v>0</v>
      </c>
      <c r="BR118" s="704" t="n">
        <v>0</v>
      </c>
      <c r="BS118" s="704" t="n">
        <v>0</v>
      </c>
      <c r="BT118" s="704" t="n">
        <v>0</v>
      </c>
      <c r="BU118" s="704" t="n">
        <v>0</v>
      </c>
      <c r="BV118" s="704" t="n">
        <v>0</v>
      </c>
      <c r="BW118" s="704" t="n">
        <v>0</v>
      </c>
      <c r="BX118" s="704" t="n">
        <v>0</v>
      </c>
      <c r="BY118" s="704" t="n">
        <v>0</v>
      </c>
      <c r="BZ118" s="704" t="n">
        <v>0</v>
      </c>
      <c r="CA118" s="704" t="n">
        <v>0</v>
      </c>
      <c r="CB118" s="704" t="n">
        <v>0</v>
      </c>
      <c r="CC118" s="704" t="n">
        <v>0</v>
      </c>
      <c r="CD118" s="704" t="n">
        <v>0</v>
      </c>
      <c r="CE118" s="704" t="n">
        <v>0</v>
      </c>
      <c r="CF118" s="704" t="n">
        <v>0</v>
      </c>
      <c r="CG118" s="704" t="n">
        <v>0</v>
      </c>
      <c r="CH118" s="704" t="n">
        <v>0</v>
      </c>
      <c r="CI118" s="704" t="n">
        <v>0</v>
      </c>
      <c r="CJ118" s="704" t="n">
        <v>0</v>
      </c>
      <c r="CK118" s="704" t="n">
        <v>0</v>
      </c>
      <c r="CL118" s="704" t="n">
        <v>0</v>
      </c>
      <c r="CM118" s="704" t="n">
        <v>0</v>
      </c>
      <c r="CN118" s="704" t="n">
        <v>0</v>
      </c>
      <c r="CO118" s="704" t="n">
        <v>0</v>
      </c>
      <c r="CP118" s="704" t="n">
        <v>0</v>
      </c>
      <c r="CQ118" s="704" t="n">
        <v>0</v>
      </c>
      <c r="CR118" s="704" t="n">
        <v>0</v>
      </c>
      <c r="CS118" s="704" t="n">
        <v>0</v>
      </c>
      <c r="CT118" s="704" t="n">
        <v>0</v>
      </c>
      <c r="CU118" s="704" t="n">
        <v>0</v>
      </c>
      <c r="CV118" s="704" t="n">
        <v>0</v>
      </c>
      <c r="CW118" s="704" t="n">
        <v>0</v>
      </c>
      <c r="CX118" s="704" t="n">
        <v>0</v>
      </c>
      <c r="CY118" s="704" t="n">
        <v>0</v>
      </c>
      <c r="CZ118" s="704" t="n">
        <v>0</v>
      </c>
      <c r="DA118" s="704" t="n">
        <v>0</v>
      </c>
      <c r="DB118" s="704" t="n">
        <v>0</v>
      </c>
      <c r="DC118" s="704" t="n">
        <v>0</v>
      </c>
      <c r="DD118" s="704" t="n">
        <v>0</v>
      </c>
      <c r="DE118" s="704" t="n">
        <v>0</v>
      </c>
      <c r="DF118" s="704" t="n">
        <v>0</v>
      </c>
      <c r="DG118" s="704" t="n">
        <v>0</v>
      </c>
      <c r="DH118" s="704" t="n">
        <v>0</v>
      </c>
      <c r="DI118" s="704" t="n">
        <v>0</v>
      </c>
      <c r="DJ118" s="704" t="n">
        <v>0</v>
      </c>
      <c r="DK118" s="704" t="n">
        <v>0</v>
      </c>
      <c r="DL118" s="704" t="n">
        <v>0</v>
      </c>
      <c r="DM118" s="704" t="n">
        <v>0</v>
      </c>
    </row>
    <row r="119" ht="13.5" customHeight="1" s="355">
      <c r="B119" s="703" t="inlineStr">
        <is>
          <t>Req to Pay</t>
        </is>
      </c>
      <c r="D119" s="704" t="n">
        <v>0</v>
      </c>
      <c r="E119" s="704" t="n">
        <v>0</v>
      </c>
      <c r="F119" s="704" t="n">
        <v>0</v>
      </c>
      <c r="G119" s="704" t="n">
        <v>0</v>
      </c>
      <c r="H119" s="704" t="n">
        <v>0</v>
      </c>
      <c r="I119" s="704" t="n">
        <v>0</v>
      </c>
      <c r="J119" s="704" t="n">
        <v>0</v>
      </c>
      <c r="K119" s="704" t="n">
        <v>0</v>
      </c>
      <c r="L119" s="704" t="n">
        <v>0</v>
      </c>
      <c r="M119" s="704" t="n">
        <v>0</v>
      </c>
      <c r="N119" s="704" t="n">
        <v>0</v>
      </c>
      <c r="O119" s="704" t="n">
        <v>0</v>
      </c>
      <c r="P119" s="704" t="n">
        <v>0</v>
      </c>
      <c r="Q119" s="704" t="n">
        <v>0</v>
      </c>
      <c r="R119" s="704" t="n">
        <v>0</v>
      </c>
      <c r="S119" s="704" t="n">
        <v>0</v>
      </c>
      <c r="T119" s="704" t="n">
        <v>0</v>
      </c>
      <c r="U119" s="704" t="n">
        <v>0</v>
      </c>
      <c r="V119" s="704" t="n">
        <v>0</v>
      </c>
      <c r="W119" s="704" t="n">
        <v>0</v>
      </c>
      <c r="X119" s="704" t="n">
        <v>0</v>
      </c>
      <c r="Y119" s="704" t="n">
        <v>0</v>
      </c>
      <c r="Z119" s="704" t="n">
        <v>0</v>
      </c>
      <c r="AA119" s="704" t="n">
        <v>0</v>
      </c>
      <c r="AB119" s="704" t="n">
        <v>0</v>
      </c>
      <c r="AC119" s="704" t="n">
        <v>0</v>
      </c>
      <c r="AD119" s="704" t="n">
        <v>0</v>
      </c>
      <c r="AE119" s="704" t="n">
        <v>0</v>
      </c>
      <c r="AF119" s="704" t="n">
        <v>0</v>
      </c>
      <c r="AG119" s="704" t="n">
        <v>0</v>
      </c>
      <c r="AH119" s="704" t="n">
        <v>0</v>
      </c>
      <c r="AI119" s="704" t="n">
        <v>0</v>
      </c>
      <c r="AJ119" s="704" t="n">
        <v>0</v>
      </c>
      <c r="AK119" s="704" t="n">
        <v>0</v>
      </c>
      <c r="AL119" s="704" t="n">
        <v>0</v>
      </c>
      <c r="AM119" s="704" t="n">
        <v>0</v>
      </c>
      <c r="AN119" s="704" t="n">
        <v>0</v>
      </c>
      <c r="AO119" s="704" t="n">
        <v>0</v>
      </c>
      <c r="AP119" s="704" t="n">
        <v>0</v>
      </c>
      <c r="AQ119" s="704" t="n">
        <v>0</v>
      </c>
      <c r="AR119" s="704" t="n">
        <v>0</v>
      </c>
      <c r="AS119" s="704" t="n">
        <v>0</v>
      </c>
      <c r="AT119" s="704" t="n">
        <v>0</v>
      </c>
      <c r="AU119" s="704" t="n">
        <v>0</v>
      </c>
      <c r="AV119" s="704" t="n">
        <v>0</v>
      </c>
      <c r="AW119" s="704" t="n">
        <v>0</v>
      </c>
      <c r="AX119" s="704" t="n">
        <v>0</v>
      </c>
      <c r="AY119" s="704" t="n">
        <v>0</v>
      </c>
      <c r="AZ119" s="704" t="n">
        <v>0</v>
      </c>
      <c r="BA119" s="704" t="n">
        <v>0</v>
      </c>
      <c r="BB119" s="704" t="n">
        <v>0</v>
      </c>
      <c r="BC119" s="704" t="n">
        <v>0</v>
      </c>
      <c r="BD119" s="704" t="n">
        <v>0</v>
      </c>
      <c r="BE119" s="704" t="n">
        <v>0</v>
      </c>
      <c r="BF119" s="704" t="n">
        <v>0</v>
      </c>
      <c r="BG119" s="704" t="n">
        <v>0</v>
      </c>
      <c r="BH119" s="704" t="n">
        <v>0</v>
      </c>
      <c r="BI119" s="704" t="n">
        <v>0</v>
      </c>
      <c r="BJ119" s="704" t="n">
        <v>0</v>
      </c>
      <c r="BK119" s="704" t="n">
        <v>0</v>
      </c>
      <c r="BL119" s="704" t="n">
        <v>0</v>
      </c>
      <c r="BM119" s="704" t="n">
        <v>0</v>
      </c>
      <c r="BN119" s="704" t="n">
        <v>0</v>
      </c>
      <c r="BO119" s="704" t="n">
        <v>0</v>
      </c>
      <c r="BP119" s="704" t="n">
        <v>0</v>
      </c>
      <c r="BQ119" s="704" t="n">
        <v>0</v>
      </c>
      <c r="BR119" s="704" t="n">
        <v>0</v>
      </c>
      <c r="BS119" s="704" t="n">
        <v>0</v>
      </c>
      <c r="BT119" s="704" t="n">
        <v>0</v>
      </c>
      <c r="BU119" s="704" t="n">
        <v>0</v>
      </c>
      <c r="BV119" s="704" t="n">
        <v>0</v>
      </c>
      <c r="BW119" s="704" t="n">
        <v>0</v>
      </c>
      <c r="BX119" s="704" t="n">
        <v>0</v>
      </c>
      <c r="BY119" s="704" t="n">
        <v>0</v>
      </c>
      <c r="BZ119" s="704" t="n">
        <v>0</v>
      </c>
      <c r="CA119" s="704" t="n">
        <v>0</v>
      </c>
      <c r="CB119" s="704" t="n">
        <v>0</v>
      </c>
      <c r="CC119" s="704" t="n">
        <v>0</v>
      </c>
      <c r="CD119" s="704" t="n">
        <v>0</v>
      </c>
      <c r="CE119" s="704" t="n">
        <v>0</v>
      </c>
      <c r="CF119" s="704" t="n">
        <v>0</v>
      </c>
      <c r="CG119" s="704" t="n">
        <v>0</v>
      </c>
      <c r="CH119" s="704" t="n">
        <v>0</v>
      </c>
      <c r="CI119" s="704" t="n">
        <v>0</v>
      </c>
      <c r="CJ119" s="704" t="n">
        <v>0</v>
      </c>
      <c r="CK119" s="704" t="n">
        <v>0</v>
      </c>
      <c r="CL119" s="704" t="n">
        <v>0</v>
      </c>
      <c r="CM119" s="704" t="n">
        <v>0</v>
      </c>
      <c r="CN119" s="704" t="n">
        <v>0</v>
      </c>
      <c r="CO119" s="704" t="n">
        <v>0</v>
      </c>
      <c r="CP119" s="704" t="n">
        <v>0</v>
      </c>
      <c r="CQ119" s="704" t="n">
        <v>0</v>
      </c>
      <c r="CR119" s="704" t="n">
        <v>0</v>
      </c>
      <c r="CS119" s="704" t="n">
        <v>0</v>
      </c>
      <c r="CT119" s="704" t="n">
        <v>0</v>
      </c>
      <c r="CU119" s="704" t="n">
        <v>0</v>
      </c>
      <c r="CV119" s="704" t="n">
        <v>0</v>
      </c>
      <c r="CW119" s="704" t="n">
        <v>0</v>
      </c>
      <c r="CX119" s="704" t="n">
        <v>0</v>
      </c>
      <c r="CY119" s="704" t="n">
        <v>0</v>
      </c>
      <c r="CZ119" s="704" t="n">
        <v>0</v>
      </c>
      <c r="DA119" s="704" t="n">
        <v>0</v>
      </c>
      <c r="DB119" s="704" t="n">
        <v>0</v>
      </c>
      <c r="DC119" s="704" t="n">
        <v>0</v>
      </c>
      <c r="DD119" s="704" t="n">
        <v>0</v>
      </c>
      <c r="DE119" s="704" t="n">
        <v>0</v>
      </c>
      <c r="DF119" s="704" t="n">
        <v>0</v>
      </c>
      <c r="DG119" s="704" t="n">
        <v>0</v>
      </c>
      <c r="DH119" s="704" t="n">
        <v>0</v>
      </c>
      <c r="DI119" s="704" t="n">
        <v>0</v>
      </c>
      <c r="DJ119" s="704" t="n">
        <v>0</v>
      </c>
      <c r="DK119" s="704" t="n">
        <v>0</v>
      </c>
      <c r="DL119" s="704" t="n">
        <v>0</v>
      </c>
      <c r="DM119" s="704" t="n">
        <v>0</v>
      </c>
    </row>
    <row r="120" ht="13.5" customHeight="1" s="355">
      <c r="B120" s="703" t="inlineStr">
        <is>
          <t>Team Leader</t>
        </is>
      </c>
      <c r="D120" s="704" t="n">
        <v>0</v>
      </c>
      <c r="E120" s="704" t="n">
        <v>0</v>
      </c>
      <c r="F120" s="704" t="n">
        <v>0</v>
      </c>
      <c r="G120" s="704" t="n">
        <v>0</v>
      </c>
      <c r="H120" s="704" t="n">
        <v>0</v>
      </c>
      <c r="I120" s="704" t="n">
        <v>0</v>
      </c>
      <c r="J120" s="704" t="n">
        <v>0</v>
      </c>
      <c r="K120" s="704" t="n">
        <v>0</v>
      </c>
      <c r="L120" s="704" t="n">
        <v>0</v>
      </c>
      <c r="M120" s="704" t="n">
        <v>0</v>
      </c>
      <c r="N120" s="704" t="n">
        <v>0</v>
      </c>
      <c r="O120" s="704" t="n">
        <v>0</v>
      </c>
      <c r="P120" s="704" t="n">
        <v>0</v>
      </c>
      <c r="Q120" s="704" t="n">
        <v>0</v>
      </c>
      <c r="R120" s="704" t="n">
        <v>0</v>
      </c>
      <c r="S120" s="704" t="n">
        <v>0</v>
      </c>
      <c r="T120" s="704" t="n">
        <v>0</v>
      </c>
      <c r="U120" s="704" t="n">
        <v>0</v>
      </c>
      <c r="V120" s="704" t="n">
        <v>0</v>
      </c>
      <c r="W120" s="704" t="n">
        <v>0</v>
      </c>
      <c r="X120" s="704" t="n">
        <v>0</v>
      </c>
      <c r="Y120" s="704" t="n">
        <v>0</v>
      </c>
      <c r="Z120" s="704" t="n">
        <v>0</v>
      </c>
      <c r="AA120" s="704" t="n">
        <v>0</v>
      </c>
      <c r="AB120" s="704" t="n">
        <v>0</v>
      </c>
      <c r="AC120" s="704" t="n">
        <v>0</v>
      </c>
      <c r="AD120" s="704" t="n">
        <v>0</v>
      </c>
      <c r="AE120" s="704" t="n">
        <v>0</v>
      </c>
      <c r="AF120" s="704" t="n">
        <v>0</v>
      </c>
      <c r="AG120" s="704" t="n">
        <v>0</v>
      </c>
      <c r="AH120" s="704" t="n">
        <v>0</v>
      </c>
      <c r="AI120" s="704" t="n">
        <v>0</v>
      </c>
      <c r="AJ120" s="704" t="n">
        <v>0</v>
      </c>
      <c r="AK120" s="704" t="n">
        <v>0</v>
      </c>
      <c r="AL120" s="704" t="n">
        <v>0</v>
      </c>
      <c r="AM120" s="704" t="n">
        <v>0</v>
      </c>
      <c r="AN120" s="704" t="n">
        <v>0</v>
      </c>
      <c r="AO120" s="704" t="n">
        <v>0</v>
      </c>
      <c r="AP120" s="704" t="n">
        <v>0</v>
      </c>
      <c r="AQ120" s="704" t="n">
        <v>0</v>
      </c>
      <c r="AR120" s="704" t="n">
        <v>0</v>
      </c>
      <c r="AS120" s="704" t="n">
        <v>0</v>
      </c>
      <c r="AT120" s="704" t="n">
        <v>0</v>
      </c>
      <c r="AU120" s="704" t="n">
        <v>0</v>
      </c>
      <c r="AV120" s="704" t="n">
        <v>0</v>
      </c>
      <c r="AW120" s="704" t="n">
        <v>0</v>
      </c>
      <c r="AX120" s="704" t="n">
        <v>0</v>
      </c>
      <c r="AY120" s="704" t="n">
        <v>0</v>
      </c>
      <c r="AZ120" s="704" t="n">
        <v>0</v>
      </c>
      <c r="BA120" s="704" t="n">
        <v>0</v>
      </c>
      <c r="BB120" s="704" t="n">
        <v>0</v>
      </c>
      <c r="BC120" s="704" t="n">
        <v>0</v>
      </c>
      <c r="BD120" s="704" t="n">
        <v>0</v>
      </c>
      <c r="BE120" s="704" t="n">
        <v>0</v>
      </c>
      <c r="BF120" s="704" t="n">
        <v>0</v>
      </c>
      <c r="BG120" s="704" t="n">
        <v>0</v>
      </c>
      <c r="BH120" s="704" t="n">
        <v>0</v>
      </c>
      <c r="BI120" s="704" t="n">
        <v>0</v>
      </c>
      <c r="BJ120" s="704" t="n">
        <v>0</v>
      </c>
      <c r="BK120" s="704" t="n">
        <v>0</v>
      </c>
      <c r="BL120" s="704" t="n">
        <v>0</v>
      </c>
      <c r="BM120" s="704" t="n">
        <v>0</v>
      </c>
      <c r="BN120" s="704" t="n">
        <v>0</v>
      </c>
      <c r="BO120" s="704" t="n">
        <v>0</v>
      </c>
      <c r="BP120" s="704" t="n">
        <v>0</v>
      </c>
      <c r="BQ120" s="704" t="n">
        <v>0</v>
      </c>
      <c r="BR120" s="704" t="n">
        <v>0</v>
      </c>
      <c r="BS120" s="704" t="n">
        <v>0</v>
      </c>
      <c r="BT120" s="704" t="n">
        <v>0</v>
      </c>
      <c r="BU120" s="704" t="n">
        <v>0</v>
      </c>
      <c r="BV120" s="704" t="n">
        <v>0</v>
      </c>
      <c r="BW120" s="704" t="n">
        <v>0</v>
      </c>
      <c r="BX120" s="704" t="n">
        <v>0</v>
      </c>
      <c r="BY120" s="704" t="n">
        <v>0</v>
      </c>
      <c r="BZ120" s="704" t="n">
        <v>0</v>
      </c>
      <c r="CA120" s="704" t="n">
        <v>0</v>
      </c>
      <c r="CB120" s="704" t="n">
        <v>0</v>
      </c>
      <c r="CC120" s="704" t="n">
        <v>0</v>
      </c>
      <c r="CD120" s="704" t="n">
        <v>0</v>
      </c>
      <c r="CE120" s="704" t="n">
        <v>0</v>
      </c>
      <c r="CF120" s="704" t="n">
        <v>0</v>
      </c>
      <c r="CG120" s="704" t="n">
        <v>0</v>
      </c>
      <c r="CH120" s="704" t="n">
        <v>0</v>
      </c>
      <c r="CI120" s="704" t="n">
        <v>0</v>
      </c>
      <c r="CJ120" s="704" t="n">
        <v>0</v>
      </c>
      <c r="CK120" s="704" t="n">
        <v>0</v>
      </c>
      <c r="CL120" s="704" t="n">
        <v>0</v>
      </c>
      <c r="CM120" s="704" t="n">
        <v>0</v>
      </c>
      <c r="CN120" s="704" t="n">
        <v>0</v>
      </c>
      <c r="CO120" s="704" t="n">
        <v>0</v>
      </c>
      <c r="CP120" s="704" t="n">
        <v>0</v>
      </c>
      <c r="CQ120" s="704" t="n">
        <v>0</v>
      </c>
      <c r="CR120" s="704" t="n">
        <v>0</v>
      </c>
      <c r="CS120" s="704" t="n">
        <v>0</v>
      </c>
      <c r="CT120" s="704" t="n">
        <v>0</v>
      </c>
      <c r="CU120" s="704" t="n">
        <v>0</v>
      </c>
      <c r="CV120" s="704" t="n">
        <v>0</v>
      </c>
      <c r="CW120" s="704" t="n">
        <v>0</v>
      </c>
      <c r="CX120" s="704" t="n">
        <v>0</v>
      </c>
      <c r="CY120" s="704" t="n">
        <v>0</v>
      </c>
      <c r="CZ120" s="704" t="n">
        <v>0</v>
      </c>
      <c r="DA120" s="704" t="n">
        <v>0</v>
      </c>
      <c r="DB120" s="704" t="n">
        <v>0</v>
      </c>
      <c r="DC120" s="704" t="n">
        <v>0</v>
      </c>
      <c r="DD120" s="704" t="n">
        <v>0</v>
      </c>
      <c r="DE120" s="704" t="n">
        <v>0</v>
      </c>
      <c r="DF120" s="704" t="n">
        <v>0</v>
      </c>
      <c r="DG120" s="704" t="n">
        <v>0</v>
      </c>
      <c r="DH120" s="704" t="n">
        <v>0</v>
      </c>
      <c r="DI120" s="704" t="n">
        <v>0</v>
      </c>
      <c r="DJ120" s="704" t="n">
        <v>0</v>
      </c>
      <c r="DK120" s="704" t="n">
        <v>0</v>
      </c>
      <c r="DL120" s="704" t="n">
        <v>0</v>
      </c>
      <c r="DM120" s="704" t="n">
        <v>0</v>
      </c>
    </row>
    <row r="121" ht="13.5" customHeight="1" s="355">
      <c r="B121" s="703" t="inlineStr">
        <is>
          <t>SLA Metric Reporting</t>
        </is>
      </c>
      <c r="D121" s="704" t="n">
        <v>0</v>
      </c>
      <c r="E121" s="704" t="n">
        <v>0</v>
      </c>
      <c r="F121" s="704" t="n">
        <v>0</v>
      </c>
      <c r="G121" s="704" t="n">
        <v>0</v>
      </c>
      <c r="H121" s="704" t="n">
        <v>0</v>
      </c>
      <c r="I121" s="704" t="n">
        <v>0</v>
      </c>
      <c r="J121" s="704" t="n">
        <v>0</v>
      </c>
      <c r="K121" s="704" t="n">
        <v>0</v>
      </c>
      <c r="L121" s="704" t="n">
        <v>0</v>
      </c>
      <c r="M121" s="704" t="n">
        <v>0</v>
      </c>
      <c r="N121" s="704" t="n">
        <v>0</v>
      </c>
      <c r="O121" s="704" t="n">
        <v>0</v>
      </c>
      <c r="P121" s="704" t="n">
        <v>0</v>
      </c>
      <c r="Q121" s="704" t="n">
        <v>0</v>
      </c>
      <c r="R121" s="704" t="n">
        <v>0</v>
      </c>
      <c r="S121" s="704" t="n">
        <v>0</v>
      </c>
      <c r="T121" s="704" t="n">
        <v>0</v>
      </c>
      <c r="U121" s="704" t="n">
        <v>0</v>
      </c>
      <c r="V121" s="704" t="n">
        <v>0</v>
      </c>
      <c r="W121" s="704" t="n">
        <v>0</v>
      </c>
      <c r="X121" s="704" t="n">
        <v>0</v>
      </c>
      <c r="Y121" s="704" t="n">
        <v>0</v>
      </c>
      <c r="Z121" s="704" t="n">
        <v>0</v>
      </c>
      <c r="AA121" s="704" t="n">
        <v>0</v>
      </c>
      <c r="AB121" s="704" t="n">
        <v>0</v>
      </c>
      <c r="AC121" s="704" t="n">
        <v>0</v>
      </c>
      <c r="AD121" s="704" t="n">
        <v>0</v>
      </c>
      <c r="AE121" s="704" t="n">
        <v>0</v>
      </c>
      <c r="AF121" s="704" t="n">
        <v>0</v>
      </c>
      <c r="AG121" s="704" t="n">
        <v>0</v>
      </c>
      <c r="AH121" s="704" t="n">
        <v>0</v>
      </c>
      <c r="AI121" s="704" t="n">
        <v>0</v>
      </c>
      <c r="AJ121" s="704" t="n">
        <v>0</v>
      </c>
      <c r="AK121" s="704" t="n">
        <v>0</v>
      </c>
      <c r="AL121" s="704" t="n">
        <v>0</v>
      </c>
      <c r="AM121" s="704" t="n">
        <v>0</v>
      </c>
      <c r="AN121" s="704" t="n">
        <v>0</v>
      </c>
      <c r="AO121" s="704" t="n">
        <v>0</v>
      </c>
      <c r="AP121" s="704" t="n">
        <v>0</v>
      </c>
      <c r="AQ121" s="704" t="n">
        <v>0</v>
      </c>
      <c r="AR121" s="704" t="n">
        <v>0</v>
      </c>
      <c r="AS121" s="704" t="n">
        <v>0</v>
      </c>
      <c r="AT121" s="704" t="n">
        <v>0</v>
      </c>
      <c r="AU121" s="704" t="n">
        <v>0</v>
      </c>
      <c r="AV121" s="704" t="n">
        <v>0</v>
      </c>
      <c r="AW121" s="704" t="n">
        <v>0</v>
      </c>
      <c r="AX121" s="704" t="n">
        <v>0</v>
      </c>
      <c r="AY121" s="704" t="n">
        <v>0</v>
      </c>
      <c r="AZ121" s="704" t="n">
        <v>0</v>
      </c>
      <c r="BA121" s="704" t="n">
        <v>0</v>
      </c>
      <c r="BB121" s="704" t="n">
        <v>0</v>
      </c>
      <c r="BC121" s="704" t="n">
        <v>0</v>
      </c>
      <c r="BD121" s="704" t="n">
        <v>0</v>
      </c>
      <c r="BE121" s="704" t="n">
        <v>0</v>
      </c>
      <c r="BF121" s="704" t="n">
        <v>0</v>
      </c>
      <c r="BG121" s="704" t="n">
        <v>0</v>
      </c>
      <c r="BH121" s="704" t="n">
        <v>0</v>
      </c>
      <c r="BI121" s="704" t="n">
        <v>0</v>
      </c>
      <c r="BJ121" s="704" t="n">
        <v>0</v>
      </c>
      <c r="BK121" s="704" t="n">
        <v>0</v>
      </c>
      <c r="BL121" s="704" t="n">
        <v>0</v>
      </c>
      <c r="BM121" s="704" t="n">
        <v>0</v>
      </c>
      <c r="BN121" s="704" t="n">
        <v>0</v>
      </c>
      <c r="BO121" s="704" t="n">
        <v>0</v>
      </c>
      <c r="BP121" s="704" t="n">
        <v>0</v>
      </c>
      <c r="BQ121" s="704" t="n">
        <v>0</v>
      </c>
      <c r="BR121" s="704" t="n">
        <v>0</v>
      </c>
      <c r="BS121" s="704" t="n">
        <v>0</v>
      </c>
      <c r="BT121" s="704" t="n">
        <v>0</v>
      </c>
      <c r="BU121" s="704" t="n">
        <v>0</v>
      </c>
      <c r="BV121" s="704" t="n">
        <v>0</v>
      </c>
      <c r="BW121" s="704" t="n">
        <v>0</v>
      </c>
      <c r="BX121" s="704" t="n">
        <v>0</v>
      </c>
      <c r="BY121" s="704" t="n">
        <v>0</v>
      </c>
      <c r="BZ121" s="704" t="n">
        <v>0</v>
      </c>
      <c r="CA121" s="704" t="n">
        <v>0</v>
      </c>
      <c r="CB121" s="704" t="n">
        <v>0</v>
      </c>
      <c r="CC121" s="704" t="n">
        <v>0</v>
      </c>
      <c r="CD121" s="704" t="n">
        <v>0</v>
      </c>
      <c r="CE121" s="704" t="n">
        <v>0</v>
      </c>
      <c r="CF121" s="704" t="n">
        <v>0</v>
      </c>
      <c r="CG121" s="704" t="n">
        <v>0</v>
      </c>
      <c r="CH121" s="704" t="n">
        <v>0</v>
      </c>
      <c r="CI121" s="704" t="n">
        <v>0</v>
      </c>
      <c r="CJ121" s="704" t="n">
        <v>0</v>
      </c>
      <c r="CK121" s="704" t="n">
        <v>0</v>
      </c>
      <c r="CL121" s="704" t="n">
        <v>0</v>
      </c>
      <c r="CM121" s="704" t="n">
        <v>0</v>
      </c>
      <c r="CN121" s="704" t="n">
        <v>0</v>
      </c>
      <c r="CO121" s="704" t="n">
        <v>0</v>
      </c>
      <c r="CP121" s="704" t="n">
        <v>0</v>
      </c>
      <c r="CQ121" s="704" t="n">
        <v>0</v>
      </c>
      <c r="CR121" s="704" t="n">
        <v>0</v>
      </c>
      <c r="CS121" s="704" t="n">
        <v>0</v>
      </c>
      <c r="CT121" s="704" t="n">
        <v>0</v>
      </c>
      <c r="CU121" s="704" t="n">
        <v>0</v>
      </c>
      <c r="CV121" s="704" t="n">
        <v>0</v>
      </c>
      <c r="CW121" s="704" t="n">
        <v>0</v>
      </c>
      <c r="CX121" s="704" t="n">
        <v>0</v>
      </c>
      <c r="CY121" s="704" t="n">
        <v>0</v>
      </c>
      <c r="CZ121" s="704" t="n">
        <v>0</v>
      </c>
      <c r="DA121" s="704" t="n">
        <v>0</v>
      </c>
      <c r="DB121" s="704" t="n">
        <v>0</v>
      </c>
      <c r="DC121" s="704" t="n">
        <v>0</v>
      </c>
      <c r="DD121" s="704" t="n">
        <v>0</v>
      </c>
      <c r="DE121" s="704" t="n">
        <v>0</v>
      </c>
      <c r="DF121" s="704" t="n">
        <v>0</v>
      </c>
      <c r="DG121" s="704" t="n">
        <v>0</v>
      </c>
      <c r="DH121" s="704" t="n">
        <v>0</v>
      </c>
      <c r="DI121" s="704" t="n">
        <v>0</v>
      </c>
      <c r="DJ121" s="704" t="n">
        <v>0</v>
      </c>
      <c r="DK121" s="704" t="n">
        <v>0</v>
      </c>
      <c r="DL121" s="704" t="n">
        <v>0</v>
      </c>
      <c r="DM121" s="704" t="n">
        <v>0</v>
      </c>
    </row>
    <row r="122" ht="13.5" customHeight="1" s="355">
      <c r="B122" s="705" t="inlineStr">
        <is>
          <t>Grand Total</t>
        </is>
      </c>
      <c r="C122" s="706" t="n"/>
      <c r="D122" s="707" t="n">
        <v>0</v>
      </c>
      <c r="E122" s="707" t="n">
        <v>0</v>
      </c>
      <c r="F122" s="707" t="n">
        <v>0</v>
      </c>
      <c r="G122" s="707" t="n">
        <v>0</v>
      </c>
      <c r="H122" s="707" t="n">
        <v>0</v>
      </c>
      <c r="I122" s="707" t="n">
        <v>0</v>
      </c>
      <c r="J122" s="707" t="n">
        <v>0</v>
      </c>
      <c r="K122" s="707" t="n">
        <v>0</v>
      </c>
      <c r="L122" s="707" t="n">
        <v>0</v>
      </c>
      <c r="M122" s="707" t="n">
        <v>0</v>
      </c>
      <c r="N122" s="707" t="n">
        <v>0</v>
      </c>
      <c r="O122" s="707" t="n">
        <v>0</v>
      </c>
      <c r="P122" s="707" t="n">
        <v>0</v>
      </c>
      <c r="Q122" s="707" t="n">
        <v>0</v>
      </c>
      <c r="R122" s="707" t="n">
        <v>0</v>
      </c>
      <c r="S122" s="707" t="n">
        <v>0</v>
      </c>
      <c r="T122" s="707" t="n">
        <v>0</v>
      </c>
      <c r="U122" s="707" t="n">
        <v>0</v>
      </c>
      <c r="V122" s="707" t="n">
        <v>0</v>
      </c>
      <c r="W122" s="707" t="n">
        <v>0</v>
      </c>
      <c r="X122" s="707" t="n">
        <v>0</v>
      </c>
      <c r="Y122" s="707" t="n">
        <v>0</v>
      </c>
      <c r="Z122" s="707" t="n">
        <v>0</v>
      </c>
      <c r="AA122" s="707" t="n">
        <v>0</v>
      </c>
      <c r="AB122" s="707" t="n">
        <v>0</v>
      </c>
      <c r="AC122" s="707" t="n">
        <v>0</v>
      </c>
      <c r="AD122" s="707" t="n">
        <v>0</v>
      </c>
      <c r="AE122" s="707" t="n">
        <v>0</v>
      </c>
      <c r="AF122" s="707" t="n">
        <v>0</v>
      </c>
      <c r="AG122" s="707" t="n">
        <v>0</v>
      </c>
      <c r="AH122" s="707" t="n">
        <v>0</v>
      </c>
      <c r="AI122" s="707" t="n">
        <v>0</v>
      </c>
      <c r="AJ122" s="707" t="n">
        <v>0</v>
      </c>
      <c r="AK122" s="707" t="n">
        <v>0</v>
      </c>
      <c r="AL122" s="707" t="n">
        <v>0</v>
      </c>
      <c r="AM122" s="707" t="n">
        <v>0</v>
      </c>
      <c r="AN122" s="707" t="n">
        <v>0</v>
      </c>
      <c r="AO122" s="707" t="n">
        <v>0</v>
      </c>
      <c r="AP122" s="707" t="n">
        <v>0</v>
      </c>
      <c r="AQ122" s="707" t="n">
        <v>0</v>
      </c>
      <c r="AR122" s="707" t="n">
        <v>0</v>
      </c>
      <c r="AS122" s="707" t="n">
        <v>0</v>
      </c>
      <c r="AT122" s="707" t="n">
        <v>0</v>
      </c>
      <c r="AU122" s="707" t="n">
        <v>0</v>
      </c>
      <c r="AV122" s="707" t="n">
        <v>0</v>
      </c>
      <c r="AW122" s="707" t="n">
        <v>0</v>
      </c>
      <c r="AX122" s="707" t="n">
        <v>0</v>
      </c>
      <c r="AY122" s="707" t="n">
        <v>0</v>
      </c>
      <c r="AZ122" s="707" t="n">
        <v>0</v>
      </c>
      <c r="BA122" s="707" t="n">
        <v>0</v>
      </c>
      <c r="BB122" s="707" t="n">
        <v>0</v>
      </c>
      <c r="BC122" s="707" t="n">
        <v>0</v>
      </c>
      <c r="BD122" s="707" t="n">
        <v>0</v>
      </c>
      <c r="BE122" s="707" t="n">
        <v>0</v>
      </c>
      <c r="BF122" s="707" t="n">
        <v>0</v>
      </c>
      <c r="BG122" s="707" t="n">
        <v>0</v>
      </c>
      <c r="BH122" s="707" t="n">
        <v>0</v>
      </c>
      <c r="BI122" s="707" t="n">
        <v>0</v>
      </c>
      <c r="BJ122" s="707" t="n">
        <v>0</v>
      </c>
      <c r="BK122" s="707" t="n">
        <v>0</v>
      </c>
      <c r="BL122" s="707" t="n">
        <v>0</v>
      </c>
      <c r="BM122" s="707" t="n">
        <v>0</v>
      </c>
      <c r="BN122" s="707" t="n">
        <v>0</v>
      </c>
      <c r="BO122" s="707" t="n">
        <v>0</v>
      </c>
      <c r="BP122" s="707" t="n">
        <v>0</v>
      </c>
      <c r="BQ122" s="707" t="n">
        <v>0</v>
      </c>
      <c r="BR122" s="707" t="n">
        <v>0</v>
      </c>
      <c r="BS122" s="707" t="n">
        <v>0</v>
      </c>
      <c r="BT122" s="707" t="n">
        <v>0</v>
      </c>
      <c r="BU122" s="707" t="n">
        <v>0</v>
      </c>
      <c r="BV122" s="707" t="n">
        <v>0</v>
      </c>
      <c r="BW122" s="707" t="n">
        <v>0</v>
      </c>
      <c r="BX122" s="707" t="n">
        <v>0</v>
      </c>
      <c r="BY122" s="707" t="n">
        <v>0</v>
      </c>
      <c r="BZ122" s="707" t="n">
        <v>0</v>
      </c>
      <c r="CA122" s="707" t="n">
        <v>0</v>
      </c>
      <c r="CB122" s="707" t="n">
        <v>0</v>
      </c>
      <c r="CC122" s="707" t="n">
        <v>0</v>
      </c>
      <c r="CD122" s="707" t="n">
        <v>0</v>
      </c>
      <c r="CE122" s="707" t="n">
        <v>0</v>
      </c>
      <c r="CF122" s="707" t="n">
        <v>0</v>
      </c>
      <c r="CG122" s="707" t="n">
        <v>0</v>
      </c>
      <c r="CH122" s="707" t="n">
        <v>0</v>
      </c>
      <c r="CI122" s="707" t="n">
        <v>0</v>
      </c>
      <c r="CJ122" s="707" t="n">
        <v>0</v>
      </c>
      <c r="CK122" s="707" t="n">
        <v>0</v>
      </c>
      <c r="CL122" s="707" t="n">
        <v>0</v>
      </c>
      <c r="CM122" s="707" t="n">
        <v>0</v>
      </c>
      <c r="CN122" s="707" t="n">
        <v>0</v>
      </c>
      <c r="CO122" s="707" t="n">
        <v>0</v>
      </c>
      <c r="CP122" s="707" t="n">
        <v>0</v>
      </c>
      <c r="CQ122" s="707" t="n">
        <v>0</v>
      </c>
      <c r="CR122" s="707" t="n">
        <v>0</v>
      </c>
      <c r="CS122" s="707" t="n">
        <v>0</v>
      </c>
      <c r="CT122" s="707" t="n">
        <v>0</v>
      </c>
      <c r="CU122" s="707" t="n">
        <v>0</v>
      </c>
      <c r="CV122" s="707" t="n">
        <v>0</v>
      </c>
      <c r="CW122" s="707" t="n">
        <v>0</v>
      </c>
      <c r="CX122" s="707" t="n">
        <v>0</v>
      </c>
      <c r="CY122" s="707" t="n">
        <v>0</v>
      </c>
      <c r="CZ122" s="707" t="n">
        <v>0</v>
      </c>
      <c r="DA122" s="707" t="n">
        <v>0</v>
      </c>
      <c r="DB122" s="707" t="n">
        <v>0</v>
      </c>
      <c r="DC122" s="707" t="n">
        <v>0</v>
      </c>
      <c r="DD122" s="707" t="n">
        <v>0</v>
      </c>
      <c r="DE122" s="707" t="n">
        <v>0</v>
      </c>
      <c r="DF122" s="707" t="n">
        <v>0</v>
      </c>
      <c r="DG122" s="707" t="n">
        <v>0</v>
      </c>
      <c r="DH122" s="707" t="n">
        <v>0</v>
      </c>
      <c r="DI122" s="707" t="n">
        <v>0</v>
      </c>
      <c r="DJ122" s="707" t="n">
        <v>0</v>
      </c>
      <c r="DK122" s="707" t="n">
        <v>0</v>
      </c>
      <c r="DL122" s="707" t="n">
        <v>0</v>
      </c>
      <c r="DM122" s="707" t="n">
        <v>0</v>
      </c>
    </row>
    <row r="123" ht="13.5" customHeight="1" s="355">
      <c r="A123" s="702" t="inlineStr">
        <is>
          <t>Country 12</t>
        </is>
      </c>
      <c r="B123" s="703" t="inlineStr">
        <is>
          <t>Gen Acctg</t>
        </is>
      </c>
      <c r="D123" s="704" t="n">
        <v>0</v>
      </c>
      <c r="E123" s="704" t="n">
        <v>0</v>
      </c>
      <c r="F123" s="704" t="n">
        <v>0</v>
      </c>
      <c r="G123" s="704" t="n">
        <v>0</v>
      </c>
      <c r="H123" s="704" t="n">
        <v>0</v>
      </c>
      <c r="I123" s="704" t="n">
        <v>0</v>
      </c>
      <c r="J123" s="704" t="n">
        <v>0</v>
      </c>
      <c r="K123" s="704" t="n">
        <v>0</v>
      </c>
      <c r="L123" s="704" t="n">
        <v>0</v>
      </c>
      <c r="M123" s="704" t="n">
        <v>0</v>
      </c>
      <c r="N123" s="704" t="n">
        <v>0</v>
      </c>
      <c r="O123" s="704" t="n">
        <v>0</v>
      </c>
      <c r="P123" s="704" t="n">
        <v>0</v>
      </c>
      <c r="Q123" s="704" t="n">
        <v>0</v>
      </c>
      <c r="R123" s="704" t="n">
        <v>0</v>
      </c>
      <c r="S123" s="704" t="n">
        <v>0</v>
      </c>
      <c r="T123" s="704" t="n">
        <v>0</v>
      </c>
      <c r="U123" s="704" t="n">
        <v>0</v>
      </c>
      <c r="V123" s="704" t="n">
        <v>0</v>
      </c>
      <c r="W123" s="704" t="n">
        <v>0</v>
      </c>
      <c r="X123" s="704" t="n">
        <v>0</v>
      </c>
      <c r="Y123" s="704" t="n">
        <v>0</v>
      </c>
      <c r="Z123" s="704" t="n">
        <v>0</v>
      </c>
      <c r="AA123" s="704" t="n">
        <v>0</v>
      </c>
      <c r="AB123" s="704" t="n">
        <v>0</v>
      </c>
      <c r="AC123" s="704" t="n">
        <v>0</v>
      </c>
      <c r="AD123" s="704" t="n">
        <v>0</v>
      </c>
      <c r="AE123" s="704" t="n">
        <v>0</v>
      </c>
      <c r="AF123" s="704" t="n">
        <v>0</v>
      </c>
      <c r="AG123" s="704" t="n">
        <v>0</v>
      </c>
      <c r="AH123" s="704" t="n">
        <v>0</v>
      </c>
      <c r="AI123" s="704" t="n">
        <v>0</v>
      </c>
      <c r="AJ123" s="704" t="n">
        <v>0</v>
      </c>
      <c r="AK123" s="704" t="n">
        <v>0</v>
      </c>
      <c r="AL123" s="704" t="n">
        <v>0</v>
      </c>
      <c r="AM123" s="704" t="n">
        <v>0</v>
      </c>
      <c r="AN123" s="704" t="n">
        <v>0</v>
      </c>
      <c r="AO123" s="704" t="n">
        <v>0</v>
      </c>
      <c r="AP123" s="704" t="n">
        <v>0</v>
      </c>
      <c r="AQ123" s="704" t="n">
        <v>0</v>
      </c>
      <c r="AR123" s="704" t="n">
        <v>0</v>
      </c>
      <c r="AS123" s="704" t="n">
        <v>0</v>
      </c>
      <c r="AT123" s="704" t="n">
        <v>0</v>
      </c>
      <c r="AU123" s="704" t="n">
        <v>0</v>
      </c>
      <c r="AV123" s="704" t="n">
        <v>0</v>
      </c>
      <c r="AW123" s="704" t="n">
        <v>0</v>
      </c>
      <c r="AX123" s="704" t="n">
        <v>0</v>
      </c>
      <c r="AY123" s="704" t="n">
        <v>0</v>
      </c>
      <c r="AZ123" s="704" t="n">
        <v>0</v>
      </c>
      <c r="BA123" s="704" t="n">
        <v>0</v>
      </c>
      <c r="BB123" s="704" t="n">
        <v>0</v>
      </c>
      <c r="BC123" s="704" t="n">
        <v>0</v>
      </c>
      <c r="BD123" s="704" t="n">
        <v>0</v>
      </c>
      <c r="BE123" s="704" t="n">
        <v>0</v>
      </c>
      <c r="BF123" s="704" t="n">
        <v>0</v>
      </c>
      <c r="BG123" s="704" t="n">
        <v>0</v>
      </c>
      <c r="BH123" s="704" t="n">
        <v>0</v>
      </c>
      <c r="BI123" s="704" t="n">
        <v>0</v>
      </c>
      <c r="BJ123" s="704" t="n">
        <v>0</v>
      </c>
      <c r="BK123" s="704" t="n">
        <v>0</v>
      </c>
      <c r="BL123" s="704" t="n">
        <v>0</v>
      </c>
      <c r="BM123" s="704" t="n">
        <v>0</v>
      </c>
      <c r="BN123" s="704" t="n">
        <v>0</v>
      </c>
      <c r="BO123" s="704" t="n">
        <v>0</v>
      </c>
      <c r="BP123" s="704" t="n">
        <v>0</v>
      </c>
      <c r="BQ123" s="704" t="n">
        <v>0</v>
      </c>
      <c r="BR123" s="704" t="n">
        <v>0</v>
      </c>
      <c r="BS123" s="704" t="n">
        <v>0</v>
      </c>
      <c r="BT123" s="704" t="n">
        <v>0</v>
      </c>
      <c r="BU123" s="704" t="n">
        <v>0</v>
      </c>
      <c r="BV123" s="704" t="n">
        <v>0</v>
      </c>
      <c r="BW123" s="704" t="n">
        <v>0</v>
      </c>
      <c r="BX123" s="704" t="n">
        <v>0</v>
      </c>
      <c r="BY123" s="704" t="n">
        <v>0</v>
      </c>
      <c r="BZ123" s="704" t="n">
        <v>0</v>
      </c>
      <c r="CA123" s="704" t="n">
        <v>0</v>
      </c>
      <c r="CB123" s="704" t="n">
        <v>0</v>
      </c>
      <c r="CC123" s="704" t="n">
        <v>0</v>
      </c>
      <c r="CD123" s="704" t="n">
        <v>0</v>
      </c>
      <c r="CE123" s="704" t="n">
        <v>0</v>
      </c>
      <c r="CF123" s="704" t="n">
        <v>0</v>
      </c>
      <c r="CG123" s="704" t="n">
        <v>0</v>
      </c>
      <c r="CH123" s="704" t="n">
        <v>0</v>
      </c>
      <c r="CI123" s="704" t="n">
        <v>0</v>
      </c>
      <c r="CJ123" s="704" t="n">
        <v>0</v>
      </c>
      <c r="CK123" s="704" t="n">
        <v>0</v>
      </c>
      <c r="CL123" s="704" t="n">
        <v>0</v>
      </c>
      <c r="CM123" s="704" t="n">
        <v>0</v>
      </c>
      <c r="CN123" s="704" t="n">
        <v>0</v>
      </c>
      <c r="CO123" s="704" t="n">
        <v>0</v>
      </c>
      <c r="CP123" s="704" t="n">
        <v>0</v>
      </c>
      <c r="CQ123" s="704" t="n">
        <v>0</v>
      </c>
      <c r="CR123" s="704" t="n">
        <v>0</v>
      </c>
      <c r="CS123" s="704" t="n">
        <v>0</v>
      </c>
      <c r="CT123" s="704" t="n">
        <v>0</v>
      </c>
      <c r="CU123" s="704" t="n">
        <v>0</v>
      </c>
      <c r="CV123" s="704" t="n">
        <v>0</v>
      </c>
      <c r="CW123" s="704" t="n">
        <v>0</v>
      </c>
      <c r="CX123" s="704" t="n">
        <v>0</v>
      </c>
      <c r="CY123" s="704" t="n">
        <v>0</v>
      </c>
      <c r="CZ123" s="704" t="n">
        <v>0</v>
      </c>
      <c r="DA123" s="704" t="n">
        <v>0</v>
      </c>
      <c r="DB123" s="704" t="n">
        <v>0</v>
      </c>
      <c r="DC123" s="704" t="n">
        <v>0</v>
      </c>
      <c r="DD123" s="704" t="n">
        <v>0</v>
      </c>
      <c r="DE123" s="704" t="n">
        <v>0</v>
      </c>
      <c r="DF123" s="704" t="n">
        <v>0</v>
      </c>
      <c r="DG123" s="704" t="n">
        <v>0</v>
      </c>
      <c r="DH123" s="704" t="n">
        <v>0</v>
      </c>
      <c r="DI123" s="704" t="n">
        <v>0</v>
      </c>
      <c r="DJ123" s="704" t="n">
        <v>0</v>
      </c>
      <c r="DK123" s="704" t="n">
        <v>0</v>
      </c>
      <c r="DL123" s="704" t="n">
        <v>0</v>
      </c>
      <c r="DM123" s="704" t="n">
        <v>0</v>
      </c>
    </row>
    <row r="124" ht="13.5" customHeight="1" s="355">
      <c r="B124" s="703" t="inlineStr">
        <is>
          <t>Reporting</t>
        </is>
      </c>
      <c r="D124" s="704" t="n">
        <v>0</v>
      </c>
      <c r="E124" s="704" t="n">
        <v>0</v>
      </c>
      <c r="F124" s="704" t="n">
        <v>0</v>
      </c>
      <c r="G124" s="704" t="n">
        <v>0</v>
      </c>
      <c r="H124" s="704" t="n">
        <v>0</v>
      </c>
      <c r="I124" s="704" t="n">
        <v>0</v>
      </c>
      <c r="J124" s="704" t="n">
        <v>0</v>
      </c>
      <c r="K124" s="704" t="n">
        <v>0</v>
      </c>
      <c r="L124" s="704" t="n">
        <v>0</v>
      </c>
      <c r="M124" s="704" t="n">
        <v>0</v>
      </c>
      <c r="N124" s="704" t="n">
        <v>0</v>
      </c>
      <c r="O124" s="704" t="n">
        <v>0</v>
      </c>
      <c r="P124" s="704" t="n">
        <v>0</v>
      </c>
      <c r="Q124" s="704" t="n">
        <v>0</v>
      </c>
      <c r="R124" s="704" t="n">
        <v>0</v>
      </c>
      <c r="S124" s="704" t="n">
        <v>0</v>
      </c>
      <c r="T124" s="704" t="n">
        <v>0</v>
      </c>
      <c r="U124" s="704" t="n">
        <v>0</v>
      </c>
      <c r="V124" s="704" t="n">
        <v>0</v>
      </c>
      <c r="W124" s="704" t="n">
        <v>0</v>
      </c>
      <c r="X124" s="704" t="n">
        <v>0</v>
      </c>
      <c r="Y124" s="704" t="n">
        <v>0</v>
      </c>
      <c r="Z124" s="704" t="n">
        <v>0</v>
      </c>
      <c r="AA124" s="704" t="n">
        <v>0</v>
      </c>
      <c r="AB124" s="704" t="n">
        <v>0</v>
      </c>
      <c r="AC124" s="704" t="n">
        <v>0</v>
      </c>
      <c r="AD124" s="704" t="n">
        <v>0</v>
      </c>
      <c r="AE124" s="704" t="n">
        <v>0</v>
      </c>
      <c r="AF124" s="704" t="n">
        <v>0</v>
      </c>
      <c r="AG124" s="704" t="n">
        <v>0</v>
      </c>
      <c r="AH124" s="704" t="n">
        <v>0</v>
      </c>
      <c r="AI124" s="704" t="n">
        <v>0</v>
      </c>
      <c r="AJ124" s="704" t="n">
        <v>0</v>
      </c>
      <c r="AK124" s="704" t="n">
        <v>0</v>
      </c>
      <c r="AL124" s="704" t="n">
        <v>0</v>
      </c>
      <c r="AM124" s="704" t="n">
        <v>0</v>
      </c>
      <c r="AN124" s="704" t="n">
        <v>0</v>
      </c>
      <c r="AO124" s="704" t="n">
        <v>0</v>
      </c>
      <c r="AP124" s="704" t="n">
        <v>0</v>
      </c>
      <c r="AQ124" s="704" t="n">
        <v>0</v>
      </c>
      <c r="AR124" s="704" t="n">
        <v>0</v>
      </c>
      <c r="AS124" s="704" t="n">
        <v>0</v>
      </c>
      <c r="AT124" s="704" t="n">
        <v>0</v>
      </c>
      <c r="AU124" s="704" t="n">
        <v>0</v>
      </c>
      <c r="AV124" s="704" t="n">
        <v>0</v>
      </c>
      <c r="AW124" s="704" t="n">
        <v>0</v>
      </c>
      <c r="AX124" s="704" t="n">
        <v>0</v>
      </c>
      <c r="AY124" s="704" t="n">
        <v>0</v>
      </c>
      <c r="AZ124" s="704" t="n">
        <v>0</v>
      </c>
      <c r="BA124" s="704" t="n">
        <v>0</v>
      </c>
      <c r="BB124" s="704" t="n">
        <v>0</v>
      </c>
      <c r="BC124" s="704" t="n">
        <v>0</v>
      </c>
      <c r="BD124" s="704" t="n">
        <v>0</v>
      </c>
      <c r="BE124" s="704" t="n">
        <v>0</v>
      </c>
      <c r="BF124" s="704" t="n">
        <v>0</v>
      </c>
      <c r="BG124" s="704" t="n">
        <v>0</v>
      </c>
      <c r="BH124" s="704" t="n">
        <v>0</v>
      </c>
      <c r="BI124" s="704" t="n">
        <v>0</v>
      </c>
      <c r="BJ124" s="704" t="n">
        <v>0</v>
      </c>
      <c r="BK124" s="704" t="n">
        <v>0</v>
      </c>
      <c r="BL124" s="704" t="n">
        <v>0</v>
      </c>
      <c r="BM124" s="704" t="n">
        <v>0</v>
      </c>
      <c r="BN124" s="704" t="n">
        <v>0</v>
      </c>
      <c r="BO124" s="704" t="n">
        <v>0</v>
      </c>
      <c r="BP124" s="704" t="n">
        <v>0</v>
      </c>
      <c r="BQ124" s="704" t="n">
        <v>0</v>
      </c>
      <c r="BR124" s="704" t="n">
        <v>0</v>
      </c>
      <c r="BS124" s="704" t="n">
        <v>0</v>
      </c>
      <c r="BT124" s="704" t="n">
        <v>0</v>
      </c>
      <c r="BU124" s="704" t="n">
        <v>0</v>
      </c>
      <c r="BV124" s="704" t="n">
        <v>0</v>
      </c>
      <c r="BW124" s="704" t="n">
        <v>0</v>
      </c>
      <c r="BX124" s="704" t="n">
        <v>0</v>
      </c>
      <c r="BY124" s="704" t="n">
        <v>0</v>
      </c>
      <c r="BZ124" s="704" t="n">
        <v>0</v>
      </c>
      <c r="CA124" s="704" t="n">
        <v>0</v>
      </c>
      <c r="CB124" s="704" t="n">
        <v>0</v>
      </c>
      <c r="CC124" s="704" t="n">
        <v>0</v>
      </c>
      <c r="CD124" s="704" t="n">
        <v>0</v>
      </c>
      <c r="CE124" s="704" t="n">
        <v>0</v>
      </c>
      <c r="CF124" s="704" t="n">
        <v>0</v>
      </c>
      <c r="CG124" s="704" t="n">
        <v>0</v>
      </c>
      <c r="CH124" s="704" t="n">
        <v>0</v>
      </c>
      <c r="CI124" s="704" t="n">
        <v>0</v>
      </c>
      <c r="CJ124" s="704" t="n">
        <v>0</v>
      </c>
      <c r="CK124" s="704" t="n">
        <v>0</v>
      </c>
      <c r="CL124" s="704" t="n">
        <v>0</v>
      </c>
      <c r="CM124" s="704" t="n">
        <v>0</v>
      </c>
      <c r="CN124" s="704" t="n">
        <v>0</v>
      </c>
      <c r="CO124" s="704" t="n">
        <v>0</v>
      </c>
      <c r="CP124" s="704" t="n">
        <v>0</v>
      </c>
      <c r="CQ124" s="704" t="n">
        <v>0</v>
      </c>
      <c r="CR124" s="704" t="n">
        <v>0</v>
      </c>
      <c r="CS124" s="704" t="n">
        <v>0</v>
      </c>
      <c r="CT124" s="704" t="n">
        <v>0</v>
      </c>
      <c r="CU124" s="704" t="n">
        <v>0</v>
      </c>
      <c r="CV124" s="704" t="n">
        <v>0</v>
      </c>
      <c r="CW124" s="704" t="n">
        <v>0</v>
      </c>
      <c r="CX124" s="704" t="n">
        <v>0</v>
      </c>
      <c r="CY124" s="704" t="n">
        <v>0</v>
      </c>
      <c r="CZ124" s="704" t="n">
        <v>0</v>
      </c>
      <c r="DA124" s="704" t="n">
        <v>0</v>
      </c>
      <c r="DB124" s="704" t="n">
        <v>0</v>
      </c>
      <c r="DC124" s="704" t="n">
        <v>0</v>
      </c>
      <c r="DD124" s="704" t="n">
        <v>0</v>
      </c>
      <c r="DE124" s="704" t="n">
        <v>0</v>
      </c>
      <c r="DF124" s="704" t="n">
        <v>0</v>
      </c>
      <c r="DG124" s="704" t="n">
        <v>0</v>
      </c>
      <c r="DH124" s="704" t="n">
        <v>0</v>
      </c>
      <c r="DI124" s="704" t="n">
        <v>0</v>
      </c>
      <c r="DJ124" s="704" t="n">
        <v>0</v>
      </c>
      <c r="DK124" s="704" t="n">
        <v>0</v>
      </c>
      <c r="DL124" s="704" t="n">
        <v>0</v>
      </c>
      <c r="DM124" s="704" t="n">
        <v>0</v>
      </c>
    </row>
    <row r="125" ht="13.5" customHeight="1" s="355">
      <c r="B125" s="703" t="inlineStr">
        <is>
          <t>Fixed Assets</t>
        </is>
      </c>
      <c r="D125" s="704" t="n">
        <v>0</v>
      </c>
      <c r="E125" s="704" t="n">
        <v>0</v>
      </c>
      <c r="F125" s="704" t="n">
        <v>0</v>
      </c>
      <c r="G125" s="704" t="n">
        <v>0</v>
      </c>
      <c r="H125" s="704" t="n">
        <v>0</v>
      </c>
      <c r="I125" s="704" t="n">
        <v>0</v>
      </c>
      <c r="J125" s="704" t="n">
        <v>0</v>
      </c>
      <c r="K125" s="704" t="n">
        <v>0</v>
      </c>
      <c r="L125" s="704" t="n">
        <v>0</v>
      </c>
      <c r="M125" s="704" t="n">
        <v>0</v>
      </c>
      <c r="N125" s="704" t="n">
        <v>0</v>
      </c>
      <c r="O125" s="704" t="n">
        <v>0</v>
      </c>
      <c r="P125" s="704" t="n">
        <v>0</v>
      </c>
      <c r="Q125" s="704" t="n">
        <v>0</v>
      </c>
      <c r="R125" s="704" t="n">
        <v>0</v>
      </c>
      <c r="S125" s="704" t="n">
        <v>0</v>
      </c>
      <c r="T125" s="704" t="n">
        <v>0</v>
      </c>
      <c r="U125" s="704" t="n">
        <v>0</v>
      </c>
      <c r="V125" s="704" t="n">
        <v>0</v>
      </c>
      <c r="W125" s="704" t="n">
        <v>0</v>
      </c>
      <c r="X125" s="704" t="n">
        <v>0</v>
      </c>
      <c r="Y125" s="704" t="n">
        <v>0</v>
      </c>
      <c r="Z125" s="704" t="n">
        <v>0</v>
      </c>
      <c r="AA125" s="704" t="n">
        <v>0</v>
      </c>
      <c r="AB125" s="704" t="n">
        <v>0</v>
      </c>
      <c r="AC125" s="704" t="n">
        <v>0</v>
      </c>
      <c r="AD125" s="704" t="n">
        <v>0</v>
      </c>
      <c r="AE125" s="704" t="n">
        <v>0</v>
      </c>
      <c r="AF125" s="704" t="n">
        <v>0</v>
      </c>
      <c r="AG125" s="704" t="n">
        <v>0</v>
      </c>
      <c r="AH125" s="704" t="n">
        <v>0</v>
      </c>
      <c r="AI125" s="704" t="n">
        <v>0</v>
      </c>
      <c r="AJ125" s="704" t="n">
        <v>0</v>
      </c>
      <c r="AK125" s="704" t="n">
        <v>0</v>
      </c>
      <c r="AL125" s="704" t="n">
        <v>0</v>
      </c>
      <c r="AM125" s="704" t="n">
        <v>0</v>
      </c>
      <c r="AN125" s="704" t="n">
        <v>0</v>
      </c>
      <c r="AO125" s="704" t="n">
        <v>0</v>
      </c>
      <c r="AP125" s="704" t="n">
        <v>0</v>
      </c>
      <c r="AQ125" s="704" t="n">
        <v>0</v>
      </c>
      <c r="AR125" s="704" t="n">
        <v>0</v>
      </c>
      <c r="AS125" s="704" t="n">
        <v>0</v>
      </c>
      <c r="AT125" s="704" t="n">
        <v>0</v>
      </c>
      <c r="AU125" s="704" t="n">
        <v>0</v>
      </c>
      <c r="AV125" s="704" t="n">
        <v>0</v>
      </c>
      <c r="AW125" s="704" t="n">
        <v>0</v>
      </c>
      <c r="AX125" s="704" t="n">
        <v>0</v>
      </c>
      <c r="AY125" s="704" t="n">
        <v>0</v>
      </c>
      <c r="AZ125" s="704" t="n">
        <v>0</v>
      </c>
      <c r="BA125" s="704" t="n">
        <v>0</v>
      </c>
      <c r="BB125" s="704" t="n">
        <v>0</v>
      </c>
      <c r="BC125" s="704" t="n">
        <v>0</v>
      </c>
      <c r="BD125" s="704" t="n">
        <v>0</v>
      </c>
      <c r="BE125" s="704" t="n">
        <v>0</v>
      </c>
      <c r="BF125" s="704" t="n">
        <v>0</v>
      </c>
      <c r="BG125" s="704" t="n">
        <v>0</v>
      </c>
      <c r="BH125" s="704" t="n">
        <v>0</v>
      </c>
      <c r="BI125" s="704" t="n">
        <v>0</v>
      </c>
      <c r="BJ125" s="704" t="n">
        <v>0</v>
      </c>
      <c r="BK125" s="704" t="n">
        <v>0</v>
      </c>
      <c r="BL125" s="704" t="n">
        <v>0</v>
      </c>
      <c r="BM125" s="704" t="n">
        <v>0</v>
      </c>
      <c r="BN125" s="704" t="n">
        <v>0</v>
      </c>
      <c r="BO125" s="704" t="n">
        <v>0</v>
      </c>
      <c r="BP125" s="704" t="n">
        <v>0</v>
      </c>
      <c r="BQ125" s="704" t="n">
        <v>0</v>
      </c>
      <c r="BR125" s="704" t="n">
        <v>0</v>
      </c>
      <c r="BS125" s="704" t="n">
        <v>0</v>
      </c>
      <c r="BT125" s="704" t="n">
        <v>0</v>
      </c>
      <c r="BU125" s="704" t="n">
        <v>0</v>
      </c>
      <c r="BV125" s="704" t="n">
        <v>0</v>
      </c>
      <c r="BW125" s="704" t="n">
        <v>0</v>
      </c>
      <c r="BX125" s="704" t="n">
        <v>0</v>
      </c>
      <c r="BY125" s="704" t="n">
        <v>0</v>
      </c>
      <c r="BZ125" s="704" t="n">
        <v>0</v>
      </c>
      <c r="CA125" s="704" t="n">
        <v>0</v>
      </c>
      <c r="CB125" s="704" t="n">
        <v>0</v>
      </c>
      <c r="CC125" s="704" t="n">
        <v>0</v>
      </c>
      <c r="CD125" s="704" t="n">
        <v>0</v>
      </c>
      <c r="CE125" s="704" t="n">
        <v>0</v>
      </c>
      <c r="CF125" s="704" t="n">
        <v>0</v>
      </c>
      <c r="CG125" s="704" t="n">
        <v>0</v>
      </c>
      <c r="CH125" s="704" t="n">
        <v>0</v>
      </c>
      <c r="CI125" s="704" t="n">
        <v>0</v>
      </c>
      <c r="CJ125" s="704" t="n">
        <v>0</v>
      </c>
      <c r="CK125" s="704" t="n">
        <v>0</v>
      </c>
      <c r="CL125" s="704" t="n">
        <v>0</v>
      </c>
      <c r="CM125" s="704" t="n">
        <v>0</v>
      </c>
      <c r="CN125" s="704" t="n">
        <v>0</v>
      </c>
      <c r="CO125" s="704" t="n">
        <v>0</v>
      </c>
      <c r="CP125" s="704" t="n">
        <v>0</v>
      </c>
      <c r="CQ125" s="704" t="n">
        <v>0</v>
      </c>
      <c r="CR125" s="704" t="n">
        <v>0</v>
      </c>
      <c r="CS125" s="704" t="n">
        <v>0</v>
      </c>
      <c r="CT125" s="704" t="n">
        <v>0</v>
      </c>
      <c r="CU125" s="704" t="n">
        <v>0</v>
      </c>
      <c r="CV125" s="704" t="n">
        <v>0</v>
      </c>
      <c r="CW125" s="704" t="n">
        <v>0</v>
      </c>
      <c r="CX125" s="704" t="n">
        <v>0</v>
      </c>
      <c r="CY125" s="704" t="n">
        <v>0</v>
      </c>
      <c r="CZ125" s="704" t="n">
        <v>0</v>
      </c>
      <c r="DA125" s="704" t="n">
        <v>0</v>
      </c>
      <c r="DB125" s="704" t="n">
        <v>0</v>
      </c>
      <c r="DC125" s="704" t="n">
        <v>0</v>
      </c>
      <c r="DD125" s="704" t="n">
        <v>0</v>
      </c>
      <c r="DE125" s="704" t="n">
        <v>0</v>
      </c>
      <c r="DF125" s="704" t="n">
        <v>0</v>
      </c>
      <c r="DG125" s="704" t="n">
        <v>0</v>
      </c>
      <c r="DH125" s="704" t="n">
        <v>0</v>
      </c>
      <c r="DI125" s="704" t="n">
        <v>0</v>
      </c>
      <c r="DJ125" s="704" t="n">
        <v>0</v>
      </c>
      <c r="DK125" s="704" t="n">
        <v>0</v>
      </c>
      <c r="DL125" s="704" t="n">
        <v>0</v>
      </c>
      <c r="DM125" s="704" t="n">
        <v>0</v>
      </c>
    </row>
    <row r="126" ht="13.5" customHeight="1" s="355">
      <c r="B126" s="703" t="inlineStr">
        <is>
          <t>Acct Payable</t>
        </is>
      </c>
      <c r="D126" s="704" t="n">
        <v>0</v>
      </c>
      <c r="E126" s="704" t="n">
        <v>0</v>
      </c>
      <c r="F126" s="704" t="n">
        <v>0</v>
      </c>
      <c r="G126" s="704" t="n">
        <v>0</v>
      </c>
      <c r="H126" s="704" t="n">
        <v>0</v>
      </c>
      <c r="I126" s="704" t="n">
        <v>0</v>
      </c>
      <c r="J126" s="704" t="n">
        <v>0</v>
      </c>
      <c r="K126" s="704" t="n">
        <v>0</v>
      </c>
      <c r="L126" s="704" t="n">
        <v>0</v>
      </c>
      <c r="M126" s="704" t="n">
        <v>0</v>
      </c>
      <c r="N126" s="704" t="n">
        <v>0</v>
      </c>
      <c r="O126" s="704" t="n">
        <v>0</v>
      </c>
      <c r="P126" s="704" t="n">
        <v>0</v>
      </c>
      <c r="Q126" s="704" t="n">
        <v>0</v>
      </c>
      <c r="R126" s="704" t="n">
        <v>0</v>
      </c>
      <c r="S126" s="704" t="n">
        <v>0</v>
      </c>
      <c r="T126" s="704" t="n">
        <v>0</v>
      </c>
      <c r="U126" s="704" t="n">
        <v>0</v>
      </c>
      <c r="V126" s="704" t="n">
        <v>0</v>
      </c>
      <c r="W126" s="704" t="n">
        <v>0</v>
      </c>
      <c r="X126" s="704" t="n">
        <v>0</v>
      </c>
      <c r="Y126" s="704" t="n">
        <v>0</v>
      </c>
      <c r="Z126" s="704" t="n">
        <v>0</v>
      </c>
      <c r="AA126" s="704" t="n">
        <v>0</v>
      </c>
      <c r="AB126" s="704" t="n">
        <v>0</v>
      </c>
      <c r="AC126" s="704" t="n">
        <v>0</v>
      </c>
      <c r="AD126" s="704" t="n">
        <v>0</v>
      </c>
      <c r="AE126" s="704" t="n">
        <v>0</v>
      </c>
      <c r="AF126" s="704" t="n">
        <v>0</v>
      </c>
      <c r="AG126" s="704" t="n">
        <v>0</v>
      </c>
      <c r="AH126" s="704" t="n">
        <v>0</v>
      </c>
      <c r="AI126" s="704" t="n">
        <v>0</v>
      </c>
      <c r="AJ126" s="704" t="n">
        <v>0</v>
      </c>
      <c r="AK126" s="704" t="n">
        <v>0</v>
      </c>
      <c r="AL126" s="704" t="n">
        <v>0</v>
      </c>
      <c r="AM126" s="704" t="n">
        <v>0</v>
      </c>
      <c r="AN126" s="704" t="n">
        <v>0</v>
      </c>
      <c r="AO126" s="704" t="n">
        <v>0</v>
      </c>
      <c r="AP126" s="704" t="n">
        <v>0</v>
      </c>
      <c r="AQ126" s="704" t="n">
        <v>0</v>
      </c>
      <c r="AR126" s="704" t="n">
        <v>0</v>
      </c>
      <c r="AS126" s="704" t="n">
        <v>0</v>
      </c>
      <c r="AT126" s="704" t="n">
        <v>0</v>
      </c>
      <c r="AU126" s="704" t="n">
        <v>0</v>
      </c>
      <c r="AV126" s="704" t="n">
        <v>0</v>
      </c>
      <c r="AW126" s="704" t="n">
        <v>0</v>
      </c>
      <c r="AX126" s="704" t="n">
        <v>0</v>
      </c>
      <c r="AY126" s="704" t="n">
        <v>0</v>
      </c>
      <c r="AZ126" s="704" t="n">
        <v>0</v>
      </c>
      <c r="BA126" s="704" t="n">
        <v>0</v>
      </c>
      <c r="BB126" s="704" t="n">
        <v>0</v>
      </c>
      <c r="BC126" s="704" t="n">
        <v>0</v>
      </c>
      <c r="BD126" s="704" t="n">
        <v>0</v>
      </c>
      <c r="BE126" s="704" t="n">
        <v>0</v>
      </c>
      <c r="BF126" s="704" t="n">
        <v>0</v>
      </c>
      <c r="BG126" s="704" t="n">
        <v>0</v>
      </c>
      <c r="BH126" s="704" t="n">
        <v>0</v>
      </c>
      <c r="BI126" s="704" t="n">
        <v>0</v>
      </c>
      <c r="BJ126" s="704" t="n">
        <v>0</v>
      </c>
      <c r="BK126" s="704" t="n">
        <v>0</v>
      </c>
      <c r="BL126" s="704" t="n">
        <v>0</v>
      </c>
      <c r="BM126" s="704" t="n">
        <v>0</v>
      </c>
      <c r="BN126" s="704" t="n">
        <v>0</v>
      </c>
      <c r="BO126" s="704" t="n">
        <v>0</v>
      </c>
      <c r="BP126" s="704" t="n">
        <v>0</v>
      </c>
      <c r="BQ126" s="704" t="n">
        <v>0</v>
      </c>
      <c r="BR126" s="704" t="n">
        <v>0</v>
      </c>
      <c r="BS126" s="704" t="n">
        <v>0</v>
      </c>
      <c r="BT126" s="704" t="n">
        <v>0</v>
      </c>
      <c r="BU126" s="704" t="n">
        <v>0</v>
      </c>
      <c r="BV126" s="704" t="n">
        <v>0</v>
      </c>
      <c r="BW126" s="704" t="n">
        <v>0</v>
      </c>
      <c r="BX126" s="704" t="n">
        <v>0</v>
      </c>
      <c r="BY126" s="704" t="n">
        <v>0</v>
      </c>
      <c r="BZ126" s="704" t="n">
        <v>0</v>
      </c>
      <c r="CA126" s="704" t="n">
        <v>0</v>
      </c>
      <c r="CB126" s="704" t="n">
        <v>0</v>
      </c>
      <c r="CC126" s="704" t="n">
        <v>0</v>
      </c>
      <c r="CD126" s="704" t="n">
        <v>0</v>
      </c>
      <c r="CE126" s="704" t="n">
        <v>0</v>
      </c>
      <c r="CF126" s="704" t="n">
        <v>0</v>
      </c>
      <c r="CG126" s="704" t="n">
        <v>0</v>
      </c>
      <c r="CH126" s="704" t="n">
        <v>0</v>
      </c>
      <c r="CI126" s="704" t="n">
        <v>0</v>
      </c>
      <c r="CJ126" s="704" t="n">
        <v>0</v>
      </c>
      <c r="CK126" s="704" t="n">
        <v>0</v>
      </c>
      <c r="CL126" s="704" t="n">
        <v>0</v>
      </c>
      <c r="CM126" s="704" t="n">
        <v>0</v>
      </c>
      <c r="CN126" s="704" t="n">
        <v>0</v>
      </c>
      <c r="CO126" s="704" t="n">
        <v>0</v>
      </c>
      <c r="CP126" s="704" t="n">
        <v>0</v>
      </c>
      <c r="CQ126" s="704" t="n">
        <v>0</v>
      </c>
      <c r="CR126" s="704" t="n">
        <v>0</v>
      </c>
      <c r="CS126" s="704" t="n">
        <v>0</v>
      </c>
      <c r="CT126" s="704" t="n">
        <v>0</v>
      </c>
      <c r="CU126" s="704" t="n">
        <v>0</v>
      </c>
      <c r="CV126" s="704" t="n">
        <v>0</v>
      </c>
      <c r="CW126" s="704" t="n">
        <v>0</v>
      </c>
      <c r="CX126" s="704" t="n">
        <v>0</v>
      </c>
      <c r="CY126" s="704" t="n">
        <v>0</v>
      </c>
      <c r="CZ126" s="704" t="n">
        <v>0</v>
      </c>
      <c r="DA126" s="704" t="n">
        <v>0</v>
      </c>
      <c r="DB126" s="704" t="n">
        <v>0</v>
      </c>
      <c r="DC126" s="704" t="n">
        <v>0</v>
      </c>
      <c r="DD126" s="704" t="n">
        <v>0</v>
      </c>
      <c r="DE126" s="704" t="n">
        <v>0</v>
      </c>
      <c r="DF126" s="704" t="n">
        <v>0</v>
      </c>
      <c r="DG126" s="704" t="n">
        <v>0</v>
      </c>
      <c r="DH126" s="704" t="n">
        <v>0</v>
      </c>
      <c r="DI126" s="704" t="n">
        <v>0</v>
      </c>
      <c r="DJ126" s="704" t="n">
        <v>0</v>
      </c>
      <c r="DK126" s="704" t="n">
        <v>0</v>
      </c>
      <c r="DL126" s="704" t="n">
        <v>0</v>
      </c>
      <c r="DM126" s="704" t="n">
        <v>0</v>
      </c>
    </row>
    <row r="127" ht="13.5" customHeight="1" s="355">
      <c r="B127" s="703" t="inlineStr">
        <is>
          <t>Cash&amp;Bank</t>
        </is>
      </c>
      <c r="D127" s="704" t="n">
        <v>0</v>
      </c>
      <c r="E127" s="704" t="n">
        <v>0</v>
      </c>
      <c r="F127" s="704" t="n">
        <v>0</v>
      </c>
      <c r="G127" s="704" t="n">
        <v>0</v>
      </c>
      <c r="H127" s="704" t="n">
        <v>0</v>
      </c>
      <c r="I127" s="704" t="n">
        <v>0</v>
      </c>
      <c r="J127" s="704" t="n">
        <v>0</v>
      </c>
      <c r="K127" s="704" t="n">
        <v>0</v>
      </c>
      <c r="L127" s="704" t="n">
        <v>0</v>
      </c>
      <c r="M127" s="704" t="n">
        <v>0</v>
      </c>
      <c r="N127" s="704" t="n">
        <v>0</v>
      </c>
      <c r="O127" s="704" t="n">
        <v>0</v>
      </c>
      <c r="P127" s="704" t="n">
        <v>0</v>
      </c>
      <c r="Q127" s="704" t="n">
        <v>0</v>
      </c>
      <c r="R127" s="704" t="n">
        <v>0</v>
      </c>
      <c r="S127" s="704" t="n">
        <v>0</v>
      </c>
      <c r="T127" s="704" t="n">
        <v>0</v>
      </c>
      <c r="U127" s="704" t="n">
        <v>0</v>
      </c>
      <c r="V127" s="704" t="n">
        <v>0</v>
      </c>
      <c r="W127" s="704" t="n">
        <v>0</v>
      </c>
      <c r="X127" s="704" t="n">
        <v>0</v>
      </c>
      <c r="Y127" s="704" t="n">
        <v>0</v>
      </c>
      <c r="Z127" s="704" t="n">
        <v>0</v>
      </c>
      <c r="AA127" s="704" t="n">
        <v>0</v>
      </c>
      <c r="AB127" s="704" t="n">
        <v>0</v>
      </c>
      <c r="AC127" s="704" t="n">
        <v>0</v>
      </c>
      <c r="AD127" s="704" t="n">
        <v>0</v>
      </c>
      <c r="AE127" s="704" t="n">
        <v>0</v>
      </c>
      <c r="AF127" s="704" t="n">
        <v>0</v>
      </c>
      <c r="AG127" s="704" t="n">
        <v>0</v>
      </c>
      <c r="AH127" s="704" t="n">
        <v>0</v>
      </c>
      <c r="AI127" s="704" t="n">
        <v>0</v>
      </c>
      <c r="AJ127" s="704" t="n">
        <v>0</v>
      </c>
      <c r="AK127" s="704" t="n">
        <v>0</v>
      </c>
      <c r="AL127" s="704" t="n">
        <v>0</v>
      </c>
      <c r="AM127" s="704" t="n">
        <v>0</v>
      </c>
      <c r="AN127" s="704" t="n">
        <v>0</v>
      </c>
      <c r="AO127" s="704" t="n">
        <v>0</v>
      </c>
      <c r="AP127" s="704" t="n">
        <v>0</v>
      </c>
      <c r="AQ127" s="704" t="n">
        <v>0</v>
      </c>
      <c r="AR127" s="704" t="n">
        <v>0</v>
      </c>
      <c r="AS127" s="704" t="n">
        <v>0</v>
      </c>
      <c r="AT127" s="704" t="n">
        <v>0</v>
      </c>
      <c r="AU127" s="704" t="n">
        <v>0</v>
      </c>
      <c r="AV127" s="704" t="n">
        <v>0</v>
      </c>
      <c r="AW127" s="704" t="n">
        <v>0</v>
      </c>
      <c r="AX127" s="704" t="n">
        <v>0</v>
      </c>
      <c r="AY127" s="704" t="n">
        <v>0</v>
      </c>
      <c r="AZ127" s="704" t="n">
        <v>0</v>
      </c>
      <c r="BA127" s="704" t="n">
        <v>0</v>
      </c>
      <c r="BB127" s="704" t="n">
        <v>0</v>
      </c>
      <c r="BC127" s="704" t="n">
        <v>0</v>
      </c>
      <c r="BD127" s="704" t="n">
        <v>0</v>
      </c>
      <c r="BE127" s="704" t="n">
        <v>0</v>
      </c>
      <c r="BF127" s="704" t="n">
        <v>0</v>
      </c>
      <c r="BG127" s="704" t="n">
        <v>0</v>
      </c>
      <c r="BH127" s="704" t="n">
        <v>0</v>
      </c>
      <c r="BI127" s="704" t="n">
        <v>0</v>
      </c>
      <c r="BJ127" s="704" t="n">
        <v>0</v>
      </c>
      <c r="BK127" s="704" t="n">
        <v>0</v>
      </c>
      <c r="BL127" s="704" t="n">
        <v>0</v>
      </c>
      <c r="BM127" s="704" t="n">
        <v>0</v>
      </c>
      <c r="BN127" s="704" t="n">
        <v>0</v>
      </c>
      <c r="BO127" s="704" t="n">
        <v>0</v>
      </c>
      <c r="BP127" s="704" t="n">
        <v>0</v>
      </c>
      <c r="BQ127" s="704" t="n">
        <v>0</v>
      </c>
      <c r="BR127" s="704" t="n">
        <v>0</v>
      </c>
      <c r="BS127" s="704" t="n">
        <v>0</v>
      </c>
      <c r="BT127" s="704" t="n">
        <v>0</v>
      </c>
      <c r="BU127" s="704" t="n">
        <v>0</v>
      </c>
      <c r="BV127" s="704" t="n">
        <v>0</v>
      </c>
      <c r="BW127" s="704" t="n">
        <v>0</v>
      </c>
      <c r="BX127" s="704" t="n">
        <v>0</v>
      </c>
      <c r="BY127" s="704" t="n">
        <v>0</v>
      </c>
      <c r="BZ127" s="704" t="n">
        <v>0</v>
      </c>
      <c r="CA127" s="704" t="n">
        <v>0</v>
      </c>
      <c r="CB127" s="704" t="n">
        <v>0</v>
      </c>
      <c r="CC127" s="704" t="n">
        <v>0</v>
      </c>
      <c r="CD127" s="704" t="n">
        <v>0</v>
      </c>
      <c r="CE127" s="704" t="n">
        <v>0</v>
      </c>
      <c r="CF127" s="704" t="n">
        <v>0</v>
      </c>
      <c r="CG127" s="704" t="n">
        <v>0</v>
      </c>
      <c r="CH127" s="704" t="n">
        <v>0</v>
      </c>
      <c r="CI127" s="704" t="n">
        <v>0</v>
      </c>
      <c r="CJ127" s="704" t="n">
        <v>0</v>
      </c>
      <c r="CK127" s="704" t="n">
        <v>0</v>
      </c>
      <c r="CL127" s="704" t="n">
        <v>0</v>
      </c>
      <c r="CM127" s="704" t="n">
        <v>0</v>
      </c>
      <c r="CN127" s="704" t="n">
        <v>0</v>
      </c>
      <c r="CO127" s="704" t="n">
        <v>0</v>
      </c>
      <c r="CP127" s="704" t="n">
        <v>0</v>
      </c>
      <c r="CQ127" s="704" t="n">
        <v>0</v>
      </c>
      <c r="CR127" s="704" t="n">
        <v>0</v>
      </c>
      <c r="CS127" s="704" t="n">
        <v>0</v>
      </c>
      <c r="CT127" s="704" t="n">
        <v>0</v>
      </c>
      <c r="CU127" s="704" t="n">
        <v>0</v>
      </c>
      <c r="CV127" s="704" t="n">
        <v>0</v>
      </c>
      <c r="CW127" s="704" t="n">
        <v>0</v>
      </c>
      <c r="CX127" s="704" t="n">
        <v>0</v>
      </c>
      <c r="CY127" s="704" t="n">
        <v>0</v>
      </c>
      <c r="CZ127" s="704" t="n">
        <v>0</v>
      </c>
      <c r="DA127" s="704" t="n">
        <v>0</v>
      </c>
      <c r="DB127" s="704" t="n">
        <v>0</v>
      </c>
      <c r="DC127" s="704" t="n">
        <v>0</v>
      </c>
      <c r="DD127" s="704" t="n">
        <v>0</v>
      </c>
      <c r="DE127" s="704" t="n">
        <v>0</v>
      </c>
      <c r="DF127" s="704" t="n">
        <v>0</v>
      </c>
      <c r="DG127" s="704" t="n">
        <v>0</v>
      </c>
      <c r="DH127" s="704" t="n">
        <v>0</v>
      </c>
      <c r="DI127" s="704" t="n">
        <v>0</v>
      </c>
      <c r="DJ127" s="704" t="n">
        <v>0</v>
      </c>
      <c r="DK127" s="704" t="n">
        <v>0</v>
      </c>
      <c r="DL127" s="704" t="n">
        <v>0</v>
      </c>
      <c r="DM127" s="704" t="n">
        <v>0</v>
      </c>
    </row>
    <row r="128" ht="13.5" customHeight="1" s="355">
      <c r="B128" s="703" t="inlineStr">
        <is>
          <t>T&amp;E</t>
        </is>
      </c>
      <c r="D128" s="704" t="n">
        <v>0</v>
      </c>
      <c r="E128" s="704" t="n">
        <v>0</v>
      </c>
      <c r="F128" s="704" t="n">
        <v>0</v>
      </c>
      <c r="G128" s="704" t="n">
        <v>0</v>
      </c>
      <c r="H128" s="704" t="n">
        <v>0</v>
      </c>
      <c r="I128" s="704" t="n">
        <v>0</v>
      </c>
      <c r="J128" s="704" t="n">
        <v>0</v>
      </c>
      <c r="K128" s="704" t="n">
        <v>0</v>
      </c>
      <c r="L128" s="704" t="n">
        <v>0</v>
      </c>
      <c r="M128" s="704" t="n">
        <v>0</v>
      </c>
      <c r="N128" s="704" t="n">
        <v>0</v>
      </c>
      <c r="O128" s="704" t="n">
        <v>0</v>
      </c>
      <c r="P128" s="704" t="n">
        <v>0</v>
      </c>
      <c r="Q128" s="704" t="n">
        <v>0</v>
      </c>
      <c r="R128" s="704" t="n">
        <v>0</v>
      </c>
      <c r="S128" s="704" t="n">
        <v>0</v>
      </c>
      <c r="T128" s="704" t="n">
        <v>0</v>
      </c>
      <c r="U128" s="704" t="n">
        <v>0</v>
      </c>
      <c r="V128" s="704" t="n">
        <v>0</v>
      </c>
      <c r="W128" s="704" t="n">
        <v>0</v>
      </c>
      <c r="X128" s="704" t="n">
        <v>0</v>
      </c>
      <c r="Y128" s="704" t="n">
        <v>0</v>
      </c>
      <c r="Z128" s="704" t="n">
        <v>0</v>
      </c>
      <c r="AA128" s="704" t="n">
        <v>0</v>
      </c>
      <c r="AB128" s="704" t="n">
        <v>0</v>
      </c>
      <c r="AC128" s="704" t="n">
        <v>0</v>
      </c>
      <c r="AD128" s="704" t="n">
        <v>0</v>
      </c>
      <c r="AE128" s="704" t="n">
        <v>0</v>
      </c>
      <c r="AF128" s="704" t="n">
        <v>0</v>
      </c>
      <c r="AG128" s="704" t="n">
        <v>0</v>
      </c>
      <c r="AH128" s="704" t="n">
        <v>0</v>
      </c>
      <c r="AI128" s="704" t="n">
        <v>0</v>
      </c>
      <c r="AJ128" s="704" t="n">
        <v>0</v>
      </c>
      <c r="AK128" s="704" t="n">
        <v>0</v>
      </c>
      <c r="AL128" s="704" t="n">
        <v>0</v>
      </c>
      <c r="AM128" s="704" t="n">
        <v>0</v>
      </c>
      <c r="AN128" s="704" t="n">
        <v>0</v>
      </c>
      <c r="AO128" s="704" t="n">
        <v>0</v>
      </c>
      <c r="AP128" s="704" t="n">
        <v>0</v>
      </c>
      <c r="AQ128" s="704" t="n">
        <v>0</v>
      </c>
      <c r="AR128" s="704" t="n">
        <v>0</v>
      </c>
      <c r="AS128" s="704" t="n">
        <v>0</v>
      </c>
      <c r="AT128" s="704" t="n">
        <v>0</v>
      </c>
      <c r="AU128" s="704" t="n">
        <v>0</v>
      </c>
      <c r="AV128" s="704" t="n">
        <v>0</v>
      </c>
      <c r="AW128" s="704" t="n">
        <v>0</v>
      </c>
      <c r="AX128" s="704" t="n">
        <v>0</v>
      </c>
      <c r="AY128" s="704" t="n">
        <v>0</v>
      </c>
      <c r="AZ128" s="704" t="n">
        <v>0</v>
      </c>
      <c r="BA128" s="704" t="n">
        <v>0</v>
      </c>
      <c r="BB128" s="704" t="n">
        <v>0</v>
      </c>
      <c r="BC128" s="704" t="n">
        <v>0</v>
      </c>
      <c r="BD128" s="704" t="n">
        <v>0</v>
      </c>
      <c r="BE128" s="704" t="n">
        <v>0</v>
      </c>
      <c r="BF128" s="704" t="n">
        <v>0</v>
      </c>
      <c r="BG128" s="704" t="n">
        <v>0</v>
      </c>
      <c r="BH128" s="704" t="n">
        <v>0</v>
      </c>
      <c r="BI128" s="704" t="n">
        <v>0</v>
      </c>
      <c r="BJ128" s="704" t="n">
        <v>0</v>
      </c>
      <c r="BK128" s="704" t="n">
        <v>0</v>
      </c>
      <c r="BL128" s="704" t="n">
        <v>0</v>
      </c>
      <c r="BM128" s="704" t="n">
        <v>0</v>
      </c>
      <c r="BN128" s="704" t="n">
        <v>0</v>
      </c>
      <c r="BO128" s="704" t="n">
        <v>0</v>
      </c>
      <c r="BP128" s="704" t="n">
        <v>0</v>
      </c>
      <c r="BQ128" s="704" t="n">
        <v>0</v>
      </c>
      <c r="BR128" s="704" t="n">
        <v>0</v>
      </c>
      <c r="BS128" s="704" t="n">
        <v>0</v>
      </c>
      <c r="BT128" s="704" t="n">
        <v>0</v>
      </c>
      <c r="BU128" s="704" t="n">
        <v>0</v>
      </c>
      <c r="BV128" s="704" t="n">
        <v>0</v>
      </c>
      <c r="BW128" s="704" t="n">
        <v>0</v>
      </c>
      <c r="BX128" s="704" t="n">
        <v>0</v>
      </c>
      <c r="BY128" s="704" t="n">
        <v>0</v>
      </c>
      <c r="BZ128" s="704" t="n">
        <v>0</v>
      </c>
      <c r="CA128" s="704" t="n">
        <v>0</v>
      </c>
      <c r="CB128" s="704" t="n">
        <v>0</v>
      </c>
      <c r="CC128" s="704" t="n">
        <v>0</v>
      </c>
      <c r="CD128" s="704" t="n">
        <v>0</v>
      </c>
      <c r="CE128" s="704" t="n">
        <v>0</v>
      </c>
      <c r="CF128" s="704" t="n">
        <v>0</v>
      </c>
      <c r="CG128" s="704" t="n">
        <v>0</v>
      </c>
      <c r="CH128" s="704" t="n">
        <v>0</v>
      </c>
      <c r="CI128" s="704" t="n">
        <v>0</v>
      </c>
      <c r="CJ128" s="704" t="n">
        <v>0</v>
      </c>
      <c r="CK128" s="704" t="n">
        <v>0</v>
      </c>
      <c r="CL128" s="704" t="n">
        <v>0</v>
      </c>
      <c r="CM128" s="704" t="n">
        <v>0</v>
      </c>
      <c r="CN128" s="704" t="n">
        <v>0</v>
      </c>
      <c r="CO128" s="704" t="n">
        <v>0</v>
      </c>
      <c r="CP128" s="704" t="n">
        <v>0</v>
      </c>
      <c r="CQ128" s="704" t="n">
        <v>0</v>
      </c>
      <c r="CR128" s="704" t="n">
        <v>0</v>
      </c>
      <c r="CS128" s="704" t="n">
        <v>0</v>
      </c>
      <c r="CT128" s="704" t="n">
        <v>0</v>
      </c>
      <c r="CU128" s="704" t="n">
        <v>0</v>
      </c>
      <c r="CV128" s="704" t="n">
        <v>0</v>
      </c>
      <c r="CW128" s="704" t="n">
        <v>0</v>
      </c>
      <c r="CX128" s="704" t="n">
        <v>0</v>
      </c>
      <c r="CY128" s="704" t="n">
        <v>0</v>
      </c>
      <c r="CZ128" s="704" t="n">
        <v>0</v>
      </c>
      <c r="DA128" s="704" t="n">
        <v>0</v>
      </c>
      <c r="DB128" s="704" t="n">
        <v>0</v>
      </c>
      <c r="DC128" s="704" t="n">
        <v>0</v>
      </c>
      <c r="DD128" s="704" t="n">
        <v>0</v>
      </c>
      <c r="DE128" s="704" t="n">
        <v>0</v>
      </c>
      <c r="DF128" s="704" t="n">
        <v>0</v>
      </c>
      <c r="DG128" s="704" t="n">
        <v>0</v>
      </c>
      <c r="DH128" s="704" t="n">
        <v>0</v>
      </c>
      <c r="DI128" s="704" t="n">
        <v>0</v>
      </c>
      <c r="DJ128" s="704" t="n">
        <v>0</v>
      </c>
      <c r="DK128" s="704" t="n">
        <v>0</v>
      </c>
      <c r="DL128" s="704" t="n">
        <v>0</v>
      </c>
      <c r="DM128" s="704" t="n">
        <v>0</v>
      </c>
    </row>
    <row r="129" ht="13.5" customHeight="1" s="355">
      <c r="B129" s="703" t="inlineStr">
        <is>
          <t>Order to Cash</t>
        </is>
      </c>
      <c r="D129" s="704" t="n">
        <v>0</v>
      </c>
      <c r="E129" s="704" t="n">
        <v>0</v>
      </c>
      <c r="F129" s="704" t="n">
        <v>0</v>
      </c>
      <c r="G129" s="704" t="n">
        <v>0</v>
      </c>
      <c r="H129" s="704" t="n">
        <v>0</v>
      </c>
      <c r="I129" s="704" t="n">
        <v>0</v>
      </c>
      <c r="J129" s="704" t="n">
        <v>0</v>
      </c>
      <c r="K129" s="704" t="n">
        <v>0</v>
      </c>
      <c r="L129" s="704" t="n">
        <v>0</v>
      </c>
      <c r="M129" s="704" t="n">
        <v>0</v>
      </c>
      <c r="N129" s="704" t="n">
        <v>0</v>
      </c>
      <c r="O129" s="704" t="n">
        <v>0</v>
      </c>
      <c r="P129" s="704" t="n">
        <v>0</v>
      </c>
      <c r="Q129" s="704" t="n">
        <v>0</v>
      </c>
      <c r="R129" s="704" t="n">
        <v>0</v>
      </c>
      <c r="S129" s="704" t="n">
        <v>0</v>
      </c>
      <c r="T129" s="704" t="n">
        <v>0</v>
      </c>
      <c r="U129" s="704" t="n">
        <v>0</v>
      </c>
      <c r="V129" s="704" t="n">
        <v>0</v>
      </c>
      <c r="W129" s="704" t="n">
        <v>0</v>
      </c>
      <c r="X129" s="704" t="n">
        <v>0</v>
      </c>
      <c r="Y129" s="704" t="n">
        <v>0</v>
      </c>
      <c r="Z129" s="704" t="n">
        <v>0</v>
      </c>
      <c r="AA129" s="704" t="n">
        <v>0</v>
      </c>
      <c r="AB129" s="704" t="n">
        <v>0</v>
      </c>
      <c r="AC129" s="704" t="n">
        <v>0</v>
      </c>
      <c r="AD129" s="704" t="n">
        <v>0</v>
      </c>
      <c r="AE129" s="704" t="n">
        <v>0</v>
      </c>
      <c r="AF129" s="704" t="n">
        <v>0</v>
      </c>
      <c r="AG129" s="704" t="n">
        <v>0</v>
      </c>
      <c r="AH129" s="704" t="n">
        <v>0</v>
      </c>
      <c r="AI129" s="704" t="n">
        <v>0</v>
      </c>
      <c r="AJ129" s="704" t="n">
        <v>0</v>
      </c>
      <c r="AK129" s="704" t="n">
        <v>0</v>
      </c>
      <c r="AL129" s="704" t="n">
        <v>0</v>
      </c>
      <c r="AM129" s="704" t="n">
        <v>0</v>
      </c>
      <c r="AN129" s="704" t="n">
        <v>0</v>
      </c>
      <c r="AO129" s="704" t="n">
        <v>0</v>
      </c>
      <c r="AP129" s="704" t="n">
        <v>0</v>
      </c>
      <c r="AQ129" s="704" t="n">
        <v>0</v>
      </c>
      <c r="AR129" s="704" t="n">
        <v>0</v>
      </c>
      <c r="AS129" s="704" t="n">
        <v>0</v>
      </c>
      <c r="AT129" s="704" t="n">
        <v>0</v>
      </c>
      <c r="AU129" s="704" t="n">
        <v>0</v>
      </c>
      <c r="AV129" s="704" t="n">
        <v>0</v>
      </c>
      <c r="AW129" s="704" t="n">
        <v>0</v>
      </c>
      <c r="AX129" s="704" t="n">
        <v>0</v>
      </c>
      <c r="AY129" s="704" t="n">
        <v>0</v>
      </c>
      <c r="AZ129" s="704" t="n">
        <v>0</v>
      </c>
      <c r="BA129" s="704" t="n">
        <v>0</v>
      </c>
      <c r="BB129" s="704" t="n">
        <v>0</v>
      </c>
      <c r="BC129" s="704" t="n">
        <v>0</v>
      </c>
      <c r="BD129" s="704" t="n">
        <v>0</v>
      </c>
      <c r="BE129" s="704" t="n">
        <v>0</v>
      </c>
      <c r="BF129" s="704" t="n">
        <v>0</v>
      </c>
      <c r="BG129" s="704" t="n">
        <v>0</v>
      </c>
      <c r="BH129" s="704" t="n">
        <v>0</v>
      </c>
      <c r="BI129" s="704" t="n">
        <v>0</v>
      </c>
      <c r="BJ129" s="704" t="n">
        <v>0</v>
      </c>
      <c r="BK129" s="704" t="n">
        <v>0</v>
      </c>
      <c r="BL129" s="704" t="n">
        <v>0</v>
      </c>
      <c r="BM129" s="704" t="n">
        <v>0</v>
      </c>
      <c r="BN129" s="704" t="n">
        <v>0</v>
      </c>
      <c r="BO129" s="704" t="n">
        <v>0</v>
      </c>
      <c r="BP129" s="704" t="n">
        <v>0</v>
      </c>
      <c r="BQ129" s="704" t="n">
        <v>0</v>
      </c>
      <c r="BR129" s="704" t="n">
        <v>0</v>
      </c>
      <c r="BS129" s="704" t="n">
        <v>0</v>
      </c>
      <c r="BT129" s="704" t="n">
        <v>0</v>
      </c>
      <c r="BU129" s="704" t="n">
        <v>0</v>
      </c>
      <c r="BV129" s="704" t="n">
        <v>0</v>
      </c>
      <c r="BW129" s="704" t="n">
        <v>0</v>
      </c>
      <c r="BX129" s="704" t="n">
        <v>0</v>
      </c>
      <c r="BY129" s="704" t="n">
        <v>0</v>
      </c>
      <c r="BZ129" s="704" t="n">
        <v>0</v>
      </c>
      <c r="CA129" s="704" t="n">
        <v>0</v>
      </c>
      <c r="CB129" s="704" t="n">
        <v>0</v>
      </c>
      <c r="CC129" s="704" t="n">
        <v>0</v>
      </c>
      <c r="CD129" s="704" t="n">
        <v>0</v>
      </c>
      <c r="CE129" s="704" t="n">
        <v>0</v>
      </c>
      <c r="CF129" s="704" t="n">
        <v>0</v>
      </c>
      <c r="CG129" s="704" t="n">
        <v>0</v>
      </c>
      <c r="CH129" s="704" t="n">
        <v>0</v>
      </c>
      <c r="CI129" s="704" t="n">
        <v>0</v>
      </c>
      <c r="CJ129" s="704" t="n">
        <v>0</v>
      </c>
      <c r="CK129" s="704" t="n">
        <v>0</v>
      </c>
      <c r="CL129" s="704" t="n">
        <v>0</v>
      </c>
      <c r="CM129" s="704" t="n">
        <v>0</v>
      </c>
      <c r="CN129" s="704" t="n">
        <v>0</v>
      </c>
      <c r="CO129" s="704" t="n">
        <v>0</v>
      </c>
      <c r="CP129" s="704" t="n">
        <v>0</v>
      </c>
      <c r="CQ129" s="704" t="n">
        <v>0</v>
      </c>
      <c r="CR129" s="704" t="n">
        <v>0</v>
      </c>
      <c r="CS129" s="704" t="n">
        <v>0</v>
      </c>
      <c r="CT129" s="704" t="n">
        <v>0</v>
      </c>
      <c r="CU129" s="704" t="n">
        <v>0</v>
      </c>
      <c r="CV129" s="704" t="n">
        <v>0</v>
      </c>
      <c r="CW129" s="704" t="n">
        <v>0</v>
      </c>
      <c r="CX129" s="704" t="n">
        <v>0</v>
      </c>
      <c r="CY129" s="704" t="n">
        <v>0</v>
      </c>
      <c r="CZ129" s="704" t="n">
        <v>0</v>
      </c>
      <c r="DA129" s="704" t="n">
        <v>0</v>
      </c>
      <c r="DB129" s="704" t="n">
        <v>0</v>
      </c>
      <c r="DC129" s="704" t="n">
        <v>0</v>
      </c>
      <c r="DD129" s="704" t="n">
        <v>0</v>
      </c>
      <c r="DE129" s="704" t="n">
        <v>0</v>
      </c>
      <c r="DF129" s="704" t="n">
        <v>0</v>
      </c>
      <c r="DG129" s="704" t="n">
        <v>0</v>
      </c>
      <c r="DH129" s="704" t="n">
        <v>0</v>
      </c>
      <c r="DI129" s="704" t="n">
        <v>0</v>
      </c>
      <c r="DJ129" s="704" t="n">
        <v>0</v>
      </c>
      <c r="DK129" s="704" t="n">
        <v>0</v>
      </c>
      <c r="DL129" s="704" t="n">
        <v>0</v>
      </c>
      <c r="DM129" s="704" t="n">
        <v>0</v>
      </c>
    </row>
    <row r="130" ht="13.5" customHeight="1" s="355">
      <c r="B130" s="703" t="inlineStr">
        <is>
          <t>Req to Pay</t>
        </is>
      </c>
      <c r="D130" s="704" t="n">
        <v>0</v>
      </c>
      <c r="E130" s="704" t="n">
        <v>0</v>
      </c>
      <c r="F130" s="704" t="n">
        <v>0</v>
      </c>
      <c r="G130" s="704" t="n">
        <v>0</v>
      </c>
      <c r="H130" s="704" t="n">
        <v>0</v>
      </c>
      <c r="I130" s="704" t="n">
        <v>0</v>
      </c>
      <c r="J130" s="704" t="n">
        <v>0</v>
      </c>
      <c r="K130" s="704" t="n">
        <v>0</v>
      </c>
      <c r="L130" s="704" t="n">
        <v>0</v>
      </c>
      <c r="M130" s="704" t="n">
        <v>0</v>
      </c>
      <c r="N130" s="704" t="n">
        <v>0</v>
      </c>
      <c r="O130" s="704" t="n">
        <v>0</v>
      </c>
      <c r="P130" s="704" t="n">
        <v>0</v>
      </c>
      <c r="Q130" s="704" t="n">
        <v>0</v>
      </c>
      <c r="R130" s="704" t="n">
        <v>0</v>
      </c>
      <c r="S130" s="704" t="n">
        <v>0</v>
      </c>
      <c r="T130" s="704" t="n">
        <v>0</v>
      </c>
      <c r="U130" s="704" t="n">
        <v>0</v>
      </c>
      <c r="V130" s="704" t="n">
        <v>0</v>
      </c>
      <c r="W130" s="704" t="n">
        <v>0</v>
      </c>
      <c r="X130" s="704" t="n">
        <v>0</v>
      </c>
      <c r="Y130" s="704" t="n">
        <v>0</v>
      </c>
      <c r="Z130" s="704" t="n">
        <v>0</v>
      </c>
      <c r="AA130" s="704" t="n">
        <v>0</v>
      </c>
      <c r="AB130" s="704" t="n">
        <v>0</v>
      </c>
      <c r="AC130" s="704" t="n">
        <v>0</v>
      </c>
      <c r="AD130" s="704" t="n">
        <v>0</v>
      </c>
      <c r="AE130" s="704" t="n">
        <v>0</v>
      </c>
      <c r="AF130" s="704" t="n">
        <v>0</v>
      </c>
      <c r="AG130" s="704" t="n">
        <v>0</v>
      </c>
      <c r="AH130" s="704" t="n">
        <v>0</v>
      </c>
      <c r="AI130" s="704" t="n">
        <v>0</v>
      </c>
      <c r="AJ130" s="704" t="n">
        <v>0</v>
      </c>
      <c r="AK130" s="704" t="n">
        <v>0</v>
      </c>
      <c r="AL130" s="704" t="n">
        <v>0</v>
      </c>
      <c r="AM130" s="704" t="n">
        <v>0</v>
      </c>
      <c r="AN130" s="704" t="n">
        <v>0</v>
      </c>
      <c r="AO130" s="704" t="n">
        <v>0</v>
      </c>
      <c r="AP130" s="704" t="n">
        <v>0</v>
      </c>
      <c r="AQ130" s="704" t="n">
        <v>0</v>
      </c>
      <c r="AR130" s="704" t="n">
        <v>0</v>
      </c>
      <c r="AS130" s="704" t="n">
        <v>0</v>
      </c>
      <c r="AT130" s="704" t="n">
        <v>0</v>
      </c>
      <c r="AU130" s="704" t="n">
        <v>0</v>
      </c>
      <c r="AV130" s="704" t="n">
        <v>0</v>
      </c>
      <c r="AW130" s="704" t="n">
        <v>0</v>
      </c>
      <c r="AX130" s="704" t="n">
        <v>0</v>
      </c>
      <c r="AY130" s="704" t="n">
        <v>0</v>
      </c>
      <c r="AZ130" s="704" t="n">
        <v>0</v>
      </c>
      <c r="BA130" s="704" t="n">
        <v>0</v>
      </c>
      <c r="BB130" s="704" t="n">
        <v>0</v>
      </c>
      <c r="BC130" s="704" t="n">
        <v>0</v>
      </c>
      <c r="BD130" s="704" t="n">
        <v>0</v>
      </c>
      <c r="BE130" s="704" t="n">
        <v>0</v>
      </c>
      <c r="BF130" s="704" t="n">
        <v>0</v>
      </c>
      <c r="BG130" s="704" t="n">
        <v>0</v>
      </c>
      <c r="BH130" s="704" t="n">
        <v>0</v>
      </c>
      <c r="BI130" s="704" t="n">
        <v>0</v>
      </c>
      <c r="BJ130" s="704" t="n">
        <v>0</v>
      </c>
      <c r="BK130" s="704" t="n">
        <v>0</v>
      </c>
      <c r="BL130" s="704" t="n">
        <v>0</v>
      </c>
      <c r="BM130" s="704" t="n">
        <v>0</v>
      </c>
      <c r="BN130" s="704" t="n">
        <v>0</v>
      </c>
      <c r="BO130" s="704" t="n">
        <v>0</v>
      </c>
      <c r="BP130" s="704" t="n">
        <v>0</v>
      </c>
      <c r="BQ130" s="704" t="n">
        <v>0</v>
      </c>
      <c r="BR130" s="704" t="n">
        <v>0</v>
      </c>
      <c r="BS130" s="704" t="n">
        <v>0</v>
      </c>
      <c r="BT130" s="704" t="n">
        <v>0</v>
      </c>
      <c r="BU130" s="704" t="n">
        <v>0</v>
      </c>
      <c r="BV130" s="704" t="n">
        <v>0</v>
      </c>
      <c r="BW130" s="704" t="n">
        <v>0</v>
      </c>
      <c r="BX130" s="704" t="n">
        <v>0</v>
      </c>
      <c r="BY130" s="704" t="n">
        <v>0</v>
      </c>
      <c r="BZ130" s="704" t="n">
        <v>0</v>
      </c>
      <c r="CA130" s="704" t="n">
        <v>0</v>
      </c>
      <c r="CB130" s="704" t="n">
        <v>0</v>
      </c>
      <c r="CC130" s="704" t="n">
        <v>0</v>
      </c>
      <c r="CD130" s="704" t="n">
        <v>0</v>
      </c>
      <c r="CE130" s="704" t="n">
        <v>0</v>
      </c>
      <c r="CF130" s="704" t="n">
        <v>0</v>
      </c>
      <c r="CG130" s="704" t="n">
        <v>0</v>
      </c>
      <c r="CH130" s="704" t="n">
        <v>0</v>
      </c>
      <c r="CI130" s="704" t="n">
        <v>0</v>
      </c>
      <c r="CJ130" s="704" t="n">
        <v>0</v>
      </c>
      <c r="CK130" s="704" t="n">
        <v>0</v>
      </c>
      <c r="CL130" s="704" t="n">
        <v>0</v>
      </c>
      <c r="CM130" s="704" t="n">
        <v>0</v>
      </c>
      <c r="CN130" s="704" t="n">
        <v>0</v>
      </c>
      <c r="CO130" s="704" t="n">
        <v>0</v>
      </c>
      <c r="CP130" s="704" t="n">
        <v>0</v>
      </c>
      <c r="CQ130" s="704" t="n">
        <v>0</v>
      </c>
      <c r="CR130" s="704" t="n">
        <v>0</v>
      </c>
      <c r="CS130" s="704" t="n">
        <v>0</v>
      </c>
      <c r="CT130" s="704" t="n">
        <v>0</v>
      </c>
      <c r="CU130" s="704" t="n">
        <v>0</v>
      </c>
      <c r="CV130" s="704" t="n">
        <v>0</v>
      </c>
      <c r="CW130" s="704" t="n">
        <v>0</v>
      </c>
      <c r="CX130" s="704" t="n">
        <v>0</v>
      </c>
      <c r="CY130" s="704" t="n">
        <v>0</v>
      </c>
      <c r="CZ130" s="704" t="n">
        <v>0</v>
      </c>
      <c r="DA130" s="704" t="n">
        <v>0</v>
      </c>
      <c r="DB130" s="704" t="n">
        <v>0</v>
      </c>
      <c r="DC130" s="704" t="n">
        <v>0</v>
      </c>
      <c r="DD130" s="704" t="n">
        <v>0</v>
      </c>
      <c r="DE130" s="704" t="n">
        <v>0</v>
      </c>
      <c r="DF130" s="704" t="n">
        <v>0</v>
      </c>
      <c r="DG130" s="704" t="n">
        <v>0</v>
      </c>
      <c r="DH130" s="704" t="n">
        <v>0</v>
      </c>
      <c r="DI130" s="704" t="n">
        <v>0</v>
      </c>
      <c r="DJ130" s="704" t="n">
        <v>0</v>
      </c>
      <c r="DK130" s="704" t="n">
        <v>0</v>
      </c>
      <c r="DL130" s="704" t="n">
        <v>0</v>
      </c>
      <c r="DM130" s="704" t="n">
        <v>0</v>
      </c>
    </row>
    <row r="131" ht="13.5" customHeight="1" s="355">
      <c r="B131" s="703" t="inlineStr">
        <is>
          <t>Team Leader</t>
        </is>
      </c>
      <c r="D131" s="704" t="n">
        <v>0</v>
      </c>
      <c r="E131" s="704" t="n">
        <v>0</v>
      </c>
      <c r="F131" s="704" t="n">
        <v>0</v>
      </c>
      <c r="G131" s="704" t="n">
        <v>0</v>
      </c>
      <c r="H131" s="704" t="n">
        <v>0</v>
      </c>
      <c r="I131" s="704" t="n">
        <v>0</v>
      </c>
      <c r="J131" s="704" t="n">
        <v>0</v>
      </c>
      <c r="K131" s="704" t="n">
        <v>0</v>
      </c>
      <c r="L131" s="704" t="n">
        <v>0</v>
      </c>
      <c r="M131" s="704" t="n">
        <v>0</v>
      </c>
      <c r="N131" s="704" t="n">
        <v>0</v>
      </c>
      <c r="O131" s="704" t="n">
        <v>0</v>
      </c>
      <c r="P131" s="704" t="n">
        <v>0</v>
      </c>
      <c r="Q131" s="704" t="n">
        <v>0</v>
      </c>
      <c r="R131" s="704" t="n">
        <v>0</v>
      </c>
      <c r="S131" s="704" t="n">
        <v>0</v>
      </c>
      <c r="T131" s="704" t="n">
        <v>0</v>
      </c>
      <c r="U131" s="704" t="n">
        <v>0</v>
      </c>
      <c r="V131" s="704" t="n">
        <v>0</v>
      </c>
      <c r="W131" s="704" t="n">
        <v>0</v>
      </c>
      <c r="X131" s="704" t="n">
        <v>0</v>
      </c>
      <c r="Y131" s="704" t="n">
        <v>0</v>
      </c>
      <c r="Z131" s="704" t="n">
        <v>0</v>
      </c>
      <c r="AA131" s="704" t="n">
        <v>0</v>
      </c>
      <c r="AB131" s="704" t="n">
        <v>0</v>
      </c>
      <c r="AC131" s="704" t="n">
        <v>0</v>
      </c>
      <c r="AD131" s="704" t="n">
        <v>0</v>
      </c>
      <c r="AE131" s="704" t="n">
        <v>0</v>
      </c>
      <c r="AF131" s="704" t="n">
        <v>0</v>
      </c>
      <c r="AG131" s="704" t="n">
        <v>0</v>
      </c>
      <c r="AH131" s="704" t="n">
        <v>0</v>
      </c>
      <c r="AI131" s="704" t="n">
        <v>0</v>
      </c>
      <c r="AJ131" s="704" t="n">
        <v>0</v>
      </c>
      <c r="AK131" s="704" t="n">
        <v>0</v>
      </c>
      <c r="AL131" s="704" t="n">
        <v>0</v>
      </c>
      <c r="AM131" s="704" t="n">
        <v>0</v>
      </c>
      <c r="AN131" s="704" t="n">
        <v>0</v>
      </c>
      <c r="AO131" s="704" t="n">
        <v>0</v>
      </c>
      <c r="AP131" s="704" t="n">
        <v>0</v>
      </c>
      <c r="AQ131" s="704" t="n">
        <v>0</v>
      </c>
      <c r="AR131" s="704" t="n">
        <v>0</v>
      </c>
      <c r="AS131" s="704" t="n">
        <v>0</v>
      </c>
      <c r="AT131" s="704" t="n">
        <v>0</v>
      </c>
      <c r="AU131" s="704" t="n">
        <v>0</v>
      </c>
      <c r="AV131" s="704" t="n">
        <v>0</v>
      </c>
      <c r="AW131" s="704" t="n">
        <v>0</v>
      </c>
      <c r="AX131" s="704" t="n">
        <v>0</v>
      </c>
      <c r="AY131" s="704" t="n">
        <v>0</v>
      </c>
      <c r="AZ131" s="704" t="n">
        <v>0</v>
      </c>
      <c r="BA131" s="704" t="n">
        <v>0</v>
      </c>
      <c r="BB131" s="704" t="n">
        <v>0</v>
      </c>
      <c r="BC131" s="704" t="n">
        <v>0</v>
      </c>
      <c r="BD131" s="704" t="n">
        <v>0</v>
      </c>
      <c r="BE131" s="704" t="n">
        <v>0</v>
      </c>
      <c r="BF131" s="704" t="n">
        <v>0</v>
      </c>
      <c r="BG131" s="704" t="n">
        <v>0</v>
      </c>
      <c r="BH131" s="704" t="n">
        <v>0</v>
      </c>
      <c r="BI131" s="704" t="n">
        <v>0</v>
      </c>
      <c r="BJ131" s="704" t="n">
        <v>0</v>
      </c>
      <c r="BK131" s="704" t="n">
        <v>0</v>
      </c>
      <c r="BL131" s="704" t="n">
        <v>0</v>
      </c>
      <c r="BM131" s="704" t="n">
        <v>0</v>
      </c>
      <c r="BN131" s="704" t="n">
        <v>0</v>
      </c>
      <c r="BO131" s="704" t="n">
        <v>0</v>
      </c>
      <c r="BP131" s="704" t="n">
        <v>0</v>
      </c>
      <c r="BQ131" s="704" t="n">
        <v>0</v>
      </c>
      <c r="BR131" s="704" t="n">
        <v>0</v>
      </c>
      <c r="BS131" s="704" t="n">
        <v>0</v>
      </c>
      <c r="BT131" s="704" t="n">
        <v>0</v>
      </c>
      <c r="BU131" s="704" t="n">
        <v>0</v>
      </c>
      <c r="BV131" s="704" t="n">
        <v>0</v>
      </c>
      <c r="BW131" s="704" t="n">
        <v>0</v>
      </c>
      <c r="BX131" s="704" t="n">
        <v>0</v>
      </c>
      <c r="BY131" s="704" t="n">
        <v>0</v>
      </c>
      <c r="BZ131" s="704" t="n">
        <v>0</v>
      </c>
      <c r="CA131" s="704" t="n">
        <v>0</v>
      </c>
      <c r="CB131" s="704" t="n">
        <v>0</v>
      </c>
      <c r="CC131" s="704" t="n">
        <v>0</v>
      </c>
      <c r="CD131" s="704" t="n">
        <v>0</v>
      </c>
      <c r="CE131" s="704" t="n">
        <v>0</v>
      </c>
      <c r="CF131" s="704" t="n">
        <v>0</v>
      </c>
      <c r="CG131" s="704" t="n">
        <v>0</v>
      </c>
      <c r="CH131" s="704" t="n">
        <v>0</v>
      </c>
      <c r="CI131" s="704" t="n">
        <v>0</v>
      </c>
      <c r="CJ131" s="704" t="n">
        <v>0</v>
      </c>
      <c r="CK131" s="704" t="n">
        <v>0</v>
      </c>
      <c r="CL131" s="704" t="n">
        <v>0</v>
      </c>
      <c r="CM131" s="704" t="n">
        <v>0</v>
      </c>
      <c r="CN131" s="704" t="n">
        <v>0</v>
      </c>
      <c r="CO131" s="704" t="n">
        <v>0</v>
      </c>
      <c r="CP131" s="704" t="n">
        <v>0</v>
      </c>
      <c r="CQ131" s="704" t="n">
        <v>0</v>
      </c>
      <c r="CR131" s="704" t="n">
        <v>0</v>
      </c>
      <c r="CS131" s="704" t="n">
        <v>0</v>
      </c>
      <c r="CT131" s="704" t="n">
        <v>0</v>
      </c>
      <c r="CU131" s="704" t="n">
        <v>0</v>
      </c>
      <c r="CV131" s="704" t="n">
        <v>0</v>
      </c>
      <c r="CW131" s="704" t="n">
        <v>0</v>
      </c>
      <c r="CX131" s="704" t="n">
        <v>0</v>
      </c>
      <c r="CY131" s="704" t="n">
        <v>0</v>
      </c>
      <c r="CZ131" s="704" t="n">
        <v>0</v>
      </c>
      <c r="DA131" s="704" t="n">
        <v>0</v>
      </c>
      <c r="DB131" s="704" t="n">
        <v>0</v>
      </c>
      <c r="DC131" s="704" t="n">
        <v>0</v>
      </c>
      <c r="DD131" s="704" t="n">
        <v>0</v>
      </c>
      <c r="DE131" s="704" t="n">
        <v>0</v>
      </c>
      <c r="DF131" s="704" t="n">
        <v>0</v>
      </c>
      <c r="DG131" s="704" t="n">
        <v>0</v>
      </c>
      <c r="DH131" s="704" t="n">
        <v>0</v>
      </c>
      <c r="DI131" s="704" t="n">
        <v>0</v>
      </c>
      <c r="DJ131" s="704" t="n">
        <v>0</v>
      </c>
      <c r="DK131" s="704" t="n">
        <v>0</v>
      </c>
      <c r="DL131" s="704" t="n">
        <v>0</v>
      </c>
      <c r="DM131" s="704" t="n">
        <v>0</v>
      </c>
    </row>
    <row r="132" ht="13.5" customHeight="1" s="355">
      <c r="B132" s="703" t="inlineStr">
        <is>
          <t>SLA Metric Reporting</t>
        </is>
      </c>
      <c r="D132" s="704" t="n">
        <v>0</v>
      </c>
      <c r="E132" s="704" t="n">
        <v>0</v>
      </c>
      <c r="F132" s="704" t="n">
        <v>0</v>
      </c>
      <c r="G132" s="704" t="n">
        <v>0</v>
      </c>
      <c r="H132" s="704" t="n">
        <v>0</v>
      </c>
      <c r="I132" s="704" t="n">
        <v>0</v>
      </c>
      <c r="J132" s="704" t="n">
        <v>0</v>
      </c>
      <c r="K132" s="704" t="n">
        <v>0</v>
      </c>
      <c r="L132" s="704" t="n">
        <v>0</v>
      </c>
      <c r="M132" s="704" t="n">
        <v>0</v>
      </c>
      <c r="N132" s="704" t="n">
        <v>0</v>
      </c>
      <c r="O132" s="704" t="n">
        <v>0</v>
      </c>
      <c r="P132" s="704" t="n">
        <v>0</v>
      </c>
      <c r="Q132" s="704" t="n">
        <v>0</v>
      </c>
      <c r="R132" s="704" t="n">
        <v>0</v>
      </c>
      <c r="S132" s="704" t="n">
        <v>0</v>
      </c>
      <c r="T132" s="704" t="n">
        <v>0</v>
      </c>
      <c r="U132" s="704" t="n">
        <v>0</v>
      </c>
      <c r="V132" s="704" t="n">
        <v>0</v>
      </c>
      <c r="W132" s="704" t="n">
        <v>0</v>
      </c>
      <c r="X132" s="704" t="n">
        <v>0</v>
      </c>
      <c r="Y132" s="704" t="n">
        <v>0</v>
      </c>
      <c r="Z132" s="704" t="n">
        <v>0</v>
      </c>
      <c r="AA132" s="704" t="n">
        <v>0</v>
      </c>
      <c r="AB132" s="704" t="n">
        <v>0</v>
      </c>
      <c r="AC132" s="704" t="n">
        <v>0</v>
      </c>
      <c r="AD132" s="704" t="n">
        <v>0</v>
      </c>
      <c r="AE132" s="704" t="n">
        <v>0</v>
      </c>
      <c r="AF132" s="704" t="n">
        <v>0</v>
      </c>
      <c r="AG132" s="704" t="n">
        <v>0</v>
      </c>
      <c r="AH132" s="704" t="n">
        <v>0</v>
      </c>
      <c r="AI132" s="704" t="n">
        <v>0</v>
      </c>
      <c r="AJ132" s="704" t="n">
        <v>0</v>
      </c>
      <c r="AK132" s="704" t="n">
        <v>0</v>
      </c>
      <c r="AL132" s="704" t="n">
        <v>0</v>
      </c>
      <c r="AM132" s="704" t="n">
        <v>0</v>
      </c>
      <c r="AN132" s="704" t="n">
        <v>0</v>
      </c>
      <c r="AO132" s="704" t="n">
        <v>0</v>
      </c>
      <c r="AP132" s="704" t="n">
        <v>0</v>
      </c>
      <c r="AQ132" s="704" t="n">
        <v>0</v>
      </c>
      <c r="AR132" s="704" t="n">
        <v>0</v>
      </c>
      <c r="AS132" s="704" t="n">
        <v>0</v>
      </c>
      <c r="AT132" s="704" t="n">
        <v>0</v>
      </c>
      <c r="AU132" s="704" t="n">
        <v>0</v>
      </c>
      <c r="AV132" s="704" t="n">
        <v>0</v>
      </c>
      <c r="AW132" s="704" t="n">
        <v>0</v>
      </c>
      <c r="AX132" s="704" t="n">
        <v>0</v>
      </c>
      <c r="AY132" s="704" t="n">
        <v>0</v>
      </c>
      <c r="AZ132" s="704" t="n">
        <v>0</v>
      </c>
      <c r="BA132" s="704" t="n">
        <v>0</v>
      </c>
      <c r="BB132" s="704" t="n">
        <v>0</v>
      </c>
      <c r="BC132" s="704" t="n">
        <v>0</v>
      </c>
      <c r="BD132" s="704" t="n">
        <v>0</v>
      </c>
      <c r="BE132" s="704" t="n">
        <v>0</v>
      </c>
      <c r="BF132" s="704" t="n">
        <v>0</v>
      </c>
      <c r="BG132" s="704" t="n">
        <v>0</v>
      </c>
      <c r="BH132" s="704" t="n">
        <v>0</v>
      </c>
      <c r="BI132" s="704" t="n">
        <v>0</v>
      </c>
      <c r="BJ132" s="704" t="n">
        <v>0</v>
      </c>
      <c r="BK132" s="704" t="n">
        <v>0</v>
      </c>
      <c r="BL132" s="704" t="n">
        <v>0</v>
      </c>
      <c r="BM132" s="704" t="n">
        <v>0</v>
      </c>
      <c r="BN132" s="704" t="n">
        <v>0</v>
      </c>
      <c r="BO132" s="704" t="n">
        <v>0</v>
      </c>
      <c r="BP132" s="704" t="n">
        <v>0</v>
      </c>
      <c r="BQ132" s="704" t="n">
        <v>0</v>
      </c>
      <c r="BR132" s="704" t="n">
        <v>0</v>
      </c>
      <c r="BS132" s="704" t="n">
        <v>0</v>
      </c>
      <c r="BT132" s="704" t="n">
        <v>0</v>
      </c>
      <c r="BU132" s="704" t="n">
        <v>0</v>
      </c>
      <c r="BV132" s="704" t="n">
        <v>0</v>
      </c>
      <c r="BW132" s="704" t="n">
        <v>0</v>
      </c>
      <c r="BX132" s="704" t="n">
        <v>0</v>
      </c>
      <c r="BY132" s="704" t="n">
        <v>0</v>
      </c>
      <c r="BZ132" s="704" t="n">
        <v>0</v>
      </c>
      <c r="CA132" s="704" t="n">
        <v>0</v>
      </c>
      <c r="CB132" s="704" t="n">
        <v>0</v>
      </c>
      <c r="CC132" s="704" t="n">
        <v>0</v>
      </c>
      <c r="CD132" s="704" t="n">
        <v>0</v>
      </c>
      <c r="CE132" s="704" t="n">
        <v>0</v>
      </c>
      <c r="CF132" s="704" t="n">
        <v>0</v>
      </c>
      <c r="CG132" s="704" t="n">
        <v>0</v>
      </c>
      <c r="CH132" s="704" t="n">
        <v>0</v>
      </c>
      <c r="CI132" s="704" t="n">
        <v>0</v>
      </c>
      <c r="CJ132" s="704" t="n">
        <v>0</v>
      </c>
      <c r="CK132" s="704" t="n">
        <v>0</v>
      </c>
      <c r="CL132" s="704" t="n">
        <v>0</v>
      </c>
      <c r="CM132" s="704" t="n">
        <v>0</v>
      </c>
      <c r="CN132" s="704" t="n">
        <v>0</v>
      </c>
      <c r="CO132" s="704" t="n">
        <v>0</v>
      </c>
      <c r="CP132" s="704" t="n">
        <v>0</v>
      </c>
      <c r="CQ132" s="704" t="n">
        <v>0</v>
      </c>
      <c r="CR132" s="704" t="n">
        <v>0</v>
      </c>
      <c r="CS132" s="704" t="n">
        <v>0</v>
      </c>
      <c r="CT132" s="704" t="n">
        <v>0</v>
      </c>
      <c r="CU132" s="704" t="n">
        <v>0</v>
      </c>
      <c r="CV132" s="704" t="n">
        <v>0</v>
      </c>
      <c r="CW132" s="704" t="n">
        <v>0</v>
      </c>
      <c r="CX132" s="704" t="n">
        <v>0</v>
      </c>
      <c r="CY132" s="704" t="n">
        <v>0</v>
      </c>
      <c r="CZ132" s="704" t="n">
        <v>0</v>
      </c>
      <c r="DA132" s="704" t="n">
        <v>0</v>
      </c>
      <c r="DB132" s="704" t="n">
        <v>0</v>
      </c>
      <c r="DC132" s="704" t="n">
        <v>0</v>
      </c>
      <c r="DD132" s="704" t="n">
        <v>0</v>
      </c>
      <c r="DE132" s="704" t="n">
        <v>0</v>
      </c>
      <c r="DF132" s="704" t="n">
        <v>0</v>
      </c>
      <c r="DG132" s="704" t="n">
        <v>0</v>
      </c>
      <c r="DH132" s="704" t="n">
        <v>0</v>
      </c>
      <c r="DI132" s="704" t="n">
        <v>0</v>
      </c>
      <c r="DJ132" s="704" t="n">
        <v>0</v>
      </c>
      <c r="DK132" s="704" t="n">
        <v>0</v>
      </c>
      <c r="DL132" s="704" t="n">
        <v>0</v>
      </c>
      <c r="DM132" s="704" t="n">
        <v>0</v>
      </c>
    </row>
    <row r="133" ht="13.5" customHeight="1" s="355">
      <c r="B133" s="705" t="inlineStr">
        <is>
          <t>Grand Total</t>
        </is>
      </c>
      <c r="C133" s="706" t="n"/>
      <c r="D133" s="707" t="n">
        <v>0</v>
      </c>
      <c r="E133" s="707" t="n">
        <v>0</v>
      </c>
      <c r="F133" s="707" t="n">
        <v>0</v>
      </c>
      <c r="G133" s="707" t="n">
        <v>0</v>
      </c>
      <c r="H133" s="707" t="n">
        <v>0</v>
      </c>
      <c r="I133" s="707" t="n">
        <v>0</v>
      </c>
      <c r="J133" s="707" t="n">
        <v>0</v>
      </c>
      <c r="K133" s="707" t="n">
        <v>0</v>
      </c>
      <c r="L133" s="707" t="n">
        <v>0</v>
      </c>
      <c r="M133" s="707" t="n">
        <v>0</v>
      </c>
      <c r="N133" s="707" t="n">
        <v>0</v>
      </c>
      <c r="O133" s="707" t="n">
        <v>0</v>
      </c>
      <c r="P133" s="707" t="n">
        <v>0</v>
      </c>
      <c r="Q133" s="707" t="n">
        <v>0</v>
      </c>
      <c r="R133" s="707" t="n">
        <v>0</v>
      </c>
      <c r="S133" s="707" t="n">
        <v>0</v>
      </c>
      <c r="T133" s="707" t="n">
        <v>0</v>
      </c>
      <c r="U133" s="707" t="n">
        <v>0</v>
      </c>
      <c r="V133" s="707" t="n">
        <v>0</v>
      </c>
      <c r="W133" s="707" t="n">
        <v>0</v>
      </c>
      <c r="X133" s="707" t="n">
        <v>0</v>
      </c>
      <c r="Y133" s="707" t="n">
        <v>0</v>
      </c>
      <c r="Z133" s="707" t="n">
        <v>0</v>
      </c>
      <c r="AA133" s="707" t="n">
        <v>0</v>
      </c>
      <c r="AB133" s="707" t="n">
        <v>0</v>
      </c>
      <c r="AC133" s="707" t="n">
        <v>0</v>
      </c>
      <c r="AD133" s="707" t="n">
        <v>0</v>
      </c>
      <c r="AE133" s="707" t="n">
        <v>0</v>
      </c>
      <c r="AF133" s="707" t="n">
        <v>0</v>
      </c>
      <c r="AG133" s="707" t="n">
        <v>0</v>
      </c>
      <c r="AH133" s="707" t="n">
        <v>0</v>
      </c>
      <c r="AI133" s="707" t="n">
        <v>0</v>
      </c>
      <c r="AJ133" s="707" t="n">
        <v>0</v>
      </c>
      <c r="AK133" s="707" t="n">
        <v>0</v>
      </c>
      <c r="AL133" s="707" t="n">
        <v>0</v>
      </c>
      <c r="AM133" s="707" t="n">
        <v>0</v>
      </c>
      <c r="AN133" s="707" t="n">
        <v>0</v>
      </c>
      <c r="AO133" s="707" t="n">
        <v>0</v>
      </c>
      <c r="AP133" s="707" t="n">
        <v>0</v>
      </c>
      <c r="AQ133" s="707" t="n">
        <v>0</v>
      </c>
      <c r="AR133" s="707" t="n">
        <v>0</v>
      </c>
      <c r="AS133" s="707" t="n">
        <v>0</v>
      </c>
      <c r="AT133" s="707" t="n">
        <v>0</v>
      </c>
      <c r="AU133" s="707" t="n">
        <v>0</v>
      </c>
      <c r="AV133" s="707" t="n">
        <v>0</v>
      </c>
      <c r="AW133" s="707" t="n">
        <v>0</v>
      </c>
      <c r="AX133" s="707" t="n">
        <v>0</v>
      </c>
      <c r="AY133" s="707" t="n">
        <v>0</v>
      </c>
      <c r="AZ133" s="707" t="n">
        <v>0</v>
      </c>
      <c r="BA133" s="707" t="n">
        <v>0</v>
      </c>
      <c r="BB133" s="707" t="n">
        <v>0</v>
      </c>
      <c r="BC133" s="707" t="n">
        <v>0</v>
      </c>
      <c r="BD133" s="707" t="n">
        <v>0</v>
      </c>
      <c r="BE133" s="707" t="n">
        <v>0</v>
      </c>
      <c r="BF133" s="707" t="n">
        <v>0</v>
      </c>
      <c r="BG133" s="707" t="n">
        <v>0</v>
      </c>
      <c r="BH133" s="707" t="n">
        <v>0</v>
      </c>
      <c r="BI133" s="707" t="n">
        <v>0</v>
      </c>
      <c r="BJ133" s="707" t="n">
        <v>0</v>
      </c>
      <c r="BK133" s="707" t="n">
        <v>0</v>
      </c>
      <c r="BL133" s="707" t="n">
        <v>0</v>
      </c>
      <c r="BM133" s="707" t="n">
        <v>0</v>
      </c>
      <c r="BN133" s="707" t="n">
        <v>0</v>
      </c>
      <c r="BO133" s="707" t="n">
        <v>0</v>
      </c>
      <c r="BP133" s="707" t="n">
        <v>0</v>
      </c>
      <c r="BQ133" s="707" t="n">
        <v>0</v>
      </c>
      <c r="BR133" s="707" t="n">
        <v>0</v>
      </c>
      <c r="BS133" s="707" t="n">
        <v>0</v>
      </c>
      <c r="BT133" s="707" t="n">
        <v>0</v>
      </c>
      <c r="BU133" s="707" t="n">
        <v>0</v>
      </c>
      <c r="BV133" s="707" t="n">
        <v>0</v>
      </c>
      <c r="BW133" s="707" t="n">
        <v>0</v>
      </c>
      <c r="BX133" s="707" t="n">
        <v>0</v>
      </c>
      <c r="BY133" s="707" t="n">
        <v>0</v>
      </c>
      <c r="BZ133" s="707" t="n">
        <v>0</v>
      </c>
      <c r="CA133" s="707" t="n">
        <v>0</v>
      </c>
      <c r="CB133" s="707" t="n">
        <v>0</v>
      </c>
      <c r="CC133" s="707" t="n">
        <v>0</v>
      </c>
      <c r="CD133" s="707" t="n">
        <v>0</v>
      </c>
      <c r="CE133" s="707" t="n">
        <v>0</v>
      </c>
      <c r="CF133" s="707" t="n">
        <v>0</v>
      </c>
      <c r="CG133" s="707" t="n">
        <v>0</v>
      </c>
      <c r="CH133" s="707" t="n">
        <v>0</v>
      </c>
      <c r="CI133" s="707" t="n">
        <v>0</v>
      </c>
      <c r="CJ133" s="707" t="n">
        <v>0</v>
      </c>
      <c r="CK133" s="707" t="n">
        <v>0</v>
      </c>
      <c r="CL133" s="707" t="n">
        <v>0</v>
      </c>
      <c r="CM133" s="707" t="n">
        <v>0</v>
      </c>
      <c r="CN133" s="707" t="n">
        <v>0</v>
      </c>
      <c r="CO133" s="707" t="n">
        <v>0</v>
      </c>
      <c r="CP133" s="707" t="n">
        <v>0</v>
      </c>
      <c r="CQ133" s="707" t="n">
        <v>0</v>
      </c>
      <c r="CR133" s="707" t="n">
        <v>0</v>
      </c>
      <c r="CS133" s="707" t="n">
        <v>0</v>
      </c>
      <c r="CT133" s="707" t="n">
        <v>0</v>
      </c>
      <c r="CU133" s="707" t="n">
        <v>0</v>
      </c>
      <c r="CV133" s="707" t="n">
        <v>0</v>
      </c>
      <c r="CW133" s="707" t="n">
        <v>0</v>
      </c>
      <c r="CX133" s="707" t="n">
        <v>0</v>
      </c>
      <c r="CY133" s="707" t="n">
        <v>0</v>
      </c>
      <c r="CZ133" s="707" t="n">
        <v>0</v>
      </c>
      <c r="DA133" s="707" t="n">
        <v>0</v>
      </c>
      <c r="DB133" s="707" t="n">
        <v>0</v>
      </c>
      <c r="DC133" s="707" t="n">
        <v>0</v>
      </c>
      <c r="DD133" s="707" t="n">
        <v>0</v>
      </c>
      <c r="DE133" s="707" t="n">
        <v>0</v>
      </c>
      <c r="DF133" s="707" t="n">
        <v>0</v>
      </c>
      <c r="DG133" s="707" t="n">
        <v>0</v>
      </c>
      <c r="DH133" s="707" t="n">
        <v>0</v>
      </c>
      <c r="DI133" s="707" t="n">
        <v>0</v>
      </c>
      <c r="DJ133" s="707" t="n">
        <v>0</v>
      </c>
      <c r="DK133" s="707" t="n">
        <v>0</v>
      </c>
      <c r="DL133" s="707" t="n">
        <v>0</v>
      </c>
      <c r="DM133" s="707" t="n">
        <v>0</v>
      </c>
    </row>
    <row r="134" ht="13.5" customHeight="1" s="355">
      <c r="A134" s="702" t="inlineStr">
        <is>
          <t>Country 13</t>
        </is>
      </c>
      <c r="B134" s="703" t="inlineStr">
        <is>
          <t>Gen Acctg</t>
        </is>
      </c>
      <c r="D134" s="704" t="n">
        <v>0</v>
      </c>
      <c r="E134" s="704" t="n">
        <v>0</v>
      </c>
      <c r="F134" s="704" t="n">
        <v>0</v>
      </c>
      <c r="G134" s="704" t="n">
        <v>0</v>
      </c>
      <c r="H134" s="704" t="n">
        <v>0</v>
      </c>
      <c r="I134" s="704" t="n">
        <v>0</v>
      </c>
      <c r="J134" s="704" t="n">
        <v>0</v>
      </c>
      <c r="K134" s="704" t="n">
        <v>0</v>
      </c>
      <c r="L134" s="704" t="n">
        <v>0</v>
      </c>
      <c r="M134" s="704" t="n">
        <v>0</v>
      </c>
      <c r="N134" s="704" t="n">
        <v>0</v>
      </c>
      <c r="O134" s="704" t="n">
        <v>0</v>
      </c>
      <c r="P134" s="704" t="n">
        <v>0</v>
      </c>
      <c r="Q134" s="704" t="n">
        <v>0</v>
      </c>
      <c r="R134" s="704" t="n">
        <v>0</v>
      </c>
      <c r="S134" s="704" t="n">
        <v>0</v>
      </c>
      <c r="T134" s="704" t="n">
        <v>0</v>
      </c>
      <c r="U134" s="704" t="n">
        <v>0</v>
      </c>
      <c r="V134" s="704" t="n">
        <v>0</v>
      </c>
      <c r="W134" s="704" t="n">
        <v>0</v>
      </c>
      <c r="X134" s="704" t="n">
        <v>0</v>
      </c>
      <c r="Y134" s="704" t="n">
        <v>0</v>
      </c>
      <c r="Z134" s="704" t="n">
        <v>0</v>
      </c>
      <c r="AA134" s="704" t="n">
        <v>0</v>
      </c>
      <c r="AB134" s="704" t="n">
        <v>0</v>
      </c>
      <c r="AC134" s="704" t="n">
        <v>0</v>
      </c>
      <c r="AD134" s="704" t="n">
        <v>0</v>
      </c>
      <c r="AE134" s="704" t="n">
        <v>0</v>
      </c>
      <c r="AF134" s="704" t="n">
        <v>0</v>
      </c>
      <c r="AG134" s="704" t="n">
        <v>0</v>
      </c>
      <c r="AH134" s="704" t="n">
        <v>0</v>
      </c>
      <c r="AI134" s="704" t="n">
        <v>0</v>
      </c>
      <c r="AJ134" s="704" t="n">
        <v>0</v>
      </c>
      <c r="AK134" s="704" t="n">
        <v>0</v>
      </c>
      <c r="AL134" s="704" t="n">
        <v>0</v>
      </c>
      <c r="AM134" s="704" t="n">
        <v>0</v>
      </c>
      <c r="AN134" s="704" t="n">
        <v>0</v>
      </c>
      <c r="AO134" s="704" t="n">
        <v>0</v>
      </c>
      <c r="AP134" s="704" t="n">
        <v>0</v>
      </c>
      <c r="AQ134" s="704" t="n">
        <v>0</v>
      </c>
      <c r="AR134" s="704" t="n">
        <v>0</v>
      </c>
      <c r="AS134" s="704" t="n">
        <v>0</v>
      </c>
      <c r="AT134" s="704" t="n">
        <v>0</v>
      </c>
      <c r="AU134" s="704" t="n">
        <v>0</v>
      </c>
      <c r="AV134" s="704" t="n">
        <v>0</v>
      </c>
      <c r="AW134" s="704" t="n">
        <v>0</v>
      </c>
      <c r="AX134" s="704" t="n">
        <v>0</v>
      </c>
      <c r="AY134" s="704" t="n">
        <v>0</v>
      </c>
      <c r="AZ134" s="704" t="n">
        <v>0</v>
      </c>
      <c r="BA134" s="704" t="n">
        <v>0</v>
      </c>
      <c r="BB134" s="704" t="n">
        <v>0</v>
      </c>
      <c r="BC134" s="704" t="n">
        <v>0</v>
      </c>
      <c r="BD134" s="704" t="n">
        <v>0</v>
      </c>
      <c r="BE134" s="704" t="n">
        <v>0</v>
      </c>
      <c r="BF134" s="704" t="n">
        <v>0</v>
      </c>
      <c r="BG134" s="704" t="n">
        <v>0</v>
      </c>
      <c r="BH134" s="704" t="n">
        <v>0</v>
      </c>
      <c r="BI134" s="704" t="n">
        <v>0</v>
      </c>
      <c r="BJ134" s="704" t="n">
        <v>0</v>
      </c>
      <c r="BK134" s="704" t="n">
        <v>0</v>
      </c>
      <c r="BL134" s="704" t="n">
        <v>0</v>
      </c>
      <c r="BM134" s="704" t="n">
        <v>0</v>
      </c>
      <c r="BN134" s="704" t="n">
        <v>0</v>
      </c>
      <c r="BO134" s="704" t="n">
        <v>0</v>
      </c>
      <c r="BP134" s="704" t="n">
        <v>0</v>
      </c>
      <c r="BQ134" s="704" t="n">
        <v>0</v>
      </c>
      <c r="BR134" s="704" t="n">
        <v>0</v>
      </c>
      <c r="BS134" s="704" t="n">
        <v>0</v>
      </c>
      <c r="BT134" s="704" t="n">
        <v>0</v>
      </c>
      <c r="BU134" s="704" t="n">
        <v>0</v>
      </c>
      <c r="BV134" s="704" t="n">
        <v>0</v>
      </c>
      <c r="BW134" s="704" t="n">
        <v>0</v>
      </c>
      <c r="BX134" s="704" t="n">
        <v>0</v>
      </c>
      <c r="BY134" s="704" t="n">
        <v>0</v>
      </c>
      <c r="BZ134" s="704" t="n">
        <v>0</v>
      </c>
      <c r="CA134" s="704" t="n">
        <v>0</v>
      </c>
      <c r="CB134" s="704" t="n">
        <v>0</v>
      </c>
      <c r="CC134" s="704" t="n">
        <v>0</v>
      </c>
      <c r="CD134" s="704" t="n">
        <v>0</v>
      </c>
      <c r="CE134" s="704" t="n">
        <v>0</v>
      </c>
      <c r="CF134" s="704" t="n">
        <v>0</v>
      </c>
      <c r="CG134" s="704" t="n">
        <v>0</v>
      </c>
      <c r="CH134" s="704" t="n">
        <v>0</v>
      </c>
      <c r="CI134" s="704" t="n">
        <v>0</v>
      </c>
      <c r="CJ134" s="704" t="n">
        <v>0</v>
      </c>
      <c r="CK134" s="704" t="n">
        <v>0</v>
      </c>
      <c r="CL134" s="704" t="n">
        <v>0</v>
      </c>
      <c r="CM134" s="704" t="n">
        <v>0</v>
      </c>
      <c r="CN134" s="704" t="n">
        <v>0</v>
      </c>
      <c r="CO134" s="704" t="n">
        <v>0</v>
      </c>
      <c r="CP134" s="704" t="n">
        <v>0</v>
      </c>
      <c r="CQ134" s="704" t="n">
        <v>0</v>
      </c>
      <c r="CR134" s="704" t="n">
        <v>0</v>
      </c>
      <c r="CS134" s="704" t="n">
        <v>0</v>
      </c>
      <c r="CT134" s="704" t="n">
        <v>0</v>
      </c>
      <c r="CU134" s="704" t="n">
        <v>0</v>
      </c>
      <c r="CV134" s="704" t="n">
        <v>0</v>
      </c>
      <c r="CW134" s="704" t="n">
        <v>0</v>
      </c>
      <c r="CX134" s="704" t="n">
        <v>0</v>
      </c>
      <c r="CY134" s="704" t="n">
        <v>0</v>
      </c>
      <c r="CZ134" s="704" t="n">
        <v>0</v>
      </c>
      <c r="DA134" s="704" t="n">
        <v>0</v>
      </c>
      <c r="DB134" s="704" t="n">
        <v>0</v>
      </c>
      <c r="DC134" s="704" t="n">
        <v>0</v>
      </c>
      <c r="DD134" s="704" t="n">
        <v>0</v>
      </c>
      <c r="DE134" s="704" t="n">
        <v>0</v>
      </c>
      <c r="DF134" s="704" t="n">
        <v>0</v>
      </c>
      <c r="DG134" s="704" t="n">
        <v>0</v>
      </c>
      <c r="DH134" s="704" t="n">
        <v>0</v>
      </c>
      <c r="DI134" s="704" t="n">
        <v>0</v>
      </c>
      <c r="DJ134" s="704" t="n">
        <v>0</v>
      </c>
      <c r="DK134" s="704" t="n">
        <v>0</v>
      </c>
      <c r="DL134" s="704" t="n">
        <v>0</v>
      </c>
      <c r="DM134" s="704" t="n">
        <v>0</v>
      </c>
    </row>
    <row r="135" ht="13.5" customHeight="1" s="355">
      <c r="B135" s="703" t="inlineStr">
        <is>
          <t>Reporting</t>
        </is>
      </c>
      <c r="D135" s="704" t="n">
        <v>0</v>
      </c>
      <c r="E135" s="704" t="n">
        <v>0</v>
      </c>
      <c r="F135" s="704" t="n">
        <v>0</v>
      </c>
      <c r="G135" s="704" t="n">
        <v>0</v>
      </c>
      <c r="H135" s="704" t="n">
        <v>0</v>
      </c>
      <c r="I135" s="704" t="n">
        <v>0</v>
      </c>
      <c r="J135" s="704" t="n">
        <v>0</v>
      </c>
      <c r="K135" s="704" t="n">
        <v>0</v>
      </c>
      <c r="L135" s="704" t="n">
        <v>0</v>
      </c>
      <c r="M135" s="704" t="n">
        <v>0</v>
      </c>
      <c r="N135" s="704" t="n">
        <v>0</v>
      </c>
      <c r="O135" s="704" t="n">
        <v>0</v>
      </c>
      <c r="P135" s="704" t="n">
        <v>0</v>
      </c>
      <c r="Q135" s="704" t="n">
        <v>0</v>
      </c>
      <c r="R135" s="704" t="n">
        <v>0</v>
      </c>
      <c r="S135" s="704" t="n">
        <v>0</v>
      </c>
      <c r="T135" s="704" t="n">
        <v>0</v>
      </c>
      <c r="U135" s="704" t="n">
        <v>0</v>
      </c>
      <c r="V135" s="704" t="n">
        <v>0</v>
      </c>
      <c r="W135" s="704" t="n">
        <v>0</v>
      </c>
      <c r="X135" s="704" t="n">
        <v>0</v>
      </c>
      <c r="Y135" s="704" t="n">
        <v>0</v>
      </c>
      <c r="Z135" s="704" t="n">
        <v>0</v>
      </c>
      <c r="AA135" s="704" t="n">
        <v>0</v>
      </c>
      <c r="AB135" s="704" t="n">
        <v>0</v>
      </c>
      <c r="AC135" s="704" t="n">
        <v>0</v>
      </c>
      <c r="AD135" s="704" t="n">
        <v>0</v>
      </c>
      <c r="AE135" s="704" t="n">
        <v>0</v>
      </c>
      <c r="AF135" s="704" t="n">
        <v>0</v>
      </c>
      <c r="AG135" s="704" t="n">
        <v>0</v>
      </c>
      <c r="AH135" s="704" t="n">
        <v>0</v>
      </c>
      <c r="AI135" s="704" t="n">
        <v>0</v>
      </c>
      <c r="AJ135" s="704" t="n">
        <v>0</v>
      </c>
      <c r="AK135" s="704" t="n">
        <v>0</v>
      </c>
      <c r="AL135" s="704" t="n">
        <v>0</v>
      </c>
      <c r="AM135" s="704" t="n">
        <v>0</v>
      </c>
      <c r="AN135" s="704" t="n">
        <v>0</v>
      </c>
      <c r="AO135" s="704" t="n">
        <v>0</v>
      </c>
      <c r="AP135" s="704" t="n">
        <v>0</v>
      </c>
      <c r="AQ135" s="704" t="n">
        <v>0</v>
      </c>
      <c r="AR135" s="704" t="n">
        <v>0</v>
      </c>
      <c r="AS135" s="704" t="n">
        <v>0</v>
      </c>
      <c r="AT135" s="704" t="n">
        <v>0</v>
      </c>
      <c r="AU135" s="704" t="n">
        <v>0</v>
      </c>
      <c r="AV135" s="704" t="n">
        <v>0</v>
      </c>
      <c r="AW135" s="704" t="n">
        <v>0</v>
      </c>
      <c r="AX135" s="704" t="n">
        <v>0</v>
      </c>
      <c r="AY135" s="704" t="n">
        <v>0</v>
      </c>
      <c r="AZ135" s="704" t="n">
        <v>0</v>
      </c>
      <c r="BA135" s="704" t="n">
        <v>0</v>
      </c>
      <c r="BB135" s="704" t="n">
        <v>0</v>
      </c>
      <c r="BC135" s="704" t="n">
        <v>0</v>
      </c>
      <c r="BD135" s="704" t="n">
        <v>0</v>
      </c>
      <c r="BE135" s="704" t="n">
        <v>0</v>
      </c>
      <c r="BF135" s="704" t="n">
        <v>0</v>
      </c>
      <c r="BG135" s="704" t="n">
        <v>0</v>
      </c>
      <c r="BH135" s="704" t="n">
        <v>0</v>
      </c>
      <c r="BI135" s="704" t="n">
        <v>0</v>
      </c>
      <c r="BJ135" s="704" t="n">
        <v>0</v>
      </c>
      <c r="BK135" s="704" t="n">
        <v>0</v>
      </c>
      <c r="BL135" s="704" t="n">
        <v>0</v>
      </c>
      <c r="BM135" s="704" t="n">
        <v>0</v>
      </c>
      <c r="BN135" s="704" t="n">
        <v>0</v>
      </c>
      <c r="BO135" s="704" t="n">
        <v>0</v>
      </c>
      <c r="BP135" s="704" t="n">
        <v>0</v>
      </c>
      <c r="BQ135" s="704" t="n">
        <v>0</v>
      </c>
      <c r="BR135" s="704" t="n">
        <v>0</v>
      </c>
      <c r="BS135" s="704" t="n">
        <v>0</v>
      </c>
      <c r="BT135" s="704" t="n">
        <v>0</v>
      </c>
      <c r="BU135" s="704" t="n">
        <v>0</v>
      </c>
      <c r="BV135" s="704" t="n">
        <v>0</v>
      </c>
      <c r="BW135" s="704" t="n">
        <v>0</v>
      </c>
      <c r="BX135" s="704" t="n">
        <v>0</v>
      </c>
      <c r="BY135" s="704" t="n">
        <v>0</v>
      </c>
      <c r="BZ135" s="704" t="n">
        <v>0</v>
      </c>
      <c r="CA135" s="704" t="n">
        <v>0</v>
      </c>
      <c r="CB135" s="704" t="n">
        <v>0</v>
      </c>
      <c r="CC135" s="704" t="n">
        <v>0</v>
      </c>
      <c r="CD135" s="704" t="n">
        <v>0</v>
      </c>
      <c r="CE135" s="704" t="n">
        <v>0</v>
      </c>
      <c r="CF135" s="704" t="n">
        <v>0</v>
      </c>
      <c r="CG135" s="704" t="n">
        <v>0</v>
      </c>
      <c r="CH135" s="704" t="n">
        <v>0</v>
      </c>
      <c r="CI135" s="704" t="n">
        <v>0</v>
      </c>
      <c r="CJ135" s="704" t="n">
        <v>0</v>
      </c>
      <c r="CK135" s="704" t="n">
        <v>0</v>
      </c>
      <c r="CL135" s="704" t="n">
        <v>0</v>
      </c>
      <c r="CM135" s="704" t="n">
        <v>0</v>
      </c>
      <c r="CN135" s="704" t="n">
        <v>0</v>
      </c>
      <c r="CO135" s="704" t="n">
        <v>0</v>
      </c>
      <c r="CP135" s="704" t="n">
        <v>0</v>
      </c>
      <c r="CQ135" s="704" t="n">
        <v>0</v>
      </c>
      <c r="CR135" s="704" t="n">
        <v>0</v>
      </c>
      <c r="CS135" s="704" t="n">
        <v>0</v>
      </c>
      <c r="CT135" s="704" t="n">
        <v>0</v>
      </c>
      <c r="CU135" s="704" t="n">
        <v>0</v>
      </c>
      <c r="CV135" s="704" t="n">
        <v>0</v>
      </c>
      <c r="CW135" s="704" t="n">
        <v>0</v>
      </c>
      <c r="CX135" s="704" t="n">
        <v>0</v>
      </c>
      <c r="CY135" s="704" t="n">
        <v>0</v>
      </c>
      <c r="CZ135" s="704" t="n">
        <v>0</v>
      </c>
      <c r="DA135" s="704" t="n">
        <v>0</v>
      </c>
      <c r="DB135" s="704" t="n">
        <v>0</v>
      </c>
      <c r="DC135" s="704" t="n">
        <v>0</v>
      </c>
      <c r="DD135" s="704" t="n">
        <v>0</v>
      </c>
      <c r="DE135" s="704" t="n">
        <v>0</v>
      </c>
      <c r="DF135" s="704" t="n">
        <v>0</v>
      </c>
      <c r="DG135" s="704" t="n">
        <v>0</v>
      </c>
      <c r="DH135" s="704" t="n">
        <v>0</v>
      </c>
      <c r="DI135" s="704" t="n">
        <v>0</v>
      </c>
      <c r="DJ135" s="704" t="n">
        <v>0</v>
      </c>
      <c r="DK135" s="704" t="n">
        <v>0</v>
      </c>
      <c r="DL135" s="704" t="n">
        <v>0</v>
      </c>
      <c r="DM135" s="704" t="n">
        <v>0</v>
      </c>
    </row>
    <row r="136" ht="13.5" customHeight="1" s="355">
      <c r="B136" s="703" t="inlineStr">
        <is>
          <t>Fixed Assets</t>
        </is>
      </c>
      <c r="D136" s="704" t="n">
        <v>0</v>
      </c>
      <c r="E136" s="704" t="n">
        <v>0</v>
      </c>
      <c r="F136" s="704" t="n">
        <v>0</v>
      </c>
      <c r="G136" s="704" t="n">
        <v>0</v>
      </c>
      <c r="H136" s="704" t="n">
        <v>0</v>
      </c>
      <c r="I136" s="704" t="n">
        <v>0</v>
      </c>
      <c r="J136" s="704" t="n">
        <v>0</v>
      </c>
      <c r="K136" s="704" t="n">
        <v>0</v>
      </c>
      <c r="L136" s="704" t="n">
        <v>0</v>
      </c>
      <c r="M136" s="704" t="n">
        <v>0</v>
      </c>
      <c r="N136" s="704" t="n">
        <v>0</v>
      </c>
      <c r="O136" s="704" t="n">
        <v>0</v>
      </c>
      <c r="P136" s="704" t="n">
        <v>0</v>
      </c>
      <c r="Q136" s="704" t="n">
        <v>0</v>
      </c>
      <c r="R136" s="704" t="n">
        <v>0</v>
      </c>
      <c r="S136" s="704" t="n">
        <v>0</v>
      </c>
      <c r="T136" s="704" t="n">
        <v>0</v>
      </c>
      <c r="U136" s="704" t="n">
        <v>0</v>
      </c>
      <c r="V136" s="704" t="n">
        <v>0</v>
      </c>
      <c r="W136" s="704" t="n">
        <v>0</v>
      </c>
      <c r="X136" s="704" t="n">
        <v>0</v>
      </c>
      <c r="Y136" s="704" t="n">
        <v>0</v>
      </c>
      <c r="Z136" s="704" t="n">
        <v>0</v>
      </c>
      <c r="AA136" s="704" t="n">
        <v>0</v>
      </c>
      <c r="AB136" s="704" t="n">
        <v>0</v>
      </c>
      <c r="AC136" s="704" t="n">
        <v>0</v>
      </c>
      <c r="AD136" s="704" t="n">
        <v>0</v>
      </c>
      <c r="AE136" s="704" t="n">
        <v>0</v>
      </c>
      <c r="AF136" s="704" t="n">
        <v>0</v>
      </c>
      <c r="AG136" s="704" t="n">
        <v>0</v>
      </c>
      <c r="AH136" s="704" t="n">
        <v>0</v>
      </c>
      <c r="AI136" s="704" t="n">
        <v>0</v>
      </c>
      <c r="AJ136" s="704" t="n">
        <v>0</v>
      </c>
      <c r="AK136" s="704" t="n">
        <v>0</v>
      </c>
      <c r="AL136" s="704" t="n">
        <v>0</v>
      </c>
      <c r="AM136" s="704" t="n">
        <v>0</v>
      </c>
      <c r="AN136" s="704" t="n">
        <v>0</v>
      </c>
      <c r="AO136" s="704" t="n">
        <v>0</v>
      </c>
      <c r="AP136" s="704" t="n">
        <v>0</v>
      </c>
      <c r="AQ136" s="704" t="n">
        <v>0</v>
      </c>
      <c r="AR136" s="704" t="n">
        <v>0</v>
      </c>
      <c r="AS136" s="704" t="n">
        <v>0</v>
      </c>
      <c r="AT136" s="704" t="n">
        <v>0</v>
      </c>
      <c r="AU136" s="704" t="n">
        <v>0</v>
      </c>
      <c r="AV136" s="704" t="n">
        <v>0</v>
      </c>
      <c r="AW136" s="704" t="n">
        <v>0</v>
      </c>
      <c r="AX136" s="704" t="n">
        <v>0</v>
      </c>
      <c r="AY136" s="704" t="n">
        <v>0</v>
      </c>
      <c r="AZ136" s="704" t="n">
        <v>0</v>
      </c>
      <c r="BA136" s="704" t="n">
        <v>0</v>
      </c>
      <c r="BB136" s="704" t="n">
        <v>0</v>
      </c>
      <c r="BC136" s="704" t="n">
        <v>0</v>
      </c>
      <c r="BD136" s="704" t="n">
        <v>0</v>
      </c>
      <c r="BE136" s="704" t="n">
        <v>0</v>
      </c>
      <c r="BF136" s="704" t="n">
        <v>0</v>
      </c>
      <c r="BG136" s="704" t="n">
        <v>0</v>
      </c>
      <c r="BH136" s="704" t="n">
        <v>0</v>
      </c>
      <c r="BI136" s="704" t="n">
        <v>0</v>
      </c>
      <c r="BJ136" s="704" t="n">
        <v>0</v>
      </c>
      <c r="BK136" s="704" t="n">
        <v>0</v>
      </c>
      <c r="BL136" s="704" t="n">
        <v>0</v>
      </c>
      <c r="BM136" s="704" t="n">
        <v>0</v>
      </c>
      <c r="BN136" s="704" t="n">
        <v>0</v>
      </c>
      <c r="BO136" s="704" t="n">
        <v>0</v>
      </c>
      <c r="BP136" s="704" t="n">
        <v>0</v>
      </c>
      <c r="BQ136" s="704" t="n">
        <v>0</v>
      </c>
      <c r="BR136" s="704" t="n">
        <v>0</v>
      </c>
      <c r="BS136" s="704" t="n">
        <v>0</v>
      </c>
      <c r="BT136" s="704" t="n">
        <v>0</v>
      </c>
      <c r="BU136" s="704" t="n">
        <v>0</v>
      </c>
      <c r="BV136" s="704" t="n">
        <v>0</v>
      </c>
      <c r="BW136" s="704" t="n">
        <v>0</v>
      </c>
      <c r="BX136" s="704" t="n">
        <v>0</v>
      </c>
      <c r="BY136" s="704" t="n">
        <v>0</v>
      </c>
      <c r="BZ136" s="704" t="n">
        <v>0</v>
      </c>
      <c r="CA136" s="704" t="n">
        <v>0</v>
      </c>
      <c r="CB136" s="704" t="n">
        <v>0</v>
      </c>
      <c r="CC136" s="704" t="n">
        <v>0</v>
      </c>
      <c r="CD136" s="704" t="n">
        <v>0</v>
      </c>
      <c r="CE136" s="704" t="n">
        <v>0</v>
      </c>
      <c r="CF136" s="704" t="n">
        <v>0</v>
      </c>
      <c r="CG136" s="704" t="n">
        <v>0</v>
      </c>
      <c r="CH136" s="704" t="n">
        <v>0</v>
      </c>
      <c r="CI136" s="704" t="n">
        <v>0</v>
      </c>
      <c r="CJ136" s="704" t="n">
        <v>0</v>
      </c>
      <c r="CK136" s="704" t="n">
        <v>0</v>
      </c>
      <c r="CL136" s="704" t="n">
        <v>0</v>
      </c>
      <c r="CM136" s="704" t="n">
        <v>0</v>
      </c>
      <c r="CN136" s="704" t="n">
        <v>0</v>
      </c>
      <c r="CO136" s="704" t="n">
        <v>0</v>
      </c>
      <c r="CP136" s="704" t="n">
        <v>0</v>
      </c>
      <c r="CQ136" s="704" t="n">
        <v>0</v>
      </c>
      <c r="CR136" s="704" t="n">
        <v>0</v>
      </c>
      <c r="CS136" s="704" t="n">
        <v>0</v>
      </c>
      <c r="CT136" s="704" t="n">
        <v>0</v>
      </c>
      <c r="CU136" s="704" t="n">
        <v>0</v>
      </c>
      <c r="CV136" s="704" t="n">
        <v>0</v>
      </c>
      <c r="CW136" s="704" t="n">
        <v>0</v>
      </c>
      <c r="CX136" s="704" t="n">
        <v>0</v>
      </c>
      <c r="CY136" s="704" t="n">
        <v>0</v>
      </c>
      <c r="CZ136" s="704" t="n">
        <v>0</v>
      </c>
      <c r="DA136" s="704" t="n">
        <v>0</v>
      </c>
      <c r="DB136" s="704" t="n">
        <v>0</v>
      </c>
      <c r="DC136" s="704" t="n">
        <v>0</v>
      </c>
      <c r="DD136" s="704" t="n">
        <v>0</v>
      </c>
      <c r="DE136" s="704" t="n">
        <v>0</v>
      </c>
      <c r="DF136" s="704" t="n">
        <v>0</v>
      </c>
      <c r="DG136" s="704" t="n">
        <v>0</v>
      </c>
      <c r="DH136" s="704" t="n">
        <v>0</v>
      </c>
      <c r="DI136" s="704" t="n">
        <v>0</v>
      </c>
      <c r="DJ136" s="704" t="n">
        <v>0</v>
      </c>
      <c r="DK136" s="704" t="n">
        <v>0</v>
      </c>
      <c r="DL136" s="704" t="n">
        <v>0</v>
      </c>
      <c r="DM136" s="704" t="n">
        <v>0</v>
      </c>
    </row>
    <row r="137" ht="13.5" customHeight="1" s="355">
      <c r="B137" s="703" t="inlineStr">
        <is>
          <t>Acct Payable</t>
        </is>
      </c>
      <c r="D137" s="704" t="n">
        <v>0</v>
      </c>
      <c r="E137" s="704" t="n">
        <v>0</v>
      </c>
      <c r="F137" s="704" t="n">
        <v>0</v>
      </c>
      <c r="G137" s="704" t="n">
        <v>0</v>
      </c>
      <c r="H137" s="704" t="n">
        <v>0</v>
      </c>
      <c r="I137" s="704" t="n">
        <v>0</v>
      </c>
      <c r="J137" s="704" t="n">
        <v>0</v>
      </c>
      <c r="K137" s="704" t="n">
        <v>0</v>
      </c>
      <c r="L137" s="704" t="n">
        <v>0</v>
      </c>
      <c r="M137" s="704" t="n">
        <v>0</v>
      </c>
      <c r="N137" s="704" t="n">
        <v>0</v>
      </c>
      <c r="O137" s="704" t="n">
        <v>0</v>
      </c>
      <c r="P137" s="704" t="n">
        <v>0</v>
      </c>
      <c r="Q137" s="704" t="n">
        <v>0</v>
      </c>
      <c r="R137" s="704" t="n">
        <v>0</v>
      </c>
      <c r="S137" s="704" t="n">
        <v>0</v>
      </c>
      <c r="T137" s="704" t="n">
        <v>0</v>
      </c>
      <c r="U137" s="704" t="n">
        <v>0</v>
      </c>
      <c r="V137" s="704" t="n">
        <v>0</v>
      </c>
      <c r="W137" s="704" t="n">
        <v>0</v>
      </c>
      <c r="X137" s="704" t="n">
        <v>0</v>
      </c>
      <c r="Y137" s="704" t="n">
        <v>0</v>
      </c>
      <c r="Z137" s="704" t="n">
        <v>0</v>
      </c>
      <c r="AA137" s="704" t="n">
        <v>0</v>
      </c>
      <c r="AB137" s="704" t="n">
        <v>0</v>
      </c>
      <c r="AC137" s="704" t="n">
        <v>0</v>
      </c>
      <c r="AD137" s="704" t="n">
        <v>0</v>
      </c>
      <c r="AE137" s="704" t="n">
        <v>0</v>
      </c>
      <c r="AF137" s="704" t="n">
        <v>0</v>
      </c>
      <c r="AG137" s="704" t="n">
        <v>0</v>
      </c>
      <c r="AH137" s="704" t="n">
        <v>0</v>
      </c>
      <c r="AI137" s="704" t="n">
        <v>0</v>
      </c>
      <c r="AJ137" s="704" t="n">
        <v>0</v>
      </c>
      <c r="AK137" s="704" t="n">
        <v>0</v>
      </c>
      <c r="AL137" s="704" t="n">
        <v>0</v>
      </c>
      <c r="AM137" s="704" t="n">
        <v>0</v>
      </c>
      <c r="AN137" s="704" t="n">
        <v>0</v>
      </c>
      <c r="AO137" s="704" t="n">
        <v>0</v>
      </c>
      <c r="AP137" s="704" t="n">
        <v>0</v>
      </c>
      <c r="AQ137" s="704" t="n">
        <v>0</v>
      </c>
      <c r="AR137" s="704" t="n">
        <v>0</v>
      </c>
      <c r="AS137" s="704" t="n">
        <v>0</v>
      </c>
      <c r="AT137" s="704" t="n">
        <v>0</v>
      </c>
      <c r="AU137" s="704" t="n">
        <v>0</v>
      </c>
      <c r="AV137" s="704" t="n">
        <v>0</v>
      </c>
      <c r="AW137" s="704" t="n">
        <v>0</v>
      </c>
      <c r="AX137" s="704" t="n">
        <v>0</v>
      </c>
      <c r="AY137" s="704" t="n">
        <v>0</v>
      </c>
      <c r="AZ137" s="704" t="n">
        <v>0</v>
      </c>
      <c r="BA137" s="704" t="n">
        <v>0</v>
      </c>
      <c r="BB137" s="704" t="n">
        <v>0</v>
      </c>
      <c r="BC137" s="704" t="n">
        <v>0</v>
      </c>
      <c r="BD137" s="704" t="n">
        <v>0</v>
      </c>
      <c r="BE137" s="704" t="n">
        <v>0</v>
      </c>
      <c r="BF137" s="704" t="n">
        <v>0</v>
      </c>
      <c r="BG137" s="704" t="n">
        <v>0</v>
      </c>
      <c r="BH137" s="704" t="n">
        <v>0</v>
      </c>
      <c r="BI137" s="704" t="n">
        <v>0</v>
      </c>
      <c r="BJ137" s="704" t="n">
        <v>0</v>
      </c>
      <c r="BK137" s="704" t="n">
        <v>0</v>
      </c>
      <c r="BL137" s="704" t="n">
        <v>0</v>
      </c>
      <c r="BM137" s="704" t="n">
        <v>0</v>
      </c>
      <c r="BN137" s="704" t="n">
        <v>0</v>
      </c>
      <c r="BO137" s="704" t="n">
        <v>0</v>
      </c>
      <c r="BP137" s="704" t="n">
        <v>0</v>
      </c>
      <c r="BQ137" s="704" t="n">
        <v>0</v>
      </c>
      <c r="BR137" s="704" t="n">
        <v>0</v>
      </c>
      <c r="BS137" s="704" t="n">
        <v>0</v>
      </c>
      <c r="BT137" s="704" t="n">
        <v>0</v>
      </c>
      <c r="BU137" s="704" t="n">
        <v>0</v>
      </c>
      <c r="BV137" s="704" t="n">
        <v>0</v>
      </c>
      <c r="BW137" s="704" t="n">
        <v>0</v>
      </c>
      <c r="BX137" s="704" t="n">
        <v>0</v>
      </c>
      <c r="BY137" s="704" t="n">
        <v>0</v>
      </c>
      <c r="BZ137" s="704" t="n">
        <v>0</v>
      </c>
      <c r="CA137" s="704" t="n">
        <v>0</v>
      </c>
      <c r="CB137" s="704" t="n">
        <v>0</v>
      </c>
      <c r="CC137" s="704" t="n">
        <v>0</v>
      </c>
      <c r="CD137" s="704" t="n">
        <v>0</v>
      </c>
      <c r="CE137" s="704" t="n">
        <v>0</v>
      </c>
      <c r="CF137" s="704" t="n">
        <v>0</v>
      </c>
      <c r="CG137" s="704" t="n">
        <v>0</v>
      </c>
      <c r="CH137" s="704" t="n">
        <v>0</v>
      </c>
      <c r="CI137" s="704" t="n">
        <v>0</v>
      </c>
      <c r="CJ137" s="704" t="n">
        <v>0</v>
      </c>
      <c r="CK137" s="704" t="n">
        <v>0</v>
      </c>
      <c r="CL137" s="704" t="n">
        <v>0</v>
      </c>
      <c r="CM137" s="704" t="n">
        <v>0</v>
      </c>
      <c r="CN137" s="704" t="n">
        <v>0</v>
      </c>
      <c r="CO137" s="704" t="n">
        <v>0</v>
      </c>
      <c r="CP137" s="704" t="n">
        <v>0</v>
      </c>
      <c r="CQ137" s="704" t="n">
        <v>0</v>
      </c>
      <c r="CR137" s="704" t="n">
        <v>0</v>
      </c>
      <c r="CS137" s="704" t="n">
        <v>0</v>
      </c>
      <c r="CT137" s="704" t="n">
        <v>0</v>
      </c>
      <c r="CU137" s="704" t="n">
        <v>0</v>
      </c>
      <c r="CV137" s="704" t="n">
        <v>0</v>
      </c>
      <c r="CW137" s="704" t="n">
        <v>0</v>
      </c>
      <c r="CX137" s="704" t="n">
        <v>0</v>
      </c>
      <c r="CY137" s="704" t="n">
        <v>0</v>
      </c>
      <c r="CZ137" s="704" t="n">
        <v>0</v>
      </c>
      <c r="DA137" s="704" t="n">
        <v>0</v>
      </c>
      <c r="DB137" s="704" t="n">
        <v>0</v>
      </c>
      <c r="DC137" s="704" t="n">
        <v>0</v>
      </c>
      <c r="DD137" s="704" t="n">
        <v>0</v>
      </c>
      <c r="DE137" s="704" t="n">
        <v>0</v>
      </c>
      <c r="DF137" s="704" t="n">
        <v>0</v>
      </c>
      <c r="DG137" s="704" t="n">
        <v>0</v>
      </c>
      <c r="DH137" s="704" t="n">
        <v>0</v>
      </c>
      <c r="DI137" s="704" t="n">
        <v>0</v>
      </c>
      <c r="DJ137" s="704" t="n">
        <v>0</v>
      </c>
      <c r="DK137" s="704" t="n">
        <v>0</v>
      </c>
      <c r="DL137" s="704" t="n">
        <v>0</v>
      </c>
      <c r="DM137" s="704" t="n">
        <v>0</v>
      </c>
    </row>
    <row r="138" ht="13.5" customHeight="1" s="355">
      <c r="B138" s="703" t="inlineStr">
        <is>
          <t>Cash&amp;Bank</t>
        </is>
      </c>
      <c r="D138" s="704" t="n">
        <v>0</v>
      </c>
      <c r="E138" s="704" t="n">
        <v>0</v>
      </c>
      <c r="F138" s="704" t="n">
        <v>0</v>
      </c>
      <c r="G138" s="704" t="n">
        <v>0</v>
      </c>
      <c r="H138" s="704" t="n">
        <v>0</v>
      </c>
      <c r="I138" s="704" t="n">
        <v>0</v>
      </c>
      <c r="J138" s="704" t="n">
        <v>0</v>
      </c>
      <c r="K138" s="704" t="n">
        <v>0</v>
      </c>
      <c r="L138" s="704" t="n">
        <v>0</v>
      </c>
      <c r="M138" s="704" t="n">
        <v>0</v>
      </c>
      <c r="N138" s="704" t="n">
        <v>0</v>
      </c>
      <c r="O138" s="704" t="n">
        <v>0</v>
      </c>
      <c r="P138" s="704" t="n">
        <v>0</v>
      </c>
      <c r="Q138" s="704" t="n">
        <v>0</v>
      </c>
      <c r="R138" s="704" t="n">
        <v>0</v>
      </c>
      <c r="S138" s="704" t="n">
        <v>0</v>
      </c>
      <c r="T138" s="704" t="n">
        <v>0</v>
      </c>
      <c r="U138" s="704" t="n">
        <v>0</v>
      </c>
      <c r="V138" s="704" t="n">
        <v>0</v>
      </c>
      <c r="W138" s="704" t="n">
        <v>0</v>
      </c>
      <c r="X138" s="704" t="n">
        <v>0</v>
      </c>
      <c r="Y138" s="704" t="n">
        <v>0</v>
      </c>
      <c r="Z138" s="704" t="n">
        <v>0</v>
      </c>
      <c r="AA138" s="704" t="n">
        <v>0</v>
      </c>
      <c r="AB138" s="704" t="n">
        <v>0</v>
      </c>
      <c r="AC138" s="704" t="n">
        <v>0</v>
      </c>
      <c r="AD138" s="704" t="n">
        <v>0</v>
      </c>
      <c r="AE138" s="704" t="n">
        <v>0</v>
      </c>
      <c r="AF138" s="704" t="n">
        <v>0</v>
      </c>
      <c r="AG138" s="704" t="n">
        <v>0</v>
      </c>
      <c r="AH138" s="704" t="n">
        <v>0</v>
      </c>
      <c r="AI138" s="704" t="n">
        <v>0</v>
      </c>
      <c r="AJ138" s="704" t="n">
        <v>0</v>
      </c>
      <c r="AK138" s="704" t="n">
        <v>0</v>
      </c>
      <c r="AL138" s="704" t="n">
        <v>0</v>
      </c>
      <c r="AM138" s="704" t="n">
        <v>0</v>
      </c>
      <c r="AN138" s="704" t="n">
        <v>0</v>
      </c>
      <c r="AO138" s="704" t="n">
        <v>0</v>
      </c>
      <c r="AP138" s="704" t="n">
        <v>0</v>
      </c>
      <c r="AQ138" s="704" t="n">
        <v>0</v>
      </c>
      <c r="AR138" s="704" t="n">
        <v>0</v>
      </c>
      <c r="AS138" s="704" t="n">
        <v>0</v>
      </c>
      <c r="AT138" s="704" t="n">
        <v>0</v>
      </c>
      <c r="AU138" s="704" t="n">
        <v>0</v>
      </c>
      <c r="AV138" s="704" t="n">
        <v>0</v>
      </c>
      <c r="AW138" s="704" t="n">
        <v>0</v>
      </c>
      <c r="AX138" s="704" t="n">
        <v>0</v>
      </c>
      <c r="AY138" s="704" t="n">
        <v>0</v>
      </c>
      <c r="AZ138" s="704" t="n">
        <v>0</v>
      </c>
      <c r="BA138" s="704" t="n">
        <v>0</v>
      </c>
      <c r="BB138" s="704" t="n">
        <v>0</v>
      </c>
      <c r="BC138" s="704" t="n">
        <v>0</v>
      </c>
      <c r="BD138" s="704" t="n">
        <v>0</v>
      </c>
      <c r="BE138" s="704" t="n">
        <v>0</v>
      </c>
      <c r="BF138" s="704" t="n">
        <v>0</v>
      </c>
      <c r="BG138" s="704" t="n">
        <v>0</v>
      </c>
      <c r="BH138" s="704" t="n">
        <v>0</v>
      </c>
      <c r="BI138" s="704" t="n">
        <v>0</v>
      </c>
      <c r="BJ138" s="704" t="n">
        <v>0</v>
      </c>
      <c r="BK138" s="704" t="n">
        <v>0</v>
      </c>
      <c r="BL138" s="704" t="n">
        <v>0</v>
      </c>
      <c r="BM138" s="704" t="n">
        <v>0</v>
      </c>
      <c r="BN138" s="704" t="n">
        <v>0</v>
      </c>
      <c r="BO138" s="704" t="n">
        <v>0</v>
      </c>
      <c r="BP138" s="704" t="n">
        <v>0</v>
      </c>
      <c r="BQ138" s="704" t="n">
        <v>0</v>
      </c>
      <c r="BR138" s="704" t="n">
        <v>0</v>
      </c>
      <c r="BS138" s="704" t="n">
        <v>0</v>
      </c>
      <c r="BT138" s="704" t="n">
        <v>0</v>
      </c>
      <c r="BU138" s="704" t="n">
        <v>0</v>
      </c>
      <c r="BV138" s="704" t="n">
        <v>0</v>
      </c>
      <c r="BW138" s="704" t="n">
        <v>0</v>
      </c>
      <c r="BX138" s="704" t="n">
        <v>0</v>
      </c>
      <c r="BY138" s="704" t="n">
        <v>0</v>
      </c>
      <c r="BZ138" s="704" t="n">
        <v>0</v>
      </c>
      <c r="CA138" s="704" t="n">
        <v>0</v>
      </c>
      <c r="CB138" s="704" t="n">
        <v>0</v>
      </c>
      <c r="CC138" s="704" t="n">
        <v>0</v>
      </c>
      <c r="CD138" s="704" t="n">
        <v>0</v>
      </c>
      <c r="CE138" s="704" t="n">
        <v>0</v>
      </c>
      <c r="CF138" s="704" t="n">
        <v>0</v>
      </c>
      <c r="CG138" s="704" t="n">
        <v>0</v>
      </c>
      <c r="CH138" s="704" t="n">
        <v>0</v>
      </c>
      <c r="CI138" s="704" t="n">
        <v>0</v>
      </c>
      <c r="CJ138" s="704" t="n">
        <v>0</v>
      </c>
      <c r="CK138" s="704" t="n">
        <v>0</v>
      </c>
      <c r="CL138" s="704" t="n">
        <v>0</v>
      </c>
      <c r="CM138" s="704" t="n">
        <v>0</v>
      </c>
      <c r="CN138" s="704" t="n">
        <v>0</v>
      </c>
      <c r="CO138" s="704" t="n">
        <v>0</v>
      </c>
      <c r="CP138" s="704" t="n">
        <v>0</v>
      </c>
      <c r="CQ138" s="704" t="n">
        <v>0</v>
      </c>
      <c r="CR138" s="704" t="n">
        <v>0</v>
      </c>
      <c r="CS138" s="704" t="n">
        <v>0</v>
      </c>
      <c r="CT138" s="704" t="n">
        <v>0</v>
      </c>
      <c r="CU138" s="704" t="n">
        <v>0</v>
      </c>
      <c r="CV138" s="704" t="n">
        <v>0</v>
      </c>
      <c r="CW138" s="704" t="n">
        <v>0</v>
      </c>
      <c r="CX138" s="704" t="n">
        <v>0</v>
      </c>
      <c r="CY138" s="704" t="n">
        <v>0</v>
      </c>
      <c r="CZ138" s="704" t="n">
        <v>0</v>
      </c>
      <c r="DA138" s="704" t="n">
        <v>0</v>
      </c>
      <c r="DB138" s="704" t="n">
        <v>0</v>
      </c>
      <c r="DC138" s="704" t="n">
        <v>0</v>
      </c>
      <c r="DD138" s="704" t="n">
        <v>0</v>
      </c>
      <c r="DE138" s="704" t="n">
        <v>0</v>
      </c>
      <c r="DF138" s="704" t="n">
        <v>0</v>
      </c>
      <c r="DG138" s="704" t="n">
        <v>0</v>
      </c>
      <c r="DH138" s="704" t="n">
        <v>0</v>
      </c>
      <c r="DI138" s="704" t="n">
        <v>0</v>
      </c>
      <c r="DJ138" s="704" t="n">
        <v>0</v>
      </c>
      <c r="DK138" s="704" t="n">
        <v>0</v>
      </c>
      <c r="DL138" s="704" t="n">
        <v>0</v>
      </c>
      <c r="DM138" s="704" t="n">
        <v>0</v>
      </c>
    </row>
    <row r="139" ht="13.5" customHeight="1" s="355">
      <c r="B139" s="703" t="inlineStr">
        <is>
          <t>T&amp;E</t>
        </is>
      </c>
      <c r="D139" s="704" t="n">
        <v>0</v>
      </c>
      <c r="E139" s="704" t="n">
        <v>0</v>
      </c>
      <c r="F139" s="704" t="n">
        <v>0</v>
      </c>
      <c r="G139" s="704" t="n">
        <v>0</v>
      </c>
      <c r="H139" s="704" t="n">
        <v>0</v>
      </c>
      <c r="I139" s="704" t="n">
        <v>0</v>
      </c>
      <c r="J139" s="704" t="n">
        <v>0</v>
      </c>
      <c r="K139" s="704" t="n">
        <v>0</v>
      </c>
      <c r="L139" s="704" t="n">
        <v>0</v>
      </c>
      <c r="M139" s="704" t="n">
        <v>0</v>
      </c>
      <c r="N139" s="704" t="n">
        <v>0</v>
      </c>
      <c r="O139" s="704" t="n">
        <v>0</v>
      </c>
      <c r="P139" s="704" t="n">
        <v>0</v>
      </c>
      <c r="Q139" s="704" t="n">
        <v>0</v>
      </c>
      <c r="R139" s="704" t="n">
        <v>0</v>
      </c>
      <c r="S139" s="704" t="n">
        <v>0</v>
      </c>
      <c r="T139" s="704" t="n">
        <v>0</v>
      </c>
      <c r="U139" s="704" t="n">
        <v>0</v>
      </c>
      <c r="V139" s="704" t="n">
        <v>0</v>
      </c>
      <c r="W139" s="704" t="n">
        <v>0</v>
      </c>
      <c r="X139" s="704" t="n">
        <v>0</v>
      </c>
      <c r="Y139" s="704" t="n">
        <v>0</v>
      </c>
      <c r="Z139" s="704" t="n">
        <v>0</v>
      </c>
      <c r="AA139" s="704" t="n">
        <v>0</v>
      </c>
      <c r="AB139" s="704" t="n">
        <v>0</v>
      </c>
      <c r="AC139" s="704" t="n">
        <v>0</v>
      </c>
      <c r="AD139" s="704" t="n">
        <v>0</v>
      </c>
      <c r="AE139" s="704" t="n">
        <v>0</v>
      </c>
      <c r="AF139" s="704" t="n">
        <v>0</v>
      </c>
      <c r="AG139" s="704" t="n">
        <v>0</v>
      </c>
      <c r="AH139" s="704" t="n">
        <v>0</v>
      </c>
      <c r="AI139" s="704" t="n">
        <v>0</v>
      </c>
      <c r="AJ139" s="704" t="n">
        <v>0</v>
      </c>
      <c r="AK139" s="704" t="n">
        <v>0</v>
      </c>
      <c r="AL139" s="704" t="n">
        <v>0</v>
      </c>
      <c r="AM139" s="704" t="n">
        <v>0</v>
      </c>
      <c r="AN139" s="704" t="n">
        <v>0</v>
      </c>
      <c r="AO139" s="704" t="n">
        <v>0</v>
      </c>
      <c r="AP139" s="704" t="n">
        <v>0</v>
      </c>
      <c r="AQ139" s="704" t="n">
        <v>0</v>
      </c>
      <c r="AR139" s="704" t="n">
        <v>0</v>
      </c>
      <c r="AS139" s="704" t="n">
        <v>0</v>
      </c>
      <c r="AT139" s="704" t="n">
        <v>0</v>
      </c>
      <c r="AU139" s="704" t="n">
        <v>0</v>
      </c>
      <c r="AV139" s="704" t="n">
        <v>0</v>
      </c>
      <c r="AW139" s="704" t="n">
        <v>0</v>
      </c>
      <c r="AX139" s="704" t="n">
        <v>0</v>
      </c>
      <c r="AY139" s="704" t="n">
        <v>0</v>
      </c>
      <c r="AZ139" s="704" t="n">
        <v>0</v>
      </c>
      <c r="BA139" s="704" t="n">
        <v>0</v>
      </c>
      <c r="BB139" s="704" t="n">
        <v>0</v>
      </c>
      <c r="BC139" s="704" t="n">
        <v>0</v>
      </c>
      <c r="BD139" s="704" t="n">
        <v>0</v>
      </c>
      <c r="BE139" s="704" t="n">
        <v>0</v>
      </c>
      <c r="BF139" s="704" t="n">
        <v>0</v>
      </c>
      <c r="BG139" s="704" t="n">
        <v>0</v>
      </c>
      <c r="BH139" s="704" t="n">
        <v>0</v>
      </c>
      <c r="BI139" s="704" t="n">
        <v>0</v>
      </c>
      <c r="BJ139" s="704" t="n">
        <v>0</v>
      </c>
      <c r="BK139" s="704" t="n">
        <v>0</v>
      </c>
      <c r="BL139" s="704" t="n">
        <v>0</v>
      </c>
      <c r="BM139" s="704" t="n">
        <v>0</v>
      </c>
      <c r="BN139" s="704" t="n">
        <v>0</v>
      </c>
      <c r="BO139" s="704" t="n">
        <v>0</v>
      </c>
      <c r="BP139" s="704" t="n">
        <v>0</v>
      </c>
      <c r="BQ139" s="704" t="n">
        <v>0</v>
      </c>
      <c r="BR139" s="704" t="n">
        <v>0</v>
      </c>
      <c r="BS139" s="704" t="n">
        <v>0</v>
      </c>
      <c r="BT139" s="704" t="n">
        <v>0</v>
      </c>
      <c r="BU139" s="704" t="n">
        <v>0</v>
      </c>
      <c r="BV139" s="704" t="n">
        <v>0</v>
      </c>
      <c r="BW139" s="704" t="n">
        <v>0</v>
      </c>
      <c r="BX139" s="704" t="n">
        <v>0</v>
      </c>
      <c r="BY139" s="704" t="n">
        <v>0</v>
      </c>
      <c r="BZ139" s="704" t="n">
        <v>0</v>
      </c>
      <c r="CA139" s="704" t="n">
        <v>0</v>
      </c>
      <c r="CB139" s="704" t="n">
        <v>0</v>
      </c>
      <c r="CC139" s="704" t="n">
        <v>0</v>
      </c>
      <c r="CD139" s="704" t="n">
        <v>0</v>
      </c>
      <c r="CE139" s="704" t="n">
        <v>0</v>
      </c>
      <c r="CF139" s="704" t="n">
        <v>0</v>
      </c>
      <c r="CG139" s="704" t="n">
        <v>0</v>
      </c>
      <c r="CH139" s="704" t="n">
        <v>0</v>
      </c>
      <c r="CI139" s="704" t="n">
        <v>0</v>
      </c>
      <c r="CJ139" s="704" t="n">
        <v>0</v>
      </c>
      <c r="CK139" s="704" t="n">
        <v>0</v>
      </c>
      <c r="CL139" s="704" t="n">
        <v>0</v>
      </c>
      <c r="CM139" s="704" t="n">
        <v>0</v>
      </c>
      <c r="CN139" s="704" t="n">
        <v>0</v>
      </c>
      <c r="CO139" s="704" t="n">
        <v>0</v>
      </c>
      <c r="CP139" s="704" t="n">
        <v>0</v>
      </c>
      <c r="CQ139" s="704" t="n">
        <v>0</v>
      </c>
      <c r="CR139" s="704" t="n">
        <v>0</v>
      </c>
      <c r="CS139" s="704" t="n">
        <v>0</v>
      </c>
      <c r="CT139" s="704" t="n">
        <v>0</v>
      </c>
      <c r="CU139" s="704" t="n">
        <v>0</v>
      </c>
      <c r="CV139" s="704" t="n">
        <v>0</v>
      </c>
      <c r="CW139" s="704" t="n">
        <v>0</v>
      </c>
      <c r="CX139" s="704" t="n">
        <v>0</v>
      </c>
      <c r="CY139" s="704" t="n">
        <v>0</v>
      </c>
      <c r="CZ139" s="704" t="n">
        <v>0</v>
      </c>
      <c r="DA139" s="704" t="n">
        <v>0</v>
      </c>
      <c r="DB139" s="704" t="n">
        <v>0</v>
      </c>
      <c r="DC139" s="704" t="n">
        <v>0</v>
      </c>
      <c r="DD139" s="704" t="n">
        <v>0</v>
      </c>
      <c r="DE139" s="704" t="n">
        <v>0</v>
      </c>
      <c r="DF139" s="704" t="n">
        <v>0</v>
      </c>
      <c r="DG139" s="704" t="n">
        <v>0</v>
      </c>
      <c r="DH139" s="704" t="n">
        <v>0</v>
      </c>
      <c r="DI139" s="704" t="n">
        <v>0</v>
      </c>
      <c r="DJ139" s="704" t="n">
        <v>0</v>
      </c>
      <c r="DK139" s="704" t="n">
        <v>0</v>
      </c>
      <c r="DL139" s="704" t="n">
        <v>0</v>
      </c>
      <c r="DM139" s="704" t="n">
        <v>0</v>
      </c>
    </row>
    <row r="140" ht="13.5" customHeight="1" s="355">
      <c r="B140" s="703" t="inlineStr">
        <is>
          <t>Order to Cash</t>
        </is>
      </c>
      <c r="D140" s="704" t="n">
        <v>0</v>
      </c>
      <c r="E140" s="704" t="n">
        <v>0</v>
      </c>
      <c r="F140" s="704" t="n">
        <v>0</v>
      </c>
      <c r="G140" s="704" t="n">
        <v>0</v>
      </c>
      <c r="H140" s="704" t="n">
        <v>0</v>
      </c>
      <c r="I140" s="704" t="n">
        <v>0</v>
      </c>
      <c r="J140" s="704" t="n">
        <v>0</v>
      </c>
      <c r="K140" s="704" t="n">
        <v>0</v>
      </c>
      <c r="L140" s="704" t="n">
        <v>0</v>
      </c>
      <c r="M140" s="704" t="n">
        <v>0</v>
      </c>
      <c r="N140" s="704" t="n">
        <v>0</v>
      </c>
      <c r="O140" s="704" t="n">
        <v>0</v>
      </c>
      <c r="P140" s="704" t="n">
        <v>0</v>
      </c>
      <c r="Q140" s="704" t="n">
        <v>0</v>
      </c>
      <c r="R140" s="704" t="n">
        <v>0</v>
      </c>
      <c r="S140" s="704" t="n">
        <v>0</v>
      </c>
      <c r="T140" s="704" t="n">
        <v>0</v>
      </c>
      <c r="U140" s="704" t="n">
        <v>0</v>
      </c>
      <c r="V140" s="704" t="n">
        <v>0</v>
      </c>
      <c r="W140" s="704" t="n">
        <v>0</v>
      </c>
      <c r="X140" s="704" t="n">
        <v>0</v>
      </c>
      <c r="Y140" s="704" t="n">
        <v>0</v>
      </c>
      <c r="Z140" s="704" t="n">
        <v>0</v>
      </c>
      <c r="AA140" s="704" t="n">
        <v>0</v>
      </c>
      <c r="AB140" s="704" t="n">
        <v>0</v>
      </c>
      <c r="AC140" s="704" t="n">
        <v>0</v>
      </c>
      <c r="AD140" s="704" t="n">
        <v>0</v>
      </c>
      <c r="AE140" s="704" t="n">
        <v>0</v>
      </c>
      <c r="AF140" s="704" t="n">
        <v>0</v>
      </c>
      <c r="AG140" s="704" t="n">
        <v>0</v>
      </c>
      <c r="AH140" s="704" t="n">
        <v>0</v>
      </c>
      <c r="AI140" s="704" t="n">
        <v>0</v>
      </c>
      <c r="AJ140" s="704" t="n">
        <v>0</v>
      </c>
      <c r="AK140" s="704" t="n">
        <v>0</v>
      </c>
      <c r="AL140" s="704" t="n">
        <v>0</v>
      </c>
      <c r="AM140" s="704" t="n">
        <v>0</v>
      </c>
      <c r="AN140" s="704" t="n">
        <v>0</v>
      </c>
      <c r="AO140" s="704" t="n">
        <v>0</v>
      </c>
      <c r="AP140" s="704" t="n">
        <v>0</v>
      </c>
      <c r="AQ140" s="704" t="n">
        <v>0</v>
      </c>
      <c r="AR140" s="704" t="n">
        <v>0</v>
      </c>
      <c r="AS140" s="704" t="n">
        <v>0</v>
      </c>
      <c r="AT140" s="704" t="n">
        <v>0</v>
      </c>
      <c r="AU140" s="704" t="n">
        <v>0</v>
      </c>
      <c r="AV140" s="704" t="n">
        <v>0</v>
      </c>
      <c r="AW140" s="704" t="n">
        <v>0</v>
      </c>
      <c r="AX140" s="704" t="n">
        <v>0</v>
      </c>
      <c r="AY140" s="704" t="n">
        <v>0</v>
      </c>
      <c r="AZ140" s="704" t="n">
        <v>0</v>
      </c>
      <c r="BA140" s="704" t="n">
        <v>0</v>
      </c>
      <c r="BB140" s="704" t="n">
        <v>0</v>
      </c>
      <c r="BC140" s="704" t="n">
        <v>0</v>
      </c>
      <c r="BD140" s="704" t="n">
        <v>0</v>
      </c>
      <c r="BE140" s="704" t="n">
        <v>0</v>
      </c>
      <c r="BF140" s="704" t="n">
        <v>0</v>
      </c>
      <c r="BG140" s="704" t="n">
        <v>0</v>
      </c>
      <c r="BH140" s="704" t="n">
        <v>0</v>
      </c>
      <c r="BI140" s="704" t="n">
        <v>0</v>
      </c>
      <c r="BJ140" s="704" t="n">
        <v>0</v>
      </c>
      <c r="BK140" s="704" t="n">
        <v>0</v>
      </c>
      <c r="BL140" s="704" t="n">
        <v>0</v>
      </c>
      <c r="BM140" s="704" t="n">
        <v>0</v>
      </c>
      <c r="BN140" s="704" t="n">
        <v>0</v>
      </c>
      <c r="BO140" s="704" t="n">
        <v>0</v>
      </c>
      <c r="BP140" s="704" t="n">
        <v>0</v>
      </c>
      <c r="BQ140" s="704" t="n">
        <v>0</v>
      </c>
      <c r="BR140" s="704" t="n">
        <v>0</v>
      </c>
      <c r="BS140" s="704" t="n">
        <v>0</v>
      </c>
      <c r="BT140" s="704" t="n">
        <v>0</v>
      </c>
      <c r="BU140" s="704" t="n">
        <v>0</v>
      </c>
      <c r="BV140" s="704" t="n">
        <v>0</v>
      </c>
      <c r="BW140" s="704" t="n">
        <v>0</v>
      </c>
      <c r="BX140" s="704" t="n">
        <v>0</v>
      </c>
      <c r="BY140" s="704" t="n">
        <v>0</v>
      </c>
      <c r="BZ140" s="704" t="n">
        <v>0</v>
      </c>
      <c r="CA140" s="704" t="n">
        <v>0</v>
      </c>
      <c r="CB140" s="704" t="n">
        <v>0</v>
      </c>
      <c r="CC140" s="704" t="n">
        <v>0</v>
      </c>
      <c r="CD140" s="704" t="n">
        <v>0</v>
      </c>
      <c r="CE140" s="704" t="n">
        <v>0</v>
      </c>
      <c r="CF140" s="704" t="n">
        <v>0</v>
      </c>
      <c r="CG140" s="704" t="n">
        <v>0</v>
      </c>
      <c r="CH140" s="704" t="n">
        <v>0</v>
      </c>
      <c r="CI140" s="704" t="n">
        <v>0</v>
      </c>
      <c r="CJ140" s="704" t="n">
        <v>0</v>
      </c>
      <c r="CK140" s="704" t="n">
        <v>0</v>
      </c>
      <c r="CL140" s="704" t="n">
        <v>0</v>
      </c>
      <c r="CM140" s="704" t="n">
        <v>0</v>
      </c>
      <c r="CN140" s="704" t="n">
        <v>0</v>
      </c>
      <c r="CO140" s="704" t="n">
        <v>0</v>
      </c>
      <c r="CP140" s="704" t="n">
        <v>0</v>
      </c>
      <c r="CQ140" s="704" t="n">
        <v>0</v>
      </c>
      <c r="CR140" s="704" t="n">
        <v>0</v>
      </c>
      <c r="CS140" s="704" t="n">
        <v>0</v>
      </c>
      <c r="CT140" s="704" t="n">
        <v>0</v>
      </c>
      <c r="CU140" s="704" t="n">
        <v>0</v>
      </c>
      <c r="CV140" s="704" t="n">
        <v>0</v>
      </c>
      <c r="CW140" s="704" t="n">
        <v>0</v>
      </c>
      <c r="CX140" s="704" t="n">
        <v>0</v>
      </c>
      <c r="CY140" s="704" t="n">
        <v>0</v>
      </c>
      <c r="CZ140" s="704" t="n">
        <v>0</v>
      </c>
      <c r="DA140" s="704" t="n">
        <v>0</v>
      </c>
      <c r="DB140" s="704" t="n">
        <v>0</v>
      </c>
      <c r="DC140" s="704" t="n">
        <v>0</v>
      </c>
      <c r="DD140" s="704" t="n">
        <v>0</v>
      </c>
      <c r="DE140" s="704" t="n">
        <v>0</v>
      </c>
      <c r="DF140" s="704" t="n">
        <v>0</v>
      </c>
      <c r="DG140" s="704" t="n">
        <v>0</v>
      </c>
      <c r="DH140" s="704" t="n">
        <v>0</v>
      </c>
      <c r="DI140" s="704" t="n">
        <v>0</v>
      </c>
      <c r="DJ140" s="704" t="n">
        <v>0</v>
      </c>
      <c r="DK140" s="704" t="n">
        <v>0</v>
      </c>
      <c r="DL140" s="704" t="n">
        <v>0</v>
      </c>
      <c r="DM140" s="704" t="n">
        <v>0</v>
      </c>
    </row>
    <row r="141" ht="13.5" customHeight="1" s="355">
      <c r="B141" s="703" t="inlineStr">
        <is>
          <t>Req to Pay</t>
        </is>
      </c>
      <c r="D141" s="704" t="n">
        <v>0</v>
      </c>
      <c r="E141" s="704" t="n">
        <v>0</v>
      </c>
      <c r="F141" s="704" t="n">
        <v>0</v>
      </c>
      <c r="G141" s="704" t="n">
        <v>0</v>
      </c>
      <c r="H141" s="704" t="n">
        <v>0</v>
      </c>
      <c r="I141" s="704" t="n">
        <v>0</v>
      </c>
      <c r="J141" s="704" t="n">
        <v>0</v>
      </c>
      <c r="K141" s="704" t="n">
        <v>0</v>
      </c>
      <c r="L141" s="704" t="n">
        <v>0</v>
      </c>
      <c r="M141" s="704" t="n">
        <v>0</v>
      </c>
      <c r="N141" s="704" t="n">
        <v>0</v>
      </c>
      <c r="O141" s="704" t="n">
        <v>0</v>
      </c>
      <c r="P141" s="704" t="n">
        <v>0</v>
      </c>
      <c r="Q141" s="704" t="n">
        <v>0</v>
      </c>
      <c r="R141" s="704" t="n">
        <v>0</v>
      </c>
      <c r="S141" s="704" t="n">
        <v>0</v>
      </c>
      <c r="T141" s="704" t="n">
        <v>0</v>
      </c>
      <c r="U141" s="704" t="n">
        <v>0</v>
      </c>
      <c r="V141" s="704" t="n">
        <v>0</v>
      </c>
      <c r="W141" s="704" t="n">
        <v>0</v>
      </c>
      <c r="X141" s="704" t="n">
        <v>0</v>
      </c>
      <c r="Y141" s="704" t="n">
        <v>0</v>
      </c>
      <c r="Z141" s="704" t="n">
        <v>0</v>
      </c>
      <c r="AA141" s="704" t="n">
        <v>0</v>
      </c>
      <c r="AB141" s="704" t="n">
        <v>0</v>
      </c>
      <c r="AC141" s="704" t="n">
        <v>0</v>
      </c>
      <c r="AD141" s="704" t="n">
        <v>0</v>
      </c>
      <c r="AE141" s="704" t="n">
        <v>0</v>
      </c>
      <c r="AF141" s="704" t="n">
        <v>0</v>
      </c>
      <c r="AG141" s="704" t="n">
        <v>0</v>
      </c>
      <c r="AH141" s="704" t="n">
        <v>0</v>
      </c>
      <c r="AI141" s="704" t="n">
        <v>0</v>
      </c>
      <c r="AJ141" s="704" t="n">
        <v>0</v>
      </c>
      <c r="AK141" s="704" t="n">
        <v>0</v>
      </c>
      <c r="AL141" s="704" t="n">
        <v>0</v>
      </c>
      <c r="AM141" s="704" t="n">
        <v>0</v>
      </c>
      <c r="AN141" s="704" t="n">
        <v>0</v>
      </c>
      <c r="AO141" s="704" t="n">
        <v>0</v>
      </c>
      <c r="AP141" s="704" t="n">
        <v>0</v>
      </c>
      <c r="AQ141" s="704" t="n">
        <v>0</v>
      </c>
      <c r="AR141" s="704" t="n">
        <v>0</v>
      </c>
      <c r="AS141" s="704" t="n">
        <v>0</v>
      </c>
      <c r="AT141" s="704" t="n">
        <v>0</v>
      </c>
      <c r="AU141" s="704" t="n">
        <v>0</v>
      </c>
      <c r="AV141" s="704" t="n">
        <v>0</v>
      </c>
      <c r="AW141" s="704" t="n">
        <v>0</v>
      </c>
      <c r="AX141" s="704" t="n">
        <v>0</v>
      </c>
      <c r="AY141" s="704" t="n">
        <v>0</v>
      </c>
      <c r="AZ141" s="704" t="n">
        <v>0</v>
      </c>
      <c r="BA141" s="704" t="n">
        <v>0</v>
      </c>
      <c r="BB141" s="704" t="n">
        <v>0</v>
      </c>
      <c r="BC141" s="704" t="n">
        <v>0</v>
      </c>
      <c r="BD141" s="704" t="n">
        <v>0</v>
      </c>
      <c r="BE141" s="704" t="n">
        <v>0</v>
      </c>
      <c r="BF141" s="704" t="n">
        <v>0</v>
      </c>
      <c r="BG141" s="704" t="n">
        <v>0</v>
      </c>
      <c r="BH141" s="704" t="n">
        <v>0</v>
      </c>
      <c r="BI141" s="704" t="n">
        <v>0</v>
      </c>
      <c r="BJ141" s="704" t="n">
        <v>0</v>
      </c>
      <c r="BK141" s="704" t="n">
        <v>0</v>
      </c>
      <c r="BL141" s="704" t="n">
        <v>0</v>
      </c>
      <c r="BM141" s="704" t="n">
        <v>0</v>
      </c>
      <c r="BN141" s="704" t="n">
        <v>0</v>
      </c>
      <c r="BO141" s="704" t="n">
        <v>0</v>
      </c>
      <c r="BP141" s="704" t="n">
        <v>0</v>
      </c>
      <c r="BQ141" s="704" t="n">
        <v>0</v>
      </c>
      <c r="BR141" s="704" t="n">
        <v>0</v>
      </c>
      <c r="BS141" s="704" t="n">
        <v>0</v>
      </c>
      <c r="BT141" s="704" t="n">
        <v>0</v>
      </c>
      <c r="BU141" s="704" t="n">
        <v>0</v>
      </c>
      <c r="BV141" s="704" t="n">
        <v>0</v>
      </c>
      <c r="BW141" s="704" t="n">
        <v>0</v>
      </c>
      <c r="BX141" s="704" t="n">
        <v>0</v>
      </c>
      <c r="BY141" s="704" t="n">
        <v>0</v>
      </c>
      <c r="BZ141" s="704" t="n">
        <v>0</v>
      </c>
      <c r="CA141" s="704" t="n">
        <v>0</v>
      </c>
      <c r="CB141" s="704" t="n">
        <v>0</v>
      </c>
      <c r="CC141" s="704" t="n">
        <v>0</v>
      </c>
      <c r="CD141" s="704" t="n">
        <v>0</v>
      </c>
      <c r="CE141" s="704" t="n">
        <v>0</v>
      </c>
      <c r="CF141" s="704" t="n">
        <v>0</v>
      </c>
      <c r="CG141" s="704" t="n">
        <v>0</v>
      </c>
      <c r="CH141" s="704" t="n">
        <v>0</v>
      </c>
      <c r="CI141" s="704" t="n">
        <v>0</v>
      </c>
      <c r="CJ141" s="704" t="n">
        <v>0</v>
      </c>
      <c r="CK141" s="704" t="n">
        <v>0</v>
      </c>
      <c r="CL141" s="704" t="n">
        <v>0</v>
      </c>
      <c r="CM141" s="704" t="n">
        <v>0</v>
      </c>
      <c r="CN141" s="704" t="n">
        <v>0</v>
      </c>
      <c r="CO141" s="704" t="n">
        <v>0</v>
      </c>
      <c r="CP141" s="704" t="n">
        <v>0</v>
      </c>
      <c r="CQ141" s="704" t="n">
        <v>0</v>
      </c>
      <c r="CR141" s="704" t="n">
        <v>0</v>
      </c>
      <c r="CS141" s="704" t="n">
        <v>0</v>
      </c>
      <c r="CT141" s="704" t="n">
        <v>0</v>
      </c>
      <c r="CU141" s="704" t="n">
        <v>0</v>
      </c>
      <c r="CV141" s="704" t="n">
        <v>0</v>
      </c>
      <c r="CW141" s="704" t="n">
        <v>0</v>
      </c>
      <c r="CX141" s="704" t="n">
        <v>0</v>
      </c>
      <c r="CY141" s="704" t="n">
        <v>0</v>
      </c>
      <c r="CZ141" s="704" t="n">
        <v>0</v>
      </c>
      <c r="DA141" s="704" t="n">
        <v>0</v>
      </c>
      <c r="DB141" s="704" t="n">
        <v>0</v>
      </c>
      <c r="DC141" s="704" t="n">
        <v>0</v>
      </c>
      <c r="DD141" s="704" t="n">
        <v>0</v>
      </c>
      <c r="DE141" s="704" t="n">
        <v>0</v>
      </c>
      <c r="DF141" s="704" t="n">
        <v>0</v>
      </c>
      <c r="DG141" s="704" t="n">
        <v>0</v>
      </c>
      <c r="DH141" s="704" t="n">
        <v>0</v>
      </c>
      <c r="DI141" s="704" t="n">
        <v>0</v>
      </c>
      <c r="DJ141" s="704" t="n">
        <v>0</v>
      </c>
      <c r="DK141" s="704" t="n">
        <v>0</v>
      </c>
      <c r="DL141" s="704" t="n">
        <v>0</v>
      </c>
      <c r="DM141" s="704" t="n">
        <v>0</v>
      </c>
    </row>
    <row r="142" ht="13.5" customHeight="1" s="355">
      <c r="B142" s="703" t="inlineStr">
        <is>
          <t>Team Leader</t>
        </is>
      </c>
      <c r="D142" s="704" t="n">
        <v>0</v>
      </c>
      <c r="E142" s="704" t="n">
        <v>0</v>
      </c>
      <c r="F142" s="704" t="n">
        <v>0</v>
      </c>
      <c r="G142" s="704" t="n">
        <v>0</v>
      </c>
      <c r="H142" s="704" t="n">
        <v>0</v>
      </c>
      <c r="I142" s="704" t="n">
        <v>0</v>
      </c>
      <c r="J142" s="704" t="n">
        <v>0</v>
      </c>
      <c r="K142" s="704" t="n">
        <v>0</v>
      </c>
      <c r="L142" s="704" t="n">
        <v>0</v>
      </c>
      <c r="M142" s="704" t="n">
        <v>0</v>
      </c>
      <c r="N142" s="704" t="n">
        <v>0</v>
      </c>
      <c r="O142" s="704" t="n">
        <v>0</v>
      </c>
      <c r="P142" s="704" t="n">
        <v>0</v>
      </c>
      <c r="Q142" s="704" t="n">
        <v>0</v>
      </c>
      <c r="R142" s="704" t="n">
        <v>0</v>
      </c>
      <c r="S142" s="704" t="n">
        <v>0</v>
      </c>
      <c r="T142" s="704" t="n">
        <v>0</v>
      </c>
      <c r="U142" s="704" t="n">
        <v>0</v>
      </c>
      <c r="V142" s="704" t="n">
        <v>0</v>
      </c>
      <c r="W142" s="704" t="n">
        <v>0</v>
      </c>
      <c r="X142" s="704" t="n">
        <v>0</v>
      </c>
      <c r="Y142" s="704" t="n">
        <v>0</v>
      </c>
      <c r="Z142" s="704" t="n">
        <v>0</v>
      </c>
      <c r="AA142" s="704" t="n">
        <v>0</v>
      </c>
      <c r="AB142" s="704" t="n">
        <v>0</v>
      </c>
      <c r="AC142" s="704" t="n">
        <v>0</v>
      </c>
      <c r="AD142" s="704" t="n">
        <v>0</v>
      </c>
      <c r="AE142" s="704" t="n">
        <v>0</v>
      </c>
      <c r="AF142" s="704" t="n">
        <v>0</v>
      </c>
      <c r="AG142" s="704" t="n">
        <v>0</v>
      </c>
      <c r="AH142" s="704" t="n">
        <v>0</v>
      </c>
      <c r="AI142" s="704" t="n">
        <v>0</v>
      </c>
      <c r="AJ142" s="704" t="n">
        <v>0</v>
      </c>
      <c r="AK142" s="704" t="n">
        <v>0</v>
      </c>
      <c r="AL142" s="704" t="n">
        <v>0</v>
      </c>
      <c r="AM142" s="704" t="n">
        <v>0</v>
      </c>
      <c r="AN142" s="704" t="n">
        <v>0</v>
      </c>
      <c r="AO142" s="704" t="n">
        <v>0</v>
      </c>
      <c r="AP142" s="704" t="n">
        <v>0</v>
      </c>
      <c r="AQ142" s="704" t="n">
        <v>0</v>
      </c>
      <c r="AR142" s="704" t="n">
        <v>0</v>
      </c>
      <c r="AS142" s="704" t="n">
        <v>0</v>
      </c>
      <c r="AT142" s="704" t="n">
        <v>0</v>
      </c>
      <c r="AU142" s="704" t="n">
        <v>0</v>
      </c>
      <c r="AV142" s="704" t="n">
        <v>0</v>
      </c>
      <c r="AW142" s="704" t="n">
        <v>0</v>
      </c>
      <c r="AX142" s="704" t="n">
        <v>0</v>
      </c>
      <c r="AY142" s="704" t="n">
        <v>0</v>
      </c>
      <c r="AZ142" s="704" t="n">
        <v>0</v>
      </c>
      <c r="BA142" s="704" t="n">
        <v>0</v>
      </c>
      <c r="BB142" s="704" t="n">
        <v>0</v>
      </c>
      <c r="BC142" s="704" t="n">
        <v>0</v>
      </c>
      <c r="BD142" s="704" t="n">
        <v>0</v>
      </c>
      <c r="BE142" s="704" t="n">
        <v>0</v>
      </c>
      <c r="BF142" s="704" t="n">
        <v>0</v>
      </c>
      <c r="BG142" s="704" t="n">
        <v>0</v>
      </c>
      <c r="BH142" s="704" t="n">
        <v>0</v>
      </c>
      <c r="BI142" s="704" t="n">
        <v>0</v>
      </c>
      <c r="BJ142" s="704" t="n">
        <v>0</v>
      </c>
      <c r="BK142" s="704" t="n">
        <v>0</v>
      </c>
      <c r="BL142" s="704" t="n">
        <v>0</v>
      </c>
      <c r="BM142" s="704" t="n">
        <v>0</v>
      </c>
      <c r="BN142" s="704" t="n">
        <v>0</v>
      </c>
      <c r="BO142" s="704" t="n">
        <v>0</v>
      </c>
      <c r="BP142" s="704" t="n">
        <v>0</v>
      </c>
      <c r="BQ142" s="704" t="n">
        <v>0</v>
      </c>
      <c r="BR142" s="704" t="n">
        <v>0</v>
      </c>
      <c r="BS142" s="704" t="n">
        <v>0</v>
      </c>
      <c r="BT142" s="704" t="n">
        <v>0</v>
      </c>
      <c r="BU142" s="704" t="n">
        <v>0</v>
      </c>
      <c r="BV142" s="704" t="n">
        <v>0</v>
      </c>
      <c r="BW142" s="704" t="n">
        <v>0</v>
      </c>
      <c r="BX142" s="704" t="n">
        <v>0</v>
      </c>
      <c r="BY142" s="704" t="n">
        <v>0</v>
      </c>
      <c r="BZ142" s="704" t="n">
        <v>0</v>
      </c>
      <c r="CA142" s="704" t="n">
        <v>0</v>
      </c>
      <c r="CB142" s="704" t="n">
        <v>0</v>
      </c>
      <c r="CC142" s="704" t="n">
        <v>0</v>
      </c>
      <c r="CD142" s="704" t="n">
        <v>0</v>
      </c>
      <c r="CE142" s="704" t="n">
        <v>0</v>
      </c>
      <c r="CF142" s="704" t="n">
        <v>0</v>
      </c>
      <c r="CG142" s="704" t="n">
        <v>0</v>
      </c>
      <c r="CH142" s="704" t="n">
        <v>0</v>
      </c>
      <c r="CI142" s="704" t="n">
        <v>0</v>
      </c>
      <c r="CJ142" s="704" t="n">
        <v>0</v>
      </c>
      <c r="CK142" s="704" t="n">
        <v>0</v>
      </c>
      <c r="CL142" s="704" t="n">
        <v>0</v>
      </c>
      <c r="CM142" s="704" t="n">
        <v>0</v>
      </c>
      <c r="CN142" s="704" t="n">
        <v>0</v>
      </c>
      <c r="CO142" s="704" t="n">
        <v>0</v>
      </c>
      <c r="CP142" s="704" t="n">
        <v>0</v>
      </c>
      <c r="CQ142" s="704" t="n">
        <v>0</v>
      </c>
      <c r="CR142" s="704" t="n">
        <v>0</v>
      </c>
      <c r="CS142" s="704" t="n">
        <v>0</v>
      </c>
      <c r="CT142" s="704" t="n">
        <v>0</v>
      </c>
      <c r="CU142" s="704" t="n">
        <v>0</v>
      </c>
      <c r="CV142" s="704" t="n">
        <v>0</v>
      </c>
      <c r="CW142" s="704" t="n">
        <v>0</v>
      </c>
      <c r="CX142" s="704" t="n">
        <v>0</v>
      </c>
      <c r="CY142" s="704" t="n">
        <v>0</v>
      </c>
      <c r="CZ142" s="704" t="n">
        <v>0</v>
      </c>
      <c r="DA142" s="704" t="n">
        <v>0</v>
      </c>
      <c r="DB142" s="704" t="n">
        <v>0</v>
      </c>
      <c r="DC142" s="704" t="n">
        <v>0</v>
      </c>
      <c r="DD142" s="704" t="n">
        <v>0</v>
      </c>
      <c r="DE142" s="704" t="n">
        <v>0</v>
      </c>
      <c r="DF142" s="704" t="n">
        <v>0</v>
      </c>
      <c r="DG142" s="704" t="n">
        <v>0</v>
      </c>
      <c r="DH142" s="704" t="n">
        <v>0</v>
      </c>
      <c r="DI142" s="704" t="n">
        <v>0</v>
      </c>
      <c r="DJ142" s="704" t="n">
        <v>0</v>
      </c>
      <c r="DK142" s="704" t="n">
        <v>0</v>
      </c>
      <c r="DL142" s="704" t="n">
        <v>0</v>
      </c>
      <c r="DM142" s="704" t="n">
        <v>0</v>
      </c>
    </row>
    <row r="143" ht="13.5" customHeight="1" s="355">
      <c r="B143" s="703" t="inlineStr">
        <is>
          <t>SLA Metric Reporting</t>
        </is>
      </c>
      <c r="D143" s="704" t="n">
        <v>0</v>
      </c>
      <c r="E143" s="704" t="n">
        <v>0</v>
      </c>
      <c r="F143" s="704" t="n">
        <v>0</v>
      </c>
      <c r="G143" s="704" t="n">
        <v>0</v>
      </c>
      <c r="H143" s="704" t="n">
        <v>0</v>
      </c>
      <c r="I143" s="704" t="n">
        <v>0</v>
      </c>
      <c r="J143" s="704" t="n">
        <v>0</v>
      </c>
      <c r="K143" s="704" t="n">
        <v>0</v>
      </c>
      <c r="L143" s="704" t="n">
        <v>0</v>
      </c>
      <c r="M143" s="704" t="n">
        <v>0</v>
      </c>
      <c r="N143" s="704" t="n">
        <v>0</v>
      </c>
      <c r="O143" s="704" t="n">
        <v>0</v>
      </c>
      <c r="P143" s="704" t="n">
        <v>0</v>
      </c>
      <c r="Q143" s="704" t="n">
        <v>0</v>
      </c>
      <c r="R143" s="704" t="n">
        <v>0</v>
      </c>
      <c r="S143" s="704" t="n">
        <v>0</v>
      </c>
      <c r="T143" s="704" t="n">
        <v>0</v>
      </c>
      <c r="U143" s="704" t="n">
        <v>0</v>
      </c>
      <c r="V143" s="704" t="n">
        <v>0</v>
      </c>
      <c r="W143" s="704" t="n">
        <v>0</v>
      </c>
      <c r="X143" s="704" t="n">
        <v>0</v>
      </c>
      <c r="Y143" s="704" t="n">
        <v>0</v>
      </c>
      <c r="Z143" s="704" t="n">
        <v>0</v>
      </c>
      <c r="AA143" s="704" t="n">
        <v>0</v>
      </c>
      <c r="AB143" s="704" t="n">
        <v>0</v>
      </c>
      <c r="AC143" s="704" t="n">
        <v>0</v>
      </c>
      <c r="AD143" s="704" t="n">
        <v>0</v>
      </c>
      <c r="AE143" s="704" t="n">
        <v>0</v>
      </c>
      <c r="AF143" s="704" t="n">
        <v>0</v>
      </c>
      <c r="AG143" s="704" t="n">
        <v>0</v>
      </c>
      <c r="AH143" s="704" t="n">
        <v>0</v>
      </c>
      <c r="AI143" s="704" t="n">
        <v>0</v>
      </c>
      <c r="AJ143" s="704" t="n">
        <v>0</v>
      </c>
      <c r="AK143" s="704" t="n">
        <v>0</v>
      </c>
      <c r="AL143" s="704" t="n">
        <v>0</v>
      </c>
      <c r="AM143" s="704" t="n">
        <v>0</v>
      </c>
      <c r="AN143" s="704" t="n">
        <v>0</v>
      </c>
      <c r="AO143" s="704" t="n">
        <v>0</v>
      </c>
      <c r="AP143" s="704" t="n">
        <v>0</v>
      </c>
      <c r="AQ143" s="704" t="n">
        <v>0</v>
      </c>
      <c r="AR143" s="704" t="n">
        <v>0</v>
      </c>
      <c r="AS143" s="704" t="n">
        <v>0</v>
      </c>
      <c r="AT143" s="704" t="n">
        <v>0</v>
      </c>
      <c r="AU143" s="704" t="n">
        <v>0</v>
      </c>
      <c r="AV143" s="704" t="n">
        <v>0</v>
      </c>
      <c r="AW143" s="704" t="n">
        <v>0</v>
      </c>
      <c r="AX143" s="704" t="n">
        <v>0</v>
      </c>
      <c r="AY143" s="704" t="n">
        <v>0</v>
      </c>
      <c r="AZ143" s="704" t="n">
        <v>0</v>
      </c>
      <c r="BA143" s="704" t="n">
        <v>0</v>
      </c>
      <c r="BB143" s="704" t="n">
        <v>0</v>
      </c>
      <c r="BC143" s="704" t="n">
        <v>0</v>
      </c>
      <c r="BD143" s="704" t="n">
        <v>0</v>
      </c>
      <c r="BE143" s="704" t="n">
        <v>0</v>
      </c>
      <c r="BF143" s="704" t="n">
        <v>0</v>
      </c>
      <c r="BG143" s="704" t="n">
        <v>0</v>
      </c>
      <c r="BH143" s="704" t="n">
        <v>0</v>
      </c>
      <c r="BI143" s="704" t="n">
        <v>0</v>
      </c>
      <c r="BJ143" s="704" t="n">
        <v>0</v>
      </c>
      <c r="BK143" s="704" t="n">
        <v>0</v>
      </c>
      <c r="BL143" s="704" t="n">
        <v>0</v>
      </c>
      <c r="BM143" s="704" t="n">
        <v>0</v>
      </c>
      <c r="BN143" s="704" t="n">
        <v>0</v>
      </c>
      <c r="BO143" s="704" t="n">
        <v>0</v>
      </c>
      <c r="BP143" s="704" t="n">
        <v>0</v>
      </c>
      <c r="BQ143" s="704" t="n">
        <v>0</v>
      </c>
      <c r="BR143" s="704" t="n">
        <v>0</v>
      </c>
      <c r="BS143" s="704" t="n">
        <v>0</v>
      </c>
      <c r="BT143" s="704" t="n">
        <v>0</v>
      </c>
      <c r="BU143" s="704" t="n">
        <v>0</v>
      </c>
      <c r="BV143" s="704" t="n">
        <v>0</v>
      </c>
      <c r="BW143" s="704" t="n">
        <v>0</v>
      </c>
      <c r="BX143" s="704" t="n">
        <v>0</v>
      </c>
      <c r="BY143" s="704" t="n">
        <v>0</v>
      </c>
      <c r="BZ143" s="704" t="n">
        <v>0</v>
      </c>
      <c r="CA143" s="704" t="n">
        <v>0</v>
      </c>
      <c r="CB143" s="704" t="n">
        <v>0</v>
      </c>
      <c r="CC143" s="704" t="n">
        <v>0</v>
      </c>
      <c r="CD143" s="704" t="n">
        <v>0</v>
      </c>
      <c r="CE143" s="704" t="n">
        <v>0</v>
      </c>
      <c r="CF143" s="704" t="n">
        <v>0</v>
      </c>
      <c r="CG143" s="704" t="n">
        <v>0</v>
      </c>
      <c r="CH143" s="704" t="n">
        <v>0</v>
      </c>
      <c r="CI143" s="704" t="n">
        <v>0</v>
      </c>
      <c r="CJ143" s="704" t="n">
        <v>0</v>
      </c>
      <c r="CK143" s="704" t="n">
        <v>0</v>
      </c>
      <c r="CL143" s="704" t="n">
        <v>0</v>
      </c>
      <c r="CM143" s="704" t="n">
        <v>0</v>
      </c>
      <c r="CN143" s="704" t="n">
        <v>0</v>
      </c>
      <c r="CO143" s="704" t="n">
        <v>0</v>
      </c>
      <c r="CP143" s="704" t="n">
        <v>0</v>
      </c>
      <c r="CQ143" s="704" t="n">
        <v>0</v>
      </c>
      <c r="CR143" s="704" t="n">
        <v>0</v>
      </c>
      <c r="CS143" s="704" t="n">
        <v>0</v>
      </c>
      <c r="CT143" s="704" t="n">
        <v>0</v>
      </c>
      <c r="CU143" s="704" t="n">
        <v>0</v>
      </c>
      <c r="CV143" s="704" t="n">
        <v>0</v>
      </c>
      <c r="CW143" s="704" t="n">
        <v>0</v>
      </c>
      <c r="CX143" s="704" t="n">
        <v>0</v>
      </c>
      <c r="CY143" s="704" t="n">
        <v>0</v>
      </c>
      <c r="CZ143" s="704" t="n">
        <v>0</v>
      </c>
      <c r="DA143" s="704" t="n">
        <v>0</v>
      </c>
      <c r="DB143" s="704" t="n">
        <v>0</v>
      </c>
      <c r="DC143" s="704" t="n">
        <v>0</v>
      </c>
      <c r="DD143" s="704" t="n">
        <v>0</v>
      </c>
      <c r="DE143" s="704" t="n">
        <v>0</v>
      </c>
      <c r="DF143" s="704" t="n">
        <v>0</v>
      </c>
      <c r="DG143" s="704" t="n">
        <v>0</v>
      </c>
      <c r="DH143" s="704" t="n">
        <v>0</v>
      </c>
      <c r="DI143" s="704" t="n">
        <v>0</v>
      </c>
      <c r="DJ143" s="704" t="n">
        <v>0</v>
      </c>
      <c r="DK143" s="704" t="n">
        <v>0</v>
      </c>
      <c r="DL143" s="704" t="n">
        <v>0</v>
      </c>
      <c r="DM143" s="704" t="n">
        <v>0</v>
      </c>
    </row>
    <row r="144" ht="13.5" customHeight="1" s="355">
      <c r="B144" s="705" t="inlineStr">
        <is>
          <t>Grand Total</t>
        </is>
      </c>
      <c r="C144" s="706" t="n"/>
      <c r="D144" s="707" t="n">
        <v>0</v>
      </c>
      <c r="E144" s="707" t="n">
        <v>0</v>
      </c>
      <c r="F144" s="707" t="n">
        <v>0</v>
      </c>
      <c r="G144" s="707" t="n">
        <v>0</v>
      </c>
      <c r="H144" s="707" t="n">
        <v>0</v>
      </c>
      <c r="I144" s="707" t="n">
        <v>0</v>
      </c>
      <c r="J144" s="707" t="n">
        <v>0</v>
      </c>
      <c r="K144" s="707" t="n">
        <v>0</v>
      </c>
      <c r="L144" s="707" t="n">
        <v>0</v>
      </c>
      <c r="M144" s="707" t="n">
        <v>0</v>
      </c>
      <c r="N144" s="707" t="n">
        <v>0</v>
      </c>
      <c r="O144" s="707" t="n">
        <v>0</v>
      </c>
      <c r="P144" s="707" t="n">
        <v>0</v>
      </c>
      <c r="Q144" s="707" t="n">
        <v>0</v>
      </c>
      <c r="R144" s="707" t="n">
        <v>0</v>
      </c>
      <c r="S144" s="707" t="n">
        <v>0</v>
      </c>
      <c r="T144" s="707" t="n">
        <v>0</v>
      </c>
      <c r="U144" s="707" t="n">
        <v>0</v>
      </c>
      <c r="V144" s="707" t="n">
        <v>0</v>
      </c>
      <c r="W144" s="707" t="n">
        <v>0</v>
      </c>
      <c r="X144" s="707" t="n">
        <v>0</v>
      </c>
      <c r="Y144" s="707" t="n">
        <v>0</v>
      </c>
      <c r="Z144" s="707" t="n">
        <v>0</v>
      </c>
      <c r="AA144" s="707" t="n">
        <v>0</v>
      </c>
      <c r="AB144" s="707" t="n">
        <v>0</v>
      </c>
      <c r="AC144" s="707" t="n">
        <v>0</v>
      </c>
      <c r="AD144" s="707" t="n">
        <v>0</v>
      </c>
      <c r="AE144" s="707" t="n">
        <v>0</v>
      </c>
      <c r="AF144" s="707" t="n">
        <v>0</v>
      </c>
      <c r="AG144" s="707" t="n">
        <v>0</v>
      </c>
      <c r="AH144" s="707" t="n">
        <v>0</v>
      </c>
      <c r="AI144" s="707" t="n">
        <v>0</v>
      </c>
      <c r="AJ144" s="707" t="n">
        <v>0</v>
      </c>
      <c r="AK144" s="707" t="n">
        <v>0</v>
      </c>
      <c r="AL144" s="707" t="n">
        <v>0</v>
      </c>
      <c r="AM144" s="707" t="n">
        <v>0</v>
      </c>
      <c r="AN144" s="707" t="n">
        <v>0</v>
      </c>
      <c r="AO144" s="707" t="n">
        <v>0</v>
      </c>
      <c r="AP144" s="707" t="n">
        <v>0</v>
      </c>
      <c r="AQ144" s="707" t="n">
        <v>0</v>
      </c>
      <c r="AR144" s="707" t="n">
        <v>0</v>
      </c>
      <c r="AS144" s="707" t="n">
        <v>0</v>
      </c>
      <c r="AT144" s="707" t="n">
        <v>0</v>
      </c>
      <c r="AU144" s="707" t="n">
        <v>0</v>
      </c>
      <c r="AV144" s="707" t="n">
        <v>0</v>
      </c>
      <c r="AW144" s="707" t="n">
        <v>0</v>
      </c>
      <c r="AX144" s="707" t="n">
        <v>0</v>
      </c>
      <c r="AY144" s="707" t="n">
        <v>0</v>
      </c>
      <c r="AZ144" s="707" t="n">
        <v>0</v>
      </c>
      <c r="BA144" s="707" t="n">
        <v>0</v>
      </c>
      <c r="BB144" s="707" t="n">
        <v>0</v>
      </c>
      <c r="BC144" s="707" t="n">
        <v>0</v>
      </c>
      <c r="BD144" s="707" t="n">
        <v>0</v>
      </c>
      <c r="BE144" s="707" t="n">
        <v>0</v>
      </c>
      <c r="BF144" s="707" t="n">
        <v>0</v>
      </c>
      <c r="BG144" s="707" t="n">
        <v>0</v>
      </c>
      <c r="BH144" s="707" t="n">
        <v>0</v>
      </c>
      <c r="BI144" s="707" t="n">
        <v>0</v>
      </c>
      <c r="BJ144" s="707" t="n">
        <v>0</v>
      </c>
      <c r="BK144" s="707" t="n">
        <v>0</v>
      </c>
      <c r="BL144" s="707" t="n">
        <v>0</v>
      </c>
      <c r="BM144" s="707" t="n">
        <v>0</v>
      </c>
      <c r="BN144" s="707" t="n">
        <v>0</v>
      </c>
      <c r="BO144" s="707" t="n">
        <v>0</v>
      </c>
      <c r="BP144" s="707" t="n">
        <v>0</v>
      </c>
      <c r="BQ144" s="707" t="n">
        <v>0</v>
      </c>
      <c r="BR144" s="707" t="n">
        <v>0</v>
      </c>
      <c r="BS144" s="707" t="n">
        <v>0</v>
      </c>
      <c r="BT144" s="707" t="n">
        <v>0</v>
      </c>
      <c r="BU144" s="707" t="n">
        <v>0</v>
      </c>
      <c r="BV144" s="707" t="n">
        <v>0</v>
      </c>
      <c r="BW144" s="707" t="n">
        <v>0</v>
      </c>
      <c r="BX144" s="707" t="n">
        <v>0</v>
      </c>
      <c r="BY144" s="707" t="n">
        <v>0</v>
      </c>
      <c r="BZ144" s="707" t="n">
        <v>0</v>
      </c>
      <c r="CA144" s="707" t="n">
        <v>0</v>
      </c>
      <c r="CB144" s="707" t="n">
        <v>0</v>
      </c>
      <c r="CC144" s="707" t="n">
        <v>0</v>
      </c>
      <c r="CD144" s="707" t="n">
        <v>0</v>
      </c>
      <c r="CE144" s="707" t="n">
        <v>0</v>
      </c>
      <c r="CF144" s="707" t="n">
        <v>0</v>
      </c>
      <c r="CG144" s="707" t="n">
        <v>0</v>
      </c>
      <c r="CH144" s="707" t="n">
        <v>0</v>
      </c>
      <c r="CI144" s="707" t="n">
        <v>0</v>
      </c>
      <c r="CJ144" s="707" t="n">
        <v>0</v>
      </c>
      <c r="CK144" s="707" t="n">
        <v>0</v>
      </c>
      <c r="CL144" s="707" t="n">
        <v>0</v>
      </c>
      <c r="CM144" s="707" t="n">
        <v>0</v>
      </c>
      <c r="CN144" s="707" t="n">
        <v>0</v>
      </c>
      <c r="CO144" s="707" t="n">
        <v>0</v>
      </c>
      <c r="CP144" s="707" t="n">
        <v>0</v>
      </c>
      <c r="CQ144" s="707" t="n">
        <v>0</v>
      </c>
      <c r="CR144" s="707" t="n">
        <v>0</v>
      </c>
      <c r="CS144" s="707" t="n">
        <v>0</v>
      </c>
      <c r="CT144" s="707" t="n">
        <v>0</v>
      </c>
      <c r="CU144" s="707" t="n">
        <v>0</v>
      </c>
      <c r="CV144" s="707" t="n">
        <v>0</v>
      </c>
      <c r="CW144" s="707" t="n">
        <v>0</v>
      </c>
      <c r="CX144" s="707" t="n">
        <v>0</v>
      </c>
      <c r="CY144" s="707" t="n">
        <v>0</v>
      </c>
      <c r="CZ144" s="707" t="n">
        <v>0</v>
      </c>
      <c r="DA144" s="707" t="n">
        <v>0</v>
      </c>
      <c r="DB144" s="707" t="n">
        <v>0</v>
      </c>
      <c r="DC144" s="707" t="n">
        <v>0</v>
      </c>
      <c r="DD144" s="707" t="n">
        <v>0</v>
      </c>
      <c r="DE144" s="707" t="n">
        <v>0</v>
      </c>
      <c r="DF144" s="707" t="n">
        <v>0</v>
      </c>
      <c r="DG144" s="707" t="n">
        <v>0</v>
      </c>
      <c r="DH144" s="707" t="n">
        <v>0</v>
      </c>
      <c r="DI144" s="707" t="n">
        <v>0</v>
      </c>
      <c r="DJ144" s="707" t="n">
        <v>0</v>
      </c>
      <c r="DK144" s="707" t="n">
        <v>0</v>
      </c>
      <c r="DL144" s="707" t="n">
        <v>0</v>
      </c>
      <c r="DM144" s="707" t="n">
        <v>0</v>
      </c>
    </row>
    <row r="145" ht="13.5" customHeight="1" s="355">
      <c r="A145" s="702" t="inlineStr">
        <is>
          <t>Country 14</t>
        </is>
      </c>
      <c r="B145" s="703" t="inlineStr">
        <is>
          <t>Gen Acctg</t>
        </is>
      </c>
      <c r="D145" s="704" t="n">
        <v>0</v>
      </c>
      <c r="E145" s="704" t="n">
        <v>0</v>
      </c>
      <c r="F145" s="704" t="n">
        <v>0</v>
      </c>
      <c r="G145" s="704" t="n">
        <v>0</v>
      </c>
      <c r="H145" s="704" t="n">
        <v>0</v>
      </c>
      <c r="I145" s="704" t="n">
        <v>0</v>
      </c>
      <c r="J145" s="704" t="n">
        <v>0</v>
      </c>
      <c r="K145" s="704" t="n">
        <v>0</v>
      </c>
      <c r="L145" s="704" t="n">
        <v>0</v>
      </c>
      <c r="M145" s="704" t="n">
        <v>0</v>
      </c>
      <c r="N145" s="704" t="n">
        <v>0</v>
      </c>
      <c r="O145" s="704" t="n">
        <v>0</v>
      </c>
      <c r="P145" s="704" t="n">
        <v>0</v>
      </c>
      <c r="Q145" s="704" t="n">
        <v>0</v>
      </c>
      <c r="R145" s="704" t="n">
        <v>0</v>
      </c>
      <c r="S145" s="704" t="n">
        <v>0</v>
      </c>
      <c r="T145" s="704" t="n">
        <v>0</v>
      </c>
      <c r="U145" s="704" t="n">
        <v>0</v>
      </c>
      <c r="V145" s="704" t="n">
        <v>0</v>
      </c>
      <c r="W145" s="704" t="n">
        <v>0</v>
      </c>
      <c r="X145" s="704" t="n">
        <v>0</v>
      </c>
      <c r="Y145" s="704" t="n">
        <v>0</v>
      </c>
      <c r="Z145" s="704" t="n">
        <v>0</v>
      </c>
      <c r="AA145" s="704" t="n">
        <v>0</v>
      </c>
      <c r="AB145" s="704" t="n">
        <v>0</v>
      </c>
      <c r="AC145" s="704" t="n">
        <v>0</v>
      </c>
      <c r="AD145" s="704" t="n">
        <v>0</v>
      </c>
      <c r="AE145" s="704" t="n">
        <v>0</v>
      </c>
      <c r="AF145" s="704" t="n">
        <v>0</v>
      </c>
      <c r="AG145" s="704" t="n">
        <v>0</v>
      </c>
      <c r="AH145" s="704" t="n">
        <v>0</v>
      </c>
      <c r="AI145" s="704" t="n">
        <v>0</v>
      </c>
      <c r="AJ145" s="704" t="n">
        <v>0</v>
      </c>
      <c r="AK145" s="704" t="n">
        <v>0</v>
      </c>
      <c r="AL145" s="704" t="n">
        <v>0</v>
      </c>
      <c r="AM145" s="704" t="n">
        <v>0</v>
      </c>
      <c r="AN145" s="704" t="n">
        <v>0</v>
      </c>
      <c r="AO145" s="704" t="n">
        <v>0</v>
      </c>
      <c r="AP145" s="704" t="n">
        <v>0</v>
      </c>
      <c r="AQ145" s="704" t="n">
        <v>0</v>
      </c>
      <c r="AR145" s="704" t="n">
        <v>0</v>
      </c>
      <c r="AS145" s="704" t="n">
        <v>0</v>
      </c>
      <c r="AT145" s="704" t="n">
        <v>0</v>
      </c>
      <c r="AU145" s="704" t="n">
        <v>0</v>
      </c>
      <c r="AV145" s="704" t="n">
        <v>0</v>
      </c>
      <c r="AW145" s="704" t="n">
        <v>0</v>
      </c>
      <c r="AX145" s="704" t="n">
        <v>0</v>
      </c>
      <c r="AY145" s="704" t="n">
        <v>0</v>
      </c>
      <c r="AZ145" s="704" t="n">
        <v>0</v>
      </c>
      <c r="BA145" s="704" t="n">
        <v>0</v>
      </c>
      <c r="BB145" s="704" t="n">
        <v>0</v>
      </c>
      <c r="BC145" s="704" t="n">
        <v>0</v>
      </c>
      <c r="BD145" s="704" t="n">
        <v>0</v>
      </c>
      <c r="BE145" s="704" t="n">
        <v>0</v>
      </c>
      <c r="BF145" s="704" t="n">
        <v>0</v>
      </c>
      <c r="BG145" s="704" t="n">
        <v>0</v>
      </c>
      <c r="BH145" s="704" t="n">
        <v>0</v>
      </c>
      <c r="BI145" s="704" t="n">
        <v>0</v>
      </c>
      <c r="BJ145" s="704" t="n">
        <v>0</v>
      </c>
      <c r="BK145" s="704" t="n">
        <v>0</v>
      </c>
      <c r="BL145" s="704" t="n">
        <v>0</v>
      </c>
      <c r="BM145" s="704" t="n">
        <v>0</v>
      </c>
      <c r="BN145" s="704" t="n">
        <v>0</v>
      </c>
      <c r="BO145" s="704" t="n">
        <v>0</v>
      </c>
      <c r="BP145" s="704" t="n">
        <v>0</v>
      </c>
      <c r="BQ145" s="704" t="n">
        <v>0</v>
      </c>
      <c r="BR145" s="704" t="n">
        <v>0</v>
      </c>
      <c r="BS145" s="704" t="n">
        <v>0</v>
      </c>
      <c r="BT145" s="704" t="n">
        <v>0</v>
      </c>
      <c r="BU145" s="704" t="n">
        <v>0</v>
      </c>
      <c r="BV145" s="704" t="n">
        <v>0</v>
      </c>
      <c r="BW145" s="704" t="n">
        <v>0</v>
      </c>
      <c r="BX145" s="704" t="n">
        <v>0</v>
      </c>
      <c r="BY145" s="704" t="n">
        <v>0</v>
      </c>
      <c r="BZ145" s="704" t="n">
        <v>0</v>
      </c>
      <c r="CA145" s="704" t="n">
        <v>0</v>
      </c>
      <c r="CB145" s="704" t="n">
        <v>0</v>
      </c>
      <c r="CC145" s="704" t="n">
        <v>0</v>
      </c>
      <c r="CD145" s="704" t="n">
        <v>0</v>
      </c>
      <c r="CE145" s="704" t="n">
        <v>0</v>
      </c>
      <c r="CF145" s="704" t="n">
        <v>0</v>
      </c>
      <c r="CG145" s="704" t="n">
        <v>0</v>
      </c>
      <c r="CH145" s="704" t="n">
        <v>0</v>
      </c>
      <c r="CI145" s="704" t="n">
        <v>0</v>
      </c>
      <c r="CJ145" s="704" t="n">
        <v>0</v>
      </c>
      <c r="CK145" s="704" t="n">
        <v>0</v>
      </c>
      <c r="CL145" s="704" t="n">
        <v>0</v>
      </c>
      <c r="CM145" s="704" t="n">
        <v>0</v>
      </c>
      <c r="CN145" s="704" t="n">
        <v>0</v>
      </c>
      <c r="CO145" s="704" t="n">
        <v>0</v>
      </c>
      <c r="CP145" s="704" t="n">
        <v>0</v>
      </c>
      <c r="CQ145" s="704" t="n">
        <v>0</v>
      </c>
      <c r="CR145" s="704" t="n">
        <v>0</v>
      </c>
      <c r="CS145" s="704" t="n">
        <v>0</v>
      </c>
      <c r="CT145" s="704" t="n">
        <v>0</v>
      </c>
      <c r="CU145" s="704" t="n">
        <v>0</v>
      </c>
      <c r="CV145" s="704" t="n">
        <v>0</v>
      </c>
      <c r="CW145" s="704" t="n">
        <v>0</v>
      </c>
      <c r="CX145" s="704" t="n">
        <v>0</v>
      </c>
      <c r="CY145" s="704" t="n">
        <v>0</v>
      </c>
      <c r="CZ145" s="704" t="n">
        <v>0</v>
      </c>
      <c r="DA145" s="704" t="n">
        <v>0</v>
      </c>
      <c r="DB145" s="704" t="n">
        <v>0</v>
      </c>
      <c r="DC145" s="704" t="n">
        <v>0</v>
      </c>
      <c r="DD145" s="704" t="n">
        <v>0</v>
      </c>
      <c r="DE145" s="704" t="n">
        <v>0</v>
      </c>
      <c r="DF145" s="704" t="n">
        <v>0</v>
      </c>
      <c r="DG145" s="704" t="n">
        <v>0</v>
      </c>
      <c r="DH145" s="704" t="n">
        <v>0</v>
      </c>
      <c r="DI145" s="704" t="n">
        <v>0</v>
      </c>
      <c r="DJ145" s="704" t="n">
        <v>0</v>
      </c>
      <c r="DK145" s="704" t="n">
        <v>0</v>
      </c>
      <c r="DL145" s="704" t="n">
        <v>0</v>
      </c>
      <c r="DM145" s="704" t="n">
        <v>0</v>
      </c>
    </row>
    <row r="146" ht="13.5" customHeight="1" s="355">
      <c r="B146" s="703" t="inlineStr">
        <is>
          <t>Reporting</t>
        </is>
      </c>
      <c r="D146" s="704" t="n">
        <v>0</v>
      </c>
      <c r="E146" s="704" t="n">
        <v>0</v>
      </c>
      <c r="F146" s="704" t="n">
        <v>0</v>
      </c>
      <c r="G146" s="704" t="n">
        <v>0</v>
      </c>
      <c r="H146" s="704" t="n">
        <v>0</v>
      </c>
      <c r="I146" s="704" t="n">
        <v>0</v>
      </c>
      <c r="J146" s="704" t="n">
        <v>0</v>
      </c>
      <c r="K146" s="704" t="n">
        <v>0</v>
      </c>
      <c r="L146" s="704" t="n">
        <v>0</v>
      </c>
      <c r="M146" s="704" t="n">
        <v>0</v>
      </c>
      <c r="N146" s="704" t="n">
        <v>0</v>
      </c>
      <c r="O146" s="704" t="n">
        <v>0</v>
      </c>
      <c r="P146" s="704" t="n">
        <v>0</v>
      </c>
      <c r="Q146" s="704" t="n">
        <v>0</v>
      </c>
      <c r="R146" s="704" t="n">
        <v>0</v>
      </c>
      <c r="S146" s="704" t="n">
        <v>0</v>
      </c>
      <c r="T146" s="704" t="n">
        <v>0</v>
      </c>
      <c r="U146" s="704" t="n">
        <v>0</v>
      </c>
      <c r="V146" s="704" t="n">
        <v>0</v>
      </c>
      <c r="W146" s="704" t="n">
        <v>0</v>
      </c>
      <c r="X146" s="704" t="n">
        <v>0</v>
      </c>
      <c r="Y146" s="704" t="n">
        <v>0</v>
      </c>
      <c r="Z146" s="704" t="n">
        <v>0</v>
      </c>
      <c r="AA146" s="704" t="n">
        <v>0</v>
      </c>
      <c r="AB146" s="704" t="n">
        <v>0</v>
      </c>
      <c r="AC146" s="704" t="n">
        <v>0</v>
      </c>
      <c r="AD146" s="704" t="n">
        <v>0</v>
      </c>
      <c r="AE146" s="704" t="n">
        <v>0</v>
      </c>
      <c r="AF146" s="704" t="n">
        <v>0</v>
      </c>
      <c r="AG146" s="704" t="n">
        <v>0</v>
      </c>
      <c r="AH146" s="704" t="n">
        <v>0</v>
      </c>
      <c r="AI146" s="704" t="n">
        <v>0</v>
      </c>
      <c r="AJ146" s="704" t="n">
        <v>0</v>
      </c>
      <c r="AK146" s="704" t="n">
        <v>0</v>
      </c>
      <c r="AL146" s="704" t="n">
        <v>0</v>
      </c>
      <c r="AM146" s="704" t="n">
        <v>0</v>
      </c>
      <c r="AN146" s="704" t="n">
        <v>0</v>
      </c>
      <c r="AO146" s="704" t="n">
        <v>0</v>
      </c>
      <c r="AP146" s="704" t="n">
        <v>0</v>
      </c>
      <c r="AQ146" s="704" t="n">
        <v>0</v>
      </c>
      <c r="AR146" s="704" t="n">
        <v>0</v>
      </c>
      <c r="AS146" s="704" t="n">
        <v>0</v>
      </c>
      <c r="AT146" s="704" t="n">
        <v>0</v>
      </c>
      <c r="AU146" s="704" t="n">
        <v>0</v>
      </c>
      <c r="AV146" s="704" t="n">
        <v>0</v>
      </c>
      <c r="AW146" s="704" t="n">
        <v>0</v>
      </c>
      <c r="AX146" s="704" t="n">
        <v>0</v>
      </c>
      <c r="AY146" s="704" t="n">
        <v>0</v>
      </c>
      <c r="AZ146" s="704" t="n">
        <v>0</v>
      </c>
      <c r="BA146" s="704" t="n">
        <v>0</v>
      </c>
      <c r="BB146" s="704" t="n">
        <v>0</v>
      </c>
      <c r="BC146" s="704" t="n">
        <v>0</v>
      </c>
      <c r="BD146" s="704" t="n">
        <v>0</v>
      </c>
      <c r="BE146" s="704" t="n">
        <v>0</v>
      </c>
      <c r="BF146" s="704" t="n">
        <v>0</v>
      </c>
      <c r="BG146" s="704" t="n">
        <v>0</v>
      </c>
      <c r="BH146" s="704" t="n">
        <v>0</v>
      </c>
      <c r="BI146" s="704" t="n">
        <v>0</v>
      </c>
      <c r="BJ146" s="704" t="n">
        <v>0</v>
      </c>
      <c r="BK146" s="704" t="n">
        <v>0</v>
      </c>
      <c r="BL146" s="704" t="n">
        <v>0</v>
      </c>
      <c r="BM146" s="704" t="n">
        <v>0</v>
      </c>
      <c r="BN146" s="704" t="n">
        <v>0</v>
      </c>
      <c r="BO146" s="704" t="n">
        <v>0</v>
      </c>
      <c r="BP146" s="704" t="n">
        <v>0</v>
      </c>
      <c r="BQ146" s="704" t="n">
        <v>0</v>
      </c>
      <c r="BR146" s="704" t="n">
        <v>0</v>
      </c>
      <c r="BS146" s="704" t="n">
        <v>0</v>
      </c>
      <c r="BT146" s="704" t="n">
        <v>0</v>
      </c>
      <c r="BU146" s="704" t="n">
        <v>0</v>
      </c>
      <c r="BV146" s="704" t="n">
        <v>0</v>
      </c>
      <c r="BW146" s="704" t="n">
        <v>0</v>
      </c>
      <c r="BX146" s="704" t="n">
        <v>0</v>
      </c>
      <c r="BY146" s="704" t="n">
        <v>0</v>
      </c>
      <c r="BZ146" s="704" t="n">
        <v>0</v>
      </c>
      <c r="CA146" s="704" t="n">
        <v>0</v>
      </c>
      <c r="CB146" s="704" t="n">
        <v>0</v>
      </c>
      <c r="CC146" s="704" t="n">
        <v>0</v>
      </c>
      <c r="CD146" s="704" t="n">
        <v>0</v>
      </c>
      <c r="CE146" s="704" t="n">
        <v>0</v>
      </c>
      <c r="CF146" s="704" t="n">
        <v>0</v>
      </c>
      <c r="CG146" s="704" t="n">
        <v>0</v>
      </c>
      <c r="CH146" s="704" t="n">
        <v>0</v>
      </c>
      <c r="CI146" s="704" t="n">
        <v>0</v>
      </c>
      <c r="CJ146" s="704" t="n">
        <v>0</v>
      </c>
      <c r="CK146" s="704" t="n">
        <v>0</v>
      </c>
      <c r="CL146" s="704" t="n">
        <v>0</v>
      </c>
      <c r="CM146" s="704" t="n">
        <v>0</v>
      </c>
      <c r="CN146" s="704" t="n">
        <v>0</v>
      </c>
      <c r="CO146" s="704" t="n">
        <v>0</v>
      </c>
      <c r="CP146" s="704" t="n">
        <v>0</v>
      </c>
      <c r="CQ146" s="704" t="n">
        <v>0</v>
      </c>
      <c r="CR146" s="704" t="n">
        <v>0</v>
      </c>
      <c r="CS146" s="704" t="n">
        <v>0</v>
      </c>
      <c r="CT146" s="704" t="n">
        <v>0</v>
      </c>
      <c r="CU146" s="704" t="n">
        <v>0</v>
      </c>
      <c r="CV146" s="704" t="n">
        <v>0</v>
      </c>
      <c r="CW146" s="704" t="n">
        <v>0</v>
      </c>
      <c r="CX146" s="704" t="n">
        <v>0</v>
      </c>
      <c r="CY146" s="704" t="n">
        <v>0</v>
      </c>
      <c r="CZ146" s="704" t="n">
        <v>0</v>
      </c>
      <c r="DA146" s="704" t="n">
        <v>0</v>
      </c>
      <c r="DB146" s="704" t="n">
        <v>0</v>
      </c>
      <c r="DC146" s="704" t="n">
        <v>0</v>
      </c>
      <c r="DD146" s="704" t="n">
        <v>0</v>
      </c>
      <c r="DE146" s="704" t="n">
        <v>0</v>
      </c>
      <c r="DF146" s="704" t="n">
        <v>0</v>
      </c>
      <c r="DG146" s="704" t="n">
        <v>0</v>
      </c>
      <c r="DH146" s="704" t="n">
        <v>0</v>
      </c>
      <c r="DI146" s="704" t="n">
        <v>0</v>
      </c>
      <c r="DJ146" s="704" t="n">
        <v>0</v>
      </c>
      <c r="DK146" s="704" t="n">
        <v>0</v>
      </c>
      <c r="DL146" s="704" t="n">
        <v>0</v>
      </c>
      <c r="DM146" s="704" t="n">
        <v>0</v>
      </c>
    </row>
    <row r="147" ht="13.5" customHeight="1" s="355">
      <c r="B147" s="703" t="inlineStr">
        <is>
          <t>Fixed Assets</t>
        </is>
      </c>
      <c r="D147" s="704" t="n">
        <v>0</v>
      </c>
      <c r="E147" s="704" t="n">
        <v>0</v>
      </c>
      <c r="F147" s="704" t="n">
        <v>0</v>
      </c>
      <c r="G147" s="704" t="n">
        <v>0</v>
      </c>
      <c r="H147" s="704" t="n">
        <v>0</v>
      </c>
      <c r="I147" s="704" t="n">
        <v>0</v>
      </c>
      <c r="J147" s="704" t="n">
        <v>0</v>
      </c>
      <c r="K147" s="704" t="n">
        <v>0</v>
      </c>
      <c r="L147" s="704" t="n">
        <v>0</v>
      </c>
      <c r="M147" s="704" t="n">
        <v>0</v>
      </c>
      <c r="N147" s="704" t="n">
        <v>0</v>
      </c>
      <c r="O147" s="704" t="n">
        <v>0</v>
      </c>
      <c r="P147" s="704" t="n">
        <v>0</v>
      </c>
      <c r="Q147" s="704" t="n">
        <v>0</v>
      </c>
      <c r="R147" s="704" t="n">
        <v>0</v>
      </c>
      <c r="S147" s="704" t="n">
        <v>0</v>
      </c>
      <c r="T147" s="704" t="n">
        <v>0</v>
      </c>
      <c r="U147" s="704" t="n">
        <v>0</v>
      </c>
      <c r="V147" s="704" t="n">
        <v>0</v>
      </c>
      <c r="W147" s="704" t="n">
        <v>0</v>
      </c>
      <c r="X147" s="704" t="n">
        <v>0</v>
      </c>
      <c r="Y147" s="704" t="n">
        <v>0</v>
      </c>
      <c r="Z147" s="704" t="n">
        <v>0</v>
      </c>
      <c r="AA147" s="704" t="n">
        <v>0</v>
      </c>
      <c r="AB147" s="704" t="n">
        <v>0</v>
      </c>
      <c r="AC147" s="704" t="n">
        <v>0</v>
      </c>
      <c r="AD147" s="704" t="n">
        <v>0</v>
      </c>
      <c r="AE147" s="704" t="n">
        <v>0</v>
      </c>
      <c r="AF147" s="704" t="n">
        <v>0</v>
      </c>
      <c r="AG147" s="704" t="n">
        <v>0</v>
      </c>
      <c r="AH147" s="704" t="n">
        <v>0</v>
      </c>
      <c r="AI147" s="704" t="n">
        <v>0</v>
      </c>
      <c r="AJ147" s="704" t="n">
        <v>0</v>
      </c>
      <c r="AK147" s="704" t="n">
        <v>0</v>
      </c>
      <c r="AL147" s="704" t="n">
        <v>0</v>
      </c>
      <c r="AM147" s="704" t="n">
        <v>0</v>
      </c>
      <c r="AN147" s="704" t="n">
        <v>0</v>
      </c>
      <c r="AO147" s="704" t="n">
        <v>0</v>
      </c>
      <c r="AP147" s="704" t="n">
        <v>0</v>
      </c>
      <c r="AQ147" s="704" t="n">
        <v>0</v>
      </c>
      <c r="AR147" s="704" t="n">
        <v>0</v>
      </c>
      <c r="AS147" s="704" t="n">
        <v>0</v>
      </c>
      <c r="AT147" s="704" t="n">
        <v>0</v>
      </c>
      <c r="AU147" s="704" t="n">
        <v>0</v>
      </c>
      <c r="AV147" s="704" t="n">
        <v>0</v>
      </c>
      <c r="AW147" s="704" t="n">
        <v>0</v>
      </c>
      <c r="AX147" s="704" t="n">
        <v>0</v>
      </c>
      <c r="AY147" s="704" t="n">
        <v>0</v>
      </c>
      <c r="AZ147" s="704" t="n">
        <v>0</v>
      </c>
      <c r="BA147" s="704" t="n">
        <v>0</v>
      </c>
      <c r="BB147" s="704" t="n">
        <v>0</v>
      </c>
      <c r="BC147" s="704" t="n">
        <v>0</v>
      </c>
      <c r="BD147" s="704" t="n">
        <v>0</v>
      </c>
      <c r="BE147" s="704" t="n">
        <v>0</v>
      </c>
      <c r="BF147" s="704" t="n">
        <v>0</v>
      </c>
      <c r="BG147" s="704" t="n">
        <v>0</v>
      </c>
      <c r="BH147" s="704" t="n">
        <v>0</v>
      </c>
      <c r="BI147" s="704" t="n">
        <v>0</v>
      </c>
      <c r="BJ147" s="704" t="n">
        <v>0</v>
      </c>
      <c r="BK147" s="704" t="n">
        <v>0</v>
      </c>
      <c r="BL147" s="704" t="n">
        <v>0</v>
      </c>
      <c r="BM147" s="704" t="n">
        <v>0</v>
      </c>
      <c r="BN147" s="704" t="n">
        <v>0</v>
      </c>
      <c r="BO147" s="704" t="n">
        <v>0</v>
      </c>
      <c r="BP147" s="704" t="n">
        <v>0</v>
      </c>
      <c r="BQ147" s="704" t="n">
        <v>0</v>
      </c>
      <c r="BR147" s="704" t="n">
        <v>0</v>
      </c>
      <c r="BS147" s="704" t="n">
        <v>0</v>
      </c>
      <c r="BT147" s="704" t="n">
        <v>0</v>
      </c>
      <c r="BU147" s="704" t="n">
        <v>0</v>
      </c>
      <c r="BV147" s="704" t="n">
        <v>0</v>
      </c>
      <c r="BW147" s="704" t="n">
        <v>0</v>
      </c>
      <c r="BX147" s="704" t="n">
        <v>0</v>
      </c>
      <c r="BY147" s="704" t="n">
        <v>0</v>
      </c>
      <c r="BZ147" s="704" t="n">
        <v>0</v>
      </c>
      <c r="CA147" s="704" t="n">
        <v>0</v>
      </c>
      <c r="CB147" s="704" t="n">
        <v>0</v>
      </c>
      <c r="CC147" s="704" t="n">
        <v>0</v>
      </c>
      <c r="CD147" s="704" t="n">
        <v>0</v>
      </c>
      <c r="CE147" s="704" t="n">
        <v>0</v>
      </c>
      <c r="CF147" s="704" t="n">
        <v>0</v>
      </c>
      <c r="CG147" s="704" t="n">
        <v>0</v>
      </c>
      <c r="CH147" s="704" t="n">
        <v>0</v>
      </c>
      <c r="CI147" s="704" t="n">
        <v>0</v>
      </c>
      <c r="CJ147" s="704" t="n">
        <v>0</v>
      </c>
      <c r="CK147" s="704" t="n">
        <v>0</v>
      </c>
      <c r="CL147" s="704" t="n">
        <v>0</v>
      </c>
      <c r="CM147" s="704" t="n">
        <v>0</v>
      </c>
      <c r="CN147" s="704" t="n">
        <v>0</v>
      </c>
      <c r="CO147" s="704" t="n">
        <v>0</v>
      </c>
      <c r="CP147" s="704" t="n">
        <v>0</v>
      </c>
      <c r="CQ147" s="704" t="n">
        <v>0</v>
      </c>
      <c r="CR147" s="704" t="n">
        <v>0</v>
      </c>
      <c r="CS147" s="704" t="n">
        <v>0</v>
      </c>
      <c r="CT147" s="704" t="n">
        <v>0</v>
      </c>
      <c r="CU147" s="704" t="n">
        <v>0</v>
      </c>
      <c r="CV147" s="704" t="n">
        <v>0</v>
      </c>
      <c r="CW147" s="704" t="n">
        <v>0</v>
      </c>
      <c r="CX147" s="704" t="n">
        <v>0</v>
      </c>
      <c r="CY147" s="704" t="n">
        <v>0</v>
      </c>
      <c r="CZ147" s="704" t="n">
        <v>0</v>
      </c>
      <c r="DA147" s="704" t="n">
        <v>0</v>
      </c>
      <c r="DB147" s="704" t="n">
        <v>0</v>
      </c>
      <c r="DC147" s="704" t="n">
        <v>0</v>
      </c>
      <c r="DD147" s="704" t="n">
        <v>0</v>
      </c>
      <c r="DE147" s="704" t="n">
        <v>0</v>
      </c>
      <c r="DF147" s="704" t="n">
        <v>0</v>
      </c>
      <c r="DG147" s="704" t="n">
        <v>0</v>
      </c>
      <c r="DH147" s="704" t="n">
        <v>0</v>
      </c>
      <c r="DI147" s="704" t="n">
        <v>0</v>
      </c>
      <c r="DJ147" s="704" t="n">
        <v>0</v>
      </c>
      <c r="DK147" s="704" t="n">
        <v>0</v>
      </c>
      <c r="DL147" s="704" t="n">
        <v>0</v>
      </c>
      <c r="DM147" s="704" t="n">
        <v>0</v>
      </c>
    </row>
    <row r="148" ht="13.5" customHeight="1" s="355">
      <c r="B148" s="703" t="inlineStr">
        <is>
          <t>Acct Payable</t>
        </is>
      </c>
      <c r="D148" s="704" t="n">
        <v>0</v>
      </c>
      <c r="E148" s="704" t="n">
        <v>0</v>
      </c>
      <c r="F148" s="704" t="n">
        <v>0</v>
      </c>
      <c r="G148" s="704" t="n">
        <v>0</v>
      </c>
      <c r="H148" s="704" t="n">
        <v>0</v>
      </c>
      <c r="I148" s="704" t="n">
        <v>0</v>
      </c>
      <c r="J148" s="704" t="n">
        <v>0</v>
      </c>
      <c r="K148" s="704" t="n">
        <v>0</v>
      </c>
      <c r="L148" s="704" t="n">
        <v>0</v>
      </c>
      <c r="M148" s="704" t="n">
        <v>0</v>
      </c>
      <c r="N148" s="704" t="n">
        <v>0</v>
      </c>
      <c r="O148" s="704" t="n">
        <v>0</v>
      </c>
      <c r="P148" s="704" t="n">
        <v>0</v>
      </c>
      <c r="Q148" s="704" t="n">
        <v>0</v>
      </c>
      <c r="R148" s="704" t="n">
        <v>0</v>
      </c>
      <c r="S148" s="704" t="n">
        <v>0</v>
      </c>
      <c r="T148" s="704" t="n">
        <v>0</v>
      </c>
      <c r="U148" s="704" t="n">
        <v>0</v>
      </c>
      <c r="V148" s="704" t="n">
        <v>0</v>
      </c>
      <c r="W148" s="704" t="n">
        <v>0</v>
      </c>
      <c r="X148" s="704" t="n">
        <v>0</v>
      </c>
      <c r="Y148" s="704" t="n">
        <v>0</v>
      </c>
      <c r="Z148" s="704" t="n">
        <v>0</v>
      </c>
      <c r="AA148" s="704" t="n">
        <v>0</v>
      </c>
      <c r="AB148" s="704" t="n">
        <v>0</v>
      </c>
      <c r="AC148" s="704" t="n">
        <v>0</v>
      </c>
      <c r="AD148" s="704" t="n">
        <v>0</v>
      </c>
      <c r="AE148" s="704" t="n">
        <v>0</v>
      </c>
      <c r="AF148" s="704" t="n">
        <v>0</v>
      </c>
      <c r="AG148" s="704" t="n">
        <v>0</v>
      </c>
      <c r="AH148" s="704" t="n">
        <v>0</v>
      </c>
      <c r="AI148" s="704" t="n">
        <v>0</v>
      </c>
      <c r="AJ148" s="704" t="n">
        <v>0</v>
      </c>
      <c r="AK148" s="704" t="n">
        <v>0</v>
      </c>
      <c r="AL148" s="704" t="n">
        <v>0</v>
      </c>
      <c r="AM148" s="704" t="n">
        <v>0</v>
      </c>
      <c r="AN148" s="704" t="n">
        <v>0</v>
      </c>
      <c r="AO148" s="704" t="n">
        <v>0</v>
      </c>
      <c r="AP148" s="704" t="n">
        <v>0</v>
      </c>
      <c r="AQ148" s="704" t="n">
        <v>0</v>
      </c>
      <c r="AR148" s="704" t="n">
        <v>0</v>
      </c>
      <c r="AS148" s="704" t="n">
        <v>0</v>
      </c>
      <c r="AT148" s="704" t="n">
        <v>0</v>
      </c>
      <c r="AU148" s="704" t="n">
        <v>0</v>
      </c>
      <c r="AV148" s="704" t="n">
        <v>0</v>
      </c>
      <c r="AW148" s="704" t="n">
        <v>0</v>
      </c>
      <c r="AX148" s="704" t="n">
        <v>0</v>
      </c>
      <c r="AY148" s="704" t="n">
        <v>0</v>
      </c>
      <c r="AZ148" s="704" t="n">
        <v>0</v>
      </c>
      <c r="BA148" s="704" t="n">
        <v>0</v>
      </c>
      <c r="BB148" s="704" t="n">
        <v>0</v>
      </c>
      <c r="BC148" s="704" t="n">
        <v>0</v>
      </c>
      <c r="BD148" s="704" t="n">
        <v>0</v>
      </c>
      <c r="BE148" s="704" t="n">
        <v>0</v>
      </c>
      <c r="BF148" s="704" t="n">
        <v>0</v>
      </c>
      <c r="BG148" s="704" t="n">
        <v>0</v>
      </c>
      <c r="BH148" s="704" t="n">
        <v>0</v>
      </c>
      <c r="BI148" s="704" t="n">
        <v>0</v>
      </c>
      <c r="BJ148" s="704" t="n">
        <v>0</v>
      </c>
      <c r="BK148" s="704" t="n">
        <v>0</v>
      </c>
      <c r="BL148" s="704" t="n">
        <v>0</v>
      </c>
      <c r="BM148" s="704" t="n">
        <v>0</v>
      </c>
      <c r="BN148" s="704" t="n">
        <v>0</v>
      </c>
      <c r="BO148" s="704" t="n">
        <v>0</v>
      </c>
      <c r="BP148" s="704" t="n">
        <v>0</v>
      </c>
      <c r="BQ148" s="704" t="n">
        <v>0</v>
      </c>
      <c r="BR148" s="704" t="n">
        <v>0</v>
      </c>
      <c r="BS148" s="704" t="n">
        <v>0</v>
      </c>
      <c r="BT148" s="704" t="n">
        <v>0</v>
      </c>
      <c r="BU148" s="704" t="n">
        <v>0</v>
      </c>
      <c r="BV148" s="704" t="n">
        <v>0</v>
      </c>
      <c r="BW148" s="704" t="n">
        <v>0</v>
      </c>
      <c r="BX148" s="704" t="n">
        <v>0</v>
      </c>
      <c r="BY148" s="704" t="n">
        <v>0</v>
      </c>
      <c r="BZ148" s="704" t="n">
        <v>0</v>
      </c>
      <c r="CA148" s="704" t="n">
        <v>0</v>
      </c>
      <c r="CB148" s="704" t="n">
        <v>0</v>
      </c>
      <c r="CC148" s="704" t="n">
        <v>0</v>
      </c>
      <c r="CD148" s="704" t="n">
        <v>0</v>
      </c>
      <c r="CE148" s="704" t="n">
        <v>0</v>
      </c>
      <c r="CF148" s="704" t="n">
        <v>0</v>
      </c>
      <c r="CG148" s="704" t="n">
        <v>0</v>
      </c>
      <c r="CH148" s="704" t="n">
        <v>0</v>
      </c>
      <c r="CI148" s="704" t="n">
        <v>0</v>
      </c>
      <c r="CJ148" s="704" t="n">
        <v>0</v>
      </c>
      <c r="CK148" s="704" t="n">
        <v>0</v>
      </c>
      <c r="CL148" s="704" t="n">
        <v>0</v>
      </c>
      <c r="CM148" s="704" t="n">
        <v>0</v>
      </c>
      <c r="CN148" s="704" t="n">
        <v>0</v>
      </c>
      <c r="CO148" s="704" t="n">
        <v>0</v>
      </c>
      <c r="CP148" s="704" t="n">
        <v>0</v>
      </c>
      <c r="CQ148" s="704" t="n">
        <v>0</v>
      </c>
      <c r="CR148" s="704" t="n">
        <v>0</v>
      </c>
      <c r="CS148" s="704" t="n">
        <v>0</v>
      </c>
      <c r="CT148" s="704" t="n">
        <v>0</v>
      </c>
      <c r="CU148" s="704" t="n">
        <v>0</v>
      </c>
      <c r="CV148" s="704" t="n">
        <v>0</v>
      </c>
      <c r="CW148" s="704" t="n">
        <v>0</v>
      </c>
      <c r="CX148" s="704" t="n">
        <v>0</v>
      </c>
      <c r="CY148" s="704" t="n">
        <v>0</v>
      </c>
      <c r="CZ148" s="704" t="n">
        <v>0</v>
      </c>
      <c r="DA148" s="704" t="n">
        <v>0</v>
      </c>
      <c r="DB148" s="704" t="n">
        <v>0</v>
      </c>
      <c r="DC148" s="704" t="n">
        <v>0</v>
      </c>
      <c r="DD148" s="704" t="n">
        <v>0</v>
      </c>
      <c r="DE148" s="704" t="n">
        <v>0</v>
      </c>
      <c r="DF148" s="704" t="n">
        <v>0</v>
      </c>
      <c r="DG148" s="704" t="n">
        <v>0</v>
      </c>
      <c r="DH148" s="704" t="n">
        <v>0</v>
      </c>
      <c r="DI148" s="704" t="n">
        <v>0</v>
      </c>
      <c r="DJ148" s="704" t="n">
        <v>0</v>
      </c>
      <c r="DK148" s="704" t="n">
        <v>0</v>
      </c>
      <c r="DL148" s="704" t="n">
        <v>0</v>
      </c>
      <c r="DM148" s="704" t="n">
        <v>0</v>
      </c>
    </row>
    <row r="149" ht="13.5" customHeight="1" s="355">
      <c r="B149" s="703" t="inlineStr">
        <is>
          <t>Cash&amp;Bank</t>
        </is>
      </c>
      <c r="D149" s="704" t="n">
        <v>0</v>
      </c>
      <c r="E149" s="704" t="n">
        <v>0</v>
      </c>
      <c r="F149" s="704" t="n">
        <v>0</v>
      </c>
      <c r="G149" s="704" t="n">
        <v>0</v>
      </c>
      <c r="H149" s="704" t="n">
        <v>0</v>
      </c>
      <c r="I149" s="704" t="n">
        <v>0</v>
      </c>
      <c r="J149" s="704" t="n">
        <v>0</v>
      </c>
      <c r="K149" s="704" t="n">
        <v>0</v>
      </c>
      <c r="L149" s="704" t="n">
        <v>0</v>
      </c>
      <c r="M149" s="704" t="n">
        <v>0</v>
      </c>
      <c r="N149" s="704" t="n">
        <v>0</v>
      </c>
      <c r="O149" s="704" t="n">
        <v>0</v>
      </c>
      <c r="P149" s="704" t="n">
        <v>0</v>
      </c>
      <c r="Q149" s="704" t="n">
        <v>0</v>
      </c>
      <c r="R149" s="704" t="n">
        <v>0</v>
      </c>
      <c r="S149" s="704" t="n">
        <v>0</v>
      </c>
      <c r="T149" s="704" t="n">
        <v>0</v>
      </c>
      <c r="U149" s="704" t="n">
        <v>0</v>
      </c>
      <c r="V149" s="704" t="n">
        <v>0</v>
      </c>
      <c r="W149" s="704" t="n">
        <v>0</v>
      </c>
      <c r="X149" s="704" t="n">
        <v>0</v>
      </c>
      <c r="Y149" s="704" t="n">
        <v>0</v>
      </c>
      <c r="Z149" s="704" t="n">
        <v>0</v>
      </c>
      <c r="AA149" s="704" t="n">
        <v>0</v>
      </c>
      <c r="AB149" s="704" t="n">
        <v>0</v>
      </c>
      <c r="AC149" s="704" t="n">
        <v>0</v>
      </c>
      <c r="AD149" s="704" t="n">
        <v>0</v>
      </c>
      <c r="AE149" s="704" t="n">
        <v>0</v>
      </c>
      <c r="AF149" s="704" t="n">
        <v>0</v>
      </c>
      <c r="AG149" s="704" t="n">
        <v>0</v>
      </c>
      <c r="AH149" s="704" t="n">
        <v>0</v>
      </c>
      <c r="AI149" s="704" t="n">
        <v>0</v>
      </c>
      <c r="AJ149" s="704" t="n">
        <v>0</v>
      </c>
      <c r="AK149" s="704" t="n">
        <v>0</v>
      </c>
      <c r="AL149" s="704" t="n">
        <v>0</v>
      </c>
      <c r="AM149" s="704" t="n">
        <v>0</v>
      </c>
      <c r="AN149" s="704" t="n">
        <v>0</v>
      </c>
      <c r="AO149" s="704" t="n">
        <v>0</v>
      </c>
      <c r="AP149" s="704" t="n">
        <v>0</v>
      </c>
      <c r="AQ149" s="704" t="n">
        <v>0</v>
      </c>
      <c r="AR149" s="704" t="n">
        <v>0</v>
      </c>
      <c r="AS149" s="704" t="n">
        <v>0</v>
      </c>
      <c r="AT149" s="704" t="n">
        <v>0</v>
      </c>
      <c r="AU149" s="704" t="n">
        <v>0</v>
      </c>
      <c r="AV149" s="704" t="n">
        <v>0</v>
      </c>
      <c r="AW149" s="704" t="n">
        <v>0</v>
      </c>
      <c r="AX149" s="704" t="n">
        <v>0</v>
      </c>
      <c r="AY149" s="704" t="n">
        <v>0</v>
      </c>
      <c r="AZ149" s="704" t="n">
        <v>0</v>
      </c>
      <c r="BA149" s="704" t="n">
        <v>0</v>
      </c>
      <c r="BB149" s="704" t="n">
        <v>0</v>
      </c>
      <c r="BC149" s="704" t="n">
        <v>0</v>
      </c>
      <c r="BD149" s="704" t="n">
        <v>0</v>
      </c>
      <c r="BE149" s="704" t="n">
        <v>0</v>
      </c>
      <c r="BF149" s="704" t="n">
        <v>0</v>
      </c>
      <c r="BG149" s="704" t="n">
        <v>0</v>
      </c>
      <c r="BH149" s="704" t="n">
        <v>0</v>
      </c>
      <c r="BI149" s="704" t="n">
        <v>0</v>
      </c>
      <c r="BJ149" s="704" t="n">
        <v>0</v>
      </c>
      <c r="BK149" s="704" t="n">
        <v>0</v>
      </c>
      <c r="BL149" s="704" t="n">
        <v>0</v>
      </c>
      <c r="BM149" s="704" t="n">
        <v>0</v>
      </c>
      <c r="BN149" s="704" t="n">
        <v>0</v>
      </c>
      <c r="BO149" s="704" t="n">
        <v>0</v>
      </c>
      <c r="BP149" s="704" t="n">
        <v>0</v>
      </c>
      <c r="BQ149" s="704" t="n">
        <v>0</v>
      </c>
      <c r="BR149" s="704" t="n">
        <v>0</v>
      </c>
      <c r="BS149" s="704" t="n">
        <v>0</v>
      </c>
      <c r="BT149" s="704" t="n">
        <v>0</v>
      </c>
      <c r="BU149" s="704" t="n">
        <v>0</v>
      </c>
      <c r="BV149" s="704" t="n">
        <v>0</v>
      </c>
      <c r="BW149" s="704" t="n">
        <v>0</v>
      </c>
      <c r="BX149" s="704" t="n">
        <v>0</v>
      </c>
      <c r="BY149" s="704" t="n">
        <v>0</v>
      </c>
      <c r="BZ149" s="704" t="n">
        <v>0</v>
      </c>
      <c r="CA149" s="704" t="n">
        <v>0</v>
      </c>
      <c r="CB149" s="704" t="n">
        <v>0</v>
      </c>
      <c r="CC149" s="704" t="n">
        <v>0</v>
      </c>
      <c r="CD149" s="704" t="n">
        <v>0</v>
      </c>
      <c r="CE149" s="704" t="n">
        <v>0</v>
      </c>
      <c r="CF149" s="704" t="n">
        <v>0</v>
      </c>
      <c r="CG149" s="704" t="n">
        <v>0</v>
      </c>
      <c r="CH149" s="704" t="n">
        <v>0</v>
      </c>
      <c r="CI149" s="704" t="n">
        <v>0</v>
      </c>
      <c r="CJ149" s="704" t="n">
        <v>0</v>
      </c>
      <c r="CK149" s="704" t="n">
        <v>0</v>
      </c>
      <c r="CL149" s="704" t="n">
        <v>0</v>
      </c>
      <c r="CM149" s="704" t="n">
        <v>0</v>
      </c>
      <c r="CN149" s="704" t="n">
        <v>0</v>
      </c>
      <c r="CO149" s="704" t="n">
        <v>0</v>
      </c>
      <c r="CP149" s="704" t="n">
        <v>0</v>
      </c>
      <c r="CQ149" s="704" t="n">
        <v>0</v>
      </c>
      <c r="CR149" s="704" t="n">
        <v>0</v>
      </c>
      <c r="CS149" s="704" t="n">
        <v>0</v>
      </c>
      <c r="CT149" s="704" t="n">
        <v>0</v>
      </c>
      <c r="CU149" s="704" t="n">
        <v>0</v>
      </c>
      <c r="CV149" s="704" t="n">
        <v>0</v>
      </c>
      <c r="CW149" s="704" t="n">
        <v>0</v>
      </c>
      <c r="CX149" s="704" t="n">
        <v>0</v>
      </c>
      <c r="CY149" s="704" t="n">
        <v>0</v>
      </c>
      <c r="CZ149" s="704" t="n">
        <v>0</v>
      </c>
      <c r="DA149" s="704" t="n">
        <v>0</v>
      </c>
      <c r="DB149" s="704" t="n">
        <v>0</v>
      </c>
      <c r="DC149" s="704" t="n">
        <v>0</v>
      </c>
      <c r="DD149" s="704" t="n">
        <v>0</v>
      </c>
      <c r="DE149" s="704" t="n">
        <v>0</v>
      </c>
      <c r="DF149" s="704" t="n">
        <v>0</v>
      </c>
      <c r="DG149" s="704" t="n">
        <v>0</v>
      </c>
      <c r="DH149" s="704" t="n">
        <v>0</v>
      </c>
      <c r="DI149" s="704" t="n">
        <v>0</v>
      </c>
      <c r="DJ149" s="704" t="n">
        <v>0</v>
      </c>
      <c r="DK149" s="704" t="n">
        <v>0</v>
      </c>
      <c r="DL149" s="704" t="n">
        <v>0</v>
      </c>
      <c r="DM149" s="704" t="n">
        <v>0</v>
      </c>
    </row>
    <row r="150" ht="13.5" customHeight="1" s="355">
      <c r="B150" s="703" t="inlineStr">
        <is>
          <t>T&amp;E</t>
        </is>
      </c>
      <c r="D150" s="704" t="n">
        <v>0</v>
      </c>
      <c r="E150" s="704" t="n">
        <v>0</v>
      </c>
      <c r="F150" s="704" t="n">
        <v>0</v>
      </c>
      <c r="G150" s="704" t="n">
        <v>0</v>
      </c>
      <c r="H150" s="704" t="n">
        <v>0</v>
      </c>
      <c r="I150" s="704" t="n">
        <v>0</v>
      </c>
      <c r="J150" s="704" t="n">
        <v>0</v>
      </c>
      <c r="K150" s="704" t="n">
        <v>0</v>
      </c>
      <c r="L150" s="704" t="n">
        <v>0</v>
      </c>
      <c r="M150" s="704" t="n">
        <v>0</v>
      </c>
      <c r="N150" s="704" t="n">
        <v>0</v>
      </c>
      <c r="O150" s="704" t="n">
        <v>0</v>
      </c>
      <c r="P150" s="704" t="n">
        <v>0</v>
      </c>
      <c r="Q150" s="704" t="n">
        <v>0</v>
      </c>
      <c r="R150" s="704" t="n">
        <v>0</v>
      </c>
      <c r="S150" s="704" t="n">
        <v>0</v>
      </c>
      <c r="T150" s="704" t="n">
        <v>0</v>
      </c>
      <c r="U150" s="704" t="n">
        <v>0</v>
      </c>
      <c r="V150" s="704" t="n">
        <v>0</v>
      </c>
      <c r="W150" s="704" t="n">
        <v>0</v>
      </c>
      <c r="X150" s="704" t="n">
        <v>0</v>
      </c>
      <c r="Y150" s="704" t="n">
        <v>0</v>
      </c>
      <c r="Z150" s="704" t="n">
        <v>0</v>
      </c>
      <c r="AA150" s="704" t="n">
        <v>0</v>
      </c>
      <c r="AB150" s="704" t="n">
        <v>0</v>
      </c>
      <c r="AC150" s="704" t="n">
        <v>0</v>
      </c>
      <c r="AD150" s="704" t="n">
        <v>0</v>
      </c>
      <c r="AE150" s="704" t="n">
        <v>0</v>
      </c>
      <c r="AF150" s="704" t="n">
        <v>0</v>
      </c>
      <c r="AG150" s="704" t="n">
        <v>0</v>
      </c>
      <c r="AH150" s="704" t="n">
        <v>0</v>
      </c>
      <c r="AI150" s="704" t="n">
        <v>0</v>
      </c>
      <c r="AJ150" s="704" t="n">
        <v>0</v>
      </c>
      <c r="AK150" s="704" t="n">
        <v>0</v>
      </c>
      <c r="AL150" s="704" t="n">
        <v>0</v>
      </c>
      <c r="AM150" s="704" t="n">
        <v>0</v>
      </c>
      <c r="AN150" s="704" t="n">
        <v>0</v>
      </c>
      <c r="AO150" s="704" t="n">
        <v>0</v>
      </c>
      <c r="AP150" s="704" t="n">
        <v>0</v>
      </c>
      <c r="AQ150" s="704" t="n">
        <v>0</v>
      </c>
      <c r="AR150" s="704" t="n">
        <v>0</v>
      </c>
      <c r="AS150" s="704" t="n">
        <v>0</v>
      </c>
      <c r="AT150" s="704" t="n">
        <v>0</v>
      </c>
      <c r="AU150" s="704" t="n">
        <v>0</v>
      </c>
      <c r="AV150" s="704" t="n">
        <v>0</v>
      </c>
      <c r="AW150" s="704" t="n">
        <v>0</v>
      </c>
      <c r="AX150" s="704" t="n">
        <v>0</v>
      </c>
      <c r="AY150" s="704" t="n">
        <v>0</v>
      </c>
      <c r="AZ150" s="704" t="n">
        <v>0</v>
      </c>
      <c r="BA150" s="704" t="n">
        <v>0</v>
      </c>
      <c r="BB150" s="704" t="n">
        <v>0</v>
      </c>
      <c r="BC150" s="704" t="n">
        <v>0</v>
      </c>
      <c r="BD150" s="704" t="n">
        <v>0</v>
      </c>
      <c r="BE150" s="704" t="n">
        <v>0</v>
      </c>
      <c r="BF150" s="704" t="n">
        <v>0</v>
      </c>
      <c r="BG150" s="704" t="n">
        <v>0</v>
      </c>
      <c r="BH150" s="704" t="n">
        <v>0</v>
      </c>
      <c r="BI150" s="704" t="n">
        <v>0</v>
      </c>
      <c r="BJ150" s="704" t="n">
        <v>0</v>
      </c>
      <c r="BK150" s="704" t="n">
        <v>0</v>
      </c>
      <c r="BL150" s="704" t="n">
        <v>0</v>
      </c>
      <c r="BM150" s="704" t="n">
        <v>0</v>
      </c>
      <c r="BN150" s="704" t="n">
        <v>0</v>
      </c>
      <c r="BO150" s="704" t="n">
        <v>0</v>
      </c>
      <c r="BP150" s="704" t="n">
        <v>0</v>
      </c>
      <c r="BQ150" s="704" t="n">
        <v>0</v>
      </c>
      <c r="BR150" s="704" t="n">
        <v>0</v>
      </c>
      <c r="BS150" s="704" t="n">
        <v>0</v>
      </c>
      <c r="BT150" s="704" t="n">
        <v>0</v>
      </c>
      <c r="BU150" s="704" t="n">
        <v>0</v>
      </c>
      <c r="BV150" s="704" t="n">
        <v>0</v>
      </c>
      <c r="BW150" s="704" t="n">
        <v>0</v>
      </c>
      <c r="BX150" s="704" t="n">
        <v>0</v>
      </c>
      <c r="BY150" s="704" t="n">
        <v>0</v>
      </c>
      <c r="BZ150" s="704" t="n">
        <v>0</v>
      </c>
      <c r="CA150" s="704" t="n">
        <v>0</v>
      </c>
      <c r="CB150" s="704" t="n">
        <v>0</v>
      </c>
      <c r="CC150" s="704" t="n">
        <v>0</v>
      </c>
      <c r="CD150" s="704" t="n">
        <v>0</v>
      </c>
      <c r="CE150" s="704" t="n">
        <v>0</v>
      </c>
      <c r="CF150" s="704" t="n">
        <v>0</v>
      </c>
      <c r="CG150" s="704" t="n">
        <v>0</v>
      </c>
      <c r="CH150" s="704" t="n">
        <v>0</v>
      </c>
      <c r="CI150" s="704" t="n">
        <v>0</v>
      </c>
      <c r="CJ150" s="704" t="n">
        <v>0</v>
      </c>
      <c r="CK150" s="704" t="n">
        <v>0</v>
      </c>
      <c r="CL150" s="704" t="n">
        <v>0</v>
      </c>
      <c r="CM150" s="704" t="n">
        <v>0</v>
      </c>
      <c r="CN150" s="704" t="n">
        <v>0</v>
      </c>
      <c r="CO150" s="704" t="n">
        <v>0</v>
      </c>
      <c r="CP150" s="704" t="n">
        <v>0</v>
      </c>
      <c r="CQ150" s="704" t="n">
        <v>0</v>
      </c>
      <c r="CR150" s="704" t="n">
        <v>0</v>
      </c>
      <c r="CS150" s="704" t="n">
        <v>0</v>
      </c>
      <c r="CT150" s="704" t="n">
        <v>0</v>
      </c>
      <c r="CU150" s="704" t="n">
        <v>0</v>
      </c>
      <c r="CV150" s="704" t="n">
        <v>0</v>
      </c>
      <c r="CW150" s="704" t="n">
        <v>0</v>
      </c>
      <c r="CX150" s="704" t="n">
        <v>0</v>
      </c>
      <c r="CY150" s="704" t="n">
        <v>0</v>
      </c>
      <c r="CZ150" s="704" t="n">
        <v>0</v>
      </c>
      <c r="DA150" s="704" t="n">
        <v>0</v>
      </c>
      <c r="DB150" s="704" t="n">
        <v>0</v>
      </c>
      <c r="DC150" s="704" t="n">
        <v>0</v>
      </c>
      <c r="DD150" s="704" t="n">
        <v>0</v>
      </c>
      <c r="DE150" s="704" t="n">
        <v>0</v>
      </c>
      <c r="DF150" s="704" t="n">
        <v>0</v>
      </c>
      <c r="DG150" s="704" t="n">
        <v>0</v>
      </c>
      <c r="DH150" s="704" t="n">
        <v>0</v>
      </c>
      <c r="DI150" s="704" t="n">
        <v>0</v>
      </c>
      <c r="DJ150" s="704" t="n">
        <v>0</v>
      </c>
      <c r="DK150" s="704" t="n">
        <v>0</v>
      </c>
      <c r="DL150" s="704" t="n">
        <v>0</v>
      </c>
      <c r="DM150" s="704" t="n">
        <v>0</v>
      </c>
    </row>
    <row r="151" ht="13.5" customHeight="1" s="355">
      <c r="B151" s="703" t="inlineStr">
        <is>
          <t>Order to Cash</t>
        </is>
      </c>
      <c r="D151" s="704" t="n">
        <v>0</v>
      </c>
      <c r="E151" s="704" t="n">
        <v>0</v>
      </c>
      <c r="F151" s="704" t="n">
        <v>0</v>
      </c>
      <c r="G151" s="704" t="n">
        <v>0</v>
      </c>
      <c r="H151" s="704" t="n">
        <v>0</v>
      </c>
      <c r="I151" s="704" t="n">
        <v>0</v>
      </c>
      <c r="J151" s="704" t="n">
        <v>0</v>
      </c>
      <c r="K151" s="704" t="n">
        <v>0</v>
      </c>
      <c r="L151" s="704" t="n">
        <v>0</v>
      </c>
      <c r="M151" s="704" t="n">
        <v>0</v>
      </c>
      <c r="N151" s="704" t="n">
        <v>0</v>
      </c>
      <c r="O151" s="704" t="n">
        <v>0</v>
      </c>
      <c r="P151" s="704" t="n">
        <v>0</v>
      </c>
      <c r="Q151" s="704" t="n">
        <v>0</v>
      </c>
      <c r="R151" s="704" t="n">
        <v>0</v>
      </c>
      <c r="S151" s="704" t="n">
        <v>0</v>
      </c>
      <c r="T151" s="704" t="n">
        <v>0</v>
      </c>
      <c r="U151" s="704" t="n">
        <v>0</v>
      </c>
      <c r="V151" s="704" t="n">
        <v>0</v>
      </c>
      <c r="W151" s="704" t="n">
        <v>0</v>
      </c>
      <c r="X151" s="704" t="n">
        <v>0</v>
      </c>
      <c r="Y151" s="704" t="n">
        <v>0</v>
      </c>
      <c r="Z151" s="704" t="n">
        <v>0</v>
      </c>
      <c r="AA151" s="704" t="n">
        <v>0</v>
      </c>
      <c r="AB151" s="704" t="n">
        <v>0</v>
      </c>
      <c r="AC151" s="704" t="n">
        <v>0</v>
      </c>
      <c r="AD151" s="704" t="n">
        <v>0</v>
      </c>
      <c r="AE151" s="704" t="n">
        <v>0</v>
      </c>
      <c r="AF151" s="704" t="n">
        <v>0</v>
      </c>
      <c r="AG151" s="704" t="n">
        <v>0</v>
      </c>
      <c r="AH151" s="704" t="n">
        <v>0</v>
      </c>
      <c r="AI151" s="704" t="n">
        <v>0</v>
      </c>
      <c r="AJ151" s="704" t="n">
        <v>0</v>
      </c>
      <c r="AK151" s="704" t="n">
        <v>0</v>
      </c>
      <c r="AL151" s="704" t="n">
        <v>0</v>
      </c>
      <c r="AM151" s="704" t="n">
        <v>0</v>
      </c>
      <c r="AN151" s="704" t="n">
        <v>0</v>
      </c>
      <c r="AO151" s="704" t="n">
        <v>0</v>
      </c>
      <c r="AP151" s="704" t="n">
        <v>0</v>
      </c>
      <c r="AQ151" s="704" t="n">
        <v>0</v>
      </c>
      <c r="AR151" s="704" t="n">
        <v>0</v>
      </c>
      <c r="AS151" s="704" t="n">
        <v>0</v>
      </c>
      <c r="AT151" s="704" t="n">
        <v>0</v>
      </c>
      <c r="AU151" s="704" t="n">
        <v>0</v>
      </c>
      <c r="AV151" s="704" t="n">
        <v>0</v>
      </c>
      <c r="AW151" s="704" t="n">
        <v>0</v>
      </c>
      <c r="AX151" s="704" t="n">
        <v>0</v>
      </c>
      <c r="AY151" s="704" t="n">
        <v>0</v>
      </c>
      <c r="AZ151" s="704" t="n">
        <v>0</v>
      </c>
      <c r="BA151" s="704" t="n">
        <v>0</v>
      </c>
      <c r="BB151" s="704" t="n">
        <v>0</v>
      </c>
      <c r="BC151" s="704" t="n">
        <v>0</v>
      </c>
      <c r="BD151" s="704" t="n">
        <v>0</v>
      </c>
      <c r="BE151" s="704" t="n">
        <v>0</v>
      </c>
      <c r="BF151" s="704" t="n">
        <v>0</v>
      </c>
      <c r="BG151" s="704" t="n">
        <v>0</v>
      </c>
      <c r="BH151" s="704" t="n">
        <v>0</v>
      </c>
      <c r="BI151" s="704" t="n">
        <v>0</v>
      </c>
      <c r="BJ151" s="704" t="n">
        <v>0</v>
      </c>
      <c r="BK151" s="704" t="n">
        <v>0</v>
      </c>
      <c r="BL151" s="704" t="n">
        <v>0</v>
      </c>
      <c r="BM151" s="704" t="n">
        <v>0</v>
      </c>
      <c r="BN151" s="704" t="n">
        <v>0</v>
      </c>
      <c r="BO151" s="704" t="n">
        <v>0</v>
      </c>
      <c r="BP151" s="704" t="n">
        <v>0</v>
      </c>
      <c r="BQ151" s="704" t="n">
        <v>0</v>
      </c>
      <c r="BR151" s="704" t="n">
        <v>0</v>
      </c>
      <c r="BS151" s="704" t="n">
        <v>0</v>
      </c>
      <c r="BT151" s="704" t="n">
        <v>0</v>
      </c>
      <c r="BU151" s="704" t="n">
        <v>0</v>
      </c>
      <c r="BV151" s="704" t="n">
        <v>0</v>
      </c>
      <c r="BW151" s="704" t="n">
        <v>0</v>
      </c>
      <c r="BX151" s="704" t="n">
        <v>0</v>
      </c>
      <c r="BY151" s="704" t="n">
        <v>0</v>
      </c>
      <c r="BZ151" s="704" t="n">
        <v>0</v>
      </c>
      <c r="CA151" s="704" t="n">
        <v>0</v>
      </c>
      <c r="CB151" s="704" t="n">
        <v>0</v>
      </c>
      <c r="CC151" s="704" t="n">
        <v>0</v>
      </c>
      <c r="CD151" s="704" t="n">
        <v>0</v>
      </c>
      <c r="CE151" s="704" t="n">
        <v>0</v>
      </c>
      <c r="CF151" s="704" t="n">
        <v>0</v>
      </c>
      <c r="CG151" s="704" t="n">
        <v>0</v>
      </c>
      <c r="CH151" s="704" t="n">
        <v>0</v>
      </c>
      <c r="CI151" s="704" t="n">
        <v>0</v>
      </c>
      <c r="CJ151" s="704" t="n">
        <v>0</v>
      </c>
      <c r="CK151" s="704" t="n">
        <v>0</v>
      </c>
      <c r="CL151" s="704" t="n">
        <v>0</v>
      </c>
      <c r="CM151" s="704" t="n">
        <v>0</v>
      </c>
      <c r="CN151" s="704" t="n">
        <v>0</v>
      </c>
      <c r="CO151" s="704" t="n">
        <v>0</v>
      </c>
      <c r="CP151" s="704" t="n">
        <v>0</v>
      </c>
      <c r="CQ151" s="704" t="n">
        <v>0</v>
      </c>
      <c r="CR151" s="704" t="n">
        <v>0</v>
      </c>
      <c r="CS151" s="704" t="n">
        <v>0</v>
      </c>
      <c r="CT151" s="704" t="n">
        <v>0</v>
      </c>
      <c r="CU151" s="704" t="n">
        <v>0</v>
      </c>
      <c r="CV151" s="704" t="n">
        <v>0</v>
      </c>
      <c r="CW151" s="704" t="n">
        <v>0</v>
      </c>
      <c r="CX151" s="704" t="n">
        <v>0</v>
      </c>
      <c r="CY151" s="704" t="n">
        <v>0</v>
      </c>
      <c r="CZ151" s="704" t="n">
        <v>0</v>
      </c>
      <c r="DA151" s="704" t="n">
        <v>0</v>
      </c>
      <c r="DB151" s="704" t="n">
        <v>0</v>
      </c>
      <c r="DC151" s="704" t="n">
        <v>0</v>
      </c>
      <c r="DD151" s="704" t="n">
        <v>0</v>
      </c>
      <c r="DE151" s="704" t="n">
        <v>0</v>
      </c>
      <c r="DF151" s="704" t="n">
        <v>0</v>
      </c>
      <c r="DG151" s="704" t="n">
        <v>0</v>
      </c>
      <c r="DH151" s="704" t="n">
        <v>0</v>
      </c>
      <c r="DI151" s="704" t="n">
        <v>0</v>
      </c>
      <c r="DJ151" s="704" t="n">
        <v>0</v>
      </c>
      <c r="DK151" s="704" t="n">
        <v>0</v>
      </c>
      <c r="DL151" s="704" t="n">
        <v>0</v>
      </c>
      <c r="DM151" s="704" t="n">
        <v>0</v>
      </c>
    </row>
    <row r="152" ht="13.5" customHeight="1" s="355">
      <c r="B152" s="703" t="inlineStr">
        <is>
          <t>Req to Pay</t>
        </is>
      </c>
      <c r="D152" s="704" t="n">
        <v>0</v>
      </c>
      <c r="E152" s="704" t="n">
        <v>0</v>
      </c>
      <c r="F152" s="704" t="n">
        <v>0</v>
      </c>
      <c r="G152" s="704" t="n">
        <v>0</v>
      </c>
      <c r="H152" s="704" t="n">
        <v>0</v>
      </c>
      <c r="I152" s="704" t="n">
        <v>0</v>
      </c>
      <c r="J152" s="704" t="n">
        <v>0</v>
      </c>
      <c r="K152" s="704" t="n">
        <v>0</v>
      </c>
      <c r="L152" s="704" t="n">
        <v>0</v>
      </c>
      <c r="M152" s="704" t="n">
        <v>0</v>
      </c>
      <c r="N152" s="704" t="n">
        <v>0</v>
      </c>
      <c r="O152" s="704" t="n">
        <v>0</v>
      </c>
      <c r="P152" s="704" t="n">
        <v>0</v>
      </c>
      <c r="Q152" s="704" t="n">
        <v>0</v>
      </c>
      <c r="R152" s="704" t="n">
        <v>0</v>
      </c>
      <c r="S152" s="704" t="n">
        <v>0</v>
      </c>
      <c r="T152" s="704" t="n">
        <v>0</v>
      </c>
      <c r="U152" s="704" t="n">
        <v>0</v>
      </c>
      <c r="V152" s="704" t="n">
        <v>0</v>
      </c>
      <c r="W152" s="704" t="n">
        <v>0</v>
      </c>
      <c r="X152" s="704" t="n">
        <v>0</v>
      </c>
      <c r="Y152" s="704" t="n">
        <v>0</v>
      </c>
      <c r="Z152" s="704" t="n">
        <v>0</v>
      </c>
      <c r="AA152" s="704" t="n">
        <v>0</v>
      </c>
      <c r="AB152" s="704" t="n">
        <v>0</v>
      </c>
      <c r="AC152" s="704" t="n">
        <v>0</v>
      </c>
      <c r="AD152" s="704" t="n">
        <v>0</v>
      </c>
      <c r="AE152" s="704" t="n">
        <v>0</v>
      </c>
      <c r="AF152" s="704" t="n">
        <v>0</v>
      </c>
      <c r="AG152" s="704" t="n">
        <v>0</v>
      </c>
      <c r="AH152" s="704" t="n">
        <v>0</v>
      </c>
      <c r="AI152" s="704" t="n">
        <v>0</v>
      </c>
      <c r="AJ152" s="704" t="n">
        <v>0</v>
      </c>
      <c r="AK152" s="704" t="n">
        <v>0</v>
      </c>
      <c r="AL152" s="704" t="n">
        <v>0</v>
      </c>
      <c r="AM152" s="704" t="n">
        <v>0</v>
      </c>
      <c r="AN152" s="704" t="n">
        <v>0</v>
      </c>
      <c r="AO152" s="704" t="n">
        <v>0</v>
      </c>
      <c r="AP152" s="704" t="n">
        <v>0</v>
      </c>
      <c r="AQ152" s="704" t="n">
        <v>0</v>
      </c>
      <c r="AR152" s="704" t="n">
        <v>0</v>
      </c>
      <c r="AS152" s="704" t="n">
        <v>0</v>
      </c>
      <c r="AT152" s="704" t="n">
        <v>0</v>
      </c>
      <c r="AU152" s="704" t="n">
        <v>0</v>
      </c>
      <c r="AV152" s="704" t="n">
        <v>0</v>
      </c>
      <c r="AW152" s="704" t="n">
        <v>0</v>
      </c>
      <c r="AX152" s="704" t="n">
        <v>0</v>
      </c>
      <c r="AY152" s="704" t="n">
        <v>0</v>
      </c>
      <c r="AZ152" s="704" t="n">
        <v>0</v>
      </c>
      <c r="BA152" s="704" t="n">
        <v>0</v>
      </c>
      <c r="BB152" s="704" t="n">
        <v>0</v>
      </c>
      <c r="BC152" s="704" t="n">
        <v>0</v>
      </c>
      <c r="BD152" s="704" t="n">
        <v>0</v>
      </c>
      <c r="BE152" s="704" t="n">
        <v>0</v>
      </c>
      <c r="BF152" s="704" t="n">
        <v>0</v>
      </c>
      <c r="BG152" s="704" t="n">
        <v>0</v>
      </c>
      <c r="BH152" s="704" t="n">
        <v>0</v>
      </c>
      <c r="BI152" s="704" t="n">
        <v>0</v>
      </c>
      <c r="BJ152" s="704" t="n">
        <v>0</v>
      </c>
      <c r="BK152" s="704" t="n">
        <v>0</v>
      </c>
      <c r="BL152" s="704" t="n">
        <v>0</v>
      </c>
      <c r="BM152" s="704" t="n">
        <v>0</v>
      </c>
      <c r="BN152" s="704" t="n">
        <v>0</v>
      </c>
      <c r="BO152" s="704" t="n">
        <v>0</v>
      </c>
      <c r="BP152" s="704" t="n">
        <v>0</v>
      </c>
      <c r="BQ152" s="704" t="n">
        <v>0</v>
      </c>
      <c r="BR152" s="704" t="n">
        <v>0</v>
      </c>
      <c r="BS152" s="704" t="n">
        <v>0</v>
      </c>
      <c r="BT152" s="704" t="n">
        <v>0</v>
      </c>
      <c r="BU152" s="704" t="n">
        <v>0</v>
      </c>
      <c r="BV152" s="704" t="n">
        <v>0</v>
      </c>
      <c r="BW152" s="704" t="n">
        <v>0</v>
      </c>
      <c r="BX152" s="704" t="n">
        <v>0</v>
      </c>
      <c r="BY152" s="704" t="n">
        <v>0</v>
      </c>
      <c r="BZ152" s="704" t="n">
        <v>0</v>
      </c>
      <c r="CA152" s="704" t="n">
        <v>0</v>
      </c>
      <c r="CB152" s="704" t="n">
        <v>0</v>
      </c>
      <c r="CC152" s="704" t="n">
        <v>0</v>
      </c>
      <c r="CD152" s="704" t="n">
        <v>0</v>
      </c>
      <c r="CE152" s="704" t="n">
        <v>0</v>
      </c>
      <c r="CF152" s="704" t="n">
        <v>0</v>
      </c>
      <c r="CG152" s="704" t="n">
        <v>0</v>
      </c>
      <c r="CH152" s="704" t="n">
        <v>0</v>
      </c>
      <c r="CI152" s="704" t="n">
        <v>0</v>
      </c>
      <c r="CJ152" s="704" t="n">
        <v>0</v>
      </c>
      <c r="CK152" s="704" t="n">
        <v>0</v>
      </c>
      <c r="CL152" s="704" t="n">
        <v>0</v>
      </c>
      <c r="CM152" s="704" t="n">
        <v>0</v>
      </c>
      <c r="CN152" s="704" t="n">
        <v>0</v>
      </c>
      <c r="CO152" s="704" t="n">
        <v>0</v>
      </c>
      <c r="CP152" s="704" t="n">
        <v>0</v>
      </c>
      <c r="CQ152" s="704" t="n">
        <v>0</v>
      </c>
      <c r="CR152" s="704" t="n">
        <v>0</v>
      </c>
      <c r="CS152" s="704" t="n">
        <v>0</v>
      </c>
      <c r="CT152" s="704" t="n">
        <v>0</v>
      </c>
      <c r="CU152" s="704" t="n">
        <v>0</v>
      </c>
      <c r="CV152" s="704" t="n">
        <v>0</v>
      </c>
      <c r="CW152" s="704" t="n">
        <v>0</v>
      </c>
      <c r="CX152" s="704" t="n">
        <v>0</v>
      </c>
      <c r="CY152" s="704" t="n">
        <v>0</v>
      </c>
      <c r="CZ152" s="704" t="n">
        <v>0</v>
      </c>
      <c r="DA152" s="704" t="n">
        <v>0</v>
      </c>
      <c r="DB152" s="704" t="n">
        <v>0</v>
      </c>
      <c r="DC152" s="704" t="n">
        <v>0</v>
      </c>
      <c r="DD152" s="704" t="n">
        <v>0</v>
      </c>
      <c r="DE152" s="704" t="n">
        <v>0</v>
      </c>
      <c r="DF152" s="704" t="n">
        <v>0</v>
      </c>
      <c r="DG152" s="704" t="n">
        <v>0</v>
      </c>
      <c r="DH152" s="704" t="n">
        <v>0</v>
      </c>
      <c r="DI152" s="704" t="n">
        <v>0</v>
      </c>
      <c r="DJ152" s="704" t="n">
        <v>0</v>
      </c>
      <c r="DK152" s="704" t="n">
        <v>0</v>
      </c>
      <c r="DL152" s="704" t="n">
        <v>0</v>
      </c>
      <c r="DM152" s="704" t="n">
        <v>0</v>
      </c>
    </row>
    <row r="153" ht="13.5" customHeight="1" s="355">
      <c r="B153" s="703" t="inlineStr">
        <is>
          <t>Team Leader</t>
        </is>
      </c>
      <c r="D153" s="704" t="n">
        <v>0</v>
      </c>
      <c r="E153" s="704" t="n">
        <v>0</v>
      </c>
      <c r="F153" s="704" t="n">
        <v>0</v>
      </c>
      <c r="G153" s="704" t="n">
        <v>0</v>
      </c>
      <c r="H153" s="704" t="n">
        <v>0</v>
      </c>
      <c r="I153" s="704" t="n">
        <v>0</v>
      </c>
      <c r="J153" s="704" t="n">
        <v>0</v>
      </c>
      <c r="K153" s="704" t="n">
        <v>0</v>
      </c>
      <c r="L153" s="704" t="n">
        <v>0</v>
      </c>
      <c r="M153" s="704" t="n">
        <v>0</v>
      </c>
      <c r="N153" s="704" t="n">
        <v>0</v>
      </c>
      <c r="O153" s="704" t="n">
        <v>0</v>
      </c>
      <c r="P153" s="704" t="n">
        <v>0</v>
      </c>
      <c r="Q153" s="704" t="n">
        <v>0</v>
      </c>
      <c r="R153" s="704" t="n">
        <v>0</v>
      </c>
      <c r="S153" s="704" t="n">
        <v>0</v>
      </c>
      <c r="T153" s="704" t="n">
        <v>0</v>
      </c>
      <c r="U153" s="704" t="n">
        <v>0</v>
      </c>
      <c r="V153" s="704" t="n">
        <v>0</v>
      </c>
      <c r="W153" s="704" t="n">
        <v>0</v>
      </c>
      <c r="X153" s="704" t="n">
        <v>0</v>
      </c>
      <c r="Y153" s="704" t="n">
        <v>0</v>
      </c>
      <c r="Z153" s="704" t="n">
        <v>0</v>
      </c>
      <c r="AA153" s="704" t="n">
        <v>0</v>
      </c>
      <c r="AB153" s="704" t="n">
        <v>0</v>
      </c>
      <c r="AC153" s="704" t="n">
        <v>0</v>
      </c>
      <c r="AD153" s="704" t="n">
        <v>0</v>
      </c>
      <c r="AE153" s="704" t="n">
        <v>0</v>
      </c>
      <c r="AF153" s="704" t="n">
        <v>0</v>
      </c>
      <c r="AG153" s="704" t="n">
        <v>0</v>
      </c>
      <c r="AH153" s="704" t="n">
        <v>0</v>
      </c>
      <c r="AI153" s="704" t="n">
        <v>0</v>
      </c>
      <c r="AJ153" s="704" t="n">
        <v>0</v>
      </c>
      <c r="AK153" s="704" t="n">
        <v>0</v>
      </c>
      <c r="AL153" s="704" t="n">
        <v>0</v>
      </c>
      <c r="AM153" s="704" t="n">
        <v>0</v>
      </c>
      <c r="AN153" s="704" t="n">
        <v>0</v>
      </c>
      <c r="AO153" s="704" t="n">
        <v>0</v>
      </c>
      <c r="AP153" s="704" t="n">
        <v>0</v>
      </c>
      <c r="AQ153" s="704" t="n">
        <v>0</v>
      </c>
      <c r="AR153" s="704" t="n">
        <v>0</v>
      </c>
      <c r="AS153" s="704" t="n">
        <v>0</v>
      </c>
      <c r="AT153" s="704" t="n">
        <v>0</v>
      </c>
      <c r="AU153" s="704" t="n">
        <v>0</v>
      </c>
      <c r="AV153" s="704" t="n">
        <v>0</v>
      </c>
      <c r="AW153" s="704" t="n">
        <v>0</v>
      </c>
      <c r="AX153" s="704" t="n">
        <v>0</v>
      </c>
      <c r="AY153" s="704" t="n">
        <v>0</v>
      </c>
      <c r="AZ153" s="704" t="n">
        <v>0</v>
      </c>
      <c r="BA153" s="704" t="n">
        <v>0</v>
      </c>
      <c r="BB153" s="704" t="n">
        <v>0</v>
      </c>
      <c r="BC153" s="704" t="n">
        <v>0</v>
      </c>
      <c r="BD153" s="704" t="n">
        <v>0</v>
      </c>
      <c r="BE153" s="704" t="n">
        <v>0</v>
      </c>
      <c r="BF153" s="704" t="n">
        <v>0</v>
      </c>
      <c r="BG153" s="704" t="n">
        <v>0</v>
      </c>
      <c r="BH153" s="704" t="n">
        <v>0</v>
      </c>
      <c r="BI153" s="704" t="n">
        <v>0</v>
      </c>
      <c r="BJ153" s="704" t="n">
        <v>0</v>
      </c>
      <c r="BK153" s="704" t="n">
        <v>0</v>
      </c>
      <c r="BL153" s="704" t="n">
        <v>0</v>
      </c>
      <c r="BM153" s="704" t="n">
        <v>0</v>
      </c>
      <c r="BN153" s="704" t="n">
        <v>0</v>
      </c>
      <c r="BO153" s="704" t="n">
        <v>0</v>
      </c>
      <c r="BP153" s="704" t="n">
        <v>0</v>
      </c>
      <c r="BQ153" s="704" t="n">
        <v>0</v>
      </c>
      <c r="BR153" s="704" t="n">
        <v>0</v>
      </c>
      <c r="BS153" s="704" t="n">
        <v>0</v>
      </c>
      <c r="BT153" s="704" t="n">
        <v>0</v>
      </c>
      <c r="BU153" s="704" t="n">
        <v>0</v>
      </c>
      <c r="BV153" s="704" t="n">
        <v>0</v>
      </c>
      <c r="BW153" s="704" t="n">
        <v>0</v>
      </c>
      <c r="BX153" s="704" t="n">
        <v>0</v>
      </c>
      <c r="BY153" s="704" t="n">
        <v>0</v>
      </c>
      <c r="BZ153" s="704" t="n">
        <v>0</v>
      </c>
      <c r="CA153" s="704" t="n">
        <v>0</v>
      </c>
      <c r="CB153" s="704" t="n">
        <v>0</v>
      </c>
      <c r="CC153" s="704" t="n">
        <v>0</v>
      </c>
      <c r="CD153" s="704" t="n">
        <v>0</v>
      </c>
      <c r="CE153" s="704" t="n">
        <v>0</v>
      </c>
      <c r="CF153" s="704" t="n">
        <v>0</v>
      </c>
      <c r="CG153" s="704" t="n">
        <v>0</v>
      </c>
      <c r="CH153" s="704" t="n">
        <v>0</v>
      </c>
      <c r="CI153" s="704" t="n">
        <v>0</v>
      </c>
      <c r="CJ153" s="704" t="n">
        <v>0</v>
      </c>
      <c r="CK153" s="704" t="n">
        <v>0</v>
      </c>
      <c r="CL153" s="704" t="n">
        <v>0</v>
      </c>
      <c r="CM153" s="704" t="n">
        <v>0</v>
      </c>
      <c r="CN153" s="704" t="n">
        <v>0</v>
      </c>
      <c r="CO153" s="704" t="n">
        <v>0</v>
      </c>
      <c r="CP153" s="704" t="n">
        <v>0</v>
      </c>
      <c r="CQ153" s="704" t="n">
        <v>0</v>
      </c>
      <c r="CR153" s="704" t="n">
        <v>0</v>
      </c>
      <c r="CS153" s="704" t="n">
        <v>0</v>
      </c>
      <c r="CT153" s="704" t="n">
        <v>0</v>
      </c>
      <c r="CU153" s="704" t="n">
        <v>0</v>
      </c>
      <c r="CV153" s="704" t="n">
        <v>0</v>
      </c>
      <c r="CW153" s="704" t="n">
        <v>0</v>
      </c>
      <c r="CX153" s="704" t="n">
        <v>0</v>
      </c>
      <c r="CY153" s="704" t="n">
        <v>0</v>
      </c>
      <c r="CZ153" s="704" t="n">
        <v>0</v>
      </c>
      <c r="DA153" s="704" t="n">
        <v>0</v>
      </c>
      <c r="DB153" s="704" t="n">
        <v>0</v>
      </c>
      <c r="DC153" s="704" t="n">
        <v>0</v>
      </c>
      <c r="DD153" s="704" t="n">
        <v>0</v>
      </c>
      <c r="DE153" s="704" t="n">
        <v>0</v>
      </c>
      <c r="DF153" s="704" t="n">
        <v>0</v>
      </c>
      <c r="DG153" s="704" t="n">
        <v>0</v>
      </c>
      <c r="DH153" s="704" t="n">
        <v>0</v>
      </c>
      <c r="DI153" s="704" t="n">
        <v>0</v>
      </c>
      <c r="DJ153" s="704" t="n">
        <v>0</v>
      </c>
      <c r="DK153" s="704" t="n">
        <v>0</v>
      </c>
      <c r="DL153" s="704" t="n">
        <v>0</v>
      </c>
      <c r="DM153" s="704" t="n">
        <v>0</v>
      </c>
    </row>
    <row r="154" ht="13.5" customHeight="1" s="355">
      <c r="B154" s="703" t="inlineStr">
        <is>
          <t>SLA Metric Reporting</t>
        </is>
      </c>
      <c r="D154" s="704" t="n">
        <v>0</v>
      </c>
      <c r="E154" s="704" t="n">
        <v>0</v>
      </c>
      <c r="F154" s="704" t="n">
        <v>0</v>
      </c>
      <c r="G154" s="704" t="n">
        <v>0</v>
      </c>
      <c r="H154" s="704" t="n">
        <v>0</v>
      </c>
      <c r="I154" s="704" t="n">
        <v>0</v>
      </c>
      <c r="J154" s="704" t="n">
        <v>0</v>
      </c>
      <c r="K154" s="704" t="n">
        <v>0</v>
      </c>
      <c r="L154" s="704" t="n">
        <v>0</v>
      </c>
      <c r="M154" s="704" t="n">
        <v>0</v>
      </c>
      <c r="N154" s="704" t="n">
        <v>0</v>
      </c>
      <c r="O154" s="704" t="n">
        <v>0</v>
      </c>
      <c r="P154" s="704" t="n">
        <v>0</v>
      </c>
      <c r="Q154" s="704" t="n">
        <v>0</v>
      </c>
      <c r="R154" s="704" t="n">
        <v>0</v>
      </c>
      <c r="S154" s="704" t="n">
        <v>0</v>
      </c>
      <c r="T154" s="704" t="n">
        <v>0</v>
      </c>
      <c r="U154" s="704" t="n">
        <v>0</v>
      </c>
      <c r="V154" s="704" t="n">
        <v>0</v>
      </c>
      <c r="W154" s="704" t="n">
        <v>0</v>
      </c>
      <c r="X154" s="704" t="n">
        <v>0</v>
      </c>
      <c r="Y154" s="704" t="n">
        <v>0</v>
      </c>
      <c r="Z154" s="704" t="n">
        <v>0</v>
      </c>
      <c r="AA154" s="704" t="n">
        <v>0</v>
      </c>
      <c r="AB154" s="704" t="n">
        <v>0</v>
      </c>
      <c r="AC154" s="704" t="n">
        <v>0</v>
      </c>
      <c r="AD154" s="704" t="n">
        <v>0</v>
      </c>
      <c r="AE154" s="704" t="n">
        <v>0</v>
      </c>
      <c r="AF154" s="704" t="n">
        <v>0</v>
      </c>
      <c r="AG154" s="704" t="n">
        <v>0</v>
      </c>
      <c r="AH154" s="704" t="n">
        <v>0</v>
      </c>
      <c r="AI154" s="704" t="n">
        <v>0</v>
      </c>
      <c r="AJ154" s="704" t="n">
        <v>0</v>
      </c>
      <c r="AK154" s="704" t="n">
        <v>0</v>
      </c>
      <c r="AL154" s="704" t="n">
        <v>0</v>
      </c>
      <c r="AM154" s="704" t="n">
        <v>0</v>
      </c>
      <c r="AN154" s="704" t="n">
        <v>0</v>
      </c>
      <c r="AO154" s="704" t="n">
        <v>0</v>
      </c>
      <c r="AP154" s="704" t="n">
        <v>0</v>
      </c>
      <c r="AQ154" s="704" t="n">
        <v>0</v>
      </c>
      <c r="AR154" s="704" t="n">
        <v>0</v>
      </c>
      <c r="AS154" s="704" t="n">
        <v>0</v>
      </c>
      <c r="AT154" s="704" t="n">
        <v>0</v>
      </c>
      <c r="AU154" s="704" t="n">
        <v>0</v>
      </c>
      <c r="AV154" s="704" t="n">
        <v>0</v>
      </c>
      <c r="AW154" s="704" t="n">
        <v>0</v>
      </c>
      <c r="AX154" s="704" t="n">
        <v>0</v>
      </c>
      <c r="AY154" s="704" t="n">
        <v>0</v>
      </c>
      <c r="AZ154" s="704" t="n">
        <v>0</v>
      </c>
      <c r="BA154" s="704" t="n">
        <v>0</v>
      </c>
      <c r="BB154" s="704" t="n">
        <v>0</v>
      </c>
      <c r="BC154" s="704" t="n">
        <v>0</v>
      </c>
      <c r="BD154" s="704" t="n">
        <v>0</v>
      </c>
      <c r="BE154" s="704" t="n">
        <v>0</v>
      </c>
      <c r="BF154" s="704" t="n">
        <v>0</v>
      </c>
      <c r="BG154" s="704" t="n">
        <v>0</v>
      </c>
      <c r="BH154" s="704" t="n">
        <v>0</v>
      </c>
      <c r="BI154" s="704" t="n">
        <v>0</v>
      </c>
      <c r="BJ154" s="704" t="n">
        <v>0</v>
      </c>
      <c r="BK154" s="704" t="n">
        <v>0</v>
      </c>
      <c r="BL154" s="704" t="n">
        <v>0</v>
      </c>
      <c r="BM154" s="704" t="n">
        <v>0</v>
      </c>
      <c r="BN154" s="704" t="n">
        <v>0</v>
      </c>
      <c r="BO154" s="704" t="n">
        <v>0</v>
      </c>
      <c r="BP154" s="704" t="n">
        <v>0</v>
      </c>
      <c r="BQ154" s="704" t="n">
        <v>0</v>
      </c>
      <c r="BR154" s="704" t="n">
        <v>0</v>
      </c>
      <c r="BS154" s="704" t="n">
        <v>0</v>
      </c>
      <c r="BT154" s="704" t="n">
        <v>0</v>
      </c>
      <c r="BU154" s="704" t="n">
        <v>0</v>
      </c>
      <c r="BV154" s="704" t="n">
        <v>0</v>
      </c>
      <c r="BW154" s="704" t="n">
        <v>0</v>
      </c>
      <c r="BX154" s="704" t="n">
        <v>0</v>
      </c>
      <c r="BY154" s="704" t="n">
        <v>0</v>
      </c>
      <c r="BZ154" s="704" t="n">
        <v>0</v>
      </c>
      <c r="CA154" s="704" t="n">
        <v>0</v>
      </c>
      <c r="CB154" s="704" t="n">
        <v>0</v>
      </c>
      <c r="CC154" s="704" t="n">
        <v>0</v>
      </c>
      <c r="CD154" s="704" t="n">
        <v>0</v>
      </c>
      <c r="CE154" s="704" t="n">
        <v>0</v>
      </c>
      <c r="CF154" s="704" t="n">
        <v>0</v>
      </c>
      <c r="CG154" s="704" t="n">
        <v>0</v>
      </c>
      <c r="CH154" s="704" t="n">
        <v>0</v>
      </c>
      <c r="CI154" s="704" t="n">
        <v>0</v>
      </c>
      <c r="CJ154" s="704" t="n">
        <v>0</v>
      </c>
      <c r="CK154" s="704" t="n">
        <v>0</v>
      </c>
      <c r="CL154" s="704" t="n">
        <v>0</v>
      </c>
      <c r="CM154" s="704" t="n">
        <v>0</v>
      </c>
      <c r="CN154" s="704" t="n">
        <v>0</v>
      </c>
      <c r="CO154" s="704" t="n">
        <v>0</v>
      </c>
      <c r="CP154" s="704" t="n">
        <v>0</v>
      </c>
      <c r="CQ154" s="704" t="n">
        <v>0</v>
      </c>
      <c r="CR154" s="704" t="n">
        <v>0</v>
      </c>
      <c r="CS154" s="704" t="n">
        <v>0</v>
      </c>
      <c r="CT154" s="704" t="n">
        <v>0</v>
      </c>
      <c r="CU154" s="704" t="n">
        <v>0</v>
      </c>
      <c r="CV154" s="704" t="n">
        <v>0</v>
      </c>
      <c r="CW154" s="704" t="n">
        <v>0</v>
      </c>
      <c r="CX154" s="704" t="n">
        <v>0</v>
      </c>
      <c r="CY154" s="704" t="n">
        <v>0</v>
      </c>
      <c r="CZ154" s="704" t="n">
        <v>0</v>
      </c>
      <c r="DA154" s="704" t="n">
        <v>0</v>
      </c>
      <c r="DB154" s="704" t="n">
        <v>0</v>
      </c>
      <c r="DC154" s="704" t="n">
        <v>0</v>
      </c>
      <c r="DD154" s="704" t="n">
        <v>0</v>
      </c>
      <c r="DE154" s="704" t="n">
        <v>0</v>
      </c>
      <c r="DF154" s="704" t="n">
        <v>0</v>
      </c>
      <c r="DG154" s="704" t="n">
        <v>0</v>
      </c>
      <c r="DH154" s="704" t="n">
        <v>0</v>
      </c>
      <c r="DI154" s="704" t="n">
        <v>0</v>
      </c>
      <c r="DJ154" s="704" t="n">
        <v>0</v>
      </c>
      <c r="DK154" s="704" t="n">
        <v>0</v>
      </c>
      <c r="DL154" s="704" t="n">
        <v>0</v>
      </c>
      <c r="DM154" s="704" t="n">
        <v>0</v>
      </c>
    </row>
    <row r="155" ht="13.5" customHeight="1" s="355">
      <c r="B155" s="705" t="inlineStr">
        <is>
          <t>Grand Total</t>
        </is>
      </c>
      <c r="C155" s="706" t="n"/>
      <c r="D155" s="707" t="n">
        <v>0</v>
      </c>
      <c r="E155" s="707" t="n">
        <v>0</v>
      </c>
      <c r="F155" s="707" t="n">
        <v>0</v>
      </c>
      <c r="G155" s="707" t="n">
        <v>0</v>
      </c>
      <c r="H155" s="707" t="n">
        <v>0</v>
      </c>
      <c r="I155" s="707" t="n">
        <v>0</v>
      </c>
      <c r="J155" s="707" t="n">
        <v>0</v>
      </c>
      <c r="K155" s="707" t="n">
        <v>0</v>
      </c>
      <c r="L155" s="707" t="n">
        <v>0</v>
      </c>
      <c r="M155" s="707" t="n">
        <v>0</v>
      </c>
      <c r="N155" s="707" t="n">
        <v>0</v>
      </c>
      <c r="O155" s="707" t="n">
        <v>0</v>
      </c>
      <c r="P155" s="707" t="n">
        <v>0</v>
      </c>
      <c r="Q155" s="707" t="n">
        <v>0</v>
      </c>
      <c r="R155" s="707" t="n">
        <v>0</v>
      </c>
      <c r="S155" s="707" t="n">
        <v>0</v>
      </c>
      <c r="T155" s="707" t="n">
        <v>0</v>
      </c>
      <c r="U155" s="707" t="n">
        <v>0</v>
      </c>
      <c r="V155" s="707" t="n">
        <v>0</v>
      </c>
      <c r="W155" s="707" t="n">
        <v>0</v>
      </c>
      <c r="X155" s="707" t="n">
        <v>0</v>
      </c>
      <c r="Y155" s="707" t="n">
        <v>0</v>
      </c>
      <c r="Z155" s="707" t="n">
        <v>0</v>
      </c>
      <c r="AA155" s="707" t="n">
        <v>0</v>
      </c>
      <c r="AB155" s="707" t="n">
        <v>0</v>
      </c>
      <c r="AC155" s="707" t="n">
        <v>0</v>
      </c>
      <c r="AD155" s="707" t="n">
        <v>0</v>
      </c>
      <c r="AE155" s="707" t="n">
        <v>0</v>
      </c>
      <c r="AF155" s="707" t="n">
        <v>0</v>
      </c>
      <c r="AG155" s="707" t="n">
        <v>0</v>
      </c>
      <c r="AH155" s="707" t="n">
        <v>0</v>
      </c>
      <c r="AI155" s="707" t="n">
        <v>0</v>
      </c>
      <c r="AJ155" s="707" t="n">
        <v>0</v>
      </c>
      <c r="AK155" s="707" t="n">
        <v>0</v>
      </c>
      <c r="AL155" s="707" t="n">
        <v>0</v>
      </c>
      <c r="AM155" s="707" t="n">
        <v>0</v>
      </c>
      <c r="AN155" s="707" t="n">
        <v>0</v>
      </c>
      <c r="AO155" s="707" t="n">
        <v>0</v>
      </c>
      <c r="AP155" s="707" t="n">
        <v>0</v>
      </c>
      <c r="AQ155" s="707" t="n">
        <v>0</v>
      </c>
      <c r="AR155" s="707" t="n">
        <v>0</v>
      </c>
      <c r="AS155" s="707" t="n">
        <v>0</v>
      </c>
      <c r="AT155" s="707" t="n">
        <v>0</v>
      </c>
      <c r="AU155" s="707" t="n">
        <v>0</v>
      </c>
      <c r="AV155" s="707" t="n">
        <v>0</v>
      </c>
      <c r="AW155" s="707" t="n">
        <v>0</v>
      </c>
      <c r="AX155" s="707" t="n">
        <v>0</v>
      </c>
      <c r="AY155" s="707" t="n">
        <v>0</v>
      </c>
      <c r="AZ155" s="707" t="n">
        <v>0</v>
      </c>
      <c r="BA155" s="707" t="n">
        <v>0</v>
      </c>
      <c r="BB155" s="707" t="n">
        <v>0</v>
      </c>
      <c r="BC155" s="707" t="n">
        <v>0</v>
      </c>
      <c r="BD155" s="707" t="n">
        <v>0</v>
      </c>
      <c r="BE155" s="707" t="n">
        <v>0</v>
      </c>
      <c r="BF155" s="707" t="n">
        <v>0</v>
      </c>
      <c r="BG155" s="707" t="n">
        <v>0</v>
      </c>
      <c r="BH155" s="707" t="n">
        <v>0</v>
      </c>
      <c r="BI155" s="707" t="n">
        <v>0</v>
      </c>
      <c r="BJ155" s="707" t="n">
        <v>0</v>
      </c>
      <c r="BK155" s="707" t="n">
        <v>0</v>
      </c>
      <c r="BL155" s="707" t="n">
        <v>0</v>
      </c>
      <c r="BM155" s="707" t="n">
        <v>0</v>
      </c>
      <c r="BN155" s="707" t="n">
        <v>0</v>
      </c>
      <c r="BO155" s="707" t="n">
        <v>0</v>
      </c>
      <c r="BP155" s="707" t="n">
        <v>0</v>
      </c>
      <c r="BQ155" s="707" t="n">
        <v>0</v>
      </c>
      <c r="BR155" s="707" t="n">
        <v>0</v>
      </c>
      <c r="BS155" s="707" t="n">
        <v>0</v>
      </c>
      <c r="BT155" s="707" t="n">
        <v>0</v>
      </c>
      <c r="BU155" s="707" t="n">
        <v>0</v>
      </c>
      <c r="BV155" s="707" t="n">
        <v>0</v>
      </c>
      <c r="BW155" s="707" t="n">
        <v>0</v>
      </c>
      <c r="BX155" s="707" t="n">
        <v>0</v>
      </c>
      <c r="BY155" s="707" t="n">
        <v>0</v>
      </c>
      <c r="BZ155" s="707" t="n">
        <v>0</v>
      </c>
      <c r="CA155" s="707" t="n">
        <v>0</v>
      </c>
      <c r="CB155" s="707" t="n">
        <v>0</v>
      </c>
      <c r="CC155" s="707" t="n">
        <v>0</v>
      </c>
      <c r="CD155" s="707" t="n">
        <v>0</v>
      </c>
      <c r="CE155" s="707" t="n">
        <v>0</v>
      </c>
      <c r="CF155" s="707" t="n">
        <v>0</v>
      </c>
      <c r="CG155" s="707" t="n">
        <v>0</v>
      </c>
      <c r="CH155" s="707" t="n">
        <v>0</v>
      </c>
      <c r="CI155" s="707" t="n">
        <v>0</v>
      </c>
      <c r="CJ155" s="707" t="n">
        <v>0</v>
      </c>
      <c r="CK155" s="707" t="n">
        <v>0</v>
      </c>
      <c r="CL155" s="707" t="n">
        <v>0</v>
      </c>
      <c r="CM155" s="707" t="n">
        <v>0</v>
      </c>
      <c r="CN155" s="707" t="n">
        <v>0</v>
      </c>
      <c r="CO155" s="707" t="n">
        <v>0</v>
      </c>
      <c r="CP155" s="707" t="n">
        <v>0</v>
      </c>
      <c r="CQ155" s="707" t="n">
        <v>0</v>
      </c>
      <c r="CR155" s="707" t="n">
        <v>0</v>
      </c>
      <c r="CS155" s="707" t="n">
        <v>0</v>
      </c>
      <c r="CT155" s="707" t="n">
        <v>0</v>
      </c>
      <c r="CU155" s="707" t="n">
        <v>0</v>
      </c>
      <c r="CV155" s="707" t="n">
        <v>0</v>
      </c>
      <c r="CW155" s="707" t="n">
        <v>0</v>
      </c>
      <c r="CX155" s="707" t="n">
        <v>0</v>
      </c>
      <c r="CY155" s="707" t="n">
        <v>0</v>
      </c>
      <c r="CZ155" s="707" t="n">
        <v>0</v>
      </c>
      <c r="DA155" s="707" t="n">
        <v>0</v>
      </c>
      <c r="DB155" s="707" t="n">
        <v>0</v>
      </c>
      <c r="DC155" s="707" t="n">
        <v>0</v>
      </c>
      <c r="DD155" s="707" t="n">
        <v>0</v>
      </c>
      <c r="DE155" s="707" t="n">
        <v>0</v>
      </c>
      <c r="DF155" s="707" t="n">
        <v>0</v>
      </c>
      <c r="DG155" s="707" t="n">
        <v>0</v>
      </c>
      <c r="DH155" s="707" t="n">
        <v>0</v>
      </c>
      <c r="DI155" s="707" t="n">
        <v>0</v>
      </c>
      <c r="DJ155" s="707" t="n">
        <v>0</v>
      </c>
      <c r="DK155" s="707" t="n">
        <v>0</v>
      </c>
      <c r="DL155" s="707" t="n">
        <v>0</v>
      </c>
      <c r="DM155" s="707" t="n">
        <v>0</v>
      </c>
    </row>
    <row r="156" ht="13.5" customHeight="1" s="355">
      <c r="A156" s="702" t="inlineStr">
        <is>
          <t>Country 15</t>
        </is>
      </c>
      <c r="B156" s="703" t="inlineStr">
        <is>
          <t>Gen Acctg</t>
        </is>
      </c>
      <c r="D156" s="704" t="n">
        <v>0</v>
      </c>
      <c r="E156" s="704" t="n">
        <v>0</v>
      </c>
      <c r="F156" s="704" t="n">
        <v>0</v>
      </c>
      <c r="G156" s="704" t="n">
        <v>0</v>
      </c>
      <c r="H156" s="704" t="n">
        <v>0</v>
      </c>
      <c r="I156" s="704" t="n">
        <v>0</v>
      </c>
      <c r="J156" s="704" t="n">
        <v>0</v>
      </c>
      <c r="K156" s="704" t="n">
        <v>0</v>
      </c>
      <c r="L156" s="704" t="n">
        <v>0</v>
      </c>
      <c r="M156" s="704" t="n">
        <v>0</v>
      </c>
      <c r="N156" s="704" t="n">
        <v>0</v>
      </c>
      <c r="O156" s="704" t="n">
        <v>0</v>
      </c>
      <c r="P156" s="704" t="n">
        <v>0</v>
      </c>
      <c r="Q156" s="704" t="n">
        <v>0</v>
      </c>
      <c r="R156" s="704" t="n">
        <v>0</v>
      </c>
      <c r="S156" s="704" t="n">
        <v>0</v>
      </c>
      <c r="T156" s="704" t="n">
        <v>0</v>
      </c>
      <c r="U156" s="704" t="n">
        <v>0</v>
      </c>
      <c r="V156" s="704" t="n">
        <v>0</v>
      </c>
      <c r="W156" s="704" t="n">
        <v>0</v>
      </c>
      <c r="X156" s="704" t="n">
        <v>0</v>
      </c>
      <c r="Y156" s="704" t="n">
        <v>0</v>
      </c>
      <c r="Z156" s="704" t="n">
        <v>0</v>
      </c>
      <c r="AA156" s="704" t="n">
        <v>0</v>
      </c>
      <c r="AB156" s="704" t="n">
        <v>0</v>
      </c>
      <c r="AC156" s="704" t="n">
        <v>0</v>
      </c>
      <c r="AD156" s="704" t="n">
        <v>0</v>
      </c>
      <c r="AE156" s="704" t="n">
        <v>0</v>
      </c>
      <c r="AF156" s="704" t="n">
        <v>0</v>
      </c>
      <c r="AG156" s="704" t="n">
        <v>0</v>
      </c>
      <c r="AH156" s="704" t="n">
        <v>0</v>
      </c>
      <c r="AI156" s="704" t="n">
        <v>0</v>
      </c>
      <c r="AJ156" s="704" t="n">
        <v>0</v>
      </c>
      <c r="AK156" s="704" t="n">
        <v>0</v>
      </c>
      <c r="AL156" s="704" t="n">
        <v>0</v>
      </c>
      <c r="AM156" s="704" t="n">
        <v>0</v>
      </c>
      <c r="AN156" s="704" t="n">
        <v>0</v>
      </c>
      <c r="AO156" s="704" t="n">
        <v>0</v>
      </c>
      <c r="AP156" s="704" t="n">
        <v>0</v>
      </c>
      <c r="AQ156" s="704" t="n">
        <v>0</v>
      </c>
      <c r="AR156" s="704" t="n">
        <v>0</v>
      </c>
      <c r="AS156" s="704" t="n">
        <v>0</v>
      </c>
      <c r="AT156" s="704" t="n">
        <v>0</v>
      </c>
      <c r="AU156" s="704" t="n">
        <v>0</v>
      </c>
      <c r="AV156" s="704" t="n">
        <v>0</v>
      </c>
      <c r="AW156" s="704" t="n">
        <v>0</v>
      </c>
      <c r="AX156" s="704" t="n">
        <v>0</v>
      </c>
      <c r="AY156" s="704" t="n">
        <v>0</v>
      </c>
      <c r="AZ156" s="704" t="n">
        <v>0</v>
      </c>
      <c r="BA156" s="704" t="n">
        <v>0</v>
      </c>
      <c r="BB156" s="704" t="n">
        <v>0</v>
      </c>
      <c r="BC156" s="704" t="n">
        <v>0</v>
      </c>
      <c r="BD156" s="704" t="n">
        <v>0</v>
      </c>
      <c r="BE156" s="704" t="n">
        <v>0</v>
      </c>
      <c r="BF156" s="704" t="n">
        <v>0</v>
      </c>
      <c r="BG156" s="704" t="n">
        <v>0</v>
      </c>
      <c r="BH156" s="704" t="n">
        <v>0</v>
      </c>
      <c r="BI156" s="704" t="n">
        <v>0</v>
      </c>
      <c r="BJ156" s="704" t="n">
        <v>0</v>
      </c>
      <c r="BK156" s="704" t="n">
        <v>0</v>
      </c>
      <c r="BL156" s="704" t="n">
        <v>0</v>
      </c>
      <c r="BM156" s="704" t="n">
        <v>0</v>
      </c>
      <c r="BN156" s="704" t="n">
        <v>0</v>
      </c>
      <c r="BO156" s="704" t="n">
        <v>0</v>
      </c>
      <c r="BP156" s="704" t="n">
        <v>0</v>
      </c>
      <c r="BQ156" s="704" t="n">
        <v>0</v>
      </c>
      <c r="BR156" s="704" t="n">
        <v>0</v>
      </c>
      <c r="BS156" s="704" t="n">
        <v>0</v>
      </c>
      <c r="BT156" s="704" t="n">
        <v>0</v>
      </c>
      <c r="BU156" s="704" t="n">
        <v>0</v>
      </c>
      <c r="BV156" s="704" t="n">
        <v>0</v>
      </c>
      <c r="BW156" s="704" t="n">
        <v>0</v>
      </c>
      <c r="BX156" s="704" t="n">
        <v>0</v>
      </c>
      <c r="BY156" s="704" t="n">
        <v>0</v>
      </c>
      <c r="BZ156" s="704" t="n">
        <v>0</v>
      </c>
      <c r="CA156" s="704" t="n">
        <v>0</v>
      </c>
      <c r="CB156" s="704" t="n">
        <v>0</v>
      </c>
      <c r="CC156" s="704" t="n">
        <v>0</v>
      </c>
      <c r="CD156" s="704" t="n">
        <v>0</v>
      </c>
      <c r="CE156" s="704" t="n">
        <v>0</v>
      </c>
      <c r="CF156" s="704" t="n">
        <v>0</v>
      </c>
      <c r="CG156" s="704" t="n">
        <v>0</v>
      </c>
      <c r="CH156" s="704" t="n">
        <v>0</v>
      </c>
      <c r="CI156" s="704" t="n">
        <v>0</v>
      </c>
      <c r="CJ156" s="704" t="n">
        <v>0</v>
      </c>
      <c r="CK156" s="704" t="n">
        <v>0</v>
      </c>
      <c r="CL156" s="704" t="n">
        <v>0</v>
      </c>
      <c r="CM156" s="704" t="n">
        <v>0</v>
      </c>
      <c r="CN156" s="704" t="n">
        <v>0</v>
      </c>
      <c r="CO156" s="704" t="n">
        <v>0</v>
      </c>
      <c r="CP156" s="704" t="n">
        <v>0</v>
      </c>
      <c r="CQ156" s="704" t="n">
        <v>0</v>
      </c>
      <c r="CR156" s="704" t="n">
        <v>0</v>
      </c>
      <c r="CS156" s="704" t="n">
        <v>0</v>
      </c>
      <c r="CT156" s="704" t="n">
        <v>0</v>
      </c>
      <c r="CU156" s="704" t="n">
        <v>0</v>
      </c>
      <c r="CV156" s="704" t="n">
        <v>0</v>
      </c>
      <c r="CW156" s="704" t="n">
        <v>0</v>
      </c>
      <c r="CX156" s="704" t="n">
        <v>0</v>
      </c>
      <c r="CY156" s="704" t="n">
        <v>0</v>
      </c>
      <c r="CZ156" s="704" t="n">
        <v>0</v>
      </c>
      <c r="DA156" s="704" t="n">
        <v>0</v>
      </c>
      <c r="DB156" s="704" t="n">
        <v>0</v>
      </c>
      <c r="DC156" s="704" t="n">
        <v>0</v>
      </c>
      <c r="DD156" s="704" t="n">
        <v>0</v>
      </c>
      <c r="DE156" s="704" t="n">
        <v>0</v>
      </c>
      <c r="DF156" s="704" t="n">
        <v>0</v>
      </c>
      <c r="DG156" s="704" t="n">
        <v>0</v>
      </c>
      <c r="DH156" s="704" t="n">
        <v>0</v>
      </c>
      <c r="DI156" s="704" t="n">
        <v>0</v>
      </c>
      <c r="DJ156" s="704" t="n">
        <v>0</v>
      </c>
      <c r="DK156" s="704" t="n">
        <v>0</v>
      </c>
      <c r="DL156" s="704" t="n">
        <v>0</v>
      </c>
      <c r="DM156" s="704" t="n">
        <v>0</v>
      </c>
    </row>
    <row r="157" ht="13.5" customHeight="1" s="355">
      <c r="B157" s="703" t="inlineStr">
        <is>
          <t>Reporting</t>
        </is>
      </c>
      <c r="D157" s="704" t="n">
        <v>0</v>
      </c>
      <c r="E157" s="704" t="n">
        <v>0</v>
      </c>
      <c r="F157" s="704" t="n">
        <v>0</v>
      </c>
      <c r="G157" s="704" t="n">
        <v>0</v>
      </c>
      <c r="H157" s="704" t="n">
        <v>0</v>
      </c>
      <c r="I157" s="704" t="n">
        <v>0</v>
      </c>
      <c r="J157" s="704" t="n">
        <v>0</v>
      </c>
      <c r="K157" s="704" t="n">
        <v>0</v>
      </c>
      <c r="L157" s="704" t="n">
        <v>0</v>
      </c>
      <c r="M157" s="704" t="n">
        <v>0</v>
      </c>
      <c r="N157" s="704" t="n">
        <v>0</v>
      </c>
      <c r="O157" s="704" t="n">
        <v>0</v>
      </c>
      <c r="P157" s="704" t="n">
        <v>0</v>
      </c>
      <c r="Q157" s="704" t="n">
        <v>0</v>
      </c>
      <c r="R157" s="704" t="n">
        <v>0</v>
      </c>
      <c r="S157" s="704" t="n">
        <v>0</v>
      </c>
      <c r="T157" s="704" t="n">
        <v>0</v>
      </c>
      <c r="U157" s="704" t="n">
        <v>0</v>
      </c>
      <c r="V157" s="704" t="n">
        <v>0</v>
      </c>
      <c r="W157" s="704" t="n">
        <v>0</v>
      </c>
      <c r="X157" s="704" t="n">
        <v>0</v>
      </c>
      <c r="Y157" s="704" t="n">
        <v>0</v>
      </c>
      <c r="Z157" s="704" t="n">
        <v>0</v>
      </c>
      <c r="AA157" s="704" t="n">
        <v>0</v>
      </c>
      <c r="AB157" s="704" t="n">
        <v>0</v>
      </c>
      <c r="AC157" s="704" t="n">
        <v>0</v>
      </c>
      <c r="AD157" s="704" t="n">
        <v>0</v>
      </c>
      <c r="AE157" s="704" t="n">
        <v>0</v>
      </c>
      <c r="AF157" s="704" t="n">
        <v>0</v>
      </c>
      <c r="AG157" s="704" t="n">
        <v>0</v>
      </c>
      <c r="AH157" s="704" t="n">
        <v>0</v>
      </c>
      <c r="AI157" s="704" t="n">
        <v>0</v>
      </c>
      <c r="AJ157" s="704" t="n">
        <v>0</v>
      </c>
      <c r="AK157" s="704" t="n">
        <v>0</v>
      </c>
      <c r="AL157" s="704" t="n">
        <v>0</v>
      </c>
      <c r="AM157" s="704" t="n">
        <v>0</v>
      </c>
      <c r="AN157" s="704" t="n">
        <v>0</v>
      </c>
      <c r="AO157" s="704" t="n">
        <v>0</v>
      </c>
      <c r="AP157" s="704" t="n">
        <v>0</v>
      </c>
      <c r="AQ157" s="704" t="n">
        <v>0</v>
      </c>
      <c r="AR157" s="704" t="n">
        <v>0</v>
      </c>
      <c r="AS157" s="704" t="n">
        <v>0</v>
      </c>
      <c r="AT157" s="704" t="n">
        <v>0</v>
      </c>
      <c r="AU157" s="704" t="n">
        <v>0</v>
      </c>
      <c r="AV157" s="704" t="n">
        <v>0</v>
      </c>
      <c r="AW157" s="704" t="n">
        <v>0</v>
      </c>
      <c r="AX157" s="704" t="n">
        <v>0</v>
      </c>
      <c r="AY157" s="704" t="n">
        <v>0</v>
      </c>
      <c r="AZ157" s="704" t="n">
        <v>0</v>
      </c>
      <c r="BA157" s="704" t="n">
        <v>0</v>
      </c>
      <c r="BB157" s="704" t="n">
        <v>0</v>
      </c>
      <c r="BC157" s="704" t="n">
        <v>0</v>
      </c>
      <c r="BD157" s="704" t="n">
        <v>0</v>
      </c>
      <c r="BE157" s="704" t="n">
        <v>0</v>
      </c>
      <c r="BF157" s="704" t="n">
        <v>0</v>
      </c>
      <c r="BG157" s="704" t="n">
        <v>0</v>
      </c>
      <c r="BH157" s="704" t="n">
        <v>0</v>
      </c>
      <c r="BI157" s="704" t="n">
        <v>0</v>
      </c>
      <c r="BJ157" s="704" t="n">
        <v>0</v>
      </c>
      <c r="BK157" s="704" t="n">
        <v>0</v>
      </c>
      <c r="BL157" s="704" t="n">
        <v>0</v>
      </c>
      <c r="BM157" s="704" t="n">
        <v>0</v>
      </c>
      <c r="BN157" s="704" t="n">
        <v>0</v>
      </c>
      <c r="BO157" s="704" t="n">
        <v>0</v>
      </c>
      <c r="BP157" s="704" t="n">
        <v>0</v>
      </c>
      <c r="BQ157" s="704" t="n">
        <v>0</v>
      </c>
      <c r="BR157" s="704" t="n">
        <v>0</v>
      </c>
      <c r="BS157" s="704" t="n">
        <v>0</v>
      </c>
      <c r="BT157" s="704" t="n">
        <v>0</v>
      </c>
      <c r="BU157" s="704" t="n">
        <v>0</v>
      </c>
      <c r="BV157" s="704" t="n">
        <v>0</v>
      </c>
      <c r="BW157" s="704" t="n">
        <v>0</v>
      </c>
      <c r="BX157" s="704" t="n">
        <v>0</v>
      </c>
      <c r="BY157" s="704" t="n">
        <v>0</v>
      </c>
      <c r="BZ157" s="704" t="n">
        <v>0</v>
      </c>
      <c r="CA157" s="704" t="n">
        <v>0</v>
      </c>
      <c r="CB157" s="704" t="n">
        <v>0</v>
      </c>
      <c r="CC157" s="704" t="n">
        <v>0</v>
      </c>
      <c r="CD157" s="704" t="n">
        <v>0</v>
      </c>
      <c r="CE157" s="704" t="n">
        <v>0</v>
      </c>
      <c r="CF157" s="704" t="n">
        <v>0</v>
      </c>
      <c r="CG157" s="704" t="n">
        <v>0</v>
      </c>
      <c r="CH157" s="704" t="n">
        <v>0</v>
      </c>
      <c r="CI157" s="704" t="n">
        <v>0</v>
      </c>
      <c r="CJ157" s="704" t="n">
        <v>0</v>
      </c>
      <c r="CK157" s="704" t="n">
        <v>0</v>
      </c>
      <c r="CL157" s="704" t="n">
        <v>0</v>
      </c>
      <c r="CM157" s="704" t="n">
        <v>0</v>
      </c>
      <c r="CN157" s="704" t="n">
        <v>0</v>
      </c>
      <c r="CO157" s="704" t="n">
        <v>0</v>
      </c>
      <c r="CP157" s="704" t="n">
        <v>0</v>
      </c>
      <c r="CQ157" s="704" t="n">
        <v>0</v>
      </c>
      <c r="CR157" s="704" t="n">
        <v>0</v>
      </c>
      <c r="CS157" s="704" t="n">
        <v>0</v>
      </c>
      <c r="CT157" s="704" t="n">
        <v>0</v>
      </c>
      <c r="CU157" s="704" t="n">
        <v>0</v>
      </c>
      <c r="CV157" s="704" t="n">
        <v>0</v>
      </c>
      <c r="CW157" s="704" t="n">
        <v>0</v>
      </c>
      <c r="CX157" s="704" t="n">
        <v>0</v>
      </c>
      <c r="CY157" s="704" t="n">
        <v>0</v>
      </c>
      <c r="CZ157" s="704" t="n">
        <v>0</v>
      </c>
      <c r="DA157" s="704" t="n">
        <v>0</v>
      </c>
      <c r="DB157" s="704" t="n">
        <v>0</v>
      </c>
      <c r="DC157" s="704" t="n">
        <v>0</v>
      </c>
      <c r="DD157" s="704" t="n">
        <v>0</v>
      </c>
      <c r="DE157" s="704" t="n">
        <v>0</v>
      </c>
      <c r="DF157" s="704" t="n">
        <v>0</v>
      </c>
      <c r="DG157" s="704" t="n">
        <v>0</v>
      </c>
      <c r="DH157" s="704" t="n">
        <v>0</v>
      </c>
      <c r="DI157" s="704" t="n">
        <v>0</v>
      </c>
      <c r="DJ157" s="704" t="n">
        <v>0</v>
      </c>
      <c r="DK157" s="704" t="n">
        <v>0</v>
      </c>
      <c r="DL157" s="704" t="n">
        <v>0</v>
      </c>
      <c r="DM157" s="704" t="n">
        <v>0</v>
      </c>
    </row>
    <row r="158" ht="13.5" customHeight="1" s="355">
      <c r="B158" s="703" t="inlineStr">
        <is>
          <t>Fixed Assets</t>
        </is>
      </c>
      <c r="D158" s="704" t="n">
        <v>0</v>
      </c>
      <c r="E158" s="704" t="n">
        <v>0</v>
      </c>
      <c r="F158" s="704" t="n">
        <v>0</v>
      </c>
      <c r="G158" s="704" t="n">
        <v>0</v>
      </c>
      <c r="H158" s="704" t="n">
        <v>0</v>
      </c>
      <c r="I158" s="704" t="n">
        <v>0</v>
      </c>
      <c r="J158" s="704" t="n">
        <v>0</v>
      </c>
      <c r="K158" s="704" t="n">
        <v>0</v>
      </c>
      <c r="L158" s="704" t="n">
        <v>0</v>
      </c>
      <c r="M158" s="704" t="n">
        <v>0</v>
      </c>
      <c r="N158" s="704" t="n">
        <v>0</v>
      </c>
      <c r="O158" s="704" t="n">
        <v>0</v>
      </c>
      <c r="P158" s="704" t="n">
        <v>0</v>
      </c>
      <c r="Q158" s="704" t="n">
        <v>0</v>
      </c>
      <c r="R158" s="704" t="n">
        <v>0</v>
      </c>
      <c r="S158" s="704" t="n">
        <v>0</v>
      </c>
      <c r="T158" s="704" t="n">
        <v>0</v>
      </c>
      <c r="U158" s="704" t="n">
        <v>0</v>
      </c>
      <c r="V158" s="704" t="n">
        <v>0</v>
      </c>
      <c r="W158" s="704" t="n">
        <v>0</v>
      </c>
      <c r="X158" s="704" t="n">
        <v>0</v>
      </c>
      <c r="Y158" s="704" t="n">
        <v>0</v>
      </c>
      <c r="Z158" s="704" t="n">
        <v>0</v>
      </c>
      <c r="AA158" s="704" t="n">
        <v>0</v>
      </c>
      <c r="AB158" s="704" t="n">
        <v>0</v>
      </c>
      <c r="AC158" s="704" t="n">
        <v>0</v>
      </c>
      <c r="AD158" s="704" t="n">
        <v>0</v>
      </c>
      <c r="AE158" s="704" t="n">
        <v>0</v>
      </c>
      <c r="AF158" s="704" t="n">
        <v>0</v>
      </c>
      <c r="AG158" s="704" t="n">
        <v>0</v>
      </c>
      <c r="AH158" s="704" t="n">
        <v>0</v>
      </c>
      <c r="AI158" s="704" t="n">
        <v>0</v>
      </c>
      <c r="AJ158" s="704" t="n">
        <v>0</v>
      </c>
      <c r="AK158" s="704" t="n">
        <v>0</v>
      </c>
      <c r="AL158" s="704" t="n">
        <v>0</v>
      </c>
      <c r="AM158" s="704" t="n">
        <v>0</v>
      </c>
      <c r="AN158" s="704" t="n">
        <v>0</v>
      </c>
      <c r="AO158" s="704" t="n">
        <v>0</v>
      </c>
      <c r="AP158" s="704" t="n">
        <v>0</v>
      </c>
      <c r="AQ158" s="704" t="n">
        <v>0</v>
      </c>
      <c r="AR158" s="704" t="n">
        <v>0</v>
      </c>
      <c r="AS158" s="704" t="n">
        <v>0</v>
      </c>
      <c r="AT158" s="704" t="n">
        <v>0</v>
      </c>
      <c r="AU158" s="704" t="n">
        <v>0</v>
      </c>
      <c r="AV158" s="704" t="n">
        <v>0</v>
      </c>
      <c r="AW158" s="704" t="n">
        <v>0</v>
      </c>
      <c r="AX158" s="704" t="n">
        <v>0</v>
      </c>
      <c r="AY158" s="704" t="n">
        <v>0</v>
      </c>
      <c r="AZ158" s="704" t="n">
        <v>0</v>
      </c>
      <c r="BA158" s="704" t="n">
        <v>0</v>
      </c>
      <c r="BB158" s="704" t="n">
        <v>0</v>
      </c>
      <c r="BC158" s="704" t="n">
        <v>0</v>
      </c>
      <c r="BD158" s="704" t="n">
        <v>0</v>
      </c>
      <c r="BE158" s="704" t="n">
        <v>0</v>
      </c>
      <c r="BF158" s="704" t="n">
        <v>0</v>
      </c>
      <c r="BG158" s="704" t="n">
        <v>0</v>
      </c>
      <c r="BH158" s="704" t="n">
        <v>0</v>
      </c>
      <c r="BI158" s="704" t="n">
        <v>0</v>
      </c>
      <c r="BJ158" s="704" t="n">
        <v>0</v>
      </c>
      <c r="BK158" s="704" t="n">
        <v>0</v>
      </c>
      <c r="BL158" s="704" t="n">
        <v>0</v>
      </c>
      <c r="BM158" s="704" t="n">
        <v>0</v>
      </c>
      <c r="BN158" s="704" t="n">
        <v>0</v>
      </c>
      <c r="BO158" s="704" t="n">
        <v>0</v>
      </c>
      <c r="BP158" s="704" t="n">
        <v>0</v>
      </c>
      <c r="BQ158" s="704" t="n">
        <v>0</v>
      </c>
      <c r="BR158" s="704" t="n">
        <v>0</v>
      </c>
      <c r="BS158" s="704" t="n">
        <v>0</v>
      </c>
      <c r="BT158" s="704" t="n">
        <v>0</v>
      </c>
      <c r="BU158" s="704" t="n">
        <v>0</v>
      </c>
      <c r="BV158" s="704" t="n">
        <v>0</v>
      </c>
      <c r="BW158" s="704" t="n">
        <v>0</v>
      </c>
      <c r="BX158" s="704" t="n">
        <v>0</v>
      </c>
      <c r="BY158" s="704" t="n">
        <v>0</v>
      </c>
      <c r="BZ158" s="704" t="n">
        <v>0</v>
      </c>
      <c r="CA158" s="704" t="n">
        <v>0</v>
      </c>
      <c r="CB158" s="704" t="n">
        <v>0</v>
      </c>
      <c r="CC158" s="704" t="n">
        <v>0</v>
      </c>
      <c r="CD158" s="704" t="n">
        <v>0</v>
      </c>
      <c r="CE158" s="704" t="n">
        <v>0</v>
      </c>
      <c r="CF158" s="704" t="n">
        <v>0</v>
      </c>
      <c r="CG158" s="704" t="n">
        <v>0</v>
      </c>
      <c r="CH158" s="704" t="n">
        <v>0</v>
      </c>
      <c r="CI158" s="704" t="n">
        <v>0</v>
      </c>
      <c r="CJ158" s="704" t="n">
        <v>0</v>
      </c>
      <c r="CK158" s="704" t="n">
        <v>0</v>
      </c>
      <c r="CL158" s="704" t="n">
        <v>0</v>
      </c>
      <c r="CM158" s="704" t="n">
        <v>0</v>
      </c>
      <c r="CN158" s="704" t="n">
        <v>0</v>
      </c>
      <c r="CO158" s="704" t="n">
        <v>0</v>
      </c>
      <c r="CP158" s="704" t="n">
        <v>0</v>
      </c>
      <c r="CQ158" s="704" t="n">
        <v>0</v>
      </c>
      <c r="CR158" s="704" t="n">
        <v>0</v>
      </c>
      <c r="CS158" s="704" t="n">
        <v>0</v>
      </c>
      <c r="CT158" s="704" t="n">
        <v>0</v>
      </c>
      <c r="CU158" s="704" t="n">
        <v>0</v>
      </c>
      <c r="CV158" s="704" t="n">
        <v>0</v>
      </c>
      <c r="CW158" s="704" t="n">
        <v>0</v>
      </c>
      <c r="CX158" s="704" t="n">
        <v>0</v>
      </c>
      <c r="CY158" s="704" t="n">
        <v>0</v>
      </c>
      <c r="CZ158" s="704" t="n">
        <v>0</v>
      </c>
      <c r="DA158" s="704" t="n">
        <v>0</v>
      </c>
      <c r="DB158" s="704" t="n">
        <v>0</v>
      </c>
      <c r="DC158" s="704" t="n">
        <v>0</v>
      </c>
      <c r="DD158" s="704" t="n">
        <v>0</v>
      </c>
      <c r="DE158" s="704" t="n">
        <v>0</v>
      </c>
      <c r="DF158" s="704" t="n">
        <v>0</v>
      </c>
      <c r="DG158" s="704" t="n">
        <v>0</v>
      </c>
      <c r="DH158" s="704" t="n">
        <v>0</v>
      </c>
      <c r="DI158" s="704" t="n">
        <v>0</v>
      </c>
      <c r="DJ158" s="704" t="n">
        <v>0</v>
      </c>
      <c r="DK158" s="704" t="n">
        <v>0</v>
      </c>
      <c r="DL158" s="704" t="n">
        <v>0</v>
      </c>
      <c r="DM158" s="704" t="n">
        <v>0</v>
      </c>
    </row>
    <row r="159" ht="13.5" customHeight="1" s="355">
      <c r="B159" s="703" t="inlineStr">
        <is>
          <t>Acct Payable</t>
        </is>
      </c>
      <c r="D159" s="704" t="n">
        <v>0</v>
      </c>
      <c r="E159" s="704" t="n">
        <v>0</v>
      </c>
      <c r="F159" s="704" t="n">
        <v>0</v>
      </c>
      <c r="G159" s="704" t="n">
        <v>0</v>
      </c>
      <c r="H159" s="704" t="n">
        <v>0</v>
      </c>
      <c r="I159" s="704" t="n">
        <v>0</v>
      </c>
      <c r="J159" s="704" t="n">
        <v>0</v>
      </c>
      <c r="K159" s="704" t="n">
        <v>0</v>
      </c>
      <c r="L159" s="704" t="n">
        <v>0</v>
      </c>
      <c r="M159" s="704" t="n">
        <v>0</v>
      </c>
      <c r="N159" s="704" t="n">
        <v>0</v>
      </c>
      <c r="O159" s="704" t="n">
        <v>0</v>
      </c>
      <c r="P159" s="704" t="n">
        <v>0</v>
      </c>
      <c r="Q159" s="704" t="n">
        <v>0</v>
      </c>
      <c r="R159" s="704" t="n">
        <v>0</v>
      </c>
      <c r="S159" s="704" t="n">
        <v>0</v>
      </c>
      <c r="T159" s="704" t="n">
        <v>0</v>
      </c>
      <c r="U159" s="704" t="n">
        <v>0</v>
      </c>
      <c r="V159" s="704" t="n">
        <v>0</v>
      </c>
      <c r="W159" s="704" t="n">
        <v>0</v>
      </c>
      <c r="X159" s="704" t="n">
        <v>0</v>
      </c>
      <c r="Y159" s="704" t="n">
        <v>0</v>
      </c>
      <c r="Z159" s="704" t="n">
        <v>0</v>
      </c>
      <c r="AA159" s="704" t="n">
        <v>0</v>
      </c>
      <c r="AB159" s="704" t="n">
        <v>0</v>
      </c>
      <c r="AC159" s="704" t="n">
        <v>0</v>
      </c>
      <c r="AD159" s="704" t="n">
        <v>0</v>
      </c>
      <c r="AE159" s="704" t="n">
        <v>0</v>
      </c>
      <c r="AF159" s="704" t="n">
        <v>0</v>
      </c>
      <c r="AG159" s="704" t="n">
        <v>0</v>
      </c>
      <c r="AH159" s="704" t="n">
        <v>0</v>
      </c>
      <c r="AI159" s="704" t="n">
        <v>0</v>
      </c>
      <c r="AJ159" s="704" t="n">
        <v>0</v>
      </c>
      <c r="AK159" s="704" t="n">
        <v>0</v>
      </c>
      <c r="AL159" s="704" t="n">
        <v>0</v>
      </c>
      <c r="AM159" s="704" t="n">
        <v>0</v>
      </c>
      <c r="AN159" s="704" t="n">
        <v>0</v>
      </c>
      <c r="AO159" s="704" t="n">
        <v>0</v>
      </c>
      <c r="AP159" s="704" t="n">
        <v>0</v>
      </c>
      <c r="AQ159" s="704" t="n">
        <v>0</v>
      </c>
      <c r="AR159" s="704" t="n">
        <v>0</v>
      </c>
      <c r="AS159" s="704" t="n">
        <v>0</v>
      </c>
      <c r="AT159" s="704" t="n">
        <v>0</v>
      </c>
      <c r="AU159" s="704" t="n">
        <v>0</v>
      </c>
      <c r="AV159" s="704" t="n">
        <v>0</v>
      </c>
      <c r="AW159" s="704" t="n">
        <v>0</v>
      </c>
      <c r="AX159" s="704" t="n">
        <v>0</v>
      </c>
      <c r="AY159" s="704" t="n">
        <v>0</v>
      </c>
      <c r="AZ159" s="704" t="n">
        <v>0</v>
      </c>
      <c r="BA159" s="704" t="n">
        <v>0</v>
      </c>
      <c r="BB159" s="704" t="n">
        <v>0</v>
      </c>
      <c r="BC159" s="704" t="n">
        <v>0</v>
      </c>
      <c r="BD159" s="704" t="n">
        <v>0</v>
      </c>
      <c r="BE159" s="704" t="n">
        <v>0</v>
      </c>
      <c r="BF159" s="704" t="n">
        <v>0</v>
      </c>
      <c r="BG159" s="704" t="n">
        <v>0</v>
      </c>
      <c r="BH159" s="704" t="n">
        <v>0</v>
      </c>
      <c r="BI159" s="704" t="n">
        <v>0</v>
      </c>
      <c r="BJ159" s="704" t="n">
        <v>0</v>
      </c>
      <c r="BK159" s="704" t="n">
        <v>0</v>
      </c>
      <c r="BL159" s="704" t="n">
        <v>0</v>
      </c>
      <c r="BM159" s="704" t="n">
        <v>0</v>
      </c>
      <c r="BN159" s="704" t="n">
        <v>0</v>
      </c>
      <c r="BO159" s="704" t="n">
        <v>0</v>
      </c>
      <c r="BP159" s="704" t="n">
        <v>0</v>
      </c>
      <c r="BQ159" s="704" t="n">
        <v>0</v>
      </c>
      <c r="BR159" s="704" t="n">
        <v>0</v>
      </c>
      <c r="BS159" s="704" t="n">
        <v>0</v>
      </c>
      <c r="BT159" s="704" t="n">
        <v>0</v>
      </c>
      <c r="BU159" s="704" t="n">
        <v>0</v>
      </c>
      <c r="BV159" s="704" t="n">
        <v>0</v>
      </c>
      <c r="BW159" s="704" t="n">
        <v>0</v>
      </c>
      <c r="BX159" s="704" t="n">
        <v>0</v>
      </c>
      <c r="BY159" s="704" t="n">
        <v>0</v>
      </c>
      <c r="BZ159" s="704" t="n">
        <v>0</v>
      </c>
      <c r="CA159" s="704" t="n">
        <v>0</v>
      </c>
      <c r="CB159" s="704" t="n">
        <v>0</v>
      </c>
      <c r="CC159" s="704" t="n">
        <v>0</v>
      </c>
      <c r="CD159" s="704" t="n">
        <v>0</v>
      </c>
      <c r="CE159" s="704" t="n">
        <v>0</v>
      </c>
      <c r="CF159" s="704" t="n">
        <v>0</v>
      </c>
      <c r="CG159" s="704" t="n">
        <v>0</v>
      </c>
      <c r="CH159" s="704" t="n">
        <v>0</v>
      </c>
      <c r="CI159" s="704" t="n">
        <v>0</v>
      </c>
      <c r="CJ159" s="704" t="n">
        <v>0</v>
      </c>
      <c r="CK159" s="704" t="n">
        <v>0</v>
      </c>
      <c r="CL159" s="704" t="n">
        <v>0</v>
      </c>
      <c r="CM159" s="704" t="n">
        <v>0</v>
      </c>
      <c r="CN159" s="704" t="n">
        <v>0</v>
      </c>
      <c r="CO159" s="704" t="n">
        <v>0</v>
      </c>
      <c r="CP159" s="704" t="n">
        <v>0</v>
      </c>
      <c r="CQ159" s="704" t="n">
        <v>0</v>
      </c>
      <c r="CR159" s="704" t="n">
        <v>0</v>
      </c>
      <c r="CS159" s="704" t="n">
        <v>0</v>
      </c>
      <c r="CT159" s="704" t="n">
        <v>0</v>
      </c>
      <c r="CU159" s="704" t="n">
        <v>0</v>
      </c>
      <c r="CV159" s="704" t="n">
        <v>0</v>
      </c>
      <c r="CW159" s="704" t="n">
        <v>0</v>
      </c>
      <c r="CX159" s="704" t="n">
        <v>0</v>
      </c>
      <c r="CY159" s="704" t="n">
        <v>0</v>
      </c>
      <c r="CZ159" s="704" t="n">
        <v>0</v>
      </c>
      <c r="DA159" s="704" t="n">
        <v>0</v>
      </c>
      <c r="DB159" s="704" t="n">
        <v>0</v>
      </c>
      <c r="DC159" s="704" t="n">
        <v>0</v>
      </c>
      <c r="DD159" s="704" t="n">
        <v>0</v>
      </c>
      <c r="DE159" s="704" t="n">
        <v>0</v>
      </c>
      <c r="DF159" s="704" t="n">
        <v>0</v>
      </c>
      <c r="DG159" s="704" t="n">
        <v>0</v>
      </c>
      <c r="DH159" s="704" t="n">
        <v>0</v>
      </c>
      <c r="DI159" s="704" t="n">
        <v>0</v>
      </c>
      <c r="DJ159" s="704" t="n">
        <v>0</v>
      </c>
      <c r="DK159" s="704" t="n">
        <v>0</v>
      </c>
      <c r="DL159" s="704" t="n">
        <v>0</v>
      </c>
      <c r="DM159" s="704" t="n">
        <v>0</v>
      </c>
    </row>
    <row r="160" ht="13.5" customHeight="1" s="355">
      <c r="B160" s="703" t="inlineStr">
        <is>
          <t>Cash&amp;Bank</t>
        </is>
      </c>
      <c r="D160" s="704" t="n">
        <v>0</v>
      </c>
      <c r="E160" s="704" t="n">
        <v>0</v>
      </c>
      <c r="F160" s="704" t="n">
        <v>0</v>
      </c>
      <c r="G160" s="704" t="n">
        <v>0</v>
      </c>
      <c r="H160" s="704" t="n">
        <v>0</v>
      </c>
      <c r="I160" s="704" t="n">
        <v>0</v>
      </c>
      <c r="J160" s="704" t="n">
        <v>0</v>
      </c>
      <c r="K160" s="704" t="n">
        <v>0</v>
      </c>
      <c r="L160" s="704" t="n">
        <v>0</v>
      </c>
      <c r="M160" s="704" t="n">
        <v>0</v>
      </c>
      <c r="N160" s="704" t="n">
        <v>0</v>
      </c>
      <c r="O160" s="704" t="n">
        <v>0</v>
      </c>
      <c r="P160" s="704" t="n">
        <v>0</v>
      </c>
      <c r="Q160" s="704" t="n">
        <v>0</v>
      </c>
      <c r="R160" s="704" t="n">
        <v>0</v>
      </c>
      <c r="S160" s="704" t="n">
        <v>0</v>
      </c>
      <c r="T160" s="704" t="n">
        <v>0</v>
      </c>
      <c r="U160" s="704" t="n">
        <v>0</v>
      </c>
      <c r="V160" s="704" t="n">
        <v>0</v>
      </c>
      <c r="W160" s="704" t="n">
        <v>0</v>
      </c>
      <c r="X160" s="704" t="n">
        <v>0</v>
      </c>
      <c r="Y160" s="704" t="n">
        <v>0</v>
      </c>
      <c r="Z160" s="704" t="n">
        <v>0</v>
      </c>
      <c r="AA160" s="704" t="n">
        <v>0</v>
      </c>
      <c r="AB160" s="704" t="n">
        <v>0</v>
      </c>
      <c r="AC160" s="704" t="n">
        <v>0</v>
      </c>
      <c r="AD160" s="704" t="n">
        <v>0</v>
      </c>
      <c r="AE160" s="704" t="n">
        <v>0</v>
      </c>
      <c r="AF160" s="704" t="n">
        <v>0</v>
      </c>
      <c r="AG160" s="704" t="n">
        <v>0</v>
      </c>
      <c r="AH160" s="704" t="n">
        <v>0</v>
      </c>
      <c r="AI160" s="704" t="n">
        <v>0</v>
      </c>
      <c r="AJ160" s="704" t="n">
        <v>0</v>
      </c>
      <c r="AK160" s="704" t="n">
        <v>0</v>
      </c>
      <c r="AL160" s="704" t="n">
        <v>0</v>
      </c>
      <c r="AM160" s="704" t="n">
        <v>0</v>
      </c>
      <c r="AN160" s="704" t="n">
        <v>0</v>
      </c>
      <c r="AO160" s="704" t="n">
        <v>0</v>
      </c>
      <c r="AP160" s="704" t="n">
        <v>0</v>
      </c>
      <c r="AQ160" s="704" t="n">
        <v>0</v>
      </c>
      <c r="AR160" s="704" t="n">
        <v>0</v>
      </c>
      <c r="AS160" s="704" t="n">
        <v>0</v>
      </c>
      <c r="AT160" s="704" t="n">
        <v>0</v>
      </c>
      <c r="AU160" s="704" t="n">
        <v>0</v>
      </c>
      <c r="AV160" s="704" t="n">
        <v>0</v>
      </c>
      <c r="AW160" s="704" t="n">
        <v>0</v>
      </c>
      <c r="AX160" s="704" t="n">
        <v>0</v>
      </c>
      <c r="AY160" s="704" t="n">
        <v>0</v>
      </c>
      <c r="AZ160" s="704" t="n">
        <v>0</v>
      </c>
      <c r="BA160" s="704" t="n">
        <v>0</v>
      </c>
      <c r="BB160" s="704" t="n">
        <v>0</v>
      </c>
      <c r="BC160" s="704" t="n">
        <v>0</v>
      </c>
      <c r="BD160" s="704" t="n">
        <v>0</v>
      </c>
      <c r="BE160" s="704" t="n">
        <v>0</v>
      </c>
      <c r="BF160" s="704" t="n">
        <v>0</v>
      </c>
      <c r="BG160" s="704" t="n">
        <v>0</v>
      </c>
      <c r="BH160" s="704" t="n">
        <v>0</v>
      </c>
      <c r="BI160" s="704" t="n">
        <v>0</v>
      </c>
      <c r="BJ160" s="704" t="n">
        <v>0</v>
      </c>
      <c r="BK160" s="704" t="n">
        <v>0</v>
      </c>
      <c r="BL160" s="704" t="n">
        <v>0</v>
      </c>
      <c r="BM160" s="704" t="n">
        <v>0</v>
      </c>
      <c r="BN160" s="704" t="n">
        <v>0</v>
      </c>
      <c r="BO160" s="704" t="n">
        <v>0</v>
      </c>
      <c r="BP160" s="704" t="n">
        <v>0</v>
      </c>
      <c r="BQ160" s="704" t="n">
        <v>0</v>
      </c>
      <c r="BR160" s="704" t="n">
        <v>0</v>
      </c>
      <c r="BS160" s="704" t="n">
        <v>0</v>
      </c>
      <c r="BT160" s="704" t="n">
        <v>0</v>
      </c>
      <c r="BU160" s="704" t="n">
        <v>0</v>
      </c>
      <c r="BV160" s="704" t="n">
        <v>0</v>
      </c>
      <c r="BW160" s="704" t="n">
        <v>0</v>
      </c>
      <c r="BX160" s="704" t="n">
        <v>0</v>
      </c>
      <c r="BY160" s="704" t="n">
        <v>0</v>
      </c>
      <c r="BZ160" s="704" t="n">
        <v>0</v>
      </c>
      <c r="CA160" s="704" t="n">
        <v>0</v>
      </c>
      <c r="CB160" s="704" t="n">
        <v>0</v>
      </c>
      <c r="CC160" s="704" t="n">
        <v>0</v>
      </c>
      <c r="CD160" s="704" t="n">
        <v>0</v>
      </c>
      <c r="CE160" s="704" t="n">
        <v>0</v>
      </c>
      <c r="CF160" s="704" t="n">
        <v>0</v>
      </c>
      <c r="CG160" s="704" t="n">
        <v>0</v>
      </c>
      <c r="CH160" s="704" t="n">
        <v>0</v>
      </c>
      <c r="CI160" s="704" t="n">
        <v>0</v>
      </c>
      <c r="CJ160" s="704" t="n">
        <v>0</v>
      </c>
      <c r="CK160" s="704" t="n">
        <v>0</v>
      </c>
      <c r="CL160" s="704" t="n">
        <v>0</v>
      </c>
      <c r="CM160" s="704" t="n">
        <v>0</v>
      </c>
      <c r="CN160" s="704" t="n">
        <v>0</v>
      </c>
      <c r="CO160" s="704" t="n">
        <v>0</v>
      </c>
      <c r="CP160" s="704" t="n">
        <v>0</v>
      </c>
      <c r="CQ160" s="704" t="n">
        <v>0</v>
      </c>
      <c r="CR160" s="704" t="n">
        <v>0</v>
      </c>
      <c r="CS160" s="704" t="n">
        <v>0</v>
      </c>
      <c r="CT160" s="704" t="n">
        <v>0</v>
      </c>
      <c r="CU160" s="704" t="n">
        <v>0</v>
      </c>
      <c r="CV160" s="704" t="n">
        <v>0</v>
      </c>
      <c r="CW160" s="704" t="n">
        <v>0</v>
      </c>
      <c r="CX160" s="704" t="n">
        <v>0</v>
      </c>
      <c r="CY160" s="704" t="n">
        <v>0</v>
      </c>
      <c r="CZ160" s="704" t="n">
        <v>0</v>
      </c>
      <c r="DA160" s="704" t="n">
        <v>0</v>
      </c>
      <c r="DB160" s="704" t="n">
        <v>0</v>
      </c>
      <c r="DC160" s="704" t="n">
        <v>0</v>
      </c>
      <c r="DD160" s="704" t="n">
        <v>0</v>
      </c>
      <c r="DE160" s="704" t="n">
        <v>0</v>
      </c>
      <c r="DF160" s="704" t="n">
        <v>0</v>
      </c>
      <c r="DG160" s="704" t="n">
        <v>0</v>
      </c>
      <c r="DH160" s="704" t="n">
        <v>0</v>
      </c>
      <c r="DI160" s="704" t="n">
        <v>0</v>
      </c>
      <c r="DJ160" s="704" t="n">
        <v>0</v>
      </c>
      <c r="DK160" s="704" t="n">
        <v>0</v>
      </c>
      <c r="DL160" s="704" t="n">
        <v>0</v>
      </c>
      <c r="DM160" s="704" t="n">
        <v>0</v>
      </c>
    </row>
    <row r="161" ht="13.5" customHeight="1" s="355">
      <c r="B161" s="703" t="inlineStr">
        <is>
          <t>T&amp;E</t>
        </is>
      </c>
      <c r="D161" s="704" t="n">
        <v>0</v>
      </c>
      <c r="E161" s="704" t="n">
        <v>0</v>
      </c>
      <c r="F161" s="704" t="n">
        <v>0</v>
      </c>
      <c r="G161" s="704" t="n">
        <v>0</v>
      </c>
      <c r="H161" s="704" t="n">
        <v>0</v>
      </c>
      <c r="I161" s="704" t="n">
        <v>0</v>
      </c>
      <c r="J161" s="704" t="n">
        <v>0</v>
      </c>
      <c r="K161" s="704" t="n">
        <v>0</v>
      </c>
      <c r="L161" s="704" t="n">
        <v>0</v>
      </c>
      <c r="M161" s="704" t="n">
        <v>0</v>
      </c>
      <c r="N161" s="704" t="n">
        <v>0</v>
      </c>
      <c r="O161" s="704" t="n">
        <v>0</v>
      </c>
      <c r="P161" s="704" t="n">
        <v>0</v>
      </c>
      <c r="Q161" s="704" t="n">
        <v>0</v>
      </c>
      <c r="R161" s="704" t="n">
        <v>0</v>
      </c>
      <c r="S161" s="704" t="n">
        <v>0</v>
      </c>
      <c r="T161" s="704" t="n">
        <v>0</v>
      </c>
      <c r="U161" s="704" t="n">
        <v>0</v>
      </c>
      <c r="V161" s="704" t="n">
        <v>0</v>
      </c>
      <c r="W161" s="704" t="n">
        <v>0</v>
      </c>
      <c r="X161" s="704" t="n">
        <v>0</v>
      </c>
      <c r="Y161" s="704" t="n">
        <v>0</v>
      </c>
      <c r="Z161" s="704" t="n">
        <v>0</v>
      </c>
      <c r="AA161" s="704" t="n">
        <v>0</v>
      </c>
      <c r="AB161" s="704" t="n">
        <v>0</v>
      </c>
      <c r="AC161" s="704" t="n">
        <v>0</v>
      </c>
      <c r="AD161" s="704" t="n">
        <v>0</v>
      </c>
      <c r="AE161" s="704" t="n">
        <v>0</v>
      </c>
      <c r="AF161" s="704" t="n">
        <v>0</v>
      </c>
      <c r="AG161" s="704" t="n">
        <v>0</v>
      </c>
      <c r="AH161" s="704" t="n">
        <v>0</v>
      </c>
      <c r="AI161" s="704" t="n">
        <v>0</v>
      </c>
      <c r="AJ161" s="704" t="n">
        <v>0</v>
      </c>
      <c r="AK161" s="704" t="n">
        <v>0</v>
      </c>
      <c r="AL161" s="704" t="n">
        <v>0</v>
      </c>
      <c r="AM161" s="704" t="n">
        <v>0</v>
      </c>
      <c r="AN161" s="704" t="n">
        <v>0</v>
      </c>
      <c r="AO161" s="704" t="n">
        <v>0</v>
      </c>
      <c r="AP161" s="704" t="n">
        <v>0</v>
      </c>
      <c r="AQ161" s="704" t="n">
        <v>0</v>
      </c>
      <c r="AR161" s="704" t="n">
        <v>0</v>
      </c>
      <c r="AS161" s="704" t="n">
        <v>0</v>
      </c>
      <c r="AT161" s="704" t="n">
        <v>0</v>
      </c>
      <c r="AU161" s="704" t="n">
        <v>0</v>
      </c>
      <c r="AV161" s="704" t="n">
        <v>0</v>
      </c>
      <c r="AW161" s="704" t="n">
        <v>0</v>
      </c>
      <c r="AX161" s="704" t="n">
        <v>0</v>
      </c>
      <c r="AY161" s="704" t="n">
        <v>0</v>
      </c>
      <c r="AZ161" s="704" t="n">
        <v>0</v>
      </c>
      <c r="BA161" s="704" t="n">
        <v>0</v>
      </c>
      <c r="BB161" s="704" t="n">
        <v>0</v>
      </c>
      <c r="BC161" s="704" t="n">
        <v>0</v>
      </c>
      <c r="BD161" s="704" t="n">
        <v>0</v>
      </c>
      <c r="BE161" s="704" t="n">
        <v>0</v>
      </c>
      <c r="BF161" s="704" t="n">
        <v>0</v>
      </c>
      <c r="BG161" s="704" t="n">
        <v>0</v>
      </c>
      <c r="BH161" s="704" t="n">
        <v>0</v>
      </c>
      <c r="BI161" s="704" t="n">
        <v>0</v>
      </c>
      <c r="BJ161" s="704" t="n">
        <v>0</v>
      </c>
      <c r="BK161" s="704" t="n">
        <v>0</v>
      </c>
      <c r="BL161" s="704" t="n">
        <v>0</v>
      </c>
      <c r="BM161" s="704" t="n">
        <v>0</v>
      </c>
      <c r="BN161" s="704" t="n">
        <v>0</v>
      </c>
      <c r="BO161" s="704" t="n">
        <v>0</v>
      </c>
      <c r="BP161" s="704" t="n">
        <v>0</v>
      </c>
      <c r="BQ161" s="704" t="n">
        <v>0</v>
      </c>
      <c r="BR161" s="704" t="n">
        <v>0</v>
      </c>
      <c r="BS161" s="704" t="n">
        <v>0</v>
      </c>
      <c r="BT161" s="704" t="n">
        <v>0</v>
      </c>
      <c r="BU161" s="704" t="n">
        <v>0</v>
      </c>
      <c r="BV161" s="704" t="n">
        <v>0</v>
      </c>
      <c r="BW161" s="704" t="n">
        <v>0</v>
      </c>
      <c r="BX161" s="704" t="n">
        <v>0</v>
      </c>
      <c r="BY161" s="704" t="n">
        <v>0</v>
      </c>
      <c r="BZ161" s="704" t="n">
        <v>0</v>
      </c>
      <c r="CA161" s="704" t="n">
        <v>0</v>
      </c>
      <c r="CB161" s="704" t="n">
        <v>0</v>
      </c>
      <c r="CC161" s="704" t="n">
        <v>0</v>
      </c>
      <c r="CD161" s="704" t="n">
        <v>0</v>
      </c>
      <c r="CE161" s="704" t="n">
        <v>0</v>
      </c>
      <c r="CF161" s="704" t="n">
        <v>0</v>
      </c>
      <c r="CG161" s="704" t="n">
        <v>0</v>
      </c>
      <c r="CH161" s="704" t="n">
        <v>0</v>
      </c>
      <c r="CI161" s="704" t="n">
        <v>0</v>
      </c>
      <c r="CJ161" s="704" t="n">
        <v>0</v>
      </c>
      <c r="CK161" s="704" t="n">
        <v>0</v>
      </c>
      <c r="CL161" s="704" t="n">
        <v>0</v>
      </c>
      <c r="CM161" s="704" t="n">
        <v>0</v>
      </c>
      <c r="CN161" s="704" t="n">
        <v>0</v>
      </c>
      <c r="CO161" s="704" t="n">
        <v>0</v>
      </c>
      <c r="CP161" s="704" t="n">
        <v>0</v>
      </c>
      <c r="CQ161" s="704" t="n">
        <v>0</v>
      </c>
      <c r="CR161" s="704" t="n">
        <v>0</v>
      </c>
      <c r="CS161" s="704" t="n">
        <v>0</v>
      </c>
      <c r="CT161" s="704" t="n">
        <v>0</v>
      </c>
      <c r="CU161" s="704" t="n">
        <v>0</v>
      </c>
      <c r="CV161" s="704" t="n">
        <v>0</v>
      </c>
      <c r="CW161" s="704" t="n">
        <v>0</v>
      </c>
      <c r="CX161" s="704" t="n">
        <v>0</v>
      </c>
      <c r="CY161" s="704" t="n">
        <v>0</v>
      </c>
      <c r="CZ161" s="704" t="n">
        <v>0</v>
      </c>
      <c r="DA161" s="704" t="n">
        <v>0</v>
      </c>
      <c r="DB161" s="704" t="n">
        <v>0</v>
      </c>
      <c r="DC161" s="704" t="n">
        <v>0</v>
      </c>
      <c r="DD161" s="704" t="n">
        <v>0</v>
      </c>
      <c r="DE161" s="704" t="n">
        <v>0</v>
      </c>
      <c r="DF161" s="704" t="n">
        <v>0</v>
      </c>
      <c r="DG161" s="704" t="n">
        <v>0</v>
      </c>
      <c r="DH161" s="704" t="n">
        <v>0</v>
      </c>
      <c r="DI161" s="704" t="n">
        <v>0</v>
      </c>
      <c r="DJ161" s="704" t="n">
        <v>0</v>
      </c>
      <c r="DK161" s="704" t="n">
        <v>0</v>
      </c>
      <c r="DL161" s="704" t="n">
        <v>0</v>
      </c>
      <c r="DM161" s="704" t="n">
        <v>0</v>
      </c>
    </row>
    <row r="162" ht="13.5" customHeight="1" s="355">
      <c r="B162" s="703" t="inlineStr">
        <is>
          <t>Order to Cash</t>
        </is>
      </c>
      <c r="D162" s="704" t="n">
        <v>0</v>
      </c>
      <c r="E162" s="704" t="n">
        <v>0</v>
      </c>
      <c r="F162" s="704" t="n">
        <v>0</v>
      </c>
      <c r="G162" s="704" t="n">
        <v>0</v>
      </c>
      <c r="H162" s="704" t="n">
        <v>0</v>
      </c>
      <c r="I162" s="704" t="n">
        <v>0</v>
      </c>
      <c r="J162" s="704" t="n">
        <v>0</v>
      </c>
      <c r="K162" s="704" t="n">
        <v>0</v>
      </c>
      <c r="L162" s="704" t="n">
        <v>0</v>
      </c>
      <c r="M162" s="704" t="n">
        <v>0</v>
      </c>
      <c r="N162" s="704" t="n">
        <v>0</v>
      </c>
      <c r="O162" s="704" t="n">
        <v>0</v>
      </c>
      <c r="P162" s="704" t="n">
        <v>0</v>
      </c>
      <c r="Q162" s="704" t="n">
        <v>0</v>
      </c>
      <c r="R162" s="704" t="n">
        <v>0</v>
      </c>
      <c r="S162" s="704" t="n">
        <v>0</v>
      </c>
      <c r="T162" s="704" t="n">
        <v>0</v>
      </c>
      <c r="U162" s="704" t="n">
        <v>0</v>
      </c>
      <c r="V162" s="704" t="n">
        <v>0</v>
      </c>
      <c r="W162" s="704" t="n">
        <v>0</v>
      </c>
      <c r="X162" s="704" t="n">
        <v>0</v>
      </c>
      <c r="Y162" s="704" t="n">
        <v>0</v>
      </c>
      <c r="Z162" s="704" t="n">
        <v>0</v>
      </c>
      <c r="AA162" s="704" t="n">
        <v>0</v>
      </c>
      <c r="AB162" s="704" t="n">
        <v>0</v>
      </c>
      <c r="AC162" s="704" t="n">
        <v>0</v>
      </c>
      <c r="AD162" s="704" t="n">
        <v>0</v>
      </c>
      <c r="AE162" s="704" t="n">
        <v>0</v>
      </c>
      <c r="AF162" s="704" t="n">
        <v>0</v>
      </c>
      <c r="AG162" s="704" t="n">
        <v>0</v>
      </c>
      <c r="AH162" s="704" t="n">
        <v>0</v>
      </c>
      <c r="AI162" s="704" t="n">
        <v>0</v>
      </c>
      <c r="AJ162" s="704" t="n">
        <v>0</v>
      </c>
      <c r="AK162" s="704" t="n">
        <v>0</v>
      </c>
      <c r="AL162" s="704" t="n">
        <v>0</v>
      </c>
      <c r="AM162" s="704" t="n">
        <v>0</v>
      </c>
      <c r="AN162" s="704" t="n">
        <v>0</v>
      </c>
      <c r="AO162" s="704" t="n">
        <v>0</v>
      </c>
      <c r="AP162" s="704" t="n">
        <v>0</v>
      </c>
      <c r="AQ162" s="704" t="n">
        <v>0</v>
      </c>
      <c r="AR162" s="704" t="n">
        <v>0</v>
      </c>
      <c r="AS162" s="704" t="n">
        <v>0</v>
      </c>
      <c r="AT162" s="704" t="n">
        <v>0</v>
      </c>
      <c r="AU162" s="704" t="n">
        <v>0</v>
      </c>
      <c r="AV162" s="704" t="n">
        <v>0</v>
      </c>
      <c r="AW162" s="704" t="n">
        <v>0</v>
      </c>
      <c r="AX162" s="704" t="n">
        <v>0</v>
      </c>
      <c r="AY162" s="704" t="n">
        <v>0</v>
      </c>
      <c r="AZ162" s="704" t="n">
        <v>0</v>
      </c>
      <c r="BA162" s="704" t="n">
        <v>0</v>
      </c>
      <c r="BB162" s="704" t="n">
        <v>0</v>
      </c>
      <c r="BC162" s="704" t="n">
        <v>0</v>
      </c>
      <c r="BD162" s="704" t="n">
        <v>0</v>
      </c>
      <c r="BE162" s="704" t="n">
        <v>0</v>
      </c>
      <c r="BF162" s="704" t="n">
        <v>0</v>
      </c>
      <c r="BG162" s="704" t="n">
        <v>0</v>
      </c>
      <c r="BH162" s="704" t="n">
        <v>0</v>
      </c>
      <c r="BI162" s="704" t="n">
        <v>0</v>
      </c>
      <c r="BJ162" s="704" t="n">
        <v>0</v>
      </c>
      <c r="BK162" s="704" t="n">
        <v>0</v>
      </c>
      <c r="BL162" s="704" t="n">
        <v>0</v>
      </c>
      <c r="BM162" s="704" t="n">
        <v>0</v>
      </c>
      <c r="BN162" s="704" t="n">
        <v>0</v>
      </c>
      <c r="BO162" s="704" t="n">
        <v>0</v>
      </c>
      <c r="BP162" s="704" t="n">
        <v>0</v>
      </c>
      <c r="BQ162" s="704" t="n">
        <v>0</v>
      </c>
      <c r="BR162" s="704" t="n">
        <v>0</v>
      </c>
      <c r="BS162" s="704" t="n">
        <v>0</v>
      </c>
      <c r="BT162" s="704" t="n">
        <v>0</v>
      </c>
      <c r="BU162" s="704" t="n">
        <v>0</v>
      </c>
      <c r="BV162" s="704" t="n">
        <v>0</v>
      </c>
      <c r="BW162" s="704" t="n">
        <v>0</v>
      </c>
      <c r="BX162" s="704" t="n">
        <v>0</v>
      </c>
      <c r="BY162" s="704" t="n">
        <v>0</v>
      </c>
      <c r="BZ162" s="704" t="n">
        <v>0</v>
      </c>
      <c r="CA162" s="704" t="n">
        <v>0</v>
      </c>
      <c r="CB162" s="704" t="n">
        <v>0</v>
      </c>
      <c r="CC162" s="704" t="n">
        <v>0</v>
      </c>
      <c r="CD162" s="704" t="n">
        <v>0</v>
      </c>
      <c r="CE162" s="704" t="n">
        <v>0</v>
      </c>
      <c r="CF162" s="704" t="n">
        <v>0</v>
      </c>
      <c r="CG162" s="704" t="n">
        <v>0</v>
      </c>
      <c r="CH162" s="704" t="n">
        <v>0</v>
      </c>
      <c r="CI162" s="704" t="n">
        <v>0</v>
      </c>
      <c r="CJ162" s="704" t="n">
        <v>0</v>
      </c>
      <c r="CK162" s="704" t="n">
        <v>0</v>
      </c>
      <c r="CL162" s="704" t="n">
        <v>0</v>
      </c>
      <c r="CM162" s="704" t="n">
        <v>0</v>
      </c>
      <c r="CN162" s="704" t="n">
        <v>0</v>
      </c>
      <c r="CO162" s="704" t="n">
        <v>0</v>
      </c>
      <c r="CP162" s="704" t="n">
        <v>0</v>
      </c>
      <c r="CQ162" s="704" t="n">
        <v>0</v>
      </c>
      <c r="CR162" s="704" t="n">
        <v>0</v>
      </c>
      <c r="CS162" s="704" t="n">
        <v>0</v>
      </c>
      <c r="CT162" s="704" t="n">
        <v>0</v>
      </c>
      <c r="CU162" s="704" t="n">
        <v>0</v>
      </c>
      <c r="CV162" s="704" t="n">
        <v>0</v>
      </c>
      <c r="CW162" s="704" t="n">
        <v>0</v>
      </c>
      <c r="CX162" s="704" t="n">
        <v>0</v>
      </c>
      <c r="CY162" s="704" t="n">
        <v>0</v>
      </c>
      <c r="CZ162" s="704" t="n">
        <v>0</v>
      </c>
      <c r="DA162" s="704" t="n">
        <v>0</v>
      </c>
      <c r="DB162" s="704" t="n">
        <v>0</v>
      </c>
      <c r="DC162" s="704" t="n">
        <v>0</v>
      </c>
      <c r="DD162" s="704" t="n">
        <v>0</v>
      </c>
      <c r="DE162" s="704" t="n">
        <v>0</v>
      </c>
      <c r="DF162" s="704" t="n">
        <v>0</v>
      </c>
      <c r="DG162" s="704" t="n">
        <v>0</v>
      </c>
      <c r="DH162" s="704" t="n">
        <v>0</v>
      </c>
      <c r="DI162" s="704" t="n">
        <v>0</v>
      </c>
      <c r="DJ162" s="704" t="n">
        <v>0</v>
      </c>
      <c r="DK162" s="704" t="n">
        <v>0</v>
      </c>
      <c r="DL162" s="704" t="n">
        <v>0</v>
      </c>
      <c r="DM162" s="704" t="n">
        <v>0</v>
      </c>
    </row>
    <row r="163" ht="13.5" customHeight="1" s="355">
      <c r="B163" s="703" t="inlineStr">
        <is>
          <t>Req to Pay</t>
        </is>
      </c>
      <c r="D163" s="704" t="n">
        <v>0</v>
      </c>
      <c r="E163" s="704" t="n">
        <v>0</v>
      </c>
      <c r="F163" s="704" t="n">
        <v>0</v>
      </c>
      <c r="G163" s="704" t="n">
        <v>0</v>
      </c>
      <c r="H163" s="704" t="n">
        <v>0</v>
      </c>
      <c r="I163" s="704" t="n">
        <v>0</v>
      </c>
      <c r="J163" s="704" t="n">
        <v>0</v>
      </c>
      <c r="K163" s="704" t="n">
        <v>0</v>
      </c>
      <c r="L163" s="704" t="n">
        <v>0</v>
      </c>
      <c r="M163" s="704" t="n">
        <v>0</v>
      </c>
      <c r="N163" s="704" t="n">
        <v>0</v>
      </c>
      <c r="O163" s="704" t="n">
        <v>0</v>
      </c>
      <c r="P163" s="704" t="n">
        <v>0</v>
      </c>
      <c r="Q163" s="704" t="n">
        <v>0</v>
      </c>
      <c r="R163" s="704" t="n">
        <v>0</v>
      </c>
      <c r="S163" s="704" t="n">
        <v>0</v>
      </c>
      <c r="T163" s="704" t="n">
        <v>0</v>
      </c>
      <c r="U163" s="704" t="n">
        <v>0</v>
      </c>
      <c r="V163" s="704" t="n">
        <v>0</v>
      </c>
      <c r="W163" s="704" t="n">
        <v>0</v>
      </c>
      <c r="X163" s="704" t="n">
        <v>0</v>
      </c>
      <c r="Y163" s="704" t="n">
        <v>0</v>
      </c>
      <c r="Z163" s="704" t="n">
        <v>0</v>
      </c>
      <c r="AA163" s="704" t="n">
        <v>0</v>
      </c>
      <c r="AB163" s="704" t="n">
        <v>0</v>
      </c>
      <c r="AC163" s="704" t="n">
        <v>0</v>
      </c>
      <c r="AD163" s="704" t="n">
        <v>0</v>
      </c>
      <c r="AE163" s="704" t="n">
        <v>0</v>
      </c>
      <c r="AF163" s="704" t="n">
        <v>0</v>
      </c>
      <c r="AG163" s="704" t="n">
        <v>0</v>
      </c>
      <c r="AH163" s="704" t="n">
        <v>0</v>
      </c>
      <c r="AI163" s="704" t="n">
        <v>0</v>
      </c>
      <c r="AJ163" s="704" t="n">
        <v>0</v>
      </c>
      <c r="AK163" s="704" t="n">
        <v>0</v>
      </c>
      <c r="AL163" s="704" t="n">
        <v>0</v>
      </c>
      <c r="AM163" s="704" t="n">
        <v>0</v>
      </c>
      <c r="AN163" s="704" t="n">
        <v>0</v>
      </c>
      <c r="AO163" s="704" t="n">
        <v>0</v>
      </c>
      <c r="AP163" s="704" t="n">
        <v>0</v>
      </c>
      <c r="AQ163" s="704" t="n">
        <v>0</v>
      </c>
      <c r="AR163" s="704" t="n">
        <v>0</v>
      </c>
      <c r="AS163" s="704" t="n">
        <v>0</v>
      </c>
      <c r="AT163" s="704" t="n">
        <v>0</v>
      </c>
      <c r="AU163" s="704" t="n">
        <v>0</v>
      </c>
      <c r="AV163" s="704" t="n">
        <v>0</v>
      </c>
      <c r="AW163" s="704" t="n">
        <v>0</v>
      </c>
      <c r="AX163" s="704" t="n">
        <v>0</v>
      </c>
      <c r="AY163" s="704" t="n">
        <v>0</v>
      </c>
      <c r="AZ163" s="704" t="n">
        <v>0</v>
      </c>
      <c r="BA163" s="704" t="n">
        <v>0</v>
      </c>
      <c r="BB163" s="704" t="n">
        <v>0</v>
      </c>
      <c r="BC163" s="704" t="n">
        <v>0</v>
      </c>
      <c r="BD163" s="704" t="n">
        <v>0</v>
      </c>
      <c r="BE163" s="704" t="n">
        <v>0</v>
      </c>
      <c r="BF163" s="704" t="n">
        <v>0</v>
      </c>
      <c r="BG163" s="704" t="n">
        <v>0</v>
      </c>
      <c r="BH163" s="704" t="n">
        <v>0</v>
      </c>
      <c r="BI163" s="704" t="n">
        <v>0</v>
      </c>
      <c r="BJ163" s="704" t="n">
        <v>0</v>
      </c>
      <c r="BK163" s="704" t="n">
        <v>0</v>
      </c>
      <c r="BL163" s="704" t="n">
        <v>0</v>
      </c>
      <c r="BM163" s="704" t="n">
        <v>0</v>
      </c>
      <c r="BN163" s="704" t="n">
        <v>0</v>
      </c>
      <c r="BO163" s="704" t="n">
        <v>0</v>
      </c>
      <c r="BP163" s="704" t="n">
        <v>0</v>
      </c>
      <c r="BQ163" s="704" t="n">
        <v>0</v>
      </c>
      <c r="BR163" s="704" t="n">
        <v>0</v>
      </c>
      <c r="BS163" s="704" t="n">
        <v>0</v>
      </c>
      <c r="BT163" s="704" t="n">
        <v>0</v>
      </c>
      <c r="BU163" s="704" t="n">
        <v>0</v>
      </c>
      <c r="BV163" s="704" t="n">
        <v>0</v>
      </c>
      <c r="BW163" s="704" t="n">
        <v>0</v>
      </c>
      <c r="BX163" s="704" t="n">
        <v>0</v>
      </c>
      <c r="BY163" s="704" t="n">
        <v>0</v>
      </c>
      <c r="BZ163" s="704" t="n">
        <v>0</v>
      </c>
      <c r="CA163" s="704" t="n">
        <v>0</v>
      </c>
      <c r="CB163" s="704" t="n">
        <v>0</v>
      </c>
      <c r="CC163" s="704" t="n">
        <v>0</v>
      </c>
      <c r="CD163" s="704" t="n">
        <v>0</v>
      </c>
      <c r="CE163" s="704" t="n">
        <v>0</v>
      </c>
      <c r="CF163" s="704" t="n">
        <v>0</v>
      </c>
      <c r="CG163" s="704" t="n">
        <v>0</v>
      </c>
      <c r="CH163" s="704" t="n">
        <v>0</v>
      </c>
      <c r="CI163" s="704" t="n">
        <v>0</v>
      </c>
      <c r="CJ163" s="704" t="n">
        <v>0</v>
      </c>
      <c r="CK163" s="704" t="n">
        <v>0</v>
      </c>
      <c r="CL163" s="704" t="n">
        <v>0</v>
      </c>
      <c r="CM163" s="704" t="n">
        <v>0</v>
      </c>
      <c r="CN163" s="704" t="n">
        <v>0</v>
      </c>
      <c r="CO163" s="704" t="n">
        <v>0</v>
      </c>
      <c r="CP163" s="704" t="n">
        <v>0</v>
      </c>
      <c r="CQ163" s="704" t="n">
        <v>0</v>
      </c>
      <c r="CR163" s="704" t="n">
        <v>0</v>
      </c>
      <c r="CS163" s="704" t="n">
        <v>0</v>
      </c>
      <c r="CT163" s="704" t="n">
        <v>0</v>
      </c>
      <c r="CU163" s="704" t="n">
        <v>0</v>
      </c>
      <c r="CV163" s="704" t="n">
        <v>0</v>
      </c>
      <c r="CW163" s="704" t="n">
        <v>0</v>
      </c>
      <c r="CX163" s="704" t="n">
        <v>0</v>
      </c>
      <c r="CY163" s="704" t="n">
        <v>0</v>
      </c>
      <c r="CZ163" s="704" t="n">
        <v>0</v>
      </c>
      <c r="DA163" s="704" t="n">
        <v>0</v>
      </c>
      <c r="DB163" s="704" t="n">
        <v>0</v>
      </c>
      <c r="DC163" s="704" t="n">
        <v>0</v>
      </c>
      <c r="DD163" s="704" t="n">
        <v>0</v>
      </c>
      <c r="DE163" s="704" t="n">
        <v>0</v>
      </c>
      <c r="DF163" s="704" t="n">
        <v>0</v>
      </c>
      <c r="DG163" s="704" t="n">
        <v>0</v>
      </c>
      <c r="DH163" s="704" t="n">
        <v>0</v>
      </c>
      <c r="DI163" s="704" t="n">
        <v>0</v>
      </c>
      <c r="DJ163" s="704" t="n">
        <v>0</v>
      </c>
      <c r="DK163" s="704" t="n">
        <v>0</v>
      </c>
      <c r="DL163" s="704" t="n">
        <v>0</v>
      </c>
      <c r="DM163" s="704" t="n">
        <v>0</v>
      </c>
    </row>
    <row r="164" ht="13.5" customHeight="1" s="355">
      <c r="B164" s="703" t="inlineStr">
        <is>
          <t>Team Leader</t>
        </is>
      </c>
      <c r="D164" s="704" t="n">
        <v>0</v>
      </c>
      <c r="E164" s="704" t="n">
        <v>0</v>
      </c>
      <c r="F164" s="704" t="n">
        <v>0</v>
      </c>
      <c r="G164" s="704" t="n">
        <v>0</v>
      </c>
      <c r="H164" s="704" t="n">
        <v>0</v>
      </c>
      <c r="I164" s="704" t="n">
        <v>0</v>
      </c>
      <c r="J164" s="704" t="n">
        <v>0</v>
      </c>
      <c r="K164" s="704" t="n">
        <v>0</v>
      </c>
      <c r="L164" s="704" t="n">
        <v>0</v>
      </c>
      <c r="M164" s="704" t="n">
        <v>0</v>
      </c>
      <c r="N164" s="704" t="n">
        <v>0</v>
      </c>
      <c r="O164" s="704" t="n">
        <v>0</v>
      </c>
      <c r="P164" s="704" t="n">
        <v>0</v>
      </c>
      <c r="Q164" s="704" t="n">
        <v>0</v>
      </c>
      <c r="R164" s="704" t="n">
        <v>0</v>
      </c>
      <c r="S164" s="704" t="n">
        <v>0</v>
      </c>
      <c r="T164" s="704" t="n">
        <v>0</v>
      </c>
      <c r="U164" s="704" t="n">
        <v>0</v>
      </c>
      <c r="V164" s="704" t="n">
        <v>0</v>
      </c>
      <c r="W164" s="704" t="n">
        <v>0</v>
      </c>
      <c r="X164" s="704" t="n">
        <v>0</v>
      </c>
      <c r="Y164" s="704" t="n">
        <v>0</v>
      </c>
      <c r="Z164" s="704" t="n">
        <v>0</v>
      </c>
      <c r="AA164" s="704" t="n">
        <v>0</v>
      </c>
      <c r="AB164" s="704" t="n">
        <v>0</v>
      </c>
      <c r="AC164" s="704" t="n">
        <v>0</v>
      </c>
      <c r="AD164" s="704" t="n">
        <v>0</v>
      </c>
      <c r="AE164" s="704" t="n">
        <v>0</v>
      </c>
      <c r="AF164" s="704" t="n">
        <v>0</v>
      </c>
      <c r="AG164" s="704" t="n">
        <v>0</v>
      </c>
      <c r="AH164" s="704" t="n">
        <v>0</v>
      </c>
      <c r="AI164" s="704" t="n">
        <v>0</v>
      </c>
      <c r="AJ164" s="704" t="n">
        <v>0</v>
      </c>
      <c r="AK164" s="704" t="n">
        <v>0</v>
      </c>
      <c r="AL164" s="704" t="n">
        <v>0</v>
      </c>
      <c r="AM164" s="704" t="n">
        <v>0</v>
      </c>
      <c r="AN164" s="704" t="n">
        <v>0</v>
      </c>
      <c r="AO164" s="704" t="n">
        <v>0</v>
      </c>
      <c r="AP164" s="704" t="n">
        <v>0</v>
      </c>
      <c r="AQ164" s="704" t="n">
        <v>0</v>
      </c>
      <c r="AR164" s="704" t="n">
        <v>0</v>
      </c>
      <c r="AS164" s="704" t="n">
        <v>0</v>
      </c>
      <c r="AT164" s="704" t="n">
        <v>0</v>
      </c>
      <c r="AU164" s="704" t="n">
        <v>0</v>
      </c>
      <c r="AV164" s="704" t="n">
        <v>0</v>
      </c>
      <c r="AW164" s="704" t="n">
        <v>0</v>
      </c>
      <c r="AX164" s="704" t="n">
        <v>0</v>
      </c>
      <c r="AY164" s="704" t="n">
        <v>0</v>
      </c>
      <c r="AZ164" s="704" t="n">
        <v>0</v>
      </c>
      <c r="BA164" s="704" t="n">
        <v>0</v>
      </c>
      <c r="BB164" s="704" t="n">
        <v>0</v>
      </c>
      <c r="BC164" s="704" t="n">
        <v>0</v>
      </c>
      <c r="BD164" s="704" t="n">
        <v>0</v>
      </c>
      <c r="BE164" s="704" t="n">
        <v>0</v>
      </c>
      <c r="BF164" s="704" t="n">
        <v>0</v>
      </c>
      <c r="BG164" s="704" t="n">
        <v>0</v>
      </c>
      <c r="BH164" s="704" t="n">
        <v>0</v>
      </c>
      <c r="BI164" s="704" t="n">
        <v>0</v>
      </c>
      <c r="BJ164" s="704" t="n">
        <v>0</v>
      </c>
      <c r="BK164" s="704" t="n">
        <v>0</v>
      </c>
      <c r="BL164" s="704" t="n">
        <v>0</v>
      </c>
      <c r="BM164" s="704" t="n">
        <v>0</v>
      </c>
      <c r="BN164" s="704" t="n">
        <v>0</v>
      </c>
      <c r="BO164" s="704" t="n">
        <v>0</v>
      </c>
      <c r="BP164" s="704" t="n">
        <v>0</v>
      </c>
      <c r="BQ164" s="704" t="n">
        <v>0</v>
      </c>
      <c r="BR164" s="704" t="n">
        <v>0</v>
      </c>
      <c r="BS164" s="704" t="n">
        <v>0</v>
      </c>
      <c r="BT164" s="704" t="n">
        <v>0</v>
      </c>
      <c r="BU164" s="704" t="n">
        <v>0</v>
      </c>
      <c r="BV164" s="704" t="n">
        <v>0</v>
      </c>
      <c r="BW164" s="704" t="n">
        <v>0</v>
      </c>
      <c r="BX164" s="704" t="n">
        <v>0</v>
      </c>
      <c r="BY164" s="704" t="n">
        <v>0</v>
      </c>
      <c r="BZ164" s="704" t="n">
        <v>0</v>
      </c>
      <c r="CA164" s="704" t="n">
        <v>0</v>
      </c>
      <c r="CB164" s="704" t="n">
        <v>0</v>
      </c>
      <c r="CC164" s="704" t="n">
        <v>0</v>
      </c>
      <c r="CD164" s="704" t="n">
        <v>0</v>
      </c>
      <c r="CE164" s="704" t="n">
        <v>0</v>
      </c>
      <c r="CF164" s="704" t="n">
        <v>0</v>
      </c>
      <c r="CG164" s="704" t="n">
        <v>0</v>
      </c>
      <c r="CH164" s="704" t="n">
        <v>0</v>
      </c>
      <c r="CI164" s="704" t="n">
        <v>0</v>
      </c>
      <c r="CJ164" s="704" t="n">
        <v>0</v>
      </c>
      <c r="CK164" s="704" t="n">
        <v>0</v>
      </c>
      <c r="CL164" s="704" t="n">
        <v>0</v>
      </c>
      <c r="CM164" s="704" t="n">
        <v>0</v>
      </c>
      <c r="CN164" s="704" t="n">
        <v>0</v>
      </c>
      <c r="CO164" s="704" t="n">
        <v>0</v>
      </c>
      <c r="CP164" s="704" t="n">
        <v>0</v>
      </c>
      <c r="CQ164" s="704" t="n">
        <v>0</v>
      </c>
      <c r="CR164" s="704" t="n">
        <v>0</v>
      </c>
      <c r="CS164" s="704" t="n">
        <v>0</v>
      </c>
      <c r="CT164" s="704" t="n">
        <v>0</v>
      </c>
      <c r="CU164" s="704" t="n">
        <v>0</v>
      </c>
      <c r="CV164" s="704" t="n">
        <v>0</v>
      </c>
      <c r="CW164" s="704" t="n">
        <v>0</v>
      </c>
      <c r="CX164" s="704" t="n">
        <v>0</v>
      </c>
      <c r="CY164" s="704" t="n">
        <v>0</v>
      </c>
      <c r="CZ164" s="704" t="n">
        <v>0</v>
      </c>
      <c r="DA164" s="704" t="n">
        <v>0</v>
      </c>
      <c r="DB164" s="704" t="n">
        <v>0</v>
      </c>
      <c r="DC164" s="704" t="n">
        <v>0</v>
      </c>
      <c r="DD164" s="704" t="n">
        <v>0</v>
      </c>
      <c r="DE164" s="704" t="n">
        <v>0</v>
      </c>
      <c r="DF164" s="704" t="n">
        <v>0</v>
      </c>
      <c r="DG164" s="704" t="n">
        <v>0</v>
      </c>
      <c r="DH164" s="704" t="n">
        <v>0</v>
      </c>
      <c r="DI164" s="704" t="n">
        <v>0</v>
      </c>
      <c r="DJ164" s="704" t="n">
        <v>0</v>
      </c>
      <c r="DK164" s="704" t="n">
        <v>0</v>
      </c>
      <c r="DL164" s="704" t="n">
        <v>0</v>
      </c>
      <c r="DM164" s="704" t="n">
        <v>0</v>
      </c>
    </row>
    <row r="165" ht="13.5" customHeight="1" s="355">
      <c r="B165" s="703" t="inlineStr">
        <is>
          <t>SLA Metric Reporting</t>
        </is>
      </c>
      <c r="D165" s="704" t="n">
        <v>0</v>
      </c>
      <c r="E165" s="704" t="n">
        <v>0</v>
      </c>
      <c r="F165" s="704" t="n">
        <v>0</v>
      </c>
      <c r="G165" s="704" t="n">
        <v>0</v>
      </c>
      <c r="H165" s="704" t="n">
        <v>0</v>
      </c>
      <c r="I165" s="704" t="n">
        <v>0</v>
      </c>
      <c r="J165" s="704" t="n">
        <v>0</v>
      </c>
      <c r="K165" s="704" t="n">
        <v>0</v>
      </c>
      <c r="L165" s="704" t="n">
        <v>0</v>
      </c>
      <c r="M165" s="704" t="n">
        <v>0</v>
      </c>
      <c r="N165" s="704" t="n">
        <v>0</v>
      </c>
      <c r="O165" s="704" t="n">
        <v>0</v>
      </c>
      <c r="P165" s="704" t="n">
        <v>0</v>
      </c>
      <c r="Q165" s="704" t="n">
        <v>0</v>
      </c>
      <c r="R165" s="704" t="n">
        <v>0</v>
      </c>
      <c r="S165" s="704" t="n">
        <v>0</v>
      </c>
      <c r="T165" s="704" t="n">
        <v>0</v>
      </c>
      <c r="U165" s="704" t="n">
        <v>0</v>
      </c>
      <c r="V165" s="704" t="n">
        <v>0</v>
      </c>
      <c r="W165" s="704" t="n">
        <v>0</v>
      </c>
      <c r="X165" s="704" t="n">
        <v>0</v>
      </c>
      <c r="Y165" s="704" t="n">
        <v>0</v>
      </c>
      <c r="Z165" s="704" t="n">
        <v>0</v>
      </c>
      <c r="AA165" s="704" t="n">
        <v>0</v>
      </c>
      <c r="AB165" s="704" t="n">
        <v>0</v>
      </c>
      <c r="AC165" s="704" t="n">
        <v>0</v>
      </c>
      <c r="AD165" s="704" t="n">
        <v>0</v>
      </c>
      <c r="AE165" s="704" t="n">
        <v>0</v>
      </c>
      <c r="AF165" s="704" t="n">
        <v>0</v>
      </c>
      <c r="AG165" s="704" t="n">
        <v>0</v>
      </c>
      <c r="AH165" s="704" t="n">
        <v>0</v>
      </c>
      <c r="AI165" s="704" t="n">
        <v>0</v>
      </c>
      <c r="AJ165" s="704" t="n">
        <v>0</v>
      </c>
      <c r="AK165" s="704" t="n">
        <v>0</v>
      </c>
      <c r="AL165" s="704" t="n">
        <v>0</v>
      </c>
      <c r="AM165" s="704" t="n">
        <v>0</v>
      </c>
      <c r="AN165" s="704" t="n">
        <v>0</v>
      </c>
      <c r="AO165" s="704" t="n">
        <v>0</v>
      </c>
      <c r="AP165" s="704" t="n">
        <v>0</v>
      </c>
      <c r="AQ165" s="704" t="n">
        <v>0</v>
      </c>
      <c r="AR165" s="704" t="n">
        <v>0</v>
      </c>
      <c r="AS165" s="704" t="n">
        <v>0</v>
      </c>
      <c r="AT165" s="704" t="n">
        <v>0</v>
      </c>
      <c r="AU165" s="704" t="n">
        <v>0</v>
      </c>
      <c r="AV165" s="704" t="n">
        <v>0</v>
      </c>
      <c r="AW165" s="704" t="n">
        <v>0</v>
      </c>
      <c r="AX165" s="704" t="n">
        <v>0</v>
      </c>
      <c r="AY165" s="704" t="n">
        <v>0</v>
      </c>
      <c r="AZ165" s="704" t="n">
        <v>0</v>
      </c>
      <c r="BA165" s="704" t="n">
        <v>0</v>
      </c>
      <c r="BB165" s="704" t="n">
        <v>0</v>
      </c>
      <c r="BC165" s="704" t="n">
        <v>0</v>
      </c>
      <c r="BD165" s="704" t="n">
        <v>0</v>
      </c>
      <c r="BE165" s="704" t="n">
        <v>0</v>
      </c>
      <c r="BF165" s="704" t="n">
        <v>0</v>
      </c>
      <c r="BG165" s="704" t="n">
        <v>0</v>
      </c>
      <c r="BH165" s="704" t="n">
        <v>0</v>
      </c>
      <c r="BI165" s="704" t="n">
        <v>0</v>
      </c>
      <c r="BJ165" s="704" t="n">
        <v>0</v>
      </c>
      <c r="BK165" s="704" t="n">
        <v>0</v>
      </c>
      <c r="BL165" s="704" t="n">
        <v>0</v>
      </c>
      <c r="BM165" s="704" t="n">
        <v>0</v>
      </c>
      <c r="BN165" s="704" t="n">
        <v>0</v>
      </c>
      <c r="BO165" s="704" t="n">
        <v>0</v>
      </c>
      <c r="BP165" s="704" t="n">
        <v>0</v>
      </c>
      <c r="BQ165" s="704" t="n">
        <v>0</v>
      </c>
      <c r="BR165" s="704" t="n">
        <v>0</v>
      </c>
      <c r="BS165" s="704" t="n">
        <v>0</v>
      </c>
      <c r="BT165" s="704" t="n">
        <v>0</v>
      </c>
      <c r="BU165" s="704" t="n">
        <v>0</v>
      </c>
      <c r="BV165" s="704" t="n">
        <v>0</v>
      </c>
      <c r="BW165" s="704" t="n">
        <v>0</v>
      </c>
      <c r="BX165" s="704" t="n">
        <v>0</v>
      </c>
      <c r="BY165" s="704" t="n">
        <v>0</v>
      </c>
      <c r="BZ165" s="704" t="n">
        <v>0</v>
      </c>
      <c r="CA165" s="704" t="n">
        <v>0</v>
      </c>
      <c r="CB165" s="704" t="n">
        <v>0</v>
      </c>
      <c r="CC165" s="704" t="n">
        <v>0</v>
      </c>
      <c r="CD165" s="704" t="n">
        <v>0</v>
      </c>
      <c r="CE165" s="704" t="n">
        <v>0</v>
      </c>
      <c r="CF165" s="704" t="n">
        <v>0</v>
      </c>
      <c r="CG165" s="704" t="n">
        <v>0</v>
      </c>
      <c r="CH165" s="704" t="n">
        <v>0</v>
      </c>
      <c r="CI165" s="704" t="n">
        <v>0</v>
      </c>
      <c r="CJ165" s="704" t="n">
        <v>0</v>
      </c>
      <c r="CK165" s="704" t="n">
        <v>0</v>
      </c>
      <c r="CL165" s="704" t="n">
        <v>0</v>
      </c>
      <c r="CM165" s="704" t="n">
        <v>0</v>
      </c>
      <c r="CN165" s="704" t="n">
        <v>0</v>
      </c>
      <c r="CO165" s="704" t="n">
        <v>0</v>
      </c>
      <c r="CP165" s="704" t="n">
        <v>0</v>
      </c>
      <c r="CQ165" s="704" t="n">
        <v>0</v>
      </c>
      <c r="CR165" s="704" t="n">
        <v>0</v>
      </c>
      <c r="CS165" s="704" t="n">
        <v>0</v>
      </c>
      <c r="CT165" s="704" t="n">
        <v>0</v>
      </c>
      <c r="CU165" s="704" t="n">
        <v>0</v>
      </c>
      <c r="CV165" s="704" t="n">
        <v>0</v>
      </c>
      <c r="CW165" s="704" t="n">
        <v>0</v>
      </c>
      <c r="CX165" s="704" t="n">
        <v>0</v>
      </c>
      <c r="CY165" s="704" t="n">
        <v>0</v>
      </c>
      <c r="CZ165" s="704" t="n">
        <v>0</v>
      </c>
      <c r="DA165" s="704" t="n">
        <v>0</v>
      </c>
      <c r="DB165" s="704" t="n">
        <v>0</v>
      </c>
      <c r="DC165" s="704" t="n">
        <v>0</v>
      </c>
      <c r="DD165" s="704" t="n">
        <v>0</v>
      </c>
      <c r="DE165" s="704" t="n">
        <v>0</v>
      </c>
      <c r="DF165" s="704" t="n">
        <v>0</v>
      </c>
      <c r="DG165" s="704" t="n">
        <v>0</v>
      </c>
      <c r="DH165" s="704" t="n">
        <v>0</v>
      </c>
      <c r="DI165" s="704" t="n">
        <v>0</v>
      </c>
      <c r="DJ165" s="704" t="n">
        <v>0</v>
      </c>
      <c r="DK165" s="704" t="n">
        <v>0</v>
      </c>
      <c r="DL165" s="704" t="n">
        <v>0</v>
      </c>
      <c r="DM165" s="704" t="n">
        <v>0</v>
      </c>
    </row>
    <row r="166" ht="13.5" customHeight="1" s="355">
      <c r="B166" s="705" t="inlineStr">
        <is>
          <t>Grand Total</t>
        </is>
      </c>
      <c r="C166" s="706" t="n"/>
      <c r="D166" s="707" t="n">
        <v>0</v>
      </c>
      <c r="E166" s="707" t="n">
        <v>0</v>
      </c>
      <c r="F166" s="707" t="n">
        <v>0</v>
      </c>
      <c r="G166" s="707" t="n">
        <v>0</v>
      </c>
      <c r="H166" s="707" t="n">
        <v>0</v>
      </c>
      <c r="I166" s="707" t="n">
        <v>0</v>
      </c>
      <c r="J166" s="707" t="n">
        <v>0</v>
      </c>
      <c r="K166" s="707" t="n">
        <v>0</v>
      </c>
      <c r="L166" s="707" t="n">
        <v>0</v>
      </c>
      <c r="M166" s="707" t="n">
        <v>0</v>
      </c>
      <c r="N166" s="707" t="n">
        <v>0</v>
      </c>
      <c r="O166" s="707" t="n">
        <v>0</v>
      </c>
      <c r="P166" s="707" t="n">
        <v>0</v>
      </c>
      <c r="Q166" s="707" t="n">
        <v>0</v>
      </c>
      <c r="R166" s="707" t="n">
        <v>0</v>
      </c>
      <c r="S166" s="707" t="n">
        <v>0</v>
      </c>
      <c r="T166" s="707" t="n">
        <v>0</v>
      </c>
      <c r="U166" s="707" t="n">
        <v>0</v>
      </c>
      <c r="V166" s="707" t="n">
        <v>0</v>
      </c>
      <c r="W166" s="707" t="n">
        <v>0</v>
      </c>
      <c r="X166" s="707" t="n">
        <v>0</v>
      </c>
      <c r="Y166" s="707" t="n">
        <v>0</v>
      </c>
      <c r="Z166" s="707" t="n">
        <v>0</v>
      </c>
      <c r="AA166" s="707" t="n">
        <v>0</v>
      </c>
      <c r="AB166" s="707" t="n">
        <v>0</v>
      </c>
      <c r="AC166" s="707" t="n">
        <v>0</v>
      </c>
      <c r="AD166" s="707" t="n">
        <v>0</v>
      </c>
      <c r="AE166" s="707" t="n">
        <v>0</v>
      </c>
      <c r="AF166" s="707" t="n">
        <v>0</v>
      </c>
      <c r="AG166" s="707" t="n">
        <v>0</v>
      </c>
      <c r="AH166" s="707" t="n">
        <v>0</v>
      </c>
      <c r="AI166" s="707" t="n">
        <v>0</v>
      </c>
      <c r="AJ166" s="707" t="n">
        <v>0</v>
      </c>
      <c r="AK166" s="707" t="n">
        <v>0</v>
      </c>
      <c r="AL166" s="707" t="n">
        <v>0</v>
      </c>
      <c r="AM166" s="707" t="n">
        <v>0</v>
      </c>
      <c r="AN166" s="707" t="n">
        <v>0</v>
      </c>
      <c r="AO166" s="707" t="n">
        <v>0</v>
      </c>
      <c r="AP166" s="707" t="n">
        <v>0</v>
      </c>
      <c r="AQ166" s="707" t="n">
        <v>0</v>
      </c>
      <c r="AR166" s="707" t="n">
        <v>0</v>
      </c>
      <c r="AS166" s="707" t="n">
        <v>0</v>
      </c>
      <c r="AT166" s="707" t="n">
        <v>0</v>
      </c>
      <c r="AU166" s="707" t="n">
        <v>0</v>
      </c>
      <c r="AV166" s="707" t="n">
        <v>0</v>
      </c>
      <c r="AW166" s="707" t="n">
        <v>0</v>
      </c>
      <c r="AX166" s="707" t="n">
        <v>0</v>
      </c>
      <c r="AY166" s="707" t="n">
        <v>0</v>
      </c>
      <c r="AZ166" s="707" t="n">
        <v>0</v>
      </c>
      <c r="BA166" s="707" t="n">
        <v>0</v>
      </c>
      <c r="BB166" s="707" t="n">
        <v>0</v>
      </c>
      <c r="BC166" s="707" t="n">
        <v>0</v>
      </c>
      <c r="BD166" s="707" t="n">
        <v>0</v>
      </c>
      <c r="BE166" s="707" t="n">
        <v>0</v>
      </c>
      <c r="BF166" s="707" t="n">
        <v>0</v>
      </c>
      <c r="BG166" s="707" t="n">
        <v>0</v>
      </c>
      <c r="BH166" s="707" t="n">
        <v>0</v>
      </c>
      <c r="BI166" s="707" t="n">
        <v>0</v>
      </c>
      <c r="BJ166" s="707" t="n">
        <v>0</v>
      </c>
      <c r="BK166" s="707" t="n">
        <v>0</v>
      </c>
      <c r="BL166" s="707" t="n">
        <v>0</v>
      </c>
      <c r="BM166" s="707" t="n">
        <v>0</v>
      </c>
      <c r="BN166" s="707" t="n">
        <v>0</v>
      </c>
      <c r="BO166" s="707" t="n">
        <v>0</v>
      </c>
      <c r="BP166" s="707" t="n">
        <v>0</v>
      </c>
      <c r="BQ166" s="707" t="n">
        <v>0</v>
      </c>
      <c r="BR166" s="707" t="n">
        <v>0</v>
      </c>
      <c r="BS166" s="707" t="n">
        <v>0</v>
      </c>
      <c r="BT166" s="707" t="n">
        <v>0</v>
      </c>
      <c r="BU166" s="707" t="n">
        <v>0</v>
      </c>
      <c r="BV166" s="707" t="n">
        <v>0</v>
      </c>
      <c r="BW166" s="707" t="n">
        <v>0</v>
      </c>
      <c r="BX166" s="707" t="n">
        <v>0</v>
      </c>
      <c r="BY166" s="707" t="n">
        <v>0</v>
      </c>
      <c r="BZ166" s="707" t="n">
        <v>0</v>
      </c>
      <c r="CA166" s="707" t="n">
        <v>0</v>
      </c>
      <c r="CB166" s="707" t="n">
        <v>0</v>
      </c>
      <c r="CC166" s="707" t="n">
        <v>0</v>
      </c>
      <c r="CD166" s="707" t="n">
        <v>0</v>
      </c>
      <c r="CE166" s="707" t="n">
        <v>0</v>
      </c>
      <c r="CF166" s="707" t="n">
        <v>0</v>
      </c>
      <c r="CG166" s="707" t="n">
        <v>0</v>
      </c>
      <c r="CH166" s="707" t="n">
        <v>0</v>
      </c>
      <c r="CI166" s="707" t="n">
        <v>0</v>
      </c>
      <c r="CJ166" s="707" t="n">
        <v>0</v>
      </c>
      <c r="CK166" s="707" t="n">
        <v>0</v>
      </c>
      <c r="CL166" s="707" t="n">
        <v>0</v>
      </c>
      <c r="CM166" s="707" t="n">
        <v>0</v>
      </c>
      <c r="CN166" s="707" t="n">
        <v>0</v>
      </c>
      <c r="CO166" s="707" t="n">
        <v>0</v>
      </c>
      <c r="CP166" s="707" t="n">
        <v>0</v>
      </c>
      <c r="CQ166" s="707" t="n">
        <v>0</v>
      </c>
      <c r="CR166" s="707" t="n">
        <v>0</v>
      </c>
      <c r="CS166" s="707" t="n">
        <v>0</v>
      </c>
      <c r="CT166" s="707" t="n">
        <v>0</v>
      </c>
      <c r="CU166" s="707" t="n">
        <v>0</v>
      </c>
      <c r="CV166" s="707" t="n">
        <v>0</v>
      </c>
      <c r="CW166" s="707" t="n">
        <v>0</v>
      </c>
      <c r="CX166" s="707" t="n">
        <v>0</v>
      </c>
      <c r="CY166" s="707" t="n">
        <v>0</v>
      </c>
      <c r="CZ166" s="707" t="n">
        <v>0</v>
      </c>
      <c r="DA166" s="707" t="n">
        <v>0</v>
      </c>
      <c r="DB166" s="707" t="n">
        <v>0</v>
      </c>
      <c r="DC166" s="707" t="n">
        <v>0</v>
      </c>
      <c r="DD166" s="707" t="n">
        <v>0</v>
      </c>
      <c r="DE166" s="707" t="n">
        <v>0</v>
      </c>
      <c r="DF166" s="707" t="n">
        <v>0</v>
      </c>
      <c r="DG166" s="707" t="n">
        <v>0</v>
      </c>
      <c r="DH166" s="707" t="n">
        <v>0</v>
      </c>
      <c r="DI166" s="707" t="n">
        <v>0</v>
      </c>
      <c r="DJ166" s="707" t="n">
        <v>0</v>
      </c>
      <c r="DK166" s="707" t="n">
        <v>0</v>
      </c>
      <c r="DL166" s="707" t="n">
        <v>0</v>
      </c>
      <c r="DM166" s="707" t="n">
        <v>0</v>
      </c>
    </row>
    <row r="167" ht="13.5" customHeight="1" s="355">
      <c r="A167" s="702" t="inlineStr">
        <is>
          <t>Country 16</t>
        </is>
      </c>
      <c r="B167" s="703" t="inlineStr">
        <is>
          <t>Gen Acctg</t>
        </is>
      </c>
      <c r="D167" s="704" t="n">
        <v>0</v>
      </c>
      <c r="E167" s="704" t="n">
        <v>0</v>
      </c>
      <c r="F167" s="704" t="n">
        <v>0</v>
      </c>
      <c r="G167" s="704" t="n">
        <v>0</v>
      </c>
      <c r="H167" s="704" t="n">
        <v>0</v>
      </c>
      <c r="I167" s="704" t="n">
        <v>0</v>
      </c>
      <c r="J167" s="704" t="n">
        <v>0</v>
      </c>
      <c r="K167" s="704" t="n">
        <v>0</v>
      </c>
      <c r="L167" s="704" t="n">
        <v>0</v>
      </c>
      <c r="M167" s="704" t="n">
        <v>0</v>
      </c>
      <c r="N167" s="704" t="n">
        <v>0</v>
      </c>
      <c r="O167" s="704" t="n">
        <v>0</v>
      </c>
      <c r="P167" s="704" t="n">
        <v>0</v>
      </c>
      <c r="Q167" s="704" t="n">
        <v>0</v>
      </c>
      <c r="R167" s="704" t="n">
        <v>0</v>
      </c>
      <c r="S167" s="704" t="n">
        <v>0</v>
      </c>
      <c r="T167" s="704" t="n">
        <v>0</v>
      </c>
      <c r="U167" s="704" t="n">
        <v>0</v>
      </c>
      <c r="V167" s="704" t="n">
        <v>0</v>
      </c>
      <c r="W167" s="704" t="n">
        <v>0</v>
      </c>
      <c r="X167" s="704" t="n">
        <v>0</v>
      </c>
      <c r="Y167" s="704" t="n">
        <v>0</v>
      </c>
      <c r="Z167" s="704" t="n">
        <v>0</v>
      </c>
      <c r="AA167" s="704" t="n">
        <v>0</v>
      </c>
      <c r="AB167" s="704" t="n">
        <v>0</v>
      </c>
      <c r="AC167" s="704" t="n">
        <v>0</v>
      </c>
      <c r="AD167" s="704" t="n">
        <v>0</v>
      </c>
      <c r="AE167" s="704" t="n">
        <v>0</v>
      </c>
      <c r="AF167" s="704" t="n">
        <v>0</v>
      </c>
      <c r="AG167" s="704" t="n">
        <v>0</v>
      </c>
      <c r="AH167" s="704" t="n">
        <v>0</v>
      </c>
      <c r="AI167" s="704" t="n">
        <v>0</v>
      </c>
      <c r="AJ167" s="704" t="n">
        <v>0</v>
      </c>
      <c r="AK167" s="704" t="n">
        <v>0</v>
      </c>
      <c r="AL167" s="704" t="n">
        <v>0</v>
      </c>
      <c r="AM167" s="704" t="n">
        <v>0</v>
      </c>
      <c r="AN167" s="704" t="n">
        <v>0</v>
      </c>
      <c r="AO167" s="704" t="n">
        <v>0</v>
      </c>
      <c r="AP167" s="704" t="n">
        <v>0</v>
      </c>
      <c r="AQ167" s="704" t="n">
        <v>0</v>
      </c>
      <c r="AR167" s="704" t="n">
        <v>0</v>
      </c>
      <c r="AS167" s="704" t="n">
        <v>0</v>
      </c>
      <c r="AT167" s="704" t="n">
        <v>0</v>
      </c>
      <c r="AU167" s="704" t="n">
        <v>0</v>
      </c>
      <c r="AV167" s="704" t="n">
        <v>0</v>
      </c>
      <c r="AW167" s="704" t="n">
        <v>0</v>
      </c>
      <c r="AX167" s="704" t="n">
        <v>0</v>
      </c>
      <c r="AY167" s="704" t="n">
        <v>0</v>
      </c>
      <c r="AZ167" s="704" t="n">
        <v>0</v>
      </c>
      <c r="BA167" s="704" t="n">
        <v>0</v>
      </c>
      <c r="BB167" s="704" t="n">
        <v>0</v>
      </c>
      <c r="BC167" s="704" t="n">
        <v>0</v>
      </c>
      <c r="BD167" s="704" t="n">
        <v>0</v>
      </c>
      <c r="BE167" s="704" t="n">
        <v>0</v>
      </c>
      <c r="BF167" s="704" t="n">
        <v>0</v>
      </c>
      <c r="BG167" s="704" t="n">
        <v>0</v>
      </c>
      <c r="BH167" s="704" t="n">
        <v>0</v>
      </c>
      <c r="BI167" s="704" t="n">
        <v>0</v>
      </c>
      <c r="BJ167" s="704" t="n">
        <v>0</v>
      </c>
      <c r="BK167" s="704" t="n">
        <v>0</v>
      </c>
      <c r="BL167" s="704" t="n">
        <v>0</v>
      </c>
      <c r="BM167" s="704" t="n">
        <v>0</v>
      </c>
      <c r="BN167" s="704" t="n">
        <v>0</v>
      </c>
      <c r="BO167" s="704" t="n">
        <v>0</v>
      </c>
      <c r="BP167" s="704" t="n">
        <v>0</v>
      </c>
      <c r="BQ167" s="704" t="n">
        <v>0</v>
      </c>
      <c r="BR167" s="704" t="n">
        <v>0</v>
      </c>
      <c r="BS167" s="704" t="n">
        <v>0</v>
      </c>
      <c r="BT167" s="704" t="n">
        <v>0</v>
      </c>
      <c r="BU167" s="704" t="n">
        <v>0</v>
      </c>
      <c r="BV167" s="704" t="n">
        <v>0</v>
      </c>
      <c r="BW167" s="704" t="n">
        <v>0</v>
      </c>
      <c r="BX167" s="704" t="n">
        <v>0</v>
      </c>
      <c r="BY167" s="704" t="n">
        <v>0</v>
      </c>
      <c r="BZ167" s="704" t="n">
        <v>0</v>
      </c>
      <c r="CA167" s="704" t="n">
        <v>0</v>
      </c>
      <c r="CB167" s="704" t="n">
        <v>0</v>
      </c>
      <c r="CC167" s="704" t="n">
        <v>0</v>
      </c>
      <c r="CD167" s="704" t="n">
        <v>0</v>
      </c>
      <c r="CE167" s="704" t="n">
        <v>0</v>
      </c>
      <c r="CF167" s="704" t="n">
        <v>0</v>
      </c>
      <c r="CG167" s="704" t="n">
        <v>0</v>
      </c>
      <c r="CH167" s="704" t="n">
        <v>0</v>
      </c>
      <c r="CI167" s="704" t="n">
        <v>0</v>
      </c>
      <c r="CJ167" s="704" t="n">
        <v>0</v>
      </c>
      <c r="CK167" s="704" t="n">
        <v>0</v>
      </c>
      <c r="CL167" s="704" t="n">
        <v>0</v>
      </c>
      <c r="CM167" s="704" t="n">
        <v>0</v>
      </c>
      <c r="CN167" s="704" t="n">
        <v>0</v>
      </c>
      <c r="CO167" s="704" t="n">
        <v>0</v>
      </c>
      <c r="CP167" s="704" t="n">
        <v>0</v>
      </c>
      <c r="CQ167" s="704" t="n">
        <v>0</v>
      </c>
      <c r="CR167" s="704" t="n">
        <v>0</v>
      </c>
      <c r="CS167" s="704" t="n">
        <v>0</v>
      </c>
      <c r="CT167" s="704" t="n">
        <v>0</v>
      </c>
      <c r="CU167" s="704" t="n">
        <v>0</v>
      </c>
      <c r="CV167" s="704" t="n">
        <v>0</v>
      </c>
      <c r="CW167" s="704" t="n">
        <v>0</v>
      </c>
      <c r="CX167" s="704" t="n">
        <v>0</v>
      </c>
      <c r="CY167" s="704" t="n">
        <v>0</v>
      </c>
      <c r="CZ167" s="704" t="n">
        <v>0</v>
      </c>
      <c r="DA167" s="704" t="n">
        <v>0</v>
      </c>
      <c r="DB167" s="704" t="n">
        <v>0</v>
      </c>
      <c r="DC167" s="704" t="n">
        <v>0</v>
      </c>
      <c r="DD167" s="704" t="n">
        <v>0</v>
      </c>
      <c r="DE167" s="704" t="n">
        <v>0</v>
      </c>
      <c r="DF167" s="704" t="n">
        <v>0</v>
      </c>
      <c r="DG167" s="704" t="n">
        <v>0</v>
      </c>
      <c r="DH167" s="704" t="n">
        <v>0</v>
      </c>
      <c r="DI167" s="704" t="n">
        <v>0</v>
      </c>
      <c r="DJ167" s="704" t="n">
        <v>0</v>
      </c>
      <c r="DK167" s="704" t="n">
        <v>0</v>
      </c>
      <c r="DL167" s="704" t="n">
        <v>0</v>
      </c>
      <c r="DM167" s="704" t="n">
        <v>0</v>
      </c>
    </row>
    <row r="168" ht="13.5" customHeight="1" s="355">
      <c r="B168" s="703" t="inlineStr">
        <is>
          <t>Reporting</t>
        </is>
      </c>
      <c r="D168" s="704" t="n">
        <v>0</v>
      </c>
      <c r="E168" s="704" t="n">
        <v>0</v>
      </c>
      <c r="F168" s="704" t="n">
        <v>0</v>
      </c>
      <c r="G168" s="704" t="n">
        <v>0</v>
      </c>
      <c r="H168" s="704" t="n">
        <v>0</v>
      </c>
      <c r="I168" s="704" t="n">
        <v>0</v>
      </c>
      <c r="J168" s="704" t="n">
        <v>0</v>
      </c>
      <c r="K168" s="704" t="n">
        <v>0</v>
      </c>
      <c r="L168" s="704" t="n">
        <v>0</v>
      </c>
      <c r="M168" s="704" t="n">
        <v>0</v>
      </c>
      <c r="N168" s="704" t="n">
        <v>0</v>
      </c>
      <c r="O168" s="704" t="n">
        <v>0</v>
      </c>
      <c r="P168" s="704" t="n">
        <v>0</v>
      </c>
      <c r="Q168" s="704" t="n">
        <v>0</v>
      </c>
      <c r="R168" s="704" t="n">
        <v>0</v>
      </c>
      <c r="S168" s="704" t="n">
        <v>0</v>
      </c>
      <c r="T168" s="704" t="n">
        <v>0</v>
      </c>
      <c r="U168" s="704" t="n">
        <v>0</v>
      </c>
      <c r="V168" s="704" t="n">
        <v>0</v>
      </c>
      <c r="W168" s="704" t="n">
        <v>0</v>
      </c>
      <c r="X168" s="704" t="n">
        <v>0</v>
      </c>
      <c r="Y168" s="704" t="n">
        <v>0</v>
      </c>
      <c r="Z168" s="704" t="n">
        <v>0</v>
      </c>
      <c r="AA168" s="704" t="n">
        <v>0</v>
      </c>
      <c r="AB168" s="704" t="n">
        <v>0</v>
      </c>
      <c r="AC168" s="704" t="n">
        <v>0</v>
      </c>
      <c r="AD168" s="704" t="n">
        <v>0</v>
      </c>
      <c r="AE168" s="704" t="n">
        <v>0</v>
      </c>
      <c r="AF168" s="704" t="n">
        <v>0</v>
      </c>
      <c r="AG168" s="704" t="n">
        <v>0</v>
      </c>
      <c r="AH168" s="704" t="n">
        <v>0</v>
      </c>
      <c r="AI168" s="704" t="n">
        <v>0</v>
      </c>
      <c r="AJ168" s="704" t="n">
        <v>0</v>
      </c>
      <c r="AK168" s="704" t="n">
        <v>0</v>
      </c>
      <c r="AL168" s="704" t="n">
        <v>0</v>
      </c>
      <c r="AM168" s="704" t="n">
        <v>0</v>
      </c>
      <c r="AN168" s="704" t="n">
        <v>0</v>
      </c>
      <c r="AO168" s="704" t="n">
        <v>0</v>
      </c>
      <c r="AP168" s="704" t="n">
        <v>0</v>
      </c>
      <c r="AQ168" s="704" t="n">
        <v>0</v>
      </c>
      <c r="AR168" s="704" t="n">
        <v>0</v>
      </c>
      <c r="AS168" s="704" t="n">
        <v>0</v>
      </c>
      <c r="AT168" s="704" t="n">
        <v>0</v>
      </c>
      <c r="AU168" s="704" t="n">
        <v>0</v>
      </c>
      <c r="AV168" s="704" t="n">
        <v>0</v>
      </c>
      <c r="AW168" s="704" t="n">
        <v>0</v>
      </c>
      <c r="AX168" s="704" t="n">
        <v>0</v>
      </c>
      <c r="AY168" s="704" t="n">
        <v>0</v>
      </c>
      <c r="AZ168" s="704" t="n">
        <v>0</v>
      </c>
      <c r="BA168" s="704" t="n">
        <v>0</v>
      </c>
      <c r="BB168" s="704" t="n">
        <v>0</v>
      </c>
      <c r="BC168" s="704" t="n">
        <v>0</v>
      </c>
      <c r="BD168" s="704" t="n">
        <v>0</v>
      </c>
      <c r="BE168" s="704" t="n">
        <v>0</v>
      </c>
      <c r="BF168" s="704" t="n">
        <v>0</v>
      </c>
      <c r="BG168" s="704" t="n">
        <v>0</v>
      </c>
      <c r="BH168" s="704" t="n">
        <v>0</v>
      </c>
      <c r="BI168" s="704" t="n">
        <v>0</v>
      </c>
      <c r="BJ168" s="704" t="n">
        <v>0</v>
      </c>
      <c r="BK168" s="704" t="n">
        <v>0</v>
      </c>
      <c r="BL168" s="704" t="n">
        <v>0</v>
      </c>
      <c r="BM168" s="704" t="n">
        <v>0</v>
      </c>
      <c r="BN168" s="704" t="n">
        <v>0</v>
      </c>
      <c r="BO168" s="704" t="n">
        <v>0</v>
      </c>
      <c r="BP168" s="704" t="n">
        <v>0</v>
      </c>
      <c r="BQ168" s="704" t="n">
        <v>0</v>
      </c>
      <c r="BR168" s="704" t="n">
        <v>0</v>
      </c>
      <c r="BS168" s="704" t="n">
        <v>0</v>
      </c>
      <c r="BT168" s="704" t="n">
        <v>0</v>
      </c>
      <c r="BU168" s="704" t="n">
        <v>0</v>
      </c>
      <c r="BV168" s="704" t="n">
        <v>0</v>
      </c>
      <c r="BW168" s="704" t="n">
        <v>0</v>
      </c>
      <c r="BX168" s="704" t="n">
        <v>0</v>
      </c>
      <c r="BY168" s="704" t="n">
        <v>0</v>
      </c>
      <c r="BZ168" s="704" t="n">
        <v>0</v>
      </c>
      <c r="CA168" s="704" t="n">
        <v>0</v>
      </c>
      <c r="CB168" s="704" t="n">
        <v>0</v>
      </c>
      <c r="CC168" s="704" t="n">
        <v>0</v>
      </c>
      <c r="CD168" s="704" t="n">
        <v>0</v>
      </c>
      <c r="CE168" s="704" t="n">
        <v>0</v>
      </c>
      <c r="CF168" s="704" t="n">
        <v>0</v>
      </c>
      <c r="CG168" s="704" t="n">
        <v>0</v>
      </c>
      <c r="CH168" s="704" t="n">
        <v>0</v>
      </c>
      <c r="CI168" s="704" t="n">
        <v>0</v>
      </c>
      <c r="CJ168" s="704" t="n">
        <v>0</v>
      </c>
      <c r="CK168" s="704" t="n">
        <v>0</v>
      </c>
      <c r="CL168" s="704" t="n">
        <v>0</v>
      </c>
      <c r="CM168" s="704" t="n">
        <v>0</v>
      </c>
      <c r="CN168" s="704" t="n">
        <v>0</v>
      </c>
      <c r="CO168" s="704" t="n">
        <v>0</v>
      </c>
      <c r="CP168" s="704" t="n">
        <v>0</v>
      </c>
      <c r="CQ168" s="704" t="n">
        <v>0</v>
      </c>
      <c r="CR168" s="704" t="n">
        <v>0</v>
      </c>
      <c r="CS168" s="704" t="n">
        <v>0</v>
      </c>
      <c r="CT168" s="704" t="n">
        <v>0</v>
      </c>
      <c r="CU168" s="704" t="n">
        <v>0</v>
      </c>
      <c r="CV168" s="704" t="n">
        <v>0</v>
      </c>
      <c r="CW168" s="704" t="n">
        <v>0</v>
      </c>
      <c r="CX168" s="704" t="n">
        <v>0</v>
      </c>
      <c r="CY168" s="704" t="n">
        <v>0</v>
      </c>
      <c r="CZ168" s="704" t="n">
        <v>0</v>
      </c>
      <c r="DA168" s="704" t="n">
        <v>0</v>
      </c>
      <c r="DB168" s="704" t="n">
        <v>0</v>
      </c>
      <c r="DC168" s="704" t="n">
        <v>0</v>
      </c>
      <c r="DD168" s="704" t="n">
        <v>0</v>
      </c>
      <c r="DE168" s="704" t="n">
        <v>0</v>
      </c>
      <c r="DF168" s="704" t="n">
        <v>0</v>
      </c>
      <c r="DG168" s="704" t="n">
        <v>0</v>
      </c>
      <c r="DH168" s="704" t="n">
        <v>0</v>
      </c>
      <c r="DI168" s="704" t="n">
        <v>0</v>
      </c>
      <c r="DJ168" s="704" t="n">
        <v>0</v>
      </c>
      <c r="DK168" s="704" t="n">
        <v>0</v>
      </c>
      <c r="DL168" s="704" t="n">
        <v>0</v>
      </c>
      <c r="DM168" s="704" t="n">
        <v>0</v>
      </c>
    </row>
    <row r="169" ht="13.5" customHeight="1" s="355">
      <c r="B169" s="703" t="inlineStr">
        <is>
          <t>Fixed Assets</t>
        </is>
      </c>
      <c r="D169" s="704" t="n">
        <v>0</v>
      </c>
      <c r="E169" s="704" t="n">
        <v>0</v>
      </c>
      <c r="F169" s="704" t="n">
        <v>0</v>
      </c>
      <c r="G169" s="704" t="n">
        <v>0</v>
      </c>
      <c r="H169" s="704" t="n">
        <v>0</v>
      </c>
      <c r="I169" s="704" t="n">
        <v>0</v>
      </c>
      <c r="J169" s="704" t="n">
        <v>0</v>
      </c>
      <c r="K169" s="704" t="n">
        <v>0</v>
      </c>
      <c r="L169" s="704" t="n">
        <v>0</v>
      </c>
      <c r="M169" s="704" t="n">
        <v>0</v>
      </c>
      <c r="N169" s="704" t="n">
        <v>0</v>
      </c>
      <c r="O169" s="704" t="n">
        <v>0</v>
      </c>
      <c r="P169" s="704" t="n">
        <v>0</v>
      </c>
      <c r="Q169" s="704" t="n">
        <v>0</v>
      </c>
      <c r="R169" s="704" t="n">
        <v>0</v>
      </c>
      <c r="S169" s="704" t="n">
        <v>0</v>
      </c>
      <c r="T169" s="704" t="n">
        <v>0</v>
      </c>
      <c r="U169" s="704" t="n">
        <v>0</v>
      </c>
      <c r="V169" s="704" t="n">
        <v>0</v>
      </c>
      <c r="W169" s="704" t="n">
        <v>0</v>
      </c>
      <c r="X169" s="704" t="n">
        <v>0</v>
      </c>
      <c r="Y169" s="704" t="n">
        <v>0</v>
      </c>
      <c r="Z169" s="704" t="n">
        <v>0</v>
      </c>
      <c r="AA169" s="704" t="n">
        <v>0</v>
      </c>
      <c r="AB169" s="704" t="n">
        <v>0</v>
      </c>
      <c r="AC169" s="704" t="n">
        <v>0</v>
      </c>
      <c r="AD169" s="704" t="n">
        <v>0</v>
      </c>
      <c r="AE169" s="704" t="n">
        <v>0</v>
      </c>
      <c r="AF169" s="704" t="n">
        <v>0</v>
      </c>
      <c r="AG169" s="704" t="n">
        <v>0</v>
      </c>
      <c r="AH169" s="704" t="n">
        <v>0</v>
      </c>
      <c r="AI169" s="704" t="n">
        <v>0</v>
      </c>
      <c r="AJ169" s="704" t="n">
        <v>0</v>
      </c>
      <c r="AK169" s="704" t="n">
        <v>0</v>
      </c>
      <c r="AL169" s="704" t="n">
        <v>0</v>
      </c>
      <c r="AM169" s="704" t="n">
        <v>0</v>
      </c>
      <c r="AN169" s="704" t="n">
        <v>0</v>
      </c>
      <c r="AO169" s="704" t="n">
        <v>0</v>
      </c>
      <c r="AP169" s="704" t="n">
        <v>0</v>
      </c>
      <c r="AQ169" s="704" t="n">
        <v>0</v>
      </c>
      <c r="AR169" s="704" t="n">
        <v>0</v>
      </c>
      <c r="AS169" s="704" t="n">
        <v>0</v>
      </c>
      <c r="AT169" s="704" t="n">
        <v>0</v>
      </c>
      <c r="AU169" s="704" t="n">
        <v>0</v>
      </c>
      <c r="AV169" s="704" t="n">
        <v>0</v>
      </c>
      <c r="AW169" s="704" t="n">
        <v>0</v>
      </c>
      <c r="AX169" s="704" t="n">
        <v>0</v>
      </c>
      <c r="AY169" s="704" t="n">
        <v>0</v>
      </c>
      <c r="AZ169" s="704" t="n">
        <v>0</v>
      </c>
      <c r="BA169" s="704" t="n">
        <v>0</v>
      </c>
      <c r="BB169" s="704" t="n">
        <v>0</v>
      </c>
      <c r="BC169" s="704" t="n">
        <v>0</v>
      </c>
      <c r="BD169" s="704" t="n">
        <v>0</v>
      </c>
      <c r="BE169" s="704" t="n">
        <v>0</v>
      </c>
      <c r="BF169" s="704" t="n">
        <v>0</v>
      </c>
      <c r="BG169" s="704" t="n">
        <v>0</v>
      </c>
      <c r="BH169" s="704" t="n">
        <v>0</v>
      </c>
      <c r="BI169" s="704" t="n">
        <v>0</v>
      </c>
      <c r="BJ169" s="704" t="n">
        <v>0</v>
      </c>
      <c r="BK169" s="704" t="n">
        <v>0</v>
      </c>
      <c r="BL169" s="704" t="n">
        <v>0</v>
      </c>
      <c r="BM169" s="704" t="n">
        <v>0</v>
      </c>
      <c r="BN169" s="704" t="n">
        <v>0</v>
      </c>
      <c r="BO169" s="704" t="n">
        <v>0</v>
      </c>
      <c r="BP169" s="704" t="n">
        <v>0</v>
      </c>
      <c r="BQ169" s="704" t="n">
        <v>0</v>
      </c>
      <c r="BR169" s="704" t="n">
        <v>0</v>
      </c>
      <c r="BS169" s="704" t="n">
        <v>0</v>
      </c>
      <c r="BT169" s="704" t="n">
        <v>0</v>
      </c>
      <c r="BU169" s="704" t="n">
        <v>0</v>
      </c>
      <c r="BV169" s="704" t="n">
        <v>0</v>
      </c>
      <c r="BW169" s="704" t="n">
        <v>0</v>
      </c>
      <c r="BX169" s="704" t="n">
        <v>0</v>
      </c>
      <c r="BY169" s="704" t="n">
        <v>0</v>
      </c>
      <c r="BZ169" s="704" t="n">
        <v>0</v>
      </c>
      <c r="CA169" s="704" t="n">
        <v>0</v>
      </c>
      <c r="CB169" s="704" t="n">
        <v>0</v>
      </c>
      <c r="CC169" s="704" t="n">
        <v>0</v>
      </c>
      <c r="CD169" s="704" t="n">
        <v>0</v>
      </c>
      <c r="CE169" s="704" t="n">
        <v>0</v>
      </c>
      <c r="CF169" s="704" t="n">
        <v>0</v>
      </c>
      <c r="CG169" s="704" t="n">
        <v>0</v>
      </c>
      <c r="CH169" s="704" t="n">
        <v>0</v>
      </c>
      <c r="CI169" s="704" t="n">
        <v>0</v>
      </c>
      <c r="CJ169" s="704" t="n">
        <v>0</v>
      </c>
      <c r="CK169" s="704" t="n">
        <v>0</v>
      </c>
      <c r="CL169" s="704" t="n">
        <v>0</v>
      </c>
      <c r="CM169" s="704" t="n">
        <v>0</v>
      </c>
      <c r="CN169" s="704" t="n">
        <v>0</v>
      </c>
      <c r="CO169" s="704" t="n">
        <v>0</v>
      </c>
      <c r="CP169" s="704" t="n">
        <v>0</v>
      </c>
      <c r="CQ169" s="704" t="n">
        <v>0</v>
      </c>
      <c r="CR169" s="704" t="n">
        <v>0</v>
      </c>
      <c r="CS169" s="704" t="n">
        <v>0</v>
      </c>
      <c r="CT169" s="704" t="n">
        <v>0</v>
      </c>
      <c r="CU169" s="704" t="n">
        <v>0</v>
      </c>
      <c r="CV169" s="704" t="n">
        <v>0</v>
      </c>
      <c r="CW169" s="704" t="n">
        <v>0</v>
      </c>
      <c r="CX169" s="704" t="n">
        <v>0</v>
      </c>
      <c r="CY169" s="704" t="n">
        <v>0</v>
      </c>
      <c r="CZ169" s="704" t="n">
        <v>0</v>
      </c>
      <c r="DA169" s="704" t="n">
        <v>0</v>
      </c>
      <c r="DB169" s="704" t="n">
        <v>0</v>
      </c>
      <c r="DC169" s="704" t="n">
        <v>0</v>
      </c>
      <c r="DD169" s="704" t="n">
        <v>0</v>
      </c>
      <c r="DE169" s="704" t="n">
        <v>0</v>
      </c>
      <c r="DF169" s="704" t="n">
        <v>0</v>
      </c>
      <c r="DG169" s="704" t="n">
        <v>0</v>
      </c>
      <c r="DH169" s="704" t="n">
        <v>0</v>
      </c>
      <c r="DI169" s="704" t="n">
        <v>0</v>
      </c>
      <c r="DJ169" s="704" t="n">
        <v>0</v>
      </c>
      <c r="DK169" s="704" t="n">
        <v>0</v>
      </c>
      <c r="DL169" s="704" t="n">
        <v>0</v>
      </c>
      <c r="DM169" s="704" t="n">
        <v>0</v>
      </c>
    </row>
    <row r="170" ht="13.5" customHeight="1" s="355">
      <c r="B170" s="703" t="inlineStr">
        <is>
          <t>Acct Payable</t>
        </is>
      </c>
      <c r="D170" s="704" t="n">
        <v>0</v>
      </c>
      <c r="E170" s="704" t="n">
        <v>0</v>
      </c>
      <c r="F170" s="704" t="n">
        <v>0</v>
      </c>
      <c r="G170" s="704" t="n">
        <v>0</v>
      </c>
      <c r="H170" s="704" t="n">
        <v>0</v>
      </c>
      <c r="I170" s="704" t="n">
        <v>0</v>
      </c>
      <c r="J170" s="704" t="n">
        <v>0</v>
      </c>
      <c r="K170" s="704" t="n">
        <v>0</v>
      </c>
      <c r="L170" s="704" t="n">
        <v>0</v>
      </c>
      <c r="M170" s="704" t="n">
        <v>0</v>
      </c>
      <c r="N170" s="704" t="n">
        <v>0</v>
      </c>
      <c r="O170" s="704" t="n">
        <v>0</v>
      </c>
      <c r="P170" s="704" t="n">
        <v>0</v>
      </c>
      <c r="Q170" s="704" t="n">
        <v>0</v>
      </c>
      <c r="R170" s="704" t="n">
        <v>0</v>
      </c>
      <c r="S170" s="704" t="n">
        <v>0</v>
      </c>
      <c r="T170" s="704" t="n">
        <v>0</v>
      </c>
      <c r="U170" s="704" t="n">
        <v>0</v>
      </c>
      <c r="V170" s="704" t="n">
        <v>0</v>
      </c>
      <c r="W170" s="704" t="n">
        <v>0</v>
      </c>
      <c r="X170" s="704" t="n">
        <v>0</v>
      </c>
      <c r="Y170" s="704" t="n">
        <v>0</v>
      </c>
      <c r="Z170" s="704" t="n">
        <v>0</v>
      </c>
      <c r="AA170" s="704" t="n">
        <v>0</v>
      </c>
      <c r="AB170" s="704" t="n">
        <v>0</v>
      </c>
      <c r="AC170" s="704" t="n">
        <v>0</v>
      </c>
      <c r="AD170" s="704" t="n">
        <v>0</v>
      </c>
      <c r="AE170" s="704" t="n">
        <v>0</v>
      </c>
      <c r="AF170" s="704" t="n">
        <v>0</v>
      </c>
      <c r="AG170" s="704" t="n">
        <v>0</v>
      </c>
      <c r="AH170" s="704" t="n">
        <v>0</v>
      </c>
      <c r="AI170" s="704" t="n">
        <v>0</v>
      </c>
      <c r="AJ170" s="704" t="n">
        <v>0</v>
      </c>
      <c r="AK170" s="704" t="n">
        <v>0</v>
      </c>
      <c r="AL170" s="704" t="n">
        <v>0</v>
      </c>
      <c r="AM170" s="704" t="n">
        <v>0</v>
      </c>
      <c r="AN170" s="704" t="n">
        <v>0</v>
      </c>
      <c r="AO170" s="704" t="n">
        <v>0</v>
      </c>
      <c r="AP170" s="704" t="n">
        <v>0</v>
      </c>
      <c r="AQ170" s="704" t="n">
        <v>0</v>
      </c>
      <c r="AR170" s="704" t="n">
        <v>0</v>
      </c>
      <c r="AS170" s="704" t="n">
        <v>0</v>
      </c>
      <c r="AT170" s="704" t="n">
        <v>0</v>
      </c>
      <c r="AU170" s="704" t="n">
        <v>0</v>
      </c>
      <c r="AV170" s="704" t="n">
        <v>0</v>
      </c>
      <c r="AW170" s="704" t="n">
        <v>0</v>
      </c>
      <c r="AX170" s="704" t="n">
        <v>0</v>
      </c>
      <c r="AY170" s="704" t="n">
        <v>0</v>
      </c>
      <c r="AZ170" s="704" t="n">
        <v>0</v>
      </c>
      <c r="BA170" s="704" t="n">
        <v>0</v>
      </c>
      <c r="BB170" s="704" t="n">
        <v>0</v>
      </c>
      <c r="BC170" s="704" t="n">
        <v>0</v>
      </c>
      <c r="BD170" s="704" t="n">
        <v>0</v>
      </c>
      <c r="BE170" s="704" t="n">
        <v>0</v>
      </c>
      <c r="BF170" s="704" t="n">
        <v>0</v>
      </c>
      <c r="BG170" s="704" t="n">
        <v>0</v>
      </c>
      <c r="BH170" s="704" t="n">
        <v>0</v>
      </c>
      <c r="BI170" s="704" t="n">
        <v>0</v>
      </c>
      <c r="BJ170" s="704" t="n">
        <v>0</v>
      </c>
      <c r="BK170" s="704" t="n">
        <v>0</v>
      </c>
      <c r="BL170" s="704" t="n">
        <v>0</v>
      </c>
      <c r="BM170" s="704" t="n">
        <v>0</v>
      </c>
      <c r="BN170" s="704" t="n">
        <v>0</v>
      </c>
      <c r="BO170" s="704" t="n">
        <v>0</v>
      </c>
      <c r="BP170" s="704" t="n">
        <v>0</v>
      </c>
      <c r="BQ170" s="704" t="n">
        <v>0</v>
      </c>
      <c r="BR170" s="704" t="n">
        <v>0</v>
      </c>
      <c r="BS170" s="704" t="n">
        <v>0</v>
      </c>
      <c r="BT170" s="704" t="n">
        <v>0</v>
      </c>
      <c r="BU170" s="704" t="n">
        <v>0</v>
      </c>
      <c r="BV170" s="704" t="n">
        <v>0</v>
      </c>
      <c r="BW170" s="704" t="n">
        <v>0</v>
      </c>
      <c r="BX170" s="704" t="n">
        <v>0</v>
      </c>
      <c r="BY170" s="704" t="n">
        <v>0</v>
      </c>
      <c r="BZ170" s="704" t="n">
        <v>0</v>
      </c>
      <c r="CA170" s="704" t="n">
        <v>0</v>
      </c>
      <c r="CB170" s="704" t="n">
        <v>0</v>
      </c>
      <c r="CC170" s="704" t="n">
        <v>0</v>
      </c>
      <c r="CD170" s="704" t="n">
        <v>0</v>
      </c>
      <c r="CE170" s="704" t="n">
        <v>0</v>
      </c>
      <c r="CF170" s="704" t="n">
        <v>0</v>
      </c>
      <c r="CG170" s="704" t="n">
        <v>0</v>
      </c>
      <c r="CH170" s="704" t="n">
        <v>0</v>
      </c>
      <c r="CI170" s="704" t="n">
        <v>0</v>
      </c>
      <c r="CJ170" s="704" t="n">
        <v>0</v>
      </c>
      <c r="CK170" s="704" t="n">
        <v>0</v>
      </c>
      <c r="CL170" s="704" t="n">
        <v>0</v>
      </c>
      <c r="CM170" s="704" t="n">
        <v>0</v>
      </c>
      <c r="CN170" s="704" t="n">
        <v>0</v>
      </c>
      <c r="CO170" s="704" t="n">
        <v>0</v>
      </c>
      <c r="CP170" s="704" t="n">
        <v>0</v>
      </c>
      <c r="CQ170" s="704" t="n">
        <v>0</v>
      </c>
      <c r="CR170" s="704" t="n">
        <v>0</v>
      </c>
      <c r="CS170" s="704" t="n">
        <v>0</v>
      </c>
      <c r="CT170" s="704" t="n">
        <v>0</v>
      </c>
      <c r="CU170" s="704" t="n">
        <v>0</v>
      </c>
      <c r="CV170" s="704" t="n">
        <v>0</v>
      </c>
      <c r="CW170" s="704" t="n">
        <v>0</v>
      </c>
      <c r="CX170" s="704" t="n">
        <v>0</v>
      </c>
      <c r="CY170" s="704" t="n">
        <v>0</v>
      </c>
      <c r="CZ170" s="704" t="n">
        <v>0</v>
      </c>
      <c r="DA170" s="704" t="n">
        <v>0</v>
      </c>
      <c r="DB170" s="704" t="n">
        <v>0</v>
      </c>
      <c r="DC170" s="704" t="n">
        <v>0</v>
      </c>
      <c r="DD170" s="704" t="n">
        <v>0</v>
      </c>
      <c r="DE170" s="704" t="n">
        <v>0</v>
      </c>
      <c r="DF170" s="704" t="n">
        <v>0</v>
      </c>
      <c r="DG170" s="704" t="n">
        <v>0</v>
      </c>
      <c r="DH170" s="704" t="n">
        <v>0</v>
      </c>
      <c r="DI170" s="704" t="n">
        <v>0</v>
      </c>
      <c r="DJ170" s="704" t="n">
        <v>0</v>
      </c>
      <c r="DK170" s="704" t="n">
        <v>0</v>
      </c>
      <c r="DL170" s="704" t="n">
        <v>0</v>
      </c>
      <c r="DM170" s="704" t="n">
        <v>0</v>
      </c>
    </row>
    <row r="171" ht="13.5" customHeight="1" s="355">
      <c r="B171" s="703" t="inlineStr">
        <is>
          <t>Cash&amp;Bank</t>
        </is>
      </c>
      <c r="D171" s="704" t="n">
        <v>0</v>
      </c>
      <c r="E171" s="704" t="n">
        <v>0</v>
      </c>
      <c r="F171" s="704" t="n">
        <v>0</v>
      </c>
      <c r="G171" s="704" t="n">
        <v>0</v>
      </c>
      <c r="H171" s="704" t="n">
        <v>0</v>
      </c>
      <c r="I171" s="704" t="n">
        <v>0</v>
      </c>
      <c r="J171" s="704" t="n">
        <v>0</v>
      </c>
      <c r="K171" s="704" t="n">
        <v>0</v>
      </c>
      <c r="L171" s="704" t="n">
        <v>0</v>
      </c>
      <c r="M171" s="704" t="n">
        <v>0</v>
      </c>
      <c r="N171" s="704" t="n">
        <v>0</v>
      </c>
      <c r="O171" s="704" t="n">
        <v>0</v>
      </c>
      <c r="P171" s="704" t="n">
        <v>0</v>
      </c>
      <c r="Q171" s="704" t="n">
        <v>0</v>
      </c>
      <c r="R171" s="704" t="n">
        <v>0</v>
      </c>
      <c r="S171" s="704" t="n">
        <v>0</v>
      </c>
      <c r="T171" s="704" t="n">
        <v>0</v>
      </c>
      <c r="U171" s="704" t="n">
        <v>0</v>
      </c>
      <c r="V171" s="704" t="n">
        <v>0</v>
      </c>
      <c r="W171" s="704" t="n">
        <v>0</v>
      </c>
      <c r="X171" s="704" t="n">
        <v>0</v>
      </c>
      <c r="Y171" s="704" t="n">
        <v>0</v>
      </c>
      <c r="Z171" s="704" t="n">
        <v>0</v>
      </c>
      <c r="AA171" s="704" t="n">
        <v>0</v>
      </c>
      <c r="AB171" s="704" t="n">
        <v>0</v>
      </c>
      <c r="AC171" s="704" t="n">
        <v>0</v>
      </c>
      <c r="AD171" s="704" t="n">
        <v>0</v>
      </c>
      <c r="AE171" s="704" t="n">
        <v>0</v>
      </c>
      <c r="AF171" s="704" t="n">
        <v>0</v>
      </c>
      <c r="AG171" s="704" t="n">
        <v>0</v>
      </c>
      <c r="AH171" s="704" t="n">
        <v>0</v>
      </c>
      <c r="AI171" s="704" t="n">
        <v>0</v>
      </c>
      <c r="AJ171" s="704" t="n">
        <v>0</v>
      </c>
      <c r="AK171" s="704" t="n">
        <v>0</v>
      </c>
      <c r="AL171" s="704" t="n">
        <v>0</v>
      </c>
      <c r="AM171" s="704" t="n">
        <v>0</v>
      </c>
      <c r="AN171" s="704" t="n">
        <v>0</v>
      </c>
      <c r="AO171" s="704" t="n">
        <v>0</v>
      </c>
      <c r="AP171" s="704" t="n">
        <v>0</v>
      </c>
      <c r="AQ171" s="704" t="n">
        <v>0</v>
      </c>
      <c r="AR171" s="704" t="n">
        <v>0</v>
      </c>
      <c r="AS171" s="704" t="n">
        <v>0</v>
      </c>
      <c r="AT171" s="704" t="n">
        <v>0</v>
      </c>
      <c r="AU171" s="704" t="n">
        <v>0</v>
      </c>
      <c r="AV171" s="704" t="n">
        <v>0</v>
      </c>
      <c r="AW171" s="704" t="n">
        <v>0</v>
      </c>
      <c r="AX171" s="704" t="n">
        <v>0</v>
      </c>
      <c r="AY171" s="704" t="n">
        <v>0</v>
      </c>
      <c r="AZ171" s="704" t="n">
        <v>0</v>
      </c>
      <c r="BA171" s="704" t="n">
        <v>0</v>
      </c>
      <c r="BB171" s="704" t="n">
        <v>0</v>
      </c>
      <c r="BC171" s="704" t="n">
        <v>0</v>
      </c>
      <c r="BD171" s="704" t="n">
        <v>0</v>
      </c>
      <c r="BE171" s="704" t="n">
        <v>0</v>
      </c>
      <c r="BF171" s="704" t="n">
        <v>0</v>
      </c>
      <c r="BG171" s="704" t="n">
        <v>0</v>
      </c>
      <c r="BH171" s="704" t="n">
        <v>0</v>
      </c>
      <c r="BI171" s="704" t="n">
        <v>0</v>
      </c>
      <c r="BJ171" s="704" t="n">
        <v>0</v>
      </c>
      <c r="BK171" s="704" t="n">
        <v>0</v>
      </c>
      <c r="BL171" s="704" t="n">
        <v>0</v>
      </c>
      <c r="BM171" s="704" t="n">
        <v>0</v>
      </c>
      <c r="BN171" s="704" t="n">
        <v>0</v>
      </c>
      <c r="BO171" s="704" t="n">
        <v>0</v>
      </c>
      <c r="BP171" s="704" t="n">
        <v>0</v>
      </c>
      <c r="BQ171" s="704" t="n">
        <v>0</v>
      </c>
      <c r="BR171" s="704" t="n">
        <v>0</v>
      </c>
      <c r="BS171" s="704" t="n">
        <v>0</v>
      </c>
      <c r="BT171" s="704" t="n">
        <v>0</v>
      </c>
      <c r="BU171" s="704" t="n">
        <v>0</v>
      </c>
      <c r="BV171" s="704" t="n">
        <v>0</v>
      </c>
      <c r="BW171" s="704" t="n">
        <v>0</v>
      </c>
      <c r="BX171" s="704" t="n">
        <v>0</v>
      </c>
      <c r="BY171" s="704" t="n">
        <v>0</v>
      </c>
      <c r="BZ171" s="704" t="n">
        <v>0</v>
      </c>
      <c r="CA171" s="704" t="n">
        <v>0</v>
      </c>
      <c r="CB171" s="704" t="n">
        <v>0</v>
      </c>
      <c r="CC171" s="704" t="n">
        <v>0</v>
      </c>
      <c r="CD171" s="704" t="n">
        <v>0</v>
      </c>
      <c r="CE171" s="704" t="n">
        <v>0</v>
      </c>
      <c r="CF171" s="704" t="n">
        <v>0</v>
      </c>
      <c r="CG171" s="704" t="n">
        <v>0</v>
      </c>
      <c r="CH171" s="704" t="n">
        <v>0</v>
      </c>
      <c r="CI171" s="704" t="n">
        <v>0</v>
      </c>
      <c r="CJ171" s="704" t="n">
        <v>0</v>
      </c>
      <c r="CK171" s="704" t="n">
        <v>0</v>
      </c>
      <c r="CL171" s="704" t="n">
        <v>0</v>
      </c>
      <c r="CM171" s="704" t="n">
        <v>0</v>
      </c>
      <c r="CN171" s="704" t="n">
        <v>0</v>
      </c>
      <c r="CO171" s="704" t="n">
        <v>0</v>
      </c>
      <c r="CP171" s="704" t="n">
        <v>0</v>
      </c>
      <c r="CQ171" s="704" t="n">
        <v>0</v>
      </c>
      <c r="CR171" s="704" t="n">
        <v>0</v>
      </c>
      <c r="CS171" s="704" t="n">
        <v>0</v>
      </c>
      <c r="CT171" s="704" t="n">
        <v>0</v>
      </c>
      <c r="CU171" s="704" t="n">
        <v>0</v>
      </c>
      <c r="CV171" s="704" t="n">
        <v>0</v>
      </c>
      <c r="CW171" s="704" t="n">
        <v>0</v>
      </c>
      <c r="CX171" s="704" t="n">
        <v>0</v>
      </c>
      <c r="CY171" s="704" t="n">
        <v>0</v>
      </c>
      <c r="CZ171" s="704" t="n">
        <v>0</v>
      </c>
      <c r="DA171" s="704" t="n">
        <v>0</v>
      </c>
      <c r="DB171" s="704" t="n">
        <v>0</v>
      </c>
      <c r="DC171" s="704" t="n">
        <v>0</v>
      </c>
      <c r="DD171" s="704" t="n">
        <v>0</v>
      </c>
      <c r="DE171" s="704" t="n">
        <v>0</v>
      </c>
      <c r="DF171" s="704" t="n">
        <v>0</v>
      </c>
      <c r="DG171" s="704" t="n">
        <v>0</v>
      </c>
      <c r="DH171" s="704" t="n">
        <v>0</v>
      </c>
      <c r="DI171" s="704" t="n">
        <v>0</v>
      </c>
      <c r="DJ171" s="704" t="n">
        <v>0</v>
      </c>
      <c r="DK171" s="704" t="n">
        <v>0</v>
      </c>
      <c r="DL171" s="704" t="n">
        <v>0</v>
      </c>
      <c r="DM171" s="704" t="n">
        <v>0</v>
      </c>
    </row>
    <row r="172" ht="13.5" customHeight="1" s="355">
      <c r="B172" s="703" t="inlineStr">
        <is>
          <t>T&amp;E</t>
        </is>
      </c>
      <c r="D172" s="704" t="n">
        <v>0</v>
      </c>
      <c r="E172" s="704" t="n">
        <v>0</v>
      </c>
      <c r="F172" s="704" t="n">
        <v>0</v>
      </c>
      <c r="G172" s="704" t="n">
        <v>0</v>
      </c>
      <c r="H172" s="704" t="n">
        <v>0</v>
      </c>
      <c r="I172" s="704" t="n">
        <v>0</v>
      </c>
      <c r="J172" s="704" t="n">
        <v>0</v>
      </c>
      <c r="K172" s="704" t="n">
        <v>0</v>
      </c>
      <c r="L172" s="704" t="n">
        <v>0</v>
      </c>
      <c r="M172" s="704" t="n">
        <v>0</v>
      </c>
      <c r="N172" s="704" t="n">
        <v>0</v>
      </c>
      <c r="O172" s="704" t="n">
        <v>0</v>
      </c>
      <c r="P172" s="704" t="n">
        <v>0</v>
      </c>
      <c r="Q172" s="704" t="n">
        <v>0</v>
      </c>
      <c r="R172" s="704" t="n">
        <v>0</v>
      </c>
      <c r="S172" s="704" t="n">
        <v>0</v>
      </c>
      <c r="T172" s="704" t="n">
        <v>0</v>
      </c>
      <c r="U172" s="704" t="n">
        <v>0</v>
      </c>
      <c r="V172" s="704" t="n">
        <v>0</v>
      </c>
      <c r="W172" s="704" t="n">
        <v>0</v>
      </c>
      <c r="X172" s="704" t="n">
        <v>0</v>
      </c>
      <c r="Y172" s="704" t="n">
        <v>0</v>
      </c>
      <c r="Z172" s="704" t="n">
        <v>0</v>
      </c>
      <c r="AA172" s="704" t="n">
        <v>0</v>
      </c>
      <c r="AB172" s="704" t="n">
        <v>0</v>
      </c>
      <c r="AC172" s="704" t="n">
        <v>0</v>
      </c>
      <c r="AD172" s="704" t="n">
        <v>0</v>
      </c>
      <c r="AE172" s="704" t="n">
        <v>0</v>
      </c>
      <c r="AF172" s="704" t="n">
        <v>0</v>
      </c>
      <c r="AG172" s="704" t="n">
        <v>0</v>
      </c>
      <c r="AH172" s="704" t="n">
        <v>0</v>
      </c>
      <c r="AI172" s="704" t="n">
        <v>0</v>
      </c>
      <c r="AJ172" s="704" t="n">
        <v>0</v>
      </c>
      <c r="AK172" s="704" t="n">
        <v>0</v>
      </c>
      <c r="AL172" s="704" t="n">
        <v>0</v>
      </c>
      <c r="AM172" s="704" t="n">
        <v>0</v>
      </c>
      <c r="AN172" s="704" t="n">
        <v>0</v>
      </c>
      <c r="AO172" s="704" t="n">
        <v>0</v>
      </c>
      <c r="AP172" s="704" t="n">
        <v>0</v>
      </c>
      <c r="AQ172" s="704" t="n">
        <v>0</v>
      </c>
      <c r="AR172" s="704" t="n">
        <v>0</v>
      </c>
      <c r="AS172" s="704" t="n">
        <v>0</v>
      </c>
      <c r="AT172" s="704" t="n">
        <v>0</v>
      </c>
      <c r="AU172" s="704" t="n">
        <v>0</v>
      </c>
      <c r="AV172" s="704" t="n">
        <v>0</v>
      </c>
      <c r="AW172" s="704" t="n">
        <v>0</v>
      </c>
      <c r="AX172" s="704" t="n">
        <v>0</v>
      </c>
      <c r="AY172" s="704" t="n">
        <v>0</v>
      </c>
      <c r="AZ172" s="704" t="n">
        <v>0</v>
      </c>
      <c r="BA172" s="704" t="n">
        <v>0</v>
      </c>
      <c r="BB172" s="704" t="n">
        <v>0</v>
      </c>
      <c r="BC172" s="704" t="n">
        <v>0</v>
      </c>
      <c r="BD172" s="704" t="n">
        <v>0</v>
      </c>
      <c r="BE172" s="704" t="n">
        <v>0</v>
      </c>
      <c r="BF172" s="704" t="n">
        <v>0</v>
      </c>
      <c r="BG172" s="704" t="n">
        <v>0</v>
      </c>
      <c r="BH172" s="704" t="n">
        <v>0</v>
      </c>
      <c r="BI172" s="704" t="n">
        <v>0</v>
      </c>
      <c r="BJ172" s="704" t="n">
        <v>0</v>
      </c>
      <c r="BK172" s="704" t="n">
        <v>0</v>
      </c>
      <c r="BL172" s="704" t="n">
        <v>0</v>
      </c>
      <c r="BM172" s="704" t="n">
        <v>0</v>
      </c>
      <c r="BN172" s="704" t="n">
        <v>0</v>
      </c>
      <c r="BO172" s="704" t="n">
        <v>0</v>
      </c>
      <c r="BP172" s="704" t="n">
        <v>0</v>
      </c>
      <c r="BQ172" s="704" t="n">
        <v>0</v>
      </c>
      <c r="BR172" s="704" t="n">
        <v>0</v>
      </c>
      <c r="BS172" s="704" t="n">
        <v>0</v>
      </c>
      <c r="BT172" s="704" t="n">
        <v>0</v>
      </c>
      <c r="BU172" s="704" t="n">
        <v>0</v>
      </c>
      <c r="BV172" s="704" t="n">
        <v>0</v>
      </c>
      <c r="BW172" s="704" t="n">
        <v>0</v>
      </c>
      <c r="BX172" s="704" t="n">
        <v>0</v>
      </c>
      <c r="BY172" s="704" t="n">
        <v>0</v>
      </c>
      <c r="BZ172" s="704" t="n">
        <v>0</v>
      </c>
      <c r="CA172" s="704" t="n">
        <v>0</v>
      </c>
      <c r="CB172" s="704" t="n">
        <v>0</v>
      </c>
      <c r="CC172" s="704" t="n">
        <v>0</v>
      </c>
      <c r="CD172" s="704" t="n">
        <v>0</v>
      </c>
      <c r="CE172" s="704" t="n">
        <v>0</v>
      </c>
      <c r="CF172" s="704" t="n">
        <v>0</v>
      </c>
      <c r="CG172" s="704" t="n">
        <v>0</v>
      </c>
      <c r="CH172" s="704" t="n">
        <v>0</v>
      </c>
      <c r="CI172" s="704" t="n">
        <v>0</v>
      </c>
      <c r="CJ172" s="704" t="n">
        <v>0</v>
      </c>
      <c r="CK172" s="704" t="n">
        <v>0</v>
      </c>
      <c r="CL172" s="704" t="n">
        <v>0</v>
      </c>
      <c r="CM172" s="704" t="n">
        <v>0</v>
      </c>
      <c r="CN172" s="704" t="n">
        <v>0</v>
      </c>
      <c r="CO172" s="704" t="n">
        <v>0</v>
      </c>
      <c r="CP172" s="704" t="n">
        <v>0</v>
      </c>
      <c r="CQ172" s="704" t="n">
        <v>0</v>
      </c>
      <c r="CR172" s="704" t="n">
        <v>0</v>
      </c>
      <c r="CS172" s="704" t="n">
        <v>0</v>
      </c>
      <c r="CT172" s="704" t="n">
        <v>0</v>
      </c>
      <c r="CU172" s="704" t="n">
        <v>0</v>
      </c>
      <c r="CV172" s="704" t="n">
        <v>0</v>
      </c>
      <c r="CW172" s="704" t="n">
        <v>0</v>
      </c>
      <c r="CX172" s="704" t="n">
        <v>0</v>
      </c>
      <c r="CY172" s="704" t="n">
        <v>0</v>
      </c>
      <c r="CZ172" s="704" t="n">
        <v>0</v>
      </c>
      <c r="DA172" s="704" t="n">
        <v>0</v>
      </c>
      <c r="DB172" s="704" t="n">
        <v>0</v>
      </c>
      <c r="DC172" s="704" t="n">
        <v>0</v>
      </c>
      <c r="DD172" s="704" t="n">
        <v>0</v>
      </c>
      <c r="DE172" s="704" t="n">
        <v>0</v>
      </c>
      <c r="DF172" s="704" t="n">
        <v>0</v>
      </c>
      <c r="DG172" s="704" t="n">
        <v>0</v>
      </c>
      <c r="DH172" s="704" t="n">
        <v>0</v>
      </c>
      <c r="DI172" s="704" t="n">
        <v>0</v>
      </c>
      <c r="DJ172" s="704" t="n">
        <v>0</v>
      </c>
      <c r="DK172" s="704" t="n">
        <v>0</v>
      </c>
      <c r="DL172" s="704" t="n">
        <v>0</v>
      </c>
      <c r="DM172" s="704" t="n">
        <v>0</v>
      </c>
    </row>
    <row r="173" ht="13.5" customHeight="1" s="355">
      <c r="B173" s="703" t="inlineStr">
        <is>
          <t>Order to Cash</t>
        </is>
      </c>
      <c r="D173" s="704" t="n">
        <v>0</v>
      </c>
      <c r="E173" s="704" t="n">
        <v>0</v>
      </c>
      <c r="F173" s="704" t="n">
        <v>0</v>
      </c>
      <c r="G173" s="704" t="n">
        <v>0</v>
      </c>
      <c r="H173" s="704" t="n">
        <v>0</v>
      </c>
      <c r="I173" s="704" t="n">
        <v>0</v>
      </c>
      <c r="J173" s="704" t="n">
        <v>0</v>
      </c>
      <c r="K173" s="704" t="n">
        <v>0</v>
      </c>
      <c r="L173" s="704" t="n">
        <v>0</v>
      </c>
      <c r="M173" s="704" t="n">
        <v>0</v>
      </c>
      <c r="N173" s="704" t="n">
        <v>0</v>
      </c>
      <c r="O173" s="704" t="n">
        <v>0</v>
      </c>
      <c r="P173" s="704" t="n">
        <v>0</v>
      </c>
      <c r="Q173" s="704" t="n">
        <v>0</v>
      </c>
      <c r="R173" s="704" t="n">
        <v>0</v>
      </c>
      <c r="S173" s="704" t="n">
        <v>0</v>
      </c>
      <c r="T173" s="704" t="n">
        <v>0</v>
      </c>
      <c r="U173" s="704" t="n">
        <v>0</v>
      </c>
      <c r="V173" s="704" t="n">
        <v>0</v>
      </c>
      <c r="W173" s="704" t="n">
        <v>0</v>
      </c>
      <c r="X173" s="704" t="n">
        <v>0</v>
      </c>
      <c r="Y173" s="704" t="n">
        <v>0</v>
      </c>
      <c r="Z173" s="704" t="n">
        <v>0</v>
      </c>
      <c r="AA173" s="704" t="n">
        <v>0</v>
      </c>
      <c r="AB173" s="704" t="n">
        <v>0</v>
      </c>
      <c r="AC173" s="704" t="n">
        <v>0</v>
      </c>
      <c r="AD173" s="704" t="n">
        <v>0</v>
      </c>
      <c r="AE173" s="704" t="n">
        <v>0</v>
      </c>
      <c r="AF173" s="704" t="n">
        <v>0</v>
      </c>
      <c r="AG173" s="704" t="n">
        <v>0</v>
      </c>
      <c r="AH173" s="704" t="n">
        <v>0</v>
      </c>
      <c r="AI173" s="704" t="n">
        <v>0</v>
      </c>
      <c r="AJ173" s="704" t="n">
        <v>0</v>
      </c>
      <c r="AK173" s="704" t="n">
        <v>0</v>
      </c>
      <c r="AL173" s="704" t="n">
        <v>0</v>
      </c>
      <c r="AM173" s="704" t="n">
        <v>0</v>
      </c>
      <c r="AN173" s="704" t="n">
        <v>0</v>
      </c>
      <c r="AO173" s="704" t="n">
        <v>0</v>
      </c>
      <c r="AP173" s="704" t="n">
        <v>0</v>
      </c>
      <c r="AQ173" s="704" t="n">
        <v>0</v>
      </c>
      <c r="AR173" s="704" t="n">
        <v>0</v>
      </c>
      <c r="AS173" s="704" t="n">
        <v>0</v>
      </c>
      <c r="AT173" s="704" t="n">
        <v>0</v>
      </c>
      <c r="AU173" s="704" t="n">
        <v>0</v>
      </c>
      <c r="AV173" s="704" t="n">
        <v>0</v>
      </c>
      <c r="AW173" s="704" t="n">
        <v>0</v>
      </c>
      <c r="AX173" s="704" t="n">
        <v>0</v>
      </c>
      <c r="AY173" s="704" t="n">
        <v>0</v>
      </c>
      <c r="AZ173" s="704" t="n">
        <v>0</v>
      </c>
      <c r="BA173" s="704" t="n">
        <v>0</v>
      </c>
      <c r="BB173" s="704" t="n">
        <v>0</v>
      </c>
      <c r="BC173" s="704" t="n">
        <v>0</v>
      </c>
      <c r="BD173" s="704" t="n">
        <v>0</v>
      </c>
      <c r="BE173" s="704" t="n">
        <v>0</v>
      </c>
      <c r="BF173" s="704" t="n">
        <v>0</v>
      </c>
      <c r="BG173" s="704" t="n">
        <v>0</v>
      </c>
      <c r="BH173" s="704" t="n">
        <v>0</v>
      </c>
      <c r="BI173" s="704" t="n">
        <v>0</v>
      </c>
      <c r="BJ173" s="704" t="n">
        <v>0</v>
      </c>
      <c r="BK173" s="704" t="n">
        <v>0</v>
      </c>
      <c r="BL173" s="704" t="n">
        <v>0</v>
      </c>
      <c r="BM173" s="704" t="n">
        <v>0</v>
      </c>
      <c r="BN173" s="704" t="n">
        <v>0</v>
      </c>
      <c r="BO173" s="704" t="n">
        <v>0</v>
      </c>
      <c r="BP173" s="704" t="n">
        <v>0</v>
      </c>
      <c r="BQ173" s="704" t="n">
        <v>0</v>
      </c>
      <c r="BR173" s="704" t="n">
        <v>0</v>
      </c>
      <c r="BS173" s="704" t="n">
        <v>0</v>
      </c>
      <c r="BT173" s="704" t="n">
        <v>0</v>
      </c>
      <c r="BU173" s="704" t="n">
        <v>0</v>
      </c>
      <c r="BV173" s="704" t="n">
        <v>0</v>
      </c>
      <c r="BW173" s="704" t="n">
        <v>0</v>
      </c>
      <c r="BX173" s="704" t="n">
        <v>0</v>
      </c>
      <c r="BY173" s="704" t="n">
        <v>0</v>
      </c>
      <c r="BZ173" s="704" t="n">
        <v>0</v>
      </c>
      <c r="CA173" s="704" t="n">
        <v>0</v>
      </c>
      <c r="CB173" s="704" t="n">
        <v>0</v>
      </c>
      <c r="CC173" s="704" t="n">
        <v>0</v>
      </c>
      <c r="CD173" s="704" t="n">
        <v>0</v>
      </c>
      <c r="CE173" s="704" t="n">
        <v>0</v>
      </c>
      <c r="CF173" s="704" t="n">
        <v>0</v>
      </c>
      <c r="CG173" s="704" t="n">
        <v>0</v>
      </c>
      <c r="CH173" s="704" t="n">
        <v>0</v>
      </c>
      <c r="CI173" s="704" t="n">
        <v>0</v>
      </c>
      <c r="CJ173" s="704" t="n">
        <v>0</v>
      </c>
      <c r="CK173" s="704" t="n">
        <v>0</v>
      </c>
      <c r="CL173" s="704" t="n">
        <v>0</v>
      </c>
      <c r="CM173" s="704" t="n">
        <v>0</v>
      </c>
      <c r="CN173" s="704" t="n">
        <v>0</v>
      </c>
      <c r="CO173" s="704" t="n">
        <v>0</v>
      </c>
      <c r="CP173" s="704" t="n">
        <v>0</v>
      </c>
      <c r="CQ173" s="704" t="n">
        <v>0</v>
      </c>
      <c r="CR173" s="704" t="n">
        <v>0</v>
      </c>
      <c r="CS173" s="704" t="n">
        <v>0</v>
      </c>
      <c r="CT173" s="704" t="n">
        <v>0</v>
      </c>
      <c r="CU173" s="704" t="n">
        <v>0</v>
      </c>
      <c r="CV173" s="704" t="n">
        <v>0</v>
      </c>
      <c r="CW173" s="704" t="n">
        <v>0</v>
      </c>
      <c r="CX173" s="704" t="n">
        <v>0</v>
      </c>
      <c r="CY173" s="704" t="n">
        <v>0</v>
      </c>
      <c r="CZ173" s="704" t="n">
        <v>0</v>
      </c>
      <c r="DA173" s="704" t="n">
        <v>0</v>
      </c>
      <c r="DB173" s="704" t="n">
        <v>0</v>
      </c>
      <c r="DC173" s="704" t="n">
        <v>0</v>
      </c>
      <c r="DD173" s="704" t="n">
        <v>0</v>
      </c>
      <c r="DE173" s="704" t="n">
        <v>0</v>
      </c>
      <c r="DF173" s="704" t="n">
        <v>0</v>
      </c>
      <c r="DG173" s="704" t="n">
        <v>0</v>
      </c>
      <c r="DH173" s="704" t="n">
        <v>0</v>
      </c>
      <c r="DI173" s="704" t="n">
        <v>0</v>
      </c>
      <c r="DJ173" s="704" t="n">
        <v>0</v>
      </c>
      <c r="DK173" s="704" t="n">
        <v>0</v>
      </c>
      <c r="DL173" s="704" t="n">
        <v>0</v>
      </c>
      <c r="DM173" s="704" t="n">
        <v>0</v>
      </c>
    </row>
    <row r="174" ht="13.5" customHeight="1" s="355">
      <c r="B174" s="703" t="inlineStr">
        <is>
          <t>Req to Pay</t>
        </is>
      </c>
      <c r="D174" s="704" t="n">
        <v>0</v>
      </c>
      <c r="E174" s="704" t="n">
        <v>0</v>
      </c>
      <c r="F174" s="704" t="n">
        <v>0</v>
      </c>
      <c r="G174" s="704" t="n">
        <v>0</v>
      </c>
      <c r="H174" s="704" t="n">
        <v>0</v>
      </c>
      <c r="I174" s="704" t="n">
        <v>0</v>
      </c>
      <c r="J174" s="704" t="n">
        <v>0</v>
      </c>
      <c r="K174" s="704" t="n">
        <v>0</v>
      </c>
      <c r="L174" s="704" t="n">
        <v>0</v>
      </c>
      <c r="M174" s="704" t="n">
        <v>0</v>
      </c>
      <c r="N174" s="704" t="n">
        <v>0</v>
      </c>
      <c r="O174" s="704" t="n">
        <v>0</v>
      </c>
      <c r="P174" s="704" t="n">
        <v>0</v>
      </c>
      <c r="Q174" s="704" t="n">
        <v>0</v>
      </c>
      <c r="R174" s="704" t="n">
        <v>0</v>
      </c>
      <c r="S174" s="704" t="n">
        <v>0</v>
      </c>
      <c r="T174" s="704" t="n">
        <v>0</v>
      </c>
      <c r="U174" s="704" t="n">
        <v>0</v>
      </c>
      <c r="V174" s="704" t="n">
        <v>0</v>
      </c>
      <c r="W174" s="704" t="n">
        <v>0</v>
      </c>
      <c r="X174" s="704" t="n">
        <v>0</v>
      </c>
      <c r="Y174" s="704" t="n">
        <v>0</v>
      </c>
      <c r="Z174" s="704" t="n">
        <v>0</v>
      </c>
      <c r="AA174" s="704" t="n">
        <v>0</v>
      </c>
      <c r="AB174" s="704" t="n">
        <v>0</v>
      </c>
      <c r="AC174" s="704" t="n">
        <v>0</v>
      </c>
      <c r="AD174" s="704" t="n">
        <v>0</v>
      </c>
      <c r="AE174" s="704" t="n">
        <v>0</v>
      </c>
      <c r="AF174" s="704" t="n">
        <v>0</v>
      </c>
      <c r="AG174" s="704" t="n">
        <v>0</v>
      </c>
      <c r="AH174" s="704" t="n">
        <v>0</v>
      </c>
      <c r="AI174" s="704" t="n">
        <v>0</v>
      </c>
      <c r="AJ174" s="704" t="n">
        <v>0</v>
      </c>
      <c r="AK174" s="704" t="n">
        <v>0</v>
      </c>
      <c r="AL174" s="704" t="n">
        <v>0</v>
      </c>
      <c r="AM174" s="704" t="n">
        <v>0</v>
      </c>
      <c r="AN174" s="704" t="n">
        <v>0</v>
      </c>
      <c r="AO174" s="704" t="n">
        <v>0</v>
      </c>
      <c r="AP174" s="704" t="n">
        <v>0</v>
      </c>
      <c r="AQ174" s="704" t="n">
        <v>0</v>
      </c>
      <c r="AR174" s="704" t="n">
        <v>0</v>
      </c>
      <c r="AS174" s="704" t="n">
        <v>0</v>
      </c>
      <c r="AT174" s="704" t="n">
        <v>0</v>
      </c>
      <c r="AU174" s="704" t="n">
        <v>0</v>
      </c>
      <c r="AV174" s="704" t="n">
        <v>0</v>
      </c>
      <c r="AW174" s="704" t="n">
        <v>0</v>
      </c>
      <c r="AX174" s="704" t="n">
        <v>0</v>
      </c>
      <c r="AY174" s="704" t="n">
        <v>0</v>
      </c>
      <c r="AZ174" s="704" t="n">
        <v>0</v>
      </c>
      <c r="BA174" s="704" t="n">
        <v>0</v>
      </c>
      <c r="BB174" s="704" t="n">
        <v>0</v>
      </c>
      <c r="BC174" s="704" t="n">
        <v>0</v>
      </c>
      <c r="BD174" s="704" t="n">
        <v>0</v>
      </c>
      <c r="BE174" s="704" t="n">
        <v>0</v>
      </c>
      <c r="BF174" s="704" t="n">
        <v>0</v>
      </c>
      <c r="BG174" s="704" t="n">
        <v>0</v>
      </c>
      <c r="BH174" s="704" t="n">
        <v>0</v>
      </c>
      <c r="BI174" s="704" t="n">
        <v>0</v>
      </c>
      <c r="BJ174" s="704" t="n">
        <v>0</v>
      </c>
      <c r="BK174" s="704" t="n">
        <v>0</v>
      </c>
      <c r="BL174" s="704" t="n">
        <v>0</v>
      </c>
      <c r="BM174" s="704" t="n">
        <v>0</v>
      </c>
      <c r="BN174" s="704" t="n">
        <v>0</v>
      </c>
      <c r="BO174" s="704" t="n">
        <v>0</v>
      </c>
      <c r="BP174" s="704" t="n">
        <v>0</v>
      </c>
      <c r="BQ174" s="704" t="n">
        <v>0</v>
      </c>
      <c r="BR174" s="704" t="n">
        <v>0</v>
      </c>
      <c r="BS174" s="704" t="n">
        <v>0</v>
      </c>
      <c r="BT174" s="704" t="n">
        <v>0</v>
      </c>
      <c r="BU174" s="704" t="n">
        <v>0</v>
      </c>
      <c r="BV174" s="704" t="n">
        <v>0</v>
      </c>
      <c r="BW174" s="704" t="n">
        <v>0</v>
      </c>
      <c r="BX174" s="704" t="n">
        <v>0</v>
      </c>
      <c r="BY174" s="704" t="n">
        <v>0</v>
      </c>
      <c r="BZ174" s="704" t="n">
        <v>0</v>
      </c>
      <c r="CA174" s="704" t="n">
        <v>0</v>
      </c>
      <c r="CB174" s="704" t="n">
        <v>0</v>
      </c>
      <c r="CC174" s="704" t="n">
        <v>0</v>
      </c>
      <c r="CD174" s="704" t="n">
        <v>0</v>
      </c>
      <c r="CE174" s="704" t="n">
        <v>0</v>
      </c>
      <c r="CF174" s="704" t="n">
        <v>0</v>
      </c>
      <c r="CG174" s="704" t="n">
        <v>0</v>
      </c>
      <c r="CH174" s="704" t="n">
        <v>0</v>
      </c>
      <c r="CI174" s="704" t="n">
        <v>0</v>
      </c>
      <c r="CJ174" s="704" t="n">
        <v>0</v>
      </c>
      <c r="CK174" s="704" t="n">
        <v>0</v>
      </c>
      <c r="CL174" s="704" t="n">
        <v>0</v>
      </c>
      <c r="CM174" s="704" t="n">
        <v>0</v>
      </c>
      <c r="CN174" s="704" t="n">
        <v>0</v>
      </c>
      <c r="CO174" s="704" t="n">
        <v>0</v>
      </c>
      <c r="CP174" s="704" t="n">
        <v>0</v>
      </c>
      <c r="CQ174" s="704" t="n">
        <v>0</v>
      </c>
      <c r="CR174" s="704" t="n">
        <v>0</v>
      </c>
      <c r="CS174" s="704" t="n">
        <v>0</v>
      </c>
      <c r="CT174" s="704" t="n">
        <v>0</v>
      </c>
      <c r="CU174" s="704" t="n">
        <v>0</v>
      </c>
      <c r="CV174" s="704" t="n">
        <v>0</v>
      </c>
      <c r="CW174" s="704" t="n">
        <v>0</v>
      </c>
      <c r="CX174" s="704" t="n">
        <v>0</v>
      </c>
      <c r="CY174" s="704" t="n">
        <v>0</v>
      </c>
      <c r="CZ174" s="704" t="n">
        <v>0</v>
      </c>
      <c r="DA174" s="704" t="n">
        <v>0</v>
      </c>
      <c r="DB174" s="704" t="n">
        <v>0</v>
      </c>
      <c r="DC174" s="704" t="n">
        <v>0</v>
      </c>
      <c r="DD174" s="704" t="n">
        <v>0</v>
      </c>
      <c r="DE174" s="704" t="n">
        <v>0</v>
      </c>
      <c r="DF174" s="704" t="n">
        <v>0</v>
      </c>
      <c r="DG174" s="704" t="n">
        <v>0</v>
      </c>
      <c r="DH174" s="704" t="n">
        <v>0</v>
      </c>
      <c r="DI174" s="704" t="n">
        <v>0</v>
      </c>
      <c r="DJ174" s="704" t="n">
        <v>0</v>
      </c>
      <c r="DK174" s="704" t="n">
        <v>0</v>
      </c>
      <c r="DL174" s="704" t="n">
        <v>0</v>
      </c>
      <c r="DM174" s="704" t="n">
        <v>0</v>
      </c>
    </row>
    <row r="175" ht="13.5" customHeight="1" s="355">
      <c r="B175" s="703" t="inlineStr">
        <is>
          <t>Team Leader</t>
        </is>
      </c>
      <c r="D175" s="704" t="n">
        <v>0</v>
      </c>
      <c r="E175" s="704" t="n">
        <v>0</v>
      </c>
      <c r="F175" s="704" t="n">
        <v>0</v>
      </c>
      <c r="G175" s="704" t="n">
        <v>0</v>
      </c>
      <c r="H175" s="704" t="n">
        <v>0</v>
      </c>
      <c r="I175" s="704" t="n">
        <v>0</v>
      </c>
      <c r="J175" s="704" t="n">
        <v>0</v>
      </c>
      <c r="K175" s="704" t="n">
        <v>0</v>
      </c>
      <c r="L175" s="704" t="n">
        <v>0</v>
      </c>
      <c r="M175" s="704" t="n">
        <v>0</v>
      </c>
      <c r="N175" s="704" t="n">
        <v>0</v>
      </c>
      <c r="O175" s="704" t="n">
        <v>0</v>
      </c>
      <c r="P175" s="704" t="n">
        <v>0</v>
      </c>
      <c r="Q175" s="704" t="n">
        <v>0</v>
      </c>
      <c r="R175" s="704" t="n">
        <v>0</v>
      </c>
      <c r="S175" s="704" t="n">
        <v>0</v>
      </c>
      <c r="T175" s="704" t="n">
        <v>0</v>
      </c>
      <c r="U175" s="704" t="n">
        <v>0</v>
      </c>
      <c r="V175" s="704" t="n">
        <v>0</v>
      </c>
      <c r="W175" s="704" t="n">
        <v>0</v>
      </c>
      <c r="X175" s="704" t="n">
        <v>0</v>
      </c>
      <c r="Y175" s="704" t="n">
        <v>0</v>
      </c>
      <c r="Z175" s="704" t="n">
        <v>0</v>
      </c>
      <c r="AA175" s="704" t="n">
        <v>0</v>
      </c>
      <c r="AB175" s="704" t="n">
        <v>0</v>
      </c>
      <c r="AC175" s="704" t="n">
        <v>0</v>
      </c>
      <c r="AD175" s="704" t="n">
        <v>0</v>
      </c>
      <c r="AE175" s="704" t="n">
        <v>0</v>
      </c>
      <c r="AF175" s="704" t="n">
        <v>0</v>
      </c>
      <c r="AG175" s="704" t="n">
        <v>0</v>
      </c>
      <c r="AH175" s="704" t="n">
        <v>0</v>
      </c>
      <c r="AI175" s="704" t="n">
        <v>0</v>
      </c>
      <c r="AJ175" s="704" t="n">
        <v>0</v>
      </c>
      <c r="AK175" s="704" t="n">
        <v>0</v>
      </c>
      <c r="AL175" s="704" t="n">
        <v>0</v>
      </c>
      <c r="AM175" s="704" t="n">
        <v>0</v>
      </c>
      <c r="AN175" s="704" t="n">
        <v>0</v>
      </c>
      <c r="AO175" s="704" t="n">
        <v>0</v>
      </c>
      <c r="AP175" s="704" t="n">
        <v>0</v>
      </c>
      <c r="AQ175" s="704" t="n">
        <v>0</v>
      </c>
      <c r="AR175" s="704" t="n">
        <v>0</v>
      </c>
      <c r="AS175" s="704" t="n">
        <v>0</v>
      </c>
      <c r="AT175" s="704" t="n">
        <v>0</v>
      </c>
      <c r="AU175" s="704" t="n">
        <v>0</v>
      </c>
      <c r="AV175" s="704" t="n">
        <v>0</v>
      </c>
      <c r="AW175" s="704" t="n">
        <v>0</v>
      </c>
      <c r="AX175" s="704" t="n">
        <v>0</v>
      </c>
      <c r="AY175" s="704" t="n">
        <v>0</v>
      </c>
      <c r="AZ175" s="704" t="n">
        <v>0</v>
      </c>
      <c r="BA175" s="704" t="n">
        <v>0</v>
      </c>
      <c r="BB175" s="704" t="n">
        <v>0</v>
      </c>
      <c r="BC175" s="704" t="n">
        <v>0</v>
      </c>
      <c r="BD175" s="704" t="n">
        <v>0</v>
      </c>
      <c r="BE175" s="704" t="n">
        <v>0</v>
      </c>
      <c r="BF175" s="704" t="n">
        <v>0</v>
      </c>
      <c r="BG175" s="704" t="n">
        <v>0</v>
      </c>
      <c r="BH175" s="704" t="n">
        <v>0</v>
      </c>
      <c r="BI175" s="704" t="n">
        <v>0</v>
      </c>
      <c r="BJ175" s="704" t="n">
        <v>0</v>
      </c>
      <c r="BK175" s="704" t="n">
        <v>0</v>
      </c>
      <c r="BL175" s="704" t="n">
        <v>0</v>
      </c>
      <c r="BM175" s="704" t="n">
        <v>0</v>
      </c>
      <c r="BN175" s="704" t="n">
        <v>0</v>
      </c>
      <c r="BO175" s="704" t="n">
        <v>0</v>
      </c>
      <c r="BP175" s="704" t="n">
        <v>0</v>
      </c>
      <c r="BQ175" s="704" t="n">
        <v>0</v>
      </c>
      <c r="BR175" s="704" t="n">
        <v>0</v>
      </c>
      <c r="BS175" s="704" t="n">
        <v>0</v>
      </c>
      <c r="BT175" s="704" t="n">
        <v>0</v>
      </c>
      <c r="BU175" s="704" t="n">
        <v>0</v>
      </c>
      <c r="BV175" s="704" t="n">
        <v>0</v>
      </c>
      <c r="BW175" s="704" t="n">
        <v>0</v>
      </c>
      <c r="BX175" s="704" t="n">
        <v>0</v>
      </c>
      <c r="BY175" s="704" t="n">
        <v>0</v>
      </c>
      <c r="BZ175" s="704" t="n">
        <v>0</v>
      </c>
      <c r="CA175" s="704" t="n">
        <v>0</v>
      </c>
      <c r="CB175" s="704" t="n">
        <v>0</v>
      </c>
      <c r="CC175" s="704" t="n">
        <v>0</v>
      </c>
      <c r="CD175" s="704" t="n">
        <v>0</v>
      </c>
      <c r="CE175" s="704" t="n">
        <v>0</v>
      </c>
      <c r="CF175" s="704" t="n">
        <v>0</v>
      </c>
      <c r="CG175" s="704" t="n">
        <v>0</v>
      </c>
      <c r="CH175" s="704" t="n">
        <v>0</v>
      </c>
      <c r="CI175" s="704" t="n">
        <v>0</v>
      </c>
      <c r="CJ175" s="704" t="n">
        <v>0</v>
      </c>
      <c r="CK175" s="704" t="n">
        <v>0</v>
      </c>
      <c r="CL175" s="704" t="n">
        <v>0</v>
      </c>
      <c r="CM175" s="704" t="n">
        <v>0</v>
      </c>
      <c r="CN175" s="704" t="n">
        <v>0</v>
      </c>
      <c r="CO175" s="704" t="n">
        <v>0</v>
      </c>
      <c r="CP175" s="704" t="n">
        <v>0</v>
      </c>
      <c r="CQ175" s="704" t="n">
        <v>0</v>
      </c>
      <c r="CR175" s="704" t="n">
        <v>0</v>
      </c>
      <c r="CS175" s="704" t="n">
        <v>0</v>
      </c>
      <c r="CT175" s="704" t="n">
        <v>0</v>
      </c>
      <c r="CU175" s="704" t="n">
        <v>0</v>
      </c>
      <c r="CV175" s="704" t="n">
        <v>0</v>
      </c>
      <c r="CW175" s="704" t="n">
        <v>0</v>
      </c>
      <c r="CX175" s="704" t="n">
        <v>0</v>
      </c>
      <c r="CY175" s="704" t="n">
        <v>0</v>
      </c>
      <c r="CZ175" s="704" t="n">
        <v>0</v>
      </c>
      <c r="DA175" s="704" t="n">
        <v>0</v>
      </c>
      <c r="DB175" s="704" t="n">
        <v>0</v>
      </c>
      <c r="DC175" s="704" t="n">
        <v>0</v>
      </c>
      <c r="DD175" s="704" t="n">
        <v>0</v>
      </c>
      <c r="DE175" s="704" t="n">
        <v>0</v>
      </c>
      <c r="DF175" s="704" t="n">
        <v>0</v>
      </c>
      <c r="DG175" s="704" t="n">
        <v>0</v>
      </c>
      <c r="DH175" s="704" t="n">
        <v>0</v>
      </c>
      <c r="DI175" s="704" t="n">
        <v>0</v>
      </c>
      <c r="DJ175" s="704" t="n">
        <v>0</v>
      </c>
      <c r="DK175" s="704" t="n">
        <v>0</v>
      </c>
      <c r="DL175" s="704" t="n">
        <v>0</v>
      </c>
      <c r="DM175" s="704" t="n">
        <v>0</v>
      </c>
    </row>
    <row r="176" ht="13.5" customHeight="1" s="355">
      <c r="B176" s="703" t="inlineStr">
        <is>
          <t>SLA Metric Reporting</t>
        </is>
      </c>
      <c r="D176" s="704" t="n">
        <v>0</v>
      </c>
      <c r="E176" s="704" t="n">
        <v>0</v>
      </c>
      <c r="F176" s="704" t="n">
        <v>0</v>
      </c>
      <c r="G176" s="704" t="n">
        <v>0</v>
      </c>
      <c r="H176" s="704" t="n">
        <v>0</v>
      </c>
      <c r="I176" s="704" t="n">
        <v>0</v>
      </c>
      <c r="J176" s="704" t="n">
        <v>0</v>
      </c>
      <c r="K176" s="704" t="n">
        <v>0</v>
      </c>
      <c r="L176" s="704" t="n">
        <v>0</v>
      </c>
      <c r="M176" s="704" t="n">
        <v>0</v>
      </c>
      <c r="N176" s="704" t="n">
        <v>0</v>
      </c>
      <c r="O176" s="704" t="n">
        <v>0</v>
      </c>
      <c r="P176" s="704" t="n">
        <v>0</v>
      </c>
      <c r="Q176" s="704" t="n">
        <v>0</v>
      </c>
      <c r="R176" s="704" t="n">
        <v>0</v>
      </c>
      <c r="S176" s="704" t="n">
        <v>0</v>
      </c>
      <c r="T176" s="704" t="n">
        <v>0</v>
      </c>
      <c r="U176" s="704" t="n">
        <v>0</v>
      </c>
      <c r="V176" s="704" t="n">
        <v>0</v>
      </c>
      <c r="W176" s="704" t="n">
        <v>0</v>
      </c>
      <c r="X176" s="704" t="n">
        <v>0</v>
      </c>
      <c r="Y176" s="704" t="n">
        <v>0</v>
      </c>
      <c r="Z176" s="704" t="n">
        <v>0</v>
      </c>
      <c r="AA176" s="704" t="n">
        <v>0</v>
      </c>
      <c r="AB176" s="704" t="n">
        <v>0</v>
      </c>
      <c r="AC176" s="704" t="n">
        <v>0</v>
      </c>
      <c r="AD176" s="704" t="n">
        <v>0</v>
      </c>
      <c r="AE176" s="704" t="n">
        <v>0</v>
      </c>
      <c r="AF176" s="704" t="n">
        <v>0</v>
      </c>
      <c r="AG176" s="704" t="n">
        <v>0</v>
      </c>
      <c r="AH176" s="704" t="n">
        <v>0</v>
      </c>
      <c r="AI176" s="704" t="n">
        <v>0</v>
      </c>
      <c r="AJ176" s="704" t="n">
        <v>0</v>
      </c>
      <c r="AK176" s="704" t="n">
        <v>0</v>
      </c>
      <c r="AL176" s="704" t="n">
        <v>0</v>
      </c>
      <c r="AM176" s="704" t="n">
        <v>0</v>
      </c>
      <c r="AN176" s="704" t="n">
        <v>0</v>
      </c>
      <c r="AO176" s="704" t="n">
        <v>0</v>
      </c>
      <c r="AP176" s="704" t="n">
        <v>0</v>
      </c>
      <c r="AQ176" s="704" t="n">
        <v>0</v>
      </c>
      <c r="AR176" s="704" t="n">
        <v>0</v>
      </c>
      <c r="AS176" s="704" t="n">
        <v>0</v>
      </c>
      <c r="AT176" s="704" t="n">
        <v>0</v>
      </c>
      <c r="AU176" s="704" t="n">
        <v>0</v>
      </c>
      <c r="AV176" s="704" t="n">
        <v>0</v>
      </c>
      <c r="AW176" s="704" t="n">
        <v>0</v>
      </c>
      <c r="AX176" s="704" t="n">
        <v>0</v>
      </c>
      <c r="AY176" s="704" t="n">
        <v>0</v>
      </c>
      <c r="AZ176" s="704" t="n">
        <v>0</v>
      </c>
      <c r="BA176" s="704" t="n">
        <v>0</v>
      </c>
      <c r="BB176" s="704" t="n">
        <v>0</v>
      </c>
      <c r="BC176" s="704" t="n">
        <v>0</v>
      </c>
      <c r="BD176" s="704" t="n">
        <v>0</v>
      </c>
      <c r="BE176" s="704" t="n">
        <v>0</v>
      </c>
      <c r="BF176" s="704" t="n">
        <v>0</v>
      </c>
      <c r="BG176" s="704" t="n">
        <v>0</v>
      </c>
      <c r="BH176" s="704" t="n">
        <v>0</v>
      </c>
      <c r="BI176" s="704" t="n">
        <v>0</v>
      </c>
      <c r="BJ176" s="704" t="n">
        <v>0</v>
      </c>
      <c r="BK176" s="704" t="n">
        <v>0</v>
      </c>
      <c r="BL176" s="704" t="n">
        <v>0</v>
      </c>
      <c r="BM176" s="704" t="n">
        <v>0</v>
      </c>
      <c r="BN176" s="704" t="n">
        <v>0</v>
      </c>
      <c r="BO176" s="704" t="n">
        <v>0</v>
      </c>
      <c r="BP176" s="704" t="n">
        <v>0</v>
      </c>
      <c r="BQ176" s="704" t="n">
        <v>0</v>
      </c>
      <c r="BR176" s="704" t="n">
        <v>0</v>
      </c>
      <c r="BS176" s="704" t="n">
        <v>0</v>
      </c>
      <c r="BT176" s="704" t="n">
        <v>0</v>
      </c>
      <c r="BU176" s="704" t="n">
        <v>0</v>
      </c>
      <c r="BV176" s="704" t="n">
        <v>0</v>
      </c>
      <c r="BW176" s="704" t="n">
        <v>0</v>
      </c>
      <c r="BX176" s="704" t="n">
        <v>0</v>
      </c>
      <c r="BY176" s="704" t="n">
        <v>0</v>
      </c>
      <c r="BZ176" s="704" t="n">
        <v>0</v>
      </c>
      <c r="CA176" s="704" t="n">
        <v>0</v>
      </c>
      <c r="CB176" s="704" t="n">
        <v>0</v>
      </c>
      <c r="CC176" s="704" t="n">
        <v>0</v>
      </c>
      <c r="CD176" s="704" t="n">
        <v>0</v>
      </c>
      <c r="CE176" s="704" t="n">
        <v>0</v>
      </c>
      <c r="CF176" s="704" t="n">
        <v>0</v>
      </c>
      <c r="CG176" s="704" t="n">
        <v>0</v>
      </c>
      <c r="CH176" s="704" t="n">
        <v>0</v>
      </c>
      <c r="CI176" s="704" t="n">
        <v>0</v>
      </c>
      <c r="CJ176" s="704" t="n">
        <v>0</v>
      </c>
      <c r="CK176" s="704" t="n">
        <v>0</v>
      </c>
      <c r="CL176" s="704" t="n">
        <v>0</v>
      </c>
      <c r="CM176" s="704" t="n">
        <v>0</v>
      </c>
      <c r="CN176" s="704" t="n">
        <v>0</v>
      </c>
      <c r="CO176" s="704" t="n">
        <v>0</v>
      </c>
      <c r="CP176" s="704" t="n">
        <v>0</v>
      </c>
      <c r="CQ176" s="704" t="n">
        <v>0</v>
      </c>
      <c r="CR176" s="704" t="n">
        <v>0</v>
      </c>
      <c r="CS176" s="704" t="n">
        <v>0</v>
      </c>
      <c r="CT176" s="704" t="n">
        <v>0</v>
      </c>
      <c r="CU176" s="704" t="n">
        <v>0</v>
      </c>
      <c r="CV176" s="704" t="n">
        <v>0</v>
      </c>
      <c r="CW176" s="704" t="n">
        <v>0</v>
      </c>
      <c r="CX176" s="704" t="n">
        <v>0</v>
      </c>
      <c r="CY176" s="704" t="n">
        <v>0</v>
      </c>
      <c r="CZ176" s="704" t="n">
        <v>0</v>
      </c>
      <c r="DA176" s="704" t="n">
        <v>0</v>
      </c>
      <c r="DB176" s="704" t="n">
        <v>0</v>
      </c>
      <c r="DC176" s="704" t="n">
        <v>0</v>
      </c>
      <c r="DD176" s="704" t="n">
        <v>0</v>
      </c>
      <c r="DE176" s="704" t="n">
        <v>0</v>
      </c>
      <c r="DF176" s="704" t="n">
        <v>0</v>
      </c>
      <c r="DG176" s="704" t="n">
        <v>0</v>
      </c>
      <c r="DH176" s="704" t="n">
        <v>0</v>
      </c>
      <c r="DI176" s="704" t="n">
        <v>0</v>
      </c>
      <c r="DJ176" s="704" t="n">
        <v>0</v>
      </c>
      <c r="DK176" s="704" t="n">
        <v>0</v>
      </c>
      <c r="DL176" s="704" t="n">
        <v>0</v>
      </c>
      <c r="DM176" s="704" t="n">
        <v>0</v>
      </c>
    </row>
    <row r="177" ht="13.5" customHeight="1" s="355">
      <c r="B177" s="705" t="inlineStr">
        <is>
          <t>Grand Total</t>
        </is>
      </c>
      <c r="C177" s="706" t="n"/>
      <c r="D177" s="707" t="n">
        <v>0</v>
      </c>
      <c r="E177" s="707" t="n">
        <v>0</v>
      </c>
      <c r="F177" s="707" t="n">
        <v>0</v>
      </c>
      <c r="G177" s="707" t="n">
        <v>0</v>
      </c>
      <c r="H177" s="707" t="n">
        <v>0</v>
      </c>
      <c r="I177" s="707" t="n">
        <v>0</v>
      </c>
      <c r="J177" s="707" t="n">
        <v>0</v>
      </c>
      <c r="K177" s="707" t="n">
        <v>0</v>
      </c>
      <c r="L177" s="707" t="n">
        <v>0</v>
      </c>
      <c r="M177" s="707" t="n">
        <v>0</v>
      </c>
      <c r="N177" s="707" t="n">
        <v>0</v>
      </c>
      <c r="O177" s="707" t="n">
        <v>0</v>
      </c>
      <c r="P177" s="707" t="n">
        <v>0</v>
      </c>
      <c r="Q177" s="707" t="n">
        <v>0</v>
      </c>
      <c r="R177" s="707" t="n">
        <v>0</v>
      </c>
      <c r="S177" s="707" t="n">
        <v>0</v>
      </c>
      <c r="T177" s="707" t="n">
        <v>0</v>
      </c>
      <c r="U177" s="707" t="n">
        <v>0</v>
      </c>
      <c r="V177" s="707" t="n">
        <v>0</v>
      </c>
      <c r="W177" s="707" t="n">
        <v>0</v>
      </c>
      <c r="X177" s="707" t="n">
        <v>0</v>
      </c>
      <c r="Y177" s="707" t="n">
        <v>0</v>
      </c>
      <c r="Z177" s="707" t="n">
        <v>0</v>
      </c>
      <c r="AA177" s="707" t="n">
        <v>0</v>
      </c>
      <c r="AB177" s="707" t="n">
        <v>0</v>
      </c>
      <c r="AC177" s="707" t="n">
        <v>0</v>
      </c>
      <c r="AD177" s="707" t="n">
        <v>0</v>
      </c>
      <c r="AE177" s="707" t="n">
        <v>0</v>
      </c>
      <c r="AF177" s="707" t="n">
        <v>0</v>
      </c>
      <c r="AG177" s="707" t="n">
        <v>0</v>
      </c>
      <c r="AH177" s="707" t="n">
        <v>0</v>
      </c>
      <c r="AI177" s="707" t="n">
        <v>0</v>
      </c>
      <c r="AJ177" s="707" t="n">
        <v>0</v>
      </c>
      <c r="AK177" s="707" t="n">
        <v>0</v>
      </c>
      <c r="AL177" s="707" t="n">
        <v>0</v>
      </c>
      <c r="AM177" s="707" t="n">
        <v>0</v>
      </c>
      <c r="AN177" s="707" t="n">
        <v>0</v>
      </c>
      <c r="AO177" s="707" t="n">
        <v>0</v>
      </c>
      <c r="AP177" s="707" t="n">
        <v>0</v>
      </c>
      <c r="AQ177" s="707" t="n">
        <v>0</v>
      </c>
      <c r="AR177" s="707" t="n">
        <v>0</v>
      </c>
      <c r="AS177" s="707" t="n">
        <v>0</v>
      </c>
      <c r="AT177" s="707" t="n">
        <v>0</v>
      </c>
      <c r="AU177" s="707" t="n">
        <v>0</v>
      </c>
      <c r="AV177" s="707" t="n">
        <v>0</v>
      </c>
      <c r="AW177" s="707" t="n">
        <v>0</v>
      </c>
      <c r="AX177" s="707" t="n">
        <v>0</v>
      </c>
      <c r="AY177" s="707" t="n">
        <v>0</v>
      </c>
      <c r="AZ177" s="707" t="n">
        <v>0</v>
      </c>
      <c r="BA177" s="707" t="n">
        <v>0</v>
      </c>
      <c r="BB177" s="707" t="n">
        <v>0</v>
      </c>
      <c r="BC177" s="707" t="n">
        <v>0</v>
      </c>
      <c r="BD177" s="707" t="n">
        <v>0</v>
      </c>
      <c r="BE177" s="707" t="n">
        <v>0</v>
      </c>
      <c r="BF177" s="707" t="n">
        <v>0</v>
      </c>
      <c r="BG177" s="707" t="n">
        <v>0</v>
      </c>
      <c r="BH177" s="707" t="n">
        <v>0</v>
      </c>
      <c r="BI177" s="707" t="n">
        <v>0</v>
      </c>
      <c r="BJ177" s="707" t="n">
        <v>0</v>
      </c>
      <c r="BK177" s="707" t="n">
        <v>0</v>
      </c>
      <c r="BL177" s="707" t="n">
        <v>0</v>
      </c>
      <c r="BM177" s="707" t="n">
        <v>0</v>
      </c>
      <c r="BN177" s="707" t="n">
        <v>0</v>
      </c>
      <c r="BO177" s="707" t="n">
        <v>0</v>
      </c>
      <c r="BP177" s="707" t="n">
        <v>0</v>
      </c>
      <c r="BQ177" s="707" t="n">
        <v>0</v>
      </c>
      <c r="BR177" s="707" t="n">
        <v>0</v>
      </c>
      <c r="BS177" s="707" t="n">
        <v>0</v>
      </c>
      <c r="BT177" s="707" t="n">
        <v>0</v>
      </c>
      <c r="BU177" s="707" t="n">
        <v>0</v>
      </c>
      <c r="BV177" s="707" t="n">
        <v>0</v>
      </c>
      <c r="BW177" s="707" t="n">
        <v>0</v>
      </c>
      <c r="BX177" s="707" t="n">
        <v>0</v>
      </c>
      <c r="BY177" s="707" t="n">
        <v>0</v>
      </c>
      <c r="BZ177" s="707" t="n">
        <v>0</v>
      </c>
      <c r="CA177" s="707" t="n">
        <v>0</v>
      </c>
      <c r="CB177" s="707" t="n">
        <v>0</v>
      </c>
      <c r="CC177" s="707" t="n">
        <v>0</v>
      </c>
      <c r="CD177" s="707" t="n">
        <v>0</v>
      </c>
      <c r="CE177" s="707" t="n">
        <v>0</v>
      </c>
      <c r="CF177" s="707" t="n">
        <v>0</v>
      </c>
      <c r="CG177" s="707" t="n">
        <v>0</v>
      </c>
      <c r="CH177" s="707" t="n">
        <v>0</v>
      </c>
      <c r="CI177" s="707" t="n">
        <v>0</v>
      </c>
      <c r="CJ177" s="707" t="n">
        <v>0</v>
      </c>
      <c r="CK177" s="707" t="n">
        <v>0</v>
      </c>
      <c r="CL177" s="707" t="n">
        <v>0</v>
      </c>
      <c r="CM177" s="707" t="n">
        <v>0</v>
      </c>
      <c r="CN177" s="707" t="n">
        <v>0</v>
      </c>
      <c r="CO177" s="707" t="n">
        <v>0</v>
      </c>
      <c r="CP177" s="707" t="n">
        <v>0</v>
      </c>
      <c r="CQ177" s="707" t="n">
        <v>0</v>
      </c>
      <c r="CR177" s="707" t="n">
        <v>0</v>
      </c>
      <c r="CS177" s="707" t="n">
        <v>0</v>
      </c>
      <c r="CT177" s="707" t="n">
        <v>0</v>
      </c>
      <c r="CU177" s="707" t="n">
        <v>0</v>
      </c>
      <c r="CV177" s="707" t="n">
        <v>0</v>
      </c>
      <c r="CW177" s="707" t="n">
        <v>0</v>
      </c>
      <c r="CX177" s="707" t="n">
        <v>0</v>
      </c>
      <c r="CY177" s="707" t="n">
        <v>0</v>
      </c>
      <c r="CZ177" s="707" t="n">
        <v>0</v>
      </c>
      <c r="DA177" s="707" t="n">
        <v>0</v>
      </c>
      <c r="DB177" s="707" t="n">
        <v>0</v>
      </c>
      <c r="DC177" s="707" t="n">
        <v>0</v>
      </c>
      <c r="DD177" s="707" t="n">
        <v>0</v>
      </c>
      <c r="DE177" s="707" t="n">
        <v>0</v>
      </c>
      <c r="DF177" s="707" t="n">
        <v>0</v>
      </c>
      <c r="DG177" s="707" t="n">
        <v>0</v>
      </c>
      <c r="DH177" s="707" t="n">
        <v>0</v>
      </c>
      <c r="DI177" s="707" t="n">
        <v>0</v>
      </c>
      <c r="DJ177" s="707" t="n">
        <v>0</v>
      </c>
      <c r="DK177" s="707" t="n">
        <v>0</v>
      </c>
      <c r="DL177" s="707" t="n">
        <v>0</v>
      </c>
      <c r="DM177" s="707" t="n">
        <v>0</v>
      </c>
    </row>
    <row r="178" ht="13.5" customHeight="1" s="355">
      <c r="A178" s="702" t="inlineStr">
        <is>
          <t>Country 17</t>
        </is>
      </c>
      <c r="B178" s="703" t="inlineStr">
        <is>
          <t>Gen Acctg</t>
        </is>
      </c>
      <c r="D178" s="704" t="n">
        <v>0</v>
      </c>
      <c r="E178" s="704" t="n">
        <v>0</v>
      </c>
      <c r="F178" s="704" t="n">
        <v>0</v>
      </c>
      <c r="G178" s="704" t="n">
        <v>0</v>
      </c>
      <c r="H178" s="704" t="n">
        <v>0</v>
      </c>
      <c r="I178" s="704" t="n">
        <v>0</v>
      </c>
      <c r="J178" s="704" t="n">
        <v>0</v>
      </c>
      <c r="K178" s="704" t="n">
        <v>0</v>
      </c>
      <c r="L178" s="704" t="n">
        <v>0</v>
      </c>
      <c r="M178" s="704" t="n">
        <v>0</v>
      </c>
      <c r="N178" s="704" t="n">
        <v>0</v>
      </c>
      <c r="O178" s="704" t="n">
        <v>0</v>
      </c>
      <c r="P178" s="704" t="n">
        <v>0</v>
      </c>
      <c r="Q178" s="704" t="n">
        <v>0</v>
      </c>
      <c r="R178" s="704" t="n">
        <v>0</v>
      </c>
      <c r="S178" s="704" t="n">
        <v>0</v>
      </c>
      <c r="T178" s="704" t="n">
        <v>0</v>
      </c>
      <c r="U178" s="704" t="n">
        <v>0</v>
      </c>
      <c r="V178" s="704" t="n">
        <v>0</v>
      </c>
      <c r="W178" s="704" t="n">
        <v>0</v>
      </c>
      <c r="X178" s="704" t="n">
        <v>0</v>
      </c>
      <c r="Y178" s="704" t="n">
        <v>0</v>
      </c>
      <c r="Z178" s="704" t="n">
        <v>0</v>
      </c>
      <c r="AA178" s="704" t="n">
        <v>0</v>
      </c>
      <c r="AB178" s="704" t="n">
        <v>0</v>
      </c>
      <c r="AC178" s="704" t="n">
        <v>0</v>
      </c>
      <c r="AD178" s="704" t="n">
        <v>0</v>
      </c>
      <c r="AE178" s="704" t="n">
        <v>0</v>
      </c>
      <c r="AF178" s="704" t="n">
        <v>0</v>
      </c>
      <c r="AG178" s="704" t="n">
        <v>0</v>
      </c>
      <c r="AH178" s="704" t="n">
        <v>0</v>
      </c>
      <c r="AI178" s="704" t="n">
        <v>0</v>
      </c>
      <c r="AJ178" s="704" t="n">
        <v>0</v>
      </c>
      <c r="AK178" s="704" t="n">
        <v>0</v>
      </c>
      <c r="AL178" s="704" t="n">
        <v>0</v>
      </c>
      <c r="AM178" s="704" t="n">
        <v>0</v>
      </c>
      <c r="AN178" s="704" t="n">
        <v>0</v>
      </c>
      <c r="AO178" s="704" t="n">
        <v>0</v>
      </c>
      <c r="AP178" s="704" t="n">
        <v>0</v>
      </c>
      <c r="AQ178" s="704" t="n">
        <v>0</v>
      </c>
      <c r="AR178" s="704" t="n">
        <v>0</v>
      </c>
      <c r="AS178" s="704" t="n">
        <v>0</v>
      </c>
      <c r="AT178" s="704" t="n">
        <v>0</v>
      </c>
      <c r="AU178" s="704" t="n">
        <v>0</v>
      </c>
      <c r="AV178" s="704" t="n">
        <v>0</v>
      </c>
      <c r="AW178" s="704" t="n">
        <v>0</v>
      </c>
      <c r="AX178" s="704" t="n">
        <v>0</v>
      </c>
      <c r="AY178" s="704" t="n">
        <v>0</v>
      </c>
      <c r="AZ178" s="704" t="n">
        <v>0</v>
      </c>
      <c r="BA178" s="704" t="n">
        <v>0</v>
      </c>
      <c r="BB178" s="704" t="n">
        <v>0</v>
      </c>
      <c r="BC178" s="704" t="n">
        <v>0</v>
      </c>
      <c r="BD178" s="704" t="n">
        <v>0</v>
      </c>
      <c r="BE178" s="704" t="n">
        <v>0</v>
      </c>
      <c r="BF178" s="704" t="n">
        <v>0</v>
      </c>
      <c r="BG178" s="704" t="n">
        <v>0</v>
      </c>
      <c r="BH178" s="704" t="n">
        <v>0</v>
      </c>
      <c r="BI178" s="704" t="n">
        <v>0</v>
      </c>
      <c r="BJ178" s="704" t="n">
        <v>0</v>
      </c>
      <c r="BK178" s="704" t="n">
        <v>0</v>
      </c>
      <c r="BL178" s="704" t="n">
        <v>0</v>
      </c>
      <c r="BM178" s="704" t="n">
        <v>0</v>
      </c>
      <c r="BN178" s="704" t="n">
        <v>0</v>
      </c>
      <c r="BO178" s="704" t="n">
        <v>0</v>
      </c>
      <c r="BP178" s="704" t="n">
        <v>0</v>
      </c>
      <c r="BQ178" s="704" t="n">
        <v>0</v>
      </c>
      <c r="BR178" s="704" t="n">
        <v>0</v>
      </c>
      <c r="BS178" s="704" t="n">
        <v>0</v>
      </c>
      <c r="BT178" s="704" t="n">
        <v>0</v>
      </c>
      <c r="BU178" s="704" t="n">
        <v>0</v>
      </c>
      <c r="BV178" s="704" t="n">
        <v>0</v>
      </c>
      <c r="BW178" s="704" t="n">
        <v>0</v>
      </c>
      <c r="BX178" s="704" t="n">
        <v>0</v>
      </c>
      <c r="BY178" s="704" t="n">
        <v>0</v>
      </c>
      <c r="BZ178" s="704" t="n">
        <v>0</v>
      </c>
      <c r="CA178" s="704" t="n">
        <v>0</v>
      </c>
      <c r="CB178" s="704" t="n">
        <v>0</v>
      </c>
      <c r="CC178" s="704" t="n">
        <v>0</v>
      </c>
      <c r="CD178" s="704" t="n">
        <v>0</v>
      </c>
      <c r="CE178" s="704" t="n">
        <v>0</v>
      </c>
      <c r="CF178" s="704" t="n">
        <v>0</v>
      </c>
      <c r="CG178" s="704" t="n">
        <v>0</v>
      </c>
      <c r="CH178" s="704" t="n">
        <v>0</v>
      </c>
      <c r="CI178" s="704" t="n">
        <v>0</v>
      </c>
      <c r="CJ178" s="704" t="n">
        <v>0</v>
      </c>
      <c r="CK178" s="704" t="n">
        <v>0</v>
      </c>
      <c r="CL178" s="704" t="n">
        <v>0</v>
      </c>
      <c r="CM178" s="704" t="n">
        <v>0</v>
      </c>
      <c r="CN178" s="704" t="n">
        <v>0</v>
      </c>
      <c r="CO178" s="704" t="n">
        <v>0</v>
      </c>
      <c r="CP178" s="704" t="n">
        <v>0</v>
      </c>
      <c r="CQ178" s="704" t="n">
        <v>0</v>
      </c>
      <c r="CR178" s="704" t="n">
        <v>0</v>
      </c>
      <c r="CS178" s="704" t="n">
        <v>0</v>
      </c>
      <c r="CT178" s="704" t="n">
        <v>0</v>
      </c>
      <c r="CU178" s="704" t="n">
        <v>0</v>
      </c>
      <c r="CV178" s="704" t="n">
        <v>0</v>
      </c>
      <c r="CW178" s="704" t="n">
        <v>0</v>
      </c>
      <c r="CX178" s="704" t="n">
        <v>0</v>
      </c>
      <c r="CY178" s="704" t="n">
        <v>0</v>
      </c>
      <c r="CZ178" s="704" t="n">
        <v>0</v>
      </c>
      <c r="DA178" s="704" t="n">
        <v>0</v>
      </c>
      <c r="DB178" s="704" t="n">
        <v>0</v>
      </c>
      <c r="DC178" s="704" t="n">
        <v>0</v>
      </c>
      <c r="DD178" s="704" t="n">
        <v>0</v>
      </c>
      <c r="DE178" s="704" t="n">
        <v>0</v>
      </c>
      <c r="DF178" s="704" t="n">
        <v>0</v>
      </c>
      <c r="DG178" s="704" t="n">
        <v>0</v>
      </c>
      <c r="DH178" s="704" t="n">
        <v>0</v>
      </c>
      <c r="DI178" s="704" t="n">
        <v>0</v>
      </c>
      <c r="DJ178" s="704" t="n">
        <v>0</v>
      </c>
      <c r="DK178" s="704" t="n">
        <v>0</v>
      </c>
      <c r="DL178" s="704" t="n">
        <v>0</v>
      </c>
      <c r="DM178" s="704" t="n">
        <v>0</v>
      </c>
    </row>
    <row r="179" ht="13.5" customHeight="1" s="355">
      <c r="B179" s="703" t="inlineStr">
        <is>
          <t>Reporting</t>
        </is>
      </c>
      <c r="D179" s="704" t="n">
        <v>0</v>
      </c>
      <c r="E179" s="704" t="n">
        <v>0</v>
      </c>
      <c r="F179" s="704" t="n">
        <v>0</v>
      </c>
      <c r="G179" s="704" t="n">
        <v>0</v>
      </c>
      <c r="H179" s="704" t="n">
        <v>0</v>
      </c>
      <c r="I179" s="704" t="n">
        <v>0</v>
      </c>
      <c r="J179" s="704" t="n">
        <v>0</v>
      </c>
      <c r="K179" s="704" t="n">
        <v>0</v>
      </c>
      <c r="L179" s="704" t="n">
        <v>0</v>
      </c>
      <c r="M179" s="704" t="n">
        <v>0</v>
      </c>
      <c r="N179" s="704" t="n">
        <v>0</v>
      </c>
      <c r="O179" s="704" t="n">
        <v>0</v>
      </c>
      <c r="P179" s="704" t="n">
        <v>0</v>
      </c>
      <c r="Q179" s="704" t="n">
        <v>0</v>
      </c>
      <c r="R179" s="704" t="n">
        <v>0</v>
      </c>
      <c r="S179" s="704" t="n">
        <v>0</v>
      </c>
      <c r="T179" s="704" t="n">
        <v>0</v>
      </c>
      <c r="U179" s="704" t="n">
        <v>0</v>
      </c>
      <c r="V179" s="704" t="n">
        <v>0</v>
      </c>
      <c r="W179" s="704" t="n">
        <v>0</v>
      </c>
      <c r="X179" s="704" t="n">
        <v>0</v>
      </c>
      <c r="Y179" s="704" t="n">
        <v>0</v>
      </c>
      <c r="Z179" s="704" t="n">
        <v>0</v>
      </c>
      <c r="AA179" s="704" t="n">
        <v>0</v>
      </c>
      <c r="AB179" s="704" t="n">
        <v>0</v>
      </c>
      <c r="AC179" s="704" t="n">
        <v>0</v>
      </c>
      <c r="AD179" s="704" t="n">
        <v>0</v>
      </c>
      <c r="AE179" s="704" t="n">
        <v>0</v>
      </c>
      <c r="AF179" s="704" t="n">
        <v>0</v>
      </c>
      <c r="AG179" s="704" t="n">
        <v>0</v>
      </c>
      <c r="AH179" s="704" t="n">
        <v>0</v>
      </c>
      <c r="AI179" s="704" t="n">
        <v>0</v>
      </c>
      <c r="AJ179" s="704" t="n">
        <v>0</v>
      </c>
      <c r="AK179" s="704" t="n">
        <v>0</v>
      </c>
      <c r="AL179" s="704" t="n">
        <v>0</v>
      </c>
      <c r="AM179" s="704" t="n">
        <v>0</v>
      </c>
      <c r="AN179" s="704" t="n">
        <v>0</v>
      </c>
      <c r="AO179" s="704" t="n">
        <v>0</v>
      </c>
      <c r="AP179" s="704" t="n">
        <v>0</v>
      </c>
      <c r="AQ179" s="704" t="n">
        <v>0</v>
      </c>
      <c r="AR179" s="704" t="n">
        <v>0</v>
      </c>
      <c r="AS179" s="704" t="n">
        <v>0</v>
      </c>
      <c r="AT179" s="704" t="n">
        <v>0</v>
      </c>
      <c r="AU179" s="704" t="n">
        <v>0</v>
      </c>
      <c r="AV179" s="704" t="n">
        <v>0</v>
      </c>
      <c r="AW179" s="704" t="n">
        <v>0</v>
      </c>
      <c r="AX179" s="704" t="n">
        <v>0</v>
      </c>
      <c r="AY179" s="704" t="n">
        <v>0</v>
      </c>
      <c r="AZ179" s="704" t="n">
        <v>0</v>
      </c>
      <c r="BA179" s="704" t="n">
        <v>0</v>
      </c>
      <c r="BB179" s="704" t="n">
        <v>0</v>
      </c>
      <c r="BC179" s="704" t="n">
        <v>0</v>
      </c>
      <c r="BD179" s="704" t="n">
        <v>0</v>
      </c>
      <c r="BE179" s="704" t="n">
        <v>0</v>
      </c>
      <c r="BF179" s="704" t="n">
        <v>0</v>
      </c>
      <c r="BG179" s="704" t="n">
        <v>0</v>
      </c>
      <c r="BH179" s="704" t="n">
        <v>0</v>
      </c>
      <c r="BI179" s="704" t="n">
        <v>0</v>
      </c>
      <c r="BJ179" s="704" t="n">
        <v>0</v>
      </c>
      <c r="BK179" s="704" t="n">
        <v>0</v>
      </c>
      <c r="BL179" s="704" t="n">
        <v>0</v>
      </c>
      <c r="BM179" s="704" t="n">
        <v>0</v>
      </c>
      <c r="BN179" s="704" t="n">
        <v>0</v>
      </c>
      <c r="BO179" s="704" t="n">
        <v>0</v>
      </c>
      <c r="BP179" s="704" t="n">
        <v>0</v>
      </c>
      <c r="BQ179" s="704" t="n">
        <v>0</v>
      </c>
      <c r="BR179" s="704" t="n">
        <v>0</v>
      </c>
      <c r="BS179" s="704" t="n">
        <v>0</v>
      </c>
      <c r="BT179" s="704" t="n">
        <v>0</v>
      </c>
      <c r="BU179" s="704" t="n">
        <v>0</v>
      </c>
      <c r="BV179" s="704" t="n">
        <v>0</v>
      </c>
      <c r="BW179" s="704" t="n">
        <v>0</v>
      </c>
      <c r="BX179" s="704" t="n">
        <v>0</v>
      </c>
      <c r="BY179" s="704" t="n">
        <v>0</v>
      </c>
      <c r="BZ179" s="704" t="n">
        <v>0</v>
      </c>
      <c r="CA179" s="704" t="n">
        <v>0</v>
      </c>
      <c r="CB179" s="704" t="n">
        <v>0</v>
      </c>
      <c r="CC179" s="704" t="n">
        <v>0</v>
      </c>
      <c r="CD179" s="704" t="n">
        <v>0</v>
      </c>
      <c r="CE179" s="704" t="n">
        <v>0</v>
      </c>
      <c r="CF179" s="704" t="n">
        <v>0</v>
      </c>
      <c r="CG179" s="704" t="n">
        <v>0</v>
      </c>
      <c r="CH179" s="704" t="n">
        <v>0</v>
      </c>
      <c r="CI179" s="704" t="n">
        <v>0</v>
      </c>
      <c r="CJ179" s="704" t="n">
        <v>0</v>
      </c>
      <c r="CK179" s="704" t="n">
        <v>0</v>
      </c>
      <c r="CL179" s="704" t="n">
        <v>0</v>
      </c>
      <c r="CM179" s="704" t="n">
        <v>0</v>
      </c>
      <c r="CN179" s="704" t="n">
        <v>0</v>
      </c>
      <c r="CO179" s="704" t="n">
        <v>0</v>
      </c>
      <c r="CP179" s="704" t="n">
        <v>0</v>
      </c>
      <c r="CQ179" s="704" t="n">
        <v>0</v>
      </c>
      <c r="CR179" s="704" t="n">
        <v>0</v>
      </c>
      <c r="CS179" s="704" t="n">
        <v>0</v>
      </c>
      <c r="CT179" s="704" t="n">
        <v>0</v>
      </c>
      <c r="CU179" s="704" t="n">
        <v>0</v>
      </c>
      <c r="CV179" s="704" t="n">
        <v>0</v>
      </c>
      <c r="CW179" s="704" t="n">
        <v>0</v>
      </c>
      <c r="CX179" s="704" t="n">
        <v>0</v>
      </c>
      <c r="CY179" s="704" t="n">
        <v>0</v>
      </c>
      <c r="CZ179" s="704" t="n">
        <v>0</v>
      </c>
      <c r="DA179" s="704" t="n">
        <v>0</v>
      </c>
      <c r="DB179" s="704" t="n">
        <v>0</v>
      </c>
      <c r="DC179" s="704" t="n">
        <v>0</v>
      </c>
      <c r="DD179" s="704" t="n">
        <v>0</v>
      </c>
      <c r="DE179" s="704" t="n">
        <v>0</v>
      </c>
      <c r="DF179" s="704" t="n">
        <v>0</v>
      </c>
      <c r="DG179" s="704" t="n">
        <v>0</v>
      </c>
      <c r="DH179" s="704" t="n">
        <v>0</v>
      </c>
      <c r="DI179" s="704" t="n">
        <v>0</v>
      </c>
      <c r="DJ179" s="704" t="n">
        <v>0</v>
      </c>
      <c r="DK179" s="704" t="n">
        <v>0</v>
      </c>
      <c r="DL179" s="704" t="n">
        <v>0</v>
      </c>
      <c r="DM179" s="704" t="n">
        <v>0</v>
      </c>
    </row>
    <row r="180" ht="13.5" customHeight="1" s="355">
      <c r="B180" s="703" t="inlineStr">
        <is>
          <t>Fixed Assets</t>
        </is>
      </c>
      <c r="D180" s="704" t="n">
        <v>0</v>
      </c>
      <c r="E180" s="704" t="n">
        <v>0</v>
      </c>
      <c r="F180" s="704" t="n">
        <v>0</v>
      </c>
      <c r="G180" s="704" t="n">
        <v>0</v>
      </c>
      <c r="H180" s="704" t="n">
        <v>0</v>
      </c>
      <c r="I180" s="704" t="n">
        <v>0</v>
      </c>
      <c r="J180" s="704" t="n">
        <v>0</v>
      </c>
      <c r="K180" s="704" t="n">
        <v>0</v>
      </c>
      <c r="L180" s="704" t="n">
        <v>0</v>
      </c>
      <c r="M180" s="704" t="n">
        <v>0</v>
      </c>
      <c r="N180" s="704" t="n">
        <v>0</v>
      </c>
      <c r="O180" s="704" t="n">
        <v>0</v>
      </c>
      <c r="P180" s="704" t="n">
        <v>0</v>
      </c>
      <c r="Q180" s="704" t="n">
        <v>0</v>
      </c>
      <c r="R180" s="704" t="n">
        <v>0</v>
      </c>
      <c r="S180" s="704" t="n">
        <v>0</v>
      </c>
      <c r="T180" s="704" t="n">
        <v>0</v>
      </c>
      <c r="U180" s="704" t="n">
        <v>0</v>
      </c>
      <c r="V180" s="704" t="n">
        <v>0</v>
      </c>
      <c r="W180" s="704" t="n">
        <v>0</v>
      </c>
      <c r="X180" s="704" t="n">
        <v>0</v>
      </c>
      <c r="Y180" s="704" t="n">
        <v>0</v>
      </c>
      <c r="Z180" s="704" t="n">
        <v>0</v>
      </c>
      <c r="AA180" s="704" t="n">
        <v>0</v>
      </c>
      <c r="AB180" s="704" t="n">
        <v>0</v>
      </c>
      <c r="AC180" s="704" t="n">
        <v>0</v>
      </c>
      <c r="AD180" s="704" t="n">
        <v>0</v>
      </c>
      <c r="AE180" s="704" t="n">
        <v>0</v>
      </c>
      <c r="AF180" s="704" t="n">
        <v>0</v>
      </c>
      <c r="AG180" s="704" t="n">
        <v>0</v>
      </c>
      <c r="AH180" s="704" t="n">
        <v>0</v>
      </c>
      <c r="AI180" s="704" t="n">
        <v>0</v>
      </c>
      <c r="AJ180" s="704" t="n">
        <v>0</v>
      </c>
      <c r="AK180" s="704" t="n">
        <v>0</v>
      </c>
      <c r="AL180" s="704" t="n">
        <v>0</v>
      </c>
      <c r="AM180" s="704" t="n">
        <v>0</v>
      </c>
      <c r="AN180" s="704" t="n">
        <v>0</v>
      </c>
      <c r="AO180" s="704" t="n">
        <v>0</v>
      </c>
      <c r="AP180" s="704" t="n">
        <v>0</v>
      </c>
      <c r="AQ180" s="704" t="n">
        <v>0</v>
      </c>
      <c r="AR180" s="704" t="n">
        <v>0</v>
      </c>
      <c r="AS180" s="704" t="n">
        <v>0</v>
      </c>
      <c r="AT180" s="704" t="n">
        <v>0</v>
      </c>
      <c r="AU180" s="704" t="n">
        <v>0</v>
      </c>
      <c r="AV180" s="704" t="n">
        <v>0</v>
      </c>
      <c r="AW180" s="704" t="n">
        <v>0</v>
      </c>
      <c r="AX180" s="704" t="n">
        <v>0</v>
      </c>
      <c r="AY180" s="704" t="n">
        <v>0</v>
      </c>
      <c r="AZ180" s="704" t="n">
        <v>0</v>
      </c>
      <c r="BA180" s="704" t="n">
        <v>0</v>
      </c>
      <c r="BB180" s="704" t="n">
        <v>0</v>
      </c>
      <c r="BC180" s="704" t="n">
        <v>0</v>
      </c>
      <c r="BD180" s="704" t="n">
        <v>0</v>
      </c>
      <c r="BE180" s="704" t="n">
        <v>0</v>
      </c>
      <c r="BF180" s="704" t="n">
        <v>0</v>
      </c>
      <c r="BG180" s="704" t="n">
        <v>0</v>
      </c>
      <c r="BH180" s="704" t="n">
        <v>0</v>
      </c>
      <c r="BI180" s="704" t="n">
        <v>0</v>
      </c>
      <c r="BJ180" s="704" t="n">
        <v>0</v>
      </c>
      <c r="BK180" s="704" t="n">
        <v>0</v>
      </c>
      <c r="BL180" s="704" t="n">
        <v>0</v>
      </c>
      <c r="BM180" s="704" t="n">
        <v>0</v>
      </c>
      <c r="BN180" s="704" t="n">
        <v>0</v>
      </c>
      <c r="BO180" s="704" t="n">
        <v>0</v>
      </c>
      <c r="BP180" s="704" t="n">
        <v>0</v>
      </c>
      <c r="BQ180" s="704" t="n">
        <v>0</v>
      </c>
      <c r="BR180" s="704" t="n">
        <v>0</v>
      </c>
      <c r="BS180" s="704" t="n">
        <v>0</v>
      </c>
      <c r="BT180" s="704" t="n">
        <v>0</v>
      </c>
      <c r="BU180" s="704" t="n">
        <v>0</v>
      </c>
      <c r="BV180" s="704" t="n">
        <v>0</v>
      </c>
      <c r="BW180" s="704" t="n">
        <v>0</v>
      </c>
      <c r="BX180" s="704" t="n">
        <v>0</v>
      </c>
      <c r="BY180" s="704" t="n">
        <v>0</v>
      </c>
      <c r="BZ180" s="704" t="n">
        <v>0</v>
      </c>
      <c r="CA180" s="704" t="n">
        <v>0</v>
      </c>
      <c r="CB180" s="704" t="n">
        <v>0</v>
      </c>
      <c r="CC180" s="704" t="n">
        <v>0</v>
      </c>
      <c r="CD180" s="704" t="n">
        <v>0</v>
      </c>
      <c r="CE180" s="704" t="n">
        <v>0</v>
      </c>
      <c r="CF180" s="704" t="n">
        <v>0</v>
      </c>
      <c r="CG180" s="704" t="n">
        <v>0</v>
      </c>
      <c r="CH180" s="704" t="n">
        <v>0</v>
      </c>
      <c r="CI180" s="704" t="n">
        <v>0</v>
      </c>
      <c r="CJ180" s="704" t="n">
        <v>0</v>
      </c>
      <c r="CK180" s="704" t="n">
        <v>0</v>
      </c>
      <c r="CL180" s="704" t="n">
        <v>0</v>
      </c>
      <c r="CM180" s="704" t="n">
        <v>0</v>
      </c>
      <c r="CN180" s="704" t="n">
        <v>0</v>
      </c>
      <c r="CO180" s="704" t="n">
        <v>0</v>
      </c>
      <c r="CP180" s="704" t="n">
        <v>0</v>
      </c>
      <c r="CQ180" s="704" t="n">
        <v>0</v>
      </c>
      <c r="CR180" s="704" t="n">
        <v>0</v>
      </c>
      <c r="CS180" s="704" t="n">
        <v>0</v>
      </c>
      <c r="CT180" s="704" t="n">
        <v>0</v>
      </c>
      <c r="CU180" s="704" t="n">
        <v>0</v>
      </c>
      <c r="CV180" s="704" t="n">
        <v>0</v>
      </c>
      <c r="CW180" s="704" t="n">
        <v>0</v>
      </c>
      <c r="CX180" s="704" t="n">
        <v>0</v>
      </c>
      <c r="CY180" s="704" t="n">
        <v>0</v>
      </c>
      <c r="CZ180" s="704" t="n">
        <v>0</v>
      </c>
      <c r="DA180" s="704" t="n">
        <v>0</v>
      </c>
      <c r="DB180" s="704" t="n">
        <v>0</v>
      </c>
      <c r="DC180" s="704" t="n">
        <v>0</v>
      </c>
      <c r="DD180" s="704" t="n">
        <v>0</v>
      </c>
      <c r="DE180" s="704" t="n">
        <v>0</v>
      </c>
      <c r="DF180" s="704" t="n">
        <v>0</v>
      </c>
      <c r="DG180" s="704" t="n">
        <v>0</v>
      </c>
      <c r="DH180" s="704" t="n">
        <v>0</v>
      </c>
      <c r="DI180" s="704" t="n">
        <v>0</v>
      </c>
      <c r="DJ180" s="704" t="n">
        <v>0</v>
      </c>
      <c r="DK180" s="704" t="n">
        <v>0</v>
      </c>
      <c r="DL180" s="704" t="n">
        <v>0</v>
      </c>
      <c r="DM180" s="704" t="n">
        <v>0</v>
      </c>
    </row>
    <row r="181" ht="13.5" customHeight="1" s="355">
      <c r="B181" s="703" t="inlineStr">
        <is>
          <t>Acct Payable</t>
        </is>
      </c>
      <c r="D181" s="704" t="n">
        <v>0</v>
      </c>
      <c r="E181" s="704" t="n">
        <v>0</v>
      </c>
      <c r="F181" s="704" t="n">
        <v>0</v>
      </c>
      <c r="G181" s="704" t="n">
        <v>0</v>
      </c>
      <c r="H181" s="704" t="n">
        <v>0</v>
      </c>
      <c r="I181" s="704" t="n">
        <v>0</v>
      </c>
      <c r="J181" s="704" t="n">
        <v>0</v>
      </c>
      <c r="K181" s="704" t="n">
        <v>0</v>
      </c>
      <c r="L181" s="704" t="n">
        <v>0</v>
      </c>
      <c r="M181" s="704" t="n">
        <v>0</v>
      </c>
      <c r="N181" s="704" t="n">
        <v>0</v>
      </c>
      <c r="O181" s="704" t="n">
        <v>0</v>
      </c>
      <c r="P181" s="704" t="n">
        <v>0</v>
      </c>
      <c r="Q181" s="704" t="n">
        <v>0</v>
      </c>
      <c r="R181" s="704" t="n">
        <v>0</v>
      </c>
      <c r="S181" s="704" t="n">
        <v>0</v>
      </c>
      <c r="T181" s="704" t="n">
        <v>0</v>
      </c>
      <c r="U181" s="704" t="n">
        <v>0</v>
      </c>
      <c r="V181" s="704" t="n">
        <v>0</v>
      </c>
      <c r="W181" s="704" t="n">
        <v>0</v>
      </c>
      <c r="X181" s="704" t="n">
        <v>0</v>
      </c>
      <c r="Y181" s="704" t="n">
        <v>0</v>
      </c>
      <c r="Z181" s="704" t="n">
        <v>0</v>
      </c>
      <c r="AA181" s="704" t="n">
        <v>0</v>
      </c>
      <c r="AB181" s="704" t="n">
        <v>0</v>
      </c>
      <c r="AC181" s="704" t="n">
        <v>0</v>
      </c>
      <c r="AD181" s="704" t="n">
        <v>0</v>
      </c>
      <c r="AE181" s="704" t="n">
        <v>0</v>
      </c>
      <c r="AF181" s="704" t="n">
        <v>0</v>
      </c>
      <c r="AG181" s="704" t="n">
        <v>0</v>
      </c>
      <c r="AH181" s="704" t="n">
        <v>0</v>
      </c>
      <c r="AI181" s="704" t="n">
        <v>0</v>
      </c>
      <c r="AJ181" s="704" t="n">
        <v>0</v>
      </c>
      <c r="AK181" s="704" t="n">
        <v>0</v>
      </c>
      <c r="AL181" s="704" t="n">
        <v>0</v>
      </c>
      <c r="AM181" s="704" t="n">
        <v>0</v>
      </c>
      <c r="AN181" s="704" t="n">
        <v>0</v>
      </c>
      <c r="AO181" s="704" t="n">
        <v>0</v>
      </c>
      <c r="AP181" s="704" t="n">
        <v>0</v>
      </c>
      <c r="AQ181" s="704" t="n">
        <v>0</v>
      </c>
      <c r="AR181" s="704" t="n">
        <v>0</v>
      </c>
      <c r="AS181" s="704" t="n">
        <v>0</v>
      </c>
      <c r="AT181" s="704" t="n">
        <v>0</v>
      </c>
      <c r="AU181" s="704" t="n">
        <v>0</v>
      </c>
      <c r="AV181" s="704" t="n">
        <v>0</v>
      </c>
      <c r="AW181" s="704" t="n">
        <v>0</v>
      </c>
      <c r="AX181" s="704" t="n">
        <v>0</v>
      </c>
      <c r="AY181" s="704" t="n">
        <v>0</v>
      </c>
      <c r="AZ181" s="704" t="n">
        <v>0</v>
      </c>
      <c r="BA181" s="704" t="n">
        <v>0</v>
      </c>
      <c r="BB181" s="704" t="n">
        <v>0</v>
      </c>
      <c r="BC181" s="704" t="n">
        <v>0</v>
      </c>
      <c r="BD181" s="704" t="n">
        <v>0</v>
      </c>
      <c r="BE181" s="704" t="n">
        <v>0</v>
      </c>
      <c r="BF181" s="704" t="n">
        <v>0</v>
      </c>
      <c r="BG181" s="704" t="n">
        <v>0</v>
      </c>
      <c r="BH181" s="704" t="n">
        <v>0</v>
      </c>
      <c r="BI181" s="704" t="n">
        <v>0</v>
      </c>
      <c r="BJ181" s="704" t="n">
        <v>0</v>
      </c>
      <c r="BK181" s="704" t="n">
        <v>0</v>
      </c>
      <c r="BL181" s="704" t="n">
        <v>0</v>
      </c>
      <c r="BM181" s="704" t="n">
        <v>0</v>
      </c>
      <c r="BN181" s="704" t="n">
        <v>0</v>
      </c>
      <c r="BO181" s="704" t="n">
        <v>0</v>
      </c>
      <c r="BP181" s="704" t="n">
        <v>0</v>
      </c>
      <c r="BQ181" s="704" t="n">
        <v>0</v>
      </c>
      <c r="BR181" s="704" t="n">
        <v>0</v>
      </c>
      <c r="BS181" s="704" t="n">
        <v>0</v>
      </c>
      <c r="BT181" s="704" t="n">
        <v>0</v>
      </c>
      <c r="BU181" s="704" t="n">
        <v>0</v>
      </c>
      <c r="BV181" s="704" t="n">
        <v>0</v>
      </c>
      <c r="BW181" s="704" t="n">
        <v>0</v>
      </c>
      <c r="BX181" s="704" t="n">
        <v>0</v>
      </c>
      <c r="BY181" s="704" t="n">
        <v>0</v>
      </c>
      <c r="BZ181" s="704" t="n">
        <v>0</v>
      </c>
      <c r="CA181" s="704" t="n">
        <v>0</v>
      </c>
      <c r="CB181" s="704" t="n">
        <v>0</v>
      </c>
      <c r="CC181" s="704" t="n">
        <v>0</v>
      </c>
      <c r="CD181" s="704" t="n">
        <v>0</v>
      </c>
      <c r="CE181" s="704" t="n">
        <v>0</v>
      </c>
      <c r="CF181" s="704" t="n">
        <v>0</v>
      </c>
      <c r="CG181" s="704" t="n">
        <v>0</v>
      </c>
      <c r="CH181" s="704" t="n">
        <v>0</v>
      </c>
      <c r="CI181" s="704" t="n">
        <v>0</v>
      </c>
      <c r="CJ181" s="704" t="n">
        <v>0</v>
      </c>
      <c r="CK181" s="704" t="n">
        <v>0</v>
      </c>
      <c r="CL181" s="704" t="n">
        <v>0</v>
      </c>
      <c r="CM181" s="704" t="n">
        <v>0</v>
      </c>
      <c r="CN181" s="704" t="n">
        <v>0</v>
      </c>
      <c r="CO181" s="704" t="n">
        <v>0</v>
      </c>
      <c r="CP181" s="704" t="n">
        <v>0</v>
      </c>
      <c r="CQ181" s="704" t="n">
        <v>0</v>
      </c>
      <c r="CR181" s="704" t="n">
        <v>0</v>
      </c>
      <c r="CS181" s="704" t="n">
        <v>0</v>
      </c>
      <c r="CT181" s="704" t="n">
        <v>0</v>
      </c>
      <c r="CU181" s="704" t="n">
        <v>0</v>
      </c>
      <c r="CV181" s="704" t="n">
        <v>0</v>
      </c>
      <c r="CW181" s="704" t="n">
        <v>0</v>
      </c>
      <c r="CX181" s="704" t="n">
        <v>0</v>
      </c>
      <c r="CY181" s="704" t="n">
        <v>0</v>
      </c>
      <c r="CZ181" s="704" t="n">
        <v>0</v>
      </c>
      <c r="DA181" s="704" t="n">
        <v>0</v>
      </c>
      <c r="DB181" s="704" t="n">
        <v>0</v>
      </c>
      <c r="DC181" s="704" t="n">
        <v>0</v>
      </c>
      <c r="DD181" s="704" t="n">
        <v>0</v>
      </c>
      <c r="DE181" s="704" t="n">
        <v>0</v>
      </c>
      <c r="DF181" s="704" t="n">
        <v>0</v>
      </c>
      <c r="DG181" s="704" t="n">
        <v>0</v>
      </c>
      <c r="DH181" s="704" t="n">
        <v>0</v>
      </c>
      <c r="DI181" s="704" t="n">
        <v>0</v>
      </c>
      <c r="DJ181" s="704" t="n">
        <v>0</v>
      </c>
      <c r="DK181" s="704" t="n">
        <v>0</v>
      </c>
      <c r="DL181" s="704" t="n">
        <v>0</v>
      </c>
      <c r="DM181" s="704" t="n">
        <v>0</v>
      </c>
    </row>
    <row r="182" ht="13.5" customHeight="1" s="355">
      <c r="B182" s="703" t="inlineStr">
        <is>
          <t>Cash&amp;Bank</t>
        </is>
      </c>
      <c r="D182" s="704" t="n">
        <v>0</v>
      </c>
      <c r="E182" s="704" t="n">
        <v>0</v>
      </c>
      <c r="F182" s="704" t="n">
        <v>0</v>
      </c>
      <c r="G182" s="704" t="n">
        <v>0</v>
      </c>
      <c r="H182" s="704" t="n">
        <v>0</v>
      </c>
      <c r="I182" s="704" t="n">
        <v>0</v>
      </c>
      <c r="J182" s="704" t="n">
        <v>0</v>
      </c>
      <c r="K182" s="704" t="n">
        <v>0</v>
      </c>
      <c r="L182" s="704" t="n">
        <v>0</v>
      </c>
      <c r="M182" s="704" t="n">
        <v>0</v>
      </c>
      <c r="N182" s="704" t="n">
        <v>0</v>
      </c>
      <c r="O182" s="704" t="n">
        <v>0</v>
      </c>
      <c r="P182" s="704" t="n">
        <v>0</v>
      </c>
      <c r="Q182" s="704" t="n">
        <v>0</v>
      </c>
      <c r="R182" s="704" t="n">
        <v>0</v>
      </c>
      <c r="S182" s="704" t="n">
        <v>0</v>
      </c>
      <c r="T182" s="704" t="n">
        <v>0</v>
      </c>
      <c r="U182" s="704" t="n">
        <v>0</v>
      </c>
      <c r="V182" s="704" t="n">
        <v>0</v>
      </c>
      <c r="W182" s="704" t="n">
        <v>0</v>
      </c>
      <c r="X182" s="704" t="n">
        <v>0</v>
      </c>
      <c r="Y182" s="704" t="n">
        <v>0</v>
      </c>
      <c r="Z182" s="704" t="n">
        <v>0</v>
      </c>
      <c r="AA182" s="704" t="n">
        <v>0</v>
      </c>
      <c r="AB182" s="704" t="n">
        <v>0</v>
      </c>
      <c r="AC182" s="704" t="n">
        <v>0</v>
      </c>
      <c r="AD182" s="704" t="n">
        <v>0</v>
      </c>
      <c r="AE182" s="704" t="n">
        <v>0</v>
      </c>
      <c r="AF182" s="704" t="n">
        <v>0</v>
      </c>
      <c r="AG182" s="704" t="n">
        <v>0</v>
      </c>
      <c r="AH182" s="704" t="n">
        <v>0</v>
      </c>
      <c r="AI182" s="704" t="n">
        <v>0</v>
      </c>
      <c r="AJ182" s="704" t="n">
        <v>0</v>
      </c>
      <c r="AK182" s="704" t="n">
        <v>0</v>
      </c>
      <c r="AL182" s="704" t="n">
        <v>0</v>
      </c>
      <c r="AM182" s="704" t="n">
        <v>0</v>
      </c>
      <c r="AN182" s="704" t="n">
        <v>0</v>
      </c>
      <c r="AO182" s="704" t="n">
        <v>0</v>
      </c>
      <c r="AP182" s="704" t="n">
        <v>0</v>
      </c>
      <c r="AQ182" s="704" t="n">
        <v>0</v>
      </c>
      <c r="AR182" s="704" t="n">
        <v>0</v>
      </c>
      <c r="AS182" s="704" t="n">
        <v>0</v>
      </c>
      <c r="AT182" s="704" t="n">
        <v>0</v>
      </c>
      <c r="AU182" s="704" t="n">
        <v>0</v>
      </c>
      <c r="AV182" s="704" t="n">
        <v>0</v>
      </c>
      <c r="AW182" s="704" t="n">
        <v>0</v>
      </c>
      <c r="AX182" s="704" t="n">
        <v>0</v>
      </c>
      <c r="AY182" s="704" t="n">
        <v>0</v>
      </c>
      <c r="AZ182" s="704" t="n">
        <v>0</v>
      </c>
      <c r="BA182" s="704" t="n">
        <v>0</v>
      </c>
      <c r="BB182" s="704" t="n">
        <v>0</v>
      </c>
      <c r="BC182" s="704" t="n">
        <v>0</v>
      </c>
      <c r="BD182" s="704" t="n">
        <v>0</v>
      </c>
      <c r="BE182" s="704" t="n">
        <v>0</v>
      </c>
      <c r="BF182" s="704" t="n">
        <v>0</v>
      </c>
      <c r="BG182" s="704" t="n">
        <v>0</v>
      </c>
      <c r="BH182" s="704" t="n">
        <v>0</v>
      </c>
      <c r="BI182" s="704" t="n">
        <v>0</v>
      </c>
      <c r="BJ182" s="704" t="n">
        <v>0</v>
      </c>
      <c r="BK182" s="704" t="n">
        <v>0</v>
      </c>
      <c r="BL182" s="704" t="n">
        <v>0</v>
      </c>
      <c r="BM182" s="704" t="n">
        <v>0</v>
      </c>
      <c r="BN182" s="704" t="n">
        <v>0</v>
      </c>
      <c r="BO182" s="704" t="n">
        <v>0</v>
      </c>
      <c r="BP182" s="704" t="n">
        <v>0</v>
      </c>
      <c r="BQ182" s="704" t="n">
        <v>0</v>
      </c>
      <c r="BR182" s="704" t="n">
        <v>0</v>
      </c>
      <c r="BS182" s="704" t="n">
        <v>0</v>
      </c>
      <c r="BT182" s="704" t="n">
        <v>0</v>
      </c>
      <c r="BU182" s="704" t="n">
        <v>0</v>
      </c>
      <c r="BV182" s="704" t="n">
        <v>0</v>
      </c>
      <c r="BW182" s="704" t="n">
        <v>0</v>
      </c>
      <c r="BX182" s="704" t="n">
        <v>0</v>
      </c>
      <c r="BY182" s="704" t="n">
        <v>0</v>
      </c>
      <c r="BZ182" s="704" t="n">
        <v>0</v>
      </c>
      <c r="CA182" s="704" t="n">
        <v>0</v>
      </c>
      <c r="CB182" s="704" t="n">
        <v>0</v>
      </c>
      <c r="CC182" s="704" t="n">
        <v>0</v>
      </c>
      <c r="CD182" s="704" t="n">
        <v>0</v>
      </c>
      <c r="CE182" s="704" t="n">
        <v>0</v>
      </c>
      <c r="CF182" s="704" t="n">
        <v>0</v>
      </c>
      <c r="CG182" s="704" t="n">
        <v>0</v>
      </c>
      <c r="CH182" s="704" t="n">
        <v>0</v>
      </c>
      <c r="CI182" s="704" t="n">
        <v>0</v>
      </c>
      <c r="CJ182" s="704" t="n">
        <v>0</v>
      </c>
      <c r="CK182" s="704" t="n">
        <v>0</v>
      </c>
      <c r="CL182" s="704" t="n">
        <v>0</v>
      </c>
      <c r="CM182" s="704" t="n">
        <v>0</v>
      </c>
      <c r="CN182" s="704" t="n">
        <v>0</v>
      </c>
      <c r="CO182" s="704" t="n">
        <v>0</v>
      </c>
      <c r="CP182" s="704" t="n">
        <v>0</v>
      </c>
      <c r="CQ182" s="704" t="n">
        <v>0</v>
      </c>
      <c r="CR182" s="704" t="n">
        <v>0</v>
      </c>
      <c r="CS182" s="704" t="n">
        <v>0</v>
      </c>
      <c r="CT182" s="704" t="n">
        <v>0</v>
      </c>
      <c r="CU182" s="704" t="n">
        <v>0</v>
      </c>
      <c r="CV182" s="704" t="n">
        <v>0</v>
      </c>
      <c r="CW182" s="704" t="n">
        <v>0</v>
      </c>
      <c r="CX182" s="704" t="n">
        <v>0</v>
      </c>
      <c r="CY182" s="704" t="n">
        <v>0</v>
      </c>
      <c r="CZ182" s="704" t="n">
        <v>0</v>
      </c>
      <c r="DA182" s="704" t="n">
        <v>0</v>
      </c>
      <c r="DB182" s="704" t="n">
        <v>0</v>
      </c>
      <c r="DC182" s="704" t="n">
        <v>0</v>
      </c>
      <c r="DD182" s="704" t="n">
        <v>0</v>
      </c>
      <c r="DE182" s="704" t="n">
        <v>0</v>
      </c>
      <c r="DF182" s="704" t="n">
        <v>0</v>
      </c>
      <c r="DG182" s="704" t="n">
        <v>0</v>
      </c>
      <c r="DH182" s="704" t="n">
        <v>0</v>
      </c>
      <c r="DI182" s="704" t="n">
        <v>0</v>
      </c>
      <c r="DJ182" s="704" t="n">
        <v>0</v>
      </c>
      <c r="DK182" s="704" t="n">
        <v>0</v>
      </c>
      <c r="DL182" s="704" t="n">
        <v>0</v>
      </c>
      <c r="DM182" s="704" t="n">
        <v>0</v>
      </c>
    </row>
    <row r="183" ht="13.5" customHeight="1" s="355">
      <c r="B183" s="703" t="inlineStr">
        <is>
          <t>T&amp;E</t>
        </is>
      </c>
      <c r="D183" s="704" t="n">
        <v>0</v>
      </c>
      <c r="E183" s="704" t="n">
        <v>0</v>
      </c>
      <c r="F183" s="704" t="n">
        <v>0</v>
      </c>
      <c r="G183" s="704" t="n">
        <v>0</v>
      </c>
      <c r="H183" s="704" t="n">
        <v>0</v>
      </c>
      <c r="I183" s="704" t="n">
        <v>0</v>
      </c>
      <c r="J183" s="704" t="n">
        <v>0</v>
      </c>
      <c r="K183" s="704" t="n">
        <v>0</v>
      </c>
      <c r="L183" s="704" t="n">
        <v>0</v>
      </c>
      <c r="M183" s="704" t="n">
        <v>0</v>
      </c>
      <c r="N183" s="704" t="n">
        <v>0</v>
      </c>
      <c r="O183" s="704" t="n">
        <v>0</v>
      </c>
      <c r="P183" s="704" t="n">
        <v>0</v>
      </c>
      <c r="Q183" s="704" t="n">
        <v>0</v>
      </c>
      <c r="R183" s="704" t="n">
        <v>0</v>
      </c>
      <c r="S183" s="704" t="n">
        <v>0</v>
      </c>
      <c r="T183" s="704" t="n">
        <v>0</v>
      </c>
      <c r="U183" s="704" t="n">
        <v>0</v>
      </c>
      <c r="V183" s="704" t="n">
        <v>0</v>
      </c>
      <c r="W183" s="704" t="n">
        <v>0</v>
      </c>
      <c r="X183" s="704" t="n">
        <v>0</v>
      </c>
      <c r="Y183" s="704" t="n">
        <v>0</v>
      </c>
      <c r="Z183" s="704" t="n">
        <v>0</v>
      </c>
      <c r="AA183" s="704" t="n">
        <v>0</v>
      </c>
      <c r="AB183" s="704" t="n">
        <v>0</v>
      </c>
      <c r="AC183" s="704" t="n">
        <v>0</v>
      </c>
      <c r="AD183" s="704" t="n">
        <v>0</v>
      </c>
      <c r="AE183" s="704" t="n">
        <v>0</v>
      </c>
      <c r="AF183" s="704" t="n">
        <v>0</v>
      </c>
      <c r="AG183" s="704" t="n">
        <v>0</v>
      </c>
      <c r="AH183" s="704" t="n">
        <v>0</v>
      </c>
      <c r="AI183" s="704" t="n">
        <v>0</v>
      </c>
      <c r="AJ183" s="704" t="n">
        <v>0</v>
      </c>
      <c r="AK183" s="704" t="n">
        <v>0</v>
      </c>
      <c r="AL183" s="704" t="n">
        <v>0</v>
      </c>
      <c r="AM183" s="704" t="n">
        <v>0</v>
      </c>
      <c r="AN183" s="704" t="n">
        <v>0</v>
      </c>
      <c r="AO183" s="704" t="n">
        <v>0</v>
      </c>
      <c r="AP183" s="704" t="n">
        <v>0</v>
      </c>
      <c r="AQ183" s="704" t="n">
        <v>0</v>
      </c>
      <c r="AR183" s="704" t="n">
        <v>0</v>
      </c>
      <c r="AS183" s="704" t="n">
        <v>0</v>
      </c>
      <c r="AT183" s="704" t="n">
        <v>0</v>
      </c>
      <c r="AU183" s="704" t="n">
        <v>0</v>
      </c>
      <c r="AV183" s="704" t="n">
        <v>0</v>
      </c>
      <c r="AW183" s="704" t="n">
        <v>0</v>
      </c>
      <c r="AX183" s="704" t="n">
        <v>0</v>
      </c>
      <c r="AY183" s="704" t="n">
        <v>0</v>
      </c>
      <c r="AZ183" s="704" t="n">
        <v>0</v>
      </c>
      <c r="BA183" s="704" t="n">
        <v>0</v>
      </c>
      <c r="BB183" s="704" t="n">
        <v>0</v>
      </c>
      <c r="BC183" s="704" t="n">
        <v>0</v>
      </c>
      <c r="BD183" s="704" t="n">
        <v>0</v>
      </c>
      <c r="BE183" s="704" t="n">
        <v>0</v>
      </c>
      <c r="BF183" s="704" t="n">
        <v>0</v>
      </c>
      <c r="BG183" s="704" t="n">
        <v>0</v>
      </c>
      <c r="BH183" s="704" t="n">
        <v>0</v>
      </c>
      <c r="BI183" s="704" t="n">
        <v>0</v>
      </c>
      <c r="BJ183" s="704" t="n">
        <v>0</v>
      </c>
      <c r="BK183" s="704" t="n">
        <v>0</v>
      </c>
      <c r="BL183" s="704" t="n">
        <v>0</v>
      </c>
      <c r="BM183" s="704" t="n">
        <v>0</v>
      </c>
      <c r="BN183" s="704" t="n">
        <v>0</v>
      </c>
      <c r="BO183" s="704" t="n">
        <v>0</v>
      </c>
      <c r="BP183" s="704" t="n">
        <v>0</v>
      </c>
      <c r="BQ183" s="704" t="n">
        <v>0</v>
      </c>
      <c r="BR183" s="704" t="n">
        <v>0</v>
      </c>
      <c r="BS183" s="704" t="n">
        <v>0</v>
      </c>
      <c r="BT183" s="704" t="n">
        <v>0</v>
      </c>
      <c r="BU183" s="704" t="n">
        <v>0</v>
      </c>
      <c r="BV183" s="704" t="n">
        <v>0</v>
      </c>
      <c r="BW183" s="704" t="n">
        <v>0</v>
      </c>
      <c r="BX183" s="704" t="n">
        <v>0</v>
      </c>
      <c r="BY183" s="704" t="n">
        <v>0</v>
      </c>
      <c r="BZ183" s="704" t="n">
        <v>0</v>
      </c>
      <c r="CA183" s="704" t="n">
        <v>0</v>
      </c>
      <c r="CB183" s="704" t="n">
        <v>0</v>
      </c>
      <c r="CC183" s="704" t="n">
        <v>0</v>
      </c>
      <c r="CD183" s="704" t="n">
        <v>0</v>
      </c>
      <c r="CE183" s="704" t="n">
        <v>0</v>
      </c>
      <c r="CF183" s="704" t="n">
        <v>0</v>
      </c>
      <c r="CG183" s="704" t="n">
        <v>0</v>
      </c>
      <c r="CH183" s="704" t="n">
        <v>0</v>
      </c>
      <c r="CI183" s="704" t="n">
        <v>0</v>
      </c>
      <c r="CJ183" s="704" t="n">
        <v>0</v>
      </c>
      <c r="CK183" s="704" t="n">
        <v>0</v>
      </c>
      <c r="CL183" s="704" t="n">
        <v>0</v>
      </c>
      <c r="CM183" s="704" t="n">
        <v>0</v>
      </c>
      <c r="CN183" s="704" t="n">
        <v>0</v>
      </c>
      <c r="CO183" s="704" t="n">
        <v>0</v>
      </c>
      <c r="CP183" s="704" t="n">
        <v>0</v>
      </c>
      <c r="CQ183" s="704" t="n">
        <v>0</v>
      </c>
      <c r="CR183" s="704" t="n">
        <v>0</v>
      </c>
      <c r="CS183" s="704" t="n">
        <v>0</v>
      </c>
      <c r="CT183" s="704" t="n">
        <v>0</v>
      </c>
      <c r="CU183" s="704" t="n">
        <v>0</v>
      </c>
      <c r="CV183" s="704" t="n">
        <v>0</v>
      </c>
      <c r="CW183" s="704" t="n">
        <v>0</v>
      </c>
      <c r="CX183" s="704" t="n">
        <v>0</v>
      </c>
      <c r="CY183" s="704" t="n">
        <v>0</v>
      </c>
      <c r="CZ183" s="704" t="n">
        <v>0</v>
      </c>
      <c r="DA183" s="704" t="n">
        <v>0</v>
      </c>
      <c r="DB183" s="704" t="n">
        <v>0</v>
      </c>
      <c r="DC183" s="704" t="n">
        <v>0</v>
      </c>
      <c r="DD183" s="704" t="n">
        <v>0</v>
      </c>
      <c r="DE183" s="704" t="n">
        <v>0</v>
      </c>
      <c r="DF183" s="704" t="n">
        <v>0</v>
      </c>
      <c r="DG183" s="704" t="n">
        <v>0</v>
      </c>
      <c r="DH183" s="704" t="n">
        <v>0</v>
      </c>
      <c r="DI183" s="704" t="n">
        <v>0</v>
      </c>
      <c r="DJ183" s="704" t="n">
        <v>0</v>
      </c>
      <c r="DK183" s="704" t="n">
        <v>0</v>
      </c>
      <c r="DL183" s="704" t="n">
        <v>0</v>
      </c>
      <c r="DM183" s="704" t="n">
        <v>0</v>
      </c>
    </row>
    <row r="184" ht="13.5" customHeight="1" s="355">
      <c r="B184" s="703" t="inlineStr">
        <is>
          <t>Order to Cash</t>
        </is>
      </c>
      <c r="D184" s="704" t="n">
        <v>0</v>
      </c>
      <c r="E184" s="704" t="n">
        <v>0</v>
      </c>
      <c r="F184" s="704" t="n">
        <v>0</v>
      </c>
      <c r="G184" s="704" t="n">
        <v>0</v>
      </c>
      <c r="H184" s="704" t="n">
        <v>0</v>
      </c>
      <c r="I184" s="704" t="n">
        <v>0</v>
      </c>
      <c r="J184" s="704" t="n">
        <v>0</v>
      </c>
      <c r="K184" s="704" t="n">
        <v>0</v>
      </c>
      <c r="L184" s="704" t="n">
        <v>0</v>
      </c>
      <c r="M184" s="704" t="n">
        <v>0</v>
      </c>
      <c r="N184" s="704" t="n">
        <v>0</v>
      </c>
      <c r="O184" s="704" t="n">
        <v>0</v>
      </c>
      <c r="P184" s="704" t="n">
        <v>0</v>
      </c>
      <c r="Q184" s="704" t="n">
        <v>0</v>
      </c>
      <c r="R184" s="704" t="n">
        <v>0</v>
      </c>
      <c r="S184" s="704" t="n">
        <v>0</v>
      </c>
      <c r="T184" s="704" t="n">
        <v>0</v>
      </c>
      <c r="U184" s="704" t="n">
        <v>0</v>
      </c>
      <c r="V184" s="704" t="n">
        <v>0</v>
      </c>
      <c r="W184" s="704" t="n">
        <v>0</v>
      </c>
      <c r="X184" s="704" t="n">
        <v>0</v>
      </c>
      <c r="Y184" s="704" t="n">
        <v>0</v>
      </c>
      <c r="Z184" s="704" t="n">
        <v>0</v>
      </c>
      <c r="AA184" s="704" t="n">
        <v>0</v>
      </c>
      <c r="AB184" s="704" t="n">
        <v>0</v>
      </c>
      <c r="AC184" s="704" t="n">
        <v>0</v>
      </c>
      <c r="AD184" s="704" t="n">
        <v>0</v>
      </c>
      <c r="AE184" s="704" t="n">
        <v>0</v>
      </c>
      <c r="AF184" s="704" t="n">
        <v>0</v>
      </c>
      <c r="AG184" s="704" t="n">
        <v>0</v>
      </c>
      <c r="AH184" s="704" t="n">
        <v>0</v>
      </c>
      <c r="AI184" s="704" t="n">
        <v>0</v>
      </c>
      <c r="AJ184" s="704" t="n">
        <v>0</v>
      </c>
      <c r="AK184" s="704" t="n">
        <v>0</v>
      </c>
      <c r="AL184" s="704" t="n">
        <v>0</v>
      </c>
      <c r="AM184" s="704" t="n">
        <v>0</v>
      </c>
      <c r="AN184" s="704" t="n">
        <v>0</v>
      </c>
      <c r="AO184" s="704" t="n">
        <v>0</v>
      </c>
      <c r="AP184" s="704" t="n">
        <v>0</v>
      </c>
      <c r="AQ184" s="704" t="n">
        <v>0</v>
      </c>
      <c r="AR184" s="704" t="n">
        <v>0</v>
      </c>
      <c r="AS184" s="704" t="n">
        <v>0</v>
      </c>
      <c r="AT184" s="704" t="n">
        <v>0</v>
      </c>
      <c r="AU184" s="704" t="n">
        <v>0</v>
      </c>
      <c r="AV184" s="704" t="n">
        <v>0</v>
      </c>
      <c r="AW184" s="704" t="n">
        <v>0</v>
      </c>
      <c r="AX184" s="704" t="n">
        <v>0</v>
      </c>
      <c r="AY184" s="704" t="n">
        <v>0</v>
      </c>
      <c r="AZ184" s="704" t="n">
        <v>0</v>
      </c>
      <c r="BA184" s="704" t="n">
        <v>0</v>
      </c>
      <c r="BB184" s="704" t="n">
        <v>0</v>
      </c>
      <c r="BC184" s="704" t="n">
        <v>0</v>
      </c>
      <c r="BD184" s="704" t="n">
        <v>0</v>
      </c>
      <c r="BE184" s="704" t="n">
        <v>0</v>
      </c>
      <c r="BF184" s="704" t="n">
        <v>0</v>
      </c>
      <c r="BG184" s="704" t="n">
        <v>0</v>
      </c>
      <c r="BH184" s="704" t="n">
        <v>0</v>
      </c>
      <c r="BI184" s="704" t="n">
        <v>0</v>
      </c>
      <c r="BJ184" s="704" t="n">
        <v>0</v>
      </c>
      <c r="BK184" s="704" t="n">
        <v>0</v>
      </c>
      <c r="BL184" s="704" t="n">
        <v>0</v>
      </c>
      <c r="BM184" s="704" t="n">
        <v>0</v>
      </c>
      <c r="BN184" s="704" t="n">
        <v>0</v>
      </c>
      <c r="BO184" s="704" t="n">
        <v>0</v>
      </c>
      <c r="BP184" s="704" t="n">
        <v>0</v>
      </c>
      <c r="BQ184" s="704" t="n">
        <v>0</v>
      </c>
      <c r="BR184" s="704" t="n">
        <v>0</v>
      </c>
      <c r="BS184" s="704" t="n">
        <v>0</v>
      </c>
      <c r="BT184" s="704" t="n">
        <v>0</v>
      </c>
      <c r="BU184" s="704" t="n">
        <v>0</v>
      </c>
      <c r="BV184" s="704" t="n">
        <v>0</v>
      </c>
      <c r="BW184" s="704" t="n">
        <v>0</v>
      </c>
      <c r="BX184" s="704" t="n">
        <v>0</v>
      </c>
      <c r="BY184" s="704" t="n">
        <v>0</v>
      </c>
      <c r="BZ184" s="704" t="n">
        <v>0</v>
      </c>
      <c r="CA184" s="704" t="n">
        <v>0</v>
      </c>
      <c r="CB184" s="704" t="n">
        <v>0</v>
      </c>
      <c r="CC184" s="704" t="n">
        <v>0</v>
      </c>
      <c r="CD184" s="704" t="n">
        <v>0</v>
      </c>
      <c r="CE184" s="704" t="n">
        <v>0</v>
      </c>
      <c r="CF184" s="704" t="n">
        <v>0</v>
      </c>
      <c r="CG184" s="704" t="n">
        <v>0</v>
      </c>
      <c r="CH184" s="704" t="n">
        <v>0</v>
      </c>
      <c r="CI184" s="704" t="n">
        <v>0</v>
      </c>
      <c r="CJ184" s="704" t="n">
        <v>0</v>
      </c>
      <c r="CK184" s="704" t="n">
        <v>0</v>
      </c>
      <c r="CL184" s="704" t="n">
        <v>0</v>
      </c>
      <c r="CM184" s="704" t="n">
        <v>0</v>
      </c>
      <c r="CN184" s="704" t="n">
        <v>0</v>
      </c>
      <c r="CO184" s="704" t="n">
        <v>0</v>
      </c>
      <c r="CP184" s="704" t="n">
        <v>0</v>
      </c>
      <c r="CQ184" s="704" t="n">
        <v>0</v>
      </c>
      <c r="CR184" s="704" t="n">
        <v>0</v>
      </c>
      <c r="CS184" s="704" t="n">
        <v>0</v>
      </c>
      <c r="CT184" s="704" t="n">
        <v>0</v>
      </c>
      <c r="CU184" s="704" t="n">
        <v>0</v>
      </c>
      <c r="CV184" s="704" t="n">
        <v>0</v>
      </c>
      <c r="CW184" s="704" t="n">
        <v>0</v>
      </c>
      <c r="CX184" s="704" t="n">
        <v>0</v>
      </c>
      <c r="CY184" s="704" t="n">
        <v>0</v>
      </c>
      <c r="CZ184" s="704" t="n">
        <v>0</v>
      </c>
      <c r="DA184" s="704" t="n">
        <v>0</v>
      </c>
      <c r="DB184" s="704" t="n">
        <v>0</v>
      </c>
      <c r="DC184" s="704" t="n">
        <v>0</v>
      </c>
      <c r="DD184" s="704" t="n">
        <v>0</v>
      </c>
      <c r="DE184" s="704" t="n">
        <v>0</v>
      </c>
      <c r="DF184" s="704" t="n">
        <v>0</v>
      </c>
      <c r="DG184" s="704" t="n">
        <v>0</v>
      </c>
      <c r="DH184" s="704" t="n">
        <v>0</v>
      </c>
      <c r="DI184" s="704" t="n">
        <v>0</v>
      </c>
      <c r="DJ184" s="704" t="n">
        <v>0</v>
      </c>
      <c r="DK184" s="704" t="n">
        <v>0</v>
      </c>
      <c r="DL184" s="704" t="n">
        <v>0</v>
      </c>
      <c r="DM184" s="704" t="n">
        <v>0</v>
      </c>
    </row>
    <row r="185" ht="13.5" customHeight="1" s="355">
      <c r="B185" s="703" t="inlineStr">
        <is>
          <t>Req to Pay</t>
        </is>
      </c>
      <c r="D185" s="704" t="n">
        <v>0</v>
      </c>
      <c r="E185" s="704" t="n">
        <v>0</v>
      </c>
      <c r="F185" s="704" t="n">
        <v>0</v>
      </c>
      <c r="G185" s="704" t="n">
        <v>0</v>
      </c>
      <c r="H185" s="704" t="n">
        <v>0</v>
      </c>
      <c r="I185" s="704" t="n">
        <v>0</v>
      </c>
      <c r="J185" s="704" t="n">
        <v>0</v>
      </c>
      <c r="K185" s="704" t="n">
        <v>0</v>
      </c>
      <c r="L185" s="704" t="n">
        <v>0</v>
      </c>
      <c r="M185" s="704" t="n">
        <v>0</v>
      </c>
      <c r="N185" s="704" t="n">
        <v>0</v>
      </c>
      <c r="O185" s="704" t="n">
        <v>0</v>
      </c>
      <c r="P185" s="704" t="n">
        <v>0</v>
      </c>
      <c r="Q185" s="704" t="n">
        <v>0</v>
      </c>
      <c r="R185" s="704" t="n">
        <v>0</v>
      </c>
      <c r="S185" s="704" t="n">
        <v>0</v>
      </c>
      <c r="T185" s="704" t="n">
        <v>0</v>
      </c>
      <c r="U185" s="704" t="n">
        <v>0</v>
      </c>
      <c r="V185" s="704" t="n">
        <v>0</v>
      </c>
      <c r="W185" s="704" t="n">
        <v>0</v>
      </c>
      <c r="X185" s="704" t="n">
        <v>0</v>
      </c>
      <c r="Y185" s="704" t="n">
        <v>0</v>
      </c>
      <c r="Z185" s="704" t="n">
        <v>0</v>
      </c>
      <c r="AA185" s="704" t="n">
        <v>0</v>
      </c>
      <c r="AB185" s="704" t="n">
        <v>0</v>
      </c>
      <c r="AC185" s="704" t="n">
        <v>0</v>
      </c>
      <c r="AD185" s="704" t="n">
        <v>0</v>
      </c>
      <c r="AE185" s="704" t="n">
        <v>0</v>
      </c>
      <c r="AF185" s="704" t="n">
        <v>0</v>
      </c>
      <c r="AG185" s="704" t="n">
        <v>0</v>
      </c>
      <c r="AH185" s="704" t="n">
        <v>0</v>
      </c>
      <c r="AI185" s="704" t="n">
        <v>0</v>
      </c>
      <c r="AJ185" s="704" t="n">
        <v>0</v>
      </c>
      <c r="AK185" s="704" t="n">
        <v>0</v>
      </c>
      <c r="AL185" s="704" t="n">
        <v>0</v>
      </c>
      <c r="AM185" s="704" t="n">
        <v>0</v>
      </c>
      <c r="AN185" s="704" t="n">
        <v>0</v>
      </c>
      <c r="AO185" s="704" t="n">
        <v>0</v>
      </c>
      <c r="AP185" s="704" t="n">
        <v>0</v>
      </c>
      <c r="AQ185" s="704" t="n">
        <v>0</v>
      </c>
      <c r="AR185" s="704" t="n">
        <v>0</v>
      </c>
      <c r="AS185" s="704" t="n">
        <v>0</v>
      </c>
      <c r="AT185" s="704" t="n">
        <v>0</v>
      </c>
      <c r="AU185" s="704" t="n">
        <v>0</v>
      </c>
      <c r="AV185" s="704" t="n">
        <v>0</v>
      </c>
      <c r="AW185" s="704" t="n">
        <v>0</v>
      </c>
      <c r="AX185" s="704" t="n">
        <v>0</v>
      </c>
      <c r="AY185" s="704" t="n">
        <v>0</v>
      </c>
      <c r="AZ185" s="704" t="n">
        <v>0</v>
      </c>
      <c r="BA185" s="704" t="n">
        <v>0</v>
      </c>
      <c r="BB185" s="704" t="n">
        <v>0</v>
      </c>
      <c r="BC185" s="704" t="n">
        <v>0</v>
      </c>
      <c r="BD185" s="704" t="n">
        <v>0</v>
      </c>
      <c r="BE185" s="704" t="n">
        <v>0</v>
      </c>
      <c r="BF185" s="704" t="n">
        <v>0</v>
      </c>
      <c r="BG185" s="704" t="n">
        <v>0</v>
      </c>
      <c r="BH185" s="704" t="n">
        <v>0</v>
      </c>
      <c r="BI185" s="704" t="n">
        <v>0</v>
      </c>
      <c r="BJ185" s="704" t="n">
        <v>0</v>
      </c>
      <c r="BK185" s="704" t="n">
        <v>0</v>
      </c>
      <c r="BL185" s="704" t="n">
        <v>0</v>
      </c>
      <c r="BM185" s="704" t="n">
        <v>0</v>
      </c>
      <c r="BN185" s="704" t="n">
        <v>0</v>
      </c>
      <c r="BO185" s="704" t="n">
        <v>0</v>
      </c>
      <c r="BP185" s="704" t="n">
        <v>0</v>
      </c>
      <c r="BQ185" s="704" t="n">
        <v>0</v>
      </c>
      <c r="BR185" s="704" t="n">
        <v>0</v>
      </c>
      <c r="BS185" s="704" t="n">
        <v>0</v>
      </c>
      <c r="BT185" s="704" t="n">
        <v>0</v>
      </c>
      <c r="BU185" s="704" t="n">
        <v>0</v>
      </c>
      <c r="BV185" s="704" t="n">
        <v>0</v>
      </c>
      <c r="BW185" s="704" t="n">
        <v>0</v>
      </c>
      <c r="BX185" s="704" t="n">
        <v>0</v>
      </c>
      <c r="BY185" s="704" t="n">
        <v>0</v>
      </c>
      <c r="BZ185" s="704" t="n">
        <v>0</v>
      </c>
      <c r="CA185" s="704" t="n">
        <v>0</v>
      </c>
      <c r="CB185" s="704" t="n">
        <v>0</v>
      </c>
      <c r="CC185" s="704" t="n">
        <v>0</v>
      </c>
      <c r="CD185" s="704" t="n">
        <v>0</v>
      </c>
      <c r="CE185" s="704" t="n">
        <v>0</v>
      </c>
      <c r="CF185" s="704" t="n">
        <v>0</v>
      </c>
      <c r="CG185" s="704" t="n">
        <v>0</v>
      </c>
      <c r="CH185" s="704" t="n">
        <v>0</v>
      </c>
      <c r="CI185" s="704" t="n">
        <v>0</v>
      </c>
      <c r="CJ185" s="704" t="n">
        <v>0</v>
      </c>
      <c r="CK185" s="704" t="n">
        <v>0</v>
      </c>
      <c r="CL185" s="704" t="n">
        <v>0</v>
      </c>
      <c r="CM185" s="704" t="n">
        <v>0</v>
      </c>
      <c r="CN185" s="704" t="n">
        <v>0</v>
      </c>
      <c r="CO185" s="704" t="n">
        <v>0</v>
      </c>
      <c r="CP185" s="704" t="n">
        <v>0</v>
      </c>
      <c r="CQ185" s="704" t="n">
        <v>0</v>
      </c>
      <c r="CR185" s="704" t="n">
        <v>0</v>
      </c>
      <c r="CS185" s="704" t="n">
        <v>0</v>
      </c>
      <c r="CT185" s="704" t="n">
        <v>0</v>
      </c>
      <c r="CU185" s="704" t="n">
        <v>0</v>
      </c>
      <c r="CV185" s="704" t="n">
        <v>0</v>
      </c>
      <c r="CW185" s="704" t="n">
        <v>0</v>
      </c>
      <c r="CX185" s="704" t="n">
        <v>0</v>
      </c>
      <c r="CY185" s="704" t="n">
        <v>0</v>
      </c>
      <c r="CZ185" s="704" t="n">
        <v>0</v>
      </c>
      <c r="DA185" s="704" t="n">
        <v>0</v>
      </c>
      <c r="DB185" s="704" t="n">
        <v>0</v>
      </c>
      <c r="DC185" s="704" t="n">
        <v>0</v>
      </c>
      <c r="DD185" s="704" t="n">
        <v>0</v>
      </c>
      <c r="DE185" s="704" t="n">
        <v>0</v>
      </c>
      <c r="DF185" s="704" t="n">
        <v>0</v>
      </c>
      <c r="DG185" s="704" t="n">
        <v>0</v>
      </c>
      <c r="DH185" s="704" t="n">
        <v>0</v>
      </c>
      <c r="DI185" s="704" t="n">
        <v>0</v>
      </c>
      <c r="DJ185" s="704" t="n">
        <v>0</v>
      </c>
      <c r="DK185" s="704" t="n">
        <v>0</v>
      </c>
      <c r="DL185" s="704" t="n">
        <v>0</v>
      </c>
      <c r="DM185" s="704" t="n">
        <v>0</v>
      </c>
    </row>
    <row r="186" ht="13.5" customHeight="1" s="355">
      <c r="B186" s="703" t="inlineStr">
        <is>
          <t>Team Leader</t>
        </is>
      </c>
      <c r="D186" s="704" t="n">
        <v>0</v>
      </c>
      <c r="E186" s="704" t="n">
        <v>0</v>
      </c>
      <c r="F186" s="704" t="n">
        <v>0</v>
      </c>
      <c r="G186" s="704" t="n">
        <v>0</v>
      </c>
      <c r="H186" s="704" t="n">
        <v>0</v>
      </c>
      <c r="I186" s="704" t="n">
        <v>0</v>
      </c>
      <c r="J186" s="704" t="n">
        <v>0</v>
      </c>
      <c r="K186" s="704" t="n">
        <v>0</v>
      </c>
      <c r="L186" s="704" t="n">
        <v>0</v>
      </c>
      <c r="M186" s="704" t="n">
        <v>0</v>
      </c>
      <c r="N186" s="704" t="n">
        <v>0</v>
      </c>
      <c r="O186" s="704" t="n">
        <v>0</v>
      </c>
      <c r="P186" s="704" t="n">
        <v>0</v>
      </c>
      <c r="Q186" s="704" t="n">
        <v>0</v>
      </c>
      <c r="R186" s="704" t="n">
        <v>0</v>
      </c>
      <c r="S186" s="704" t="n">
        <v>0</v>
      </c>
      <c r="T186" s="704" t="n">
        <v>0</v>
      </c>
      <c r="U186" s="704" t="n">
        <v>0</v>
      </c>
      <c r="V186" s="704" t="n">
        <v>0</v>
      </c>
      <c r="W186" s="704" t="n">
        <v>0</v>
      </c>
      <c r="X186" s="704" t="n">
        <v>0</v>
      </c>
      <c r="Y186" s="704" t="n">
        <v>0</v>
      </c>
      <c r="Z186" s="704" t="n">
        <v>0</v>
      </c>
      <c r="AA186" s="704" t="n">
        <v>0</v>
      </c>
      <c r="AB186" s="704" t="n">
        <v>0</v>
      </c>
      <c r="AC186" s="704" t="n">
        <v>0</v>
      </c>
      <c r="AD186" s="704" t="n">
        <v>0</v>
      </c>
      <c r="AE186" s="704" t="n">
        <v>0</v>
      </c>
      <c r="AF186" s="704" t="n">
        <v>0</v>
      </c>
      <c r="AG186" s="704" t="n">
        <v>0</v>
      </c>
      <c r="AH186" s="704" t="n">
        <v>0</v>
      </c>
      <c r="AI186" s="704" t="n">
        <v>0</v>
      </c>
      <c r="AJ186" s="704" t="n">
        <v>0</v>
      </c>
      <c r="AK186" s="704" t="n">
        <v>0</v>
      </c>
      <c r="AL186" s="704" t="n">
        <v>0</v>
      </c>
      <c r="AM186" s="704" t="n">
        <v>0</v>
      </c>
      <c r="AN186" s="704" t="n">
        <v>0</v>
      </c>
      <c r="AO186" s="704" t="n">
        <v>0</v>
      </c>
      <c r="AP186" s="704" t="n">
        <v>0</v>
      </c>
      <c r="AQ186" s="704" t="n">
        <v>0</v>
      </c>
      <c r="AR186" s="704" t="n">
        <v>0</v>
      </c>
      <c r="AS186" s="704" t="n">
        <v>0</v>
      </c>
      <c r="AT186" s="704" t="n">
        <v>0</v>
      </c>
      <c r="AU186" s="704" t="n">
        <v>0</v>
      </c>
      <c r="AV186" s="704" t="n">
        <v>0</v>
      </c>
      <c r="AW186" s="704" t="n">
        <v>0</v>
      </c>
      <c r="AX186" s="704" t="n">
        <v>0</v>
      </c>
      <c r="AY186" s="704" t="n">
        <v>0</v>
      </c>
      <c r="AZ186" s="704" t="n">
        <v>0</v>
      </c>
      <c r="BA186" s="704" t="n">
        <v>0</v>
      </c>
      <c r="BB186" s="704" t="n">
        <v>0</v>
      </c>
      <c r="BC186" s="704" t="n">
        <v>0</v>
      </c>
      <c r="BD186" s="704" t="n">
        <v>0</v>
      </c>
      <c r="BE186" s="704" t="n">
        <v>0</v>
      </c>
      <c r="BF186" s="704" t="n">
        <v>0</v>
      </c>
      <c r="BG186" s="704" t="n">
        <v>0</v>
      </c>
      <c r="BH186" s="704" t="n">
        <v>0</v>
      </c>
      <c r="BI186" s="704" t="n">
        <v>0</v>
      </c>
      <c r="BJ186" s="704" t="n">
        <v>0</v>
      </c>
      <c r="BK186" s="704" t="n">
        <v>0</v>
      </c>
      <c r="BL186" s="704" t="n">
        <v>0</v>
      </c>
      <c r="BM186" s="704" t="n">
        <v>0</v>
      </c>
      <c r="BN186" s="704" t="n">
        <v>0</v>
      </c>
      <c r="BO186" s="704" t="n">
        <v>0</v>
      </c>
      <c r="BP186" s="704" t="n">
        <v>0</v>
      </c>
      <c r="BQ186" s="704" t="n">
        <v>0</v>
      </c>
      <c r="BR186" s="704" t="n">
        <v>0</v>
      </c>
      <c r="BS186" s="704" t="n">
        <v>0</v>
      </c>
      <c r="BT186" s="704" t="n">
        <v>0</v>
      </c>
      <c r="BU186" s="704" t="n">
        <v>0</v>
      </c>
      <c r="BV186" s="704" t="n">
        <v>0</v>
      </c>
      <c r="BW186" s="704" t="n">
        <v>0</v>
      </c>
      <c r="BX186" s="704" t="n">
        <v>0</v>
      </c>
      <c r="BY186" s="704" t="n">
        <v>0</v>
      </c>
      <c r="BZ186" s="704" t="n">
        <v>0</v>
      </c>
      <c r="CA186" s="704" t="n">
        <v>0</v>
      </c>
      <c r="CB186" s="704" t="n">
        <v>0</v>
      </c>
      <c r="CC186" s="704" t="n">
        <v>0</v>
      </c>
      <c r="CD186" s="704" t="n">
        <v>0</v>
      </c>
      <c r="CE186" s="704" t="n">
        <v>0</v>
      </c>
      <c r="CF186" s="704" t="n">
        <v>0</v>
      </c>
      <c r="CG186" s="704" t="n">
        <v>0</v>
      </c>
      <c r="CH186" s="704" t="n">
        <v>0</v>
      </c>
      <c r="CI186" s="704" t="n">
        <v>0</v>
      </c>
      <c r="CJ186" s="704" t="n">
        <v>0</v>
      </c>
      <c r="CK186" s="704" t="n">
        <v>0</v>
      </c>
      <c r="CL186" s="704" t="n">
        <v>0</v>
      </c>
      <c r="CM186" s="704" t="n">
        <v>0</v>
      </c>
      <c r="CN186" s="704" t="n">
        <v>0</v>
      </c>
      <c r="CO186" s="704" t="n">
        <v>0</v>
      </c>
      <c r="CP186" s="704" t="n">
        <v>0</v>
      </c>
      <c r="CQ186" s="704" t="n">
        <v>0</v>
      </c>
      <c r="CR186" s="704" t="n">
        <v>0</v>
      </c>
      <c r="CS186" s="704" t="n">
        <v>0</v>
      </c>
      <c r="CT186" s="704" t="n">
        <v>0</v>
      </c>
      <c r="CU186" s="704" t="n">
        <v>0</v>
      </c>
      <c r="CV186" s="704" t="n">
        <v>0</v>
      </c>
      <c r="CW186" s="704" t="n">
        <v>0</v>
      </c>
      <c r="CX186" s="704" t="n">
        <v>0</v>
      </c>
      <c r="CY186" s="704" t="n">
        <v>0</v>
      </c>
      <c r="CZ186" s="704" t="n">
        <v>0</v>
      </c>
      <c r="DA186" s="704" t="n">
        <v>0</v>
      </c>
      <c r="DB186" s="704" t="n">
        <v>0</v>
      </c>
      <c r="DC186" s="704" t="n">
        <v>0</v>
      </c>
      <c r="DD186" s="704" t="n">
        <v>0</v>
      </c>
      <c r="DE186" s="704" t="n">
        <v>0</v>
      </c>
      <c r="DF186" s="704" t="n">
        <v>0</v>
      </c>
      <c r="DG186" s="704" t="n">
        <v>0</v>
      </c>
      <c r="DH186" s="704" t="n">
        <v>0</v>
      </c>
      <c r="DI186" s="704" t="n">
        <v>0</v>
      </c>
      <c r="DJ186" s="704" t="n">
        <v>0</v>
      </c>
      <c r="DK186" s="704" t="n">
        <v>0</v>
      </c>
      <c r="DL186" s="704" t="n">
        <v>0</v>
      </c>
      <c r="DM186" s="704" t="n">
        <v>0</v>
      </c>
    </row>
    <row r="187" ht="13.5" customHeight="1" s="355">
      <c r="B187" s="703" t="inlineStr">
        <is>
          <t>SLA Metric Reporting</t>
        </is>
      </c>
      <c r="D187" s="704" t="n">
        <v>0</v>
      </c>
      <c r="E187" s="704" t="n">
        <v>0</v>
      </c>
      <c r="F187" s="704" t="n">
        <v>0</v>
      </c>
      <c r="G187" s="704" t="n">
        <v>0</v>
      </c>
      <c r="H187" s="704" t="n">
        <v>0</v>
      </c>
      <c r="I187" s="704" t="n">
        <v>0</v>
      </c>
      <c r="J187" s="704" t="n">
        <v>0</v>
      </c>
      <c r="K187" s="704" t="n">
        <v>0</v>
      </c>
      <c r="L187" s="704" t="n">
        <v>0</v>
      </c>
      <c r="M187" s="704" t="n">
        <v>0</v>
      </c>
      <c r="N187" s="704" t="n">
        <v>0</v>
      </c>
      <c r="O187" s="704" t="n">
        <v>0</v>
      </c>
      <c r="P187" s="704" t="n">
        <v>0</v>
      </c>
      <c r="Q187" s="704" t="n">
        <v>0</v>
      </c>
      <c r="R187" s="704" t="n">
        <v>0</v>
      </c>
      <c r="S187" s="704" t="n">
        <v>0</v>
      </c>
      <c r="T187" s="704" t="n">
        <v>0</v>
      </c>
      <c r="U187" s="704" t="n">
        <v>0</v>
      </c>
      <c r="V187" s="704" t="n">
        <v>0</v>
      </c>
      <c r="W187" s="704" t="n">
        <v>0</v>
      </c>
      <c r="X187" s="704" t="n">
        <v>0</v>
      </c>
      <c r="Y187" s="704" t="n">
        <v>0</v>
      </c>
      <c r="Z187" s="704" t="n">
        <v>0</v>
      </c>
      <c r="AA187" s="704" t="n">
        <v>0</v>
      </c>
      <c r="AB187" s="704" t="n">
        <v>0</v>
      </c>
      <c r="AC187" s="704" t="n">
        <v>0</v>
      </c>
      <c r="AD187" s="704" t="n">
        <v>0</v>
      </c>
      <c r="AE187" s="704" t="n">
        <v>0</v>
      </c>
      <c r="AF187" s="704" t="n">
        <v>0</v>
      </c>
      <c r="AG187" s="704" t="n">
        <v>0</v>
      </c>
      <c r="AH187" s="704" t="n">
        <v>0</v>
      </c>
      <c r="AI187" s="704" t="n">
        <v>0</v>
      </c>
      <c r="AJ187" s="704" t="n">
        <v>0</v>
      </c>
      <c r="AK187" s="704" t="n">
        <v>0</v>
      </c>
      <c r="AL187" s="704" t="n">
        <v>0</v>
      </c>
      <c r="AM187" s="704" t="n">
        <v>0</v>
      </c>
      <c r="AN187" s="704" t="n">
        <v>0</v>
      </c>
      <c r="AO187" s="704" t="n">
        <v>0</v>
      </c>
      <c r="AP187" s="704" t="n">
        <v>0</v>
      </c>
      <c r="AQ187" s="704" t="n">
        <v>0</v>
      </c>
      <c r="AR187" s="704" t="n">
        <v>0</v>
      </c>
      <c r="AS187" s="704" t="n">
        <v>0</v>
      </c>
      <c r="AT187" s="704" t="n">
        <v>0</v>
      </c>
      <c r="AU187" s="704" t="n">
        <v>0</v>
      </c>
      <c r="AV187" s="704" t="n">
        <v>0</v>
      </c>
      <c r="AW187" s="704" t="n">
        <v>0</v>
      </c>
      <c r="AX187" s="704" t="n">
        <v>0</v>
      </c>
      <c r="AY187" s="704" t="n">
        <v>0</v>
      </c>
      <c r="AZ187" s="704" t="n">
        <v>0</v>
      </c>
      <c r="BA187" s="704" t="n">
        <v>0</v>
      </c>
      <c r="BB187" s="704" t="n">
        <v>0</v>
      </c>
      <c r="BC187" s="704" t="n">
        <v>0</v>
      </c>
      <c r="BD187" s="704" t="n">
        <v>0</v>
      </c>
      <c r="BE187" s="704" t="n">
        <v>0</v>
      </c>
      <c r="BF187" s="704" t="n">
        <v>0</v>
      </c>
      <c r="BG187" s="704" t="n">
        <v>0</v>
      </c>
      <c r="BH187" s="704" t="n">
        <v>0</v>
      </c>
      <c r="BI187" s="704" t="n">
        <v>0</v>
      </c>
      <c r="BJ187" s="704" t="n">
        <v>0</v>
      </c>
      <c r="BK187" s="704" t="n">
        <v>0</v>
      </c>
      <c r="BL187" s="704" t="n">
        <v>0</v>
      </c>
      <c r="BM187" s="704" t="n">
        <v>0</v>
      </c>
      <c r="BN187" s="704" t="n">
        <v>0</v>
      </c>
      <c r="BO187" s="704" t="n">
        <v>0</v>
      </c>
      <c r="BP187" s="704" t="n">
        <v>0</v>
      </c>
      <c r="BQ187" s="704" t="n">
        <v>0</v>
      </c>
      <c r="BR187" s="704" t="n">
        <v>0</v>
      </c>
      <c r="BS187" s="704" t="n">
        <v>0</v>
      </c>
      <c r="BT187" s="704" t="n">
        <v>0</v>
      </c>
      <c r="BU187" s="704" t="n">
        <v>0</v>
      </c>
      <c r="BV187" s="704" t="n">
        <v>0</v>
      </c>
      <c r="BW187" s="704" t="n">
        <v>0</v>
      </c>
      <c r="BX187" s="704" t="n">
        <v>0</v>
      </c>
      <c r="BY187" s="704" t="n">
        <v>0</v>
      </c>
      <c r="BZ187" s="704" t="n">
        <v>0</v>
      </c>
      <c r="CA187" s="704" t="n">
        <v>0</v>
      </c>
      <c r="CB187" s="704" t="n">
        <v>0</v>
      </c>
      <c r="CC187" s="704" t="n">
        <v>0</v>
      </c>
      <c r="CD187" s="704" t="n">
        <v>0</v>
      </c>
      <c r="CE187" s="704" t="n">
        <v>0</v>
      </c>
      <c r="CF187" s="704" t="n">
        <v>0</v>
      </c>
      <c r="CG187" s="704" t="n">
        <v>0</v>
      </c>
      <c r="CH187" s="704" t="n">
        <v>0</v>
      </c>
      <c r="CI187" s="704" t="n">
        <v>0</v>
      </c>
      <c r="CJ187" s="704" t="n">
        <v>0</v>
      </c>
      <c r="CK187" s="704" t="n">
        <v>0</v>
      </c>
      <c r="CL187" s="704" t="n">
        <v>0</v>
      </c>
      <c r="CM187" s="704" t="n">
        <v>0</v>
      </c>
      <c r="CN187" s="704" t="n">
        <v>0</v>
      </c>
      <c r="CO187" s="704" t="n">
        <v>0</v>
      </c>
      <c r="CP187" s="704" t="n">
        <v>0</v>
      </c>
      <c r="CQ187" s="704" t="n">
        <v>0</v>
      </c>
      <c r="CR187" s="704" t="n">
        <v>0</v>
      </c>
      <c r="CS187" s="704" t="n">
        <v>0</v>
      </c>
      <c r="CT187" s="704" t="n">
        <v>0</v>
      </c>
      <c r="CU187" s="704" t="n">
        <v>0</v>
      </c>
      <c r="CV187" s="704" t="n">
        <v>0</v>
      </c>
      <c r="CW187" s="704" t="n">
        <v>0</v>
      </c>
      <c r="CX187" s="704" t="n">
        <v>0</v>
      </c>
      <c r="CY187" s="704" t="n">
        <v>0</v>
      </c>
      <c r="CZ187" s="704" t="n">
        <v>0</v>
      </c>
      <c r="DA187" s="704" t="n">
        <v>0</v>
      </c>
      <c r="DB187" s="704" t="n">
        <v>0</v>
      </c>
      <c r="DC187" s="704" t="n">
        <v>0</v>
      </c>
      <c r="DD187" s="704" t="n">
        <v>0</v>
      </c>
      <c r="DE187" s="704" t="n">
        <v>0</v>
      </c>
      <c r="DF187" s="704" t="n">
        <v>0</v>
      </c>
      <c r="DG187" s="704" t="n">
        <v>0</v>
      </c>
      <c r="DH187" s="704" t="n">
        <v>0</v>
      </c>
      <c r="DI187" s="704" t="n">
        <v>0</v>
      </c>
      <c r="DJ187" s="704" t="n">
        <v>0</v>
      </c>
      <c r="DK187" s="704" t="n">
        <v>0</v>
      </c>
      <c r="DL187" s="704" t="n">
        <v>0</v>
      </c>
      <c r="DM187" s="704" t="n">
        <v>0</v>
      </c>
    </row>
    <row r="188" ht="13.5" customHeight="1" s="355">
      <c r="B188" s="705" t="inlineStr">
        <is>
          <t>Grand Total</t>
        </is>
      </c>
      <c r="C188" s="706" t="n"/>
      <c r="D188" s="707" t="n">
        <v>0</v>
      </c>
      <c r="E188" s="707" t="n">
        <v>0</v>
      </c>
      <c r="F188" s="707" t="n">
        <v>0</v>
      </c>
      <c r="G188" s="707" t="n">
        <v>0</v>
      </c>
      <c r="H188" s="707" t="n">
        <v>0</v>
      </c>
      <c r="I188" s="707" t="n">
        <v>0</v>
      </c>
      <c r="J188" s="707" t="n">
        <v>0</v>
      </c>
      <c r="K188" s="707" t="n">
        <v>0</v>
      </c>
      <c r="L188" s="707" t="n">
        <v>0</v>
      </c>
      <c r="M188" s="707" t="n">
        <v>0</v>
      </c>
      <c r="N188" s="707" t="n">
        <v>0</v>
      </c>
      <c r="O188" s="707" t="n">
        <v>0</v>
      </c>
      <c r="P188" s="707" t="n">
        <v>0</v>
      </c>
      <c r="Q188" s="707" t="n">
        <v>0</v>
      </c>
      <c r="R188" s="707" t="n">
        <v>0</v>
      </c>
      <c r="S188" s="707" t="n">
        <v>0</v>
      </c>
      <c r="T188" s="707" t="n">
        <v>0</v>
      </c>
      <c r="U188" s="707" t="n">
        <v>0</v>
      </c>
      <c r="V188" s="707" t="n">
        <v>0</v>
      </c>
      <c r="W188" s="707" t="n">
        <v>0</v>
      </c>
      <c r="X188" s="707" t="n">
        <v>0</v>
      </c>
      <c r="Y188" s="707" t="n">
        <v>0</v>
      </c>
      <c r="Z188" s="707" t="n">
        <v>0</v>
      </c>
      <c r="AA188" s="707" t="n">
        <v>0</v>
      </c>
      <c r="AB188" s="707" t="n">
        <v>0</v>
      </c>
      <c r="AC188" s="707" t="n">
        <v>0</v>
      </c>
      <c r="AD188" s="707" t="n">
        <v>0</v>
      </c>
      <c r="AE188" s="707" t="n">
        <v>0</v>
      </c>
      <c r="AF188" s="707" t="n">
        <v>0</v>
      </c>
      <c r="AG188" s="707" t="n">
        <v>0</v>
      </c>
      <c r="AH188" s="707" t="n">
        <v>0</v>
      </c>
      <c r="AI188" s="707" t="n">
        <v>0</v>
      </c>
      <c r="AJ188" s="707" t="n">
        <v>0</v>
      </c>
      <c r="AK188" s="707" t="n">
        <v>0</v>
      </c>
      <c r="AL188" s="707" t="n">
        <v>0</v>
      </c>
      <c r="AM188" s="707" t="n">
        <v>0</v>
      </c>
      <c r="AN188" s="707" t="n">
        <v>0</v>
      </c>
      <c r="AO188" s="707" t="n">
        <v>0</v>
      </c>
      <c r="AP188" s="707" t="n">
        <v>0</v>
      </c>
      <c r="AQ188" s="707" t="n">
        <v>0</v>
      </c>
      <c r="AR188" s="707" t="n">
        <v>0</v>
      </c>
      <c r="AS188" s="707" t="n">
        <v>0</v>
      </c>
      <c r="AT188" s="707" t="n">
        <v>0</v>
      </c>
      <c r="AU188" s="707" t="n">
        <v>0</v>
      </c>
      <c r="AV188" s="707" t="n">
        <v>0</v>
      </c>
      <c r="AW188" s="707" t="n">
        <v>0</v>
      </c>
      <c r="AX188" s="707" t="n">
        <v>0</v>
      </c>
      <c r="AY188" s="707" t="n">
        <v>0</v>
      </c>
      <c r="AZ188" s="707" t="n">
        <v>0</v>
      </c>
      <c r="BA188" s="707" t="n">
        <v>0</v>
      </c>
      <c r="BB188" s="707" t="n">
        <v>0</v>
      </c>
      <c r="BC188" s="707" t="n">
        <v>0</v>
      </c>
      <c r="BD188" s="707" t="n">
        <v>0</v>
      </c>
      <c r="BE188" s="707" t="n">
        <v>0</v>
      </c>
      <c r="BF188" s="707" t="n">
        <v>0</v>
      </c>
      <c r="BG188" s="707" t="n">
        <v>0</v>
      </c>
      <c r="BH188" s="707" t="n">
        <v>0</v>
      </c>
      <c r="BI188" s="707" t="n">
        <v>0</v>
      </c>
      <c r="BJ188" s="707" t="n">
        <v>0</v>
      </c>
      <c r="BK188" s="707" t="n">
        <v>0</v>
      </c>
      <c r="BL188" s="707" t="n">
        <v>0</v>
      </c>
      <c r="BM188" s="707" t="n">
        <v>0</v>
      </c>
      <c r="BN188" s="707" t="n">
        <v>0</v>
      </c>
      <c r="BO188" s="707" t="n">
        <v>0</v>
      </c>
      <c r="BP188" s="707" t="n">
        <v>0</v>
      </c>
      <c r="BQ188" s="707" t="n">
        <v>0</v>
      </c>
      <c r="BR188" s="707" t="n">
        <v>0</v>
      </c>
      <c r="BS188" s="707" t="n">
        <v>0</v>
      </c>
      <c r="BT188" s="707" t="n">
        <v>0</v>
      </c>
      <c r="BU188" s="707" t="n">
        <v>0</v>
      </c>
      <c r="BV188" s="707" t="n">
        <v>0</v>
      </c>
      <c r="BW188" s="707" t="n">
        <v>0</v>
      </c>
      <c r="BX188" s="707" t="n">
        <v>0</v>
      </c>
      <c r="BY188" s="707" t="n">
        <v>0</v>
      </c>
      <c r="BZ188" s="707" t="n">
        <v>0</v>
      </c>
      <c r="CA188" s="707" t="n">
        <v>0</v>
      </c>
      <c r="CB188" s="707" t="n">
        <v>0</v>
      </c>
      <c r="CC188" s="707" t="n">
        <v>0</v>
      </c>
      <c r="CD188" s="707" t="n">
        <v>0</v>
      </c>
      <c r="CE188" s="707" t="n">
        <v>0</v>
      </c>
      <c r="CF188" s="707" t="n">
        <v>0</v>
      </c>
      <c r="CG188" s="707" t="n">
        <v>0</v>
      </c>
      <c r="CH188" s="707" t="n">
        <v>0</v>
      </c>
      <c r="CI188" s="707" t="n">
        <v>0</v>
      </c>
      <c r="CJ188" s="707" t="n">
        <v>0</v>
      </c>
      <c r="CK188" s="707" t="n">
        <v>0</v>
      </c>
      <c r="CL188" s="707" t="n">
        <v>0</v>
      </c>
      <c r="CM188" s="707" t="n">
        <v>0</v>
      </c>
      <c r="CN188" s="707" t="n">
        <v>0</v>
      </c>
      <c r="CO188" s="707" t="n">
        <v>0</v>
      </c>
      <c r="CP188" s="707" t="n">
        <v>0</v>
      </c>
      <c r="CQ188" s="707" t="n">
        <v>0</v>
      </c>
      <c r="CR188" s="707" t="n">
        <v>0</v>
      </c>
      <c r="CS188" s="707" t="n">
        <v>0</v>
      </c>
      <c r="CT188" s="707" t="n">
        <v>0</v>
      </c>
      <c r="CU188" s="707" t="n">
        <v>0</v>
      </c>
      <c r="CV188" s="707" t="n">
        <v>0</v>
      </c>
      <c r="CW188" s="707" t="n">
        <v>0</v>
      </c>
      <c r="CX188" s="707" t="n">
        <v>0</v>
      </c>
      <c r="CY188" s="707" t="n">
        <v>0</v>
      </c>
      <c r="CZ188" s="707" t="n">
        <v>0</v>
      </c>
      <c r="DA188" s="707" t="n">
        <v>0</v>
      </c>
      <c r="DB188" s="707" t="n">
        <v>0</v>
      </c>
      <c r="DC188" s="707" t="n">
        <v>0</v>
      </c>
      <c r="DD188" s="707" t="n">
        <v>0</v>
      </c>
      <c r="DE188" s="707" t="n">
        <v>0</v>
      </c>
      <c r="DF188" s="707" t="n">
        <v>0</v>
      </c>
      <c r="DG188" s="707" t="n">
        <v>0</v>
      </c>
      <c r="DH188" s="707" t="n">
        <v>0</v>
      </c>
      <c r="DI188" s="707" t="n">
        <v>0</v>
      </c>
      <c r="DJ188" s="707" t="n">
        <v>0</v>
      </c>
      <c r="DK188" s="707" t="n">
        <v>0</v>
      </c>
      <c r="DL188" s="707" t="n">
        <v>0</v>
      </c>
      <c r="DM188" s="707" t="n">
        <v>0</v>
      </c>
    </row>
    <row r="189" ht="13.5" customHeight="1" s="355">
      <c r="A189" s="702" t="inlineStr">
        <is>
          <t>Grand Total</t>
        </is>
      </c>
      <c r="B189" s="703" t="inlineStr">
        <is>
          <t>Gen Acctg</t>
        </is>
      </c>
      <c r="C189" s="708" t="n">
        <v>0</v>
      </c>
      <c r="D189" s="708" t="n">
        <v>0</v>
      </c>
      <c r="E189" s="708" t="n">
        <v>0</v>
      </c>
      <c r="F189" s="708" t="n">
        <v>0</v>
      </c>
      <c r="G189" s="708" t="n">
        <v>0</v>
      </c>
      <c r="H189" s="708" t="n">
        <v>0</v>
      </c>
      <c r="I189" s="708" t="n">
        <v>0</v>
      </c>
      <c r="J189" s="708" t="n">
        <v>0</v>
      </c>
      <c r="K189" s="708" t="n">
        <v>3.13632725515054</v>
      </c>
      <c r="L189" s="708" t="n">
        <v>5.40145249498148</v>
      </c>
      <c r="M189" s="708" t="n">
        <v>20.808189410654</v>
      </c>
      <c r="N189" s="708" t="n">
        <v>24.2544331944229</v>
      </c>
      <c r="O189" s="708" t="n">
        <v>32.7686825425577</v>
      </c>
      <c r="P189" s="708" t="n">
        <v>37.927779603872</v>
      </c>
      <c r="Q189" s="708" t="n">
        <v>37.927779603872</v>
      </c>
      <c r="R189" s="708" t="n">
        <v>37.927779603872</v>
      </c>
      <c r="S189" s="708" t="n">
        <v>37.927779603872</v>
      </c>
      <c r="T189" s="708" t="n">
        <v>37.927779603872</v>
      </c>
      <c r="U189" s="708" t="n">
        <v>37.927779603872</v>
      </c>
      <c r="V189" s="708" t="n">
        <v>37.927779603872</v>
      </c>
      <c r="W189" s="708" t="n">
        <v>37.927779603872</v>
      </c>
      <c r="X189" s="708" t="n">
        <v>37.927779603872</v>
      </c>
      <c r="Y189" s="708" t="n">
        <v>37.927779603872</v>
      </c>
      <c r="Z189" s="708" t="n">
        <v>37.927779603872</v>
      </c>
      <c r="AA189" s="708" t="n">
        <v>37.927779603872</v>
      </c>
      <c r="AB189" s="708" t="n">
        <v>39.0656129919881</v>
      </c>
      <c r="AC189" s="708" t="n">
        <v>38.0889726671884</v>
      </c>
      <c r="AD189" s="708" t="n">
        <v>38.0889726671884</v>
      </c>
      <c r="AE189" s="708" t="n">
        <v>38.0889726671884</v>
      </c>
      <c r="AF189" s="708" t="n">
        <v>38.0889726671884</v>
      </c>
      <c r="AG189" s="708" t="n">
        <v>38.0889726671884</v>
      </c>
      <c r="AH189" s="708" t="n">
        <v>38.0889726671884</v>
      </c>
      <c r="AI189" s="708" t="n">
        <v>38.0889726671884</v>
      </c>
      <c r="AJ189" s="708" t="n">
        <v>38.0889726671884</v>
      </c>
      <c r="AK189" s="708" t="n">
        <v>38.0889726671884</v>
      </c>
      <c r="AL189" s="708" t="n">
        <v>38.0889726671884</v>
      </c>
      <c r="AM189" s="708" t="n">
        <v>38.0889726671884</v>
      </c>
      <c r="AN189" s="708" t="n">
        <v>39.2316418472041</v>
      </c>
      <c r="AO189" s="708" t="n">
        <v>38.2257023126604</v>
      </c>
      <c r="AP189" s="708" t="n">
        <v>38.2257023126604</v>
      </c>
      <c r="AQ189" s="708" t="n">
        <v>38.2257023126604</v>
      </c>
      <c r="AR189" s="708" t="n">
        <v>38.2257023126604</v>
      </c>
      <c r="AS189" s="708" t="n">
        <v>38.2257023126604</v>
      </c>
      <c r="AT189" s="708" t="n">
        <v>38.2257023126604</v>
      </c>
      <c r="AU189" s="708" t="n">
        <v>38.2257023126604</v>
      </c>
      <c r="AV189" s="708" t="n">
        <v>38.2257023126604</v>
      </c>
      <c r="AW189" s="708" t="n">
        <v>38.2257023126604</v>
      </c>
      <c r="AX189" s="708" t="n">
        <v>38.2257023126604</v>
      </c>
      <c r="AY189" s="708" t="n">
        <v>38.2257023126604</v>
      </c>
      <c r="AZ189" s="708" t="n">
        <v>39.3724733820402</v>
      </c>
      <c r="BA189" s="708" t="n">
        <v>38.3363556614602</v>
      </c>
      <c r="BB189" s="708" t="n">
        <v>38.3363556614602</v>
      </c>
      <c r="BC189" s="708" t="n">
        <v>38.3363556614602</v>
      </c>
      <c r="BD189" s="708" t="n">
        <v>38.3363556614602</v>
      </c>
      <c r="BE189" s="708" t="n">
        <v>38.3363556614602</v>
      </c>
      <c r="BF189" s="708" t="n">
        <v>38.3363556614602</v>
      </c>
      <c r="BG189" s="708" t="n">
        <v>38.3363556614602</v>
      </c>
      <c r="BH189" s="708" t="n">
        <v>38.3363556614602</v>
      </c>
      <c r="BI189" s="708" t="n">
        <v>38.3363556614602</v>
      </c>
      <c r="BJ189" s="708" t="n">
        <v>38.3363556614602</v>
      </c>
      <c r="BK189" s="708" t="n">
        <v>38.3363556614602</v>
      </c>
      <c r="BL189" s="708" t="n">
        <v>39.486446331304</v>
      </c>
      <c r="BM189" s="708" t="n">
        <v>37.3520438269092</v>
      </c>
      <c r="BN189" s="708" t="n">
        <v>37.3520438269092</v>
      </c>
      <c r="BO189" s="708" t="n">
        <v>37.3520438269092</v>
      </c>
      <c r="BP189" s="708" t="n">
        <v>37.3520438269092</v>
      </c>
      <c r="BQ189" s="708" t="n">
        <v>37.3520438269092</v>
      </c>
      <c r="BR189" s="708" t="n">
        <v>37.3520438269092</v>
      </c>
      <c r="BS189" s="708" t="n">
        <v>37.3520438269092</v>
      </c>
      <c r="BT189" s="708" t="n">
        <v>37.3520438269092</v>
      </c>
      <c r="BU189" s="708" t="n">
        <v>37.3520438269092</v>
      </c>
      <c r="BV189" s="708" t="n">
        <v>37.3520438269092</v>
      </c>
      <c r="BW189" s="708" t="n">
        <v>37.3520438269092</v>
      </c>
      <c r="BX189" s="708" t="n">
        <v>38.4726051417164</v>
      </c>
      <c r="BY189" s="708" t="n">
        <v>38.4726051417164</v>
      </c>
      <c r="BZ189" s="708" t="n">
        <v>38.4726051417164</v>
      </c>
      <c r="CA189" s="708" t="n">
        <v>38.4726051417164</v>
      </c>
      <c r="CB189" s="708" t="n">
        <v>38.4726051417164</v>
      </c>
      <c r="CC189" s="708" t="n">
        <v>38.4726051417164</v>
      </c>
      <c r="CD189" s="708" t="n">
        <v>38.4726051417164</v>
      </c>
      <c r="CE189" s="708" t="n">
        <v>38.4726051417164</v>
      </c>
      <c r="CF189" s="708" t="n">
        <v>38.4726051417164</v>
      </c>
      <c r="CG189" s="708" t="n">
        <v>38.4726051417164</v>
      </c>
      <c r="CH189" s="708" t="n">
        <v>38.4726051417164</v>
      </c>
      <c r="CI189" s="708" t="n">
        <v>38.4726051417164</v>
      </c>
      <c r="CJ189" s="708" t="n">
        <v>39.626783295968</v>
      </c>
      <c r="CK189" s="708" t="n">
        <v>39.626783295968</v>
      </c>
      <c r="CL189" s="708" t="n">
        <v>39.626783295968</v>
      </c>
      <c r="CM189" s="708" t="n">
        <v>39.626783295968</v>
      </c>
      <c r="CN189" s="708" t="n">
        <v>39.626783295968</v>
      </c>
      <c r="CO189" s="708" t="n">
        <v>39.626783295968</v>
      </c>
      <c r="CP189" s="708" t="n">
        <v>39.626783295968</v>
      </c>
      <c r="CQ189" s="708" t="n">
        <v>39.626783295968</v>
      </c>
      <c r="CR189" s="708" t="n">
        <v>39.626783295968</v>
      </c>
      <c r="CS189" s="708" t="n">
        <v>39.626783295968</v>
      </c>
      <c r="CT189" s="708" t="n">
        <v>39.626783295968</v>
      </c>
      <c r="CU189" s="708" t="n">
        <v>39.626783295968</v>
      </c>
      <c r="CV189" s="708" t="n">
        <v>40.815586794847</v>
      </c>
      <c r="CW189" s="708" t="n">
        <v>40.815586794847</v>
      </c>
      <c r="CX189" s="708" t="n">
        <v>40.815586794847</v>
      </c>
      <c r="CY189" s="708" t="n">
        <v>40.815586794847</v>
      </c>
      <c r="CZ189" s="708" t="n">
        <v>40.815586794847</v>
      </c>
      <c r="DA189" s="708" t="n">
        <v>40.815586794847</v>
      </c>
      <c r="DB189" s="708" t="n">
        <v>40.815586794847</v>
      </c>
      <c r="DC189" s="708" t="n">
        <v>40.815586794847</v>
      </c>
      <c r="DD189" s="708" t="n">
        <v>40.815586794847</v>
      </c>
      <c r="DE189" s="708" t="n">
        <v>40.815586794847</v>
      </c>
      <c r="DF189" s="708" t="n">
        <v>40.815586794847</v>
      </c>
      <c r="DG189" s="708" t="n">
        <v>40.815586794847</v>
      </c>
      <c r="DH189" s="708" t="n">
        <v>40.815586794847</v>
      </c>
      <c r="DI189" s="708" t="n">
        <v>40.815586794847</v>
      </c>
      <c r="DJ189" s="708" t="n">
        <v>40.815586794847</v>
      </c>
      <c r="DK189" s="708" t="n">
        <v>40.815586794847</v>
      </c>
      <c r="DL189" s="708" t="n">
        <v>40.815586794847</v>
      </c>
      <c r="DM189" s="708" t="n">
        <v>40.815586794847</v>
      </c>
    </row>
    <row r="190" ht="13.5" customHeight="1" s="355">
      <c r="B190" s="703" t="inlineStr">
        <is>
          <t>Reporting</t>
        </is>
      </c>
      <c r="C190" s="708" t="n">
        <v>0</v>
      </c>
      <c r="D190" s="708" t="n">
        <v>0</v>
      </c>
      <c r="E190" s="708" t="n">
        <v>0</v>
      </c>
      <c r="F190" s="708" t="n">
        <v>0</v>
      </c>
      <c r="G190" s="708" t="n">
        <v>0</v>
      </c>
      <c r="H190" s="708" t="n">
        <v>0</v>
      </c>
      <c r="I190" s="708" t="n">
        <v>0</v>
      </c>
      <c r="J190" s="708" t="n">
        <v>0</v>
      </c>
      <c r="K190" s="708" t="n">
        <v>0</v>
      </c>
      <c r="L190" s="708" t="n">
        <v>0</v>
      </c>
      <c r="M190" s="708" t="n">
        <v>0</v>
      </c>
      <c r="N190" s="708" t="n">
        <v>0</v>
      </c>
      <c r="O190" s="708" t="n">
        <v>0</v>
      </c>
      <c r="P190" s="708" t="n">
        <v>0</v>
      </c>
      <c r="Q190" s="708" t="n">
        <v>0</v>
      </c>
      <c r="R190" s="708" t="n">
        <v>0</v>
      </c>
      <c r="S190" s="708" t="n">
        <v>0</v>
      </c>
      <c r="T190" s="708" t="n">
        <v>0</v>
      </c>
      <c r="U190" s="708" t="n">
        <v>0</v>
      </c>
      <c r="V190" s="708" t="n">
        <v>0</v>
      </c>
      <c r="W190" s="708" t="n">
        <v>0</v>
      </c>
      <c r="X190" s="708" t="n">
        <v>0</v>
      </c>
      <c r="Y190" s="708" t="n">
        <v>0</v>
      </c>
      <c r="Z190" s="708" t="n">
        <v>0</v>
      </c>
      <c r="AA190" s="708" t="n">
        <v>0</v>
      </c>
      <c r="AB190" s="708" t="n">
        <v>0</v>
      </c>
      <c r="AC190" s="708" t="n">
        <v>0</v>
      </c>
      <c r="AD190" s="708" t="n">
        <v>0</v>
      </c>
      <c r="AE190" s="708" t="n">
        <v>0</v>
      </c>
      <c r="AF190" s="708" t="n">
        <v>0</v>
      </c>
      <c r="AG190" s="708" t="n">
        <v>0</v>
      </c>
      <c r="AH190" s="708" t="n">
        <v>0</v>
      </c>
      <c r="AI190" s="708" t="n">
        <v>0</v>
      </c>
      <c r="AJ190" s="708" t="n">
        <v>0</v>
      </c>
      <c r="AK190" s="708" t="n">
        <v>0</v>
      </c>
      <c r="AL190" s="708" t="n">
        <v>0</v>
      </c>
      <c r="AM190" s="708" t="n">
        <v>0</v>
      </c>
      <c r="AN190" s="708" t="n">
        <v>0</v>
      </c>
      <c r="AO190" s="708" t="n">
        <v>0</v>
      </c>
      <c r="AP190" s="708" t="n">
        <v>0</v>
      </c>
      <c r="AQ190" s="708" t="n">
        <v>0</v>
      </c>
      <c r="AR190" s="708" t="n">
        <v>0</v>
      </c>
      <c r="AS190" s="708" t="n">
        <v>0</v>
      </c>
      <c r="AT190" s="708" t="n">
        <v>0</v>
      </c>
      <c r="AU190" s="708" t="n">
        <v>0</v>
      </c>
      <c r="AV190" s="708" t="n">
        <v>0</v>
      </c>
      <c r="AW190" s="708" t="n">
        <v>0</v>
      </c>
      <c r="AX190" s="708" t="n">
        <v>0</v>
      </c>
      <c r="AY190" s="708" t="n">
        <v>0</v>
      </c>
      <c r="AZ190" s="708" t="n">
        <v>0</v>
      </c>
      <c r="BA190" s="708" t="n">
        <v>0</v>
      </c>
      <c r="BB190" s="708" t="n">
        <v>0</v>
      </c>
      <c r="BC190" s="708" t="n">
        <v>0</v>
      </c>
      <c r="BD190" s="708" t="n">
        <v>0</v>
      </c>
      <c r="BE190" s="708" t="n">
        <v>0</v>
      </c>
      <c r="BF190" s="708" t="n">
        <v>0</v>
      </c>
      <c r="BG190" s="708" t="n">
        <v>0</v>
      </c>
      <c r="BH190" s="708" t="n">
        <v>0</v>
      </c>
      <c r="BI190" s="708" t="n">
        <v>0</v>
      </c>
      <c r="BJ190" s="708" t="n">
        <v>0</v>
      </c>
      <c r="BK190" s="708" t="n">
        <v>0</v>
      </c>
      <c r="BL190" s="708" t="n">
        <v>0</v>
      </c>
      <c r="BM190" s="708" t="n">
        <v>0</v>
      </c>
      <c r="BN190" s="708" t="n">
        <v>0</v>
      </c>
      <c r="BO190" s="708" t="n">
        <v>0</v>
      </c>
      <c r="BP190" s="708" t="n">
        <v>0</v>
      </c>
      <c r="BQ190" s="708" t="n">
        <v>0</v>
      </c>
      <c r="BR190" s="708" t="n">
        <v>0</v>
      </c>
      <c r="BS190" s="708" t="n">
        <v>0</v>
      </c>
      <c r="BT190" s="708" t="n">
        <v>0</v>
      </c>
      <c r="BU190" s="708" t="n">
        <v>0</v>
      </c>
      <c r="BV190" s="708" t="n">
        <v>0</v>
      </c>
      <c r="BW190" s="708" t="n">
        <v>0</v>
      </c>
      <c r="BX190" s="708" t="n">
        <v>0</v>
      </c>
      <c r="BY190" s="708" t="n">
        <v>0</v>
      </c>
      <c r="BZ190" s="708" t="n">
        <v>0</v>
      </c>
      <c r="CA190" s="708" t="n">
        <v>0</v>
      </c>
      <c r="CB190" s="708" t="n">
        <v>0</v>
      </c>
      <c r="CC190" s="708" t="n">
        <v>0</v>
      </c>
      <c r="CD190" s="708" t="n">
        <v>0</v>
      </c>
      <c r="CE190" s="708" t="n">
        <v>0</v>
      </c>
      <c r="CF190" s="708" t="n">
        <v>0</v>
      </c>
      <c r="CG190" s="708" t="n">
        <v>0</v>
      </c>
      <c r="CH190" s="708" t="n">
        <v>0</v>
      </c>
      <c r="CI190" s="708" t="n">
        <v>0</v>
      </c>
      <c r="CJ190" s="708" t="n">
        <v>0</v>
      </c>
      <c r="CK190" s="708" t="n">
        <v>0</v>
      </c>
      <c r="CL190" s="708" t="n">
        <v>0</v>
      </c>
      <c r="CM190" s="708" t="n">
        <v>0</v>
      </c>
      <c r="CN190" s="708" t="n">
        <v>0</v>
      </c>
      <c r="CO190" s="708" t="n">
        <v>0</v>
      </c>
      <c r="CP190" s="708" t="n">
        <v>0</v>
      </c>
      <c r="CQ190" s="708" t="n">
        <v>0</v>
      </c>
      <c r="CR190" s="708" t="n">
        <v>0</v>
      </c>
      <c r="CS190" s="708" t="n">
        <v>0</v>
      </c>
      <c r="CT190" s="708" t="n">
        <v>0</v>
      </c>
      <c r="CU190" s="708" t="n">
        <v>0</v>
      </c>
      <c r="CV190" s="708" t="n">
        <v>0</v>
      </c>
      <c r="CW190" s="708" t="n">
        <v>0</v>
      </c>
      <c r="CX190" s="708" t="n">
        <v>0</v>
      </c>
      <c r="CY190" s="708" t="n">
        <v>0</v>
      </c>
      <c r="CZ190" s="708" t="n">
        <v>0</v>
      </c>
      <c r="DA190" s="708" t="n">
        <v>0</v>
      </c>
      <c r="DB190" s="708" t="n">
        <v>0</v>
      </c>
      <c r="DC190" s="708" t="n">
        <v>0</v>
      </c>
      <c r="DD190" s="708" t="n">
        <v>0</v>
      </c>
      <c r="DE190" s="708" t="n">
        <v>0</v>
      </c>
      <c r="DF190" s="708" t="n">
        <v>0</v>
      </c>
      <c r="DG190" s="708" t="n">
        <v>0</v>
      </c>
      <c r="DH190" s="708" t="n">
        <v>0</v>
      </c>
      <c r="DI190" s="708" t="n">
        <v>0</v>
      </c>
      <c r="DJ190" s="708" t="n">
        <v>0</v>
      </c>
      <c r="DK190" s="708" t="n">
        <v>0</v>
      </c>
      <c r="DL190" s="708" t="n">
        <v>0</v>
      </c>
      <c r="DM190" s="708" t="n">
        <v>0</v>
      </c>
    </row>
    <row r="191" ht="13.5" customHeight="1" s="355">
      <c r="B191" s="703" t="inlineStr">
        <is>
          <t>Fixed Assets</t>
        </is>
      </c>
      <c r="C191" s="708" t="n">
        <v>0</v>
      </c>
      <c r="D191" s="708" t="n">
        <v>0</v>
      </c>
      <c r="E191" s="708" t="n">
        <v>0</v>
      </c>
      <c r="F191" s="708" t="n">
        <v>0</v>
      </c>
      <c r="G191" s="708" t="n">
        <v>0</v>
      </c>
      <c r="H191" s="708" t="n">
        <v>0</v>
      </c>
      <c r="I191" s="708" t="n">
        <v>0</v>
      </c>
      <c r="J191" s="708" t="n">
        <v>0</v>
      </c>
      <c r="K191" s="708" t="n">
        <v>2.09088483676703</v>
      </c>
      <c r="L191" s="708" t="n">
        <v>3.60096832998765</v>
      </c>
      <c r="M191" s="708" t="n">
        <v>3.60096832998765</v>
      </c>
      <c r="N191" s="708" t="n">
        <v>3.60096832998765</v>
      </c>
      <c r="O191" s="708" t="n">
        <v>4.66524949850451</v>
      </c>
      <c r="P191" s="708" t="n">
        <v>5.32721155658934</v>
      </c>
      <c r="Q191" s="708" t="n">
        <v>5.32721155658934</v>
      </c>
      <c r="R191" s="708" t="n">
        <v>5.32721155658934</v>
      </c>
      <c r="S191" s="708" t="n">
        <v>5.32721155658934</v>
      </c>
      <c r="T191" s="708" t="n">
        <v>5.32721155658934</v>
      </c>
      <c r="U191" s="708" t="n">
        <v>5.32721155658934</v>
      </c>
      <c r="V191" s="708" t="n">
        <v>5.32721155658934</v>
      </c>
      <c r="W191" s="708" t="n">
        <v>5.32721155658934</v>
      </c>
      <c r="X191" s="708" t="n">
        <v>5.32721155658934</v>
      </c>
      <c r="Y191" s="708" t="n">
        <v>5.32721155658934</v>
      </c>
      <c r="Z191" s="708" t="n">
        <v>5.32721155658934</v>
      </c>
      <c r="AA191" s="708" t="n">
        <v>5.32721155658934</v>
      </c>
      <c r="AB191" s="708" t="n">
        <v>5.48702790328702</v>
      </c>
      <c r="AC191" s="708" t="n">
        <v>5.34985220570484</v>
      </c>
      <c r="AD191" s="708" t="n">
        <v>5.34985220570484</v>
      </c>
      <c r="AE191" s="708" t="n">
        <v>5.34985220570484</v>
      </c>
      <c r="AF191" s="708" t="n">
        <v>5.34985220570484</v>
      </c>
      <c r="AG191" s="708" t="n">
        <v>5.34985220570484</v>
      </c>
      <c r="AH191" s="708" t="n">
        <v>5.34985220570484</v>
      </c>
      <c r="AI191" s="708" t="n">
        <v>5.34985220570484</v>
      </c>
      <c r="AJ191" s="708" t="n">
        <v>5.34985220570484</v>
      </c>
      <c r="AK191" s="708" t="n">
        <v>5.34985220570484</v>
      </c>
      <c r="AL191" s="708" t="n">
        <v>5.34985220570484</v>
      </c>
      <c r="AM191" s="708" t="n">
        <v>5.34985220570484</v>
      </c>
      <c r="AN191" s="708" t="n">
        <v>5.51034777187599</v>
      </c>
      <c r="AO191" s="708" t="n">
        <v>5.36905680336634</v>
      </c>
      <c r="AP191" s="708" t="n">
        <v>5.36905680336634</v>
      </c>
      <c r="AQ191" s="708" t="n">
        <v>5.36905680336634</v>
      </c>
      <c r="AR191" s="708" t="n">
        <v>5.36905680336634</v>
      </c>
      <c r="AS191" s="708" t="n">
        <v>5.36905680336634</v>
      </c>
      <c r="AT191" s="708" t="n">
        <v>5.36905680336634</v>
      </c>
      <c r="AU191" s="708" t="n">
        <v>5.36905680336634</v>
      </c>
      <c r="AV191" s="708" t="n">
        <v>5.36905680336634</v>
      </c>
      <c r="AW191" s="708" t="n">
        <v>5.36905680336634</v>
      </c>
      <c r="AX191" s="708" t="n">
        <v>5.36905680336634</v>
      </c>
      <c r="AY191" s="708" t="n">
        <v>5.36905680336634</v>
      </c>
      <c r="AZ191" s="708" t="n">
        <v>5.53012850746733</v>
      </c>
      <c r="BA191" s="708" t="n">
        <v>5.38459880990241</v>
      </c>
      <c r="BB191" s="708" t="n">
        <v>5.38459880990241</v>
      </c>
      <c r="BC191" s="708" t="n">
        <v>5.38459880990241</v>
      </c>
      <c r="BD191" s="708" t="n">
        <v>5.38459880990241</v>
      </c>
      <c r="BE191" s="708" t="n">
        <v>5.38459880990241</v>
      </c>
      <c r="BF191" s="708" t="n">
        <v>5.38459880990241</v>
      </c>
      <c r="BG191" s="708" t="n">
        <v>5.38459880990241</v>
      </c>
      <c r="BH191" s="708" t="n">
        <v>5.38459880990241</v>
      </c>
      <c r="BI191" s="708" t="n">
        <v>5.38459880990241</v>
      </c>
      <c r="BJ191" s="708" t="n">
        <v>5.38459880990241</v>
      </c>
      <c r="BK191" s="708" t="n">
        <v>5.38459880990241</v>
      </c>
      <c r="BL191" s="708" t="n">
        <v>5.54613677419948</v>
      </c>
      <c r="BM191" s="708" t="n">
        <v>5.24634559721572</v>
      </c>
      <c r="BN191" s="708" t="n">
        <v>5.24634559721572</v>
      </c>
      <c r="BO191" s="708" t="n">
        <v>5.24634559721572</v>
      </c>
      <c r="BP191" s="708" t="n">
        <v>5.24634559721572</v>
      </c>
      <c r="BQ191" s="708" t="n">
        <v>5.24634559721572</v>
      </c>
      <c r="BR191" s="708" t="n">
        <v>5.24634559721572</v>
      </c>
      <c r="BS191" s="708" t="n">
        <v>5.24634559721572</v>
      </c>
      <c r="BT191" s="708" t="n">
        <v>5.24634559721572</v>
      </c>
      <c r="BU191" s="708" t="n">
        <v>5.24634559721572</v>
      </c>
      <c r="BV191" s="708" t="n">
        <v>5.24634559721572</v>
      </c>
      <c r="BW191" s="708" t="n">
        <v>5.24634559721572</v>
      </c>
      <c r="BX191" s="708" t="n">
        <v>5.40373596513219</v>
      </c>
      <c r="BY191" s="708" t="n">
        <v>5.40373596513219</v>
      </c>
      <c r="BZ191" s="708" t="n">
        <v>5.40373596513219</v>
      </c>
      <c r="CA191" s="708" t="n">
        <v>5.40373596513219</v>
      </c>
      <c r="CB191" s="708" t="n">
        <v>5.40373596513219</v>
      </c>
      <c r="CC191" s="708" t="n">
        <v>5.40373596513219</v>
      </c>
      <c r="CD191" s="708" t="n">
        <v>5.40373596513219</v>
      </c>
      <c r="CE191" s="708" t="n">
        <v>5.40373596513219</v>
      </c>
      <c r="CF191" s="708" t="n">
        <v>5.40373596513219</v>
      </c>
      <c r="CG191" s="708" t="n">
        <v>5.40373596513219</v>
      </c>
      <c r="CH191" s="708" t="n">
        <v>5.40373596513219</v>
      </c>
      <c r="CI191" s="708" t="n">
        <v>5.40373596513219</v>
      </c>
      <c r="CJ191" s="708" t="n">
        <v>5.56584804408616</v>
      </c>
      <c r="CK191" s="708" t="n">
        <v>5.56584804408616</v>
      </c>
      <c r="CL191" s="708" t="n">
        <v>5.56584804408616</v>
      </c>
      <c r="CM191" s="708" t="n">
        <v>5.56584804408616</v>
      </c>
      <c r="CN191" s="708" t="n">
        <v>5.56584804408616</v>
      </c>
      <c r="CO191" s="708" t="n">
        <v>5.56584804408616</v>
      </c>
      <c r="CP191" s="708" t="n">
        <v>5.56584804408616</v>
      </c>
      <c r="CQ191" s="708" t="n">
        <v>5.56584804408616</v>
      </c>
      <c r="CR191" s="708" t="n">
        <v>5.56584804408616</v>
      </c>
      <c r="CS191" s="708" t="n">
        <v>5.56584804408616</v>
      </c>
      <c r="CT191" s="708" t="n">
        <v>5.56584804408616</v>
      </c>
      <c r="CU191" s="708" t="n">
        <v>5.56584804408616</v>
      </c>
      <c r="CV191" s="708" t="n">
        <v>5.73282348540874</v>
      </c>
      <c r="CW191" s="708" t="n">
        <v>5.73282348540874</v>
      </c>
      <c r="CX191" s="708" t="n">
        <v>5.73282348540874</v>
      </c>
      <c r="CY191" s="708" t="n">
        <v>5.73282348540874</v>
      </c>
      <c r="CZ191" s="708" t="n">
        <v>5.73282348540874</v>
      </c>
      <c r="DA191" s="708" t="n">
        <v>5.73282348540874</v>
      </c>
      <c r="DB191" s="708" t="n">
        <v>5.73282348540874</v>
      </c>
      <c r="DC191" s="708" t="n">
        <v>5.73282348540874</v>
      </c>
      <c r="DD191" s="708" t="n">
        <v>5.73282348540874</v>
      </c>
      <c r="DE191" s="708" t="n">
        <v>5.73282348540874</v>
      </c>
      <c r="DF191" s="708" t="n">
        <v>5.73282348540874</v>
      </c>
      <c r="DG191" s="708" t="n">
        <v>5.73282348540874</v>
      </c>
      <c r="DH191" s="708" t="n">
        <v>5.73282348540874</v>
      </c>
      <c r="DI191" s="708" t="n">
        <v>5.73282348540874</v>
      </c>
      <c r="DJ191" s="708" t="n">
        <v>5.73282348540874</v>
      </c>
      <c r="DK191" s="708" t="n">
        <v>5.73282348540874</v>
      </c>
      <c r="DL191" s="708" t="n">
        <v>5.73282348540874</v>
      </c>
      <c r="DM191" s="708" t="n">
        <v>5.73282348540874</v>
      </c>
    </row>
    <row r="192" ht="13.5" customHeight="1" s="355">
      <c r="B192" s="703" t="inlineStr">
        <is>
          <t>Acct Payable</t>
        </is>
      </c>
      <c r="C192" s="708" t="n">
        <v>0</v>
      </c>
      <c r="D192" s="708" t="n">
        <v>0</v>
      </c>
      <c r="E192" s="708" t="n">
        <v>0</v>
      </c>
      <c r="F192" s="708" t="n">
        <v>0</v>
      </c>
      <c r="G192" s="708" t="n">
        <v>0</v>
      </c>
      <c r="H192" s="708" t="n">
        <v>0</v>
      </c>
      <c r="I192" s="708" t="n">
        <v>0</v>
      </c>
      <c r="J192" s="708" t="n">
        <v>0</v>
      </c>
      <c r="K192" s="708" t="n">
        <v>0</v>
      </c>
      <c r="L192" s="708" t="n">
        <v>49.5794906389738</v>
      </c>
      <c r="M192" s="708" t="n">
        <v>92.2223521949962</v>
      </c>
      <c r="N192" s="708" t="n">
        <v>98.6456956028501</v>
      </c>
      <c r="O192" s="708" t="n">
        <v>140.397427753901</v>
      </c>
      <c r="P192" s="708" t="n">
        <v>144.609350586518</v>
      </c>
      <c r="Q192" s="708" t="n">
        <v>144.609350586518</v>
      </c>
      <c r="R192" s="708" t="n">
        <v>144.609350586518</v>
      </c>
      <c r="S192" s="708" t="n">
        <v>144.609350586518</v>
      </c>
      <c r="T192" s="708" t="n">
        <v>137.061971578369</v>
      </c>
      <c r="U192" s="708" t="n">
        <v>137.061971578369</v>
      </c>
      <c r="V192" s="708" t="n">
        <v>137.061971578369</v>
      </c>
      <c r="W192" s="708" t="n">
        <v>137.061971578369</v>
      </c>
      <c r="X192" s="708" t="n">
        <v>137.061971578369</v>
      </c>
      <c r="Y192" s="708" t="n">
        <v>137.061971578369</v>
      </c>
      <c r="Z192" s="708" t="n">
        <v>137.061971578369</v>
      </c>
      <c r="AA192" s="708" t="n">
        <v>137.061971578369</v>
      </c>
      <c r="AB192" s="708" t="n">
        <v>141.17383072572</v>
      </c>
      <c r="AC192" s="708" t="n">
        <v>133.400030347326</v>
      </c>
      <c r="AD192" s="708" t="n">
        <v>133.400030347326</v>
      </c>
      <c r="AE192" s="708" t="n">
        <v>133.400030347326</v>
      </c>
      <c r="AF192" s="708" t="n">
        <v>133.400030347326</v>
      </c>
      <c r="AG192" s="708" t="n">
        <v>133.400030347326</v>
      </c>
      <c r="AH192" s="708" t="n">
        <v>133.400030347326</v>
      </c>
      <c r="AI192" s="708" t="n">
        <v>133.400030347326</v>
      </c>
      <c r="AJ192" s="708" t="n">
        <v>133.400030347326</v>
      </c>
      <c r="AK192" s="708" t="n">
        <v>133.400030347326</v>
      </c>
      <c r="AL192" s="708" t="n">
        <v>133.400030347326</v>
      </c>
      <c r="AM192" s="708" t="n">
        <v>133.400030347326</v>
      </c>
      <c r="AN192" s="708" t="n">
        <v>137.402031257745</v>
      </c>
      <c r="AO192" s="708" t="n">
        <v>129.395016867999</v>
      </c>
      <c r="AP192" s="708" t="n">
        <v>129.395016867999</v>
      </c>
      <c r="AQ192" s="708" t="n">
        <v>129.395016867999</v>
      </c>
      <c r="AR192" s="708" t="n">
        <v>129.395016867999</v>
      </c>
      <c r="AS192" s="708" t="n">
        <v>129.395016867999</v>
      </c>
      <c r="AT192" s="708" t="n">
        <v>129.395016867999</v>
      </c>
      <c r="AU192" s="708" t="n">
        <v>129.395016867999</v>
      </c>
      <c r="AV192" s="708" t="n">
        <v>129.395016867999</v>
      </c>
      <c r="AW192" s="708" t="n">
        <v>129.395016867999</v>
      </c>
      <c r="AX192" s="708" t="n">
        <v>129.395016867999</v>
      </c>
      <c r="AY192" s="708" t="n">
        <v>129.395016867999</v>
      </c>
      <c r="AZ192" s="708" t="n">
        <v>133.276867374039</v>
      </c>
      <c r="BA192" s="708" t="n">
        <v>128.219140903422</v>
      </c>
      <c r="BB192" s="708" t="n">
        <v>128.219140903422</v>
      </c>
      <c r="BC192" s="708" t="n">
        <v>128.219140903422</v>
      </c>
      <c r="BD192" s="708" t="n">
        <v>128.219140903422</v>
      </c>
      <c r="BE192" s="708" t="n">
        <v>128.219140903422</v>
      </c>
      <c r="BF192" s="708" t="n">
        <v>128.219140903422</v>
      </c>
      <c r="BG192" s="708" t="n">
        <v>128.219140903422</v>
      </c>
      <c r="BH192" s="708" t="n">
        <v>128.219140903422</v>
      </c>
      <c r="BI192" s="708" t="n">
        <v>128.219140903422</v>
      </c>
      <c r="BJ192" s="708" t="n">
        <v>128.219140903422</v>
      </c>
      <c r="BK192" s="708" t="n">
        <v>128.219140903422</v>
      </c>
      <c r="BL192" s="708" t="n">
        <v>132.065715130525</v>
      </c>
      <c r="BM192" s="708" t="n">
        <v>128.780531829179</v>
      </c>
      <c r="BN192" s="708" t="n">
        <v>128.780531829179</v>
      </c>
      <c r="BO192" s="708" t="n">
        <v>128.780531829179</v>
      </c>
      <c r="BP192" s="708" t="n">
        <v>128.780531829179</v>
      </c>
      <c r="BQ192" s="708" t="n">
        <v>128.780531829179</v>
      </c>
      <c r="BR192" s="708" t="n">
        <v>128.780531829179</v>
      </c>
      <c r="BS192" s="708" t="n">
        <v>128.780531829179</v>
      </c>
      <c r="BT192" s="708" t="n">
        <v>128.780531829179</v>
      </c>
      <c r="BU192" s="708" t="n">
        <v>128.780531829179</v>
      </c>
      <c r="BV192" s="708" t="n">
        <v>128.780531829179</v>
      </c>
      <c r="BW192" s="708" t="n">
        <v>128.780531829179</v>
      </c>
      <c r="BX192" s="708" t="n">
        <v>132.643947784054</v>
      </c>
      <c r="BY192" s="708" t="n">
        <v>129.260208983668</v>
      </c>
      <c r="BZ192" s="708" t="n">
        <v>129.260208983668</v>
      </c>
      <c r="CA192" s="708" t="n">
        <v>129.260208983668</v>
      </c>
      <c r="CB192" s="708" t="n">
        <v>129.260208983668</v>
      </c>
      <c r="CC192" s="708" t="n">
        <v>129.260208983668</v>
      </c>
      <c r="CD192" s="708" t="n">
        <v>129.260208983668</v>
      </c>
      <c r="CE192" s="708" t="n">
        <v>129.260208983668</v>
      </c>
      <c r="CF192" s="708" t="n">
        <v>129.260208983668</v>
      </c>
      <c r="CG192" s="708" t="n">
        <v>129.260208983668</v>
      </c>
      <c r="CH192" s="708" t="n">
        <v>129.260208983668</v>
      </c>
      <c r="CI192" s="708" t="n">
        <v>129.260208983668</v>
      </c>
      <c r="CJ192" s="708" t="n">
        <v>133.138015253178</v>
      </c>
      <c r="CK192" s="708" t="n">
        <v>133.138015253178</v>
      </c>
      <c r="CL192" s="708" t="n">
        <v>133.138015253178</v>
      </c>
      <c r="CM192" s="708" t="n">
        <v>133.138015253178</v>
      </c>
      <c r="CN192" s="708" t="n">
        <v>133.138015253178</v>
      </c>
      <c r="CO192" s="708" t="n">
        <v>133.138015253178</v>
      </c>
      <c r="CP192" s="708" t="n">
        <v>133.138015253178</v>
      </c>
      <c r="CQ192" s="708" t="n">
        <v>133.138015253178</v>
      </c>
      <c r="CR192" s="708" t="n">
        <v>133.138015253178</v>
      </c>
      <c r="CS192" s="708" t="n">
        <v>133.138015253178</v>
      </c>
      <c r="CT192" s="708" t="n">
        <v>133.138015253178</v>
      </c>
      <c r="CU192" s="708" t="n">
        <v>133.138015253178</v>
      </c>
      <c r="CV192" s="708" t="n">
        <v>137.132155710773</v>
      </c>
      <c r="CW192" s="708" t="n">
        <v>137.132155710773</v>
      </c>
      <c r="CX192" s="708" t="n">
        <v>137.132155710773</v>
      </c>
      <c r="CY192" s="708" t="n">
        <v>137.132155710773</v>
      </c>
      <c r="CZ192" s="708" t="n">
        <v>137.132155710773</v>
      </c>
      <c r="DA192" s="708" t="n">
        <v>137.132155710773</v>
      </c>
      <c r="DB192" s="708" t="n">
        <v>137.132155710773</v>
      </c>
      <c r="DC192" s="708" t="n">
        <v>137.132155710773</v>
      </c>
      <c r="DD192" s="708" t="n">
        <v>137.132155710773</v>
      </c>
      <c r="DE192" s="708" t="n">
        <v>137.132155710773</v>
      </c>
      <c r="DF192" s="708" t="n">
        <v>137.132155710773</v>
      </c>
      <c r="DG192" s="708" t="n">
        <v>137.132155710773</v>
      </c>
      <c r="DH192" s="708" t="n">
        <v>137.132155710773</v>
      </c>
      <c r="DI192" s="708" t="n">
        <v>137.132155710773</v>
      </c>
      <c r="DJ192" s="708" t="n">
        <v>137.132155710773</v>
      </c>
      <c r="DK192" s="708" t="n">
        <v>137.132155710773</v>
      </c>
      <c r="DL192" s="708" t="n">
        <v>137.132155710773</v>
      </c>
      <c r="DM192" s="708" t="n">
        <v>137.132155710773</v>
      </c>
    </row>
    <row r="193" ht="13.5" customHeight="1" s="355">
      <c r="B193" s="703" t="inlineStr">
        <is>
          <t>Cash&amp;Bank</t>
        </is>
      </c>
      <c r="C193" s="708" t="n">
        <v>0</v>
      </c>
      <c r="D193" s="708" t="n">
        <v>0</v>
      </c>
      <c r="E193" s="708" t="n">
        <v>0</v>
      </c>
      <c r="F193" s="708" t="n">
        <v>0</v>
      </c>
      <c r="G193" s="708" t="n">
        <v>0</v>
      </c>
      <c r="H193" s="708" t="n">
        <v>0</v>
      </c>
      <c r="I193" s="708" t="n">
        <v>0</v>
      </c>
      <c r="J193" s="708" t="n">
        <v>0</v>
      </c>
      <c r="K193" s="708" t="n">
        <v>0</v>
      </c>
      <c r="L193" s="708" t="n">
        <v>0</v>
      </c>
      <c r="M193" s="708" t="n">
        <v>0</v>
      </c>
      <c r="N193" s="708" t="n">
        <v>0</v>
      </c>
      <c r="O193" s="708" t="n">
        <v>3.19284350555056</v>
      </c>
      <c r="P193" s="708" t="n">
        <v>4.85464253010615</v>
      </c>
      <c r="Q193" s="708" t="n">
        <v>4.85464253010615</v>
      </c>
      <c r="R193" s="708" t="n">
        <v>4.85464253010615</v>
      </c>
      <c r="S193" s="708" t="n">
        <v>4.85464253010615</v>
      </c>
      <c r="T193" s="708" t="n">
        <v>4.85464253010615</v>
      </c>
      <c r="U193" s="708" t="n">
        <v>4.85464253010615</v>
      </c>
      <c r="V193" s="708" t="n">
        <v>4.85464253010615</v>
      </c>
      <c r="W193" s="708" t="n">
        <v>4.85464253010615</v>
      </c>
      <c r="X193" s="708" t="n">
        <v>4.85464253010615</v>
      </c>
      <c r="Y193" s="708" t="n">
        <v>4.85464253010615</v>
      </c>
      <c r="Z193" s="708" t="n">
        <v>4.85464253010615</v>
      </c>
      <c r="AA193" s="708" t="n">
        <v>4.85464253010615</v>
      </c>
      <c r="AB193" s="708" t="n">
        <v>5.00028180600934</v>
      </c>
      <c r="AC193" s="708" t="n">
        <v>4.87527476085911</v>
      </c>
      <c r="AD193" s="708" t="n">
        <v>4.87527476085911</v>
      </c>
      <c r="AE193" s="708" t="n">
        <v>4.87527476085911</v>
      </c>
      <c r="AF193" s="708" t="n">
        <v>4.87527476085911</v>
      </c>
      <c r="AG193" s="708" t="n">
        <v>4.87527476085911</v>
      </c>
      <c r="AH193" s="708" t="n">
        <v>4.87527476085911</v>
      </c>
      <c r="AI193" s="708" t="n">
        <v>4.87527476085911</v>
      </c>
      <c r="AJ193" s="708" t="n">
        <v>4.87527476085911</v>
      </c>
      <c r="AK193" s="708" t="n">
        <v>4.87527476085911</v>
      </c>
      <c r="AL193" s="708" t="n">
        <v>4.87527476085911</v>
      </c>
      <c r="AM193" s="708" t="n">
        <v>4.87527476085911</v>
      </c>
      <c r="AN193" s="708" t="n">
        <v>5.02153300368488</v>
      </c>
      <c r="AO193" s="708" t="n">
        <v>4.89277574718014</v>
      </c>
      <c r="AP193" s="708" t="n">
        <v>4.89277574718014</v>
      </c>
      <c r="AQ193" s="708" t="n">
        <v>4.89277574718014</v>
      </c>
      <c r="AR193" s="708" t="n">
        <v>4.89277574718014</v>
      </c>
      <c r="AS193" s="708" t="n">
        <v>4.89277574718014</v>
      </c>
      <c r="AT193" s="708" t="n">
        <v>4.89277574718014</v>
      </c>
      <c r="AU193" s="708" t="n">
        <v>4.89277574718014</v>
      </c>
      <c r="AV193" s="708" t="n">
        <v>4.89277574718014</v>
      </c>
      <c r="AW193" s="708" t="n">
        <v>4.89277574718014</v>
      </c>
      <c r="AX193" s="708" t="n">
        <v>4.89277574718014</v>
      </c>
      <c r="AY193" s="708" t="n">
        <v>4.89277574718014</v>
      </c>
      <c r="AZ193" s="708" t="n">
        <v>5.03955901959554</v>
      </c>
      <c r="BA193" s="708" t="n">
        <v>4.90693904539566</v>
      </c>
      <c r="BB193" s="708" t="n">
        <v>4.90693904539566</v>
      </c>
      <c r="BC193" s="708" t="n">
        <v>4.90693904539566</v>
      </c>
      <c r="BD193" s="708" t="n">
        <v>4.90693904539566</v>
      </c>
      <c r="BE193" s="708" t="n">
        <v>4.90693904539566</v>
      </c>
      <c r="BF193" s="708" t="n">
        <v>4.90693904539566</v>
      </c>
      <c r="BG193" s="708" t="n">
        <v>4.90693904539566</v>
      </c>
      <c r="BH193" s="708" t="n">
        <v>4.90693904539566</v>
      </c>
      <c r="BI193" s="708" t="n">
        <v>4.90693904539566</v>
      </c>
      <c r="BJ193" s="708" t="n">
        <v>4.90693904539566</v>
      </c>
      <c r="BK193" s="708" t="n">
        <v>4.90693904539566</v>
      </c>
      <c r="BL193" s="708" t="n">
        <v>5.05414721675753</v>
      </c>
      <c r="BM193" s="708" t="n">
        <v>4.78095006990577</v>
      </c>
      <c r="BN193" s="708" t="n">
        <v>4.78095006990577</v>
      </c>
      <c r="BO193" s="708" t="n">
        <v>4.78095006990577</v>
      </c>
      <c r="BP193" s="708" t="n">
        <v>4.78095006990577</v>
      </c>
      <c r="BQ193" s="708" t="n">
        <v>4.78095006990577</v>
      </c>
      <c r="BR193" s="708" t="n">
        <v>4.78095006990577</v>
      </c>
      <c r="BS193" s="708" t="n">
        <v>4.78095006990577</v>
      </c>
      <c r="BT193" s="708" t="n">
        <v>4.78095006990577</v>
      </c>
      <c r="BU193" s="708" t="n">
        <v>4.78095006990577</v>
      </c>
      <c r="BV193" s="708" t="n">
        <v>4.78095006990577</v>
      </c>
      <c r="BW193" s="708" t="n">
        <v>4.78095006990577</v>
      </c>
      <c r="BX193" s="708" t="n">
        <v>4.92437857200294</v>
      </c>
      <c r="BY193" s="708" t="n">
        <v>4.92437857200294</v>
      </c>
      <c r="BZ193" s="708" t="n">
        <v>4.92437857200294</v>
      </c>
      <c r="CA193" s="708" t="n">
        <v>4.92437857200294</v>
      </c>
      <c r="CB193" s="708" t="n">
        <v>4.92437857200294</v>
      </c>
      <c r="CC193" s="708" t="n">
        <v>4.92437857200294</v>
      </c>
      <c r="CD193" s="708" t="n">
        <v>4.92437857200294</v>
      </c>
      <c r="CE193" s="708" t="n">
        <v>4.92437857200294</v>
      </c>
      <c r="CF193" s="708" t="n">
        <v>4.92437857200294</v>
      </c>
      <c r="CG193" s="708" t="n">
        <v>4.92437857200294</v>
      </c>
      <c r="CH193" s="708" t="n">
        <v>4.92437857200294</v>
      </c>
      <c r="CI193" s="708" t="n">
        <v>4.92437857200294</v>
      </c>
      <c r="CJ193" s="708" t="n">
        <v>5.07210992916303</v>
      </c>
      <c r="CK193" s="708" t="n">
        <v>5.07210992916303</v>
      </c>
      <c r="CL193" s="708" t="n">
        <v>5.07210992916303</v>
      </c>
      <c r="CM193" s="708" t="n">
        <v>5.07210992916303</v>
      </c>
      <c r="CN193" s="708" t="n">
        <v>5.07210992916303</v>
      </c>
      <c r="CO193" s="708" t="n">
        <v>5.07210992916303</v>
      </c>
      <c r="CP193" s="708" t="n">
        <v>5.07210992916303</v>
      </c>
      <c r="CQ193" s="708" t="n">
        <v>5.07210992916303</v>
      </c>
      <c r="CR193" s="708" t="n">
        <v>5.07210992916303</v>
      </c>
      <c r="CS193" s="708" t="n">
        <v>5.07210992916303</v>
      </c>
      <c r="CT193" s="708" t="n">
        <v>5.07210992916303</v>
      </c>
      <c r="CU193" s="708" t="n">
        <v>5.07210992916303</v>
      </c>
      <c r="CV193" s="708" t="n">
        <v>5.22427322703792</v>
      </c>
      <c r="CW193" s="708" t="n">
        <v>5.22427322703792</v>
      </c>
      <c r="CX193" s="708" t="n">
        <v>5.22427322703792</v>
      </c>
      <c r="CY193" s="708" t="n">
        <v>5.22427322703792</v>
      </c>
      <c r="CZ193" s="708" t="n">
        <v>5.22427322703792</v>
      </c>
      <c r="DA193" s="708" t="n">
        <v>5.22427322703792</v>
      </c>
      <c r="DB193" s="708" t="n">
        <v>5.22427322703792</v>
      </c>
      <c r="DC193" s="708" t="n">
        <v>5.22427322703792</v>
      </c>
      <c r="DD193" s="708" t="n">
        <v>5.22427322703792</v>
      </c>
      <c r="DE193" s="708" t="n">
        <v>5.22427322703792</v>
      </c>
      <c r="DF193" s="708" t="n">
        <v>5.22427322703792</v>
      </c>
      <c r="DG193" s="708" t="n">
        <v>5.22427322703792</v>
      </c>
      <c r="DH193" s="708" t="n">
        <v>5.22427322703792</v>
      </c>
      <c r="DI193" s="708" t="n">
        <v>5.22427322703792</v>
      </c>
      <c r="DJ193" s="708" t="n">
        <v>5.22427322703792</v>
      </c>
      <c r="DK193" s="708" t="n">
        <v>5.22427322703792</v>
      </c>
      <c r="DL193" s="708" t="n">
        <v>5.22427322703792</v>
      </c>
      <c r="DM193" s="708" t="n">
        <v>5.22427322703792</v>
      </c>
    </row>
    <row r="194" ht="13.5" customHeight="1" s="355">
      <c r="B194" s="703" t="inlineStr">
        <is>
          <t>T&amp;E</t>
        </is>
      </c>
      <c r="C194" s="708" t="n">
        <v>0</v>
      </c>
      <c r="D194" s="708" t="n">
        <v>0</v>
      </c>
      <c r="E194" s="708" t="n">
        <v>0</v>
      </c>
      <c r="F194" s="708" t="n">
        <v>0</v>
      </c>
      <c r="G194" s="708" t="n">
        <v>0</v>
      </c>
      <c r="H194" s="708" t="n">
        <v>0</v>
      </c>
      <c r="I194" s="708" t="n">
        <v>0</v>
      </c>
      <c r="J194" s="708" t="n">
        <v>0.107090095934856</v>
      </c>
      <c r="K194" s="708" t="n">
        <v>3.31979297398055</v>
      </c>
      <c r="L194" s="708" t="n">
        <v>5.02008975841249</v>
      </c>
      <c r="M194" s="708" t="n">
        <v>11.8212768961403</v>
      </c>
      <c r="N194" s="708" t="n">
        <v>13.3326518156353</v>
      </c>
      <c r="O194" s="708" t="n">
        <v>23.1565887923532</v>
      </c>
      <c r="P194" s="708" t="n">
        <v>23.8512864561238</v>
      </c>
      <c r="Q194" s="708" t="n">
        <v>23.8512864561238</v>
      </c>
      <c r="R194" s="708" t="n">
        <v>23.8512864561238</v>
      </c>
      <c r="S194" s="708" t="n">
        <v>23.8512864561238</v>
      </c>
      <c r="T194" s="708" t="n">
        <v>23.8512864561238</v>
      </c>
      <c r="U194" s="708" t="n">
        <v>23.8512864561238</v>
      </c>
      <c r="V194" s="708" t="n">
        <v>23.8512864561238</v>
      </c>
      <c r="W194" s="708" t="n">
        <v>23.8512864561238</v>
      </c>
      <c r="X194" s="708" t="n">
        <v>23.8512864561238</v>
      </c>
      <c r="Y194" s="708" t="n">
        <v>23.8512864561238</v>
      </c>
      <c r="Z194" s="708" t="n">
        <v>23.8512864561238</v>
      </c>
      <c r="AA194" s="708" t="n">
        <v>23.8512864561238</v>
      </c>
      <c r="AB194" s="708" t="n">
        <v>24.5668250498075</v>
      </c>
      <c r="AC194" s="708" t="n">
        <v>23.9526544235623</v>
      </c>
      <c r="AD194" s="708" t="n">
        <v>23.9526544235623</v>
      </c>
      <c r="AE194" s="708" t="n">
        <v>23.9526544235623</v>
      </c>
      <c r="AF194" s="708" t="n">
        <v>23.9526544235623</v>
      </c>
      <c r="AG194" s="708" t="n">
        <v>23.9526544235623</v>
      </c>
      <c r="AH194" s="708" t="n">
        <v>23.9526544235623</v>
      </c>
      <c r="AI194" s="708" t="n">
        <v>23.9526544235623</v>
      </c>
      <c r="AJ194" s="708" t="n">
        <v>23.9526544235623</v>
      </c>
      <c r="AK194" s="708" t="n">
        <v>23.9526544235623</v>
      </c>
      <c r="AL194" s="708" t="n">
        <v>23.9526544235623</v>
      </c>
      <c r="AM194" s="708" t="n">
        <v>23.9526544235623</v>
      </c>
      <c r="AN194" s="708" t="n">
        <v>24.6712340562692</v>
      </c>
      <c r="AO194" s="708" t="n">
        <v>24.0386383112367</v>
      </c>
      <c r="AP194" s="708" t="n">
        <v>24.0386383112367</v>
      </c>
      <c r="AQ194" s="708" t="n">
        <v>24.0386383112367</v>
      </c>
      <c r="AR194" s="708" t="n">
        <v>24.0386383112367</v>
      </c>
      <c r="AS194" s="708" t="n">
        <v>24.0386383112367</v>
      </c>
      <c r="AT194" s="708" t="n">
        <v>24.0386383112367</v>
      </c>
      <c r="AU194" s="708" t="n">
        <v>24.0386383112367</v>
      </c>
      <c r="AV194" s="708" t="n">
        <v>24.0386383112367</v>
      </c>
      <c r="AW194" s="708" t="n">
        <v>24.0386383112367</v>
      </c>
      <c r="AX194" s="708" t="n">
        <v>24.0386383112367</v>
      </c>
      <c r="AY194" s="708" t="n">
        <v>24.0386383112367</v>
      </c>
      <c r="AZ194" s="708" t="n">
        <v>24.7597974605738</v>
      </c>
      <c r="BA194" s="708" t="n">
        <v>24.1082238431902</v>
      </c>
      <c r="BB194" s="708" t="n">
        <v>24.1082238431902</v>
      </c>
      <c r="BC194" s="708" t="n">
        <v>24.1082238431902</v>
      </c>
      <c r="BD194" s="708" t="n">
        <v>24.1082238431902</v>
      </c>
      <c r="BE194" s="708" t="n">
        <v>24.1082238431902</v>
      </c>
      <c r="BF194" s="708" t="n">
        <v>24.1082238431902</v>
      </c>
      <c r="BG194" s="708" t="n">
        <v>24.1082238431902</v>
      </c>
      <c r="BH194" s="708" t="n">
        <v>24.1082238431902</v>
      </c>
      <c r="BI194" s="708" t="n">
        <v>24.1082238431902</v>
      </c>
      <c r="BJ194" s="708" t="n">
        <v>24.1082238431902</v>
      </c>
      <c r="BK194" s="708" t="n">
        <v>24.1082238431902</v>
      </c>
      <c r="BL194" s="708" t="n">
        <v>24.831470558486</v>
      </c>
      <c r="BM194" s="708" t="n">
        <v>23.4892289066759</v>
      </c>
      <c r="BN194" s="708" t="n">
        <v>23.4892289066759</v>
      </c>
      <c r="BO194" s="708" t="n">
        <v>23.4892289066759</v>
      </c>
      <c r="BP194" s="708" t="n">
        <v>23.4892289066759</v>
      </c>
      <c r="BQ194" s="708" t="n">
        <v>23.4892289066759</v>
      </c>
      <c r="BR194" s="708" t="n">
        <v>23.4892289066759</v>
      </c>
      <c r="BS194" s="708" t="n">
        <v>23.4892289066759</v>
      </c>
      <c r="BT194" s="708" t="n">
        <v>23.4892289066759</v>
      </c>
      <c r="BU194" s="708" t="n">
        <v>23.4892289066759</v>
      </c>
      <c r="BV194" s="708" t="n">
        <v>23.4892289066759</v>
      </c>
      <c r="BW194" s="708" t="n">
        <v>23.4892289066759</v>
      </c>
      <c r="BX194" s="708" t="n">
        <v>24.1939057738762</v>
      </c>
      <c r="BY194" s="708" t="n">
        <v>24.1939057738762</v>
      </c>
      <c r="BZ194" s="708" t="n">
        <v>24.1939057738762</v>
      </c>
      <c r="CA194" s="708" t="n">
        <v>24.1939057738762</v>
      </c>
      <c r="CB194" s="708" t="n">
        <v>24.1939057738762</v>
      </c>
      <c r="CC194" s="708" t="n">
        <v>24.1939057738762</v>
      </c>
      <c r="CD194" s="708" t="n">
        <v>24.1939057738762</v>
      </c>
      <c r="CE194" s="708" t="n">
        <v>24.1939057738762</v>
      </c>
      <c r="CF194" s="708" t="n">
        <v>24.1939057738762</v>
      </c>
      <c r="CG194" s="708" t="n">
        <v>24.1939057738762</v>
      </c>
      <c r="CH194" s="708" t="n">
        <v>24.1939057738762</v>
      </c>
      <c r="CI194" s="708" t="n">
        <v>24.1939057738762</v>
      </c>
      <c r="CJ194" s="708" t="n">
        <v>24.9197229470925</v>
      </c>
      <c r="CK194" s="708" t="n">
        <v>24.9197229470925</v>
      </c>
      <c r="CL194" s="708" t="n">
        <v>24.9197229470925</v>
      </c>
      <c r="CM194" s="708" t="n">
        <v>24.9197229470925</v>
      </c>
      <c r="CN194" s="708" t="n">
        <v>24.9197229470925</v>
      </c>
      <c r="CO194" s="708" t="n">
        <v>24.9197229470925</v>
      </c>
      <c r="CP194" s="708" t="n">
        <v>24.9197229470925</v>
      </c>
      <c r="CQ194" s="708" t="n">
        <v>24.9197229470925</v>
      </c>
      <c r="CR194" s="708" t="n">
        <v>24.9197229470925</v>
      </c>
      <c r="CS194" s="708" t="n">
        <v>24.9197229470925</v>
      </c>
      <c r="CT194" s="708" t="n">
        <v>24.9197229470925</v>
      </c>
      <c r="CU194" s="708" t="n">
        <v>24.9197229470925</v>
      </c>
      <c r="CV194" s="708" t="n">
        <v>25.6673146355052</v>
      </c>
      <c r="CW194" s="708" t="n">
        <v>25.6673146355052</v>
      </c>
      <c r="CX194" s="708" t="n">
        <v>25.6673146355052</v>
      </c>
      <c r="CY194" s="708" t="n">
        <v>25.6673146355052</v>
      </c>
      <c r="CZ194" s="708" t="n">
        <v>25.6673146355052</v>
      </c>
      <c r="DA194" s="708" t="n">
        <v>25.6673146355052</v>
      </c>
      <c r="DB194" s="708" t="n">
        <v>25.6673146355052</v>
      </c>
      <c r="DC194" s="708" t="n">
        <v>25.6673146355052</v>
      </c>
      <c r="DD194" s="708" t="n">
        <v>25.6673146355052</v>
      </c>
      <c r="DE194" s="708" t="n">
        <v>25.6673146355052</v>
      </c>
      <c r="DF194" s="708" t="n">
        <v>25.6673146355052</v>
      </c>
      <c r="DG194" s="708" t="n">
        <v>25.6673146355052</v>
      </c>
      <c r="DH194" s="708" t="n">
        <v>25.6673146355052</v>
      </c>
      <c r="DI194" s="708" t="n">
        <v>25.6673146355052</v>
      </c>
      <c r="DJ194" s="708" t="n">
        <v>25.6673146355052</v>
      </c>
      <c r="DK194" s="708" t="n">
        <v>25.6673146355052</v>
      </c>
      <c r="DL194" s="708" t="n">
        <v>25.6673146355052</v>
      </c>
      <c r="DM194" s="708" t="n">
        <v>25.6673146355052</v>
      </c>
    </row>
    <row r="195" ht="13.5" customHeight="1" s="355">
      <c r="B195" s="703" t="inlineStr">
        <is>
          <t>Order to Cash</t>
        </is>
      </c>
      <c r="C195" s="708" t="n">
        <v>0</v>
      </c>
      <c r="D195" s="708" t="n">
        <v>0</v>
      </c>
      <c r="E195" s="708" t="n">
        <v>0</v>
      </c>
      <c r="F195" s="708" t="n">
        <v>0</v>
      </c>
      <c r="G195" s="708" t="n">
        <v>0</v>
      </c>
      <c r="H195" s="708" t="n">
        <v>0</v>
      </c>
      <c r="I195" s="708" t="n">
        <v>0</v>
      </c>
      <c r="J195" s="708" t="n">
        <v>0.160635143902284</v>
      </c>
      <c r="K195" s="708" t="n">
        <v>4.97968946097082</v>
      </c>
      <c r="L195" s="708" t="n">
        <v>7.94789413080957</v>
      </c>
      <c r="M195" s="708" t="n">
        <v>16.4695139893789</v>
      </c>
      <c r="N195" s="708" t="n">
        <v>19.1504730460074</v>
      </c>
      <c r="O195" s="708" t="n">
        <v>36.576706914093</v>
      </c>
      <c r="P195" s="708" t="n">
        <v>37.6740081215158</v>
      </c>
      <c r="Q195" s="708" t="n">
        <v>37.6740081215158</v>
      </c>
      <c r="R195" s="708" t="n">
        <v>37.6740081215158</v>
      </c>
      <c r="S195" s="708" t="n">
        <v>37.6740081215158</v>
      </c>
      <c r="T195" s="708" t="n">
        <v>37.6740081215158</v>
      </c>
      <c r="U195" s="708" t="n">
        <v>37.6740081215158</v>
      </c>
      <c r="V195" s="708" t="n">
        <v>37.6740081215158</v>
      </c>
      <c r="W195" s="708" t="n">
        <v>37.6740081215158</v>
      </c>
      <c r="X195" s="708" t="n">
        <v>37.6740081215158</v>
      </c>
      <c r="Y195" s="708" t="n">
        <v>37.6740081215158</v>
      </c>
      <c r="Z195" s="708" t="n">
        <v>37.6740081215158</v>
      </c>
      <c r="AA195" s="708" t="n">
        <v>37.6740081215158</v>
      </c>
      <c r="AB195" s="708" t="n">
        <v>38.8042283651613</v>
      </c>
      <c r="AC195" s="708" t="n">
        <v>37.8341226560323</v>
      </c>
      <c r="AD195" s="708" t="n">
        <v>37.8341226560323</v>
      </c>
      <c r="AE195" s="708" t="n">
        <v>37.8341226560323</v>
      </c>
      <c r="AF195" s="708" t="n">
        <v>37.8341226560323</v>
      </c>
      <c r="AG195" s="708" t="n">
        <v>37.8341226560323</v>
      </c>
      <c r="AH195" s="708" t="n">
        <v>37.8341226560323</v>
      </c>
      <c r="AI195" s="708" t="n">
        <v>37.8341226560323</v>
      </c>
      <c r="AJ195" s="708" t="n">
        <v>37.8341226560323</v>
      </c>
      <c r="AK195" s="708" t="n">
        <v>37.8341226560323</v>
      </c>
      <c r="AL195" s="708" t="n">
        <v>37.8341226560323</v>
      </c>
      <c r="AM195" s="708" t="n">
        <v>37.8341226560323</v>
      </c>
      <c r="AN195" s="708" t="n">
        <v>38.9691463357132</v>
      </c>
      <c r="AO195" s="708" t="n">
        <v>37.9699374553103</v>
      </c>
      <c r="AP195" s="708" t="n">
        <v>37.9699374553103</v>
      </c>
      <c r="AQ195" s="708" t="n">
        <v>37.9699374553103</v>
      </c>
      <c r="AR195" s="708" t="n">
        <v>37.9699374553103</v>
      </c>
      <c r="AS195" s="708" t="n">
        <v>37.9699374553103</v>
      </c>
      <c r="AT195" s="708" t="n">
        <v>37.9699374553103</v>
      </c>
      <c r="AU195" s="708" t="n">
        <v>37.9699374553103</v>
      </c>
      <c r="AV195" s="708" t="n">
        <v>37.9699374553103</v>
      </c>
      <c r="AW195" s="708" t="n">
        <v>37.9699374553103</v>
      </c>
      <c r="AX195" s="708" t="n">
        <v>37.9699374553103</v>
      </c>
      <c r="AY195" s="708" t="n">
        <v>37.9699374553103</v>
      </c>
      <c r="AZ195" s="708" t="n">
        <v>39.1090355789696</v>
      </c>
      <c r="BA195" s="708" t="n">
        <v>38.0798504321546</v>
      </c>
      <c r="BB195" s="708" t="n">
        <v>38.0798504321546</v>
      </c>
      <c r="BC195" s="708" t="n">
        <v>38.0798504321546</v>
      </c>
      <c r="BD195" s="708" t="n">
        <v>38.0798504321546</v>
      </c>
      <c r="BE195" s="708" t="n">
        <v>38.0798504321546</v>
      </c>
      <c r="BF195" s="708" t="n">
        <v>38.0798504321546</v>
      </c>
      <c r="BG195" s="708" t="n">
        <v>38.0798504321546</v>
      </c>
      <c r="BH195" s="708" t="n">
        <v>38.0798504321546</v>
      </c>
      <c r="BI195" s="708" t="n">
        <v>38.0798504321546</v>
      </c>
      <c r="BJ195" s="708" t="n">
        <v>38.0798504321546</v>
      </c>
      <c r="BK195" s="708" t="n">
        <v>38.0798504321546</v>
      </c>
      <c r="BL195" s="708" t="n">
        <v>39.2222459451193</v>
      </c>
      <c r="BM195" s="708" t="n">
        <v>37.1021245426804</v>
      </c>
      <c r="BN195" s="708" t="n">
        <v>37.1021245426804</v>
      </c>
      <c r="BO195" s="708" t="n">
        <v>37.1021245426804</v>
      </c>
      <c r="BP195" s="708" t="n">
        <v>37.1021245426804</v>
      </c>
      <c r="BQ195" s="708" t="n">
        <v>37.1021245426804</v>
      </c>
      <c r="BR195" s="708" t="n">
        <v>37.1021245426804</v>
      </c>
      <c r="BS195" s="708" t="n">
        <v>37.1021245426804</v>
      </c>
      <c r="BT195" s="708" t="n">
        <v>37.1021245426804</v>
      </c>
      <c r="BU195" s="708" t="n">
        <v>37.1021245426804</v>
      </c>
      <c r="BV195" s="708" t="n">
        <v>37.1021245426804</v>
      </c>
      <c r="BW195" s="708" t="n">
        <v>37.1021245426804</v>
      </c>
      <c r="BX195" s="708" t="n">
        <v>38.2151882789608</v>
      </c>
      <c r="BY195" s="708" t="n">
        <v>38.2151882789608</v>
      </c>
      <c r="BZ195" s="708" t="n">
        <v>38.2151882789608</v>
      </c>
      <c r="CA195" s="708" t="n">
        <v>38.2151882789608</v>
      </c>
      <c r="CB195" s="708" t="n">
        <v>38.2151882789608</v>
      </c>
      <c r="CC195" s="708" t="n">
        <v>38.2151882789608</v>
      </c>
      <c r="CD195" s="708" t="n">
        <v>38.2151882789608</v>
      </c>
      <c r="CE195" s="708" t="n">
        <v>38.2151882789608</v>
      </c>
      <c r="CF195" s="708" t="n">
        <v>38.2151882789608</v>
      </c>
      <c r="CG195" s="708" t="n">
        <v>38.2151882789608</v>
      </c>
      <c r="CH195" s="708" t="n">
        <v>38.2151882789608</v>
      </c>
      <c r="CI195" s="708" t="n">
        <v>38.2151882789608</v>
      </c>
      <c r="CJ195" s="708" t="n">
        <v>39.3616439273296</v>
      </c>
      <c r="CK195" s="708" t="n">
        <v>39.3616439273296</v>
      </c>
      <c r="CL195" s="708" t="n">
        <v>39.3616439273296</v>
      </c>
      <c r="CM195" s="708" t="n">
        <v>39.3616439273296</v>
      </c>
      <c r="CN195" s="708" t="n">
        <v>39.3616439273296</v>
      </c>
      <c r="CO195" s="708" t="n">
        <v>39.3616439273296</v>
      </c>
      <c r="CP195" s="708" t="n">
        <v>39.3616439273296</v>
      </c>
      <c r="CQ195" s="708" t="n">
        <v>39.3616439273296</v>
      </c>
      <c r="CR195" s="708" t="n">
        <v>39.3616439273296</v>
      </c>
      <c r="CS195" s="708" t="n">
        <v>39.3616439273296</v>
      </c>
      <c r="CT195" s="708" t="n">
        <v>39.3616439273296</v>
      </c>
      <c r="CU195" s="708" t="n">
        <v>39.3616439273296</v>
      </c>
      <c r="CV195" s="708" t="n">
        <v>40.5424932451495</v>
      </c>
      <c r="CW195" s="708" t="n">
        <v>40.5424932451495</v>
      </c>
      <c r="CX195" s="708" t="n">
        <v>40.5424932451495</v>
      </c>
      <c r="CY195" s="708" t="n">
        <v>40.5424932451495</v>
      </c>
      <c r="CZ195" s="708" t="n">
        <v>40.5424932451495</v>
      </c>
      <c r="DA195" s="708" t="n">
        <v>40.5424932451495</v>
      </c>
      <c r="DB195" s="708" t="n">
        <v>40.5424932451495</v>
      </c>
      <c r="DC195" s="708" t="n">
        <v>40.5424932451495</v>
      </c>
      <c r="DD195" s="708" t="n">
        <v>40.5424932451495</v>
      </c>
      <c r="DE195" s="708" t="n">
        <v>40.5424932451495</v>
      </c>
      <c r="DF195" s="708" t="n">
        <v>40.5424932451495</v>
      </c>
      <c r="DG195" s="708" t="n">
        <v>40.5424932451495</v>
      </c>
      <c r="DH195" s="708" t="n">
        <v>40.5424932451495</v>
      </c>
      <c r="DI195" s="708" t="n">
        <v>40.5424932451495</v>
      </c>
      <c r="DJ195" s="708" t="n">
        <v>40.5424932451495</v>
      </c>
      <c r="DK195" s="708" t="n">
        <v>40.5424932451495</v>
      </c>
      <c r="DL195" s="708" t="n">
        <v>40.5424932451495</v>
      </c>
      <c r="DM195" s="708" t="n">
        <v>40.5424932451495</v>
      </c>
    </row>
    <row r="196" ht="13.5" customHeight="1" s="355">
      <c r="B196" s="703" t="inlineStr">
        <is>
          <t>Req to Pay</t>
        </is>
      </c>
      <c r="C196" s="708" t="n">
        <v>0</v>
      </c>
      <c r="D196" s="708" t="n">
        <v>0</v>
      </c>
      <c r="E196" s="708" t="n">
        <v>0</v>
      </c>
      <c r="F196" s="708" t="n">
        <v>0</v>
      </c>
      <c r="G196" s="708" t="n">
        <v>0</v>
      </c>
      <c r="H196" s="708" t="n">
        <v>0</v>
      </c>
      <c r="I196" s="708" t="n">
        <v>0</v>
      </c>
      <c r="J196" s="708" t="n">
        <v>7.2285814756028</v>
      </c>
      <c r="K196" s="708" t="n">
        <v>14.9390683829125</v>
      </c>
      <c r="L196" s="708" t="n">
        <v>46.6461926894588</v>
      </c>
      <c r="M196" s="708" t="n">
        <v>55.8853547390485</v>
      </c>
      <c r="N196" s="708" t="n">
        <v>69.1141549464155</v>
      </c>
      <c r="O196" s="708" t="n">
        <v>77.93335508466011</v>
      </c>
      <c r="P196" s="708" t="n">
        <v>80.2713557371999</v>
      </c>
      <c r="Q196" s="708" t="n">
        <v>80.2713557371999</v>
      </c>
      <c r="R196" s="708" t="n">
        <v>80.2713557371999</v>
      </c>
      <c r="S196" s="708" t="n">
        <v>80.2713557371999</v>
      </c>
      <c r="T196" s="708" t="n">
        <v>77.5033779531586</v>
      </c>
      <c r="U196" s="708" t="n">
        <v>77.5033779531586</v>
      </c>
      <c r="V196" s="708" t="n">
        <v>77.5033779531586</v>
      </c>
      <c r="W196" s="708" t="n">
        <v>77.5033779531586</v>
      </c>
      <c r="X196" s="708" t="n">
        <v>77.5033779531586</v>
      </c>
      <c r="Y196" s="708" t="n">
        <v>77.5033779531586</v>
      </c>
      <c r="Z196" s="708" t="n">
        <v>77.5033779531586</v>
      </c>
      <c r="AA196" s="708" t="n">
        <v>77.5033779531586</v>
      </c>
      <c r="AB196" s="708" t="n">
        <v>79.8284792917533</v>
      </c>
      <c r="AC196" s="708" t="n">
        <v>76.97746217419071</v>
      </c>
      <c r="AD196" s="708" t="n">
        <v>76.97746217419071</v>
      </c>
      <c r="AE196" s="708" t="n">
        <v>76.97746217419071</v>
      </c>
      <c r="AF196" s="708" t="n">
        <v>76.97746217419071</v>
      </c>
      <c r="AG196" s="708" t="n">
        <v>76.97746217419071</v>
      </c>
      <c r="AH196" s="708" t="n">
        <v>76.97746217419071</v>
      </c>
      <c r="AI196" s="708" t="n">
        <v>76.97746217419071</v>
      </c>
      <c r="AJ196" s="708" t="n">
        <v>76.97746217419071</v>
      </c>
      <c r="AK196" s="708" t="n">
        <v>76.97746217419071</v>
      </c>
      <c r="AL196" s="708" t="n">
        <v>76.97746217419071</v>
      </c>
      <c r="AM196" s="708" t="n">
        <v>76.97746217419071</v>
      </c>
      <c r="AN196" s="708" t="n">
        <v>79.2867860394164</v>
      </c>
      <c r="AO196" s="708" t="n">
        <v>76.3502384083269</v>
      </c>
      <c r="AP196" s="708" t="n">
        <v>76.3502384083269</v>
      </c>
      <c r="AQ196" s="708" t="n">
        <v>76.3502384083269</v>
      </c>
      <c r="AR196" s="708" t="n">
        <v>76.3502384083269</v>
      </c>
      <c r="AS196" s="708" t="n">
        <v>76.3502384083269</v>
      </c>
      <c r="AT196" s="708" t="n">
        <v>76.3502384083269</v>
      </c>
      <c r="AU196" s="708" t="n">
        <v>76.3502384083269</v>
      </c>
      <c r="AV196" s="708" t="n">
        <v>76.3502384083269</v>
      </c>
      <c r="AW196" s="708" t="n">
        <v>76.3502384083269</v>
      </c>
      <c r="AX196" s="708" t="n">
        <v>76.3502384083269</v>
      </c>
      <c r="AY196" s="708" t="n">
        <v>76.3502384083269</v>
      </c>
      <c r="AZ196" s="708" t="n">
        <v>78.6407455605768</v>
      </c>
      <c r="BA196" s="708" t="n">
        <v>75.61610150055461</v>
      </c>
      <c r="BB196" s="708" t="n">
        <v>75.61610150055461</v>
      </c>
      <c r="BC196" s="708" t="n">
        <v>75.61610150055461</v>
      </c>
      <c r="BD196" s="708" t="n">
        <v>75.61610150055461</v>
      </c>
      <c r="BE196" s="708" t="n">
        <v>75.61610150055461</v>
      </c>
      <c r="BF196" s="708" t="n">
        <v>75.61610150055461</v>
      </c>
      <c r="BG196" s="708" t="n">
        <v>75.61610150055461</v>
      </c>
      <c r="BH196" s="708" t="n">
        <v>75.61610150055461</v>
      </c>
      <c r="BI196" s="708" t="n">
        <v>75.61610150055461</v>
      </c>
      <c r="BJ196" s="708" t="n">
        <v>75.61610150055461</v>
      </c>
      <c r="BK196" s="708" t="n">
        <v>75.61610150055461</v>
      </c>
      <c r="BL196" s="708" t="n">
        <v>77.8845845455712</v>
      </c>
      <c r="BM196" s="708" t="n">
        <v>74.76920116374841</v>
      </c>
      <c r="BN196" s="708" t="n">
        <v>74.76920116374841</v>
      </c>
      <c r="BO196" s="708" t="n">
        <v>74.76920116374841</v>
      </c>
      <c r="BP196" s="708" t="n">
        <v>74.76920116374841</v>
      </c>
      <c r="BQ196" s="708" t="n">
        <v>74.76920116374841</v>
      </c>
      <c r="BR196" s="708" t="n">
        <v>74.76920116374841</v>
      </c>
      <c r="BS196" s="708" t="n">
        <v>74.76920116374841</v>
      </c>
      <c r="BT196" s="708" t="n">
        <v>74.76920116374841</v>
      </c>
      <c r="BU196" s="708" t="n">
        <v>74.76920116374841</v>
      </c>
      <c r="BV196" s="708" t="n">
        <v>74.76920116374841</v>
      </c>
      <c r="BW196" s="708" t="n">
        <v>74.76920116374841</v>
      </c>
      <c r="BX196" s="708" t="n">
        <v>77.0122771986608</v>
      </c>
      <c r="BY196" s="708" t="n">
        <v>77.0122771986608</v>
      </c>
      <c r="BZ196" s="708" t="n">
        <v>77.0122771986608</v>
      </c>
      <c r="CA196" s="708" t="n">
        <v>77.0122771986608</v>
      </c>
      <c r="CB196" s="708" t="n">
        <v>77.0122771986608</v>
      </c>
      <c r="CC196" s="708" t="n">
        <v>77.0122771986608</v>
      </c>
      <c r="CD196" s="708" t="n">
        <v>77.0122771986608</v>
      </c>
      <c r="CE196" s="708" t="n">
        <v>77.0122771986608</v>
      </c>
      <c r="CF196" s="708" t="n">
        <v>77.0122771986608</v>
      </c>
      <c r="CG196" s="708" t="n">
        <v>77.0122771986608</v>
      </c>
      <c r="CH196" s="708" t="n">
        <v>77.0122771986608</v>
      </c>
      <c r="CI196" s="708" t="n">
        <v>77.0122771986608</v>
      </c>
      <c r="CJ196" s="708" t="n">
        <v>79.3226455146206</v>
      </c>
      <c r="CK196" s="708" t="n">
        <v>79.3226455146206</v>
      </c>
      <c r="CL196" s="708" t="n">
        <v>79.3226455146206</v>
      </c>
      <c r="CM196" s="708" t="n">
        <v>79.3226455146206</v>
      </c>
      <c r="CN196" s="708" t="n">
        <v>79.3226455146206</v>
      </c>
      <c r="CO196" s="708" t="n">
        <v>79.3226455146206</v>
      </c>
      <c r="CP196" s="708" t="n">
        <v>79.3226455146206</v>
      </c>
      <c r="CQ196" s="708" t="n">
        <v>79.3226455146206</v>
      </c>
      <c r="CR196" s="708" t="n">
        <v>79.3226455146206</v>
      </c>
      <c r="CS196" s="708" t="n">
        <v>79.3226455146206</v>
      </c>
      <c r="CT196" s="708" t="n">
        <v>79.3226455146206</v>
      </c>
      <c r="CU196" s="708" t="n">
        <v>79.3226455146206</v>
      </c>
      <c r="CV196" s="708" t="n">
        <v>81.70232488005929</v>
      </c>
      <c r="CW196" s="708" t="n">
        <v>81.70232488005929</v>
      </c>
      <c r="CX196" s="708" t="n">
        <v>81.70232488005929</v>
      </c>
      <c r="CY196" s="708" t="n">
        <v>81.70232488005929</v>
      </c>
      <c r="CZ196" s="708" t="n">
        <v>81.70232488005929</v>
      </c>
      <c r="DA196" s="708" t="n">
        <v>81.70232488005929</v>
      </c>
      <c r="DB196" s="708" t="n">
        <v>81.70232488005929</v>
      </c>
      <c r="DC196" s="708" t="n">
        <v>81.70232488005929</v>
      </c>
      <c r="DD196" s="708" t="n">
        <v>81.70232488005929</v>
      </c>
      <c r="DE196" s="708" t="n">
        <v>81.70232488005929</v>
      </c>
      <c r="DF196" s="708" t="n">
        <v>81.70232488005929</v>
      </c>
      <c r="DG196" s="708" t="n">
        <v>81.70232488005929</v>
      </c>
      <c r="DH196" s="708" t="n">
        <v>81.70232488005929</v>
      </c>
      <c r="DI196" s="708" t="n">
        <v>81.70232488005929</v>
      </c>
      <c r="DJ196" s="708" t="n">
        <v>81.70232488005929</v>
      </c>
      <c r="DK196" s="708" t="n">
        <v>81.70232488005929</v>
      </c>
      <c r="DL196" s="708" t="n">
        <v>81.70232488005929</v>
      </c>
      <c r="DM196" s="708" t="n">
        <v>81.70232488005929</v>
      </c>
    </row>
    <row r="197" ht="13.5" customHeight="1" s="355">
      <c r="B197" s="703" t="inlineStr">
        <is>
          <t>Team Leader</t>
        </is>
      </c>
      <c r="C197" s="708" t="n">
        <v>0</v>
      </c>
      <c r="D197" s="708" t="n">
        <v>0</v>
      </c>
      <c r="E197" s="708" t="n">
        <v>0</v>
      </c>
      <c r="F197" s="708" t="n">
        <v>0</v>
      </c>
      <c r="G197" s="708" t="n">
        <v>0</v>
      </c>
      <c r="H197" s="708" t="n">
        <v>0</v>
      </c>
      <c r="I197" s="708" t="n">
        <v>0</v>
      </c>
      <c r="J197" s="708" t="n">
        <v>0</v>
      </c>
      <c r="K197" s="708" t="n">
        <v>0</v>
      </c>
      <c r="L197" s="708" t="n">
        <v>0</v>
      </c>
      <c r="M197" s="708" t="n">
        <v>0</v>
      </c>
      <c r="N197" s="708" t="n">
        <v>0</v>
      </c>
      <c r="O197" s="708" t="n">
        <v>0</v>
      </c>
      <c r="P197" s="708" t="n">
        <v>0</v>
      </c>
      <c r="Q197" s="708" t="n">
        <v>0</v>
      </c>
      <c r="R197" s="708" t="n">
        <v>0</v>
      </c>
      <c r="S197" s="708" t="n">
        <v>0</v>
      </c>
      <c r="T197" s="708" t="n">
        <v>0</v>
      </c>
      <c r="U197" s="708" t="n">
        <v>0</v>
      </c>
      <c r="V197" s="708" t="n">
        <v>0</v>
      </c>
      <c r="W197" s="708" t="n">
        <v>0</v>
      </c>
      <c r="X197" s="708" t="n">
        <v>0</v>
      </c>
      <c r="Y197" s="708" t="n">
        <v>0</v>
      </c>
      <c r="Z197" s="708" t="n">
        <v>0</v>
      </c>
      <c r="AA197" s="708" t="n">
        <v>0</v>
      </c>
      <c r="AB197" s="708" t="n">
        <v>0</v>
      </c>
      <c r="AC197" s="708" t="n">
        <v>0</v>
      </c>
      <c r="AD197" s="708" t="n">
        <v>0</v>
      </c>
      <c r="AE197" s="708" t="n">
        <v>0</v>
      </c>
      <c r="AF197" s="708" t="n">
        <v>0</v>
      </c>
      <c r="AG197" s="708" t="n">
        <v>0</v>
      </c>
      <c r="AH197" s="708" t="n">
        <v>0</v>
      </c>
      <c r="AI197" s="708" t="n">
        <v>0</v>
      </c>
      <c r="AJ197" s="708" t="n">
        <v>0</v>
      </c>
      <c r="AK197" s="708" t="n">
        <v>0</v>
      </c>
      <c r="AL197" s="708" t="n">
        <v>0</v>
      </c>
      <c r="AM197" s="708" t="n">
        <v>0</v>
      </c>
      <c r="AN197" s="708" t="n">
        <v>0</v>
      </c>
      <c r="AO197" s="708" t="n">
        <v>0</v>
      </c>
      <c r="AP197" s="708" t="n">
        <v>0</v>
      </c>
      <c r="AQ197" s="708" t="n">
        <v>0</v>
      </c>
      <c r="AR197" s="708" t="n">
        <v>0</v>
      </c>
      <c r="AS197" s="708" t="n">
        <v>0</v>
      </c>
      <c r="AT197" s="708" t="n">
        <v>0</v>
      </c>
      <c r="AU197" s="708" t="n">
        <v>0</v>
      </c>
      <c r="AV197" s="708" t="n">
        <v>0</v>
      </c>
      <c r="AW197" s="708" t="n">
        <v>0</v>
      </c>
      <c r="AX197" s="708" t="n">
        <v>0</v>
      </c>
      <c r="AY197" s="708" t="n">
        <v>0</v>
      </c>
      <c r="AZ197" s="708" t="n">
        <v>0</v>
      </c>
      <c r="BA197" s="708" t="n">
        <v>0</v>
      </c>
      <c r="BB197" s="708" t="n">
        <v>0</v>
      </c>
      <c r="BC197" s="708" t="n">
        <v>0</v>
      </c>
      <c r="BD197" s="708" t="n">
        <v>0</v>
      </c>
      <c r="BE197" s="708" t="n">
        <v>0</v>
      </c>
      <c r="BF197" s="708" t="n">
        <v>0</v>
      </c>
      <c r="BG197" s="708" t="n">
        <v>0</v>
      </c>
      <c r="BH197" s="708" t="n">
        <v>0</v>
      </c>
      <c r="BI197" s="708" t="n">
        <v>0</v>
      </c>
      <c r="BJ197" s="708" t="n">
        <v>0</v>
      </c>
      <c r="BK197" s="708" t="n">
        <v>0</v>
      </c>
      <c r="BL197" s="708" t="n">
        <v>0</v>
      </c>
      <c r="BM197" s="708" t="n">
        <v>0</v>
      </c>
      <c r="BN197" s="708" t="n">
        <v>0</v>
      </c>
      <c r="BO197" s="708" t="n">
        <v>0</v>
      </c>
      <c r="BP197" s="708" t="n">
        <v>0</v>
      </c>
      <c r="BQ197" s="708" t="n">
        <v>0</v>
      </c>
      <c r="BR197" s="708" t="n">
        <v>0</v>
      </c>
      <c r="BS197" s="708" t="n">
        <v>0</v>
      </c>
      <c r="BT197" s="708" t="n">
        <v>0</v>
      </c>
      <c r="BU197" s="708" t="n">
        <v>0</v>
      </c>
      <c r="BV197" s="708" t="n">
        <v>0</v>
      </c>
      <c r="BW197" s="708" t="n">
        <v>0</v>
      </c>
      <c r="BX197" s="708" t="n">
        <v>0</v>
      </c>
      <c r="BY197" s="708" t="n">
        <v>0</v>
      </c>
      <c r="BZ197" s="708" t="n">
        <v>0</v>
      </c>
      <c r="CA197" s="708" t="n">
        <v>0</v>
      </c>
      <c r="CB197" s="708" t="n">
        <v>0</v>
      </c>
      <c r="CC197" s="708" t="n">
        <v>0</v>
      </c>
      <c r="CD197" s="708" t="n">
        <v>0</v>
      </c>
      <c r="CE197" s="708" t="n">
        <v>0</v>
      </c>
      <c r="CF197" s="708" t="n">
        <v>0</v>
      </c>
      <c r="CG197" s="708" t="n">
        <v>0</v>
      </c>
      <c r="CH197" s="708" t="n">
        <v>0</v>
      </c>
      <c r="CI197" s="708" t="n">
        <v>0</v>
      </c>
      <c r="CJ197" s="708" t="n">
        <v>0</v>
      </c>
      <c r="CK197" s="708" t="n">
        <v>0</v>
      </c>
      <c r="CL197" s="708" t="n">
        <v>0</v>
      </c>
      <c r="CM197" s="708" t="n">
        <v>0</v>
      </c>
      <c r="CN197" s="708" t="n">
        <v>0</v>
      </c>
      <c r="CO197" s="708" t="n">
        <v>0</v>
      </c>
      <c r="CP197" s="708" t="n">
        <v>0</v>
      </c>
      <c r="CQ197" s="708" t="n">
        <v>0</v>
      </c>
      <c r="CR197" s="708" t="n">
        <v>0</v>
      </c>
      <c r="CS197" s="708" t="n">
        <v>0</v>
      </c>
      <c r="CT197" s="708" t="n">
        <v>0</v>
      </c>
      <c r="CU197" s="708" t="n">
        <v>0</v>
      </c>
      <c r="CV197" s="708" t="n">
        <v>0</v>
      </c>
      <c r="CW197" s="708" t="n">
        <v>0</v>
      </c>
      <c r="CX197" s="708" t="n">
        <v>0</v>
      </c>
      <c r="CY197" s="708" t="n">
        <v>0</v>
      </c>
      <c r="CZ197" s="708" t="n">
        <v>0</v>
      </c>
      <c r="DA197" s="708" t="n">
        <v>0</v>
      </c>
      <c r="DB197" s="708" t="n">
        <v>0</v>
      </c>
      <c r="DC197" s="708" t="n">
        <v>0</v>
      </c>
      <c r="DD197" s="708" t="n">
        <v>0</v>
      </c>
      <c r="DE197" s="708" t="n">
        <v>0</v>
      </c>
      <c r="DF197" s="708" t="n">
        <v>0</v>
      </c>
      <c r="DG197" s="708" t="n">
        <v>0</v>
      </c>
      <c r="DH197" s="708" t="n">
        <v>0</v>
      </c>
      <c r="DI197" s="708" t="n">
        <v>0</v>
      </c>
      <c r="DJ197" s="708" t="n">
        <v>0</v>
      </c>
      <c r="DK197" s="708" t="n">
        <v>0</v>
      </c>
      <c r="DL197" s="708" t="n">
        <v>0</v>
      </c>
      <c r="DM197" s="708" t="n">
        <v>0</v>
      </c>
    </row>
    <row r="198" ht="13.5" customHeight="1" s="355">
      <c r="B198" s="703" t="inlineStr">
        <is>
          <t>SLA Metric Reporting</t>
        </is>
      </c>
      <c r="C198" s="708" t="n">
        <v>0</v>
      </c>
      <c r="D198" s="708" t="n">
        <v>0</v>
      </c>
      <c r="E198" s="708" t="n">
        <v>0</v>
      </c>
      <c r="F198" s="708" t="n">
        <v>0</v>
      </c>
      <c r="G198" s="708" t="n">
        <v>0</v>
      </c>
      <c r="H198" s="708" t="n">
        <v>0</v>
      </c>
      <c r="I198" s="708" t="n">
        <v>0</v>
      </c>
      <c r="J198" s="708" t="n">
        <v>0</v>
      </c>
      <c r="K198" s="708" t="n">
        <v>0</v>
      </c>
      <c r="L198" s="708" t="n">
        <v>0</v>
      </c>
      <c r="M198" s="708" t="n">
        <v>0</v>
      </c>
      <c r="N198" s="708" t="n">
        <v>0</v>
      </c>
      <c r="O198" s="708" t="n">
        <v>0</v>
      </c>
      <c r="P198" s="708" t="n">
        <v>0</v>
      </c>
      <c r="Q198" s="708" t="n">
        <v>0</v>
      </c>
      <c r="R198" s="708" t="n">
        <v>0</v>
      </c>
      <c r="S198" s="708" t="n">
        <v>0</v>
      </c>
      <c r="T198" s="708" t="n">
        <v>0</v>
      </c>
      <c r="U198" s="708" t="n">
        <v>0</v>
      </c>
      <c r="V198" s="708" t="n">
        <v>0</v>
      </c>
      <c r="W198" s="708" t="n">
        <v>0</v>
      </c>
      <c r="X198" s="708" t="n">
        <v>0</v>
      </c>
      <c r="Y198" s="708" t="n">
        <v>0</v>
      </c>
      <c r="Z198" s="708" t="n">
        <v>0</v>
      </c>
      <c r="AA198" s="708" t="n">
        <v>0</v>
      </c>
      <c r="AB198" s="708" t="n">
        <v>0</v>
      </c>
      <c r="AC198" s="708" t="n">
        <v>0</v>
      </c>
      <c r="AD198" s="708" t="n">
        <v>0</v>
      </c>
      <c r="AE198" s="708" t="n">
        <v>0</v>
      </c>
      <c r="AF198" s="708" t="n">
        <v>0</v>
      </c>
      <c r="AG198" s="708" t="n">
        <v>0</v>
      </c>
      <c r="AH198" s="708" t="n">
        <v>0</v>
      </c>
      <c r="AI198" s="708" t="n">
        <v>0</v>
      </c>
      <c r="AJ198" s="708" t="n">
        <v>0</v>
      </c>
      <c r="AK198" s="708" t="n">
        <v>0</v>
      </c>
      <c r="AL198" s="708" t="n">
        <v>0</v>
      </c>
      <c r="AM198" s="708" t="n">
        <v>0</v>
      </c>
      <c r="AN198" s="708" t="n">
        <v>0</v>
      </c>
      <c r="AO198" s="708" t="n">
        <v>0</v>
      </c>
      <c r="AP198" s="708" t="n">
        <v>0</v>
      </c>
      <c r="AQ198" s="708" t="n">
        <v>0</v>
      </c>
      <c r="AR198" s="708" t="n">
        <v>0</v>
      </c>
      <c r="AS198" s="708" t="n">
        <v>0</v>
      </c>
      <c r="AT198" s="708" t="n">
        <v>0</v>
      </c>
      <c r="AU198" s="708" t="n">
        <v>0</v>
      </c>
      <c r="AV198" s="708" t="n">
        <v>0</v>
      </c>
      <c r="AW198" s="708" t="n">
        <v>0</v>
      </c>
      <c r="AX198" s="708" t="n">
        <v>0</v>
      </c>
      <c r="AY198" s="708" t="n">
        <v>0</v>
      </c>
      <c r="AZ198" s="708" t="n">
        <v>0</v>
      </c>
      <c r="BA198" s="708" t="n">
        <v>0</v>
      </c>
      <c r="BB198" s="708" t="n">
        <v>0</v>
      </c>
      <c r="BC198" s="708" t="n">
        <v>0</v>
      </c>
      <c r="BD198" s="708" t="n">
        <v>0</v>
      </c>
      <c r="BE198" s="708" t="n">
        <v>0</v>
      </c>
      <c r="BF198" s="708" t="n">
        <v>0</v>
      </c>
      <c r="BG198" s="708" t="n">
        <v>0</v>
      </c>
      <c r="BH198" s="708" t="n">
        <v>0</v>
      </c>
      <c r="BI198" s="708" t="n">
        <v>0</v>
      </c>
      <c r="BJ198" s="708" t="n">
        <v>0</v>
      </c>
      <c r="BK198" s="708" t="n">
        <v>0</v>
      </c>
      <c r="BL198" s="708" t="n">
        <v>0</v>
      </c>
      <c r="BM198" s="708" t="n">
        <v>0</v>
      </c>
      <c r="BN198" s="708" t="n">
        <v>0</v>
      </c>
      <c r="BO198" s="708" t="n">
        <v>0</v>
      </c>
      <c r="BP198" s="708" t="n">
        <v>0</v>
      </c>
      <c r="BQ198" s="708" t="n">
        <v>0</v>
      </c>
      <c r="BR198" s="708" t="n">
        <v>0</v>
      </c>
      <c r="BS198" s="708" t="n">
        <v>0</v>
      </c>
      <c r="BT198" s="708" t="n">
        <v>0</v>
      </c>
      <c r="BU198" s="708" t="n">
        <v>0</v>
      </c>
      <c r="BV198" s="708" t="n">
        <v>0</v>
      </c>
      <c r="BW198" s="708" t="n">
        <v>0</v>
      </c>
      <c r="BX198" s="708" t="n">
        <v>0</v>
      </c>
      <c r="BY198" s="708" t="n">
        <v>0</v>
      </c>
      <c r="BZ198" s="708" t="n">
        <v>0</v>
      </c>
      <c r="CA198" s="708" t="n">
        <v>0</v>
      </c>
      <c r="CB198" s="708" t="n">
        <v>0</v>
      </c>
      <c r="CC198" s="708" t="n">
        <v>0</v>
      </c>
      <c r="CD198" s="708" t="n">
        <v>0</v>
      </c>
      <c r="CE198" s="708" t="n">
        <v>0</v>
      </c>
      <c r="CF198" s="708" t="n">
        <v>0</v>
      </c>
      <c r="CG198" s="708" t="n">
        <v>0</v>
      </c>
      <c r="CH198" s="708" t="n">
        <v>0</v>
      </c>
      <c r="CI198" s="708" t="n">
        <v>0</v>
      </c>
      <c r="CJ198" s="708" t="n">
        <v>0</v>
      </c>
      <c r="CK198" s="708" t="n">
        <v>0</v>
      </c>
      <c r="CL198" s="708" t="n">
        <v>0</v>
      </c>
      <c r="CM198" s="708" t="n">
        <v>0</v>
      </c>
      <c r="CN198" s="708" t="n">
        <v>0</v>
      </c>
      <c r="CO198" s="708" t="n">
        <v>0</v>
      </c>
      <c r="CP198" s="708" t="n">
        <v>0</v>
      </c>
      <c r="CQ198" s="708" t="n">
        <v>0</v>
      </c>
      <c r="CR198" s="708" t="n">
        <v>0</v>
      </c>
      <c r="CS198" s="708" t="n">
        <v>0</v>
      </c>
      <c r="CT198" s="708" t="n">
        <v>0</v>
      </c>
      <c r="CU198" s="708" t="n">
        <v>0</v>
      </c>
      <c r="CV198" s="708" t="n">
        <v>0</v>
      </c>
      <c r="CW198" s="708" t="n">
        <v>0</v>
      </c>
      <c r="CX198" s="708" t="n">
        <v>0</v>
      </c>
      <c r="CY198" s="708" t="n">
        <v>0</v>
      </c>
      <c r="CZ198" s="708" t="n">
        <v>0</v>
      </c>
      <c r="DA198" s="708" t="n">
        <v>0</v>
      </c>
      <c r="DB198" s="708" t="n">
        <v>0</v>
      </c>
      <c r="DC198" s="708" t="n">
        <v>0</v>
      </c>
      <c r="DD198" s="708" t="n">
        <v>0</v>
      </c>
      <c r="DE198" s="708" t="n">
        <v>0</v>
      </c>
      <c r="DF198" s="708" t="n">
        <v>0</v>
      </c>
      <c r="DG198" s="708" t="n">
        <v>0</v>
      </c>
      <c r="DH198" s="708" t="n">
        <v>0</v>
      </c>
      <c r="DI198" s="708" t="n">
        <v>0</v>
      </c>
      <c r="DJ198" s="708" t="n">
        <v>0</v>
      </c>
      <c r="DK198" s="708" t="n">
        <v>0</v>
      </c>
      <c r="DL198" s="708" t="n">
        <v>0</v>
      </c>
      <c r="DM198" s="708" t="n">
        <v>0</v>
      </c>
    </row>
    <row r="199" ht="13.5" customHeight="1" s="355">
      <c r="B199" s="705" t="inlineStr">
        <is>
          <t>Grand Total</t>
        </is>
      </c>
      <c r="C199" s="709" t="n">
        <v>0</v>
      </c>
      <c r="D199" s="709" t="n">
        <v>0</v>
      </c>
      <c r="E199" s="709" t="n">
        <v>0</v>
      </c>
      <c r="F199" s="709" t="n">
        <v>0</v>
      </c>
      <c r="G199" s="709" t="n">
        <v>0</v>
      </c>
      <c r="H199" s="709" t="n">
        <v>0</v>
      </c>
      <c r="I199" s="709" t="n">
        <v>0</v>
      </c>
      <c r="J199" s="709" t="n">
        <v>7.49630671543994</v>
      </c>
      <c r="K199" s="709" t="n">
        <v>28.4657629097814</v>
      </c>
      <c r="L199" s="709" t="n">
        <v>118.196088042624</v>
      </c>
      <c r="M199" s="709" t="n">
        <v>200.807655560205</v>
      </c>
      <c r="N199" s="709" t="n">
        <v>228.098376935319</v>
      </c>
      <c r="O199" s="709" t="n">
        <v>318.69085409162</v>
      </c>
      <c r="P199" s="709" t="n">
        <v>334.515634591925</v>
      </c>
      <c r="Q199" s="709" t="n">
        <v>334.515634591925</v>
      </c>
      <c r="R199" s="709" t="n">
        <v>334.515634591925</v>
      </c>
      <c r="S199" s="709" t="n">
        <v>334.515634591925</v>
      </c>
      <c r="T199" s="709" t="n">
        <v>324.200277799734</v>
      </c>
      <c r="U199" s="709" t="n">
        <v>324.200277799734</v>
      </c>
      <c r="V199" s="709" t="n">
        <v>324.200277799734</v>
      </c>
      <c r="W199" s="709" t="n">
        <v>324.200277799734</v>
      </c>
      <c r="X199" s="709" t="n">
        <v>324.200277799734</v>
      </c>
      <c r="Y199" s="709" t="n">
        <v>324.200277799734</v>
      </c>
      <c r="Z199" s="709" t="n">
        <v>324.200277799734</v>
      </c>
      <c r="AA199" s="709" t="n">
        <v>324.200277799734</v>
      </c>
      <c r="AB199" s="709" t="n">
        <v>333.926286133726</v>
      </c>
      <c r="AC199" s="709" t="n">
        <v>320.478369234863</v>
      </c>
      <c r="AD199" s="709" t="n">
        <v>320.478369234863</v>
      </c>
      <c r="AE199" s="709" t="n">
        <v>320.478369234863</v>
      </c>
      <c r="AF199" s="709" t="n">
        <v>320.478369234863</v>
      </c>
      <c r="AG199" s="709" t="n">
        <v>320.478369234863</v>
      </c>
      <c r="AH199" s="709" t="n">
        <v>320.478369234863</v>
      </c>
      <c r="AI199" s="709" t="n">
        <v>320.478369234863</v>
      </c>
      <c r="AJ199" s="709" t="n">
        <v>320.478369234863</v>
      </c>
      <c r="AK199" s="709" t="n">
        <v>320.478369234863</v>
      </c>
      <c r="AL199" s="709" t="n">
        <v>320.478369234863</v>
      </c>
      <c r="AM199" s="709" t="n">
        <v>320.478369234863</v>
      </c>
      <c r="AN199" s="709" t="n">
        <v>330.092720311909</v>
      </c>
      <c r="AO199" s="709" t="n">
        <v>316.24136590608</v>
      </c>
      <c r="AP199" s="709" t="n">
        <v>316.24136590608</v>
      </c>
      <c r="AQ199" s="709" t="n">
        <v>316.24136590608</v>
      </c>
      <c r="AR199" s="709" t="n">
        <v>316.24136590608</v>
      </c>
      <c r="AS199" s="709" t="n">
        <v>316.24136590608</v>
      </c>
      <c r="AT199" s="709" t="n">
        <v>316.24136590608</v>
      </c>
      <c r="AU199" s="709" t="n">
        <v>316.24136590608</v>
      </c>
      <c r="AV199" s="709" t="n">
        <v>316.24136590608</v>
      </c>
      <c r="AW199" s="709" t="n">
        <v>316.24136590608</v>
      </c>
      <c r="AX199" s="709" t="n">
        <v>316.24136590608</v>
      </c>
      <c r="AY199" s="709" t="n">
        <v>316.24136590608</v>
      </c>
      <c r="AZ199" s="709" t="n">
        <v>325.728606883262</v>
      </c>
      <c r="BA199" s="709" t="n">
        <v>314.65121019608</v>
      </c>
      <c r="BB199" s="709" t="n">
        <v>314.65121019608</v>
      </c>
      <c r="BC199" s="709" t="n">
        <v>314.65121019608</v>
      </c>
      <c r="BD199" s="709" t="n">
        <v>314.65121019608</v>
      </c>
      <c r="BE199" s="709" t="n">
        <v>314.65121019608</v>
      </c>
      <c r="BF199" s="709" t="n">
        <v>314.65121019608</v>
      </c>
      <c r="BG199" s="709" t="n">
        <v>314.65121019608</v>
      </c>
      <c r="BH199" s="709" t="n">
        <v>314.65121019608</v>
      </c>
      <c r="BI199" s="709" t="n">
        <v>314.65121019608</v>
      </c>
      <c r="BJ199" s="709" t="n">
        <v>314.65121019608</v>
      </c>
      <c r="BK199" s="709" t="n">
        <v>314.65121019608</v>
      </c>
      <c r="BL199" s="709" t="n">
        <v>324.090746501962</v>
      </c>
      <c r="BM199" s="709" t="n">
        <v>311.520425936314</v>
      </c>
      <c r="BN199" s="709" t="n">
        <v>311.520425936314</v>
      </c>
      <c r="BO199" s="709" t="n">
        <v>311.520425936314</v>
      </c>
      <c r="BP199" s="709" t="n">
        <v>311.520425936314</v>
      </c>
      <c r="BQ199" s="709" t="n">
        <v>311.520425936314</v>
      </c>
      <c r="BR199" s="709" t="n">
        <v>311.520425936314</v>
      </c>
      <c r="BS199" s="709" t="n">
        <v>311.520425936314</v>
      </c>
      <c r="BT199" s="709" t="n">
        <v>311.520425936314</v>
      </c>
      <c r="BU199" s="709" t="n">
        <v>311.520425936314</v>
      </c>
      <c r="BV199" s="709" t="n">
        <v>311.520425936314</v>
      </c>
      <c r="BW199" s="709" t="n">
        <v>311.520425936314</v>
      </c>
      <c r="BX199" s="709" t="n">
        <v>320.866038714404</v>
      </c>
      <c r="BY199" s="709" t="n">
        <v>317.482299914017</v>
      </c>
      <c r="BZ199" s="709" t="n">
        <v>317.482299914017</v>
      </c>
      <c r="CA199" s="709" t="n">
        <v>317.482299914017</v>
      </c>
      <c r="CB199" s="709" t="n">
        <v>317.482299914017</v>
      </c>
      <c r="CC199" s="709" t="n">
        <v>317.482299914017</v>
      </c>
      <c r="CD199" s="709" t="n">
        <v>317.482299914017</v>
      </c>
      <c r="CE199" s="709" t="n">
        <v>317.482299914017</v>
      </c>
      <c r="CF199" s="709" t="n">
        <v>317.482299914017</v>
      </c>
      <c r="CG199" s="709" t="n">
        <v>317.482299914017</v>
      </c>
      <c r="CH199" s="709" t="n">
        <v>317.482299914017</v>
      </c>
      <c r="CI199" s="709" t="n">
        <v>317.482299914017</v>
      </c>
      <c r="CJ199" s="709" t="n">
        <v>327.006768911438</v>
      </c>
      <c r="CK199" s="709" t="n">
        <v>327.006768911438</v>
      </c>
      <c r="CL199" s="709" t="n">
        <v>327.006768911438</v>
      </c>
      <c r="CM199" s="709" t="n">
        <v>327.006768911438</v>
      </c>
      <c r="CN199" s="709" t="n">
        <v>327.006768911438</v>
      </c>
      <c r="CO199" s="709" t="n">
        <v>327.006768911438</v>
      </c>
      <c r="CP199" s="709" t="n">
        <v>327.006768911438</v>
      </c>
      <c r="CQ199" s="709" t="n">
        <v>327.006768911438</v>
      </c>
      <c r="CR199" s="709" t="n">
        <v>327.006768911438</v>
      </c>
      <c r="CS199" s="709" t="n">
        <v>327.006768911438</v>
      </c>
      <c r="CT199" s="709" t="n">
        <v>327.006768911438</v>
      </c>
      <c r="CU199" s="709" t="n">
        <v>327.006768911438</v>
      </c>
      <c r="CV199" s="709" t="n">
        <v>336.816971978781</v>
      </c>
      <c r="CW199" s="709" t="n">
        <v>336.816971978781</v>
      </c>
      <c r="CX199" s="709" t="n">
        <v>336.816971978781</v>
      </c>
      <c r="CY199" s="709" t="n">
        <v>336.816971978781</v>
      </c>
      <c r="CZ199" s="709" t="n">
        <v>336.816971978781</v>
      </c>
      <c r="DA199" s="709" t="n">
        <v>336.816971978781</v>
      </c>
      <c r="DB199" s="709" t="n">
        <v>336.816971978781</v>
      </c>
      <c r="DC199" s="709" t="n">
        <v>336.816971978781</v>
      </c>
      <c r="DD199" s="709" t="n">
        <v>336.816971978781</v>
      </c>
      <c r="DE199" s="709" t="n">
        <v>336.816971978781</v>
      </c>
      <c r="DF199" s="709" t="n">
        <v>336.816971978781</v>
      </c>
      <c r="DG199" s="709" t="n">
        <v>336.816971978781</v>
      </c>
      <c r="DH199" s="709" t="n">
        <v>336.816971978781</v>
      </c>
      <c r="DI199" s="709" t="n">
        <v>336.816971978781</v>
      </c>
      <c r="DJ199" s="709" t="n">
        <v>336.816971978781</v>
      </c>
      <c r="DK199" s="709" t="n">
        <v>336.816971978781</v>
      </c>
      <c r="DL199" s="709" t="n">
        <v>336.816971978781</v>
      </c>
      <c r="DM199" s="709" t="n">
        <v>336.816971978781</v>
      </c>
    </row>
  </sheetData>
  <mergeCells count="18">
    <mergeCell ref="A24:A34"/>
    <mergeCell ref="A167:A177"/>
    <mergeCell ref="A35:A45"/>
    <mergeCell ref="A13:A23"/>
    <mergeCell ref="A123:A133"/>
    <mergeCell ref="A101:A111"/>
    <mergeCell ref="A145:A155"/>
    <mergeCell ref="A79:A89"/>
    <mergeCell ref="A46:A56"/>
    <mergeCell ref="A178:A188"/>
    <mergeCell ref="A2:A12"/>
    <mergeCell ref="A112:A122"/>
    <mergeCell ref="A90:A100"/>
    <mergeCell ref="A68:A78"/>
    <mergeCell ref="A134:A144"/>
    <mergeCell ref="A156:A166"/>
    <mergeCell ref="A189:A199"/>
    <mergeCell ref="A57:A67"/>
  </mergeCells>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4" fitToWidth="2"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1"/>
  </sheetPr>
  <dimension ref="A1:J11"/>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2"/>
    </sheetView>
  </sheetViews>
  <sheetFormatPr baseColWidth="8" defaultColWidth="8.3984375" defaultRowHeight="12.75" customHeight="1" zeroHeight="0" outlineLevelRow="0"/>
  <cols>
    <col width="48.93" customWidth="1" style="407" min="1" max="1"/>
    <col width="12.45" customWidth="1" style="407" min="2" max="3"/>
    <col width="11.85" customWidth="1" style="407" min="4" max="4"/>
    <col width="12.45" customWidth="1" style="407" min="5" max="7"/>
    <col width="11.25" customWidth="1" style="407" min="8" max="8"/>
    <col width="10.5" customWidth="1" style="407" min="9" max="9"/>
    <col width="14.25" customWidth="1" style="407" min="10" max="10"/>
    <col width="8.4" customWidth="1" style="407" min="11" max="257"/>
  </cols>
  <sheetData>
    <row r="1" ht="13.5" customHeight="1" s="355">
      <c r="A1" s="412" t="inlineStr">
        <is>
          <t>US $</t>
        </is>
      </c>
      <c r="B1" s="413" t="inlineStr">
        <is>
          <t>Year 1</t>
        </is>
      </c>
      <c r="C1" s="414" t="inlineStr">
        <is>
          <t>Year 2</t>
        </is>
      </c>
      <c r="D1" s="414" t="inlineStr">
        <is>
          <t>Year 3</t>
        </is>
      </c>
      <c r="E1" s="414" t="inlineStr">
        <is>
          <t>Year 4</t>
        </is>
      </c>
      <c r="F1" s="414" t="inlineStr">
        <is>
          <t>Year 5</t>
        </is>
      </c>
      <c r="G1" s="414" t="inlineStr">
        <is>
          <t>Year 6</t>
        </is>
      </c>
      <c r="H1" s="414" t="inlineStr">
        <is>
          <t>Year 7</t>
        </is>
      </c>
      <c r="I1" s="414" t="inlineStr">
        <is>
          <t>Year 8</t>
        </is>
      </c>
      <c r="J1" s="414" t="inlineStr">
        <is>
          <t>Total</t>
        </is>
      </c>
    </row>
    <row r="2" ht="18" customHeight="1" s="355">
      <c r="A2" s="416" t="inlineStr">
        <is>
          <t>BCP Impact by Country</t>
        </is>
      </c>
      <c r="B2" s="417" t="n"/>
      <c r="C2" s="418" t="n"/>
      <c r="D2" s="418" t="n"/>
      <c r="E2" s="418" t="n"/>
      <c r="F2" s="418" t="n"/>
      <c r="G2" s="418" t="n"/>
      <c r="H2" s="418" t="n"/>
      <c r="I2" s="418" t="n"/>
      <c r="J2" s="418" t="n"/>
    </row>
    <row r="3" ht="14.25" customHeight="1" s="355">
      <c r="A3" s="419" t="inlineStr">
        <is>
          <t xml:space="preserve">  Switzerland</t>
        </is>
      </c>
      <c r="B3" s="420" t="n">
        <v>8594.683393070491</v>
      </c>
      <c r="C3" s="420" t="n">
        <v>16998.1146992641</v>
      </c>
      <c r="D3" s="420" t="n">
        <v>16076.9210302256</v>
      </c>
      <c r="E3" s="420" t="n">
        <v>15324.0930791218</v>
      </c>
      <c r="F3" s="420" t="n">
        <v>14813.7695371891</v>
      </c>
      <c r="G3" s="420" t="n">
        <v>14270.928358572</v>
      </c>
      <c r="H3" s="420" t="n">
        <v>13982.7738247278</v>
      </c>
      <c r="I3" s="420" t="n">
        <v>1163.39399744572</v>
      </c>
      <c r="J3" s="420">
        <f>SUM(B3:I3)</f>
        <v/>
      </c>
    </row>
    <row r="4" ht="14.25" customHeight="1" s="355">
      <c r="A4" s="419" t="inlineStr">
        <is>
          <t xml:space="preserve">  United States</t>
        </is>
      </c>
      <c r="B4" s="420" t="n">
        <v>12471.4115036696</v>
      </c>
      <c r="C4" s="420" t="n">
        <v>20117.9833363741</v>
      </c>
      <c r="D4" s="420" t="n">
        <v>19057.7867481603</v>
      </c>
      <c r="E4" s="420" t="n">
        <v>18183.1744511342</v>
      </c>
      <c r="F4" s="420" t="n">
        <v>17308.5621541081</v>
      </c>
      <c r="G4" s="420" t="n">
        <v>16828.019521985</v>
      </c>
      <c r="H4" s="420" t="n">
        <v>16790.9596788907</v>
      </c>
      <c r="I4" s="420" t="n">
        <v>1399.24663990756</v>
      </c>
      <c r="J4" s="420">
        <f>SUM(B4:I4)</f>
        <v/>
      </c>
    </row>
    <row r="5" ht="14.25" customHeight="1" s="355">
      <c r="A5" s="419" t="inlineStr">
        <is>
          <t xml:space="preserve">  France</t>
        </is>
      </c>
      <c r="B5" s="420" t="n">
        <v>7401.00699778119</v>
      </c>
      <c r="C5" s="420" t="n">
        <v>17927.4322952484</v>
      </c>
      <c r="D5" s="420" t="n">
        <v>17151.4868964582</v>
      </c>
      <c r="E5" s="420" t="n">
        <v>16483.1115298069</v>
      </c>
      <c r="F5" s="420" t="n">
        <v>15963.9696457225</v>
      </c>
      <c r="G5" s="420" t="n">
        <v>15294.703965681</v>
      </c>
      <c r="H5" s="420" t="n">
        <v>15088.4582637456</v>
      </c>
      <c r="I5" s="420" t="n">
        <v>1256.24096529269</v>
      </c>
      <c r="J5" s="420">
        <f>SUM(B5:I5)</f>
        <v/>
      </c>
    </row>
    <row r="6" ht="14.25" customHeight="1" s="355">
      <c r="A6" s="419" t="inlineStr">
        <is>
          <t xml:space="preserve">  Germany </t>
        </is>
      </c>
      <c r="B6" s="420" t="n">
        <v>6231.36769642146</v>
      </c>
      <c r="C6" s="420" t="n">
        <v>13229.6184020322</v>
      </c>
      <c r="D6" s="420" t="n">
        <v>12610.2190434087</v>
      </c>
      <c r="E6" s="420" t="n">
        <v>12077.6625194729</v>
      </c>
      <c r="F6" s="420" t="n">
        <v>11712.9936634247</v>
      </c>
      <c r="G6" s="420" t="n">
        <v>11236.2725078242</v>
      </c>
      <c r="H6" s="420" t="n">
        <v>11027.693570797</v>
      </c>
      <c r="I6" s="420" t="n">
        <v>917.702587961209</v>
      </c>
      <c r="J6" s="420">
        <f>SUM(B6:I6)</f>
        <v/>
      </c>
    </row>
    <row r="7" ht="14.25" customHeight="1" s="355">
      <c r="A7" s="419" t="inlineStr">
        <is>
          <t xml:space="preserve">  Germany Production</t>
        </is>
      </c>
      <c r="B7" s="420" t="n">
        <v>744.58098651647</v>
      </c>
      <c r="C7" s="420" t="n">
        <v>793.650793650794</v>
      </c>
      <c r="D7" s="420" t="n">
        <v>775.462962962963</v>
      </c>
      <c r="E7" s="420" t="n">
        <v>755.6216931216931</v>
      </c>
      <c r="F7" s="420" t="n">
        <v>735.780423280423</v>
      </c>
      <c r="G7" s="420" t="n">
        <v>697.751322751323</v>
      </c>
      <c r="H7" s="420" t="n">
        <v>694.444444444445</v>
      </c>
      <c r="I7" s="420" t="n">
        <v>57.8703703703704</v>
      </c>
      <c r="J7" s="420">
        <f>SUM(B7:I7)</f>
        <v/>
      </c>
    </row>
    <row r="8" ht="14.25" customHeight="1" s="355">
      <c r="A8" s="419" t="inlineStr">
        <is>
          <t xml:space="preserve">  Spain</t>
        </is>
      </c>
      <c r="B8" s="420" t="n">
        <v>4893.46873755476</v>
      </c>
      <c r="C8" s="420" t="n">
        <v>9355.86337885188</v>
      </c>
      <c r="D8" s="420" t="n">
        <v>8959.119118961071</v>
      </c>
      <c r="E8" s="420" t="n">
        <v>8617.914187238899</v>
      </c>
      <c r="F8" s="420" t="n">
        <v>8341.998904139709</v>
      </c>
      <c r="G8" s="420" t="n">
        <v>7990.17380554737</v>
      </c>
      <c r="H8" s="420" t="n">
        <v>7894.94535902582</v>
      </c>
      <c r="I8" s="420" t="n">
        <v>657.417494701977</v>
      </c>
      <c r="J8" s="420">
        <f>SUM(B8:I8)</f>
        <v/>
      </c>
    </row>
    <row r="9" ht="14.25" customHeight="1" s="355">
      <c r="A9" s="419" t="inlineStr">
        <is>
          <t xml:space="preserve">  Italy</t>
        </is>
      </c>
      <c r="B9" s="420" t="n">
        <v>4406.68202764977</v>
      </c>
      <c r="C9" s="420" t="n">
        <v>10907.1430910511</v>
      </c>
      <c r="D9" s="420" t="n">
        <v>10424.6699846556</v>
      </c>
      <c r="E9" s="420" t="n">
        <v>10009.5909704387</v>
      </c>
      <c r="F9" s="420" t="n">
        <v>9697.10997548641</v>
      </c>
      <c r="G9" s="420" t="n">
        <v>9293.92300441151</v>
      </c>
      <c r="H9" s="420" t="n">
        <v>9156.96824461192</v>
      </c>
      <c r="I9" s="420" t="n">
        <v>762.303429329291</v>
      </c>
      <c r="J9" s="420">
        <f>SUM(B9:I9)</f>
        <v/>
      </c>
    </row>
    <row r="10" ht="15" customHeight="1" s="355">
      <c r="A10" s="421" t="inlineStr">
        <is>
          <t xml:space="preserve">  United Kingdom</t>
        </is>
      </c>
      <c r="B10" s="420" t="n">
        <v>6041.5599931729</v>
      </c>
      <c r="C10" s="420" t="n">
        <v>8553.79188712522</v>
      </c>
      <c r="D10" s="420" t="n">
        <v>8132.16490299823</v>
      </c>
      <c r="E10" s="420" t="n">
        <v>7768.40828924162</v>
      </c>
      <c r="F10" s="420" t="n">
        <v>7404.65167548501</v>
      </c>
      <c r="G10" s="420" t="n">
        <v>7192.46031746032</v>
      </c>
      <c r="H10" s="420" t="n">
        <v>7175.92592592593</v>
      </c>
      <c r="I10" s="420" t="n">
        <v>597.993827160494</v>
      </c>
      <c r="J10" s="420">
        <f>SUM(B10:I10)</f>
        <v/>
      </c>
    </row>
    <row r="11" ht="18.75" customHeight="1" s="355">
      <c r="A11" s="422" t="inlineStr">
        <is>
          <t>Total BCP Impact</t>
        </is>
      </c>
      <c r="B11" s="423">
        <f>SUM(B3:B10)</f>
        <v/>
      </c>
      <c r="C11" s="423">
        <f>SUM(C3:C10)</f>
        <v/>
      </c>
      <c r="D11" s="423">
        <f>SUM(D3:D10)</f>
        <v/>
      </c>
      <c r="E11" s="423">
        <f>SUM(E3:E10)</f>
        <v/>
      </c>
      <c r="F11" s="423">
        <f>SUM(F3:F10)</f>
        <v/>
      </c>
      <c r="G11" s="423">
        <f>SUM(G3:G10)</f>
        <v/>
      </c>
      <c r="H11" s="423">
        <f>SUM(H3:H10)</f>
        <v/>
      </c>
      <c r="I11" s="423">
        <f>SUM(I3:I10)</f>
        <v/>
      </c>
      <c r="J11" s="423">
        <f>SUM(B11:I11)</f>
        <v/>
      </c>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worksheet>
</file>

<file path=xl/worksheets/sheet50.xml><?xml version="1.0" encoding="utf-8"?>
<worksheet xmlns="http://schemas.openxmlformats.org/spreadsheetml/2006/main">
  <sheetPr filterMode="0">
    <outlinePr summaryBelow="1" summaryRight="1"/>
    <pageSetUpPr fitToPage="1"/>
  </sheetPr>
  <dimension ref="A1:J13"/>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3"/>
    </sheetView>
  </sheetViews>
  <sheetFormatPr baseColWidth="8" defaultColWidth="8.3984375" defaultRowHeight="12.75" customHeight="1" zeroHeight="0" outlineLevelRow="0"/>
  <cols>
    <col width="39.93" customWidth="1" style="407" min="1" max="1"/>
    <col width="7.2" customWidth="1" style="407" min="2" max="2"/>
    <col width="13.65" customWidth="1" style="407" min="3" max="3"/>
    <col width="14.25" customWidth="1" style="407" min="4" max="4"/>
    <col width="13.65" customWidth="1" style="407" min="5" max="5"/>
    <col width="14.25" customWidth="1" style="407" min="6" max="7"/>
    <col width="13.65" customWidth="1" style="407" min="8" max="8"/>
    <col width="12.45" customWidth="1" style="407" min="9" max="9"/>
    <col width="16.96" customWidth="1" style="407" min="10" max="10"/>
    <col width="8.4" customWidth="1" style="407" min="11" max="257"/>
  </cols>
  <sheetData>
    <row r="1" ht="13.5" customHeight="1" s="355">
      <c r="A1" s="412" t="inlineStr">
        <is>
          <t>US $</t>
        </is>
      </c>
      <c r="B1" s="413" t="inlineStr">
        <is>
          <t>Year 1</t>
        </is>
      </c>
      <c r="C1" s="414" t="inlineStr">
        <is>
          <t>Year 2</t>
        </is>
      </c>
      <c r="D1" s="414" t="inlineStr">
        <is>
          <t>Year 3</t>
        </is>
      </c>
      <c r="E1" s="414" t="inlineStr">
        <is>
          <t>Year 4</t>
        </is>
      </c>
      <c r="F1" s="414" t="inlineStr">
        <is>
          <t>Year 5</t>
        </is>
      </c>
      <c r="G1" s="414" t="inlineStr">
        <is>
          <t>Year 6</t>
        </is>
      </c>
      <c r="H1" s="414" t="inlineStr">
        <is>
          <t>Year 7</t>
        </is>
      </c>
      <c r="I1" s="414" t="inlineStr">
        <is>
          <t>Year 8</t>
        </is>
      </c>
      <c r="J1" s="414" t="inlineStr">
        <is>
          <t>Total</t>
        </is>
      </c>
    </row>
    <row r="2" ht="18" customHeight="1" s="355">
      <c r="A2" s="416" t="inlineStr">
        <is>
          <t>Inflation Impact by Country</t>
        </is>
      </c>
      <c r="B2" s="417" t="n"/>
      <c r="C2" s="418" t="n"/>
      <c r="D2" s="418" t="n"/>
      <c r="E2" s="418" t="n"/>
      <c r="F2" s="418" t="n"/>
      <c r="G2" s="418" t="n"/>
      <c r="H2" s="418" t="n"/>
      <c r="I2" s="418" t="n"/>
      <c r="J2" s="418" t="n"/>
    </row>
    <row r="3" ht="14.25" customHeight="1" s="355">
      <c r="A3" s="419" t="inlineStr">
        <is>
          <t xml:space="preserve">  Switzerland</t>
        </is>
      </c>
      <c r="B3" s="420" t="n">
        <v>0</v>
      </c>
      <c r="C3" s="420" t="n">
        <v>29578.0259965266</v>
      </c>
      <c r="D3" s="420" t="n">
        <v>56826.607162786</v>
      </c>
      <c r="E3" s="420" t="n">
        <v>82518.17338941109</v>
      </c>
      <c r="F3" s="420" t="n">
        <v>107963.11384478</v>
      </c>
      <c r="G3" s="420" t="n">
        <v>131951.704955197</v>
      </c>
      <c r="H3" s="420" t="n">
        <v>157624.534253328</v>
      </c>
      <c r="I3" s="420" t="n">
        <v>15536.6121658583</v>
      </c>
      <c r="J3" s="420">
        <f>SUM(B3:I3)</f>
        <v/>
      </c>
    </row>
    <row r="4" ht="14.25" customHeight="1" s="355">
      <c r="A4" s="419" t="inlineStr">
        <is>
          <t xml:space="preserve">  United States</t>
        </is>
      </c>
      <c r="B4" s="420" t="n">
        <v>0</v>
      </c>
      <c r="C4" s="420" t="n">
        <v>19954.8183474378</v>
      </c>
      <c r="D4" s="420" t="n">
        <v>38389.4487304505</v>
      </c>
      <c r="E4" s="420" t="n">
        <v>55785.804755381</v>
      </c>
      <c r="F4" s="420" t="n">
        <v>71898.7462692254</v>
      </c>
      <c r="G4" s="420" t="n">
        <v>88677.3024798681</v>
      </c>
      <c r="H4" s="420" t="n">
        <v>107798.665613067</v>
      </c>
      <c r="I4" s="420" t="n">
        <v>10641.5024864253</v>
      </c>
      <c r="J4" s="420">
        <f>SUM(B4:I4)</f>
        <v/>
      </c>
    </row>
    <row r="5" ht="14.25" customHeight="1" s="355">
      <c r="A5" s="419" t="inlineStr">
        <is>
          <t xml:space="preserve">  France</t>
        </is>
      </c>
      <c r="B5" s="420" t="n">
        <v>0</v>
      </c>
      <c r="C5" s="420" t="n">
        <v>31347.576640875</v>
      </c>
      <c r="D5" s="420" t="n">
        <v>60901.4342104503</v>
      </c>
      <c r="E5" s="420" t="n">
        <v>89142.0131199048</v>
      </c>
      <c r="F5" s="420" t="n">
        <v>116844.376818878</v>
      </c>
      <c r="G5" s="420" t="n">
        <v>142045.544397773</v>
      </c>
      <c r="H5" s="420" t="n">
        <v>170801.92802358</v>
      </c>
      <c r="I5" s="420" t="n">
        <v>16846.4853509483</v>
      </c>
      <c r="J5" s="420">
        <f>SUM(B5:I5)</f>
        <v/>
      </c>
    </row>
    <row r="6" ht="14.25" customHeight="1" s="355">
      <c r="A6" s="419" t="inlineStr">
        <is>
          <t xml:space="preserve">  Germany </t>
        </is>
      </c>
      <c r="B6" s="420" t="n">
        <v>0</v>
      </c>
      <c r="C6" s="420" t="n">
        <v>22576.5703297885</v>
      </c>
      <c r="D6" s="420" t="n">
        <v>43701.2460845189</v>
      </c>
      <c r="E6" s="420" t="n">
        <v>63748.4563848593</v>
      </c>
      <c r="F6" s="420" t="n">
        <v>83680.7568517113</v>
      </c>
      <c r="G6" s="420" t="n">
        <v>101854.067825419</v>
      </c>
      <c r="H6" s="420" t="n">
        <v>121828.328930775</v>
      </c>
      <c r="I6" s="420" t="n">
        <v>12010.1755865262</v>
      </c>
      <c r="J6" s="420">
        <f>SUM(B6:I6)</f>
        <v/>
      </c>
    </row>
    <row r="7" ht="14.25" customHeight="1" s="355">
      <c r="A7" s="419" t="inlineStr">
        <is>
          <t xml:space="preserve">  Germany Production</t>
        </is>
      </c>
      <c r="B7" s="420" t="n">
        <v>0</v>
      </c>
      <c r="C7" s="420" t="n">
        <v>1470.5324945564</v>
      </c>
      <c r="D7" s="420" t="n">
        <v>2916.77056685902</v>
      </c>
      <c r="E7" s="420" t="n">
        <v>4327.47475323537</v>
      </c>
      <c r="F7" s="420" t="n">
        <v>5703.56448880961</v>
      </c>
      <c r="G7" s="420" t="n">
        <v>6863.8798721518</v>
      </c>
      <c r="H7" s="420" t="n">
        <v>8323.006057601509</v>
      </c>
      <c r="I7" s="420" t="n">
        <v>821.617681005535</v>
      </c>
      <c r="J7" s="420">
        <f>SUM(B7:I7)</f>
        <v/>
      </c>
    </row>
    <row r="8" ht="14.25" customHeight="1" s="355">
      <c r="A8" s="419" t="inlineStr">
        <is>
          <t xml:space="preserve">  Spain</t>
        </is>
      </c>
      <c r="B8" s="420" t="n">
        <v>0</v>
      </c>
      <c r="C8" s="420" t="n">
        <v>16662.8574624093</v>
      </c>
      <c r="D8" s="420" t="n">
        <v>32407.0287227717</v>
      </c>
      <c r="E8" s="420" t="n">
        <v>47483.0763702535</v>
      </c>
      <c r="F8" s="420" t="n">
        <v>62208.3693778232</v>
      </c>
      <c r="G8" s="420" t="n">
        <v>75599.78064764589</v>
      </c>
      <c r="H8" s="420" t="n">
        <v>91054.8634172196</v>
      </c>
      <c r="I8" s="420" t="n">
        <v>8982.28035491642</v>
      </c>
      <c r="J8" s="420">
        <f>SUM(B8:I8)</f>
        <v/>
      </c>
    </row>
    <row r="9" ht="14.25" customHeight="1" s="355">
      <c r="A9" s="419" t="inlineStr">
        <is>
          <t xml:space="preserve">  Italy</t>
        </is>
      </c>
      <c r="B9" s="420" t="n">
        <v>0</v>
      </c>
      <c r="C9" s="420" t="n">
        <v>18840.1656883693</v>
      </c>
      <c r="D9" s="420" t="n">
        <v>36561.6725852512</v>
      </c>
      <c r="E9" s="420" t="n">
        <v>53464.0792530208</v>
      </c>
      <c r="F9" s="420" t="n">
        <v>70097.826794518</v>
      </c>
      <c r="G9" s="420" t="n">
        <v>85251.92606488201</v>
      </c>
      <c r="H9" s="420" t="n">
        <v>102373.6161675</v>
      </c>
      <c r="I9" s="420" t="n">
        <v>10096.0085229864</v>
      </c>
      <c r="J9" s="420">
        <f>SUM(B9:I9)</f>
        <v/>
      </c>
    </row>
    <row r="10" ht="15" customHeight="1" s="355">
      <c r="A10" s="421" t="inlineStr">
        <is>
          <t xml:space="preserve">  United Kingdom</t>
        </is>
      </c>
      <c r="B10" s="420" t="n">
        <v>0</v>
      </c>
      <c r="C10" s="420" t="n">
        <v>8438.31291368458</v>
      </c>
      <c r="D10" s="420" t="n">
        <v>16288.9500939228</v>
      </c>
      <c r="E10" s="420" t="n">
        <v>23696.1396627131</v>
      </c>
      <c r="F10" s="420" t="n">
        <v>30576.9918055593</v>
      </c>
      <c r="G10" s="420" t="n">
        <v>37683.6130006472</v>
      </c>
      <c r="H10" s="420" t="n">
        <v>45805.5441919901</v>
      </c>
      <c r="I10" s="420" t="n">
        <v>4521.76109638263</v>
      </c>
      <c r="J10" s="420">
        <f>SUM(B10:I10)</f>
        <v/>
      </c>
    </row>
    <row r="11" ht="18.75" customHeight="1" s="355">
      <c r="A11" s="422" t="inlineStr">
        <is>
          <t>Total Inflation Impact</t>
        </is>
      </c>
      <c r="B11" s="423">
        <f>SUM(B3:B10)</f>
        <v/>
      </c>
      <c r="C11" s="423">
        <f>SUM(C3:C10)</f>
        <v/>
      </c>
      <c r="D11" s="423">
        <f>SUM(D3:D10)</f>
        <v/>
      </c>
      <c r="E11" s="423">
        <f>SUM(E3:E10)</f>
        <v/>
      </c>
      <c r="F11" s="423">
        <f>SUM(F3:F10)</f>
        <v/>
      </c>
      <c r="G11" s="423">
        <f>SUM(G3:G10)</f>
        <v/>
      </c>
      <c r="H11" s="423">
        <f>SUM(H3:H10)</f>
        <v/>
      </c>
      <c r="I11" s="423">
        <f>SUM(I3:I10)</f>
        <v/>
      </c>
      <c r="J11" s="423">
        <f>SUM(B11:I11)</f>
        <v/>
      </c>
    </row>
    <row r="12"/>
    <row r="13" ht="12.75" customHeight="1" s="355">
      <c r="B13" s="710" t="n"/>
      <c r="C13" s="710" t="n"/>
      <c r="D13" s="710" t="n"/>
      <c r="E13" s="710" t="n"/>
      <c r="F13" s="710" t="n"/>
      <c r="G13" s="710" t="n"/>
      <c r="H13" s="710" t="n"/>
      <c r="I13" s="710" t="n"/>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worksheet>
</file>

<file path=xl/worksheets/sheet51.xml><?xml version="1.0" encoding="utf-8"?>
<worksheet xmlns="http://schemas.openxmlformats.org/spreadsheetml/2006/main">
  <sheetPr filterMode="0">
    <outlinePr summaryBelow="1" summaryRight="1"/>
    <pageSetUpPr fitToPage="1"/>
  </sheetPr>
  <dimension ref="A1:J79"/>
  <sheetViews>
    <sheetView showFormulas="0" showGridLines="1" showRowColHeaders="1" showZeros="1" rightToLeft="0" tabSelected="1" showOutlineSymbols="1" defaultGridColor="1" view="normal" topLeftCell="A38" colorId="64" zoomScale="50" zoomScaleNormal="50" zoomScalePageLayoutView="100" workbookViewId="0">
      <selection pane="topLeft" activeCell="A1" activeCellId="0" sqref="A1:K78"/>
    </sheetView>
  </sheetViews>
  <sheetFormatPr baseColWidth="8" defaultColWidth="8.3984375" defaultRowHeight="12.75" customHeight="1" zeroHeight="0" outlineLevelRow="0"/>
  <cols>
    <col width="53.29" customWidth="1" style="407" min="1" max="1"/>
    <col width="14.25" customWidth="1" style="407" min="2" max="2"/>
    <col width="13.05" customWidth="1" style="407" min="3" max="3"/>
    <col width="14.25" customWidth="1" style="407" min="4" max="7"/>
    <col width="13.65" customWidth="1" style="407" min="8" max="8"/>
    <col width="11.25" customWidth="1" style="407" min="9" max="9"/>
    <col width="14.55" customWidth="1" style="407" min="10" max="10"/>
    <col width="8.4" customWidth="1" style="407" min="11" max="257"/>
  </cols>
  <sheetData>
    <row r="1" ht="13.5" customHeight="1" s="355">
      <c r="A1" s="412" t="inlineStr">
        <is>
          <t>US $</t>
        </is>
      </c>
      <c r="B1" s="413" t="inlineStr">
        <is>
          <t>Year 1</t>
        </is>
      </c>
      <c r="C1" s="414" t="inlineStr">
        <is>
          <t>Year 2</t>
        </is>
      </c>
      <c r="D1" s="414" t="inlineStr">
        <is>
          <t>Year 3</t>
        </is>
      </c>
      <c r="E1" s="414" t="inlineStr">
        <is>
          <t>Year 4</t>
        </is>
      </c>
      <c r="F1" s="414" t="inlineStr">
        <is>
          <t>Year 5</t>
        </is>
      </c>
      <c r="G1" s="414" t="inlineStr">
        <is>
          <t>Year 6</t>
        </is>
      </c>
      <c r="H1" s="414" t="inlineStr">
        <is>
          <t>Year 7</t>
        </is>
      </c>
      <c r="I1" s="414" t="inlineStr">
        <is>
          <t>Year 8</t>
        </is>
      </c>
      <c r="J1" s="414" t="inlineStr">
        <is>
          <t>Total</t>
        </is>
      </c>
    </row>
    <row r="2" ht="18" customHeight="1" s="355">
      <c r="A2" s="416" t="inlineStr">
        <is>
          <t>Pass-through by Country</t>
        </is>
      </c>
      <c r="B2" s="417" t="n"/>
      <c r="C2" s="418" t="n"/>
      <c r="D2" s="418" t="n"/>
      <c r="E2" s="418" t="n"/>
      <c r="F2" s="418" t="n"/>
      <c r="G2" s="418" t="n"/>
      <c r="H2" s="418" t="n"/>
      <c r="I2" s="418" t="n"/>
      <c r="J2" s="418" t="n"/>
    </row>
    <row r="3" ht="14.25" customHeight="1" s="355">
      <c r="A3" s="419" t="inlineStr">
        <is>
          <t xml:space="preserve">  Switzerland</t>
        </is>
      </c>
      <c r="B3" s="420">
        <f>SUM(B16,B29,B42,B55,B68)</f>
        <v/>
      </c>
      <c r="C3" s="420">
        <f>SUM(C16,C29,C42,C55,C68)</f>
        <v/>
      </c>
      <c r="D3" s="420">
        <f>SUM(D16,D29,D42,D55,D68)</f>
        <v/>
      </c>
      <c r="E3" s="420">
        <f>SUM(E16,E29,E42,E55,E68)</f>
        <v/>
      </c>
      <c r="F3" s="420">
        <f>SUM(F16,F29,F42,F55,F68)</f>
        <v/>
      </c>
      <c r="G3" s="420">
        <f>SUM(G16,G29,G42,G55,G68)</f>
        <v/>
      </c>
      <c r="H3" s="420">
        <f>SUM(H16,H29,H42,H55,H68)</f>
        <v/>
      </c>
      <c r="I3" s="420">
        <f>SUM(I16,I29,I42,I55,I68)</f>
        <v/>
      </c>
      <c r="J3" s="420">
        <f>SUM(B3:I3)</f>
        <v/>
      </c>
    </row>
    <row r="4" ht="14.25" customHeight="1" s="355">
      <c r="A4" s="419" t="inlineStr">
        <is>
          <t xml:space="preserve">  United States</t>
        </is>
      </c>
      <c r="B4" s="420">
        <f>SUM(B17,B30,B43,B56,B69)</f>
        <v/>
      </c>
      <c r="C4" s="420">
        <f>SUM(C17,C30,C43,C56,C69)</f>
        <v/>
      </c>
      <c r="D4" s="420">
        <f>SUM(D17,D30,D43,D56,D69)</f>
        <v/>
      </c>
      <c r="E4" s="420">
        <f>SUM(E17,E30,E43,E56,E69)</f>
        <v/>
      </c>
      <c r="F4" s="420">
        <f>SUM(F17,F30,F43,F56,F69)</f>
        <v/>
      </c>
      <c r="G4" s="420">
        <f>SUM(G17,G30,G43,G56,G69)</f>
        <v/>
      </c>
      <c r="H4" s="420">
        <f>SUM(H17,H30,H43,H56,H69)</f>
        <v/>
      </c>
      <c r="I4" s="420">
        <f>SUM(I17,I30,I43,I56,I69)</f>
        <v/>
      </c>
      <c r="J4" s="420">
        <f>SUM(B4:I4)</f>
        <v/>
      </c>
    </row>
    <row r="5" ht="14.25" customHeight="1" s="355">
      <c r="A5" s="419" t="inlineStr">
        <is>
          <t xml:space="preserve">  France</t>
        </is>
      </c>
      <c r="B5" s="420">
        <f>SUM(B18,B31,B44,B57,B70)</f>
        <v/>
      </c>
      <c r="C5" s="420">
        <f>SUM(C18,C31,C44,C57,C70)</f>
        <v/>
      </c>
      <c r="D5" s="420">
        <f>SUM(D18,D31,D44,D57,D70)</f>
        <v/>
      </c>
      <c r="E5" s="420">
        <f>SUM(E18,E31,E44,E57,E70)</f>
        <v/>
      </c>
      <c r="F5" s="420">
        <f>SUM(F18,F31,F44,F57,F70)</f>
        <v/>
      </c>
      <c r="G5" s="420">
        <f>SUM(G18,G31,G44,G57,G70)</f>
        <v/>
      </c>
      <c r="H5" s="420">
        <f>SUM(H18,H31,H44,H57,H70)</f>
        <v/>
      </c>
      <c r="I5" s="420">
        <f>SUM(I18,I31,I44,I57,I70)</f>
        <v/>
      </c>
      <c r="J5" s="420">
        <f>SUM(B5:I5)</f>
        <v/>
      </c>
    </row>
    <row r="6" ht="14.25" customHeight="1" s="355">
      <c r="A6" s="419" t="inlineStr">
        <is>
          <t xml:space="preserve">  Germany </t>
        </is>
      </c>
      <c r="B6" s="420">
        <f>SUM(B19,B32,B45,B58,B71)</f>
        <v/>
      </c>
      <c r="C6" s="420">
        <f>SUM(C19,C32,C45,C58,C71)</f>
        <v/>
      </c>
      <c r="D6" s="420">
        <f>SUM(D19,D32,D45,D58,D71)</f>
        <v/>
      </c>
      <c r="E6" s="420">
        <f>SUM(E19,E32,E45,E58,E71)</f>
        <v/>
      </c>
      <c r="F6" s="420">
        <f>SUM(F19,F32,F45,F58,F71)</f>
        <v/>
      </c>
      <c r="G6" s="420">
        <f>SUM(G19,G32,G45,G58,G71)</f>
        <v/>
      </c>
      <c r="H6" s="420">
        <f>SUM(H19,H32,H45,H58,H71)</f>
        <v/>
      </c>
      <c r="I6" s="420">
        <f>SUM(I19,I32,I45,I58,I71)</f>
        <v/>
      </c>
      <c r="J6" s="420">
        <f>SUM(B6:I6)</f>
        <v/>
      </c>
    </row>
    <row r="7" ht="14.25" customHeight="1" s="355">
      <c r="A7" s="419" t="inlineStr">
        <is>
          <t xml:space="preserve">  Germany Production</t>
        </is>
      </c>
      <c r="B7" s="420">
        <f>SUM(B20,B33,B46,B59,B72)</f>
        <v/>
      </c>
      <c r="C7" s="420">
        <f>SUM(C20,C33,C46,C59,C72)</f>
        <v/>
      </c>
      <c r="D7" s="420">
        <f>SUM(D20,D33,D46,D59,D72)</f>
        <v/>
      </c>
      <c r="E7" s="420">
        <f>SUM(E20,E33,E46,E59,E72)</f>
        <v/>
      </c>
      <c r="F7" s="420">
        <f>SUM(F20,F33,F46,F59,F72)</f>
        <v/>
      </c>
      <c r="G7" s="420">
        <f>SUM(G20,G33,G46,G59,G72)</f>
        <v/>
      </c>
      <c r="H7" s="420">
        <f>SUM(H20,H33,H46,H59,H72)</f>
        <v/>
      </c>
      <c r="I7" s="420">
        <f>SUM(I20,I33,I46,I59,I72)</f>
        <v/>
      </c>
      <c r="J7" s="420">
        <f>SUM(B7:I7)</f>
        <v/>
      </c>
    </row>
    <row r="8" ht="14.25" customHeight="1" s="355">
      <c r="A8" s="419" t="inlineStr">
        <is>
          <t xml:space="preserve">  Spain</t>
        </is>
      </c>
      <c r="B8" s="420">
        <f>SUM(B21,B34,B47,B60,B73)</f>
        <v/>
      </c>
      <c r="C8" s="420">
        <f>SUM(C21,C34,C47,C60,C73)</f>
        <v/>
      </c>
      <c r="D8" s="420">
        <f>SUM(D21,D34,D47,D60,D73)</f>
        <v/>
      </c>
      <c r="E8" s="420">
        <f>SUM(E21,E34,E47,E60,E73)</f>
        <v/>
      </c>
      <c r="F8" s="420">
        <f>SUM(F21,F34,F47,F60,F73)</f>
        <v/>
      </c>
      <c r="G8" s="420">
        <f>SUM(G21,G34,G47,G60,G73)</f>
        <v/>
      </c>
      <c r="H8" s="420">
        <f>SUM(H21,H34,H47,H60,H73)</f>
        <v/>
      </c>
      <c r="I8" s="420">
        <f>SUM(I21,I34,I47,I60,I73)</f>
        <v/>
      </c>
      <c r="J8" s="420">
        <f>SUM(B8:I8)</f>
        <v/>
      </c>
    </row>
    <row r="9" ht="14.25" customHeight="1" s="355">
      <c r="A9" s="419" t="inlineStr">
        <is>
          <t xml:space="preserve">  Italy</t>
        </is>
      </c>
      <c r="B9" s="420">
        <f>SUM(B22,B35,B48,B61,B74)</f>
        <v/>
      </c>
      <c r="C9" s="420">
        <f>SUM(C22,C35,C48,C61,C74)</f>
        <v/>
      </c>
      <c r="D9" s="420">
        <f>SUM(D22,D35,D48,D61,D74)</f>
        <v/>
      </c>
      <c r="E9" s="420">
        <f>SUM(E22,E35,E48,E61,E74)</f>
        <v/>
      </c>
      <c r="F9" s="420">
        <f>SUM(F22,F35,F48,F61,F74)</f>
        <v/>
      </c>
      <c r="G9" s="420">
        <f>SUM(G22,G35,G48,G61,G74)</f>
        <v/>
      </c>
      <c r="H9" s="420">
        <f>SUM(H22,H35,H48,H61,H74)</f>
        <v/>
      </c>
      <c r="I9" s="420">
        <f>SUM(I22,I35,I48,I61,I74)</f>
        <v/>
      </c>
      <c r="J9" s="420">
        <f>SUM(B9:I9)</f>
        <v/>
      </c>
    </row>
    <row r="10" ht="15" customHeight="1" s="355">
      <c r="A10" s="421" t="inlineStr">
        <is>
          <t xml:space="preserve">  United Kingdom</t>
        </is>
      </c>
      <c r="B10" s="420">
        <f>SUM(B23,B36,B49,B62,B75)</f>
        <v/>
      </c>
      <c r="C10" s="420">
        <f>SUM(C23,C36,C49,C62,C75)</f>
        <v/>
      </c>
      <c r="D10" s="420">
        <f>SUM(D23,D36,D49,D62,D75)</f>
        <v/>
      </c>
      <c r="E10" s="420">
        <f>SUM(E23,E36,E49,E62,E75)</f>
        <v/>
      </c>
      <c r="F10" s="420">
        <f>SUM(F23,F36,F49,F62,F75)</f>
        <v/>
      </c>
      <c r="G10" s="420">
        <f>SUM(G23,G36,G49,G62,G75)</f>
        <v/>
      </c>
      <c r="H10" s="420">
        <f>SUM(H23,H36,H49,H62,H75)</f>
        <v/>
      </c>
      <c r="I10" s="420">
        <f>SUM(I23,I36,I49,I62,I75)</f>
        <v/>
      </c>
      <c r="J10" s="420">
        <f>SUM(B10:I10)</f>
        <v/>
      </c>
    </row>
    <row r="11" ht="18.75" customHeight="1" s="355">
      <c r="A11" s="422" t="inlineStr">
        <is>
          <t>Total Pass-through</t>
        </is>
      </c>
      <c r="B11" s="423">
        <f>SUM(B3:B10)</f>
        <v/>
      </c>
      <c r="C11" s="423">
        <f>SUM(C3:C10)</f>
        <v/>
      </c>
      <c r="D11" s="423">
        <f>SUM(D3:D10)</f>
        <v/>
      </c>
      <c r="E11" s="423">
        <f>SUM(E3:E10)</f>
        <v/>
      </c>
      <c r="F11" s="423">
        <f>SUM(F3:F10)</f>
        <v/>
      </c>
      <c r="G11" s="423">
        <f>SUM(G3:G10)</f>
        <v/>
      </c>
      <c r="H11" s="423">
        <f>SUM(H3:H10)</f>
        <v/>
      </c>
      <c r="I11" s="423">
        <f>SUM(I3:I10)</f>
        <v/>
      </c>
      <c r="J11" s="423">
        <f>SUM(B11:I11)</f>
        <v/>
      </c>
    </row>
    <row r="12" ht="12.75" customHeight="1" s="355">
      <c r="B12" s="710" t="n"/>
      <c r="C12" s="710" t="n"/>
      <c r="D12" s="710" t="n"/>
      <c r="E12" s="710" t="n"/>
      <c r="F12" s="710" t="n"/>
      <c r="G12" s="710" t="n"/>
      <c r="H12" s="710" t="n"/>
      <c r="I12" s="710" t="n"/>
      <c r="J12" s="710" t="n"/>
    </row>
    <row r="13" ht="13.5" customHeight="1" s="355">
      <c r="B13" s="710" t="n"/>
      <c r="C13" s="710" t="n"/>
      <c r="D13" s="710" t="n"/>
      <c r="E13" s="710" t="n"/>
      <c r="F13" s="710" t="n"/>
      <c r="G13" s="710" t="n"/>
      <c r="H13" s="710" t="n"/>
      <c r="I13" s="710" t="n"/>
      <c r="J13" s="710" t="n"/>
    </row>
    <row r="14" ht="13.5" customHeight="1" s="355">
      <c r="A14" s="412" t="inlineStr">
        <is>
          <t>US $</t>
        </is>
      </c>
      <c r="B14" s="413" t="inlineStr">
        <is>
          <t>Year 1</t>
        </is>
      </c>
      <c r="C14" s="414" t="inlineStr">
        <is>
          <t>Year 2</t>
        </is>
      </c>
      <c r="D14" s="414" t="inlineStr">
        <is>
          <t>Year 3</t>
        </is>
      </c>
      <c r="E14" s="414" t="inlineStr">
        <is>
          <t>Year 4</t>
        </is>
      </c>
      <c r="F14" s="414" t="inlineStr">
        <is>
          <t>Year 5</t>
        </is>
      </c>
      <c r="G14" s="414" t="inlineStr">
        <is>
          <t>Year 6</t>
        </is>
      </c>
      <c r="H14" s="414" t="inlineStr">
        <is>
          <t>Year 7</t>
        </is>
      </c>
      <c r="I14" s="414" t="inlineStr">
        <is>
          <t>Year 8</t>
        </is>
      </c>
      <c r="J14" s="414" t="inlineStr">
        <is>
          <t>Total</t>
        </is>
      </c>
    </row>
    <row r="15" ht="18" customHeight="1" s="355">
      <c r="A15" s="416" t="inlineStr">
        <is>
          <t>PSTN by Country</t>
        </is>
      </c>
      <c r="B15" s="417" t="n"/>
      <c r="C15" s="418" t="n"/>
      <c r="D15" s="418" t="n"/>
      <c r="E15" s="418" t="n"/>
      <c r="F15" s="418" t="n"/>
      <c r="G15" s="418" t="n"/>
      <c r="H15" s="418" t="n"/>
      <c r="I15" s="418" t="n"/>
      <c r="J15" s="418" t="n"/>
    </row>
    <row r="16" ht="14.25" customHeight="1" s="355">
      <c r="A16" s="419" t="inlineStr">
        <is>
          <t xml:space="preserve">  Switzerland</t>
        </is>
      </c>
      <c r="B16" s="420" t="n">
        <v>8923.870967741939</v>
      </c>
      <c r="C16" s="420" t="n">
        <v>18244.8275862069</v>
      </c>
      <c r="D16" s="420" t="n">
        <v>17313.6605603448</v>
      </c>
      <c r="E16" s="420" t="n">
        <v>16557.0269396552</v>
      </c>
      <c r="F16" s="420" t="n">
        <v>15979.1433189655</v>
      </c>
      <c r="G16" s="420" t="n">
        <v>15377.2909482759</v>
      </c>
      <c r="H16" s="420" t="n">
        <v>15148.0818965517</v>
      </c>
      <c r="I16" s="420" t="n">
        <v>1260.98599137931</v>
      </c>
      <c r="J16" s="420" t="n">
        <v>108804.888209121</v>
      </c>
    </row>
    <row r="17" ht="14.25" customHeight="1" s="355">
      <c r="A17" s="419" t="inlineStr">
        <is>
          <t xml:space="preserve">  United States</t>
        </is>
      </c>
      <c r="B17" s="420" t="n">
        <v>12278.9193548387</v>
      </c>
      <c r="C17" s="420" t="n">
        <v>23012.2413793103</v>
      </c>
      <c r="D17" s="420" t="n">
        <v>21861.4752155172</v>
      </c>
      <c r="E17" s="420" t="n">
        <v>20923.9622844828</v>
      </c>
      <c r="F17" s="420" t="n">
        <v>19986.4493534483</v>
      </c>
      <c r="G17" s="420" t="n">
        <v>19348.3426724138</v>
      </c>
      <c r="H17" s="420" t="n">
        <v>19297.4353448276</v>
      </c>
      <c r="I17" s="420" t="n">
        <v>1608.11961206897</v>
      </c>
      <c r="J17" s="420" t="n">
        <v>138316.945216908</v>
      </c>
    </row>
    <row r="18" ht="14.25" customHeight="1" s="355">
      <c r="A18" s="419" t="inlineStr">
        <is>
          <t xml:space="preserve">  France</t>
        </is>
      </c>
      <c r="B18" s="420" t="n">
        <v>5431.06451612903</v>
      </c>
      <c r="C18" s="420" t="n">
        <v>20294.8275862069</v>
      </c>
      <c r="D18" s="420" t="n">
        <v>19439.4418103448</v>
      </c>
      <c r="E18" s="420" t="n">
        <v>18710.9331896552</v>
      </c>
      <c r="F18" s="420" t="n">
        <v>18092.4245689655</v>
      </c>
      <c r="G18" s="420" t="n">
        <v>17331.9784482759</v>
      </c>
      <c r="H18" s="420" t="n">
        <v>17157.4568965517</v>
      </c>
      <c r="I18" s="420" t="n">
        <v>1428.95474137931</v>
      </c>
      <c r="J18" s="420" t="n">
        <v>117887.081757508</v>
      </c>
    </row>
    <row r="19" ht="14.25" customHeight="1" s="355">
      <c r="A19" s="419" t="inlineStr">
        <is>
          <t xml:space="preserve">  Germany </t>
        </is>
      </c>
      <c r="B19" s="420" t="n">
        <v>3630.56451612903</v>
      </c>
      <c r="C19" s="420" t="n">
        <v>11094.1379310345</v>
      </c>
      <c r="D19" s="420" t="n">
        <v>10586.6153017241</v>
      </c>
      <c r="E19" s="420" t="n">
        <v>10150.6971982759</v>
      </c>
      <c r="F19" s="420" t="n">
        <v>9838.529094827591</v>
      </c>
      <c r="G19" s="420" t="n">
        <v>9434.82974137931</v>
      </c>
      <c r="H19" s="420" t="n">
        <v>9276.65948275862</v>
      </c>
      <c r="I19" s="420" t="n">
        <v>772.117456896552</v>
      </c>
      <c r="J19" s="420" t="n">
        <v>64784.1507230256</v>
      </c>
    </row>
    <row r="20" ht="14.25" customHeight="1" s="355">
      <c r="A20" s="419" t="inlineStr">
        <is>
          <t xml:space="preserve">  Germany Production</t>
        </is>
      </c>
      <c r="B20" s="420" t="n">
        <v>861.774193548387</v>
      </c>
      <c r="C20" s="420" t="n">
        <v>390</v>
      </c>
      <c r="D20" s="420" t="n">
        <v>381.0625</v>
      </c>
      <c r="E20" s="420" t="n">
        <v>371.3125</v>
      </c>
      <c r="F20" s="420" t="n">
        <v>361.5625</v>
      </c>
      <c r="G20" s="420" t="n">
        <v>342.875</v>
      </c>
      <c r="H20" s="420" t="n">
        <v>341.25</v>
      </c>
      <c r="I20" s="420" t="n">
        <v>28.4375</v>
      </c>
      <c r="J20" s="420" t="n">
        <v>3078.27419354839</v>
      </c>
    </row>
    <row r="21" ht="14.25" customHeight="1" s="355">
      <c r="A21" s="419" t="inlineStr">
        <is>
          <t xml:space="preserve">  Spain</t>
        </is>
      </c>
      <c r="B21" s="420" t="n">
        <v>4973.02419354839</v>
      </c>
      <c r="C21" s="420" t="n">
        <v>10511.5517241379</v>
      </c>
      <c r="D21" s="420" t="n">
        <v>10055.4768318966</v>
      </c>
      <c r="E21" s="420" t="n">
        <v>9674.366918103449</v>
      </c>
      <c r="F21" s="420" t="n">
        <v>9341.382004310341</v>
      </c>
      <c r="G21" s="420" t="n">
        <v>8956.912715517239</v>
      </c>
      <c r="H21" s="420" t="n">
        <v>8876.32543103448</v>
      </c>
      <c r="I21" s="420" t="n">
        <v>739.329202586207</v>
      </c>
      <c r="J21" s="420" t="n">
        <v>63128.3690211346</v>
      </c>
    </row>
    <row r="22" ht="14.25" customHeight="1" s="355">
      <c r="A22" s="419" t="inlineStr">
        <is>
          <t xml:space="preserve">  Italy</t>
        </is>
      </c>
      <c r="B22" s="420" t="n">
        <v>4772.78225806452</v>
      </c>
      <c r="C22" s="420" t="n">
        <v>11482.4137931035</v>
      </c>
      <c r="D22" s="420" t="n">
        <v>10987.2990301724</v>
      </c>
      <c r="E22" s="420" t="n">
        <v>10565.8572198276</v>
      </c>
      <c r="F22" s="420" t="n">
        <v>10220.0404094828</v>
      </c>
      <c r="G22" s="420" t="n">
        <v>9793.957974137929</v>
      </c>
      <c r="H22" s="420" t="n">
        <v>9682.165948275861</v>
      </c>
      <c r="I22" s="420" t="n">
        <v>806.274245689655</v>
      </c>
      <c r="J22" s="420" t="n">
        <v>68310.7908787542</v>
      </c>
    </row>
    <row r="23" ht="15" customHeight="1" s="355">
      <c r="A23" s="421" t="inlineStr">
        <is>
          <t xml:space="preserve">  United Kingdom</t>
        </is>
      </c>
      <c r="B23" s="420" t="n">
        <v>5171.90322580645</v>
      </c>
      <c r="C23" s="420" t="n">
        <v>6890</v>
      </c>
      <c r="D23" s="420" t="n">
        <v>6565.8125</v>
      </c>
      <c r="E23" s="420" t="n">
        <v>6283.0625</v>
      </c>
      <c r="F23" s="420" t="n">
        <v>6000.3125</v>
      </c>
      <c r="G23" s="420" t="n">
        <v>5815.875</v>
      </c>
      <c r="H23" s="420" t="n">
        <v>5801.25</v>
      </c>
      <c r="I23" s="420" t="n">
        <v>483.4375</v>
      </c>
      <c r="J23" s="420" t="n">
        <v>43011.6532258065</v>
      </c>
    </row>
    <row r="24" ht="18.75" customHeight="1" s="355">
      <c r="A24" s="422" t="inlineStr">
        <is>
          <t>Total PSTN</t>
        </is>
      </c>
      <c r="B24" s="423" t="n">
        <v>46043.9032258065</v>
      </c>
      <c r="C24" s="423" t="n">
        <v>101920</v>
      </c>
      <c r="D24" s="423" t="n">
        <v>97190.84375</v>
      </c>
      <c r="E24" s="423" t="n">
        <v>93237.21875</v>
      </c>
      <c r="F24" s="423" t="n">
        <v>89819.84375</v>
      </c>
      <c r="G24" s="423" t="n">
        <v>86402.0625</v>
      </c>
      <c r="H24" s="423" t="n">
        <v>85580.625</v>
      </c>
      <c r="I24" s="423" t="n">
        <v>7127.65625</v>
      </c>
      <c r="J24" s="423" t="n">
        <v>607322.153225806</v>
      </c>
    </row>
    <row r="25"/>
    <row r="26" ht="13.5" customHeight="1" s="355">
      <c r="B26" s="710" t="n"/>
      <c r="C26" s="710" t="n"/>
      <c r="D26" s="710" t="n"/>
      <c r="E26" s="710" t="n"/>
      <c r="F26" s="710" t="n"/>
      <c r="G26" s="710" t="n"/>
      <c r="H26" s="710" t="n"/>
      <c r="I26" s="710" t="n"/>
      <c r="J26" s="710" t="n"/>
    </row>
    <row r="27" ht="13.5" customHeight="1" s="355">
      <c r="A27" s="412" t="inlineStr">
        <is>
          <t>US $</t>
        </is>
      </c>
      <c r="B27" s="413" t="inlineStr">
        <is>
          <t>Year 1</t>
        </is>
      </c>
      <c r="C27" s="414" t="inlineStr">
        <is>
          <t>Year 2</t>
        </is>
      </c>
      <c r="D27" s="414" t="inlineStr">
        <is>
          <t>Year 3</t>
        </is>
      </c>
      <c r="E27" s="414" t="inlineStr">
        <is>
          <t>Year 4</t>
        </is>
      </c>
      <c r="F27" s="414" t="inlineStr">
        <is>
          <t>Year 5</t>
        </is>
      </c>
      <c r="G27" s="414" t="inlineStr">
        <is>
          <t>Year 6</t>
        </is>
      </c>
      <c r="H27" s="414" t="inlineStr">
        <is>
          <t>Year 7</t>
        </is>
      </c>
      <c r="I27" s="414" t="inlineStr">
        <is>
          <t>Year 8</t>
        </is>
      </c>
      <c r="J27" s="414" t="inlineStr">
        <is>
          <t>Total</t>
        </is>
      </c>
    </row>
    <row r="28" ht="18" customHeight="1" s="355">
      <c r="A28" s="416" t="inlineStr">
        <is>
          <t>Workflow by Country</t>
        </is>
      </c>
      <c r="B28" s="417" t="n"/>
      <c r="C28" s="418" t="n"/>
      <c r="D28" s="418" t="n"/>
      <c r="E28" s="418" t="n"/>
      <c r="F28" s="418" t="n"/>
      <c r="G28" s="418" t="n"/>
      <c r="H28" s="418" t="n"/>
      <c r="I28" s="418" t="n"/>
      <c r="J28" s="418" t="n"/>
    </row>
    <row r="29" ht="14.25" customHeight="1" s="355">
      <c r="A29" s="419" t="inlineStr">
        <is>
          <t xml:space="preserve">  Switzerland</t>
        </is>
      </c>
      <c r="B29" s="420" t="n">
        <v>0</v>
      </c>
      <c r="C29" s="420" t="n">
        <v>0</v>
      </c>
      <c r="D29" s="420" t="n">
        <v>0</v>
      </c>
      <c r="E29" s="420" t="n">
        <v>0</v>
      </c>
      <c r="F29" s="420" t="n">
        <v>0</v>
      </c>
      <c r="G29" s="420" t="n">
        <v>0</v>
      </c>
      <c r="H29" s="420" t="n">
        <v>0</v>
      </c>
      <c r="I29" s="420" t="n">
        <v>0</v>
      </c>
      <c r="J29" s="420" t="n">
        <v>0</v>
      </c>
    </row>
    <row r="30" ht="14.25" customHeight="1" s="355">
      <c r="A30" s="419" t="inlineStr">
        <is>
          <t xml:space="preserve">  United States</t>
        </is>
      </c>
      <c r="B30" s="420" t="n">
        <v>0</v>
      </c>
      <c r="C30" s="420" t="n">
        <v>0</v>
      </c>
      <c r="D30" s="420" t="n">
        <v>0</v>
      </c>
      <c r="E30" s="420" t="n">
        <v>0</v>
      </c>
      <c r="F30" s="420" t="n">
        <v>0</v>
      </c>
      <c r="G30" s="420" t="n">
        <v>0</v>
      </c>
      <c r="H30" s="420" t="n">
        <v>0</v>
      </c>
      <c r="I30" s="420" t="n">
        <v>0</v>
      </c>
      <c r="J30" s="420" t="n">
        <v>0</v>
      </c>
    </row>
    <row r="31" ht="14.25" customHeight="1" s="355">
      <c r="A31" s="419" t="inlineStr">
        <is>
          <t xml:space="preserve">  France</t>
        </is>
      </c>
      <c r="B31" s="420" t="n">
        <v>0</v>
      </c>
      <c r="C31" s="420" t="n">
        <v>0</v>
      </c>
      <c r="D31" s="420" t="n">
        <v>0</v>
      </c>
      <c r="E31" s="420" t="n">
        <v>0</v>
      </c>
      <c r="F31" s="420" t="n">
        <v>0</v>
      </c>
      <c r="G31" s="420" t="n">
        <v>0</v>
      </c>
      <c r="H31" s="420" t="n">
        <v>0</v>
      </c>
      <c r="I31" s="420" t="n">
        <v>0</v>
      </c>
      <c r="J31" s="420" t="n">
        <v>0</v>
      </c>
    </row>
    <row r="32" ht="14.25" customHeight="1" s="355">
      <c r="A32" s="419" t="inlineStr">
        <is>
          <t xml:space="preserve">  Germany </t>
        </is>
      </c>
      <c r="B32" s="420" t="n">
        <v>0</v>
      </c>
      <c r="C32" s="420" t="n">
        <v>0</v>
      </c>
      <c r="D32" s="420" t="n">
        <v>0</v>
      </c>
      <c r="E32" s="420" t="n">
        <v>0</v>
      </c>
      <c r="F32" s="420" t="n">
        <v>0</v>
      </c>
      <c r="G32" s="420" t="n">
        <v>0</v>
      </c>
      <c r="H32" s="420" t="n">
        <v>0</v>
      </c>
      <c r="I32" s="420" t="n">
        <v>0</v>
      </c>
      <c r="J32" s="420" t="n">
        <v>0</v>
      </c>
    </row>
    <row r="33" ht="14.25" customHeight="1" s="355">
      <c r="A33" s="419" t="inlineStr">
        <is>
          <t xml:space="preserve">  Germany Production</t>
        </is>
      </c>
      <c r="B33" s="420" t="n">
        <v>0</v>
      </c>
      <c r="C33" s="420" t="n">
        <v>0</v>
      </c>
      <c r="D33" s="420" t="n">
        <v>0</v>
      </c>
      <c r="E33" s="420" t="n">
        <v>0</v>
      </c>
      <c r="F33" s="420" t="n">
        <v>0</v>
      </c>
      <c r="G33" s="420" t="n">
        <v>0</v>
      </c>
      <c r="H33" s="420" t="n">
        <v>0</v>
      </c>
      <c r="I33" s="420" t="n">
        <v>0</v>
      </c>
      <c r="J33" s="420" t="n">
        <v>0</v>
      </c>
    </row>
    <row r="34" ht="14.25" customHeight="1" s="355">
      <c r="A34" s="419" t="inlineStr">
        <is>
          <t xml:space="preserve">  Spain</t>
        </is>
      </c>
      <c r="B34" s="420" t="n">
        <v>0</v>
      </c>
      <c r="C34" s="420" t="n">
        <v>0</v>
      </c>
      <c r="D34" s="420" t="n">
        <v>0</v>
      </c>
      <c r="E34" s="420" t="n">
        <v>0</v>
      </c>
      <c r="F34" s="420" t="n">
        <v>0</v>
      </c>
      <c r="G34" s="420" t="n">
        <v>0</v>
      </c>
      <c r="H34" s="420" t="n">
        <v>0</v>
      </c>
      <c r="I34" s="420" t="n">
        <v>0</v>
      </c>
      <c r="J34" s="420" t="n">
        <v>0</v>
      </c>
    </row>
    <row r="35" ht="14.25" customHeight="1" s="355">
      <c r="A35" s="419" t="inlineStr">
        <is>
          <t xml:space="preserve">  Italy</t>
        </is>
      </c>
      <c r="B35" s="420" t="n">
        <v>0</v>
      </c>
      <c r="C35" s="420" t="n">
        <v>0</v>
      </c>
      <c r="D35" s="420" t="n">
        <v>0</v>
      </c>
      <c r="E35" s="420" t="n">
        <v>0</v>
      </c>
      <c r="F35" s="420" t="n">
        <v>0</v>
      </c>
      <c r="G35" s="420" t="n">
        <v>0</v>
      </c>
      <c r="H35" s="420" t="n">
        <v>0</v>
      </c>
      <c r="I35" s="420" t="n">
        <v>0</v>
      </c>
      <c r="J35" s="420" t="n">
        <v>0</v>
      </c>
    </row>
    <row r="36" ht="15" customHeight="1" s="355">
      <c r="A36" s="421" t="inlineStr">
        <is>
          <t xml:space="preserve">  United Kingdom</t>
        </is>
      </c>
      <c r="B36" s="420" t="n">
        <v>89006.14999999999</v>
      </c>
      <c r="C36" s="420" t="n">
        <v>14956.2888888889</v>
      </c>
      <c r="D36" s="420" t="n">
        <v>14063.7680555556</v>
      </c>
      <c r="E36" s="420" t="n">
        <v>13349.7513888889</v>
      </c>
      <c r="F36" s="420" t="n">
        <v>12635.7347222222</v>
      </c>
      <c r="G36" s="420" t="n">
        <v>12576.2333333333</v>
      </c>
      <c r="H36" s="420" t="n">
        <v>12576.2333333333</v>
      </c>
      <c r="I36" s="420" t="n">
        <v>1048.01944444444</v>
      </c>
      <c r="J36" s="420" t="n">
        <v>170212.179166667</v>
      </c>
    </row>
    <row r="37" ht="18.75" customHeight="1" s="355">
      <c r="A37" s="422" t="inlineStr">
        <is>
          <t>Total Workflow</t>
        </is>
      </c>
      <c r="B37" s="423" t="n">
        <v>89006.14999999999</v>
      </c>
      <c r="C37" s="423" t="n">
        <v>14956.2888888889</v>
      </c>
      <c r="D37" s="423" t="n">
        <v>14063.7680555556</v>
      </c>
      <c r="E37" s="423" t="n">
        <v>13349.7513888889</v>
      </c>
      <c r="F37" s="423" t="n">
        <v>12635.7347222222</v>
      </c>
      <c r="G37" s="423" t="n">
        <v>12576.2333333333</v>
      </c>
      <c r="H37" s="423" t="n">
        <v>12576.2333333333</v>
      </c>
      <c r="I37" s="423" t="n">
        <v>1048.01944444444</v>
      </c>
      <c r="J37" s="423" t="n">
        <v>170212.179166667</v>
      </c>
    </row>
    <row r="38"/>
    <row r="39" ht="13.5" customHeight="1" s="355"/>
    <row r="40" ht="13.5" customHeight="1" s="355">
      <c r="A40" s="412" t="inlineStr">
        <is>
          <t>US $</t>
        </is>
      </c>
      <c r="B40" s="413" t="inlineStr">
        <is>
          <t>Year 1</t>
        </is>
      </c>
      <c r="C40" s="414" t="inlineStr">
        <is>
          <t>Year 2</t>
        </is>
      </c>
      <c r="D40" s="414" t="inlineStr">
        <is>
          <t>Year 3</t>
        </is>
      </c>
      <c r="E40" s="414" t="inlineStr">
        <is>
          <t>Year 4</t>
        </is>
      </c>
      <c r="F40" s="414" t="inlineStr">
        <is>
          <t>Year 5</t>
        </is>
      </c>
      <c r="G40" s="414" t="inlineStr">
        <is>
          <t>Year 6</t>
        </is>
      </c>
      <c r="H40" s="414" t="inlineStr">
        <is>
          <t>Year 7</t>
        </is>
      </c>
      <c r="I40" s="414" t="inlineStr">
        <is>
          <t>Year 8</t>
        </is>
      </c>
      <c r="J40" s="414" t="inlineStr">
        <is>
          <t>Total</t>
        </is>
      </c>
    </row>
    <row r="41" ht="18" customHeight="1" s="355">
      <c r="A41" s="416" t="inlineStr">
        <is>
          <t>Scanning &amp; Archiving by Country</t>
        </is>
      </c>
      <c r="B41" s="417" t="n"/>
      <c r="C41" s="418" t="n"/>
      <c r="D41" s="418" t="n"/>
      <c r="E41" s="418" t="n"/>
      <c r="F41" s="418" t="n"/>
      <c r="G41" s="418" t="n"/>
      <c r="H41" s="418" t="n"/>
      <c r="I41" s="418" t="n"/>
      <c r="J41" s="418" t="n"/>
    </row>
    <row r="42" ht="14.25" customHeight="1" s="355">
      <c r="A42" s="419" t="inlineStr">
        <is>
          <t xml:space="preserve">  Switzerland</t>
        </is>
      </c>
      <c r="B42" s="420" t="n">
        <v>0</v>
      </c>
      <c r="C42" s="420" t="n">
        <v>0</v>
      </c>
      <c r="D42" s="420" t="n">
        <v>0</v>
      </c>
      <c r="E42" s="420" t="n">
        <v>0</v>
      </c>
      <c r="F42" s="420" t="n">
        <v>0</v>
      </c>
      <c r="G42" s="420" t="n">
        <v>0</v>
      </c>
      <c r="H42" s="420" t="n">
        <v>0</v>
      </c>
      <c r="I42" s="420" t="n">
        <v>0</v>
      </c>
      <c r="J42" s="420" t="n">
        <v>0</v>
      </c>
    </row>
    <row r="43" ht="14.25" customHeight="1" s="355">
      <c r="A43" s="419" t="inlineStr">
        <is>
          <t xml:space="preserve">  United States</t>
        </is>
      </c>
      <c r="B43" s="420" t="n">
        <v>0</v>
      </c>
      <c r="C43" s="420" t="n">
        <v>0</v>
      </c>
      <c r="D43" s="420" t="n">
        <v>0</v>
      </c>
      <c r="E43" s="420" t="n">
        <v>0</v>
      </c>
      <c r="F43" s="420" t="n">
        <v>0</v>
      </c>
      <c r="G43" s="420" t="n">
        <v>0</v>
      </c>
      <c r="H43" s="420" t="n">
        <v>0</v>
      </c>
      <c r="I43" s="420" t="n">
        <v>0</v>
      </c>
      <c r="J43" s="420" t="n">
        <v>0</v>
      </c>
    </row>
    <row r="44" ht="14.25" customHeight="1" s="355">
      <c r="A44" s="419" t="inlineStr">
        <is>
          <t xml:space="preserve">  France</t>
        </is>
      </c>
      <c r="B44" s="420" t="n">
        <v>6295.86827956989</v>
      </c>
      <c r="C44" s="420" t="n">
        <v>16776.3952991453</v>
      </c>
      <c r="D44" s="420" t="n">
        <v>15662.9177350427</v>
      </c>
      <c r="E44" s="420" t="n">
        <v>14772.1356837607</v>
      </c>
      <c r="F44" s="420" t="n">
        <v>14289.6287393162</v>
      </c>
      <c r="G44" s="420" t="n">
        <v>13844.2377136752</v>
      </c>
      <c r="H44" s="420" t="n">
        <v>13398.8466880342</v>
      </c>
      <c r="I44" s="420" t="n">
        <v>1113.47756410256</v>
      </c>
      <c r="J44" s="420" t="n">
        <v>96153.50770264681</v>
      </c>
    </row>
    <row r="45" ht="14.25" customHeight="1" s="355">
      <c r="A45" s="419" t="inlineStr">
        <is>
          <t xml:space="preserve">  Germany </t>
        </is>
      </c>
      <c r="B45" s="420" t="n">
        <v>8221.0234375</v>
      </c>
      <c r="C45" s="420" t="n">
        <v>18873.4447115385</v>
      </c>
      <c r="D45" s="420" t="n">
        <v>17620.7824519231</v>
      </c>
      <c r="E45" s="420" t="n">
        <v>16618.6526442308</v>
      </c>
      <c r="F45" s="420" t="n">
        <v>16075.8323317308</v>
      </c>
      <c r="G45" s="420" t="n">
        <v>15574.7674278846</v>
      </c>
      <c r="H45" s="420" t="n">
        <v>15073.7025240385</v>
      </c>
      <c r="I45" s="420" t="n">
        <v>1252.66225961538</v>
      </c>
      <c r="J45" s="420" t="n">
        <v>109310.867788462</v>
      </c>
    </row>
    <row r="46" ht="14.25" customHeight="1" s="355">
      <c r="A46" s="419" t="inlineStr">
        <is>
          <t xml:space="preserve">  Germany Production</t>
        </is>
      </c>
      <c r="B46" s="420" t="n">
        <v>0</v>
      </c>
      <c r="C46" s="420" t="n">
        <v>0</v>
      </c>
      <c r="D46" s="420" t="n">
        <v>0</v>
      </c>
      <c r="E46" s="420" t="n">
        <v>0</v>
      </c>
      <c r="F46" s="420" t="n">
        <v>0</v>
      </c>
      <c r="G46" s="420" t="n">
        <v>0</v>
      </c>
      <c r="H46" s="420" t="n">
        <v>0</v>
      </c>
      <c r="I46" s="420" t="n">
        <v>0</v>
      </c>
      <c r="J46" s="420" t="n">
        <v>0</v>
      </c>
    </row>
    <row r="47" ht="14.25" customHeight="1" s="355">
      <c r="A47" s="419" t="inlineStr">
        <is>
          <t xml:space="preserve">  Spain</t>
        </is>
      </c>
      <c r="B47" s="420" t="n">
        <v>4514.23080477151</v>
      </c>
      <c r="C47" s="420" t="n">
        <v>7339.67294337607</v>
      </c>
      <c r="D47" s="420" t="n">
        <v>6852.5265090812</v>
      </c>
      <c r="E47" s="420" t="n">
        <v>6462.8093616453</v>
      </c>
      <c r="F47" s="420" t="n">
        <v>6251.71257345085</v>
      </c>
      <c r="G47" s="420" t="n">
        <v>6056.85399973291</v>
      </c>
      <c r="H47" s="420" t="n">
        <v>5861.99542601496</v>
      </c>
      <c r="I47" s="420" t="n">
        <v>487.146434294872</v>
      </c>
      <c r="J47" s="420" t="n">
        <v>43826.9480523677</v>
      </c>
    </row>
    <row r="48" ht="14.25" customHeight="1" s="355">
      <c r="A48" s="419" t="inlineStr">
        <is>
          <t xml:space="preserve">  Italy</t>
        </is>
      </c>
      <c r="B48" s="420" t="n">
        <v>6382.95514112903</v>
      </c>
      <c r="C48" s="420" t="n">
        <v>11533.7717681624</v>
      </c>
      <c r="D48" s="420" t="n">
        <v>10768.2559428419</v>
      </c>
      <c r="E48" s="420" t="n">
        <v>10155.8432825855</v>
      </c>
      <c r="F48" s="420" t="n">
        <v>9824.11975827991</v>
      </c>
      <c r="G48" s="420" t="n">
        <v>9517.913428151711</v>
      </c>
      <c r="H48" s="420" t="n">
        <v>9211.7070980235</v>
      </c>
      <c r="I48" s="420" t="n">
        <v>765.515825320513</v>
      </c>
      <c r="J48" s="420" t="n">
        <v>68160.08224449441</v>
      </c>
    </row>
    <row r="49" ht="15" customHeight="1" s="355">
      <c r="A49" s="421" t="inlineStr">
        <is>
          <t xml:space="preserve">  United Kingdom</t>
        </is>
      </c>
      <c r="B49" s="420" t="n">
        <v>15241.71375</v>
      </c>
      <c r="C49" s="420" t="n">
        <v>26465.5227777778</v>
      </c>
      <c r="D49" s="420" t="n">
        <v>24556.9514236111</v>
      </c>
      <c r="E49" s="420" t="n">
        <v>23030.0943402778</v>
      </c>
      <c r="F49" s="420" t="n">
        <v>21503.2372569444</v>
      </c>
      <c r="G49" s="420" t="n">
        <v>21375.9991666667</v>
      </c>
      <c r="H49" s="420" t="n">
        <v>21375.9991666667</v>
      </c>
      <c r="I49" s="420" t="n">
        <v>1781.33326388889</v>
      </c>
      <c r="J49" s="420" t="n">
        <v>155330.851145833</v>
      </c>
    </row>
    <row r="50" ht="18.75" customHeight="1" s="355">
      <c r="A50" s="422" t="inlineStr">
        <is>
          <t>Total Scanning &amp; Archiving</t>
        </is>
      </c>
      <c r="B50" s="423" t="n">
        <v>40655.7914129704</v>
      </c>
      <c r="C50" s="423" t="n">
        <v>80988.8075</v>
      </c>
      <c r="D50" s="423" t="n">
        <v>75461.4340625</v>
      </c>
      <c r="E50" s="423" t="n">
        <v>71039.5353125</v>
      </c>
      <c r="F50" s="423" t="n">
        <v>67944.53065972219</v>
      </c>
      <c r="G50" s="423" t="n">
        <v>66369.7717361111</v>
      </c>
      <c r="H50" s="423" t="n">
        <v>64922.2509027778</v>
      </c>
      <c r="I50" s="423" t="n">
        <v>5400.13534722222</v>
      </c>
      <c r="J50" s="423" t="n">
        <v>472782.256933804</v>
      </c>
    </row>
    <row r="51"/>
    <row r="52" ht="13.5" customHeight="1" s="355">
      <c r="B52" s="710" t="n"/>
      <c r="C52" s="710" t="n"/>
      <c r="D52" s="710" t="n"/>
      <c r="E52" s="710" t="n"/>
      <c r="F52" s="710" t="n"/>
      <c r="G52" s="710" t="n"/>
      <c r="H52" s="710" t="n"/>
      <c r="I52" s="710" t="n"/>
      <c r="J52" s="710" t="n"/>
    </row>
    <row r="53" ht="13.5" customHeight="1" s="355">
      <c r="A53" s="412" t="inlineStr">
        <is>
          <t>US $</t>
        </is>
      </c>
      <c r="B53" s="413" t="inlineStr">
        <is>
          <t>Year 1</t>
        </is>
      </c>
      <c r="C53" s="414" t="inlineStr">
        <is>
          <t>Year 2</t>
        </is>
      </c>
      <c r="D53" s="414" t="inlineStr">
        <is>
          <t>Year 3</t>
        </is>
      </c>
      <c r="E53" s="414" t="inlineStr">
        <is>
          <t>Year 4</t>
        </is>
      </c>
      <c r="F53" s="414" t="inlineStr">
        <is>
          <t>Year 5</t>
        </is>
      </c>
      <c r="G53" s="414" t="inlineStr">
        <is>
          <t>Year 6</t>
        </is>
      </c>
      <c r="H53" s="414" t="inlineStr">
        <is>
          <t>Year 7</t>
        </is>
      </c>
      <c r="I53" s="414" t="inlineStr">
        <is>
          <t>Year 8</t>
        </is>
      </c>
      <c r="J53" s="414" t="inlineStr">
        <is>
          <t>Total</t>
        </is>
      </c>
    </row>
    <row r="54" ht="18" customHeight="1" s="355">
      <c r="A54" s="416" t="inlineStr">
        <is>
          <t>MPLS Connection by Country</t>
        </is>
      </c>
      <c r="B54" s="417" t="n"/>
      <c r="C54" s="418" t="n"/>
      <c r="D54" s="418" t="n"/>
      <c r="E54" s="418" t="n"/>
      <c r="F54" s="418" t="n"/>
      <c r="G54" s="418" t="n"/>
      <c r="H54" s="418" t="n"/>
      <c r="I54" s="418" t="n"/>
      <c r="J54" s="418" t="n"/>
    </row>
    <row r="55" ht="14.25" customHeight="1" s="355">
      <c r="A55" s="419" t="inlineStr">
        <is>
          <t xml:space="preserve">  Switzerland</t>
        </is>
      </c>
      <c r="B55" s="420" t="n">
        <v>24609.6774193548</v>
      </c>
      <c r="C55" s="420" t="n">
        <v>51402.2988505747</v>
      </c>
      <c r="D55" s="420" t="n">
        <v>48616.6091954023</v>
      </c>
      <c r="E55" s="420" t="n">
        <v>46340.0574712644</v>
      </c>
      <c r="F55" s="420" t="n">
        <v>44796.8390804598</v>
      </c>
      <c r="G55" s="420" t="n">
        <v>43155.2873563218</v>
      </c>
      <c r="H55" s="420" t="n">
        <v>42283.908045977</v>
      </c>
      <c r="I55" s="420" t="n">
        <v>3518.10344827586</v>
      </c>
      <c r="J55" s="420" t="n">
        <v>304722.780867631</v>
      </c>
    </row>
    <row r="56" ht="14.25" customHeight="1" s="355">
      <c r="A56" s="419" t="inlineStr">
        <is>
          <t xml:space="preserve">  United States</t>
        </is>
      </c>
      <c r="B56" s="420" t="n">
        <v>19077.4193548387</v>
      </c>
      <c r="C56" s="420" t="n">
        <v>38022.9885057471</v>
      </c>
      <c r="D56" s="420" t="n">
        <v>36019.216954023</v>
      </c>
      <c r="E56" s="420" t="n">
        <v>34366.1997126437</v>
      </c>
      <c r="F56" s="420" t="n">
        <v>32713.1824712644</v>
      </c>
      <c r="G56" s="420" t="n">
        <v>31804.9568965517</v>
      </c>
      <c r="H56" s="420" t="n">
        <v>31734.9137931035</v>
      </c>
      <c r="I56" s="420" t="n">
        <v>2644.57614942529</v>
      </c>
      <c r="J56" s="420" t="n">
        <v>226383.453837597</v>
      </c>
    </row>
    <row r="57" ht="14.25" customHeight="1" s="355">
      <c r="A57" s="419" t="inlineStr">
        <is>
          <t xml:space="preserve">  France</t>
        </is>
      </c>
      <c r="B57" s="420" t="n">
        <v>13939.3548387097</v>
      </c>
      <c r="C57" s="420" t="n">
        <v>54212.5552608311</v>
      </c>
      <c r="D57" s="420" t="n">
        <v>51866.0963748895</v>
      </c>
      <c r="E57" s="420" t="n">
        <v>49844.9292661362</v>
      </c>
      <c r="F57" s="420" t="n">
        <v>48275.0442086649</v>
      </c>
      <c r="G57" s="420" t="n">
        <v>46251.1847922193</v>
      </c>
      <c r="H57" s="420" t="n">
        <v>45627.4977895668</v>
      </c>
      <c r="I57" s="420" t="n">
        <v>3798.87267904509</v>
      </c>
      <c r="J57" s="420" t="n">
        <v>313815.535210062</v>
      </c>
    </row>
    <row r="58" ht="14.25" customHeight="1" s="355">
      <c r="A58" s="419" t="inlineStr">
        <is>
          <t xml:space="preserve">  Germany </t>
        </is>
      </c>
      <c r="B58" s="420" t="n">
        <v>12770.9677419355</v>
      </c>
      <c r="C58" s="420" t="n">
        <v>40006.3660477454</v>
      </c>
      <c r="D58" s="420" t="n">
        <v>38133.3023872679</v>
      </c>
      <c r="E58" s="420" t="n">
        <v>36522.8514588859</v>
      </c>
      <c r="F58" s="420" t="n">
        <v>35420.0928381963</v>
      </c>
      <c r="G58" s="420" t="n">
        <v>33978.4880636605</v>
      </c>
      <c r="H58" s="420" t="n">
        <v>33347.7453580902</v>
      </c>
      <c r="I58" s="420" t="n">
        <v>2775.1326259947</v>
      </c>
      <c r="J58" s="420" t="n">
        <v>232954.946521776</v>
      </c>
    </row>
    <row r="59" ht="14.25" customHeight="1" s="355">
      <c r="A59" s="419" t="inlineStr">
        <is>
          <t xml:space="preserve">  Germany Production</t>
        </is>
      </c>
      <c r="B59" s="420" t="n">
        <v>1703.22580645161</v>
      </c>
      <c r="C59" s="420" t="n">
        <v>2400</v>
      </c>
      <c r="D59" s="420" t="n">
        <v>2345</v>
      </c>
      <c r="E59" s="420" t="n">
        <v>2285</v>
      </c>
      <c r="F59" s="420" t="n">
        <v>2225</v>
      </c>
      <c r="G59" s="420" t="n">
        <v>2110</v>
      </c>
      <c r="H59" s="420" t="n">
        <v>2100</v>
      </c>
      <c r="I59" s="420" t="n">
        <v>175</v>
      </c>
      <c r="J59" s="420" t="n">
        <v>15343.2258064516</v>
      </c>
    </row>
    <row r="60" ht="14.25" customHeight="1" s="355">
      <c r="A60" s="419" t="inlineStr">
        <is>
          <t xml:space="preserve">  Spain</t>
        </is>
      </c>
      <c r="B60" s="420" t="n">
        <v>13419.3548387097</v>
      </c>
      <c r="C60" s="420" t="n">
        <v>28292.1308576481</v>
      </c>
      <c r="D60" s="420" t="n">
        <v>27092.3762157383</v>
      </c>
      <c r="E60" s="420" t="n">
        <v>26060.5725022104</v>
      </c>
      <c r="F60" s="420" t="n">
        <v>25226.2046861185</v>
      </c>
      <c r="G60" s="420" t="n">
        <v>24162.2855879752</v>
      </c>
      <c r="H60" s="420" t="n">
        <v>23874.3147656941</v>
      </c>
      <c r="I60" s="420" t="n">
        <v>1988.03050397878</v>
      </c>
      <c r="J60" s="420" t="n">
        <v>170115.269958073</v>
      </c>
    </row>
    <row r="61" ht="14.25" customHeight="1" s="355">
      <c r="A61" s="419" t="inlineStr">
        <is>
          <t xml:space="preserve">  Italy</t>
        </is>
      </c>
      <c r="B61" s="420" t="n">
        <v>13754.8387096774</v>
      </c>
      <c r="C61" s="420" t="n">
        <v>32983.2007073386</v>
      </c>
      <c r="D61" s="420" t="n">
        <v>31524.2020335986</v>
      </c>
      <c r="E61" s="420" t="n">
        <v>30269.0030946065</v>
      </c>
      <c r="F61" s="420" t="n">
        <v>29324.0605658709</v>
      </c>
      <c r="G61" s="420" t="n">
        <v>28104.8231653404</v>
      </c>
      <c r="H61" s="420" t="n">
        <v>27690.6719717065</v>
      </c>
      <c r="I61" s="420" t="n">
        <v>2305.20557029178</v>
      </c>
      <c r="J61" s="420" t="n">
        <v>195956.005818431</v>
      </c>
    </row>
    <row r="62" ht="15" customHeight="1" s="355">
      <c r="A62" s="421" t="inlineStr">
        <is>
          <t xml:space="preserve">  United Kingdom</t>
        </is>
      </c>
      <c r="B62" s="420" t="n">
        <v>9941.93548387097</v>
      </c>
      <c r="C62" s="420" t="n">
        <v>16166.6666666667</v>
      </c>
      <c r="D62" s="420" t="n">
        <v>15369.7916666667</v>
      </c>
      <c r="E62" s="420" t="n">
        <v>14682.2916666667</v>
      </c>
      <c r="F62" s="420" t="n">
        <v>13994.7916666667</v>
      </c>
      <c r="G62" s="420" t="n">
        <v>13593.75</v>
      </c>
      <c r="H62" s="420" t="n">
        <v>13562.5</v>
      </c>
      <c r="I62" s="420" t="n">
        <v>1130.20833333333</v>
      </c>
      <c r="J62" s="420" t="n">
        <v>98441.935483871</v>
      </c>
    </row>
    <row r="63" ht="18.75" customHeight="1" s="355">
      <c r="A63" s="422" t="inlineStr">
        <is>
          <t>Total MPLS Connection</t>
        </is>
      </c>
      <c r="B63" s="423" t="n">
        <v>109216.774193548</v>
      </c>
      <c r="C63" s="423" t="n">
        <v>263486.206896552</v>
      </c>
      <c r="D63" s="423" t="n">
        <v>250966.594827586</v>
      </c>
      <c r="E63" s="423" t="n">
        <v>240370.905172414</v>
      </c>
      <c r="F63" s="423" t="n">
        <v>231975.215517241</v>
      </c>
      <c r="G63" s="423" t="n">
        <v>223160.775862069</v>
      </c>
      <c r="H63" s="423" t="n">
        <v>220221.551724138</v>
      </c>
      <c r="I63" s="423" t="n">
        <v>18335.1293103448</v>
      </c>
      <c r="J63" s="423" t="n">
        <v>1557733.15350389</v>
      </c>
    </row>
    <row r="64"/>
    <row r="65" ht="13.5" customHeight="1" s="355"/>
    <row r="66" ht="13.5" customHeight="1" s="355">
      <c r="A66" s="412" t="inlineStr">
        <is>
          <t>US $</t>
        </is>
      </c>
      <c r="B66" s="413" t="inlineStr">
        <is>
          <t>Year 1</t>
        </is>
      </c>
      <c r="C66" s="414" t="inlineStr">
        <is>
          <t>Year 2</t>
        </is>
      </c>
      <c r="D66" s="414" t="inlineStr">
        <is>
          <t>Year 3</t>
        </is>
      </c>
      <c r="E66" s="414" t="inlineStr">
        <is>
          <t>Year 4</t>
        </is>
      </c>
      <c r="F66" s="414" t="inlineStr">
        <is>
          <t>Year 5</t>
        </is>
      </c>
      <c r="G66" s="414" t="inlineStr">
        <is>
          <t>Year 6</t>
        </is>
      </c>
      <c r="H66" s="414" t="inlineStr">
        <is>
          <t>Year 7</t>
        </is>
      </c>
      <c r="I66" s="414" t="inlineStr">
        <is>
          <t>Year 8</t>
        </is>
      </c>
      <c r="J66" s="414" t="inlineStr">
        <is>
          <t>Total</t>
        </is>
      </c>
    </row>
    <row r="67" ht="18" customHeight="1" s="355">
      <c r="A67" s="416" t="inlineStr">
        <is>
          <t>Leased line from BT to GlobalPharma by Country</t>
        </is>
      </c>
      <c r="B67" s="417" t="n"/>
      <c r="C67" s="418" t="n"/>
      <c r="D67" s="418" t="n"/>
      <c r="E67" s="418" t="n"/>
      <c r="F67" s="418" t="n"/>
      <c r="G67" s="418" t="n"/>
      <c r="H67" s="418" t="n"/>
      <c r="I67" s="418" t="n"/>
      <c r="J67" s="418" t="n"/>
    </row>
    <row r="68" ht="14.25" customHeight="1" s="355">
      <c r="A68" s="419" t="inlineStr">
        <is>
          <t xml:space="preserve">  Switzerland</t>
        </is>
      </c>
      <c r="B68" s="420" t="n">
        <v>11047.0934629061</v>
      </c>
      <c r="C68" s="420" t="n">
        <v>8841.439304072759</v>
      </c>
      <c r="D68" s="420" t="n">
        <v>8769.51146818712</v>
      </c>
      <c r="E68" s="420" t="n">
        <v>8719.53283408581</v>
      </c>
      <c r="F68" s="420" t="n">
        <v>8704.64845749384</v>
      </c>
      <c r="G68" s="420" t="n">
        <v>8739.717949215339</v>
      </c>
      <c r="H68" s="420" t="n">
        <v>8702.1763128844</v>
      </c>
      <c r="I68" s="420" t="n">
        <v>724.8667850799289</v>
      </c>
      <c r="J68" s="420" t="n">
        <v>64248.9865739253</v>
      </c>
    </row>
    <row r="69" ht="14.25" customHeight="1" s="355">
      <c r="A69" s="419" t="inlineStr">
        <is>
          <t xml:space="preserve">  United States</t>
        </is>
      </c>
      <c r="B69" s="420" t="n">
        <v>15777.6789684304</v>
      </c>
      <c r="C69" s="420" t="n">
        <v>16839.9618199173</v>
      </c>
      <c r="D69" s="420" t="n">
        <v>16821.9086162427</v>
      </c>
      <c r="E69" s="420" t="n">
        <v>16815.7831140014</v>
      </c>
      <c r="F69" s="420" t="n">
        <v>16809.0437189987</v>
      </c>
      <c r="G69" s="420" t="n">
        <v>16813.671967719</v>
      </c>
      <c r="H69" s="420" t="n">
        <v>16814.1592920354</v>
      </c>
      <c r="I69" s="420" t="n">
        <v>1401.17994100295</v>
      </c>
      <c r="J69" s="420" t="n">
        <v>118093.387438348</v>
      </c>
    </row>
    <row r="70" ht="14.25" customHeight="1" s="355">
      <c r="A70" s="419" t="inlineStr">
        <is>
          <t xml:space="preserve">  France</t>
        </is>
      </c>
      <c r="B70" s="420" t="n">
        <v>6257.26835390086</v>
      </c>
      <c r="C70" s="420" t="n">
        <v>9324.816741186851</v>
      </c>
      <c r="D70" s="420" t="n">
        <v>9355.65714057874</v>
      </c>
      <c r="E70" s="420" t="n">
        <v>9379.023701433071</v>
      </c>
      <c r="F70" s="420" t="n">
        <v>9380.51205692544</v>
      </c>
      <c r="G70" s="420" t="n">
        <v>9366.6925807602</v>
      </c>
      <c r="H70" s="420" t="n">
        <v>9390.298788106709</v>
      </c>
      <c r="I70" s="420" t="n">
        <v>782.716218062577</v>
      </c>
      <c r="J70" s="420" t="n">
        <v>63236.9855809544</v>
      </c>
    </row>
    <row r="71" ht="14.25" customHeight="1" s="355">
      <c r="A71" s="419" t="inlineStr">
        <is>
          <t xml:space="preserve">  Germany </t>
        </is>
      </c>
      <c r="B71" s="420" t="n">
        <v>5732.7884414268</v>
      </c>
      <c r="C71" s="420" t="n">
        <v>6881.2847887581</v>
      </c>
      <c r="D71" s="420" t="n">
        <v>6878.52234327808</v>
      </c>
      <c r="E71" s="420" t="n">
        <v>6872.28760317516</v>
      </c>
      <c r="F71" s="420" t="n">
        <v>6882.6163367134</v>
      </c>
      <c r="G71" s="420" t="n">
        <v>6881.25187454395</v>
      </c>
      <c r="H71" s="420" t="n">
        <v>6863.08274598765</v>
      </c>
      <c r="I71" s="420" t="n">
        <v>571.785763082388</v>
      </c>
      <c r="J71" s="420" t="n">
        <v>47563.6198969655</v>
      </c>
    </row>
    <row r="72" ht="14.25" customHeight="1" s="355">
      <c r="A72" s="419" t="inlineStr">
        <is>
          <t xml:space="preserve">  Germany Production</t>
        </is>
      </c>
      <c r="B72" s="420" t="n">
        <v>764.5648641256259</v>
      </c>
      <c r="C72" s="420" t="n">
        <v>412.811387900356</v>
      </c>
      <c r="D72" s="420" t="n">
        <v>422.993391214202</v>
      </c>
      <c r="E72" s="420" t="n">
        <v>429.954851442321</v>
      </c>
      <c r="F72" s="420" t="n">
        <v>432.348424922061</v>
      </c>
      <c r="G72" s="420" t="n">
        <v>427.312758239413</v>
      </c>
      <c r="H72" s="420" t="n">
        <v>432.187352152657</v>
      </c>
      <c r="I72" s="420" t="n">
        <v>36.056838365897</v>
      </c>
      <c r="J72" s="420" t="n">
        <v>3358.22986836253</v>
      </c>
    </row>
    <row r="73" ht="14.25" customHeight="1" s="355">
      <c r="A73" s="419" t="inlineStr">
        <is>
          <t xml:space="preserve">  Spain</t>
        </is>
      </c>
      <c r="B73" s="420" t="n">
        <v>6023.84438402008</v>
      </c>
      <c r="C73" s="420" t="n">
        <v>4866.38075250175</v>
      </c>
      <c r="D73" s="420" t="n">
        <v>4886.94929277021</v>
      </c>
      <c r="E73" s="420" t="n">
        <v>4903.66283531278</v>
      </c>
      <c r="F73" s="420" t="n">
        <v>4901.80218553026</v>
      </c>
      <c r="G73" s="420" t="n">
        <v>4893.29521325409</v>
      </c>
      <c r="H73" s="420" t="n">
        <v>4913.41756335448</v>
      </c>
      <c r="I73" s="420" t="n">
        <v>409.611968848203</v>
      </c>
      <c r="J73" s="420" t="n">
        <v>35798.9641955919</v>
      </c>
    </row>
    <row r="74" ht="14.25" customHeight="1" s="355">
      <c r="A74" s="419" t="inlineStr">
        <is>
          <t xml:space="preserve">  Italy</t>
        </is>
      </c>
      <c r="B74" s="420" t="n">
        <v>6174.44049362058</v>
      </c>
      <c r="C74" s="420" t="n">
        <v>5673.26702558019</v>
      </c>
      <c r="D74" s="420" t="n">
        <v>5686.36636397165</v>
      </c>
      <c r="E74" s="420" t="n">
        <v>5695.53817455085</v>
      </c>
      <c r="F74" s="420" t="n">
        <v>5698.07253841501</v>
      </c>
      <c r="G74" s="420" t="n">
        <v>5691.729623987</v>
      </c>
      <c r="H74" s="420" t="n">
        <v>5698.8372375141</v>
      </c>
      <c r="I74" s="420" t="n">
        <v>474.962426561006</v>
      </c>
      <c r="J74" s="420" t="n">
        <v>40793.2138842004</v>
      </c>
    </row>
    <row r="75" ht="15" customHeight="1" s="355">
      <c r="A75" s="421" t="inlineStr">
        <is>
          <t xml:space="preserve">  United Kingdom</t>
        </is>
      </c>
      <c r="B75" s="420" t="n">
        <v>8222.321031569591</v>
      </c>
      <c r="C75" s="420" t="n">
        <v>7160.03818008272</v>
      </c>
      <c r="D75" s="420" t="n">
        <v>7178.09138375726</v>
      </c>
      <c r="E75" s="420" t="n">
        <v>7184.21688599864</v>
      </c>
      <c r="F75" s="420" t="n">
        <v>7190.95628100127</v>
      </c>
      <c r="G75" s="420" t="n">
        <v>7186.32803228104</v>
      </c>
      <c r="H75" s="420" t="n">
        <v>7185.8407079646</v>
      </c>
      <c r="I75" s="420" t="n">
        <v>598.82005899705</v>
      </c>
      <c r="J75" s="420" t="n">
        <v>51906.6125616522</v>
      </c>
    </row>
    <row r="76" ht="18.75" customHeight="1" s="355">
      <c r="A76" s="422" t="inlineStr">
        <is>
          <t>Total Leased line from BT to GlobalPharma</t>
        </is>
      </c>
      <c r="B76" s="423" t="n">
        <v>60000</v>
      </c>
      <c r="C76" s="423" t="n">
        <v>60000</v>
      </c>
      <c r="D76" s="423" t="n">
        <v>60000</v>
      </c>
      <c r="E76" s="423" t="n">
        <v>60000</v>
      </c>
      <c r="F76" s="423" t="n">
        <v>60000</v>
      </c>
      <c r="G76" s="423" t="n">
        <v>60000</v>
      </c>
      <c r="H76" s="423" t="n">
        <v>60000</v>
      </c>
      <c r="I76" s="423" t="n">
        <v>5000</v>
      </c>
      <c r="J76" s="423" t="n">
        <v>425000</v>
      </c>
    </row>
    <row r="77"/>
    <row r="78"/>
    <row r="79" ht="12.75" customHeight="1" s="355">
      <c r="B79" s="710" t="n"/>
      <c r="C79" s="710" t="n"/>
      <c r="D79" s="710" t="n"/>
      <c r="E79" s="710" t="n"/>
      <c r="F79" s="710" t="n"/>
      <c r="G79" s="710" t="n"/>
      <c r="H79" s="710" t="n"/>
      <c r="I79" s="710" t="n"/>
      <c r="J79" s="710" t="n"/>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2"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 </dc:title>
  <dc:language xmlns:dc="http://purl.org/dc/elements/1.1/">en-US</dc:language>
  <dcterms:created xmlns:dcterms="http://purl.org/dc/terms/" xmlns:xsi="http://www.w3.org/2001/XMLSchema-instance" xsi:type="dcterms:W3CDTF">1980-01-01T04:30:00Z</dcterms:created>
  <dcterms:modified xmlns:dcterms="http://purl.org/dc/terms/" xmlns:xsi="http://www.w3.org/2001/XMLSchema-instance" xsi:type="dcterms:W3CDTF">2026-02-11T03:52:19Z</dcterms:modified>
  <cp:lastModifiedBy>Wenger Plattner</cp:lastModifiedBy>
  <cp:revision>0</cp:revision>
  <cp:lastPrinted>2007-01-30T13:27:32Z</cp:lastPrinted>
</cp:coreProperties>
</file>
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Title Page" sheetId="1" state="visible" r:id="rId1"/>
    <sheet xmlns:r="http://schemas.openxmlformats.org/officeDocument/2006/relationships" name="3rd Party Service Contracts" sheetId="2" state="visible" r:id="rId2"/>
  </sheets>
  <externalReferences>
    <externalReference xmlns:r="http://schemas.openxmlformats.org/officeDocument/2006/relationships" r:id="rId3"/>
  </externalReferences>
  <definedNames>
    <definedName name="Baseline" hidden="0" function="0" vbProcedure="0">#REF!</definedName>
    <definedName name="licenseduration" hidden="0" function="0" vbProcedure="0">'[1]'!$C$2:$C$3</definedName>
    <definedName name="licensescope" hidden="0" function="0" vbProcedure="0">'[1]'!$D$2:$D$6</definedName>
    <definedName name="_xlnm.Print_Titles" localSheetId="1">'3rd Party Service Contracts'!$1:$2</definedName>
  </definedNames>
  <calcPr calcId="124519" fullCalcOnLoad="1" refMode="A1" iterate="0" iterateCount="100" iterateDelta="0.001"/>
</workbook>
</file>

<file path=xl/styles.xml><?xml version="1.0" encoding="utf-8"?>
<styleSheet xmlns="http://schemas.openxmlformats.org/spreadsheetml/2006/main">
  <numFmts count="5">
    <numFmt numFmtId="164" formatCode="[$-409]d\-mmm\-yy"/>
    <numFmt numFmtId="165" formatCode="\$#,##0.00"/>
    <numFmt numFmtId="166" formatCode="mmm\-yyyy"/>
    <numFmt numFmtId="167" formatCode="\$#,##0.00_);[RED]&quot;($&quot;#,##0.00\)"/>
    <numFmt numFmtId="168" formatCode="[$-409]m/d/yyyy"/>
  </numFmts>
  <fonts count="11">
    <font>
      <name val="Arial"/>
      <family val="0"/>
      <sz val="10"/>
    </font>
    <font>
      <name val="Arial"/>
      <family val="0"/>
      <sz val="10"/>
    </font>
    <font>
      <name val="Arial"/>
      <family val="0"/>
      <sz val="10"/>
    </font>
    <font>
      <name val="Arial"/>
      <family val="0"/>
      <sz val="10"/>
    </font>
    <font>
      <name val="Times New Roman"/>
      <family val="1"/>
      <b val="1"/>
      <sz val="16"/>
    </font>
    <font>
      <name val="Times New Roman"/>
      <family val="1"/>
      <sz val="11"/>
    </font>
    <font>
      <name val="Times New Roman"/>
      <family val="1"/>
      <sz val="10"/>
    </font>
    <font>
      <name val="Arial"/>
      <family val="2"/>
      <b val="1"/>
      <sz val="10"/>
    </font>
    <font>
      <name val="Times New Roman"/>
      <family val="1"/>
      <b val="1"/>
      <sz val="10"/>
    </font>
    <font>
      <name val="Arial"/>
      <family val="0"/>
      <color rgb="FFFF0000"/>
      <sz val="10"/>
    </font>
    <font>
      <name val="Arial"/>
      <family val="2"/>
      <color rgb="FFFF0000"/>
      <sz val="10"/>
    </font>
  </fonts>
  <fills count="9">
    <fill>
      <patternFill/>
    </fill>
    <fill>
      <patternFill patternType="gray125"/>
    </fill>
    <fill>
      <patternFill patternType="solid">
        <fgColor rgb="FF99CCFF"/>
        <bgColor rgb="FFCCCCFF"/>
      </patternFill>
    </fill>
    <fill>
      <patternFill patternType="solid">
        <fgColor rgb="FFCCFFCC"/>
        <bgColor rgb="FFCCFFFF"/>
      </patternFill>
    </fill>
    <fill>
      <patternFill patternType="solid">
        <fgColor rgb="FFFFFF99"/>
        <bgColor rgb="FFFFFFCC"/>
      </patternFill>
    </fill>
    <fill>
      <patternFill patternType="solid">
        <fgColor rgb="FFFF99CC"/>
        <bgColor rgb="FFFF8080"/>
      </patternFill>
    </fill>
    <fill>
      <patternFill patternType="solid">
        <fgColor rgb="FFCCFFFF"/>
        <bgColor rgb="FFCCFFFF"/>
      </patternFill>
    </fill>
    <fill>
      <patternFill patternType="solid">
        <fgColor rgb="FFFFCC99"/>
        <bgColor rgb="FFC0C0C0"/>
      </patternFill>
    </fill>
    <fill>
      <patternFill patternType="solid">
        <fgColor rgb="FFFFFF00"/>
        <bgColor rgb="FFFFFF00"/>
      </patternFill>
    </fill>
  </fills>
  <borders count="8">
    <border>
      <left/>
      <right/>
      <top/>
      <bottom/>
      <diagonal/>
    </border>
    <border>
      <left style="thin"/>
      <right style="thin"/>
      <top style="thin"/>
      <bottom/>
      <diagonal/>
    </border>
    <border>
      <left style="thin"/>
      <right style="thin"/>
      <top/>
      <bottom/>
      <diagonal/>
    </border>
    <border>
      <left style="thin"/>
      <right style="thin"/>
      <top/>
      <bottom style="thin"/>
      <diagonal/>
    </border>
    <border>
      <left/>
      <right/>
      <top/>
      <bottom style="thin"/>
      <diagonal/>
    </border>
    <border>
      <left style="thin"/>
      <right style="thin"/>
      <top style="thin"/>
      <bottom style="thin"/>
      <diagonal/>
    </border>
    <border>
      <left/>
      <right/>
      <top style="thin"/>
      <bottom style="dotted"/>
      <diagonal/>
    </border>
    <border>
      <left/>
      <right/>
      <top style="dotted"/>
      <bottom style="dotted"/>
      <diagonal/>
    </border>
  </borders>
  <cellStyleXfs count="6">
    <xf numFmtId="0" fontId="3"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37">
    <xf numFmtId="0" fontId="0" fillId="0" borderId="0" applyAlignment="1" pivotButton="0" quotePrefix="0" xfId="0">
      <alignment horizontal="general" vertical="bottom"/>
    </xf>
    <xf numFmtId="0" fontId="4" fillId="0" borderId="0" applyAlignment="1" pivotButton="0" quotePrefix="0" xfId="0">
      <alignment horizontal="center" vertical="bottom"/>
    </xf>
    <xf numFmtId="164" fontId="4" fillId="0" borderId="0" applyAlignment="1" pivotButton="0" quotePrefix="0" xfId="0">
      <alignment horizontal="center" vertical="bottom"/>
    </xf>
    <xf numFmtId="0" fontId="5" fillId="0" borderId="1" applyAlignment="1" pivotButton="0" quotePrefix="0" xfId="0">
      <alignment horizontal="center" vertical="bottom" wrapText="1"/>
    </xf>
    <xf numFmtId="0" fontId="5" fillId="0" borderId="2" applyAlignment="1" pivotButton="0" quotePrefix="0" xfId="0">
      <alignment horizontal="center" vertical="bottom" wrapText="1"/>
    </xf>
    <xf numFmtId="0" fontId="5" fillId="0" borderId="3" applyAlignment="1" pivotButton="0" quotePrefix="0" xfId="0">
      <alignment horizontal="center" vertical="bottom" wrapText="1"/>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applyAlignment="1" pivotButton="0" quotePrefix="0" xfId="0">
      <alignment horizontal="general" vertical="bottom" wrapText="1"/>
    </xf>
    <xf numFmtId="0" fontId="0" fillId="0" borderId="0" applyAlignment="1" pivotButton="0" quotePrefix="0" xfId="0">
      <alignment horizontal="center" vertical="bottom"/>
    </xf>
    <xf numFmtId="0" fontId="0" fillId="0" borderId="0" applyAlignment="1" pivotButton="0" quotePrefix="0" xfId="0">
      <alignment horizontal="center" vertical="bottom" wrapText="1"/>
    </xf>
    <xf numFmtId="165" fontId="0" fillId="0" borderId="0" applyAlignment="1" pivotButton="0" quotePrefix="0" xfId="0">
      <alignment horizontal="general" vertical="bottom"/>
    </xf>
    <xf numFmtId="0" fontId="7" fillId="2" borderId="4" applyAlignment="1" pivotButton="0" quotePrefix="0" xfId="0">
      <alignment horizontal="center" vertical="bottom"/>
    </xf>
    <xf numFmtId="0" fontId="8" fillId="2" borderId="5" applyAlignment="1" pivotButton="0" quotePrefix="0" xfId="0">
      <alignment horizontal="center" vertical="center" wrapText="1"/>
    </xf>
    <xf numFmtId="0" fontId="7" fillId="2" borderId="5" applyAlignment="1" pivotButton="0" quotePrefix="0" xfId="0">
      <alignment horizontal="center" vertical="center" wrapText="1"/>
    </xf>
    <xf numFmtId="0" fontId="8" fillId="0" borderId="5" applyAlignment="1" pivotButton="0" quotePrefix="0" xfId="0">
      <alignment horizontal="center" vertical="center" wrapText="1"/>
    </xf>
    <xf numFmtId="165" fontId="8" fillId="0" borderId="5" applyAlignment="1" pivotButton="0" quotePrefix="0" xfId="0">
      <alignment horizontal="center" vertical="center" wrapText="1"/>
    </xf>
    <xf numFmtId="0" fontId="6" fillId="3" borderId="6" applyAlignment="1" pivotButton="0" quotePrefix="0" xfId="0">
      <alignment horizontal="general" vertical="top"/>
    </xf>
    <xf numFmtId="0" fontId="9" fillId="3" borderId="6" applyAlignment="1" pivotButton="0" quotePrefix="0" xfId="0">
      <alignment horizontal="center" vertical="top"/>
    </xf>
    <xf numFmtId="0" fontId="0" fillId="3" borderId="6" applyAlignment="1" pivotButton="0" quotePrefix="0" xfId="0">
      <alignment horizontal="general" vertical="top" wrapText="1"/>
    </xf>
    <xf numFmtId="166" fontId="0" fillId="3" borderId="6" applyAlignment="1" pivotButton="0" quotePrefix="0" xfId="0">
      <alignment horizontal="center" vertical="top"/>
    </xf>
    <xf numFmtId="167" fontId="0" fillId="3" borderId="6" applyAlignment="1" pivotButton="0" quotePrefix="0" xfId="0">
      <alignment horizontal="center" vertical="top" wrapText="1"/>
    </xf>
    <xf numFmtId="0" fontId="0" fillId="3" borderId="6" applyAlignment="1" pivotButton="0" quotePrefix="0" xfId="0">
      <alignment horizontal="center" vertical="top"/>
    </xf>
    <xf numFmtId="167" fontId="0" fillId="3" borderId="6" applyAlignment="1" pivotButton="0" quotePrefix="0" xfId="0">
      <alignment horizontal="general" vertical="top" wrapText="1"/>
    </xf>
    <xf numFmtId="0" fontId="0" fillId="3" borderId="6" applyAlignment="1" pivotButton="0" quotePrefix="0" xfId="0">
      <alignment horizontal="general" vertical="top"/>
    </xf>
    <xf numFmtId="165" fontId="0" fillId="3" borderId="6" applyAlignment="1" pivotButton="0" quotePrefix="0" xfId="0">
      <alignment horizontal="general" vertical="top"/>
    </xf>
    <xf numFmtId="165" fontId="0" fillId="3" borderId="6" applyAlignment="1" pivotButton="0" quotePrefix="0" xfId="0">
      <alignment horizontal="general" vertical="top" wrapText="1"/>
    </xf>
    <xf numFmtId="0" fontId="6" fillId="3" borderId="7" applyAlignment="1" pivotButton="0" quotePrefix="0" xfId="0">
      <alignment horizontal="general" vertical="top"/>
    </xf>
    <xf numFmtId="0" fontId="9" fillId="3" borderId="7" applyAlignment="1" pivotButton="0" quotePrefix="0" xfId="0">
      <alignment horizontal="center" vertical="top"/>
    </xf>
    <xf numFmtId="0" fontId="0" fillId="3" borderId="7" applyAlignment="1" pivotButton="0" quotePrefix="0" xfId="0">
      <alignment horizontal="general" vertical="top" wrapText="1"/>
    </xf>
    <xf numFmtId="166" fontId="0" fillId="3" borderId="7" applyAlignment="1" pivotButton="0" quotePrefix="0" xfId="0">
      <alignment horizontal="center" vertical="top"/>
    </xf>
    <xf numFmtId="0" fontId="0" fillId="3" borderId="7" applyAlignment="1" pivotButton="0" quotePrefix="0" xfId="0">
      <alignment horizontal="center" vertical="top" wrapText="1"/>
    </xf>
    <xf numFmtId="0" fontId="0" fillId="3" borderId="7" applyAlignment="1" pivotButton="0" quotePrefix="0" xfId="0">
      <alignment horizontal="center" vertical="top"/>
    </xf>
    <xf numFmtId="0" fontId="0" fillId="3" borderId="7" applyAlignment="1" pivotButton="0" quotePrefix="0" xfId="0">
      <alignment horizontal="general" vertical="top"/>
    </xf>
    <xf numFmtId="165" fontId="0" fillId="3" borderId="7" applyAlignment="1" pivotButton="0" quotePrefix="0" xfId="0">
      <alignment horizontal="general" vertical="top"/>
    </xf>
    <xf numFmtId="165" fontId="0" fillId="3" borderId="7" applyAlignment="1" pivotButton="0" quotePrefix="0" xfId="0">
      <alignment horizontal="general" vertical="top" wrapText="1"/>
    </xf>
    <xf numFmtId="168" fontId="0" fillId="3" borderId="7" applyAlignment="1" pivotButton="0" quotePrefix="0" xfId="0">
      <alignment horizontal="center" vertical="top"/>
    </xf>
    <xf numFmtId="0" fontId="6" fillId="4" borderId="7" applyAlignment="1" pivotButton="0" quotePrefix="0" xfId="0">
      <alignment horizontal="general" vertical="top"/>
    </xf>
    <xf numFmtId="0" fontId="9" fillId="4" borderId="7" applyAlignment="1" pivotButton="0" quotePrefix="0" xfId="0">
      <alignment horizontal="center" vertical="top" wrapText="1"/>
    </xf>
    <xf numFmtId="0" fontId="0" fillId="4" borderId="7" applyAlignment="1" pivotButton="0" quotePrefix="0" xfId="0">
      <alignment horizontal="general" vertical="top"/>
    </xf>
    <xf numFmtId="0" fontId="0" fillId="4" borderId="7" applyAlignment="1" pivotButton="0" quotePrefix="0" xfId="0">
      <alignment horizontal="general" vertical="top" wrapText="1"/>
    </xf>
    <xf numFmtId="168" fontId="0" fillId="4" borderId="7" applyAlignment="1" pivotButton="0" quotePrefix="0" xfId="0">
      <alignment horizontal="center" vertical="top"/>
    </xf>
    <xf numFmtId="0" fontId="0" fillId="4" borderId="7" applyAlignment="1" pivotButton="0" quotePrefix="0" xfId="0">
      <alignment horizontal="center" vertical="top"/>
    </xf>
    <xf numFmtId="0" fontId="6" fillId="4" borderId="7" applyAlignment="1" pivotButton="0" quotePrefix="0" xfId="0">
      <alignment horizontal="general" vertical="top" wrapText="1"/>
    </xf>
    <xf numFmtId="0" fontId="6" fillId="5" borderId="7" applyAlignment="1" pivotButton="0" quotePrefix="0" xfId="0">
      <alignment horizontal="general" vertical="top"/>
    </xf>
    <xf numFmtId="0" fontId="9" fillId="5" borderId="7" applyAlignment="1" pivotButton="0" quotePrefix="0" xfId="0">
      <alignment horizontal="center" vertical="top"/>
    </xf>
    <xf numFmtId="0" fontId="0" fillId="5" borderId="7" applyAlignment="1" pivotButton="0" quotePrefix="0" xfId="0">
      <alignment horizontal="general" vertical="top"/>
    </xf>
    <xf numFmtId="0" fontId="0" fillId="5" borderId="7" applyAlignment="1" pivotButton="0" quotePrefix="0" xfId="0">
      <alignment horizontal="general" vertical="top" wrapText="1"/>
    </xf>
    <xf numFmtId="0" fontId="0" fillId="5" borderId="7" applyAlignment="1" pivotButton="0" quotePrefix="0" xfId="0">
      <alignment horizontal="center" vertical="top"/>
    </xf>
    <xf numFmtId="3" fontId="0" fillId="5" borderId="7" applyAlignment="1" pivotButton="0" quotePrefix="0" xfId="0">
      <alignment horizontal="center" vertical="top"/>
    </xf>
    <xf numFmtId="0" fontId="6" fillId="6" borderId="7" applyAlignment="1" pivotButton="0" quotePrefix="0" xfId="0">
      <alignment horizontal="general" vertical="top"/>
    </xf>
    <xf numFmtId="0" fontId="9" fillId="6" borderId="7" applyAlignment="1" pivotButton="0" quotePrefix="0" xfId="0">
      <alignment horizontal="center" vertical="top"/>
    </xf>
    <xf numFmtId="0" fontId="0" fillId="6" borderId="7" applyAlignment="1" pivotButton="0" quotePrefix="0" xfId="0">
      <alignment horizontal="general" vertical="top"/>
    </xf>
    <xf numFmtId="0" fontId="0" fillId="6" borderId="7" applyAlignment="1" pivotButton="0" quotePrefix="0" xfId="0">
      <alignment horizontal="general" vertical="top" wrapText="1"/>
    </xf>
    <xf numFmtId="0" fontId="0" fillId="6" borderId="7" applyAlignment="1" pivotButton="0" quotePrefix="0" xfId="0">
      <alignment horizontal="center" vertical="top"/>
    </xf>
    <xf numFmtId="0" fontId="6" fillId="7" borderId="7" applyAlignment="1" pivotButton="0" quotePrefix="0" xfId="0">
      <alignment horizontal="general" vertical="top"/>
    </xf>
    <xf numFmtId="0" fontId="9" fillId="7" borderId="7" applyAlignment="1" pivotButton="0" quotePrefix="0" xfId="0">
      <alignment horizontal="center" vertical="top"/>
    </xf>
    <xf numFmtId="0" fontId="0" fillId="7" borderId="7" applyAlignment="1" pivotButton="0" quotePrefix="0" xfId="0">
      <alignment horizontal="general" vertical="top"/>
    </xf>
    <xf numFmtId="0" fontId="0" fillId="7" borderId="7" applyAlignment="1" pivotButton="0" quotePrefix="0" xfId="0">
      <alignment horizontal="general" vertical="top" wrapText="1"/>
    </xf>
    <xf numFmtId="0" fontId="0" fillId="7" borderId="7" applyAlignment="1" pivotButton="0" quotePrefix="0" xfId="0">
      <alignment horizontal="center" vertical="top"/>
    </xf>
    <xf numFmtId="0" fontId="6" fillId="8" borderId="7" applyAlignment="1" pivotButton="0" quotePrefix="0" xfId="0">
      <alignment horizontal="general" vertical="top"/>
    </xf>
    <xf numFmtId="0" fontId="0" fillId="8" borderId="7" applyAlignment="1" pivotButton="0" quotePrefix="0" xfId="0">
      <alignment horizontal="general" vertical="top"/>
    </xf>
    <xf numFmtId="0" fontId="0" fillId="8" borderId="7" applyAlignment="1" pivotButton="0" quotePrefix="0" xfId="0">
      <alignment horizontal="general" vertical="top" wrapText="1"/>
    </xf>
    <xf numFmtId="0" fontId="0" fillId="8" borderId="7" applyAlignment="1" pivotButton="0" quotePrefix="0" xfId="0">
      <alignment horizontal="center" vertical="top"/>
    </xf>
    <xf numFmtId="0" fontId="0" fillId="8" borderId="7" applyAlignment="1" pivotButton="0" quotePrefix="0" xfId="0">
      <alignment horizontal="center" vertical="top" wrapText="1"/>
    </xf>
    <xf numFmtId="165" fontId="0" fillId="8" borderId="7" applyAlignment="1" pivotButton="0" quotePrefix="0" xfId="0">
      <alignment horizontal="general" vertical="top"/>
    </xf>
    <xf numFmtId="165" fontId="0" fillId="8" borderId="7"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center" vertical="bottom"/>
    </xf>
    <xf numFmtId="164" fontId="4" fillId="0" borderId="0" applyAlignment="1" pivotButton="0" quotePrefix="0" xfId="0">
      <alignment horizontal="center" vertical="bottom"/>
    </xf>
    <xf numFmtId="0" fontId="5" fillId="0" borderId="1" applyAlignment="1" pivotButton="0" quotePrefix="0" xfId="0">
      <alignment horizontal="center" vertical="bottom" wrapText="1"/>
    </xf>
    <xf numFmtId="0" fontId="5" fillId="0" borderId="2" applyAlignment="1" pivotButton="0" quotePrefix="0" xfId="0">
      <alignment horizontal="center" vertical="bottom" wrapText="1"/>
    </xf>
    <xf numFmtId="0" fontId="5" fillId="0" borderId="3" applyAlignment="1" pivotButton="0" quotePrefix="0" xfId="0">
      <alignment horizontal="center" vertical="bottom" wrapText="1"/>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0" fillId="0" borderId="0" applyAlignment="1" pivotButton="0" quotePrefix="0" xfId="0">
      <alignment horizontal="general" vertical="bottom" wrapText="1"/>
    </xf>
    <xf numFmtId="0" fontId="0" fillId="0" borderId="0" applyAlignment="1" pivotButton="0" quotePrefix="0" xfId="0">
      <alignment horizontal="center" vertical="bottom"/>
    </xf>
    <xf numFmtId="0" fontId="0" fillId="0" borderId="0" applyAlignment="1" pivotButton="0" quotePrefix="0" xfId="0">
      <alignment horizontal="center" vertical="bottom" wrapText="1"/>
    </xf>
    <xf numFmtId="165" fontId="0" fillId="0" borderId="0" applyAlignment="1" pivotButton="0" quotePrefix="0" xfId="0">
      <alignment horizontal="general" vertical="bottom"/>
    </xf>
    <xf numFmtId="0" fontId="7" fillId="2" borderId="4" applyAlignment="1" pivotButton="0" quotePrefix="0" xfId="0">
      <alignment horizontal="center" vertical="bottom"/>
    </xf>
    <xf numFmtId="0" fontId="0" fillId="0" borderId="4" pivotButton="0" quotePrefix="0" xfId="0"/>
    <xf numFmtId="0" fontId="8" fillId="2" borderId="5" applyAlignment="1" pivotButton="0" quotePrefix="0" xfId="0">
      <alignment horizontal="center" vertical="center" wrapText="1"/>
    </xf>
    <xf numFmtId="0" fontId="7" fillId="2" borderId="5" applyAlignment="1" pivotButton="0" quotePrefix="0" xfId="0">
      <alignment horizontal="center" vertical="center" wrapText="1"/>
    </xf>
    <xf numFmtId="0" fontId="8" fillId="0" borderId="5" applyAlignment="1" pivotButton="0" quotePrefix="0" xfId="0">
      <alignment horizontal="center" vertical="center" wrapText="1"/>
    </xf>
    <xf numFmtId="165" fontId="8" fillId="0" borderId="5" applyAlignment="1" pivotButton="0" quotePrefix="0" xfId="0">
      <alignment horizontal="center" vertical="center" wrapText="1"/>
    </xf>
    <xf numFmtId="0" fontId="6" fillId="3" borderId="6" applyAlignment="1" pivotButton="0" quotePrefix="0" xfId="0">
      <alignment horizontal="general" vertical="top"/>
    </xf>
    <xf numFmtId="0" fontId="9" fillId="3" borderId="6" applyAlignment="1" pivotButton="0" quotePrefix="0" xfId="0">
      <alignment horizontal="center" vertical="top"/>
    </xf>
    <xf numFmtId="0" fontId="0" fillId="3" borderId="6" applyAlignment="1" pivotButton="0" quotePrefix="0" xfId="0">
      <alignment horizontal="general" vertical="top" wrapText="1"/>
    </xf>
    <xf numFmtId="166" fontId="0" fillId="3" borderId="6" applyAlignment="1" pivotButton="0" quotePrefix="0" xfId="0">
      <alignment horizontal="center" vertical="top"/>
    </xf>
    <xf numFmtId="167" fontId="0" fillId="3" borderId="6" applyAlignment="1" pivotButton="0" quotePrefix="0" xfId="0">
      <alignment horizontal="center" vertical="top" wrapText="1"/>
    </xf>
    <xf numFmtId="0" fontId="0" fillId="3" borderId="6" applyAlignment="1" pivotButton="0" quotePrefix="0" xfId="0">
      <alignment horizontal="center" vertical="top"/>
    </xf>
    <xf numFmtId="167" fontId="0" fillId="3" borderId="6" applyAlignment="1" pivotButton="0" quotePrefix="0" xfId="0">
      <alignment horizontal="general" vertical="top" wrapText="1"/>
    </xf>
    <xf numFmtId="0" fontId="0" fillId="3" borderId="6" applyAlignment="1" pivotButton="0" quotePrefix="0" xfId="0">
      <alignment horizontal="general" vertical="top"/>
    </xf>
    <xf numFmtId="165" fontId="0" fillId="3" borderId="6" applyAlignment="1" pivotButton="0" quotePrefix="0" xfId="0">
      <alignment horizontal="general" vertical="top"/>
    </xf>
    <xf numFmtId="165" fontId="0" fillId="3" borderId="6" applyAlignment="1" pivotButton="0" quotePrefix="0" xfId="0">
      <alignment horizontal="general" vertical="top" wrapText="1"/>
    </xf>
    <xf numFmtId="0" fontId="6" fillId="3" borderId="7" applyAlignment="1" pivotButton="0" quotePrefix="0" xfId="0">
      <alignment horizontal="general" vertical="top"/>
    </xf>
    <xf numFmtId="0" fontId="9" fillId="3" borderId="7" applyAlignment="1" pivotButton="0" quotePrefix="0" xfId="0">
      <alignment horizontal="center" vertical="top"/>
    </xf>
    <xf numFmtId="0" fontId="0" fillId="3" borderId="7" applyAlignment="1" pivotButton="0" quotePrefix="0" xfId="0">
      <alignment horizontal="general" vertical="top" wrapText="1"/>
    </xf>
    <xf numFmtId="166" fontId="0" fillId="3" borderId="7" applyAlignment="1" pivotButton="0" quotePrefix="0" xfId="0">
      <alignment horizontal="center" vertical="top"/>
    </xf>
    <xf numFmtId="0" fontId="0" fillId="3" borderId="7" applyAlignment="1" pivotButton="0" quotePrefix="0" xfId="0">
      <alignment horizontal="center" vertical="top" wrapText="1"/>
    </xf>
    <xf numFmtId="0" fontId="0" fillId="3" borderId="7" applyAlignment="1" pivotButton="0" quotePrefix="0" xfId="0">
      <alignment horizontal="center" vertical="top"/>
    </xf>
    <xf numFmtId="0" fontId="0" fillId="3" borderId="7" applyAlignment="1" pivotButton="0" quotePrefix="0" xfId="0">
      <alignment horizontal="general" vertical="top"/>
    </xf>
    <xf numFmtId="165" fontId="0" fillId="3" borderId="7" applyAlignment="1" pivotButton="0" quotePrefix="0" xfId="0">
      <alignment horizontal="general" vertical="top"/>
    </xf>
    <xf numFmtId="165" fontId="0" fillId="3" borderId="7" applyAlignment="1" pivotButton="0" quotePrefix="0" xfId="0">
      <alignment horizontal="general" vertical="top" wrapText="1"/>
    </xf>
    <xf numFmtId="168" fontId="0" fillId="3" borderId="7" applyAlignment="1" pivotButton="0" quotePrefix="0" xfId="0">
      <alignment horizontal="center" vertical="top"/>
    </xf>
    <xf numFmtId="0" fontId="6" fillId="4" borderId="7" applyAlignment="1" pivotButton="0" quotePrefix="0" xfId="0">
      <alignment horizontal="general" vertical="top"/>
    </xf>
    <xf numFmtId="0" fontId="9" fillId="4" borderId="7" applyAlignment="1" pivotButton="0" quotePrefix="0" xfId="0">
      <alignment horizontal="center" vertical="top" wrapText="1"/>
    </xf>
    <xf numFmtId="0" fontId="0" fillId="4" borderId="7" applyAlignment="1" pivotButton="0" quotePrefix="0" xfId="0">
      <alignment horizontal="general" vertical="top"/>
    </xf>
    <xf numFmtId="0" fontId="0" fillId="4" borderId="7" applyAlignment="1" pivotButton="0" quotePrefix="0" xfId="0">
      <alignment horizontal="general" vertical="top" wrapText="1"/>
    </xf>
    <xf numFmtId="168" fontId="0" fillId="4" borderId="7" applyAlignment="1" pivotButton="0" quotePrefix="0" xfId="0">
      <alignment horizontal="center" vertical="top"/>
    </xf>
    <xf numFmtId="0" fontId="0" fillId="4" borderId="7" applyAlignment="1" pivotButton="0" quotePrefix="0" xfId="0">
      <alignment horizontal="center" vertical="top"/>
    </xf>
    <xf numFmtId="0" fontId="6" fillId="4" borderId="7" applyAlignment="1" pivotButton="0" quotePrefix="0" xfId="0">
      <alignment horizontal="general" vertical="top" wrapText="1"/>
    </xf>
    <xf numFmtId="0" fontId="6" fillId="5" borderId="7" applyAlignment="1" pivotButton="0" quotePrefix="0" xfId="0">
      <alignment horizontal="general" vertical="top"/>
    </xf>
    <xf numFmtId="0" fontId="9" fillId="5" borderId="7" applyAlignment="1" pivotButton="0" quotePrefix="0" xfId="0">
      <alignment horizontal="center" vertical="top"/>
    </xf>
    <xf numFmtId="0" fontId="0" fillId="5" borderId="7" applyAlignment="1" pivotButton="0" quotePrefix="0" xfId="0">
      <alignment horizontal="general" vertical="top"/>
    </xf>
    <xf numFmtId="0" fontId="0" fillId="5" borderId="7" applyAlignment="1" pivotButton="0" quotePrefix="0" xfId="0">
      <alignment horizontal="general" vertical="top" wrapText="1"/>
    </xf>
    <xf numFmtId="0" fontId="0" fillId="5" borderId="7" applyAlignment="1" pivotButton="0" quotePrefix="0" xfId="0">
      <alignment horizontal="center" vertical="top"/>
    </xf>
    <xf numFmtId="3" fontId="0" fillId="5" borderId="7" applyAlignment="1" pivotButton="0" quotePrefix="0" xfId="0">
      <alignment horizontal="center" vertical="top"/>
    </xf>
    <xf numFmtId="0" fontId="6" fillId="6" borderId="7" applyAlignment="1" pivotButton="0" quotePrefix="0" xfId="0">
      <alignment horizontal="general" vertical="top"/>
    </xf>
    <xf numFmtId="0" fontId="9" fillId="6" borderId="7" applyAlignment="1" pivotButton="0" quotePrefix="0" xfId="0">
      <alignment horizontal="center" vertical="top"/>
    </xf>
    <xf numFmtId="0" fontId="0" fillId="6" borderId="7" applyAlignment="1" pivotButton="0" quotePrefix="0" xfId="0">
      <alignment horizontal="general" vertical="top"/>
    </xf>
    <xf numFmtId="0" fontId="0" fillId="6" borderId="7" applyAlignment="1" pivotButton="0" quotePrefix="0" xfId="0">
      <alignment horizontal="general" vertical="top" wrapText="1"/>
    </xf>
    <xf numFmtId="0" fontId="0" fillId="6" borderId="7" applyAlignment="1" pivotButton="0" quotePrefix="0" xfId="0">
      <alignment horizontal="center" vertical="top"/>
    </xf>
    <xf numFmtId="0" fontId="6" fillId="7" borderId="7" applyAlignment="1" pivotButton="0" quotePrefix="0" xfId="0">
      <alignment horizontal="general" vertical="top"/>
    </xf>
    <xf numFmtId="0" fontId="9" fillId="7" borderId="7" applyAlignment="1" pivotButton="0" quotePrefix="0" xfId="0">
      <alignment horizontal="center" vertical="top"/>
    </xf>
    <xf numFmtId="0" fontId="0" fillId="7" borderId="7" applyAlignment="1" pivotButton="0" quotePrefix="0" xfId="0">
      <alignment horizontal="general" vertical="top"/>
    </xf>
    <xf numFmtId="0" fontId="0" fillId="7" borderId="7" applyAlignment="1" pivotButton="0" quotePrefix="0" xfId="0">
      <alignment horizontal="general" vertical="top" wrapText="1"/>
    </xf>
    <xf numFmtId="0" fontId="0" fillId="7" borderId="7" applyAlignment="1" pivotButton="0" quotePrefix="0" xfId="0">
      <alignment horizontal="center" vertical="top"/>
    </xf>
    <xf numFmtId="0" fontId="6" fillId="8" borderId="7" applyAlignment="1" pivotButton="0" quotePrefix="0" xfId="0">
      <alignment horizontal="general" vertical="top"/>
    </xf>
    <xf numFmtId="0" fontId="0" fillId="8" borderId="7" applyAlignment="1" pivotButton="0" quotePrefix="0" xfId="0">
      <alignment horizontal="general" vertical="top"/>
    </xf>
    <xf numFmtId="0" fontId="0" fillId="8" borderId="7" applyAlignment="1" pivotButton="0" quotePrefix="0" xfId="0">
      <alignment horizontal="general" vertical="top" wrapText="1"/>
    </xf>
    <xf numFmtId="0" fontId="0" fillId="8" borderId="7" applyAlignment="1" pivotButton="0" quotePrefix="0" xfId="0">
      <alignment horizontal="center" vertical="top"/>
    </xf>
    <xf numFmtId="0" fontId="0" fillId="8" borderId="7" applyAlignment="1" pivotButton="0" quotePrefix="0" xfId="0">
      <alignment horizontal="center" vertical="top" wrapText="1"/>
    </xf>
    <xf numFmtId="165" fontId="0" fillId="8" borderId="7" applyAlignment="1" pivotButton="0" quotePrefix="0" xfId="0">
      <alignment horizontal="general" vertical="top"/>
    </xf>
    <xf numFmtId="165" fontId="0" fillId="8" borderId="7"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externalLink" Target="/xl/externalLinks/externalLink1.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col>
      <colOff>0</colOff>
      <row>0</row>
      <rowOff>0</rowOff>
    </from>
    <to>
      <col>1</col>
      <colOff>1585080</colOff>
      <row>0</row>
      <rowOff>343080</rowOff>
    </to>
    <pic>
      <nvPicPr>
        <cNvPr id="0" name="Picture 2" descr=""/>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44040" y="0"/>
          <a:ext cx="1585080" cy="343080"/>
        </a:xfrm>
        <a:prstGeom xmlns:a="http://schemas.openxmlformats.org/drawingml/2006/main" prst="rect">
          <avLst/>
        </a:prstGeom>
        <a:noFill xmlns:a="http://schemas.openxmlformats.org/drawingml/2006/main"/>
        <a:ln xmlns:a="http://schemas.openxmlformats.org/drawingml/2006/main" w="0">
          <a:noFill/>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BSSEFILE01/WinJur/Documents%20and%20Settings/Smithw/My%20Documents/BNSF/Phase%204/Final%20Documents/4.6.1%20Exhibit%20-%20Systems%20Software%20081102.xls"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Mid-Tier Systems Software"/>
      <sheetName val="Mainframe Systems Software"/>
    </sheetNames>
    <sheetDataSet>
      <sheetData sheetId="0"/>
      <sheetData sheetId="1"/>
    </sheetDataSet>
  </externalBook>
</externalLink>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outlinePr summaryBelow="1" summaryRight="1"/>
    <pageSetUpPr fitToPage="1"/>
  </sheetPr>
  <dimension ref="A1:B17"/>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9.13671875" defaultRowHeight="12.75" customHeight="1" zeroHeight="0" outlineLevelRow="0"/>
  <cols>
    <col width="121.85" customWidth="1" style="68" min="2" max="2"/>
  </cols>
  <sheetData>
    <row r="1" ht="72" customHeight="1" s="69"/>
    <row r="2" ht="21.75" customHeight="1" s="69">
      <c r="B2" s="70" t="inlineStr">
        <is>
          <t>GlobalPharma</t>
        </is>
      </c>
    </row>
    <row r="3" ht="20.25" customHeight="1" s="69">
      <c r="B3" s="70" t="n"/>
    </row>
    <row r="4" ht="45" customHeight="1" s="69">
      <c r="B4" s="70" t="n"/>
    </row>
    <row r="5" ht="20.25" customHeight="1" s="69">
      <c r="B5" s="70" t="inlineStr">
        <is>
          <t>ATTACHMENT 12-B</t>
        </is>
      </c>
    </row>
    <row r="6" ht="20.25" customHeight="1" s="69">
      <c r="B6" s="70" t="n"/>
    </row>
    <row r="7" ht="20.25" customHeight="1" s="69">
      <c r="B7" s="70" t="inlineStr">
        <is>
          <t>THIRD PARTY SERVICE CONTRACTS</t>
        </is>
      </c>
    </row>
    <row r="8" ht="20.25" customHeight="1" s="69">
      <c r="B8" s="70" t="inlineStr">
        <is>
          <t>Attachment to Exhibit 12 (Third Party Contracts)</t>
        </is>
      </c>
    </row>
    <row r="9" ht="20.25" customHeight="1" s="69">
      <c r="B9" s="70" t="n"/>
    </row>
    <row r="10" ht="20.25" customHeight="1" s="69">
      <c r="B10" s="71" t="n"/>
    </row>
    <row r="11" ht="46.5" customHeight="1" s="69">
      <c r="B11" s="70" t="n"/>
    </row>
    <row r="12" ht="0.75" customHeight="1" s="69">
      <c r="B12" s="70" t="n"/>
    </row>
    <row r="13" hidden="1" ht="20.25" customHeight="1" s="69">
      <c r="B13" s="70" t="n"/>
    </row>
    <row r="14" ht="15" customHeight="1" s="69">
      <c r="B14" s="72" t="n"/>
    </row>
    <row r="15" ht="56.25" customHeight="1" s="69">
      <c r="B15" s="73" t="inlineStr">
        <is>
          <t>This document contains confidential and proprietary information of GlobalPharma AG. It is furnished for the performance of The Agreements only. Except with the express prior written permission of GlobalPharma AG, this document and the information contained herein may not be published, disclosed, or used for any other purpose.</t>
        </is>
      </c>
    </row>
    <row r="16" ht="27.75" customHeight="1" s="69">
      <c r="B16" s="74" t="n"/>
    </row>
    <row r="17" ht="15" customHeight="1" s="69">
      <c r="B17" s="75" t="n"/>
    </row>
  </sheetData>
  <printOptions horizontalCentered="1" verticalCentered="0" headings="0" gridLines="0" gridLinesSet="1"/>
  <pageMargins left="0.747916666666667" right="0.747916666666667" top="0.9840277777777779" bottom="0.9840277777777779" header="0.511811023622047" footer="0.5"/>
  <pageSetup orientation="landscape" paperSize="1" scale="100" fitToHeight="1" fitToWidth="1" pageOrder="downThenOver" blackAndWhite="0" draft="0" horizontalDpi="300" verticalDpi="300" copies="1"/>
  <headerFooter differentOddEven="0" differentFirst="0">
    <oddHeader/>
    <oddFooter>&amp;L&amp;"Times New Roman,Regular"&amp;6 © Copyright 2002 Technology Partners International, Inc. – All Rights Reserved</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filterMode="0">
    <outlinePr summaryBelow="1" summaryRight="1"/>
    <pageSetUpPr fitToPage="0"/>
  </sheetPr>
  <dimension ref="A1:L19"/>
  <sheetViews>
    <sheetView showFormulas="0" showGridLines="1" showRowColHeaders="1" showZeros="1" rightToLeft="0" tabSelected="1" showOutlineSymbols="1" defaultGridColor="1" view="normal" topLeftCell="A1" colorId="64" zoomScale="70" zoomScaleNormal="70" zoomScalePageLayoutView="100" workbookViewId="0">
      <pane xSplit="0" ySplit="2" topLeftCell="BM3" activePane="bottomLeft" state="frozen"/>
      <selection pane="topLeft" activeCell="A1" activeCellId="0" sqref="A1"/>
      <selection pane="bottomLeft" activeCell="L18" activeCellId="0" sqref="L18"/>
    </sheetView>
  </sheetViews>
  <sheetFormatPr baseColWidth="8" defaultColWidth="8.84765625" defaultRowHeight="12.75" customHeight="1" zeroHeight="0" outlineLevelRow="0"/>
  <cols>
    <col width="5.71" customWidth="1" style="76" min="1" max="1"/>
    <col width="18.99" customWidth="1" style="76" min="2" max="2"/>
    <col width="14.7" customWidth="1" style="68" min="3" max="3"/>
    <col width="21.13" customWidth="1" style="77" min="4" max="4"/>
    <col width="20.56" customWidth="1" style="77" min="5" max="5"/>
    <col hidden="1" width="11.99" customWidth="1" style="78" min="6" max="6"/>
    <col hidden="1" width="11.85" customWidth="1" style="79" min="7" max="7"/>
    <col hidden="1" width="13.41" customWidth="1" style="78" min="8" max="8"/>
    <col width="21.56" customWidth="1" style="77" min="9" max="9"/>
    <col width="13.14" customWidth="1" style="68" min="10" max="10"/>
    <col width="18.85" customWidth="1" style="80" min="11" max="11"/>
    <col width="17.28" customWidth="1" style="77" min="12" max="12"/>
    <col width="8.85" customWidth="1" style="68" min="13" max="257"/>
  </cols>
  <sheetData>
    <row r="1" hidden="1" ht="27" customHeight="1" s="69">
      <c r="A1" s="81" t="n"/>
      <c r="B1" s="82" t="n"/>
      <c r="C1" s="82" t="n"/>
      <c r="D1" s="82" t="n"/>
      <c r="E1" s="82" t="n"/>
      <c r="F1" s="82" t="n"/>
      <c r="G1" s="82" t="n"/>
      <c r="H1" s="82" t="n"/>
      <c r="I1" s="82" t="n"/>
      <c r="J1" s="82" t="n"/>
      <c r="K1" s="82" t="n"/>
    </row>
    <row r="2" ht="56.45" customHeight="1" s="69">
      <c r="A2" s="83" t="inlineStr">
        <is>
          <t>Ref. No.</t>
        </is>
      </c>
      <c r="B2" s="83" t="inlineStr">
        <is>
          <t>Functional Area
(GL, AP, etc)</t>
        </is>
      </c>
      <c r="C2" s="84" t="inlineStr">
        <is>
          <t>CPO Name</t>
        </is>
      </c>
      <c r="D2" s="83" t="inlineStr">
        <is>
          <t>Third Party Vendor</t>
        </is>
      </c>
      <c r="E2" s="83" t="inlineStr">
        <is>
          <t>Description of Services</t>
        </is>
      </c>
      <c r="F2" s="83" t="inlineStr">
        <is>
          <t>Expiration Date</t>
        </is>
      </c>
      <c r="G2" s="83" t="inlineStr">
        <is>
          <t>Monthly Payment</t>
        </is>
      </c>
      <c r="H2" s="83" t="inlineStr">
        <is>
          <t>Confidential (Y/N)</t>
        </is>
      </c>
      <c r="I2" s="83" t="inlineStr">
        <is>
          <t>Termination Provisions</t>
        </is>
      </c>
      <c r="J2" s="85" t="inlineStr">
        <is>
          <t>Agreement Number</t>
        </is>
      </c>
      <c r="K2" s="86" t="inlineStr">
        <is>
          <t>Remaining Contract Value</t>
        </is>
      </c>
      <c r="L2" s="86" t="inlineStr">
        <is>
          <t>Retained / Pass Through / Novated</t>
        </is>
      </c>
    </row>
    <row r="3" ht="38.25" customHeight="1" s="69">
      <c r="A3" s="87" t="n">
        <v>1</v>
      </c>
      <c r="B3" s="87" t="inlineStr">
        <is>
          <t>AP</t>
        </is>
      </c>
      <c r="C3" s="88" t="inlineStr">
        <is>
          <t>US</t>
        </is>
      </c>
      <c r="D3" s="89" t="inlineStr">
        <is>
          <t>ScanOne</t>
        </is>
      </c>
      <c r="E3" s="89" t="inlineStr">
        <is>
          <t>Provide 3rd Party Paper Invoice Scanning</t>
        </is>
      </c>
      <c r="F3" s="90" t="n">
        <v>40057</v>
      </c>
      <c r="G3" s="91" t="inlineStr">
        <is>
          <t>$9,000.00                                      (Cost per Transaction)</t>
        </is>
      </c>
      <c r="H3" s="92" t="inlineStr">
        <is>
          <t>N</t>
        </is>
      </c>
      <c r="I3" s="93" t="inlineStr">
        <is>
          <t>30 Day Written Notice and $16,434 Termination Fee</t>
        </is>
      </c>
      <c r="J3" s="94" t="n"/>
      <c r="K3" s="95" t="inlineStr">
        <is>
          <t xml:space="preserve"> </t>
        </is>
      </c>
      <c r="L3" s="96" t="inlineStr">
        <is>
          <t>Retained</t>
        </is>
      </c>
    </row>
    <row r="4" ht="38.25" customHeight="1" s="69">
      <c r="A4" s="97" t="n">
        <v>2</v>
      </c>
      <c r="B4" s="97" t="inlineStr">
        <is>
          <t>AP</t>
        </is>
      </c>
      <c r="C4" s="98" t="inlineStr">
        <is>
          <t>US</t>
        </is>
      </c>
      <c r="D4" s="99" t="inlineStr">
        <is>
          <t>Thomson Tax</t>
        </is>
      </c>
      <c r="E4" s="99" t="inlineStr">
        <is>
          <t>1099 Processing and Mailing</t>
        </is>
      </c>
      <c r="F4" s="100" t="n">
        <v>39814</v>
      </c>
      <c r="G4" s="101" t="inlineStr">
        <is>
          <t>$1,600.00                                      (Cost per Transaction)</t>
        </is>
      </c>
      <c r="H4" s="102" t="inlineStr">
        <is>
          <t>N</t>
        </is>
      </c>
      <c r="I4" s="99" t="inlineStr">
        <is>
          <t>30 Day Written Notice and pro rata for any services</t>
        </is>
      </c>
      <c r="J4" s="103" t="n"/>
      <c r="K4" s="104" t="inlineStr">
        <is>
          <t xml:space="preserve"> </t>
        </is>
      </c>
      <c r="L4" s="105" t="inlineStr">
        <is>
          <t>Retained</t>
        </is>
      </c>
    </row>
    <row r="5" ht="38.25" customHeight="1" s="69">
      <c r="A5" s="97" t="n">
        <v>3</v>
      </c>
      <c r="B5" s="97" t="inlineStr">
        <is>
          <t>AP</t>
        </is>
      </c>
      <c r="C5" s="98" t="inlineStr">
        <is>
          <t>US</t>
        </is>
      </c>
      <c r="D5" s="99" t="inlineStr">
        <is>
          <t>Kimberly Unclaimed Property Services</t>
        </is>
      </c>
      <c r="E5" s="99" t="inlineStr">
        <is>
          <t>US Escheatments Processing</t>
        </is>
      </c>
      <c r="F5" s="106" t="inlineStr">
        <is>
          <t xml:space="preserve"> June 2009</t>
        </is>
      </c>
      <c r="G5" s="101" t="inlineStr">
        <is>
          <t>$1,250.00                                      (Cost per Transaction)</t>
        </is>
      </c>
      <c r="H5" s="102" t="inlineStr">
        <is>
          <t>N</t>
        </is>
      </c>
      <c r="I5" s="99" t="inlineStr">
        <is>
          <t>30 Day Written Notice and pro rata for any services</t>
        </is>
      </c>
      <c r="J5" s="103" t="n"/>
      <c r="K5" s="104" t="inlineStr">
        <is>
          <t xml:space="preserve"> </t>
        </is>
      </c>
      <c r="L5" s="105" t="inlineStr">
        <is>
          <t>Retained</t>
        </is>
      </c>
    </row>
    <row r="6" ht="51" customHeight="1" s="69">
      <c r="A6" s="97" t="n">
        <v>4</v>
      </c>
      <c r="B6" s="97" t="inlineStr">
        <is>
          <t>AP</t>
        </is>
      </c>
      <c r="C6" s="98" t="inlineStr">
        <is>
          <t>US</t>
        </is>
      </c>
      <c r="D6" s="99" t="inlineStr">
        <is>
          <t>Moody and Associates</t>
        </is>
      </c>
      <c r="E6" s="99" t="inlineStr">
        <is>
          <t>Vendor Master Scrub and Maintenance</t>
        </is>
      </c>
      <c r="F6" s="100" t="n">
        <v>39845</v>
      </c>
      <c r="G6" s="101" t="inlineStr">
        <is>
          <t xml:space="preserve">                                      $3750.00      (Cost per Transaction)</t>
        </is>
      </c>
      <c r="H6" s="102" t="inlineStr">
        <is>
          <t>N</t>
        </is>
      </c>
      <c r="I6" s="99" t="inlineStr">
        <is>
          <t>30 Day Written Notice and pro rata for any services</t>
        </is>
      </c>
      <c r="J6" s="103" t="n"/>
      <c r="K6" s="104" t="inlineStr">
        <is>
          <t xml:space="preserve"> </t>
        </is>
      </c>
      <c r="L6" s="105" t="inlineStr">
        <is>
          <t>Retained</t>
        </is>
      </c>
    </row>
    <row r="7" ht="38.25" customHeight="1" s="69">
      <c r="A7" s="97" t="n">
        <v>5</v>
      </c>
      <c r="B7" s="97" t="inlineStr">
        <is>
          <t>AP</t>
        </is>
      </c>
      <c r="C7" s="98" t="inlineStr">
        <is>
          <t>US</t>
        </is>
      </c>
      <c r="D7" s="99" t="inlineStr">
        <is>
          <t>Moody and Associates</t>
        </is>
      </c>
      <c r="E7" s="99" t="inlineStr">
        <is>
          <t>Duplicate Pay Audit</t>
        </is>
      </c>
      <c r="F7" s="100" t="n">
        <v>39845</v>
      </c>
      <c r="G7" s="101" t="inlineStr">
        <is>
          <t>20% Recovery Fee</t>
        </is>
      </c>
      <c r="H7" s="102" t="inlineStr">
        <is>
          <t>N</t>
        </is>
      </c>
      <c r="I7" s="99" t="inlineStr">
        <is>
          <t>30 Day Written Notice and pro rata for any services</t>
        </is>
      </c>
      <c r="J7" s="103" t="n"/>
      <c r="K7" s="104" t="inlineStr">
        <is>
          <t xml:space="preserve"> </t>
        </is>
      </c>
      <c r="L7" s="105" t="inlineStr">
        <is>
          <t>Retained</t>
        </is>
      </c>
    </row>
    <row r="8" ht="89.25" customHeight="1" s="69">
      <c r="A8" s="97" t="n">
        <v>6</v>
      </c>
      <c r="B8" s="97" t="inlineStr">
        <is>
          <t>T&amp;E</t>
        </is>
      </c>
      <c r="C8" s="98" t="inlineStr">
        <is>
          <t>US</t>
        </is>
      </c>
      <c r="D8" s="103" t="inlineStr">
        <is>
          <t>Gelco</t>
        </is>
      </c>
      <c r="E8" s="99" t="inlineStr">
        <is>
          <t>T&amp;E Expense Transaction - Hosted Web Solution through Payment &amp; Disbursement (Amex and Employee</t>
        </is>
      </c>
      <c r="F8" s="102" t="inlineStr">
        <is>
          <t>Open</t>
        </is>
      </c>
      <c r="G8" s="101" t="inlineStr">
        <is>
          <t>Cost per transaction - $2.70/Trans + Minor Reporting &amp; Support Costs</t>
        </is>
      </c>
      <c r="H8" s="102" t="inlineStr">
        <is>
          <t>Y</t>
        </is>
      </c>
      <c r="I8" s="99" t="inlineStr">
        <is>
          <t>90 Days</t>
        </is>
      </c>
      <c r="J8" s="103" t="n"/>
      <c r="K8" s="104" t="n"/>
      <c r="L8" s="105" t="inlineStr">
        <is>
          <t>Retained</t>
        </is>
      </c>
    </row>
    <row r="9" ht="127.5" customHeight="1" s="69">
      <c r="A9" s="97" t="n">
        <v>7</v>
      </c>
      <c r="B9" s="97" t="inlineStr">
        <is>
          <t>T&amp;E</t>
        </is>
      </c>
      <c r="C9" s="98" t="inlineStr">
        <is>
          <t>US</t>
        </is>
      </c>
      <c r="D9" s="103" t="inlineStr">
        <is>
          <t>Acclaris</t>
        </is>
      </c>
      <c r="E9" s="99" t="inlineStr">
        <is>
          <t>T&amp;E Expense Report Imaging,  Service Response Team, post expense audit and notification</t>
        </is>
      </c>
      <c r="F9" s="102" t="inlineStr">
        <is>
          <t>Open</t>
        </is>
      </c>
      <c r="G9" s="101" t="inlineStr">
        <is>
          <t>Cost per transaction - $4.48/Trans + Monthly Esception or Special Service Charges for process mods</t>
        </is>
      </c>
      <c r="H9" s="102" t="inlineStr">
        <is>
          <t>Y</t>
        </is>
      </c>
      <c r="I9" s="99" t="inlineStr">
        <is>
          <t>90 Days</t>
        </is>
      </c>
      <c r="J9" s="103" t="n"/>
      <c r="K9" s="104" t="n"/>
      <c r="L9" s="105" t="inlineStr">
        <is>
          <t>Retained</t>
        </is>
      </c>
    </row>
    <row r="10" ht="63.75" customHeight="1" s="69">
      <c r="A10" s="107" t="n">
        <v>8</v>
      </c>
      <c r="B10" s="107" t="inlineStr">
        <is>
          <t>AP</t>
        </is>
      </c>
      <c r="C10" s="108" t="inlineStr">
        <is>
          <t>Germany</t>
        </is>
      </c>
      <c r="D10" s="109" t="inlineStr">
        <is>
          <t>MCS Gehrer GmbH</t>
        </is>
      </c>
      <c r="E10" s="110" t="inlineStr">
        <is>
          <t>Handling of AP mail and scanning and forwarding of vendor invoices</t>
        </is>
      </c>
      <c r="F10" s="111" t="n">
        <v>39132</v>
      </c>
      <c r="G10" s="112" t="n">
        <v>3300</v>
      </c>
      <c r="H10" s="112" t="inlineStr">
        <is>
          <t>N</t>
        </is>
      </c>
      <c r="I10" s="110" t="inlineStr">
        <is>
          <t>termination notice 3 month ahead of expiration date otherwise renewal for 12 month</t>
        </is>
      </c>
      <c r="J10" s="109" t="inlineStr">
        <is>
          <t>MCS 87264</t>
        </is>
      </c>
      <c r="K10" s="109">
        <f>3300*5</f>
        <v/>
      </c>
      <c r="L10" s="110" t="inlineStr">
        <is>
          <t>Service Provider move to ServicePro Vendor</t>
        </is>
      </c>
    </row>
    <row r="11" ht="63.75" customHeight="1" s="69">
      <c r="A11" s="107" t="n">
        <v>9</v>
      </c>
      <c r="B11" s="107" t="inlineStr">
        <is>
          <t>T&amp;E</t>
        </is>
      </c>
      <c r="C11" s="108" t="inlineStr">
        <is>
          <t>Germany</t>
        </is>
      </c>
      <c r="D11" s="109" t="inlineStr">
        <is>
          <t>MCS Gehrer GmbH</t>
        </is>
      </c>
      <c r="E11" s="110" t="inlineStr">
        <is>
          <t>Scanning  of T&amp;E supporting documents/vouchers after T&amp;E processing</t>
        </is>
      </c>
      <c r="F11" s="111" t="n">
        <v>39082</v>
      </c>
      <c r="G11" s="112" t="n">
        <v>1700</v>
      </c>
      <c r="H11" s="112" t="inlineStr">
        <is>
          <t>N</t>
        </is>
      </c>
      <c r="I11" s="110" t="inlineStr">
        <is>
          <t>termination notice 3 month ahead of expiration date otherwise renewal for 12 month</t>
        </is>
      </c>
      <c r="J11" s="109" t="inlineStr">
        <is>
          <t>MCS 85318</t>
        </is>
      </c>
      <c r="K11" s="109">
        <f>15*1700</f>
        <v/>
      </c>
      <c r="L11" s="110" t="inlineStr">
        <is>
          <t>Retained</t>
        </is>
      </c>
    </row>
    <row r="12" ht="76.5" customHeight="1" s="69">
      <c r="A12" s="107" t="n">
        <v>10</v>
      </c>
      <c r="B12" s="113" t="inlineStr">
        <is>
          <t>T&amp;E ==&gt; will replace # 2 as of 11/2006</t>
        </is>
      </c>
      <c r="C12" s="108" t="inlineStr">
        <is>
          <t>Germany</t>
        </is>
      </c>
      <c r="D12" s="109" t="inlineStr">
        <is>
          <t>MCS Gehrer GmbH</t>
        </is>
      </c>
      <c r="E12" s="110" t="inlineStr">
        <is>
          <t>Handling of T&amp;E mail and scanning of T&amp;E supporting documents/vouchers before processing of T&amp;E</t>
        </is>
      </c>
      <c r="F12" s="112" t="n"/>
      <c r="G12" s="112" t="n">
        <v>2500</v>
      </c>
      <c r="H12" s="112" t="inlineStr">
        <is>
          <t>N</t>
        </is>
      </c>
      <c r="I12" s="110" t="n"/>
      <c r="J12" s="109" t="n"/>
      <c r="K12" s="109" t="n"/>
      <c r="L12" s="110" t="inlineStr">
        <is>
          <t>Retained</t>
        </is>
      </c>
    </row>
    <row r="13" ht="63.75" customHeight="1" s="69">
      <c r="A13" s="114" t="n">
        <v>11</v>
      </c>
      <c r="B13" s="114" t="inlineStr">
        <is>
          <t>AP</t>
        </is>
      </c>
      <c r="C13" s="115" t="inlineStr">
        <is>
          <t>Spain</t>
        </is>
      </c>
      <c r="D13" s="116" t="inlineStr">
        <is>
          <t>DOING IT GESTORS D'EMPRESA, S.L.</t>
        </is>
      </c>
      <c r="E13" s="117" t="inlineStr">
        <is>
          <t>Outsourscing for T&amp;E Reports: management, call center, collection, review, booking, tax review, audit, etc.</t>
        </is>
      </c>
      <c r="F13" s="118" t="inlineStr">
        <is>
          <t>Yearly renewal</t>
        </is>
      </c>
      <c r="G13" s="119">
        <f>((8775*1.04)*12+1500)/12</f>
        <v/>
      </c>
      <c r="H13" s="118" t="inlineStr">
        <is>
          <t>N</t>
        </is>
      </c>
      <c r="I13" s="117" t="inlineStr">
        <is>
          <t>4 persons that may claim termination indemnization</t>
        </is>
      </c>
      <c r="J13" s="116" t="n"/>
      <c r="K13" s="116" t="n"/>
      <c r="L13" s="117" t="inlineStr">
        <is>
          <t>Retained</t>
        </is>
      </c>
    </row>
    <row r="14" ht="38.25" customHeight="1" s="69">
      <c r="A14" s="114" t="n">
        <v>12</v>
      </c>
      <c r="B14" s="114" t="inlineStr">
        <is>
          <t>AP</t>
        </is>
      </c>
      <c r="C14" s="115" t="inlineStr">
        <is>
          <t>Spain</t>
        </is>
      </c>
      <c r="D14" s="116" t="inlineStr">
        <is>
          <t>DOING IT GESTORS D'EMPRESA, S.L.</t>
        </is>
      </c>
      <c r="E14" s="117" t="inlineStr">
        <is>
          <t>Invoice scanning</t>
        </is>
      </c>
      <c r="F14" s="118" t="inlineStr">
        <is>
          <t>Yearly renewal</t>
        </is>
      </c>
      <c r="G14" s="119">
        <f>1734*1.04</f>
        <v/>
      </c>
      <c r="H14" s="118" t="inlineStr">
        <is>
          <t>N</t>
        </is>
      </c>
      <c r="I14" s="117" t="inlineStr">
        <is>
          <t>none</t>
        </is>
      </c>
      <c r="J14" s="116" t="n"/>
      <c r="K14" s="116" t="n"/>
      <c r="L14" s="117" t="inlineStr">
        <is>
          <t>Service Provider move to ServicePro Vendor</t>
        </is>
      </c>
    </row>
    <row r="15" ht="25.5" customHeight="1" s="69">
      <c r="A15" s="114" t="n">
        <v>13</v>
      </c>
      <c r="B15" s="114" t="inlineStr">
        <is>
          <t>TR</t>
        </is>
      </c>
      <c r="C15" s="115" t="inlineStr">
        <is>
          <t>Spain</t>
        </is>
      </c>
      <c r="D15" s="116" t="inlineStr">
        <is>
          <t>DOING IT GESTORS D'EMPRESA, S.L.</t>
        </is>
      </c>
      <c r="E15" s="117" t="inlineStr">
        <is>
          <t>Bank documents scanning</t>
        </is>
      </c>
      <c r="F15" s="118" t="inlineStr">
        <is>
          <t>Yearly renewal</t>
        </is>
      </c>
      <c r="G15" s="119" t="n">
        <v>250</v>
      </c>
      <c r="H15" s="118" t="inlineStr">
        <is>
          <t>N</t>
        </is>
      </c>
      <c r="I15" s="117" t="inlineStr">
        <is>
          <t>none</t>
        </is>
      </c>
      <c r="J15" s="116" t="n"/>
      <c r="K15" s="116" t="n"/>
      <c r="L15" s="117" t="inlineStr">
        <is>
          <t>Retained</t>
        </is>
      </c>
    </row>
    <row r="16" ht="38.25" customHeight="1" s="69">
      <c r="A16" s="97" t="n">
        <v>14</v>
      </c>
      <c r="B16" s="97" t="inlineStr">
        <is>
          <t>T&amp;E</t>
        </is>
      </c>
      <c r="C16" s="98" t="inlineStr">
        <is>
          <t>Italy</t>
        </is>
      </c>
      <c r="D16" s="103" t="inlineStr">
        <is>
          <t>UBM Business Services Srl</t>
        </is>
      </c>
      <c r="E16" s="99" t="inlineStr">
        <is>
          <t>Expense Claims Auditing</t>
        </is>
      </c>
      <c r="F16" s="99" t="inlineStr">
        <is>
          <t>6 months' notice period</t>
        </is>
      </c>
      <c r="G16" s="102" t="inlineStr">
        <is>
          <t>6,3 K€</t>
        </is>
      </c>
      <c r="H16" s="102" t="inlineStr">
        <is>
          <t>Y</t>
        </is>
      </c>
      <c r="I16" s="99" t="inlineStr">
        <is>
          <t>None, provided that we respect the notice period</t>
        </is>
      </c>
      <c r="J16" s="103" t="n"/>
      <c r="K16" s="103" t="n"/>
      <c r="L16" s="99" t="inlineStr">
        <is>
          <t>Retained</t>
        </is>
      </c>
    </row>
    <row r="17" ht="51" customHeight="1" s="69">
      <c r="A17" s="120" t="n">
        <v>15</v>
      </c>
      <c r="B17" s="120" t="inlineStr">
        <is>
          <t>AP</t>
        </is>
      </c>
      <c r="C17" s="121" t="inlineStr">
        <is>
          <t>France</t>
        </is>
      </c>
      <c r="D17" s="122" t="inlineStr">
        <is>
          <t>K-Buy</t>
        </is>
      </c>
      <c r="E17" s="123" t="inlineStr">
        <is>
          <t>Outsourcing of purchasing (indirect expenses)</t>
        </is>
      </c>
      <c r="F17" s="124" t="inlineStr">
        <is>
          <t>31 december 2006</t>
        </is>
      </c>
      <c r="G17" s="124" t="inlineStr">
        <is>
          <t>Yes</t>
        </is>
      </c>
      <c r="H17" s="124" t="inlineStr">
        <is>
          <t>Yes</t>
        </is>
      </c>
      <c r="I17" s="123" t="inlineStr">
        <is>
          <t>3 months notice with indemnity of 16 KE</t>
        </is>
      </c>
      <c r="J17" s="122" t="n"/>
      <c r="K17" s="122" t="n"/>
      <c r="L17" s="123" t="inlineStr">
        <is>
          <t>Service Provider takes over work of 2 FTE employed by K-Buy</t>
        </is>
      </c>
    </row>
    <row r="18" ht="25.5" customHeight="1" s="69">
      <c r="A18" s="125" t="n">
        <v>16</v>
      </c>
      <c r="B18" s="125" t="inlineStr">
        <is>
          <t>AP</t>
        </is>
      </c>
      <c r="C18" s="126" t="inlineStr">
        <is>
          <t>UK</t>
        </is>
      </c>
      <c r="D18" s="127" t="inlineStr">
        <is>
          <t>Fexco</t>
        </is>
      </c>
      <c r="E18" s="128" t="inlineStr">
        <is>
          <t>T&amp;E expense auditing for VAT compliance</t>
        </is>
      </c>
      <c r="F18" s="129" t="inlineStr">
        <is>
          <t>rolling 3 month</t>
        </is>
      </c>
      <c r="G18" s="129" t="inlineStr">
        <is>
          <t>Cira GBP 5k  - based on % of VAT processed</t>
        </is>
      </c>
      <c r="H18" s="129" t="inlineStr">
        <is>
          <t>Y</t>
        </is>
      </c>
      <c r="I18" s="128" t="inlineStr">
        <is>
          <t>3 months notice</t>
        </is>
      </c>
      <c r="J18" s="127" t="n"/>
      <c r="K18" s="127" t="inlineStr">
        <is>
          <t>Circa GBP15k</t>
        </is>
      </c>
      <c r="L18" s="128" t="inlineStr">
        <is>
          <t>Retained</t>
        </is>
      </c>
    </row>
    <row r="19" ht="12.75" customHeight="1" s="69">
      <c r="A19" s="130" t="n">
        <v>17</v>
      </c>
      <c r="B19" s="130" t="n"/>
      <c r="C19" s="131" t="inlineStr">
        <is>
          <t>Zurich / CH</t>
        </is>
      </c>
      <c r="D19" s="132" t="inlineStr">
        <is>
          <t>no 3rd party contracts</t>
        </is>
      </c>
      <c r="E19" s="132" t="n"/>
      <c r="F19" s="133" t="n"/>
      <c r="G19" s="134" t="n"/>
      <c r="H19" s="133" t="n"/>
      <c r="I19" s="132" t="n"/>
      <c r="J19" s="131" t="n"/>
      <c r="K19" s="135" t="n"/>
      <c r="L19" s="136" t="n"/>
    </row>
  </sheetData>
  <mergeCells count="1">
    <mergeCell ref="A1:K1"/>
  </mergeCells>
  <printOptions horizontalCentered="1" verticalCentered="0" headings="0" gridLines="1" gridLinesSet="1"/>
  <pageMargins left="0.25" right="0.25" top="0.872916666666667" bottom="0.9840277777777779" header="0.25" footer="0.25"/>
  <pageSetup orientation="landscape" paperSize="1" scale="75" fitToHeight="1" fitToWidth="1" pageOrder="downThenOver" blackAndWhite="0" draft="0" horizontalDpi="300" verticalDpi="300" copies="1"/>
  <headerFooter differentOddEven="0" differentFirst="0">
    <oddHeader>&amp;L&amp;"Times New Roman,Regular"COMPANY XYZ CONFIDENTIAL&amp;C&amp;"Times New Roman,Regular"&amp;14 MAINFRAME - THIRD PARTY SERVICE CONTRACTS INFORMATION&amp;R&amp;"Times New Roman,Regular"&amp;F</oddHeader>
    <oddFooter>&amp;L&amp;"Times New Roman,Regular"&amp;6 © Copyright 1994-2000 Technology Partners International, Inc. - All Rights Reserved&amp;C&amp;"Times New Roman,Regular"Attach 12-B  &amp;A_x000a_Page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TPI</dc:creator>
  <dc:title xmlns:dc="http://purl.org/dc/elements/1.1/">RFP8 Attachment 12-B Third Party Service Contracts</dc:title>
  <dc:description xmlns:dc="http://purl.org/dc/elements/1.1/">RFP8 Attachment 12-B to Exhibit 12 (Third Party Contracts). Contains the required format for documenting Third Party service contract information.
Version 1 - 102202</dc:description>
  <dc:language xmlns:dc="http://purl.org/dc/elements/1.1/">en-US</dc:language>
  <dcterms:created xmlns:dcterms="http://purl.org/dc/terms/" xmlns:xsi="http://www.w3.org/2001/XMLSchema-instance" xsi:type="dcterms:W3CDTF">2002-01-31T22:53:45Z</dcterms:created>
  <dcterms:modified xmlns:dcterms="http://purl.org/dc/terms/" xmlns:xsi="http://www.w3.org/2001/XMLSchema-instance" xsi:type="dcterms:W3CDTF">2026-02-11T03:52:18Z</dcterms:modified>
  <cp:lastModifiedBy>Wenger Plattner</cp:lastModifiedBy>
  <cp:revision>0</cp:revision>
  <cp:lastPrinted>2006-09-25T23:31:24Z</cp:lastPrinted>
</cp:coreProperties>
</file>

<file path=docProps/custom.xml><?xml version="1.0" encoding="utf-8"?>
<Properties xmlns="http://schemas.openxmlformats.org/officeDocument/2006/custom-properties">
  <property name="Editor" fmtid="{D5CDD505-2E9C-101B-9397-08002B2CF9AE}" pid="2">
    <vt:lpwstr xmlns:vt="http://schemas.openxmlformats.org/officeDocument/2006/docPropsVTypes">G Woodstrom</vt:lpwstr>
  </property>
  <property name="Office" fmtid="{D5CDD505-2E9C-101B-9397-08002B2CF9AE}" pid="3">
    <vt:lpwstr xmlns:vt="http://schemas.openxmlformats.org/officeDocument/2006/docPropsVTypes">Houston, TX</vt:lpwstr>
  </property>
  <property name="Project" fmtid="{D5CDD505-2E9C-101B-9397-08002B2CF9AE}" pid="4">
    <vt:lpwstr xmlns:vt="http://schemas.openxmlformats.org/officeDocument/2006/docPropsVTypes">RFP8</vt:lpwstr>
  </property>
  <property name="Status" fmtid="{D5CDD505-2E9C-101B-9397-08002B2CF9AE}" pid="5">
    <vt:lpwstr xmlns:vt="http://schemas.openxmlformats.org/officeDocument/2006/docPropsVTypes">Released</vt:lpwstr>
  </property>
</Properties>
</file>
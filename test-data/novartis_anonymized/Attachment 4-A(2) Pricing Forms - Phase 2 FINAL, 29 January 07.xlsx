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Cover Page" sheetId="1" state="visible" r:id="rId1"/>
    <sheet xmlns:r="http://schemas.openxmlformats.org/officeDocument/2006/relationships" name="CPO FRA Pricing excl PROCURE" sheetId="2" state="visible" r:id="rId2"/>
  </sheets>
  <externalReferences>
    <externalReference xmlns:r="http://schemas.openxmlformats.org/officeDocument/2006/relationships" r:id="rId3"/>
    <externalReference xmlns:r="http://schemas.openxmlformats.org/officeDocument/2006/relationships" r:id="rId4"/>
    <externalReference xmlns:r="http://schemas.openxmlformats.org/officeDocument/2006/relationships" r:id="rId5"/>
    <externalReference xmlns:r="http://schemas.openxmlformats.org/officeDocument/2006/relationships" r:id="rId6"/>
    <externalReference xmlns:r="http://schemas.openxmlformats.org/officeDocument/2006/relationships" r:id="rId7"/>
  </externalReferences>
  <definedNames>
    <definedName name="Baseline" hidden="0" function="0" vbProcedure="0">'[4]'!$A$1:$N$50</definedName>
    <definedName name="_xlnm.Print_Area" localSheetId="1">'CPO FRA Pricing excl PROCURE'!$A$1:$I$47</definedName>
  </definedNames>
  <calcPr calcId="124519" fullCalcOnLoad="1" refMode="A1" iterate="0" iterateCount="100" iterateDelta="0.001"/>
</workbook>
</file>

<file path=xl/styles.xml><?xml version="1.0" encoding="utf-8"?>
<styleSheet xmlns="http://schemas.openxmlformats.org/spreadsheetml/2006/main">
  <numFmts count="2">
    <numFmt numFmtId="164" formatCode="[$-409]d\-mmm\-yy"/>
    <numFmt numFmtId="165" formatCode="[$-409]#,##0_);[RED]\(#,##0\)"/>
  </numFmts>
  <fonts count="10">
    <font>
      <name val="Arial"/>
      <family val="0"/>
      <sz val="10"/>
    </font>
    <font>
      <name val="Arial"/>
      <family val="0"/>
      <sz val="10"/>
    </font>
    <font>
      <name val="Arial"/>
      <family val="0"/>
      <sz val="10"/>
    </font>
    <font>
      <name val="Arial"/>
      <family val="0"/>
      <sz val="10"/>
    </font>
    <font>
      <name val="Times New Roman"/>
      <family val="1"/>
      <b val="1"/>
      <sz val="16"/>
    </font>
    <font>
      <name val="Times New Roman"/>
      <family val="1"/>
      <sz val="11"/>
    </font>
    <font>
      <name val="Arial"/>
      <charset val="238"/>
      <family val="2"/>
      <b val="1"/>
      <sz val="10"/>
    </font>
    <font>
      <name val="Arial"/>
      <charset val="238"/>
      <family val="2"/>
      <sz val="10"/>
    </font>
    <font>
      <name val="Tahoma"/>
      <family val="0"/>
      <b val="1"/>
      <color rgb="FF000000"/>
      <sz val="8"/>
    </font>
    <font>
      <name val="Tahoma"/>
      <family val="0"/>
      <color rgb="FF000000"/>
      <sz val="8"/>
    </font>
  </fonts>
  <fills count="2">
    <fill>
      <patternFill/>
    </fill>
    <fill>
      <patternFill patternType="gray125"/>
    </fill>
  </fills>
  <borders count="4">
    <border>
      <left/>
      <right/>
      <top/>
      <bottom/>
      <diagonal/>
    </border>
    <border>
      <left style="thin"/>
      <right style="thin"/>
      <top style="thin"/>
      <bottom/>
      <diagonal/>
    </border>
    <border>
      <left style="thin"/>
      <right style="thin"/>
      <top/>
      <bottom/>
      <diagonal/>
    </border>
    <border>
      <left style="thin"/>
      <right style="thin"/>
      <top/>
      <bottom style="thin"/>
      <diagonal/>
    </border>
  </borders>
  <cellStyleXfs count="8">
    <xf numFmtId="0" fontId="3"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xf numFmtId="0" fontId="3" fillId="0" borderId="0" applyAlignment="1">
      <alignment horizontal="general" vertical="bottom"/>
    </xf>
    <xf numFmtId="0" fontId="3" fillId="0" borderId="0" applyAlignment="1">
      <alignment horizontal="general" vertical="bottom"/>
    </xf>
  </cellStyleXfs>
  <cellXfs count="35">
    <xf numFmtId="0" fontId="0" fillId="0" borderId="0" applyAlignment="1" pivotButton="0" quotePrefix="0" xfId="0">
      <alignment horizontal="general" vertical="bottom"/>
    </xf>
    <xf numFmtId="0" fontId="0" fillId="0" borderId="0" applyAlignment="1" pivotButton="0" quotePrefix="0" xfId="20">
      <alignment horizontal="general" vertical="bottom"/>
    </xf>
    <xf numFmtId="0" fontId="4" fillId="0" borderId="0" applyAlignment="1" pivotButton="0" quotePrefix="0" xfId="20">
      <alignment horizontal="center" vertical="bottom"/>
    </xf>
    <xf numFmtId="0" fontId="4" fillId="0" borderId="0" applyAlignment="1" pivotButton="0" quotePrefix="0" xfId="21">
      <alignment horizontal="center" vertical="bottom"/>
    </xf>
    <xf numFmtId="164" fontId="4" fillId="0" borderId="0" applyAlignment="1" pivotButton="0" quotePrefix="0" xfId="20">
      <alignment horizontal="center" vertical="bottom"/>
    </xf>
    <xf numFmtId="0" fontId="5" fillId="0" borderId="1" applyAlignment="1" pivotButton="0" quotePrefix="0" xfId="20">
      <alignment horizontal="center" vertical="bottom" wrapText="1"/>
    </xf>
    <xf numFmtId="0" fontId="5" fillId="0" borderId="2" applyAlignment="1" pivotButton="0" quotePrefix="0" xfId="20">
      <alignment horizontal="center" vertical="bottom" wrapText="1"/>
    </xf>
    <xf numFmtId="0" fontId="5" fillId="0" borderId="3" applyAlignment="1" pivotButton="0" quotePrefix="0" xfId="20">
      <alignment horizontal="center" vertical="bottom" wrapText="1"/>
    </xf>
    <xf numFmtId="0" fontId="5" fillId="0" borderId="0" applyAlignment="1" pivotButton="0" quotePrefix="0" xfId="20">
      <alignment horizontal="general" vertical="bottom"/>
    </xf>
    <xf numFmtId="0" fontId="6" fillId="0" borderId="0" applyAlignment="1" pivotButton="0" quotePrefix="0" xfId="0">
      <alignment horizontal="center" vertical="bottom"/>
    </xf>
    <xf numFmtId="0" fontId="6" fillId="0" borderId="0" applyAlignment="1" pivotButton="0" quotePrefix="0" xfId="0">
      <alignment horizontal="general" vertical="center" wrapText="1"/>
    </xf>
    <xf numFmtId="0" fontId="6" fillId="0" borderId="0" applyAlignment="1" pivotButton="0" quotePrefix="0" xfId="0">
      <alignment horizontal="center" vertical="center" wrapText="1"/>
    </xf>
    <xf numFmtId="0" fontId="0" fillId="0" borderId="0" applyAlignment="1" pivotButton="0" quotePrefix="0" xfId="0">
      <alignment horizontal="center" vertical="bottom"/>
    </xf>
    <xf numFmtId="165" fontId="0" fillId="0" borderId="0" applyAlignment="1" pivotButton="0" quotePrefix="0" xfId="0">
      <alignment horizontal="general" vertical="bottom"/>
    </xf>
    <xf numFmtId="0" fontId="7" fillId="0" borderId="0" applyAlignment="1" pivotButton="0" quotePrefix="0" xfId="0">
      <alignment horizontal="general" vertical="bottom"/>
    </xf>
    <xf numFmtId="0" fontId="0" fillId="0" borderId="0" applyAlignment="1" pivotButton="0" quotePrefix="0" xfId="0">
      <alignment horizontal="left" vertical="center" wrapText="1"/>
    </xf>
    <xf numFmtId="0" fontId="0" fillId="0" borderId="0" applyAlignment="1" pivotButton="0" quotePrefix="0" xfId="0">
      <alignment horizontal="center" vertical="center" wrapText="1"/>
    </xf>
    <xf numFmtId="0" fontId="0" fillId="0" borderId="0" applyAlignment="1" pivotButton="0" quotePrefix="0" xfId="20">
      <alignment horizontal="general" vertical="bottom"/>
    </xf>
    <xf numFmtId="0" fontId="0" fillId="0" borderId="0" pivotButton="0" quotePrefix="0" xfId="0"/>
    <xf numFmtId="0" fontId="4" fillId="0" borderId="0" applyAlignment="1" pivotButton="0" quotePrefix="0" xfId="20">
      <alignment horizontal="center" vertical="bottom"/>
    </xf>
    <xf numFmtId="0" fontId="4" fillId="0" borderId="0" applyAlignment="1" pivotButton="0" quotePrefix="0" xfId="21">
      <alignment horizontal="center" vertical="bottom"/>
    </xf>
    <xf numFmtId="164" fontId="4" fillId="0" borderId="0" applyAlignment="1" pivotButton="0" quotePrefix="0" xfId="20">
      <alignment horizontal="center" vertical="bottom"/>
    </xf>
    <xf numFmtId="0" fontId="5" fillId="0" borderId="1" applyAlignment="1" pivotButton="0" quotePrefix="0" xfId="20">
      <alignment horizontal="center" vertical="bottom" wrapText="1"/>
    </xf>
    <xf numFmtId="0" fontId="5" fillId="0" borderId="2" applyAlignment="1" pivotButton="0" quotePrefix="0" xfId="20">
      <alignment horizontal="center" vertical="bottom" wrapText="1"/>
    </xf>
    <xf numFmtId="0" fontId="5" fillId="0" borderId="3" applyAlignment="1" pivotButton="0" quotePrefix="0" xfId="20">
      <alignment horizontal="center" vertical="bottom" wrapText="1"/>
    </xf>
    <xf numFmtId="0" fontId="5" fillId="0" borderId="0" applyAlignment="1" pivotButton="0" quotePrefix="0" xfId="20">
      <alignment horizontal="general" vertical="bottom"/>
    </xf>
    <xf numFmtId="0" fontId="0" fillId="0" borderId="0" applyAlignment="1" pivotButton="0" quotePrefix="0" xfId="0">
      <alignment horizontal="general" vertical="bottom"/>
    </xf>
    <xf numFmtId="0" fontId="6" fillId="0" borderId="0" applyAlignment="1" pivotButton="0" quotePrefix="0" xfId="0">
      <alignment horizontal="center" vertical="bottom"/>
    </xf>
    <xf numFmtId="0" fontId="6" fillId="0" borderId="0" applyAlignment="1" pivotButton="0" quotePrefix="0" xfId="0">
      <alignment horizontal="general" vertical="center" wrapText="1"/>
    </xf>
    <xf numFmtId="0" fontId="6" fillId="0" borderId="0" applyAlignment="1" pivotButton="0" quotePrefix="0" xfId="0">
      <alignment horizontal="center" vertical="center" wrapText="1"/>
    </xf>
    <xf numFmtId="0" fontId="0" fillId="0" borderId="0" applyAlignment="1" pivotButton="0" quotePrefix="0" xfId="0">
      <alignment horizontal="center" vertical="bottom"/>
    </xf>
    <xf numFmtId="165" fontId="0" fillId="0" borderId="0" applyAlignment="1" pivotButton="0" quotePrefix="0" xfId="0">
      <alignment horizontal="general" vertical="bottom"/>
    </xf>
    <xf numFmtId="0" fontId="7" fillId="0" borderId="0" applyAlignment="1" pivotButton="0" quotePrefix="0" xfId="0">
      <alignment horizontal="general" vertical="bottom"/>
    </xf>
    <xf numFmtId="0" fontId="0" fillId="0" borderId="0" applyAlignment="1" pivotButton="0" quotePrefix="0" xfId="0">
      <alignment horizontal="left" vertical="center" wrapText="1"/>
    </xf>
    <xf numFmtId="0" fontId="0" fillId="0" borderId="0" applyAlignment="1" pivotButton="0" quotePrefix="0" xfId="0">
      <alignment horizontal="center" vertical="center" wrapText="1"/>
    </xf>
  </cellXfs>
  <cellStyles count="8">
    <cellStyle name="Normal" xfId="0" builtinId="0"/>
    <cellStyle name="Comma" xfId="1" builtinId="3"/>
    <cellStyle name="Comma [0]" xfId="2" builtinId="6"/>
    <cellStyle name="Currency" xfId="3" builtinId="4"/>
    <cellStyle name="Currency [0]" xfId="4" builtinId="7"/>
    <cellStyle name="Percent" xfId="5" builtinId="5"/>
    <cellStyle name="%??O%??P%??Q%??R%??S%??T%??U%??V%??W%??X%??Y%??Z%??[%??\%??]%??^%??_%??`%??a%?" xfId="6"/>
    <cellStyle name="Normal_RFP8 Attachment 4-A Supplier Pricing Forms" xfId="7"/>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externalLink" Target="/xl/externalLinks/externalLink1.xml" Id="rId3"/><Relationship Type="http://schemas.openxmlformats.org/officeDocument/2006/relationships/externalLink" Target="/xl/externalLinks/externalLink2.xml" Id="rId4"/><Relationship Type="http://schemas.openxmlformats.org/officeDocument/2006/relationships/externalLink" Target="/xl/externalLinks/externalLink3.xml" Id="rId5"/><Relationship Type="http://schemas.openxmlformats.org/officeDocument/2006/relationships/externalLink" Target="/xl/externalLinks/externalLink4.xml" Id="rId6"/><Relationship Type="http://schemas.openxmlformats.org/officeDocument/2006/relationships/externalLink" Target="/xl/externalLinks/externalLink5.xml" Id="rId7"/><Relationship Type="http://schemas.openxmlformats.org/officeDocument/2006/relationships/styles" Target="styles.xml" Id="rId8"/><Relationship Type="http://schemas.openxmlformats.org/officeDocument/2006/relationships/theme" Target="theme/theme1.xml" Id="rId9"/></Relationships>
</file>

<file path=xl/comments/comment1.xml><?xml version="1.0" encoding="utf-8"?>
<comments xmlns="http://schemas.openxmlformats.org/spreadsheetml/2006/main">
  <authors>
    <author>Unknown Author</author>
  </authors>
  <commentList>
    <comment ref="E5" authorId="0" shapeId="0">
      <text>
        <t>GENPACT:
To accommodate reporting people as well</t>
      </text>
    </comment>
  </commentList>
</comments>
</file>

<file path=xl/externalLinks/_rels/externalLink1.xml.rels><Relationships xmlns="http://schemas.openxmlformats.org/package/2006/relationships"><Relationship Type="http://schemas.openxmlformats.org/officeDocument/2006/relationships/externalLinkPath" Target="../../../../../../../../../D:/Corp_Finance/FP&amp;A_2006/Pricing/RFP/Novartis/Unamortized_investment_1019.xls" TargetMode="External" Id="rId1"/></Relationships>
</file>

<file path=xl/externalLinks/_rels/externalLink2.xml.rels><Relationships xmlns="http://schemas.openxmlformats.org/package/2006/relationships"><Relationship Type="http://schemas.openxmlformats.org/officeDocument/2006/relationships/externalLinkPath" Target="../../../../../../../../../D:/Corp_Finance/FP&amp;A_2006/Pricing/RFP/Novartis/Novartis_pricing_1115_phase2.xls" TargetMode="External" Id="rId1"/></Relationships>
</file>

<file path=xl/externalLinks/_rels/externalLink3.xml.rels><Relationships xmlns="http://schemas.openxmlformats.org/package/2006/relationships"><Relationship Type="http://schemas.openxmlformats.org/officeDocument/2006/relationships/externalLinkPath" Target="../../../../../../../../../D:/Corp_Finance/FP&amp;A_2006/Pricing/RFP/Novartis/Attachment%204-A%20Pricing%20Forms%20Update_Option2_w_pilot.xls" TargetMode="External" Id="rId1"/></Relationships>
</file>

<file path=xl/externalLinks/_rels/externalLink4.xml.rels><Relationships xmlns="http://schemas.openxmlformats.org/package/2006/relationships"><Relationship Type="http://schemas.openxmlformats.org/officeDocument/2006/relationships/externalLinkPath" Target="../../../../../../../../../D:/SanjaySikka/Sanjay%20Sikka/Business%20Development/Clients/Novartis/RFP/Solution%20Walkthrough%2010%20Nov%20Basel/Genpact%20Resubmission/Final/China_pricing_1116.xls" TargetMode="External" Id="rId1"/></Relationships>
</file>

<file path=xl/externalLinks/_rels/externalLink5.xml.rels><Relationships xmlns="http://schemas.openxmlformats.org/package/2006/relationships"><Relationship Type="http://schemas.openxmlformats.org/officeDocument/2006/relationships/externalLinkPath" Target="../../../../../../../../../D:/Corp_Finance/FP&amp;A_2006/Pricing/RFP/Novartis/Novartis_pricing_1115_phase2_LATAM.xls"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Service Provider Investments"/>
    </sheetNames>
    <sheetDataSet>
      <sheetData sheetId="0"/>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Input"/>
      <sheetName val="physical separation"/>
      <sheetName val="logical separation"/>
      <sheetName val="Project Costs"/>
      <sheetName val="Pricing Communication"/>
      <sheetName val="Pricing Communication (2)"/>
      <sheetName val="Pricing Communication (3)"/>
      <sheetName val="Pricing Communication (4)"/>
      <sheetName val="Pricing Communication (5)"/>
      <sheetName val="Pricing Communication (6)"/>
      <sheetName val="Cost-Benefit"/>
      <sheetName val="deal analysis"/>
      <sheetName val="cost to EOS"/>
      <sheetName val="Standard cost per FTE"/>
      <sheetName val="OP pivot 2007 Dec"/>
      <sheetName val="Assumptions"/>
      <sheetName val="enabling structure"/>
      <sheetName val="RGFTE C&amp;B grid"/>
      <sheetName val="2006 C&amp;B OP assumptions"/>
      <sheetName val="UtilitiesAssumpt"/>
      <sheetName val="comparison"/>
    </sheetNames>
    <sheetDataSet>
      <sheetData sheetId="0"/>
      <sheetData sheetId="1"/>
      <sheetData sheetId="2"/>
      <sheetData sheetId="3"/>
      <sheetData sheetId="4"/>
      <sheetData sheetId="5"/>
      <sheetData sheetId="6"/>
      <sheetData sheetId="7"/>
      <sheetData sheetId="8"/>
      <sheetData sheetId="9"/>
      <sheetData sheetId="10"/>
      <sheetData sheetId="11">
        <row r="64">
          <cell r="B64">
            <v>51671.4528785534</v>
          </cell>
          <cell r="C64">
            <v>52577.0963281214</v>
          </cell>
          <cell r="D64">
            <v>61539.0023829374</v>
          </cell>
        </row>
      </sheetData>
      <sheetData sheetId="12"/>
      <sheetData sheetId="13"/>
      <sheetData sheetId="14"/>
      <sheetData sheetId="15"/>
      <sheetData sheetId="16"/>
      <sheetData sheetId="17"/>
      <sheetData sheetId="18"/>
      <sheetData sheetId="19"/>
      <sheetData sheetId="20"/>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Cover Page"/>
      <sheetName val="Service Provider Instructions"/>
      <sheetName val="Key Assumptions"/>
      <sheetName val="Summary Charges"/>
      <sheetName val="Consolidated Base Charges"/>
      <sheetName val="Pass-Thro-Charges"/>
      <sheetName val="Transition Charges"/>
      <sheetName val="Transformation Charges"/>
      <sheetName val="Service Provider Investments"/>
      <sheetName val="Termination Charges"/>
      <sheetName val="Unit Rates (ARCs &amp; RRCs)"/>
      <sheetName val="Productivity"/>
      <sheetName val="Centre One-BC"/>
      <sheetName val="Switzerland-BC"/>
      <sheetName val="US-BC"/>
      <sheetName val="France-BC"/>
      <sheetName val="Germany-BC"/>
      <sheetName val="Germany Production-BC"/>
      <sheetName val="Spain-BC"/>
      <sheetName val="Italy-BC"/>
      <sheetName val="UK-BC"/>
      <sheetName val="Centre Two-BC"/>
      <sheetName val="Switzerland-BC-2"/>
      <sheetName val="US-BC-2"/>
      <sheetName val="France-BC-2"/>
      <sheetName val="Germany-BC-2"/>
      <sheetName val="Germany Production-BC-2"/>
      <sheetName val="Spain-BC-2"/>
      <sheetName val="Italy-BC-2"/>
      <sheetName val="UK-BC-2"/>
      <sheetName val="Consolidated FTE "/>
      <sheetName val="Centre One-FTE"/>
      <sheetName val="Switzerland-FTE"/>
      <sheetName val="US-FTE"/>
      <sheetName val="France-FTE"/>
      <sheetName val="Germany-FTE"/>
      <sheetName val="Germany Production-FTE"/>
      <sheetName val="Spain-FTE"/>
      <sheetName val="Italy-FTE"/>
      <sheetName val="UK-FTE"/>
      <sheetName val="Centre Two-FTE"/>
      <sheetName val="Switzerland-FTE-2"/>
      <sheetName val="US-FTE-2"/>
      <sheetName val="France-FTE-2"/>
      <sheetName val="Germany-FTE-2"/>
      <sheetName val="Germany Production-FTE-2"/>
      <sheetName val="Spain-FTE-2"/>
      <sheetName val="Italy-FTE-2"/>
      <sheetName val="UK-FTE-2"/>
    </sheetNames>
    <sheetDataSet>
      <sheetData sheetId="0"/>
      <sheetData sheetId="1"/>
      <sheetData sheetId="2"/>
      <sheetData sheetId="3"/>
      <sheetData sheetId="4"/>
      <sheetData sheetId="5"/>
      <sheetData sheetId="6"/>
      <sheetData sheetId="7"/>
      <sheetData sheetId="8"/>
      <sheetData sheetId="9"/>
      <sheetData sheetId="10">
        <row r="5">
          <cell r="D5">
            <v>57254.2467104305</v>
          </cell>
        </row>
        <row r="9">
          <cell r="D9">
            <v>56551.876793795</v>
          </cell>
        </row>
        <row r="13">
          <cell r="D13">
            <v>49533.968414027</v>
          </cell>
        </row>
        <row r="21">
          <cell r="D21">
            <v>50181.4246067246</v>
          </cell>
        </row>
      </sheetData>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Set>
  </externalBook>
</externalLink>
</file>

<file path=xl/externalLinks/externalLink4.xml><?xml version="1.0" encoding="utf-8"?>
<externalLink xmlns="http://schemas.openxmlformats.org/spreadsheetml/2006/main">
  <externalBook xmlns:r="http://schemas.openxmlformats.org/officeDocument/2006/relationships" r:id="rId1">
    <sheetNames>
      <sheetName val="Quotation"/>
    </sheetNames>
    <sheetDataSet>
      <sheetData sheetId="0">
        <row r="34">
          <cell r="C34">
            <v>30540.186439288</v>
          </cell>
          <cell r="D34">
            <v>23820.1437999925</v>
          </cell>
          <cell r="E34">
            <v>33351.001325606</v>
          </cell>
          <cell r="F34">
            <v>29156.8010682727</v>
          </cell>
        </row>
        <row r="34">
          <cell r="O34">
            <v>30540.186439288</v>
          </cell>
          <cell r="P34">
            <v>23820.1437999925</v>
          </cell>
          <cell r="Q34">
            <v>33351.001325606</v>
          </cell>
          <cell r="R34">
            <v>29156.8010682727</v>
          </cell>
          <cell r="S34">
            <v>34493.1384421417</v>
          </cell>
          <cell r="T34">
            <v>26670.8817255157</v>
          </cell>
          <cell r="U34">
            <v>35626.154669185</v>
          </cell>
          <cell r="V34">
            <v>33194.3364217742</v>
          </cell>
          <cell r="W34">
            <v>34493.1384421417</v>
          </cell>
          <cell r="X34">
            <v>26670.8817255157</v>
          </cell>
          <cell r="Y34">
            <v>35626.154669185</v>
          </cell>
          <cell r="Z34">
            <v>33194.3364217742</v>
          </cell>
        </row>
      </sheetData>
    </sheetDataSet>
  </externalBook>
</externalLink>
</file>

<file path=xl/externalLinks/externalLink5.xml><?xml version="1.0" encoding="utf-8"?>
<externalLink xmlns="http://schemas.openxmlformats.org/spreadsheetml/2006/main">
  <externalBook xmlns:r="http://schemas.openxmlformats.org/officeDocument/2006/relationships" r:id="rId1">
    <sheetNames>
      <sheetName val="Input"/>
      <sheetName val="physical separation"/>
      <sheetName val="logical separation"/>
      <sheetName val="Project Costs"/>
      <sheetName val="Pricing Communication"/>
      <sheetName val="Pricing Communication (2)"/>
      <sheetName val="Pricing Communication (3)"/>
      <sheetName val="Pricing Communication (4)"/>
      <sheetName val="Pricing Communication (5)"/>
      <sheetName val="Pricing Communication (6)"/>
      <sheetName val="Cost-Benefit"/>
      <sheetName val="deal analysis"/>
      <sheetName val="cost to EOS"/>
      <sheetName val="Standard cost per FTE"/>
      <sheetName val="OP pivot 2007 Dec"/>
      <sheetName val="Assumptions"/>
      <sheetName val="enabling structure"/>
      <sheetName val="RGFTE C&amp;B grid"/>
      <sheetName val="2006 C&amp;B OP assumptions"/>
      <sheetName val="UtilitiesAssumpt"/>
      <sheetName val="comparison"/>
    </sheetNames>
    <sheetDataSet>
      <sheetData sheetId="0"/>
      <sheetData sheetId="1"/>
      <sheetData sheetId="2"/>
      <sheetData sheetId="3"/>
      <sheetData sheetId="4"/>
      <sheetData sheetId="5"/>
      <sheetData sheetId="6"/>
      <sheetData sheetId="7"/>
      <sheetData sheetId="8"/>
      <sheetData sheetId="9"/>
      <sheetData sheetId="10"/>
      <sheetData sheetId="11">
        <row r="64">
          <cell r="B64">
            <v>48527.7332696075</v>
          </cell>
          <cell r="C64">
            <v>49258.4228709635</v>
          </cell>
          <cell r="D64">
            <v>56447.8253688125</v>
          </cell>
        </row>
      </sheetData>
      <sheetData sheetId="12"/>
      <sheetData sheetId="13"/>
      <sheetData sheetId="14"/>
      <sheetData sheetId="15"/>
      <sheetData sheetId="16"/>
      <sheetData sheetId="17"/>
      <sheetData sheetId="18"/>
      <sheetData sheetId="19"/>
      <sheetData sheetId="20"/>
    </sheetDataSet>
  </externalBook>
</externalLink>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filterMode="0">
    <outlinePr summaryBelow="1" summaryRight="1"/>
    <pageSetUpPr fitToPage="0"/>
  </sheetPr>
  <dimension ref="A1:B17"/>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9.13671875" defaultRowHeight="12.75" customHeight="1" zeroHeight="0" outlineLevelRow="0"/>
  <cols>
    <col width="9.140000000000001" customWidth="1" style="17" min="1" max="1"/>
    <col width="121.85" customWidth="1" style="17" min="2" max="2"/>
    <col width="9.140000000000001" customWidth="1" style="17" min="3" max="257"/>
  </cols>
  <sheetData>
    <row r="1" ht="72" customHeight="1" s="18"/>
    <row r="2" ht="21.75" customHeight="1" s="18">
      <c r="B2" s="19" t="inlineStr">
        <is>
          <t>GlobalPharma AG</t>
        </is>
      </c>
    </row>
    <row r="3" ht="20.25" customHeight="1" s="18">
      <c r="B3" s="19" t="n"/>
    </row>
    <row r="4" ht="45" customHeight="1" s="18">
      <c r="B4" s="19" t="n"/>
    </row>
    <row r="5" ht="20.25" customHeight="1" s="18">
      <c r="B5" s="20" t="inlineStr">
        <is>
          <t>ATTACHMENT 4-A(2)</t>
        </is>
      </c>
    </row>
    <row r="6" ht="20.25" customHeight="1" s="18">
      <c r="B6" s="19" t="inlineStr">
        <is>
          <t>Pricing Forms - Phase 2</t>
        </is>
      </c>
    </row>
    <row r="7" ht="20.25" customHeight="1" s="18">
      <c r="B7" s="20" t="n"/>
    </row>
    <row r="8" ht="20.25" customHeight="1" s="18">
      <c r="B8" s="20" t="inlineStr">
        <is>
          <t>Attachment to Exhibit 4 (Pricing and Financial Provisions)</t>
        </is>
      </c>
    </row>
    <row r="9" ht="20.25" customHeight="1" s="18">
      <c r="B9" s="19" t="n"/>
    </row>
    <row r="10" ht="20.25" customHeight="1" s="18">
      <c r="B10" s="21" t="n"/>
    </row>
    <row r="11" ht="46.5" customHeight="1" s="18">
      <c r="B11" s="19" t="n"/>
    </row>
    <row r="12" ht="0.75" customHeight="1" s="18">
      <c r="B12" s="19" t="n"/>
    </row>
    <row r="13" hidden="1" ht="20.25" customHeight="1" s="18">
      <c r="B13" s="19" t="n"/>
    </row>
    <row r="14" ht="15" customHeight="1" s="18">
      <c r="B14" s="22" t="n"/>
    </row>
    <row r="15" ht="56.25" customHeight="1" s="18">
      <c r="B15" s="23" t="inlineStr">
        <is>
          <t>This document contains confidential and proprietary information of GlobalPharma AG. It is furnished for the performance of The Agreements only. Except with the express prior written permission of GlobalPharma AG, this document and the information contained herein may not be published, disclosed, or used for any other purpose.</t>
        </is>
      </c>
    </row>
    <row r="16" ht="27.75" customHeight="1" s="18">
      <c r="B16" s="24" t="n"/>
    </row>
    <row r="17" ht="15" customHeight="1" s="18">
      <c r="B17" s="25" t="n"/>
    </row>
  </sheetData>
  <printOptions horizontalCentered="0" verticalCentered="0" headings="0" gridLines="0" gridLinesSet="1"/>
  <pageMargins left="0.747916666666667" right="0.747916666666667" top="0.9840277777777779" bottom="0.9840277777777779"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1"/>
  </sheetPr>
  <dimension ref="A1:I47"/>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9.13671875" defaultRowHeight="12.75" customHeight="1" zeroHeight="0" outlineLevelRow="0"/>
  <cols>
    <col width="13.85" customWidth="1" style="26" min="1" max="1"/>
    <col width="5.99" customWidth="1" style="26" min="2" max="2"/>
    <col width="14.85" customWidth="1" style="26" min="3" max="4"/>
    <col width="10.99" customWidth="1" style="26" min="5" max="7"/>
  </cols>
  <sheetData>
    <row r="1" ht="12.75" customHeight="1" s="18">
      <c r="C1" s="27" t="inlineStr">
        <is>
          <t>Indicative Price/Associate/annum (USD) for CPO FRA only (excludes Procurement)</t>
        </is>
      </c>
    </row>
    <row r="2" ht="38.25" customHeight="1" s="18">
      <c r="A2" s="28" t="inlineStr">
        <is>
          <t>Country</t>
        </is>
      </c>
      <c r="B2" s="28" t="inlineStr">
        <is>
          <t># FTE</t>
        </is>
      </c>
      <c r="C2" s="28" t="inlineStr">
        <is>
          <t>Language</t>
        </is>
      </c>
      <c r="D2" s="28" t="inlineStr">
        <is>
          <t>Delivery Centre</t>
        </is>
      </c>
      <c r="E2" s="29" t="inlineStr">
        <is>
          <t>General Accounting &amp; Sox</t>
        </is>
      </c>
      <c r="F2" s="29" t="inlineStr">
        <is>
          <t>Fixed Assets</t>
        </is>
      </c>
      <c r="G2" s="29" t="inlineStr">
        <is>
          <t>Accounts Payable</t>
        </is>
      </c>
      <c r="H2" s="29" t="inlineStr">
        <is>
          <t>T&amp;E</t>
        </is>
      </c>
      <c r="I2" s="29" t="inlineStr">
        <is>
          <t>Order to Cash</t>
        </is>
      </c>
    </row>
    <row r="3" ht="12.75" customHeight="1" s="18">
      <c r="A3" s="26" t="inlineStr">
        <is>
          <t>Austria</t>
        </is>
      </c>
      <c r="B3" s="26" t="n">
        <v>1</v>
      </c>
      <c r="C3" s="26" t="inlineStr">
        <is>
          <t>German</t>
        </is>
      </c>
      <c r="D3" s="26" t="inlineStr">
        <is>
          <t>Romania</t>
        </is>
      </c>
      <c r="E3" s="30" t="inlineStr">
        <is>
          <t>See ARC/RRC</t>
        </is>
      </c>
    </row>
    <row r="4" ht="12.75" customHeight="1" s="18">
      <c r="A4" s="26" t="inlineStr">
        <is>
          <t>Belgium</t>
        </is>
      </c>
      <c r="B4" s="26" t="n">
        <v>4</v>
      </c>
      <c r="C4" s="26" t="inlineStr">
        <is>
          <t>French</t>
        </is>
      </c>
      <c r="D4" s="26" t="inlineStr">
        <is>
          <t>Romania</t>
        </is>
      </c>
      <c r="E4" s="30" t="inlineStr">
        <is>
          <t>See ARC/RRC</t>
        </is>
      </c>
    </row>
    <row r="5" ht="12.75" customHeight="1" s="18">
      <c r="A5" s="26" t="inlineStr">
        <is>
          <t>Netherlands</t>
        </is>
      </c>
      <c r="B5" s="26" t="n">
        <v>3</v>
      </c>
      <c r="C5" s="26" t="inlineStr">
        <is>
          <t>Dutch</t>
        </is>
      </c>
      <c r="D5" s="26" t="inlineStr">
        <is>
          <t>Romania</t>
        </is>
      </c>
      <c r="E5" s="31">
        <f>'[2]deal analysis'!D$64*1.02</f>
        <v/>
      </c>
      <c r="F5" s="31">
        <f>'[2]deal analysis'!D$64</f>
        <v/>
      </c>
      <c r="G5" s="31">
        <f>'[2]deal analysis'!B$64</f>
        <v/>
      </c>
      <c r="H5" s="31">
        <f>'[2]deal analysis'!B$64</f>
        <v/>
      </c>
      <c r="I5" s="31">
        <f>'[2]deal analysis'!C$64</f>
        <v/>
      </c>
    </row>
    <row r="6" ht="12.75" customHeight="1" s="18">
      <c r="A6" s="26" t="inlineStr">
        <is>
          <t>Finland</t>
        </is>
      </c>
      <c r="B6" s="26" t="n">
        <v>2</v>
      </c>
      <c r="C6" s="26" t="inlineStr">
        <is>
          <t>Finnish</t>
        </is>
      </c>
      <c r="D6" s="26" t="inlineStr">
        <is>
          <t>Romania</t>
        </is>
      </c>
      <c r="E6" s="31">
        <f>'[2]deal analysis'!D$64*1.02</f>
        <v/>
      </c>
      <c r="F6" s="31">
        <f>'[2]deal analysis'!D$64</f>
        <v/>
      </c>
      <c r="G6" s="31">
        <f>'[2]deal analysis'!B$64</f>
        <v/>
      </c>
      <c r="H6" s="31">
        <f>'[2]deal analysis'!B$64</f>
        <v/>
      </c>
      <c r="I6" s="31">
        <f>'[2]deal analysis'!C$64</f>
        <v/>
      </c>
    </row>
    <row r="7" ht="12.75" customHeight="1" s="18">
      <c r="A7" s="26" t="inlineStr">
        <is>
          <t>Greece</t>
        </is>
      </c>
      <c r="B7" s="26" t="n">
        <v>8</v>
      </c>
      <c r="C7" s="26" t="inlineStr">
        <is>
          <t>Greek</t>
        </is>
      </c>
      <c r="D7" s="26" t="inlineStr">
        <is>
          <t>Romania</t>
        </is>
      </c>
      <c r="E7" s="31">
        <f>'[2]deal analysis'!D$64*1.02</f>
        <v/>
      </c>
      <c r="F7" s="31">
        <f>'[2]deal analysis'!D$64</f>
        <v/>
      </c>
      <c r="G7" s="31">
        <f>'[2]deal analysis'!B$64</f>
        <v/>
      </c>
      <c r="H7" s="31">
        <f>'[2]deal analysis'!B$64</f>
        <v/>
      </c>
      <c r="I7" s="31">
        <f>'[2]deal analysis'!C$64</f>
        <v/>
      </c>
    </row>
    <row r="8" ht="12.75" customHeight="1" s="18">
      <c r="A8" s="26" t="inlineStr">
        <is>
          <t>Ireland</t>
        </is>
      </c>
      <c r="B8" s="26" t="n">
        <v>4</v>
      </c>
      <c r="C8" s="26" t="inlineStr">
        <is>
          <t>English</t>
        </is>
      </c>
      <c r="D8" s="26" t="inlineStr">
        <is>
          <t>India</t>
        </is>
      </c>
      <c r="E8" s="30" t="inlineStr">
        <is>
          <t>See ARC/RRC</t>
        </is>
      </c>
    </row>
    <row r="9" ht="12.75" customHeight="1" s="18">
      <c r="A9" s="26" t="inlineStr">
        <is>
          <t>Norway</t>
        </is>
      </c>
      <c r="B9" s="26" t="n">
        <v>2</v>
      </c>
      <c r="C9" s="26" t="inlineStr">
        <is>
          <t>Norwegian</t>
        </is>
      </c>
      <c r="D9" s="26" t="inlineStr">
        <is>
          <t>Romania</t>
        </is>
      </c>
      <c r="E9" s="31">
        <f>'[2]deal analysis'!D$64*1.02</f>
        <v/>
      </c>
      <c r="F9" s="31">
        <f>'[2]deal analysis'!D$64</f>
        <v/>
      </c>
      <c r="G9" s="31">
        <f>'[2]deal analysis'!B$64</f>
        <v/>
      </c>
      <c r="H9" s="31">
        <f>'[2]deal analysis'!B$64</f>
        <v/>
      </c>
      <c r="I9" s="31">
        <f>'[2]deal analysis'!C$64</f>
        <v/>
      </c>
    </row>
    <row r="10" ht="12.75" customHeight="1" s="18">
      <c r="A10" s="26" t="inlineStr">
        <is>
          <t>Portugal</t>
        </is>
      </c>
      <c r="B10" s="26" t="n">
        <v>9</v>
      </c>
      <c r="C10" s="26" t="inlineStr">
        <is>
          <t>Portuguese</t>
        </is>
      </c>
      <c r="D10" s="26" t="inlineStr">
        <is>
          <t>Romania</t>
        </is>
      </c>
      <c r="E10" s="31">
        <f>'[2]deal analysis'!D$64*1.02</f>
        <v/>
      </c>
      <c r="F10" s="31">
        <f>'[2]deal analysis'!D$64</f>
        <v/>
      </c>
      <c r="G10" s="31">
        <f>'[2]deal analysis'!B$64</f>
        <v/>
      </c>
      <c r="H10" s="31">
        <f>'[2]deal analysis'!B$64</f>
        <v/>
      </c>
      <c r="I10" s="31">
        <f>'[2]deal analysis'!C$64</f>
        <v/>
      </c>
    </row>
    <row r="11" ht="12.75" customHeight="1" s="18">
      <c r="A11" s="26" t="inlineStr">
        <is>
          <t>Sweden</t>
        </is>
      </c>
      <c r="B11" s="26" t="n">
        <v>1</v>
      </c>
      <c r="C11" s="26" t="inlineStr">
        <is>
          <t>Swedish</t>
        </is>
      </c>
      <c r="D11" s="26" t="inlineStr">
        <is>
          <t>Romania</t>
        </is>
      </c>
      <c r="E11" s="31">
        <f>'[2]deal analysis'!D$64*1.02</f>
        <v/>
      </c>
      <c r="F11" s="31">
        <f>'[2]deal analysis'!D$64</f>
        <v/>
      </c>
      <c r="G11" s="31">
        <f>'[2]deal analysis'!B$64</f>
        <v/>
      </c>
      <c r="H11" s="31">
        <f>'[2]deal analysis'!B$64</f>
        <v/>
      </c>
      <c r="I11" s="31">
        <f>'[2]deal analysis'!C$64</f>
        <v/>
      </c>
    </row>
    <row r="12" ht="12.75" customHeight="1" s="18">
      <c r="A12" s="26" t="inlineStr">
        <is>
          <t>Denmark</t>
        </is>
      </c>
      <c r="B12" s="26" t="n">
        <v>1</v>
      </c>
      <c r="C12" s="26" t="inlineStr">
        <is>
          <t>Danish</t>
        </is>
      </c>
      <c r="D12" s="26" t="inlineStr">
        <is>
          <t>Romania</t>
        </is>
      </c>
      <c r="E12" s="31">
        <f>'[2]deal analysis'!D$64*1.02</f>
        <v/>
      </c>
      <c r="F12" s="31">
        <f>'[2]deal analysis'!D$64</f>
        <v/>
      </c>
      <c r="G12" s="31">
        <f>'[2]deal analysis'!B$64</f>
        <v/>
      </c>
      <c r="H12" s="31">
        <f>'[2]deal analysis'!B$64</f>
        <v/>
      </c>
      <c r="I12" s="31">
        <f>'[2]deal analysis'!C$64</f>
        <v/>
      </c>
    </row>
    <row r="13" ht="12.75" customHeight="1" s="18">
      <c r="A13" s="26" t="inlineStr">
        <is>
          <t>Turkey</t>
        </is>
      </c>
      <c r="B13" s="26" t="n">
        <v>6</v>
      </c>
      <c r="C13" s="26" t="inlineStr">
        <is>
          <t>Turkish</t>
        </is>
      </c>
      <c r="D13" s="26" t="inlineStr">
        <is>
          <t>Romania</t>
        </is>
      </c>
      <c r="E13" s="31">
        <f>'[2]deal analysis'!D$64*1.02</f>
        <v/>
      </c>
      <c r="F13" s="31">
        <f>'[2]deal analysis'!D$64</f>
        <v/>
      </c>
      <c r="G13" s="31">
        <f>'[2]deal analysis'!B$64</f>
        <v/>
      </c>
      <c r="H13" s="31">
        <f>'[2]deal analysis'!B$64</f>
        <v/>
      </c>
      <c r="I13" s="31">
        <f>'[2]deal analysis'!C$64</f>
        <v/>
      </c>
    </row>
    <row r="14" ht="12.75" customHeight="1" s="18">
      <c r="A14" s="26" t="inlineStr">
        <is>
          <t>Switzerland</t>
        </is>
      </c>
      <c r="B14" s="26" t="n">
        <v>2</v>
      </c>
      <c r="C14" s="26" t="inlineStr">
        <is>
          <t>German</t>
        </is>
      </c>
      <c r="D14" s="26" t="inlineStr">
        <is>
          <t>Romania</t>
        </is>
      </c>
      <c r="E14" s="30" t="inlineStr">
        <is>
          <t>See ARC/RRC</t>
        </is>
      </c>
    </row>
    <row r="15" ht="12.75" customHeight="1" s="18">
      <c r="A15" s="26" t="inlineStr">
        <is>
          <t>PH Services</t>
        </is>
      </c>
      <c r="B15" s="26" t="n">
        <v>11</v>
      </c>
      <c r="C15" s="26" t="inlineStr">
        <is>
          <t>German</t>
        </is>
      </c>
      <c r="D15" s="26" t="inlineStr">
        <is>
          <t>Romania</t>
        </is>
      </c>
      <c r="E15" s="30" t="inlineStr">
        <is>
          <t>See ARC/RRC</t>
        </is>
      </c>
    </row>
    <row r="16" ht="12.75" customHeight="1" s="18">
      <c r="A16" s="26" t="inlineStr">
        <is>
          <t>Czech/Slovenia</t>
        </is>
      </c>
      <c r="B16" s="26" t="n">
        <v>4</v>
      </c>
      <c r="C16" s="26" t="inlineStr">
        <is>
          <t>Czech/Slovenian</t>
        </is>
      </c>
      <c r="D16" s="26" t="inlineStr">
        <is>
          <t>Romania</t>
        </is>
      </c>
      <c r="E16" s="31">
        <f>'[2]deal analysis'!D$64*1.02</f>
        <v/>
      </c>
      <c r="F16" s="31">
        <f>'[2]deal analysis'!D$64</f>
        <v/>
      </c>
      <c r="G16" s="31">
        <f>'[2]deal analysis'!B$64</f>
        <v/>
      </c>
      <c r="H16" s="31">
        <f>'[2]deal analysis'!B$64</f>
        <v/>
      </c>
      <c r="I16" s="31">
        <f>'[2]deal analysis'!C$64</f>
        <v/>
      </c>
    </row>
    <row r="17" ht="12.75" customHeight="1" s="18">
      <c r="A17" s="26" t="inlineStr">
        <is>
          <t>Hungary</t>
        </is>
      </c>
      <c r="B17" s="26" t="n">
        <v>4</v>
      </c>
      <c r="C17" s="26" t="inlineStr">
        <is>
          <t>Hungarian</t>
        </is>
      </c>
      <c r="D17" s="26" t="inlineStr">
        <is>
          <t>Romania</t>
        </is>
      </c>
      <c r="E17" s="31">
        <f>'[2]deal analysis'!D$64*1.02</f>
        <v/>
      </c>
      <c r="F17" s="31">
        <f>'[2]deal analysis'!D$64</f>
        <v/>
      </c>
      <c r="G17" s="31">
        <f>'[2]deal analysis'!B$64</f>
        <v/>
      </c>
      <c r="H17" s="31">
        <f>'[2]deal analysis'!B$64</f>
        <v/>
      </c>
      <c r="I17" s="31">
        <f>'[2]deal analysis'!C$64</f>
        <v/>
      </c>
    </row>
    <row r="18" ht="12.75" customHeight="1" s="18">
      <c r="A18" s="26" t="inlineStr">
        <is>
          <t>Poland</t>
        </is>
      </c>
      <c r="B18" s="26" t="n">
        <v>11</v>
      </c>
      <c r="C18" s="26" t="inlineStr">
        <is>
          <t>Polish</t>
        </is>
      </c>
      <c r="D18" s="26" t="inlineStr">
        <is>
          <t>Poland</t>
        </is>
      </c>
      <c r="E18" s="31">
        <f>'[3]Unit Rates (ARCs &amp; RRCs)'!$D$5*1.1</f>
        <v/>
      </c>
      <c r="F18" s="31">
        <f>'[3]Unit Rates (ARCs &amp; RRCs)'!$D$9*1.1</f>
        <v/>
      </c>
      <c r="G18" s="31">
        <f>'[3]Unit Rates (ARCs &amp; RRCs)'!$D$13*1.1</f>
        <v/>
      </c>
      <c r="H18" s="31">
        <f>'[3]Unit Rates (ARCs &amp; RRCs)'!$D$13*1.1</f>
        <v/>
      </c>
      <c r="I18" s="31">
        <f>'[3]Unit Rates (ARCs &amp; RRCs)'!$D$21*1.1</f>
        <v/>
      </c>
    </row>
    <row r="19" ht="12.75" customHeight="1" s="18">
      <c r="A19" s="26" t="inlineStr">
        <is>
          <t>Russia</t>
        </is>
      </c>
      <c r="B19" s="26" t="n">
        <v>8</v>
      </c>
      <c r="C19" s="26" t="inlineStr">
        <is>
          <t>Russian</t>
        </is>
      </c>
      <c r="D19" s="26" t="inlineStr">
        <is>
          <t>Romania</t>
        </is>
      </c>
      <c r="E19" s="31">
        <f>'[2]deal analysis'!D$64*1.02</f>
        <v/>
      </c>
      <c r="F19" s="31">
        <f>'[2]deal analysis'!D$64</f>
        <v/>
      </c>
      <c r="G19" s="31">
        <f>'[2]deal analysis'!B$64</f>
        <v/>
      </c>
      <c r="H19" s="31">
        <f>'[2]deal analysis'!B$64</f>
        <v/>
      </c>
      <c r="I19" s="31">
        <f>'[2]deal analysis'!C$64</f>
        <v/>
      </c>
    </row>
    <row r="20" ht="12.75" customHeight="1" s="18">
      <c r="A20" s="26" t="inlineStr">
        <is>
          <t>Egypt</t>
        </is>
      </c>
      <c r="B20" s="26" t="n">
        <v>17</v>
      </c>
      <c r="C20" s="26" t="inlineStr">
        <is>
          <t>Arabic</t>
        </is>
      </c>
      <c r="D20" s="26" t="inlineStr">
        <is>
          <t>Romania</t>
        </is>
      </c>
      <c r="E20" s="31">
        <f>'[2]deal analysis'!D$64*1.02</f>
        <v/>
      </c>
      <c r="F20" s="31">
        <f>'[2]deal analysis'!D$64</f>
        <v/>
      </c>
      <c r="G20" s="31">
        <f>'[2]deal analysis'!B$64</f>
        <v/>
      </c>
      <c r="H20" s="31">
        <f>'[2]deal analysis'!B$64</f>
        <v/>
      </c>
      <c r="I20" s="31">
        <f>'[2]deal analysis'!C$64</f>
        <v/>
      </c>
    </row>
    <row r="21" ht="12.75" customHeight="1" s="18">
      <c r="A21" s="26" t="inlineStr">
        <is>
          <t>Argentina</t>
        </is>
      </c>
      <c r="B21" s="26" t="n">
        <v>11</v>
      </c>
      <c r="C21" s="26" t="inlineStr">
        <is>
          <t>Spanish</t>
        </is>
      </c>
      <c r="D21" s="26" t="inlineStr">
        <is>
          <t>Latin America</t>
        </is>
      </c>
      <c r="E21" s="31" t="n">
        <v>46960</v>
      </c>
      <c r="F21" s="31" t="n">
        <v>45040</v>
      </c>
      <c r="G21" s="31" t="n">
        <v>35254</v>
      </c>
      <c r="H21" s="31" t="n">
        <v>35254</v>
      </c>
      <c r="I21" s="31" t="n">
        <v>40210</v>
      </c>
    </row>
    <row r="22" ht="12.75" customHeight="1" s="18">
      <c r="A22" s="26" t="inlineStr">
        <is>
          <t>Brazil</t>
        </is>
      </c>
      <c r="B22" s="26" t="n">
        <v>35</v>
      </c>
      <c r="C22" s="26" t="inlineStr">
        <is>
          <t>Portuguese</t>
        </is>
      </c>
      <c r="D22" s="26" t="inlineStr">
        <is>
          <t>Latin America</t>
        </is>
      </c>
      <c r="E22" s="31">
        <f>E21*1.05</f>
        <v/>
      </c>
      <c r="F22" s="31">
        <f>F21*1.05</f>
        <v/>
      </c>
      <c r="G22" s="31">
        <f>G21*1.06</f>
        <v/>
      </c>
      <c r="H22" s="31">
        <f>H21*1.06</f>
        <v/>
      </c>
      <c r="I22" s="31">
        <f>I21*1.05</f>
        <v/>
      </c>
    </row>
    <row r="23" ht="12.75" customHeight="1" s="18">
      <c r="A23" s="26" t="inlineStr">
        <is>
          <t>Mexico</t>
        </is>
      </c>
      <c r="B23" s="26" t="n">
        <v>25</v>
      </c>
      <c r="C23" s="26" t="inlineStr">
        <is>
          <t>Spanish</t>
        </is>
      </c>
      <c r="D23" s="26" t="inlineStr">
        <is>
          <t>Latin America</t>
        </is>
      </c>
      <c r="E23" s="31" t="n">
        <v>46960</v>
      </c>
      <c r="F23" s="31" t="n">
        <v>45040</v>
      </c>
      <c r="G23" s="31" t="n">
        <v>35254</v>
      </c>
      <c r="H23" s="31" t="n">
        <v>35254</v>
      </c>
      <c r="I23" s="31" t="n">
        <v>40210</v>
      </c>
    </row>
    <row r="24" ht="12.75" customHeight="1" s="18">
      <c r="A24" s="26" t="inlineStr">
        <is>
          <t>CAC</t>
        </is>
      </c>
      <c r="B24" s="26" t="n">
        <v>6</v>
      </c>
      <c r="C24" s="26" t="inlineStr">
        <is>
          <t>Spanish</t>
        </is>
      </c>
      <c r="D24" s="26" t="inlineStr">
        <is>
          <t>Latin America</t>
        </is>
      </c>
      <c r="E24" s="31" t="n">
        <v>46960</v>
      </c>
      <c r="F24" s="31" t="n">
        <v>45040</v>
      </c>
      <c r="G24" s="31" t="n">
        <v>35254</v>
      </c>
      <c r="H24" s="31" t="n">
        <v>35254</v>
      </c>
      <c r="I24" s="31" t="n">
        <v>40210</v>
      </c>
    </row>
    <row r="25" ht="12.75" customHeight="1" s="18">
      <c r="A25" s="26" t="inlineStr">
        <is>
          <t>Chile</t>
        </is>
      </c>
      <c r="B25" s="26" t="n">
        <v>7</v>
      </c>
      <c r="C25" s="26" t="inlineStr">
        <is>
          <t>Spanish</t>
        </is>
      </c>
      <c r="D25" s="26" t="inlineStr">
        <is>
          <t>Latin America</t>
        </is>
      </c>
      <c r="E25" s="31" t="n">
        <v>46960</v>
      </c>
      <c r="F25" s="31" t="n">
        <v>45040</v>
      </c>
      <c r="G25" s="31" t="n">
        <v>35254</v>
      </c>
      <c r="H25" s="31" t="n">
        <v>35254</v>
      </c>
      <c r="I25" s="31" t="n">
        <v>40210</v>
      </c>
    </row>
    <row r="26" ht="12.75" customHeight="1" s="18">
      <c r="A26" s="26" t="inlineStr">
        <is>
          <t>Colombia</t>
        </is>
      </c>
      <c r="B26" s="26" t="n">
        <v>8</v>
      </c>
      <c r="C26" s="26" t="inlineStr">
        <is>
          <t>Spanish</t>
        </is>
      </c>
      <c r="D26" s="26" t="inlineStr">
        <is>
          <t>Latin America</t>
        </is>
      </c>
      <c r="E26" s="31" t="n">
        <v>46960</v>
      </c>
      <c r="F26" s="31" t="n">
        <v>45040</v>
      </c>
      <c r="G26" s="31" t="n">
        <v>35254</v>
      </c>
      <c r="H26" s="31" t="n">
        <v>35254</v>
      </c>
      <c r="I26" s="31" t="n">
        <v>40210</v>
      </c>
    </row>
    <row r="27" ht="12.75" customHeight="1" s="18">
      <c r="A27" s="26" t="inlineStr">
        <is>
          <t>Ecuador</t>
        </is>
      </c>
      <c r="B27" s="26" t="n">
        <v>3</v>
      </c>
      <c r="C27" s="26" t="inlineStr">
        <is>
          <t>Spanish</t>
        </is>
      </c>
      <c r="D27" s="26" t="inlineStr">
        <is>
          <t>Latin America</t>
        </is>
      </c>
      <c r="E27" s="31" t="n">
        <v>46960</v>
      </c>
      <c r="F27" s="31" t="n">
        <v>45040</v>
      </c>
      <c r="G27" s="31" t="n">
        <v>35254</v>
      </c>
      <c r="H27" s="31" t="n">
        <v>35254</v>
      </c>
      <c r="I27" s="31" t="n">
        <v>40210</v>
      </c>
    </row>
    <row r="28" ht="12.75" customHeight="1" s="18">
      <c r="A28" s="26" t="inlineStr">
        <is>
          <t>Peru</t>
        </is>
      </c>
      <c r="B28" s="26" t="n">
        <v>3</v>
      </c>
      <c r="C28" s="26" t="inlineStr">
        <is>
          <t>Spanish</t>
        </is>
      </c>
      <c r="D28" s="26" t="inlineStr">
        <is>
          <t>Latin America</t>
        </is>
      </c>
      <c r="E28" s="31" t="n">
        <v>46960</v>
      </c>
      <c r="F28" s="31" t="n">
        <v>45040</v>
      </c>
      <c r="G28" s="31" t="n">
        <v>35254</v>
      </c>
      <c r="H28" s="31" t="n">
        <v>35254</v>
      </c>
      <c r="I28" s="31" t="n">
        <v>40210</v>
      </c>
    </row>
    <row r="29" ht="12.75" customHeight="1" s="18">
      <c r="A29" s="26" t="inlineStr">
        <is>
          <t>Venezuela</t>
        </is>
      </c>
      <c r="B29" s="26" t="n">
        <v>9</v>
      </c>
      <c r="C29" s="26" t="inlineStr">
        <is>
          <t>Spanish</t>
        </is>
      </c>
      <c r="D29" s="26" t="inlineStr">
        <is>
          <t>Latin America</t>
        </is>
      </c>
      <c r="E29" s="31" t="n">
        <v>46960</v>
      </c>
      <c r="F29" s="31" t="n">
        <v>45040</v>
      </c>
      <c r="G29" s="31" t="n">
        <v>35254</v>
      </c>
      <c r="H29" s="31" t="n">
        <v>35254</v>
      </c>
      <c r="I29" s="31" t="n">
        <v>40210</v>
      </c>
    </row>
    <row r="30" ht="12.75" customHeight="1" s="18">
      <c r="A30" s="26" t="inlineStr">
        <is>
          <t>Australia</t>
        </is>
      </c>
      <c r="B30" s="26" t="n">
        <v>4</v>
      </c>
      <c r="C30" s="26" t="inlineStr">
        <is>
          <t>English</t>
        </is>
      </c>
      <c r="D30" s="26" t="inlineStr">
        <is>
          <t>India</t>
        </is>
      </c>
      <c r="E30" s="30" t="inlineStr">
        <is>
          <t>See ARC/RRC</t>
        </is>
      </c>
    </row>
    <row r="31" ht="12.75" customHeight="1" s="18">
      <c r="A31" s="26" t="inlineStr">
        <is>
          <t>New Zealand</t>
        </is>
      </c>
      <c r="B31" s="26" t="n">
        <v>1</v>
      </c>
      <c r="C31" s="26" t="inlineStr">
        <is>
          <t>English</t>
        </is>
      </c>
      <c r="D31" s="26" t="inlineStr">
        <is>
          <t>India</t>
        </is>
      </c>
      <c r="E31" s="30" t="inlineStr">
        <is>
          <t>See ARC/RRC</t>
        </is>
      </c>
    </row>
    <row r="32" ht="12.75" customHeight="1" s="18">
      <c r="A32" s="32" t="inlineStr">
        <is>
          <t>China</t>
        </is>
      </c>
      <c r="B32" s="32" t="n">
        <v>13</v>
      </c>
      <c r="C32" s="32" t="inlineStr">
        <is>
          <t>Chinese</t>
        </is>
      </c>
      <c r="D32" s="32" t="inlineStr">
        <is>
          <t>China</t>
        </is>
      </c>
      <c r="E32" s="31">
        <f>[4]Quotation!$X$34+3000</f>
        <v/>
      </c>
      <c r="F32" s="31">
        <f>[4]Quotation!$T$34+3000</f>
        <v/>
      </c>
      <c r="G32" s="31">
        <f>[4]Quotation!$D$34+3000</f>
        <v/>
      </c>
      <c r="H32" s="31">
        <f>[4]Quotation!$D$34+3000</f>
        <v/>
      </c>
      <c r="I32" s="31">
        <f>[4]Quotation!$P$34+3000</f>
        <v/>
      </c>
    </row>
    <row r="33" ht="12.75" customHeight="1" s="18">
      <c r="A33" s="32" t="inlineStr">
        <is>
          <t>Hong kong</t>
        </is>
      </c>
      <c r="B33" s="32" t="n">
        <v>2</v>
      </c>
      <c r="C33" s="32" t="inlineStr">
        <is>
          <t>Cantonese</t>
        </is>
      </c>
      <c r="D33" s="32" t="inlineStr">
        <is>
          <t>China</t>
        </is>
      </c>
      <c r="E33" s="31">
        <f>[4]Quotation!$W$34+3000</f>
        <v/>
      </c>
      <c r="F33" s="31">
        <f>[4]Quotation!$S$34+3000</f>
        <v/>
      </c>
      <c r="G33" s="31">
        <f>[4]Quotation!$C$34+3000</f>
        <v/>
      </c>
      <c r="H33" s="31">
        <f>[4]Quotation!$C$34+3000</f>
        <v/>
      </c>
      <c r="I33" s="31">
        <f>[4]Quotation!$O$34+3000</f>
        <v/>
      </c>
    </row>
    <row r="34" ht="12.75" customHeight="1" s="18">
      <c r="A34" s="26" t="inlineStr">
        <is>
          <t>India</t>
        </is>
      </c>
      <c r="B34" s="26" t="n">
        <v>5</v>
      </c>
      <c r="C34" s="26" t="inlineStr">
        <is>
          <t>Indian</t>
        </is>
      </c>
      <c r="D34" s="26" t="inlineStr">
        <is>
          <t>India</t>
        </is>
      </c>
      <c r="E34" s="30" t="inlineStr">
        <is>
          <t>See ARC/RRC</t>
        </is>
      </c>
    </row>
    <row r="35" ht="12.75" customHeight="1" s="18">
      <c r="A35" s="26" t="inlineStr">
        <is>
          <t>Indonesia</t>
        </is>
      </c>
      <c r="B35" s="26" t="n">
        <v>6</v>
      </c>
      <c r="C35" s="26" t="inlineStr">
        <is>
          <t>English</t>
        </is>
      </c>
      <c r="D35" s="26" t="inlineStr">
        <is>
          <t>India</t>
        </is>
      </c>
      <c r="E35" s="30" t="inlineStr">
        <is>
          <t>See ARC/RRC</t>
        </is>
      </c>
    </row>
    <row r="36" ht="12.75" customHeight="1" s="18">
      <c r="A36" s="32" t="inlineStr">
        <is>
          <t>Korea</t>
        </is>
      </c>
      <c r="B36" s="32" t="n">
        <v>5</v>
      </c>
      <c r="C36" s="32" t="n"/>
      <c r="D36" s="32" t="inlineStr">
        <is>
          <t>China</t>
        </is>
      </c>
      <c r="E36" s="31">
        <f>[4]Quotation!$Z$34+3000</f>
        <v/>
      </c>
      <c r="F36" s="31">
        <f>[4]Quotation!$V$34+3000</f>
        <v/>
      </c>
      <c r="G36" s="31">
        <f>[4]Quotation!$F$34+3000</f>
        <v/>
      </c>
      <c r="H36" s="31">
        <f>[4]Quotation!$F$34+3000</f>
        <v/>
      </c>
      <c r="I36" s="31">
        <f>[4]Quotation!$R$34+3000</f>
        <v/>
      </c>
    </row>
    <row r="37" ht="12.75" customHeight="1" s="18">
      <c r="A37" s="32" t="inlineStr">
        <is>
          <t>Malaysia</t>
        </is>
      </c>
      <c r="B37" s="32" t="n">
        <v>2</v>
      </c>
      <c r="C37" s="32" t="inlineStr">
        <is>
          <t>English</t>
        </is>
      </c>
      <c r="D37" s="32" t="inlineStr">
        <is>
          <t>India</t>
        </is>
      </c>
      <c r="E37" s="30" t="inlineStr">
        <is>
          <t>See ARC/RRC</t>
        </is>
      </c>
    </row>
    <row r="38" ht="12.75" customHeight="1" s="18">
      <c r="A38" s="26" t="inlineStr">
        <is>
          <t>Morocco</t>
        </is>
      </c>
      <c r="B38" s="26" t="n">
        <v>2</v>
      </c>
      <c r="C38" s="26" t="inlineStr">
        <is>
          <t>French</t>
        </is>
      </c>
      <c r="D38" s="26" t="inlineStr">
        <is>
          <t>Romania</t>
        </is>
      </c>
      <c r="E38" s="30" t="inlineStr">
        <is>
          <t>See ARC/RRC</t>
        </is>
      </c>
    </row>
    <row r="39" ht="12.75" customHeight="1" s="18">
      <c r="A39" s="26" t="inlineStr">
        <is>
          <t>Pakistan</t>
        </is>
      </c>
      <c r="B39" s="26" t="n">
        <v>13</v>
      </c>
      <c r="C39" s="26" t="inlineStr">
        <is>
          <t>English</t>
        </is>
      </c>
      <c r="D39" s="26" t="inlineStr">
        <is>
          <t>India</t>
        </is>
      </c>
      <c r="E39" s="30" t="inlineStr">
        <is>
          <t>See ARC/RRC</t>
        </is>
      </c>
    </row>
    <row r="40" ht="12.75" customHeight="1" s="18">
      <c r="A40" s="26" t="inlineStr">
        <is>
          <t>Philippines</t>
        </is>
      </c>
      <c r="B40" s="26" t="n">
        <v>6</v>
      </c>
      <c r="C40" s="26" t="inlineStr">
        <is>
          <t>English</t>
        </is>
      </c>
      <c r="D40" s="26" t="inlineStr">
        <is>
          <t>India</t>
        </is>
      </c>
      <c r="E40" s="30" t="inlineStr">
        <is>
          <t>See ARC/RRC</t>
        </is>
      </c>
    </row>
    <row r="41" ht="12.75" customHeight="1" s="18">
      <c r="A41" s="26" t="inlineStr">
        <is>
          <t>Singapore</t>
        </is>
      </c>
      <c r="B41" s="26" t="n">
        <v>2</v>
      </c>
      <c r="C41" s="26" t="inlineStr">
        <is>
          <t>English</t>
        </is>
      </c>
      <c r="D41" s="26" t="inlineStr">
        <is>
          <t>India</t>
        </is>
      </c>
      <c r="E41" s="30" t="inlineStr">
        <is>
          <t>See ARC/RRC</t>
        </is>
      </c>
    </row>
    <row r="42" ht="12.75" customHeight="1" s="18">
      <c r="A42" s="26" t="inlineStr">
        <is>
          <t>South Africa</t>
        </is>
      </c>
      <c r="B42" s="26" t="n">
        <v>3</v>
      </c>
      <c r="C42" s="26" t="inlineStr">
        <is>
          <t>English</t>
        </is>
      </c>
      <c r="D42" s="26" t="inlineStr">
        <is>
          <t>India</t>
        </is>
      </c>
      <c r="E42" s="30" t="inlineStr">
        <is>
          <t>See ARC/RRC</t>
        </is>
      </c>
    </row>
    <row r="43" ht="12.75" customHeight="1" s="18">
      <c r="A43" s="26" t="inlineStr">
        <is>
          <t>Taiwan</t>
        </is>
      </c>
      <c r="B43" s="26" t="n">
        <v>5</v>
      </c>
      <c r="C43" s="26" t="inlineStr">
        <is>
          <t>English</t>
        </is>
      </c>
      <c r="D43" s="26" t="inlineStr">
        <is>
          <t>India</t>
        </is>
      </c>
      <c r="E43" s="30" t="inlineStr">
        <is>
          <t>See ARC/RRC</t>
        </is>
      </c>
    </row>
    <row r="44" ht="12.75" customHeight="1" s="18">
      <c r="A44" s="26" t="inlineStr">
        <is>
          <t>Thailand</t>
        </is>
      </c>
      <c r="B44" s="26" t="n">
        <v>7</v>
      </c>
      <c r="C44" s="26" t="inlineStr">
        <is>
          <t>English</t>
        </is>
      </c>
      <c r="D44" s="26" t="inlineStr">
        <is>
          <t>India</t>
        </is>
      </c>
      <c r="E44" s="30" t="inlineStr">
        <is>
          <t>See ARC/RRC</t>
        </is>
      </c>
    </row>
    <row r="45" ht="12.75" customHeight="1" s="18">
      <c r="A45" s="33" t="inlineStr">
        <is>
          <t>Canada</t>
        </is>
      </c>
      <c r="B45" s="34" t="n">
        <v>6</v>
      </c>
      <c r="C45" s="26" t="inlineStr">
        <is>
          <t>English</t>
        </is>
      </c>
      <c r="D45" s="26" t="inlineStr">
        <is>
          <t>India</t>
        </is>
      </c>
      <c r="E45" s="30" t="inlineStr">
        <is>
          <t>See ARC/RRC</t>
        </is>
      </c>
    </row>
    <row r="46" ht="12.75" customHeight="1" s="18">
      <c r="C46" s="26" t="inlineStr">
        <is>
          <t>French</t>
        </is>
      </c>
      <c r="D46" s="26" t="inlineStr">
        <is>
          <t>Romania</t>
        </is>
      </c>
      <c r="E46" s="31">
        <f>'[5]deal analysis'!D$64*1.02</f>
        <v/>
      </c>
      <c r="F46" s="31">
        <f>'[5]deal analysis'!D$64</f>
        <v/>
      </c>
      <c r="G46" s="31">
        <f>'[5]deal analysis'!B$64</f>
        <v/>
      </c>
      <c r="H46" s="31">
        <f>'[5]deal analysis'!B$64</f>
        <v/>
      </c>
      <c r="I46" s="31">
        <f>'[5]deal analysis'!C$64</f>
        <v/>
      </c>
    </row>
    <row r="47" ht="12.75" customHeight="1" s="18">
      <c r="A47" s="32" t="inlineStr">
        <is>
          <t>Japan</t>
        </is>
      </c>
      <c r="B47" s="32" t="n">
        <v>11</v>
      </c>
      <c r="C47" s="32" t="inlineStr">
        <is>
          <t>Japanese</t>
        </is>
      </c>
      <c r="D47" s="32" t="inlineStr">
        <is>
          <t>China</t>
        </is>
      </c>
      <c r="E47" s="31">
        <f>[4]Quotation!$Y$34+3000</f>
        <v/>
      </c>
      <c r="F47" s="31">
        <f>[4]Quotation!$U$34+3000</f>
        <v/>
      </c>
      <c r="G47" s="31">
        <f>[4]Quotation!$E$34+3000</f>
        <v/>
      </c>
      <c r="H47" s="31">
        <f>[4]Quotation!$E$34+3000</f>
        <v/>
      </c>
      <c r="I47" s="31">
        <f>[4]Quotation!$Q$34+3000</f>
        <v/>
      </c>
    </row>
  </sheetData>
  <mergeCells count="21">
    <mergeCell ref="E3:I3"/>
    <mergeCell ref="E43:I43"/>
    <mergeCell ref="E42:I42"/>
    <mergeCell ref="A45:A46"/>
    <mergeCell ref="E39:I39"/>
    <mergeCell ref="E8:I8"/>
    <mergeCell ref="E14:I14"/>
    <mergeCell ref="E44:I44"/>
    <mergeCell ref="E35:I35"/>
    <mergeCell ref="E4:I4"/>
    <mergeCell ref="E38:I38"/>
    <mergeCell ref="E31:I31"/>
    <mergeCell ref="E40:I40"/>
    <mergeCell ref="E30:I30"/>
    <mergeCell ref="E34:I34"/>
    <mergeCell ref="E15:I15"/>
    <mergeCell ref="E45:I45"/>
    <mergeCell ref="C1:I1"/>
    <mergeCell ref="B45:B46"/>
    <mergeCell ref="E41:I41"/>
    <mergeCell ref="E37:I37"/>
  </mergeCells>
  <printOptions horizontalCentered="0" verticalCentered="0" headings="0" gridLines="0" gridLinesSet="1"/>
  <pageMargins left="0.747916666666667" right="0.747916666666667" top="0.9840277777777779" bottom="0.9840277777777779" header="0.511811023622047" footer="0.511811023622047"/>
  <pageSetup orientation="portrait" paperSize="1" scale="100" fitToHeight="1" fitToWidth="1" pageOrder="downThenOver" blackAndWhite="0" draft="0" horizontalDpi="300" verticalDpi="300" copies="1"/>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GENPACT</dc:creator>
  <dc:language xmlns:dc="http://purl.org/dc/elements/1.1/">en-US</dc:language>
  <dcterms:created xmlns:dcterms="http://purl.org/dc/terms/" xmlns:xsi="http://www.w3.org/2001/XMLSchema-instance" xsi:type="dcterms:W3CDTF">2006-11-15T17:16:44Z</dcterms:created>
  <dcterms:modified xmlns:dcterms="http://purl.org/dc/terms/" xmlns:xsi="http://www.w3.org/2001/XMLSchema-instance" xsi:type="dcterms:W3CDTF">2026-02-11T03:52:19Z</dcterms:modified>
  <cp:lastModifiedBy>Wenger Plattner</cp:lastModifiedBy>
  <cp:revision>0</cp:revision>
  <cp:lastPrinted>2006-11-22T23:13:29Z</cp:lastPrinted>
</cp:coreProperties>
</file>
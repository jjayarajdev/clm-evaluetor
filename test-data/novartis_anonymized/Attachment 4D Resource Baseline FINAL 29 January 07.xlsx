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Sheet" sheetId="1" state="visible" r:id="rId1"/>
    <sheet xmlns:r="http://schemas.openxmlformats.org/officeDocument/2006/relationships" name="Consolidated Summary" sheetId="2" state="visible" r:id="rId2"/>
    <sheet xmlns:r="http://schemas.openxmlformats.org/officeDocument/2006/relationships" name="Summary By Country" sheetId="3" state="visible" r:id="rId3"/>
    <sheet xmlns:r="http://schemas.openxmlformats.org/officeDocument/2006/relationships" name="Summary By Country &amp; Process" sheetId="4" state="visible" r:id="rId4"/>
    <sheet xmlns:r="http://schemas.openxmlformats.org/officeDocument/2006/relationships" name="Summary By Process" sheetId="5" state="visible" r:id="rId5"/>
  </sheets>
  <definedNames/>
  <calcPr calcId="124519" fullCalcOnLoad="1" refMode="A1" iterate="0" iterateCount="100" iterateDelta="0.001"/>
</workbook>
</file>

<file path=xl/styles.xml><?xml version="1.0" encoding="utf-8"?>
<styleSheet xmlns="http://schemas.openxmlformats.org/spreadsheetml/2006/main">
  <numFmts count="4">
    <numFmt numFmtId="164" formatCode="[$-409]d\-mmm\-yy"/>
    <numFmt numFmtId="165" formatCode="0.0"/>
    <numFmt numFmtId="166" formatCode="#,##0.0"/>
    <numFmt numFmtId="167" formatCode="_(* #,##0.00_);_(* \(#,##0.00\);_(* \-??_);_(@_)"/>
  </numFmts>
  <fonts count="18">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Arial"/>
      <family val="0"/>
      <color rgb="FF333399"/>
      <sz val="8"/>
    </font>
    <font>
      <name val="Arial"/>
      <family val="2"/>
      <b val="1"/>
      <sz val="14"/>
    </font>
    <font>
      <name val="Arial"/>
      <family val="2"/>
      <b val="1"/>
      <sz val="10"/>
    </font>
    <font>
      <name val="Arial"/>
      <family val="0"/>
      <b val="1"/>
      <color rgb="FF333399"/>
      <sz val="8"/>
    </font>
    <font>
      <name val="Arial"/>
      <family val="2"/>
      <b val="1"/>
      <color rgb="FFFFFFFF"/>
      <sz val="10"/>
    </font>
    <font>
      <name val="Arial"/>
      <family val="0"/>
      <b val="1"/>
      <color rgb="FFFFFFFF"/>
      <sz val="10"/>
    </font>
    <font>
      <name val="Arial"/>
      <family val="0"/>
      <sz val="11"/>
    </font>
    <font>
      <name val="Arial"/>
      <family val="0"/>
      <color rgb="FFFFFFFF"/>
      <sz val="11"/>
    </font>
    <font>
      <name val="Arial"/>
      <family val="0"/>
      <b val="1"/>
      <color rgb="FFFFFFFF"/>
      <sz val="12"/>
    </font>
    <font>
      <name val="Arial"/>
      <family val="0"/>
      <b val="1"/>
      <sz val="11"/>
    </font>
    <font>
      <name val="Arial"/>
      <family val="0"/>
      <b val="1"/>
      <color rgb="FFFFFFFF"/>
      <sz val="11"/>
    </font>
    <font>
      <name val="Arial"/>
      <family val="2"/>
      <sz val="11"/>
    </font>
  </fonts>
  <fills count="6">
    <fill>
      <patternFill/>
    </fill>
    <fill>
      <patternFill patternType="gray125"/>
    </fill>
    <fill>
      <patternFill patternType="solid">
        <fgColor rgb="FFCCFFFF"/>
        <bgColor rgb="FFCCFFFF"/>
      </patternFill>
    </fill>
    <fill>
      <patternFill patternType="solid">
        <fgColor rgb="FFC0C0C0"/>
        <bgColor rgb="FFCCCCFF"/>
      </patternFill>
    </fill>
    <fill>
      <patternFill patternType="solid">
        <fgColor rgb="FF000080"/>
        <bgColor rgb="FF000080"/>
      </patternFill>
    </fill>
    <fill>
      <patternFill patternType="solid">
        <fgColor rgb="FFCCFFCC"/>
        <bgColor rgb="FFCCFFFF"/>
      </patternFill>
    </fill>
  </fills>
  <borders count="21">
    <border>
      <left/>
      <right/>
      <top/>
      <bottom/>
      <diagonal/>
    </border>
    <border>
      <left style="thin"/>
      <right style="thin"/>
      <top style="thin"/>
      <bottom/>
      <diagonal/>
    </border>
    <border>
      <left style="thin"/>
      <right style="thin"/>
      <top/>
      <bottom/>
      <diagonal/>
    </border>
    <border>
      <left style="thin"/>
      <right style="thin"/>
      <top/>
      <bottom style="thin"/>
      <diagonal/>
    </border>
    <border>
      <left style="medium"/>
      <right style="medium"/>
      <top style="medium"/>
      <bottom style="medium"/>
      <diagonal/>
    </border>
    <border>
      <left/>
      <right style="medium"/>
      <top style="medium"/>
      <bottom style="medium"/>
      <diagonal/>
    </border>
    <border>
      <left style="medium"/>
      <right style="medium"/>
      <top/>
      <bottom/>
      <diagonal/>
    </border>
    <border>
      <left style="medium"/>
      <right style="medium"/>
      <top style="medium"/>
      <bottom/>
      <diagonal/>
    </border>
    <border>
      <left style="medium"/>
      <right style="medium"/>
      <top style="thin"/>
      <bottom style="medium"/>
      <diagonal/>
    </border>
    <border>
      <left style="thin"/>
      <right/>
      <top style="thin"/>
      <bottom style="thin"/>
      <diagonal/>
    </border>
    <border>
      <left/>
      <right/>
      <top style="thin"/>
      <bottom style="thin"/>
      <diagonal/>
    </border>
    <border>
      <left/>
      <right style="thin"/>
      <top style="thin"/>
      <bottom style="thin"/>
      <diagonal/>
    </border>
    <border>
      <left/>
      <right style="thin"/>
      <top style="thin"/>
      <bottom/>
      <diagonal/>
    </border>
    <border>
      <left/>
      <right style="thin"/>
      <top/>
      <bottom/>
      <diagonal/>
    </border>
    <border>
      <left style="thin"/>
      <right style="thin"/>
      <top style="thin"/>
      <bottom style="thin"/>
      <diagonal/>
    </border>
    <border>
      <left style="thin"/>
      <right/>
      <top style="thin"/>
      <bottom/>
      <diagonal/>
    </border>
    <border>
      <left style="thin">
        <color rgb="FFFFFFFF"/>
      </left>
      <right/>
      <top style="thin"/>
      <bottom/>
      <diagonal/>
    </border>
    <border>
      <left/>
      <right/>
      <top style="thin"/>
      <bottom/>
      <diagonal/>
    </border>
    <border>
      <left style="thin"/>
      <right/>
      <top style="thin">
        <color rgb="FFFFFFFF"/>
      </top>
      <bottom/>
      <diagonal/>
    </border>
    <border>
      <left style="thin"/>
      <right/>
      <top/>
      <bottom/>
      <diagonal/>
    </border>
    <border>
      <left style="thin">
        <color rgb="FFFFFFFF"/>
      </left>
      <right/>
      <top style="thin"/>
      <bottom style="thin"/>
      <diagonal/>
    </border>
  </borders>
  <cellStyleXfs count="9">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3" fillId="0" borderId="0" applyAlignment="1">
      <alignment horizontal="general" vertical="bottom"/>
    </xf>
    <xf numFmtId="167" fontId="3" fillId="0" borderId="0" applyAlignment="1">
      <alignment horizontal="general" vertical="bottom"/>
    </xf>
    <xf numFmtId="0" fontId="3" fillId="0" borderId="0" applyAlignment="1">
      <alignment horizontal="general" vertical="bottom"/>
    </xf>
  </cellStyleXfs>
  <cellXfs count="148">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22">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4" applyAlignment="1" pivotButton="0" quotePrefix="0" xfId="0">
      <alignment horizontal="general" vertical="bottom" wrapText="1"/>
    </xf>
    <xf numFmtId="0" fontId="8" fillId="3" borderId="5" applyAlignment="1" pivotButton="0" quotePrefix="0" xfId="0">
      <alignment horizontal="right" vertical="bottom" wrapText="1"/>
    </xf>
    <xf numFmtId="0" fontId="8" fillId="2" borderId="4" applyAlignment="1" pivotButton="0" quotePrefix="0" xfId="0">
      <alignment horizontal="right" vertical="bottom" wrapText="1"/>
    </xf>
    <xf numFmtId="0" fontId="8" fillId="2" borderId="6" applyAlignment="1" pivotButton="0" quotePrefix="0" xfId="0">
      <alignment horizontal="general" vertical="bottom" wrapText="1"/>
    </xf>
    <xf numFmtId="0" fontId="8" fillId="3" borderId="7" applyAlignment="1" pivotButton="0" quotePrefix="0" xfId="0">
      <alignment horizontal="right" vertical="bottom" wrapText="1"/>
    </xf>
    <xf numFmtId="0" fontId="8" fillId="2" borderId="6" applyAlignment="1" pivotButton="0" quotePrefix="0" xfId="0">
      <alignment horizontal="right" vertical="bottom" wrapText="1"/>
    </xf>
    <xf numFmtId="0" fontId="0" fillId="2" borderId="6" applyAlignment="1" pivotButton="0" quotePrefix="0" xfId="0">
      <alignment horizontal="general" vertical="bottom"/>
    </xf>
    <xf numFmtId="165" fontId="0" fillId="3" borderId="6" applyAlignment="1" pivotButton="0" quotePrefix="0" xfId="21">
      <alignment horizontal="general" vertical="bottom"/>
    </xf>
    <xf numFmtId="165" fontId="0" fillId="2" borderId="6" applyAlignment="1" pivotButton="0" quotePrefix="0" xfId="21">
      <alignment horizontal="general" vertical="bottom"/>
    </xf>
    <xf numFmtId="0" fontId="9" fillId="0" borderId="0" applyAlignment="1" pivotButton="0" quotePrefix="0" xfId="0">
      <alignment horizontal="general" vertical="bottom"/>
    </xf>
    <xf numFmtId="0" fontId="8" fillId="2" borderId="8" applyAlignment="1" pivotButton="0" quotePrefix="0" xfId="0">
      <alignment horizontal="general" vertical="bottom"/>
    </xf>
    <xf numFmtId="165" fontId="8" fillId="3" borderId="8" applyAlignment="1" pivotButton="0" quotePrefix="0" xfId="21">
      <alignment horizontal="general" vertical="bottom"/>
    </xf>
    <xf numFmtId="165" fontId="8" fillId="2" borderId="8" applyAlignment="1" pivotButton="0" quotePrefix="0" xfId="21">
      <alignment horizontal="general" vertical="bottom"/>
    </xf>
    <xf numFmtId="0" fontId="8" fillId="2" borderId="7" applyAlignment="1" pivotButton="0" quotePrefix="0" xfId="0">
      <alignment horizontal="general" vertical="bottom" wrapText="1"/>
    </xf>
    <xf numFmtId="0" fontId="8" fillId="2" borderId="7" applyAlignment="1" pivotButton="0" quotePrefix="0" xfId="0">
      <alignment horizontal="right" vertical="bottom" wrapText="1"/>
    </xf>
    <xf numFmtId="165" fontId="8" fillId="2" borderId="4" applyAlignment="1" pivotButton="0" quotePrefix="0" xfId="21">
      <alignment horizontal="general" vertical="bottom"/>
    </xf>
    <xf numFmtId="0" fontId="8" fillId="0" borderId="1" applyAlignment="1" pivotButton="0" quotePrefix="0" xfId="0">
      <alignment horizontal="general" vertical="bottom"/>
    </xf>
    <xf numFmtId="0" fontId="8" fillId="0" borderId="9" applyAlignment="1" pivotButton="0" quotePrefix="0" xfId="0">
      <alignment horizontal="general" vertical="bottom"/>
    </xf>
    <xf numFmtId="0" fontId="8" fillId="0" borderId="10" applyAlignment="1" pivotButton="0" quotePrefix="0" xfId="0">
      <alignment horizontal="general" vertical="bottom"/>
    </xf>
    <xf numFmtId="0" fontId="8" fillId="0" borderId="11" applyAlignment="1" pivotButton="0" quotePrefix="0" xfId="0">
      <alignment horizontal="general" vertical="bottom"/>
    </xf>
    <xf numFmtId="0" fontId="8" fillId="0" borderId="12" applyAlignment="1" pivotButton="0" quotePrefix="0" xfId="0">
      <alignment horizontal="general" vertical="bottom"/>
    </xf>
    <xf numFmtId="0" fontId="8" fillId="3" borderId="1" applyAlignment="1" pivotButton="0" quotePrefix="0" xfId="0">
      <alignment horizontal="center" vertical="bottom" wrapText="1"/>
    </xf>
    <xf numFmtId="0" fontId="8" fillId="0" borderId="2" applyAlignment="1" pivotButton="0" quotePrefix="0" xfId="0">
      <alignment horizontal="center" vertical="bottom" wrapText="1"/>
    </xf>
    <xf numFmtId="0" fontId="10" fillId="4" borderId="12" applyAlignment="1" pivotButton="0" quotePrefix="0" xfId="0">
      <alignment horizontal="center" vertical="bottom" wrapText="1"/>
    </xf>
    <xf numFmtId="0" fontId="11" fillId="4" borderId="1" applyAlignment="1" pivotButton="0" quotePrefix="0" xfId="0">
      <alignment horizontal="left" vertical="bottom" wrapText="1"/>
    </xf>
    <xf numFmtId="166" fontId="12" fillId="3" borderId="1" applyAlignment="1" pivotButton="0" quotePrefix="0" xfId="0">
      <alignment horizontal="general" vertical="bottom"/>
    </xf>
    <xf numFmtId="166" fontId="12" fillId="0" borderId="1" applyAlignment="1" pivotButton="0" quotePrefix="0" xfId="0">
      <alignment horizontal="general" vertical="bottom"/>
    </xf>
    <xf numFmtId="166" fontId="13" fillId="4" borderId="12" applyAlignment="1" pivotButton="0" quotePrefix="0" xfId="0">
      <alignment horizontal="general" vertical="bottom"/>
    </xf>
    <xf numFmtId="0" fontId="11" fillId="4" borderId="2" applyAlignment="1" pivotButton="0" quotePrefix="0" xfId="0">
      <alignment horizontal="left" vertical="bottom" wrapText="1"/>
    </xf>
    <xf numFmtId="166" fontId="12" fillId="3" borderId="2" applyAlignment="1" pivotButton="0" quotePrefix="0" xfId="0">
      <alignment horizontal="general" vertical="bottom"/>
    </xf>
    <xf numFmtId="166" fontId="12" fillId="0" borderId="2" applyAlignment="1" pivotButton="0" quotePrefix="0" xfId="0">
      <alignment horizontal="general" vertical="bottom"/>
    </xf>
    <xf numFmtId="166" fontId="13" fillId="4" borderId="13" applyAlignment="1" pivotButton="0" quotePrefix="0" xfId="0">
      <alignment horizontal="general" vertical="bottom"/>
    </xf>
    <xf numFmtId="0" fontId="14" fillId="4" borderId="14" applyAlignment="1" pivotButton="0" quotePrefix="0" xfId="0">
      <alignment horizontal="general" vertical="bottom"/>
    </xf>
    <xf numFmtId="166" fontId="15" fillId="3" borderId="14" applyAlignment="1" pivotButton="0" quotePrefix="0" xfId="0">
      <alignment horizontal="general" vertical="bottom"/>
    </xf>
    <xf numFmtId="166" fontId="16" fillId="4" borderId="14" applyAlignment="1" pivotButton="0" quotePrefix="0" xfId="0">
      <alignment horizontal="general" vertical="bottom"/>
    </xf>
    <xf numFmtId="166" fontId="16" fillId="4" borderId="11" applyAlignment="1" pivotButton="0" quotePrefix="0" xfId="0">
      <alignment horizontal="general" vertical="bottom"/>
    </xf>
    <xf numFmtId="0" fontId="8" fillId="0" borderId="15" applyAlignment="1" pivotButton="0" quotePrefix="0" xfId="0">
      <alignment horizontal="general" vertical="bottom"/>
    </xf>
    <xf numFmtId="0" fontId="0" fillId="0" borderId="16" applyAlignment="1" pivotButton="0" quotePrefix="0" xfId="0">
      <alignment horizontal="general" vertical="bottom"/>
    </xf>
    <xf numFmtId="0" fontId="8" fillId="0" borderId="16" applyAlignment="1" pivotButton="0" quotePrefix="0" xfId="0">
      <alignment horizontal="general" vertical="bottom"/>
    </xf>
    <xf numFmtId="0" fontId="8" fillId="3" borderId="15" applyAlignment="1" pivotButton="0" quotePrefix="0" xfId="0">
      <alignment horizontal="center" vertical="bottom" wrapText="1"/>
    </xf>
    <xf numFmtId="0" fontId="8" fillId="0" borderId="17" applyAlignment="1" pivotButton="0" quotePrefix="0" xfId="0">
      <alignment horizontal="center" vertical="bottom" wrapText="1"/>
    </xf>
    <xf numFmtId="0" fontId="11" fillId="4" borderId="15" applyAlignment="1" pivotButton="0" quotePrefix="0" xfId="0">
      <alignment horizontal="center" vertical="bottom" wrapText="1"/>
    </xf>
    <xf numFmtId="0" fontId="0" fillId="0" borderId="15" applyAlignment="1" pivotButton="0" quotePrefix="0" xfId="0">
      <alignment horizontal="general" vertical="bottom"/>
    </xf>
    <xf numFmtId="166" fontId="17" fillId="3" borderId="15" applyAlignment="1" pivotButton="0" quotePrefix="0" xfId="0">
      <alignment horizontal="general" vertical="bottom"/>
    </xf>
    <xf numFmtId="166" fontId="17" fillId="0" borderId="17" applyAlignment="1" pivotButton="0" quotePrefix="0" xfId="0">
      <alignment horizontal="general" vertical="bottom"/>
    </xf>
    <xf numFmtId="0" fontId="11" fillId="4" borderId="18" applyAlignment="1" pivotButton="0" quotePrefix="0" xfId="0">
      <alignment horizontal="center" vertical="bottom" wrapText="1"/>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166" fontId="17" fillId="3" borderId="19" applyAlignment="1" pivotButton="0" quotePrefix="0" xfId="0">
      <alignment horizontal="general" vertical="bottom"/>
    </xf>
    <xf numFmtId="166" fontId="17" fillId="0" borderId="0" applyAlignment="1" pivotButton="0" quotePrefix="0" xfId="0">
      <alignment horizontal="general" vertical="bottom"/>
    </xf>
    <xf numFmtId="0" fontId="14" fillId="4" borderId="9" applyAlignment="1" pivotButton="0" quotePrefix="0" xfId="0">
      <alignment horizontal="general" vertical="bottom"/>
    </xf>
    <xf numFmtId="0" fontId="14" fillId="4" borderId="20" applyAlignment="1" pivotButton="0" quotePrefix="0" xfId="0">
      <alignment horizontal="general" vertical="bottom"/>
    </xf>
    <xf numFmtId="166" fontId="15" fillId="3" borderId="9" applyAlignment="1" pivotButton="0" quotePrefix="0" xfId="0">
      <alignment horizontal="general" vertical="bottom"/>
    </xf>
    <xf numFmtId="166" fontId="16" fillId="4" borderId="10" applyAlignment="1" pivotButton="0" quotePrefix="0" xfId="0">
      <alignment horizontal="general" vertical="bottom"/>
    </xf>
    <xf numFmtId="0" fontId="11" fillId="4" borderId="15" applyAlignment="1" pivotButton="0" quotePrefix="0" xfId="0">
      <alignment horizontal="center" vertical="bottom"/>
    </xf>
    <xf numFmtId="166" fontId="12" fillId="3" borderId="15" applyAlignment="1" pivotButton="0" quotePrefix="0" xfId="0">
      <alignment horizontal="general" vertical="bottom"/>
    </xf>
    <xf numFmtId="166" fontId="12" fillId="0" borderId="17" applyAlignment="1" pivotButton="0" quotePrefix="0" xfId="0">
      <alignment horizontal="general" vertical="bottom"/>
    </xf>
    <xf numFmtId="0" fontId="11" fillId="4" borderId="19" applyAlignment="1" pivotButton="0" quotePrefix="0" xfId="0">
      <alignment horizontal="center" vertical="bottom" wrapText="1"/>
    </xf>
    <xf numFmtId="166" fontId="12" fillId="3" borderId="19" applyAlignment="1" pivotButton="0" quotePrefix="0" xfId="0">
      <alignment horizontal="general" vertical="bottom"/>
    </xf>
    <xf numFmtId="166" fontId="12" fillId="0" borderId="0" applyAlignment="1" pivotButton="0" quotePrefix="0" xfId="0">
      <alignment horizontal="general" vertical="bottom"/>
    </xf>
    <xf numFmtId="166" fontId="15" fillId="3" borderId="15" applyAlignment="1" pivotButton="0" quotePrefix="0" xfId="0">
      <alignment horizontal="general" vertical="bottom"/>
    </xf>
    <xf numFmtId="166" fontId="15" fillId="5" borderId="17" applyAlignment="1" pivotButton="0" quotePrefix="0" xfId="0">
      <alignment horizontal="general" vertical="bottom"/>
    </xf>
    <xf numFmtId="166" fontId="16" fillId="3" borderId="9"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4" fillId="0" borderId="0" applyAlignment="1" pivotButton="0" quotePrefix="0" xfId="22">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4" applyAlignment="1" pivotButton="0" quotePrefix="0" xfId="0">
      <alignment horizontal="general" vertical="bottom" wrapText="1"/>
    </xf>
    <xf numFmtId="0" fontId="8" fillId="3" borderId="5" applyAlignment="1" pivotButton="0" quotePrefix="0" xfId="0">
      <alignment horizontal="right" vertical="bottom" wrapText="1"/>
    </xf>
    <xf numFmtId="0" fontId="8" fillId="2" borderId="4" applyAlignment="1" pivotButton="0" quotePrefix="0" xfId="0">
      <alignment horizontal="right" vertical="bottom" wrapText="1"/>
    </xf>
    <xf numFmtId="0" fontId="8" fillId="2" borderId="6" applyAlignment="1" pivotButton="0" quotePrefix="0" xfId="0">
      <alignment horizontal="general" vertical="bottom" wrapText="1"/>
    </xf>
    <xf numFmtId="0" fontId="8" fillId="3" borderId="7" applyAlignment="1" pivotButton="0" quotePrefix="0" xfId="0">
      <alignment horizontal="right" vertical="bottom" wrapText="1"/>
    </xf>
    <xf numFmtId="0" fontId="8" fillId="2" borderId="6" applyAlignment="1" pivotButton="0" quotePrefix="0" xfId="0">
      <alignment horizontal="right" vertical="bottom" wrapText="1"/>
    </xf>
    <xf numFmtId="0" fontId="0" fillId="2" borderId="6" applyAlignment="1" pivotButton="0" quotePrefix="0" xfId="0">
      <alignment horizontal="general" vertical="bottom"/>
    </xf>
    <xf numFmtId="165" fontId="0" fillId="3" borderId="6" applyAlignment="1" pivotButton="0" quotePrefix="0" xfId="21">
      <alignment horizontal="general" vertical="bottom"/>
    </xf>
    <xf numFmtId="165" fontId="0" fillId="2" borderId="6" applyAlignment="1" pivotButton="0" quotePrefix="0" xfId="21">
      <alignment horizontal="general" vertical="bottom"/>
    </xf>
    <xf numFmtId="0" fontId="9" fillId="0" borderId="0" applyAlignment="1" pivotButton="0" quotePrefix="0" xfId="0">
      <alignment horizontal="general" vertical="bottom"/>
    </xf>
    <xf numFmtId="0" fontId="8" fillId="2" borderId="8" applyAlignment="1" pivotButton="0" quotePrefix="0" xfId="0">
      <alignment horizontal="general" vertical="bottom"/>
    </xf>
    <xf numFmtId="165" fontId="8" fillId="3" borderId="8" applyAlignment="1" pivotButton="0" quotePrefix="0" xfId="21">
      <alignment horizontal="general" vertical="bottom"/>
    </xf>
    <xf numFmtId="165" fontId="8" fillId="2" borderId="8" applyAlignment="1" pivotButton="0" quotePrefix="0" xfId="21">
      <alignment horizontal="general" vertical="bottom"/>
    </xf>
    <xf numFmtId="0" fontId="8" fillId="2" borderId="7" applyAlignment="1" pivotButton="0" quotePrefix="0" xfId="0">
      <alignment horizontal="general" vertical="bottom" wrapText="1"/>
    </xf>
    <xf numFmtId="0" fontId="8" fillId="2" borderId="7" applyAlignment="1" pivotButton="0" quotePrefix="0" xfId="0">
      <alignment horizontal="right" vertical="bottom" wrapText="1"/>
    </xf>
    <xf numFmtId="165" fontId="8" fillId="2" borderId="4" applyAlignment="1" pivotButton="0" quotePrefix="0" xfId="21">
      <alignment horizontal="general" vertical="bottom"/>
    </xf>
    <xf numFmtId="0" fontId="8" fillId="0" borderId="1" applyAlignment="1" pivotButton="0" quotePrefix="0" xfId="0">
      <alignment horizontal="general" vertical="bottom"/>
    </xf>
    <xf numFmtId="0" fontId="8" fillId="0" borderId="9" applyAlignment="1" pivotButton="0" quotePrefix="0" xfId="0">
      <alignment horizontal="general" vertical="bottom"/>
    </xf>
    <xf numFmtId="0" fontId="8" fillId="0" borderId="10" applyAlignment="1" pivotButton="0" quotePrefix="0" xfId="0">
      <alignment horizontal="general" vertical="bottom"/>
    </xf>
    <xf numFmtId="0" fontId="8" fillId="0" borderId="11" applyAlignment="1" pivotButton="0" quotePrefix="0" xfId="0">
      <alignment horizontal="general" vertical="bottom"/>
    </xf>
    <xf numFmtId="0" fontId="8" fillId="0" borderId="12" applyAlignment="1" pivotButton="0" quotePrefix="0" xfId="0">
      <alignment horizontal="general" vertical="bottom"/>
    </xf>
    <xf numFmtId="0" fontId="8" fillId="3" borderId="1" applyAlignment="1" pivotButton="0" quotePrefix="0" xfId="0">
      <alignment horizontal="center" vertical="bottom" wrapText="1"/>
    </xf>
    <xf numFmtId="0" fontId="8" fillId="0" borderId="2" applyAlignment="1" pivotButton="0" quotePrefix="0" xfId="0">
      <alignment horizontal="center" vertical="bottom" wrapText="1"/>
    </xf>
    <xf numFmtId="0" fontId="10" fillId="4" borderId="12" applyAlignment="1" pivotButton="0" quotePrefix="0" xfId="0">
      <alignment horizontal="center" vertical="bottom" wrapText="1"/>
    </xf>
    <xf numFmtId="0" fontId="11" fillId="4" borderId="1" applyAlignment="1" pivotButton="0" quotePrefix="0" xfId="0">
      <alignment horizontal="left" vertical="bottom" wrapText="1"/>
    </xf>
    <xf numFmtId="166" fontId="12" fillId="3" borderId="1" applyAlignment="1" pivotButton="0" quotePrefix="0" xfId="0">
      <alignment horizontal="general" vertical="bottom"/>
    </xf>
    <xf numFmtId="166" fontId="12" fillId="0" borderId="1" applyAlignment="1" pivotButton="0" quotePrefix="0" xfId="0">
      <alignment horizontal="general" vertical="bottom"/>
    </xf>
    <xf numFmtId="166" fontId="13" fillId="4" borderId="12" applyAlignment="1" pivotButton="0" quotePrefix="0" xfId="0">
      <alignment horizontal="general" vertical="bottom"/>
    </xf>
    <xf numFmtId="0" fontId="11" fillId="4" borderId="2" applyAlignment="1" pivotButton="0" quotePrefix="0" xfId="0">
      <alignment horizontal="left" vertical="bottom" wrapText="1"/>
    </xf>
    <xf numFmtId="166" fontId="12" fillId="3" borderId="2" applyAlignment="1" pivotButton="0" quotePrefix="0" xfId="0">
      <alignment horizontal="general" vertical="bottom"/>
    </xf>
    <xf numFmtId="166" fontId="12" fillId="0" borderId="2" applyAlignment="1" pivotButton="0" quotePrefix="0" xfId="0">
      <alignment horizontal="general" vertical="bottom"/>
    </xf>
    <xf numFmtId="166" fontId="13" fillId="4" borderId="13" applyAlignment="1" pivotButton="0" quotePrefix="0" xfId="0">
      <alignment horizontal="general" vertical="bottom"/>
    </xf>
    <xf numFmtId="0" fontId="14" fillId="4" borderId="14" applyAlignment="1" pivotButton="0" quotePrefix="0" xfId="0">
      <alignment horizontal="general" vertical="bottom"/>
    </xf>
    <xf numFmtId="166" fontId="15" fillId="3" borderId="14" applyAlignment="1" pivotButton="0" quotePrefix="0" xfId="0">
      <alignment horizontal="general" vertical="bottom"/>
    </xf>
    <xf numFmtId="166" fontId="16" fillId="4" borderId="14" applyAlignment="1" pivotButton="0" quotePrefix="0" xfId="0">
      <alignment horizontal="general" vertical="bottom"/>
    </xf>
    <xf numFmtId="166" fontId="16" fillId="4" borderId="11" applyAlignment="1" pivotButton="0" quotePrefix="0" xfId="0">
      <alignment horizontal="general" vertical="bottom"/>
    </xf>
    <xf numFmtId="0" fontId="8" fillId="0" borderId="15" applyAlignment="1" pivotButton="0" quotePrefix="0" xfId="0">
      <alignment horizontal="general" vertical="bottom"/>
    </xf>
    <xf numFmtId="0" fontId="0" fillId="0" borderId="16" applyAlignment="1" pivotButton="0" quotePrefix="0" xfId="0">
      <alignment horizontal="general" vertical="bottom"/>
    </xf>
    <xf numFmtId="0" fontId="8" fillId="0" borderId="16" applyAlignment="1" pivotButton="0" quotePrefix="0" xfId="0">
      <alignment horizontal="general" vertical="bottom"/>
    </xf>
    <xf numFmtId="0" fontId="8" fillId="3" borderId="15" applyAlignment="1" pivotButton="0" quotePrefix="0" xfId="0">
      <alignment horizontal="center" vertical="bottom" wrapText="1"/>
    </xf>
    <xf numFmtId="0" fontId="8" fillId="0" borderId="17" applyAlignment="1" pivotButton="0" quotePrefix="0" xfId="0">
      <alignment horizontal="center" vertical="bottom" wrapText="1"/>
    </xf>
    <xf numFmtId="0" fontId="11" fillId="4" borderId="15" applyAlignment="1" pivotButton="0" quotePrefix="0" xfId="0">
      <alignment horizontal="center" vertical="bottom" wrapText="1"/>
    </xf>
    <xf numFmtId="0" fontId="0" fillId="0" borderId="15" applyAlignment="1" pivotButton="0" quotePrefix="0" xfId="0">
      <alignment horizontal="general" vertical="bottom"/>
    </xf>
    <xf numFmtId="166" fontId="17" fillId="3" borderId="15" applyAlignment="1" pivotButton="0" quotePrefix="0" xfId="0">
      <alignment horizontal="general" vertical="bottom"/>
    </xf>
    <xf numFmtId="166" fontId="17" fillId="0" borderId="17" applyAlignment="1" pivotButton="0" quotePrefix="0" xfId="0">
      <alignment horizontal="general" vertical="bottom"/>
    </xf>
    <xf numFmtId="0" fontId="11" fillId="4" borderId="18" applyAlignment="1" pivotButton="0" quotePrefix="0" xfId="0">
      <alignment horizontal="center" vertical="bottom" wrapText="1"/>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166" fontId="17" fillId="3" borderId="19" applyAlignment="1" pivotButton="0" quotePrefix="0" xfId="0">
      <alignment horizontal="general" vertical="bottom"/>
    </xf>
    <xf numFmtId="166" fontId="17" fillId="0" borderId="0" applyAlignment="1" pivotButton="0" quotePrefix="0" xfId="0">
      <alignment horizontal="general" vertical="bottom"/>
    </xf>
    <xf numFmtId="0" fontId="14" fillId="4" borderId="9" applyAlignment="1" pivotButton="0" quotePrefix="0" xfId="0">
      <alignment horizontal="general" vertical="bottom"/>
    </xf>
    <xf numFmtId="0" fontId="14" fillId="4" borderId="20" applyAlignment="1" pivotButton="0" quotePrefix="0" xfId="0">
      <alignment horizontal="general" vertical="bottom"/>
    </xf>
    <xf numFmtId="166" fontId="15" fillId="3" borderId="9" applyAlignment="1" pivotButton="0" quotePrefix="0" xfId="0">
      <alignment horizontal="general" vertical="bottom"/>
    </xf>
    <xf numFmtId="166" fontId="16" fillId="4" borderId="10" applyAlignment="1" pivotButton="0" quotePrefix="0" xfId="0">
      <alignment horizontal="general" vertical="bottom"/>
    </xf>
    <xf numFmtId="0" fontId="11" fillId="4" borderId="15" applyAlignment="1" pivotButton="0" quotePrefix="0" xfId="0">
      <alignment horizontal="center" vertical="bottom"/>
    </xf>
    <xf numFmtId="166" fontId="12" fillId="3" borderId="15" applyAlignment="1" pivotButton="0" quotePrefix="0" xfId="0">
      <alignment horizontal="general" vertical="bottom"/>
    </xf>
    <xf numFmtId="166" fontId="12" fillId="0" borderId="17" applyAlignment="1" pivotButton="0" quotePrefix="0" xfId="0">
      <alignment horizontal="general" vertical="bottom"/>
    </xf>
    <xf numFmtId="0" fontId="11" fillId="4" borderId="19" applyAlignment="1" pivotButton="0" quotePrefix="0" xfId="0">
      <alignment horizontal="center" vertical="bottom" wrapText="1"/>
    </xf>
    <xf numFmtId="166" fontId="12" fillId="3" borderId="19" applyAlignment="1" pivotButton="0" quotePrefix="0" xfId="0">
      <alignment horizontal="general" vertical="bottom"/>
    </xf>
    <xf numFmtId="166" fontId="12" fillId="0" borderId="0" applyAlignment="1" pivotButton="0" quotePrefix="0" xfId="0">
      <alignment horizontal="general" vertical="bottom"/>
    </xf>
    <xf numFmtId="166" fontId="15" fillId="3" borderId="15" applyAlignment="1" pivotButton="0" quotePrefix="0" xfId="0">
      <alignment horizontal="general" vertical="bottom"/>
    </xf>
    <xf numFmtId="166" fontId="15" fillId="5" borderId="17" applyAlignment="1" pivotButton="0" quotePrefix="0" xfId="0">
      <alignment horizontal="general" vertical="bottom"/>
    </xf>
    <xf numFmtId="166" fontId="16" fillId="3" borderId="9" applyAlignment="1" pivotButton="0" quotePrefix="0" xfId="0">
      <alignment horizontal="general" vertical="bottom"/>
    </xf>
  </cellXfs>
  <cellStyles count="9">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Comma_20050503_KMK_Consolidated Baseline" xfId="7"/>
    <cellStyle name="Normal_RFP8 Attachment 4-A Supplier Pricing Forms" xf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21.85" customWidth="1" style="74" min="2" max="2"/>
  </cols>
  <sheetData>
    <row r="1" ht="72" customHeight="1" s="75"/>
    <row r="2" ht="21.75" customHeight="1" s="75">
      <c r="B2" s="76" t="inlineStr">
        <is>
          <t>GlobalPharma AG</t>
        </is>
      </c>
    </row>
    <row r="3" ht="20.25" customHeight="1" s="75">
      <c r="B3" s="76" t="n"/>
    </row>
    <row r="4" ht="45" customHeight="1" s="75">
      <c r="B4" s="76" t="n"/>
    </row>
    <row r="5" ht="20.25" customHeight="1" s="75">
      <c r="B5" s="77" t="inlineStr">
        <is>
          <t>ATTACHMENT 4-D</t>
        </is>
      </c>
    </row>
    <row r="6" ht="20.25" customHeight="1" s="75">
      <c r="B6" s="76" t="n"/>
    </row>
    <row r="7" ht="20.25" customHeight="1" s="75">
      <c r="B7" s="77" t="inlineStr">
        <is>
          <t>RESOURCE BASELINE</t>
        </is>
      </c>
    </row>
    <row r="8" ht="20.25" customHeight="1" s="75">
      <c r="B8" s="77" t="inlineStr">
        <is>
          <t>Attachment to Exhibit 4 (Pricing and Financial Provisions)</t>
        </is>
      </c>
    </row>
    <row r="9" ht="20.25" customHeight="1" s="75">
      <c r="B9" s="76" t="n"/>
    </row>
    <row r="10" ht="20.25" customHeight="1" s="75">
      <c r="B10" s="78" t="n"/>
    </row>
    <row r="11" ht="46.5" customHeight="1" s="75">
      <c r="B11" s="76" t="n"/>
    </row>
    <row r="12" ht="0.75" customHeight="1" s="75">
      <c r="B12" s="76" t="n"/>
    </row>
    <row r="13" hidden="1" ht="20.25" customHeight="1" s="75">
      <c r="B13" s="76" t="n"/>
    </row>
    <row r="14" ht="15" customHeight="1" s="75">
      <c r="B14" s="79" t="n"/>
    </row>
    <row r="15" ht="56.25" customHeight="1" s="75">
      <c r="B15" s="80"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75">
      <c r="B16" s="81" t="n"/>
    </row>
    <row r="17" ht="15" customHeight="1" s="75">
      <c r="B17" s="82" t="n"/>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0FFFF"/>
    <outlinePr summaryBelow="1" summaryRight="1"/>
    <pageSetUpPr fitToPage="1"/>
  </sheetPr>
  <dimension ref="A1:K12"/>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L14"/>
    </sheetView>
  </sheetViews>
  <sheetFormatPr baseColWidth="8" defaultColWidth="9.13671875" defaultRowHeight="12.75" customHeight="1" zeroHeight="0" outlineLevelRow="0"/>
  <cols>
    <col width="6.28" customWidth="1" style="83" min="1" max="2"/>
    <col width="27.56" customWidth="1" style="74" min="3" max="3"/>
    <col width="11.99" customWidth="1" style="74" min="4" max="7"/>
    <col width="12.85" customWidth="1" style="74" min="8" max="8"/>
    <col width="14.41" customWidth="1" style="74" min="9" max="9"/>
    <col width="12.85" customWidth="1" style="74" min="10" max="10"/>
    <col width="14.41" customWidth="1" style="74" min="11" max="11"/>
    <col width="9.140000000000001" customWidth="1" style="74" min="12" max="257"/>
  </cols>
  <sheetData>
    <row r="1" ht="33" customHeight="1" s="75">
      <c r="C1" s="84" t="inlineStr">
        <is>
          <t>Resource Zurichine - Consolidated Summary (FTEs)</t>
        </is>
      </c>
    </row>
    <row r="2" ht="13.5" customHeight="1" s="75"/>
    <row r="3" ht="54.75" customHeight="1" s="75">
      <c r="C3" s="85" t="inlineStr">
        <is>
          <t>Total Resource Zurichine</t>
        </is>
      </c>
      <c r="D3" s="86" t="inlineStr">
        <is>
          <t>BASE YEAR</t>
        </is>
      </c>
      <c r="E3" s="87" t="inlineStr">
        <is>
          <t>YEAR 1</t>
        </is>
      </c>
      <c r="F3" s="87" t="inlineStr">
        <is>
          <t>YEAR 2</t>
        </is>
      </c>
      <c r="G3" s="87" t="inlineStr">
        <is>
          <t>YEAR 3</t>
        </is>
      </c>
      <c r="H3" s="87" t="inlineStr">
        <is>
          <t>YEAR 4</t>
        </is>
      </c>
      <c r="I3" s="87" t="inlineStr">
        <is>
          <t>YEAR 5</t>
        </is>
      </c>
      <c r="J3" s="87" t="inlineStr">
        <is>
          <t>YEAR 6</t>
        </is>
      </c>
      <c r="K3" s="87" t="inlineStr">
        <is>
          <t>YEAR 7</t>
        </is>
      </c>
    </row>
    <row r="4" ht="14.25" customHeight="1" s="75">
      <c r="C4" s="88" t="inlineStr">
        <is>
          <t>Supplier Assumed:</t>
        </is>
      </c>
      <c r="D4" s="89" t="n"/>
      <c r="E4" s="90" t="n"/>
      <c r="F4" s="90" t="n"/>
      <c r="G4" s="90" t="n"/>
      <c r="H4" s="90" t="n"/>
      <c r="I4" s="90" t="n"/>
      <c r="J4" s="90" t="n"/>
      <c r="K4" s="90" t="n"/>
    </row>
    <row r="5" ht="12.75" customHeight="1" s="75">
      <c r="C5" s="91" t="inlineStr">
        <is>
          <t>Internal FTE</t>
        </is>
      </c>
      <c r="D5" s="92" t="n">
        <v>93</v>
      </c>
      <c r="E5" s="93" t="n">
        <v>92.51300000000001</v>
      </c>
      <c r="F5" s="93" t="n">
        <v>92.52800000000001</v>
      </c>
      <c r="G5" s="93" t="n">
        <v>92.52800000000001</v>
      </c>
      <c r="H5" s="93" t="n">
        <v>92.52800000000001</v>
      </c>
      <c r="I5" s="93" t="n">
        <v>92.52800000000001</v>
      </c>
      <c r="J5" s="93" t="n">
        <v>92.54900000000001</v>
      </c>
      <c r="K5" s="93" t="n">
        <v>92.54900000000001</v>
      </c>
    </row>
    <row r="6" ht="12.75" customHeight="1" s="75">
      <c r="C6" s="91" t="inlineStr">
        <is>
          <t>External FTE</t>
        </is>
      </c>
      <c r="D6" s="92" t="n">
        <v>23</v>
      </c>
      <c r="E6" s="93" t="n">
        <v>22.902</v>
      </c>
      <c r="F6" s="93" t="n">
        <v>22.932</v>
      </c>
      <c r="G6" s="93" t="n">
        <v>22.932</v>
      </c>
      <c r="H6" s="93" t="n">
        <v>22.932</v>
      </c>
      <c r="I6" s="93" t="n">
        <v>22.932</v>
      </c>
      <c r="J6" s="93" t="n">
        <v>22.932</v>
      </c>
      <c r="K6" s="93" t="n">
        <v>22.932</v>
      </c>
    </row>
    <row r="7" ht="13.5" customHeight="1" s="75">
      <c r="A7" s="94" t="n"/>
      <c r="B7" s="94" t="n"/>
      <c r="C7" s="95" t="inlineStr">
        <is>
          <t>Sub Total FTEs</t>
        </is>
      </c>
      <c r="D7" s="96">
        <f>SUM(D5:D6)</f>
        <v/>
      </c>
      <c r="E7" s="97">
        <f>SUM(E5:E6)</f>
        <v/>
      </c>
      <c r="F7" s="97">
        <f>SUM(F5:F6)</f>
        <v/>
      </c>
      <c r="G7" s="97">
        <f>SUM(G5:G6)</f>
        <v/>
      </c>
      <c r="H7" s="97">
        <f>SUM(H5:H6)</f>
        <v/>
      </c>
      <c r="I7" s="97">
        <f>SUM(I5:I6)</f>
        <v/>
      </c>
      <c r="J7" s="97">
        <f>SUM(J5:J6)</f>
        <v/>
      </c>
      <c r="K7" s="97">
        <f>SUM(K5:K6)</f>
        <v/>
      </c>
    </row>
    <row r="8" ht="15.75" customHeight="1" s="75">
      <c r="C8" s="98" t="inlineStr">
        <is>
          <t>Pass Through:</t>
        </is>
      </c>
      <c r="D8" s="89" t="n"/>
      <c r="E8" s="99" t="n"/>
      <c r="F8" s="99" t="n"/>
      <c r="G8" s="99" t="n"/>
      <c r="H8" s="99" t="n"/>
      <c r="I8" s="99" t="n"/>
      <c r="J8" s="99" t="n"/>
      <c r="K8" s="99" t="n"/>
    </row>
    <row r="9" ht="12.75" customHeight="1" s="75">
      <c r="C9" s="91" t="inlineStr">
        <is>
          <t>Internal FTE</t>
        </is>
      </c>
      <c r="D9" s="92" t="n">
        <v>3</v>
      </c>
      <c r="E9" s="93" t="n">
        <v>3.201</v>
      </c>
      <c r="F9" s="93" t="n">
        <v>3.201</v>
      </c>
      <c r="G9" s="93" t="n">
        <v>3.201</v>
      </c>
      <c r="H9" s="93" t="n">
        <v>3.201</v>
      </c>
      <c r="I9" s="93" t="n">
        <v>3.201</v>
      </c>
      <c r="J9" s="93" t="n">
        <v>3.201</v>
      </c>
      <c r="K9" s="93" t="n">
        <v>3.201</v>
      </c>
    </row>
    <row r="10" ht="12.75" customHeight="1" s="75">
      <c r="C10" s="91" t="inlineStr">
        <is>
          <t>External FTE</t>
        </is>
      </c>
      <c r="D10" s="92" t="n">
        <v>7</v>
      </c>
      <c r="E10" s="93" t="n">
        <v>6.85</v>
      </c>
      <c r="F10" s="93" t="n">
        <v>6.85</v>
      </c>
      <c r="G10" s="93" t="n">
        <v>6.85</v>
      </c>
      <c r="H10" s="93" t="n">
        <v>6.85</v>
      </c>
      <c r="I10" s="93" t="n">
        <v>6.85</v>
      </c>
      <c r="J10" s="93" t="n">
        <v>6.85</v>
      </c>
      <c r="K10" s="93" t="n">
        <v>6.85</v>
      </c>
    </row>
    <row r="11" ht="13.5" customHeight="1" s="75">
      <c r="C11" s="95" t="inlineStr">
        <is>
          <t>Sub Total FTEs</t>
        </is>
      </c>
      <c r="D11" s="96">
        <f>SUM(D9:D10)</f>
        <v/>
      </c>
      <c r="E11" s="97">
        <f>SUM(E9:E10)</f>
        <v/>
      </c>
      <c r="F11" s="97">
        <f>SUM(F9:F10)</f>
        <v/>
      </c>
      <c r="G11" s="97">
        <f>SUM(G9:G10)</f>
        <v/>
      </c>
      <c r="H11" s="97">
        <f>SUM(H9:H10)</f>
        <v/>
      </c>
      <c r="I11" s="97">
        <f>SUM(I9:I10)</f>
        <v/>
      </c>
      <c r="J11" s="97">
        <f>SUM(J9:J10)</f>
        <v/>
      </c>
      <c r="K11" s="97">
        <f>SUM(K9:K10)</f>
        <v/>
      </c>
    </row>
    <row r="12" ht="13.5" customHeight="1" s="75">
      <c r="C12" s="95" t="inlineStr">
        <is>
          <t>Total Supplier Staffing</t>
        </is>
      </c>
      <c r="D12" s="96">
        <f>D11+D7</f>
        <v/>
      </c>
      <c r="E12" s="100">
        <f>E11+E7-0.1</f>
        <v/>
      </c>
      <c r="F12" s="100">
        <f>F11+F7-0.1</f>
        <v/>
      </c>
      <c r="G12" s="100">
        <f>G11+G7-0.1</f>
        <v/>
      </c>
      <c r="H12" s="100">
        <f>H11+H7-0.1</f>
        <v/>
      </c>
      <c r="I12" s="100">
        <f>I11+I7-0.1</f>
        <v/>
      </c>
      <c r="J12" s="97">
        <f>J11+J7</f>
        <v/>
      </c>
      <c r="K12" s="97">
        <f>K11+K7</f>
        <v/>
      </c>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FF"/>
    <outlinePr summaryBelow="1" summaryRight="1"/>
    <pageSetUpPr fitToPage="1"/>
  </sheetPr>
  <dimension ref="A1:J12"/>
  <sheetViews>
    <sheetView showFormulas="0" showGridLines="1" showRowColHeaders="1" showZeros="1" rightToLeft="0" tabSelected="0" showOutlineSymbols="1" defaultGridColor="1" view="normal" topLeftCell="A1" colorId="64" zoomScale="50" zoomScaleNormal="50" zoomScalePageLayoutView="100" workbookViewId="0">
      <selection pane="topLeft" activeCell="A1" activeCellId="0" sqref="A1:K14"/>
    </sheetView>
  </sheetViews>
  <sheetFormatPr baseColWidth="8" defaultColWidth="9.13671875" defaultRowHeight="12.75" customHeight="1" zeroHeight="0" outlineLevelRow="0"/>
  <cols>
    <col width="21.13" customWidth="1" style="74" min="1" max="1"/>
    <col width="16.99" customWidth="1" style="74" min="2" max="2"/>
    <col width="12.56" customWidth="1" style="74" min="3" max="3"/>
    <col width="7.7" customWidth="1" style="74" min="4" max="7"/>
    <col width="9.41" customWidth="1" style="74" min="8" max="9"/>
    <col hidden="1" width="9.41" customWidth="1" style="74" min="10" max="10"/>
    <col width="9.41" customWidth="1" style="74" min="11" max="11"/>
    <col width="10.99" customWidth="1" style="74" min="12" max="12"/>
    <col width="11.7" customWidth="1" style="74" min="13" max="13"/>
    <col width="16.28" customWidth="1" style="74" min="14" max="24"/>
    <col width="11.7" customWidth="1" style="74" min="25" max="26"/>
    <col width="12.7" customWidth="1" style="74" min="27" max="29"/>
    <col width="16.84" customWidth="1" style="74" min="30" max="30"/>
    <col width="12.7" customWidth="1" style="74" min="31" max="37"/>
    <col width="14.99" customWidth="1" style="74" min="38" max="38"/>
    <col width="11.42" customWidth="1" style="74" min="39" max="46"/>
    <col width="12.7" customWidth="1" style="74" min="47" max="47"/>
    <col width="10.85" customWidth="1" style="74" min="48" max="48"/>
    <col width="15.56" customWidth="1" style="74" min="49" max="49"/>
    <col width="11.42" customWidth="1" style="74" min="50" max="57"/>
    <col width="12.7" customWidth="1" style="74" min="58" max="58"/>
    <col width="12.56" customWidth="1" style="74" min="59" max="66"/>
    <col width="17.42" customWidth="1" style="74" min="67" max="67"/>
    <col width="11.42" customWidth="1" style="74" min="68" max="68"/>
    <col width="14.14" customWidth="1" style="74" min="69" max="69"/>
    <col width="7.28" customWidth="1" style="74" min="70" max="73"/>
    <col width="10.13" customWidth="1" style="74" min="74" max="74"/>
    <col width="12.7" customWidth="1" style="74" min="75" max="82"/>
    <col width="14.99" customWidth="1" style="74" min="83" max="83"/>
    <col width="11.42" customWidth="1" style="74" min="84" max="86"/>
    <col width="14.85" customWidth="1" style="74" min="87" max="87"/>
    <col width="14.14" customWidth="1" style="74" min="88" max="88"/>
  </cols>
  <sheetData>
    <row r="1"/>
    <row r="2" ht="12.75" customHeight="1" s="75">
      <c r="A2" s="101" t="inlineStr">
        <is>
          <t>Resource Zurichine Country Summary</t>
        </is>
      </c>
      <c r="B2" s="101" t="n"/>
      <c r="C2" s="102" t="inlineStr">
        <is>
          <t>FTEs</t>
        </is>
      </c>
      <c r="D2" s="103" t="n"/>
      <c r="E2" s="103" t="n"/>
      <c r="F2" s="103" t="n"/>
      <c r="G2" s="103" t="n"/>
      <c r="H2" s="103" t="n"/>
      <c r="I2" s="104" t="n"/>
      <c r="J2" s="105" t="n"/>
    </row>
    <row r="3" ht="38.25" customHeight="1" s="75">
      <c r="A3" s="101" t="inlineStr">
        <is>
          <t>Country</t>
        </is>
      </c>
      <c r="B3" s="106" t="inlineStr">
        <is>
          <t>Base Year</t>
        </is>
      </c>
      <c r="C3" s="107" t="inlineStr">
        <is>
          <t>Year 1</t>
        </is>
      </c>
      <c r="D3" s="107" t="inlineStr">
        <is>
          <t>Year 2</t>
        </is>
      </c>
      <c r="E3" s="107" t="inlineStr">
        <is>
          <t>Year 3</t>
        </is>
      </c>
      <c r="F3" s="107" t="inlineStr">
        <is>
          <t>Year 4</t>
        </is>
      </c>
      <c r="G3" s="107" t="inlineStr">
        <is>
          <t>Year 5</t>
        </is>
      </c>
      <c r="H3" s="107" t="inlineStr">
        <is>
          <t>Year 6</t>
        </is>
      </c>
      <c r="I3" s="107" t="inlineStr">
        <is>
          <t>Year 7</t>
        </is>
      </c>
      <c r="J3" s="108" t="inlineStr">
        <is>
          <t>Sum of 7 Year Total</t>
        </is>
      </c>
    </row>
    <row r="4" ht="14.25" customHeight="1" s="75">
      <c r="A4" s="109" t="inlineStr">
        <is>
          <t>Switzerland</t>
        </is>
      </c>
      <c r="B4" s="110" t="n">
        <v>22</v>
      </c>
      <c r="C4" s="111" t="n">
        <v>22.116</v>
      </c>
      <c r="D4" s="111" t="n">
        <v>22.116</v>
      </c>
      <c r="E4" s="111" t="n">
        <v>22.116</v>
      </c>
      <c r="F4" s="111" t="n">
        <v>22.116</v>
      </c>
      <c r="G4" s="111" t="n">
        <v>22.116</v>
      </c>
      <c r="H4" s="111" t="n">
        <v>22.116</v>
      </c>
      <c r="I4" s="111" t="n">
        <v>22.116</v>
      </c>
      <c r="J4" s="112" t="n">
        <v>0</v>
      </c>
    </row>
    <row r="5" ht="14.25" customHeight="1" s="75">
      <c r="A5" s="113" t="inlineStr">
        <is>
          <t>US</t>
        </is>
      </c>
      <c r="B5" s="114" t="n">
        <v>26</v>
      </c>
      <c r="C5" s="115" t="n">
        <v>24.455</v>
      </c>
      <c r="D5" s="115" t="n">
        <v>24.5</v>
      </c>
      <c r="E5" s="115" t="n">
        <v>24.5</v>
      </c>
      <c r="F5" s="115" t="n">
        <v>24.5</v>
      </c>
      <c r="G5" s="115" t="n">
        <v>24.5</v>
      </c>
      <c r="H5" s="115" t="n">
        <v>24.5</v>
      </c>
      <c r="I5" s="115" t="n">
        <v>24.5</v>
      </c>
      <c r="J5" s="116" t="n">
        <v>0</v>
      </c>
    </row>
    <row r="6" ht="14.25" customHeight="1" s="75">
      <c r="A6" s="113" t="inlineStr">
        <is>
          <t>France</t>
        </is>
      </c>
      <c r="B6" s="114" t="n">
        <v>23</v>
      </c>
      <c r="C6" s="115" t="n">
        <v>26</v>
      </c>
      <c r="D6" s="115" t="n">
        <v>26</v>
      </c>
      <c r="E6" s="115" t="n">
        <v>26</v>
      </c>
      <c r="F6" s="115" t="n">
        <v>26</v>
      </c>
      <c r="G6" s="115" t="n">
        <v>26</v>
      </c>
      <c r="H6" s="115" t="n">
        <v>26</v>
      </c>
      <c r="I6" s="115" t="n">
        <v>26</v>
      </c>
      <c r="J6" s="116" t="n">
        <v>0</v>
      </c>
    </row>
    <row r="7" ht="14.25" customHeight="1" s="75">
      <c r="A7" s="113" t="inlineStr">
        <is>
          <t>Germany</t>
        </is>
      </c>
      <c r="B7" s="114" t="n">
        <v>17</v>
      </c>
      <c r="C7" s="115" t="n">
        <v>13.316</v>
      </c>
      <c r="D7" s="115" t="n">
        <v>13.316</v>
      </c>
      <c r="E7" s="115" t="n">
        <v>13.316</v>
      </c>
      <c r="F7" s="115" t="n">
        <v>13.316</v>
      </c>
      <c r="G7" s="115" t="n">
        <v>13.316</v>
      </c>
      <c r="H7" s="115" t="n">
        <v>13.316</v>
      </c>
      <c r="I7" s="115" t="n">
        <v>13.316</v>
      </c>
      <c r="J7" s="116" t="n">
        <v>0</v>
      </c>
    </row>
    <row r="8" ht="14.25" customHeight="1" s="75">
      <c r="A8" s="113" t="inlineStr">
        <is>
          <t>Spain</t>
        </is>
      </c>
      <c r="B8" s="114" t="n">
        <v>12</v>
      </c>
      <c r="C8" s="115">
        <f>13.115-2</f>
        <v/>
      </c>
      <c r="D8" s="115">
        <f>13.115-2</f>
        <v/>
      </c>
      <c r="E8" s="115">
        <f>13.115-2</f>
        <v/>
      </c>
      <c r="F8" s="115">
        <f>13.115-2</f>
        <v/>
      </c>
      <c r="G8" s="115">
        <f>13.115-2</f>
        <v/>
      </c>
      <c r="H8" s="115">
        <f>13.115-2</f>
        <v/>
      </c>
      <c r="I8" s="115">
        <f>13.115-2</f>
        <v/>
      </c>
      <c r="J8" s="116" t="n">
        <v>0</v>
      </c>
    </row>
    <row r="9" ht="14.25" customHeight="1" s="75">
      <c r="A9" s="113" t="inlineStr">
        <is>
          <t>Italy</t>
        </is>
      </c>
      <c r="B9" s="114" t="n">
        <v>14</v>
      </c>
      <c r="C9" s="115" t="n">
        <v>12.319</v>
      </c>
      <c r="D9" s="115" t="n">
        <v>12.319</v>
      </c>
      <c r="E9" s="115" t="n">
        <v>12.319</v>
      </c>
      <c r="F9" s="115" t="n">
        <v>12.319</v>
      </c>
      <c r="G9" s="115" t="n">
        <v>12.319</v>
      </c>
      <c r="H9" s="115" t="n">
        <v>12.34</v>
      </c>
      <c r="I9" s="115" t="n">
        <v>12.34</v>
      </c>
      <c r="J9" s="116" t="n">
        <v>0</v>
      </c>
    </row>
    <row r="10" ht="14.25" customHeight="1" s="75">
      <c r="A10" s="113" t="inlineStr">
        <is>
          <t>UK</t>
        </is>
      </c>
      <c r="B10" s="114" t="n">
        <v>11</v>
      </c>
      <c r="C10" s="115" t="n">
        <v>12.7</v>
      </c>
      <c r="D10" s="115" t="n">
        <v>12.7</v>
      </c>
      <c r="E10" s="115" t="n">
        <v>12.7</v>
      </c>
      <c r="F10" s="115" t="n">
        <v>12.7</v>
      </c>
      <c r="G10" s="115" t="n">
        <v>12.7</v>
      </c>
      <c r="H10" s="115" t="n">
        <v>12.7</v>
      </c>
      <c r="I10" s="115" t="n">
        <v>12.7</v>
      </c>
      <c r="J10" s="116" t="n">
        <v>0</v>
      </c>
    </row>
    <row r="11" ht="17.25" customHeight="1" s="75">
      <c r="A11" s="113" t="inlineStr">
        <is>
          <t>Germany Prod</t>
        </is>
      </c>
      <c r="B11" s="114" t="n">
        <v>1</v>
      </c>
      <c r="C11" s="115" t="n">
        <v>3.37</v>
      </c>
      <c r="D11" s="115" t="n">
        <v>3.37</v>
      </c>
      <c r="E11" s="115" t="n">
        <v>3.37</v>
      </c>
      <c r="F11" s="115" t="n">
        <v>3.37</v>
      </c>
      <c r="G11" s="115" t="n">
        <v>3.37</v>
      </c>
      <c r="H11" s="115" t="n">
        <v>3.37</v>
      </c>
      <c r="I11" s="115" t="n">
        <v>3.37</v>
      </c>
      <c r="J11" s="116" t="n">
        <v>0</v>
      </c>
    </row>
    <row r="12" ht="15.75" customHeight="1" s="75">
      <c r="A12" s="117" t="inlineStr">
        <is>
          <t>Grand Total</t>
        </is>
      </c>
      <c r="B12" s="118">
        <f>SUM(B4:B11)</f>
        <v/>
      </c>
      <c r="C12" s="119">
        <f>SUM(C4:C11)</f>
        <v/>
      </c>
      <c r="D12" s="119">
        <f>SUM(D4:D11)</f>
        <v/>
      </c>
      <c r="E12" s="119">
        <f>SUM(E4:E11)</f>
        <v/>
      </c>
      <c r="F12" s="119">
        <f>SUM(F4:F11)</f>
        <v/>
      </c>
      <c r="G12" s="119">
        <f>SUM(G4:G11)</f>
        <v/>
      </c>
      <c r="H12" s="119">
        <f>SUM(H4:H11)</f>
        <v/>
      </c>
      <c r="I12" s="119">
        <f>SUM(I4:I11)</f>
        <v/>
      </c>
      <c r="J12" s="120" t="n">
        <v>0</v>
      </c>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0FFFF"/>
    <outlinePr summaryBelow="1" summaryRight="1"/>
    <pageSetUpPr fitToPage="1"/>
  </sheetPr>
  <dimension ref="A1:K168"/>
  <sheetViews>
    <sheetView showFormulas="0" showGridLines="1" showRowColHeaders="1" showZeros="1" rightToLeft="0" tabSelected="0" showOutlineSymbols="1" defaultGridColor="1" view="normal" topLeftCell="A1" colorId="64" zoomScale="50" zoomScaleNormal="5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L170"/>
    </sheetView>
  </sheetViews>
  <sheetFormatPr baseColWidth="8" defaultColWidth="9.13671875" defaultRowHeight="12.75" customHeight="1" zeroHeight="0" outlineLevelRow="0"/>
  <cols>
    <col width="18.56" customWidth="1" style="74" min="1" max="1"/>
    <col width="17.28" customWidth="1" style="74" min="2" max="2"/>
    <col width="15.99" customWidth="1" style="74" min="3" max="3"/>
    <col width="10.99" customWidth="1" style="74" min="4" max="11"/>
    <col width="11.7" customWidth="1" style="74" min="12" max="12"/>
    <col width="16.28" customWidth="1" style="74" min="13" max="23"/>
    <col width="11.7" customWidth="1" style="74" min="24" max="25"/>
    <col width="12.7" customWidth="1" style="74" min="26" max="28"/>
    <col width="16.84" customWidth="1" style="74" min="29" max="29"/>
    <col width="12.7" customWidth="1" style="74" min="30" max="36"/>
    <col width="14.99" customWidth="1" style="74" min="37" max="37"/>
    <col width="11.42" customWidth="1" style="74" min="38" max="45"/>
    <col width="12.7" customWidth="1" style="74" min="46" max="46"/>
    <col width="10.85" customWidth="1" style="74" min="47" max="47"/>
    <col width="15.56" customWidth="1" style="74" min="48" max="48"/>
    <col width="11.42" customWidth="1" style="74" min="49" max="56"/>
    <col width="12.7" customWidth="1" style="74" min="57" max="57"/>
    <col width="12.56" customWidth="1" style="74" min="58" max="65"/>
    <col width="17.42" customWidth="1" style="74" min="66" max="66"/>
    <col width="11.42" customWidth="1" style="74" min="67" max="67"/>
    <col width="14.14" customWidth="1" style="74" min="68" max="68"/>
    <col width="7.28" customWidth="1" style="74" min="69" max="72"/>
    <col width="10.13" customWidth="1" style="74" min="73" max="73"/>
    <col width="12.7" customWidth="1" style="74" min="74" max="81"/>
    <col width="14.99" customWidth="1" style="74" min="82" max="82"/>
    <col width="11.42" customWidth="1" style="74" min="83" max="85"/>
    <col width="14.85" customWidth="1" style="74" min="86" max="86"/>
    <col width="14.14" customWidth="1" style="74" min="87" max="87"/>
  </cols>
  <sheetData>
    <row r="1"/>
    <row r="2" ht="12.75" customHeight="1" s="75">
      <c r="A2" s="121" t="inlineStr">
        <is>
          <t>Resource Zurichine Country &amp; Process Summary</t>
        </is>
      </c>
      <c r="B2" s="122" t="n"/>
      <c r="C2" s="123" t="n"/>
      <c r="D2" s="121" t="inlineStr">
        <is>
          <t>FTEs</t>
        </is>
      </c>
      <c r="E2" s="123" t="n"/>
      <c r="F2" s="123" t="n"/>
      <c r="G2" s="123" t="n"/>
      <c r="H2" s="123" t="n"/>
      <c r="I2" s="123" t="n"/>
      <c r="J2" s="123" t="n"/>
      <c r="K2" s="123" t="n"/>
    </row>
    <row r="3" ht="12.75" customHeight="1" s="75">
      <c r="A3" s="121" t="inlineStr">
        <is>
          <t>Country</t>
        </is>
      </c>
      <c r="B3" s="121" t="inlineStr">
        <is>
          <t>Process</t>
        </is>
      </c>
      <c r="C3" s="121" t="inlineStr">
        <is>
          <t>Source</t>
        </is>
      </c>
      <c r="D3" s="124" t="inlineStr">
        <is>
          <t>Base Year</t>
        </is>
      </c>
      <c r="E3" s="125" t="inlineStr">
        <is>
          <t>Year 1</t>
        </is>
      </c>
      <c r="F3" s="125" t="inlineStr">
        <is>
          <t>Year 2</t>
        </is>
      </c>
      <c r="G3" s="125" t="inlineStr">
        <is>
          <t>Year 3</t>
        </is>
      </c>
      <c r="H3" s="125" t="inlineStr">
        <is>
          <t>Year 4</t>
        </is>
      </c>
      <c r="I3" s="125" t="inlineStr">
        <is>
          <t>Year 5</t>
        </is>
      </c>
      <c r="J3" s="125" t="inlineStr">
        <is>
          <t>Year 6</t>
        </is>
      </c>
      <c r="K3" s="125" t="inlineStr">
        <is>
          <t>Year 7</t>
        </is>
      </c>
    </row>
    <row r="4" ht="14.25" customHeight="1" s="75">
      <c r="A4" s="126" t="inlineStr">
        <is>
          <t>Switzerland</t>
        </is>
      </c>
      <c r="B4" s="127" t="inlineStr">
        <is>
          <t>Gen Acctg</t>
        </is>
      </c>
      <c r="C4" s="127" t="inlineStr">
        <is>
          <t>Supplier assumed</t>
        </is>
      </c>
      <c r="D4" s="128" t="n">
        <v>2</v>
      </c>
      <c r="E4" s="129" t="n">
        <v>2.425</v>
      </c>
      <c r="F4" s="129" t="n">
        <v>2.425</v>
      </c>
      <c r="G4" s="129" t="n">
        <v>2.425</v>
      </c>
      <c r="H4" s="129" t="n">
        <v>2.425</v>
      </c>
      <c r="I4" s="129" t="n">
        <v>2.425</v>
      </c>
      <c r="J4" s="129" t="n">
        <v>2.425</v>
      </c>
      <c r="K4" s="129" t="n">
        <v>2.425</v>
      </c>
    </row>
    <row r="5" ht="14.25" customHeight="1" s="75">
      <c r="A5" s="130" t="n"/>
      <c r="B5" s="131" t="n"/>
      <c r="C5" s="132" t="inlineStr">
        <is>
          <t>Pass through</t>
        </is>
      </c>
      <c r="D5" s="133" t="n">
        <v>0</v>
      </c>
      <c r="E5" s="134" t="n">
        <v>0</v>
      </c>
      <c r="F5" s="134" t="n">
        <v>0</v>
      </c>
      <c r="G5" s="134" t="n">
        <v>0</v>
      </c>
      <c r="H5" s="134" t="n">
        <v>0</v>
      </c>
      <c r="I5" s="134" t="n">
        <v>0</v>
      </c>
      <c r="J5" s="134" t="n">
        <v>0</v>
      </c>
      <c r="K5" s="134" t="n">
        <v>0</v>
      </c>
    </row>
    <row r="6" ht="14.25" customHeight="1" s="75">
      <c r="A6" s="130" t="n"/>
      <c r="B6" s="127" t="inlineStr">
        <is>
          <t>Gen Acctg Total</t>
        </is>
      </c>
      <c r="C6" s="122" t="n"/>
      <c r="D6" s="128">
        <f>SUM(D4:D5)</f>
        <v/>
      </c>
      <c r="E6" s="129" t="n">
        <v>2.425</v>
      </c>
      <c r="F6" s="129" t="n">
        <v>2.425</v>
      </c>
      <c r="G6" s="129" t="n">
        <v>2.425</v>
      </c>
      <c r="H6" s="129" t="n">
        <v>2.425</v>
      </c>
      <c r="I6" s="129" t="n">
        <v>2.425</v>
      </c>
      <c r="J6" s="129" t="n">
        <v>2.425</v>
      </c>
      <c r="K6" s="129" t="n">
        <v>2.425</v>
      </c>
    </row>
    <row r="7" ht="14.25" customHeight="1" s="75">
      <c r="A7" s="130" t="n"/>
      <c r="B7" s="127" t="inlineStr">
        <is>
          <t>Reporting</t>
        </is>
      </c>
      <c r="C7" s="127" t="inlineStr">
        <is>
          <t>Supplier assumed</t>
        </is>
      </c>
      <c r="D7" s="128" t="n">
        <v>0</v>
      </c>
      <c r="E7" s="129" t="n">
        <v>0</v>
      </c>
      <c r="F7" s="129" t="n">
        <v>0</v>
      </c>
      <c r="G7" s="129" t="n">
        <v>0</v>
      </c>
      <c r="H7" s="129" t="n">
        <v>0</v>
      </c>
      <c r="I7" s="129" t="n">
        <v>0</v>
      </c>
      <c r="J7" s="129" t="n">
        <v>0</v>
      </c>
      <c r="K7" s="129" t="n">
        <v>0</v>
      </c>
    </row>
    <row r="8" ht="14.25" customHeight="1" s="75">
      <c r="A8" s="130" t="n"/>
      <c r="B8" s="131" t="n"/>
      <c r="C8" s="132" t="inlineStr">
        <is>
          <t>Pass through</t>
        </is>
      </c>
      <c r="D8" s="133" t="n">
        <v>0</v>
      </c>
      <c r="E8" s="134" t="n">
        <v>0</v>
      </c>
      <c r="F8" s="134" t="n">
        <v>0</v>
      </c>
      <c r="G8" s="134" t="n">
        <v>0</v>
      </c>
      <c r="H8" s="134" t="n">
        <v>0</v>
      </c>
      <c r="I8" s="134" t="n">
        <v>0</v>
      </c>
      <c r="J8" s="134" t="n">
        <v>0</v>
      </c>
      <c r="K8" s="134" t="n">
        <v>0</v>
      </c>
    </row>
    <row r="9" ht="14.25" customHeight="1" s="75">
      <c r="A9" s="130" t="n"/>
      <c r="B9" s="127" t="inlineStr">
        <is>
          <t>Reporting Total</t>
        </is>
      </c>
      <c r="C9" s="122" t="n"/>
      <c r="D9" s="128" t="n">
        <v>0</v>
      </c>
      <c r="E9" s="129" t="n">
        <v>0</v>
      </c>
      <c r="F9" s="129" t="n">
        <v>0</v>
      </c>
      <c r="G9" s="129" t="n">
        <v>0</v>
      </c>
      <c r="H9" s="129" t="n">
        <v>0</v>
      </c>
      <c r="I9" s="129" t="n">
        <v>0</v>
      </c>
      <c r="J9" s="129" t="n">
        <v>0</v>
      </c>
      <c r="K9" s="129" t="n">
        <v>0</v>
      </c>
    </row>
    <row r="10" ht="14.25" customHeight="1" s="75">
      <c r="A10" s="130" t="n"/>
      <c r="B10" s="127" t="inlineStr">
        <is>
          <t>Acct Payable</t>
        </is>
      </c>
      <c r="C10" s="127" t="inlineStr">
        <is>
          <t>Supplier assumed</t>
        </is>
      </c>
      <c r="D10" s="128" t="n">
        <v>13</v>
      </c>
      <c r="E10" s="129" t="n">
        <v>12.61</v>
      </c>
      <c r="F10" s="129" t="n">
        <v>12.61</v>
      </c>
      <c r="G10" s="129" t="n">
        <v>12.61</v>
      </c>
      <c r="H10" s="129" t="n">
        <v>12.61</v>
      </c>
      <c r="I10" s="129" t="n">
        <v>12.61</v>
      </c>
      <c r="J10" s="129" t="n">
        <v>12.61</v>
      </c>
      <c r="K10" s="129" t="n">
        <v>12.61</v>
      </c>
    </row>
    <row r="11" ht="14.25" customHeight="1" s="75">
      <c r="A11" s="130" t="n"/>
      <c r="B11" s="131" t="n"/>
      <c r="C11" s="132" t="inlineStr">
        <is>
          <t>Pass through</t>
        </is>
      </c>
      <c r="D11" s="133" t="n">
        <v>0</v>
      </c>
      <c r="E11" s="134" t="n">
        <v>0</v>
      </c>
      <c r="F11" s="134" t="n">
        <v>0</v>
      </c>
      <c r="G11" s="134" t="n">
        <v>0</v>
      </c>
      <c r="H11" s="134" t="n">
        <v>0</v>
      </c>
      <c r="I11" s="134" t="n">
        <v>0</v>
      </c>
      <c r="J11" s="134" t="n">
        <v>0</v>
      </c>
      <c r="K11" s="134" t="n">
        <v>0</v>
      </c>
    </row>
    <row r="12" ht="14.25" customHeight="1" s="75">
      <c r="A12" s="130" t="n"/>
      <c r="B12" s="127" t="inlineStr">
        <is>
          <t>Acct Payable Total</t>
        </is>
      </c>
      <c r="C12" s="122" t="n"/>
      <c r="D12" s="128" t="n">
        <v>13</v>
      </c>
      <c r="E12" s="129" t="n">
        <v>12.61</v>
      </c>
      <c r="F12" s="129" t="n">
        <v>12.61</v>
      </c>
      <c r="G12" s="129" t="n">
        <v>12.61</v>
      </c>
      <c r="H12" s="129" t="n">
        <v>12.61</v>
      </c>
      <c r="I12" s="129" t="n">
        <v>12.61</v>
      </c>
      <c r="J12" s="129" t="n">
        <v>12.61</v>
      </c>
      <c r="K12" s="129" t="n">
        <v>12.61</v>
      </c>
    </row>
    <row r="13" ht="14.25" customHeight="1" s="75">
      <c r="A13" s="130" t="n"/>
      <c r="B13" s="127" t="inlineStr">
        <is>
          <t>T&amp;E</t>
        </is>
      </c>
      <c r="C13" s="127" t="inlineStr">
        <is>
          <t>Supplier assumed</t>
        </is>
      </c>
      <c r="D13" s="128" t="n">
        <v>0</v>
      </c>
      <c r="E13" s="129" t="n">
        <v>0</v>
      </c>
      <c r="F13" s="129" t="n">
        <v>0</v>
      </c>
      <c r="G13" s="129" t="n">
        <v>0</v>
      </c>
      <c r="H13" s="129" t="n">
        <v>0</v>
      </c>
      <c r="I13" s="129" t="n">
        <v>0</v>
      </c>
      <c r="J13" s="129" t="n">
        <v>0</v>
      </c>
      <c r="K13" s="129" t="n">
        <v>0</v>
      </c>
    </row>
    <row r="14" ht="14.25" customHeight="1" s="75">
      <c r="A14" s="130" t="n"/>
      <c r="B14" s="131" t="n"/>
      <c r="C14" s="132" t="inlineStr">
        <is>
          <t>Pass through</t>
        </is>
      </c>
      <c r="D14" s="133" t="n">
        <v>0</v>
      </c>
      <c r="E14" s="134" t="n">
        <v>0</v>
      </c>
      <c r="F14" s="134" t="n">
        <v>0</v>
      </c>
      <c r="G14" s="134" t="n">
        <v>0</v>
      </c>
      <c r="H14" s="134" t="n">
        <v>0</v>
      </c>
      <c r="I14" s="134" t="n">
        <v>0</v>
      </c>
      <c r="J14" s="134" t="n">
        <v>0</v>
      </c>
      <c r="K14" s="134" t="n">
        <v>0</v>
      </c>
    </row>
    <row r="15" ht="14.25" customHeight="1" s="75">
      <c r="A15" s="130" t="n"/>
      <c r="B15" s="127" t="inlineStr">
        <is>
          <t>T&amp;E Total</t>
        </is>
      </c>
      <c r="C15" s="122" t="n"/>
      <c r="D15" s="128" t="n">
        <v>0</v>
      </c>
      <c r="E15" s="129" t="n">
        <v>0</v>
      </c>
      <c r="F15" s="129" t="n">
        <v>0</v>
      </c>
      <c r="G15" s="129" t="n">
        <v>0</v>
      </c>
      <c r="H15" s="129" t="n">
        <v>0</v>
      </c>
      <c r="I15" s="129" t="n">
        <v>0</v>
      </c>
      <c r="J15" s="129" t="n">
        <v>0</v>
      </c>
      <c r="K15" s="129" t="n">
        <v>0</v>
      </c>
    </row>
    <row r="16" ht="14.25" customHeight="1" s="75">
      <c r="A16" s="130" t="n"/>
      <c r="B16" s="127" t="inlineStr">
        <is>
          <t>Order to Cash</t>
        </is>
      </c>
      <c r="C16" s="127" t="inlineStr">
        <is>
          <t>Supplier assumed</t>
        </is>
      </c>
      <c r="D16" s="128" t="n">
        <v>1</v>
      </c>
      <c r="E16" s="129" t="n">
        <v>0.97</v>
      </c>
      <c r="F16" s="129" t="n">
        <v>0.97</v>
      </c>
      <c r="G16" s="129" t="n">
        <v>0.97</v>
      </c>
      <c r="H16" s="129" t="n">
        <v>0.97</v>
      </c>
      <c r="I16" s="129" t="n">
        <v>0.97</v>
      </c>
      <c r="J16" s="129" t="n">
        <v>0.97</v>
      </c>
      <c r="K16" s="129" t="n">
        <v>0.97</v>
      </c>
    </row>
    <row r="17" ht="14.25" customHeight="1" s="75">
      <c r="A17" s="130" t="n"/>
      <c r="B17" s="131" t="n"/>
      <c r="C17" s="132" t="inlineStr">
        <is>
          <t>Pass through</t>
        </is>
      </c>
      <c r="D17" s="133" t="n">
        <v>0</v>
      </c>
      <c r="E17" s="134" t="n">
        <v>0</v>
      </c>
      <c r="F17" s="134" t="n">
        <v>0</v>
      </c>
      <c r="G17" s="134" t="n">
        <v>0</v>
      </c>
      <c r="H17" s="134" t="n">
        <v>0</v>
      </c>
      <c r="I17" s="134" t="n">
        <v>0</v>
      </c>
      <c r="J17" s="134" t="n">
        <v>0</v>
      </c>
      <c r="K17" s="134" t="n">
        <v>0</v>
      </c>
    </row>
    <row r="18" ht="14.25" customHeight="1" s="75">
      <c r="A18" s="130" t="n"/>
      <c r="B18" s="127" t="inlineStr">
        <is>
          <t>Order to Cash Total</t>
        </is>
      </c>
      <c r="C18" s="122" t="n"/>
      <c r="D18" s="128" t="n">
        <v>1</v>
      </c>
      <c r="E18" s="129" t="n">
        <v>0.97</v>
      </c>
      <c r="F18" s="129" t="n">
        <v>0.97</v>
      </c>
      <c r="G18" s="129" t="n">
        <v>0.97</v>
      </c>
      <c r="H18" s="129" t="n">
        <v>0.97</v>
      </c>
      <c r="I18" s="129" t="n">
        <v>0.97</v>
      </c>
      <c r="J18" s="129" t="n">
        <v>0.97</v>
      </c>
      <c r="K18" s="129" t="n">
        <v>0.97</v>
      </c>
    </row>
    <row r="19" ht="14.25" customHeight="1" s="75">
      <c r="A19" s="130" t="n"/>
      <c r="B19" s="127" t="inlineStr">
        <is>
          <t>Req to Pay</t>
        </is>
      </c>
      <c r="C19" s="127" t="inlineStr">
        <is>
          <t>Supplier assumed</t>
        </is>
      </c>
      <c r="D19" s="128" t="n">
        <v>0</v>
      </c>
      <c r="E19" s="129" t="n">
        <v>0</v>
      </c>
      <c r="F19" s="129" t="n">
        <v>0</v>
      </c>
      <c r="G19" s="129" t="n">
        <v>0</v>
      </c>
      <c r="H19" s="129" t="n">
        <v>0</v>
      </c>
      <c r="I19" s="129" t="n">
        <v>0</v>
      </c>
      <c r="J19" s="129" t="n">
        <v>0</v>
      </c>
      <c r="K19" s="129" t="n">
        <v>0</v>
      </c>
    </row>
    <row r="20" ht="14.25" customHeight="1" s="75">
      <c r="A20" s="130" t="n"/>
      <c r="B20" s="131" t="n"/>
      <c r="C20" s="132" t="inlineStr">
        <is>
          <t>Pass through</t>
        </is>
      </c>
      <c r="D20" s="133" t="n">
        <v>6</v>
      </c>
      <c r="E20" s="134" t="n">
        <v>6.111</v>
      </c>
      <c r="F20" s="134" t="n">
        <v>6.111</v>
      </c>
      <c r="G20" s="134" t="n">
        <v>6.111</v>
      </c>
      <c r="H20" s="134" t="n">
        <v>6.111</v>
      </c>
      <c r="I20" s="134" t="n">
        <v>6.111</v>
      </c>
      <c r="J20" s="134" t="n">
        <v>6.111</v>
      </c>
      <c r="K20" s="134" t="n">
        <v>6.111</v>
      </c>
    </row>
    <row r="21" ht="14.25" customHeight="1" s="75">
      <c r="A21" s="130" t="n"/>
      <c r="B21" s="127" t="inlineStr">
        <is>
          <t>Req to Pay Total</t>
        </is>
      </c>
      <c r="C21" s="122" t="n"/>
      <c r="D21" s="128">
        <f>SUM(D19:D20)</f>
        <v/>
      </c>
      <c r="E21" s="129" t="n">
        <v>6.111</v>
      </c>
      <c r="F21" s="129" t="n">
        <v>6.111</v>
      </c>
      <c r="G21" s="129" t="n">
        <v>6.111</v>
      </c>
      <c r="H21" s="129" t="n">
        <v>6.111</v>
      </c>
      <c r="I21" s="129" t="n">
        <v>6.111</v>
      </c>
      <c r="J21" s="129" t="n">
        <v>6.111</v>
      </c>
      <c r="K21" s="129" t="n">
        <v>6.111</v>
      </c>
    </row>
    <row r="22" ht="14.25" customHeight="1" s="75">
      <c r="A22" s="127" t="inlineStr">
        <is>
          <t>Zurich Total</t>
        </is>
      </c>
      <c r="B22" s="122" t="n"/>
      <c r="C22" s="122" t="n"/>
      <c r="D22" s="128">
        <f>D21+D18+D15+D12+D9+D6</f>
        <v/>
      </c>
      <c r="E22" s="129" t="n">
        <v>22.116</v>
      </c>
      <c r="F22" s="129" t="n">
        <v>22.116</v>
      </c>
      <c r="G22" s="129" t="n">
        <v>22.116</v>
      </c>
      <c r="H22" s="129" t="n">
        <v>22.116</v>
      </c>
      <c r="I22" s="129" t="n">
        <v>22.116</v>
      </c>
      <c r="J22" s="129" t="n">
        <v>22.116</v>
      </c>
      <c r="K22" s="129" t="n">
        <v>22.116</v>
      </c>
    </row>
    <row r="23" ht="14.25" customHeight="1" s="75">
      <c r="A23" s="126" t="inlineStr">
        <is>
          <t>US</t>
        </is>
      </c>
      <c r="B23" s="127" t="inlineStr">
        <is>
          <t>Gen Acctg</t>
        </is>
      </c>
      <c r="C23" s="127" t="inlineStr">
        <is>
          <t>Supplier assumed</t>
        </is>
      </c>
      <c r="D23" s="128" t="n">
        <v>2</v>
      </c>
      <c r="E23" s="129" t="n">
        <v>1.455</v>
      </c>
      <c r="F23" s="129" t="n">
        <v>1.5</v>
      </c>
      <c r="G23" s="129" t="n">
        <v>1.5</v>
      </c>
      <c r="H23" s="129" t="n">
        <v>1.5</v>
      </c>
      <c r="I23" s="129" t="n">
        <v>1.5</v>
      </c>
      <c r="J23" s="129" t="n">
        <v>1.5</v>
      </c>
      <c r="K23" s="129" t="n">
        <v>1.5</v>
      </c>
    </row>
    <row r="24" ht="14.25" customHeight="1" s="75">
      <c r="A24" s="130" t="n"/>
      <c r="B24" s="131" t="n"/>
      <c r="C24" s="132" t="inlineStr">
        <is>
          <t>Pass through</t>
        </is>
      </c>
      <c r="D24" s="133" t="n">
        <v>0</v>
      </c>
      <c r="E24" s="134" t="n">
        <v>0</v>
      </c>
      <c r="F24" s="134" t="n">
        <v>0</v>
      </c>
      <c r="G24" s="134" t="n">
        <v>0</v>
      </c>
      <c r="H24" s="134" t="n">
        <v>0</v>
      </c>
      <c r="I24" s="134" t="n">
        <v>0</v>
      </c>
      <c r="J24" s="134" t="n">
        <v>0</v>
      </c>
      <c r="K24" s="134" t="n">
        <v>0</v>
      </c>
    </row>
    <row r="25" ht="14.25" customHeight="1" s="75">
      <c r="A25" s="130" t="n"/>
      <c r="B25" s="127" t="inlineStr">
        <is>
          <t>Gen Acctg Total</t>
        </is>
      </c>
      <c r="C25" s="122" t="n"/>
      <c r="D25" s="128">
        <f>SUM(D23:D24)</f>
        <v/>
      </c>
      <c r="E25" s="129" t="n">
        <v>1.455</v>
      </c>
      <c r="F25" s="129" t="n">
        <v>1.5</v>
      </c>
      <c r="G25" s="129" t="n">
        <v>1.5</v>
      </c>
      <c r="H25" s="129" t="n">
        <v>1.5</v>
      </c>
      <c r="I25" s="129" t="n">
        <v>1.5</v>
      </c>
      <c r="J25" s="129" t="n">
        <v>1.5</v>
      </c>
      <c r="K25" s="129" t="n">
        <v>1.5</v>
      </c>
    </row>
    <row r="26" ht="14.25" customHeight="1" s="75">
      <c r="A26" s="130" t="n"/>
      <c r="B26" s="127" t="inlineStr">
        <is>
          <t>Reporting</t>
        </is>
      </c>
      <c r="C26" s="127" t="inlineStr">
        <is>
          <t>Supplier assumed</t>
        </is>
      </c>
      <c r="D26" s="128" t="n">
        <v>0</v>
      </c>
      <c r="E26" s="129" t="n">
        <v>0</v>
      </c>
      <c r="F26" s="129" t="n">
        <v>0</v>
      </c>
      <c r="G26" s="129" t="n">
        <v>0</v>
      </c>
      <c r="H26" s="129" t="n">
        <v>0</v>
      </c>
      <c r="I26" s="129" t="n">
        <v>0</v>
      </c>
      <c r="J26" s="129" t="n">
        <v>0</v>
      </c>
      <c r="K26" s="129" t="n">
        <v>0</v>
      </c>
    </row>
    <row r="27" ht="14.25" customHeight="1" s="75">
      <c r="A27" s="130" t="n"/>
      <c r="B27" s="131" t="n"/>
      <c r="C27" s="132" t="inlineStr">
        <is>
          <t>Pass through</t>
        </is>
      </c>
      <c r="D27" s="133" t="n">
        <v>0</v>
      </c>
      <c r="E27" s="134" t="n">
        <v>0</v>
      </c>
      <c r="F27" s="134" t="n">
        <v>0</v>
      </c>
      <c r="G27" s="134" t="n">
        <v>0</v>
      </c>
      <c r="H27" s="134" t="n">
        <v>0</v>
      </c>
      <c r="I27" s="134" t="n">
        <v>0</v>
      </c>
      <c r="J27" s="134" t="n">
        <v>0</v>
      </c>
      <c r="K27" s="134" t="n">
        <v>0</v>
      </c>
    </row>
    <row r="28" ht="14.25" customHeight="1" s="75">
      <c r="A28" s="130" t="n"/>
      <c r="B28" s="127" t="inlineStr">
        <is>
          <t>Reporting Total</t>
        </is>
      </c>
      <c r="C28" s="122" t="n"/>
      <c r="D28" s="128" t="n">
        <v>0</v>
      </c>
      <c r="E28" s="129" t="n">
        <v>0</v>
      </c>
      <c r="F28" s="129" t="n">
        <v>0</v>
      </c>
      <c r="G28" s="129" t="n">
        <v>0</v>
      </c>
      <c r="H28" s="129" t="n">
        <v>0</v>
      </c>
      <c r="I28" s="129" t="n">
        <v>0</v>
      </c>
      <c r="J28" s="129" t="n">
        <v>0</v>
      </c>
      <c r="K28" s="129" t="n">
        <v>0</v>
      </c>
    </row>
    <row r="29" ht="14.25" customHeight="1" s="75">
      <c r="A29" s="130" t="n"/>
      <c r="B29" s="127" t="inlineStr">
        <is>
          <t>Fixed Assets</t>
        </is>
      </c>
      <c r="C29" s="127" t="inlineStr">
        <is>
          <t>Supplier assumed</t>
        </is>
      </c>
      <c r="D29" s="128" t="n">
        <v>2</v>
      </c>
      <c r="E29" s="129" t="n">
        <v>2</v>
      </c>
      <c r="F29" s="129" t="n">
        <v>2</v>
      </c>
      <c r="G29" s="129" t="n">
        <v>2</v>
      </c>
      <c r="H29" s="129" t="n">
        <v>2</v>
      </c>
      <c r="I29" s="129" t="n">
        <v>2</v>
      </c>
      <c r="J29" s="129" t="n">
        <v>2</v>
      </c>
      <c r="K29" s="129" t="n">
        <v>2</v>
      </c>
    </row>
    <row r="30" ht="14.25" customHeight="1" s="75">
      <c r="A30" s="130" t="n"/>
      <c r="B30" s="131" t="n"/>
      <c r="C30" s="132" t="inlineStr">
        <is>
          <t>Pass through</t>
        </is>
      </c>
      <c r="D30" s="133" t="n">
        <v>0</v>
      </c>
      <c r="E30" s="134" t="n">
        <v>0</v>
      </c>
      <c r="F30" s="134" t="n">
        <v>0</v>
      </c>
      <c r="G30" s="134" t="n">
        <v>0</v>
      </c>
      <c r="H30" s="134" t="n">
        <v>0</v>
      </c>
      <c r="I30" s="134" t="n">
        <v>0</v>
      </c>
      <c r="J30" s="134" t="n">
        <v>0</v>
      </c>
      <c r="K30" s="134" t="n">
        <v>0</v>
      </c>
    </row>
    <row r="31" ht="14.25" customHeight="1" s="75">
      <c r="A31" s="130" t="n"/>
      <c r="B31" s="127" t="inlineStr">
        <is>
          <t>Fixed Assets Total</t>
        </is>
      </c>
      <c r="C31" s="122" t="n"/>
      <c r="D31" s="128">
        <f>SUM(D29:D30)</f>
        <v/>
      </c>
      <c r="E31" s="129" t="n">
        <v>2</v>
      </c>
      <c r="F31" s="129" t="n">
        <v>2</v>
      </c>
      <c r="G31" s="129" t="n">
        <v>2</v>
      </c>
      <c r="H31" s="129" t="n">
        <v>2</v>
      </c>
      <c r="I31" s="129" t="n">
        <v>2</v>
      </c>
      <c r="J31" s="129" t="n">
        <v>2</v>
      </c>
      <c r="K31" s="129" t="n">
        <v>2</v>
      </c>
    </row>
    <row r="32" ht="14.25" customHeight="1" s="75">
      <c r="A32" s="130" t="n"/>
      <c r="B32" s="127" t="inlineStr">
        <is>
          <t>Acct Payable</t>
        </is>
      </c>
      <c r="C32" s="127" t="inlineStr">
        <is>
          <t>Supplier assumed</t>
        </is>
      </c>
      <c r="D32" s="128" t="n">
        <v>12</v>
      </c>
      <c r="E32" s="129" t="n">
        <v>18</v>
      </c>
      <c r="F32" s="129" t="n">
        <v>18</v>
      </c>
      <c r="G32" s="129" t="n">
        <v>18</v>
      </c>
      <c r="H32" s="129" t="n">
        <v>18</v>
      </c>
      <c r="I32" s="129" t="n">
        <v>18</v>
      </c>
      <c r="J32" s="129" t="n">
        <v>18</v>
      </c>
      <c r="K32" s="129" t="n">
        <v>18</v>
      </c>
    </row>
    <row r="33" ht="14.25" customHeight="1" s="75">
      <c r="A33" s="130" t="n"/>
      <c r="B33" s="131" t="n"/>
      <c r="C33" s="132" t="inlineStr">
        <is>
          <t>Pass through</t>
        </is>
      </c>
      <c r="D33" s="133" t="n">
        <v>0</v>
      </c>
      <c r="E33" s="134" t="n">
        <v>0</v>
      </c>
      <c r="F33" s="134" t="n">
        <v>0</v>
      </c>
      <c r="G33" s="134" t="n">
        <v>0</v>
      </c>
      <c r="H33" s="134" t="n">
        <v>0</v>
      </c>
      <c r="I33" s="134" t="n">
        <v>0</v>
      </c>
      <c r="J33" s="134" t="n">
        <v>0</v>
      </c>
      <c r="K33" s="134" t="n">
        <v>0</v>
      </c>
    </row>
    <row r="34" ht="14.25" customHeight="1" s="75">
      <c r="A34" s="130" t="n"/>
      <c r="B34" s="127" t="inlineStr">
        <is>
          <t>Acct Payable Total</t>
        </is>
      </c>
      <c r="C34" s="122" t="n"/>
      <c r="D34" s="128">
        <f>SUM(D32:D33)</f>
        <v/>
      </c>
      <c r="E34" s="129" t="n">
        <v>18</v>
      </c>
      <c r="F34" s="129" t="n">
        <v>18</v>
      </c>
      <c r="G34" s="129" t="n">
        <v>18</v>
      </c>
      <c r="H34" s="129" t="n">
        <v>18</v>
      </c>
      <c r="I34" s="129" t="n">
        <v>18</v>
      </c>
      <c r="J34" s="129" t="n">
        <v>18</v>
      </c>
      <c r="K34" s="129" t="n">
        <v>18</v>
      </c>
    </row>
    <row r="35" ht="14.25" customHeight="1" s="75">
      <c r="A35" s="130" t="n"/>
      <c r="B35" s="127" t="inlineStr">
        <is>
          <t>T&amp;E</t>
        </is>
      </c>
      <c r="C35" s="127" t="inlineStr">
        <is>
          <t>Supplier assumed</t>
        </is>
      </c>
      <c r="D35" s="128" t="n">
        <v>0</v>
      </c>
      <c r="E35" s="129" t="n">
        <v>0</v>
      </c>
      <c r="F35" s="129" t="n">
        <v>0</v>
      </c>
      <c r="G35" s="129" t="n">
        <v>0</v>
      </c>
      <c r="H35" s="129" t="n">
        <v>0</v>
      </c>
      <c r="I35" s="129" t="n">
        <v>0</v>
      </c>
      <c r="J35" s="129" t="n">
        <v>0</v>
      </c>
      <c r="K35" s="129" t="n">
        <v>0</v>
      </c>
    </row>
    <row r="36" ht="14.25" customHeight="1" s="75">
      <c r="A36" s="130" t="n"/>
      <c r="B36" s="131" t="n"/>
      <c r="C36" s="132" t="inlineStr">
        <is>
          <t>Pass through</t>
        </is>
      </c>
      <c r="D36" s="133" t="n">
        <v>0</v>
      </c>
      <c r="E36" s="134" t="n">
        <v>0</v>
      </c>
      <c r="F36" s="134" t="n">
        <v>0</v>
      </c>
      <c r="G36" s="134" t="n">
        <v>0</v>
      </c>
      <c r="H36" s="134" t="n">
        <v>0</v>
      </c>
      <c r="I36" s="134" t="n">
        <v>0</v>
      </c>
      <c r="J36" s="134" t="n">
        <v>0</v>
      </c>
      <c r="K36" s="134" t="n">
        <v>0</v>
      </c>
    </row>
    <row r="37" ht="14.25" customHeight="1" s="75">
      <c r="A37" s="130" t="n"/>
      <c r="B37" s="127" t="inlineStr">
        <is>
          <t>T&amp;E Total</t>
        </is>
      </c>
      <c r="C37" s="122" t="n"/>
      <c r="D37" s="128" t="n">
        <v>0</v>
      </c>
      <c r="E37" s="129" t="n">
        <v>0</v>
      </c>
      <c r="F37" s="129" t="n">
        <v>0</v>
      </c>
      <c r="G37" s="129" t="n">
        <v>0</v>
      </c>
      <c r="H37" s="129" t="n">
        <v>0</v>
      </c>
      <c r="I37" s="129" t="n">
        <v>0</v>
      </c>
      <c r="J37" s="129" t="n">
        <v>0</v>
      </c>
      <c r="K37" s="129" t="n">
        <v>0</v>
      </c>
    </row>
    <row r="38" ht="14.25" customHeight="1" s="75">
      <c r="A38" s="130" t="n"/>
      <c r="B38" s="127" t="inlineStr">
        <is>
          <t>Order to Cash</t>
        </is>
      </c>
      <c r="C38" s="127" t="inlineStr">
        <is>
          <t>Supplier assumed</t>
        </is>
      </c>
      <c r="D38" s="128" t="n">
        <v>1</v>
      </c>
      <c r="E38" s="129" t="n">
        <v>1</v>
      </c>
      <c r="F38" s="129" t="n">
        <v>1</v>
      </c>
      <c r="G38" s="129" t="n">
        <v>1</v>
      </c>
      <c r="H38" s="129" t="n">
        <v>1</v>
      </c>
      <c r="I38" s="129" t="n">
        <v>1</v>
      </c>
      <c r="J38" s="129" t="n">
        <v>1</v>
      </c>
      <c r="K38" s="129" t="n">
        <v>1</v>
      </c>
    </row>
    <row r="39" ht="14.25" customHeight="1" s="75">
      <c r="A39" s="130" t="n"/>
      <c r="B39" s="131" t="n"/>
      <c r="C39" s="132" t="inlineStr">
        <is>
          <t>Pass through</t>
        </is>
      </c>
      <c r="D39" s="133" t="n">
        <v>0</v>
      </c>
      <c r="E39" s="134" t="n">
        <v>0</v>
      </c>
      <c r="F39" s="134" t="n">
        <v>0</v>
      </c>
      <c r="G39" s="134" t="n">
        <v>0</v>
      </c>
      <c r="H39" s="134" t="n">
        <v>0</v>
      </c>
      <c r="I39" s="134" t="n">
        <v>0</v>
      </c>
      <c r="J39" s="134" t="n">
        <v>0</v>
      </c>
      <c r="K39" s="134" t="n">
        <v>0</v>
      </c>
    </row>
    <row r="40" ht="14.25" customHeight="1" s="75">
      <c r="A40" s="130" t="n"/>
      <c r="B40" s="127" t="inlineStr">
        <is>
          <t>Order to Cash Total</t>
        </is>
      </c>
      <c r="C40" s="122" t="n"/>
      <c r="D40" s="128">
        <f>SUM(D38:D39)</f>
        <v/>
      </c>
      <c r="E40" s="129" t="n">
        <v>1</v>
      </c>
      <c r="F40" s="129" t="n">
        <v>1</v>
      </c>
      <c r="G40" s="129" t="n">
        <v>1</v>
      </c>
      <c r="H40" s="129" t="n">
        <v>1</v>
      </c>
      <c r="I40" s="129" t="n">
        <v>1</v>
      </c>
      <c r="J40" s="129" t="n">
        <v>1</v>
      </c>
      <c r="K40" s="129" t="n">
        <v>1</v>
      </c>
    </row>
    <row r="41" ht="14.25" customHeight="1" s="75">
      <c r="A41" s="130" t="n"/>
      <c r="B41" s="127" t="inlineStr">
        <is>
          <t>Rev Acctg</t>
        </is>
      </c>
      <c r="C41" s="127" t="inlineStr">
        <is>
          <t>Supplier assumed</t>
        </is>
      </c>
      <c r="D41" s="128" t="n">
        <v>0</v>
      </c>
      <c r="E41" s="129" t="n">
        <v>0</v>
      </c>
      <c r="F41" s="129" t="n">
        <v>0</v>
      </c>
      <c r="G41" s="129" t="n">
        <v>0</v>
      </c>
      <c r="H41" s="129" t="n">
        <v>0</v>
      </c>
      <c r="I41" s="129" t="n">
        <v>0</v>
      </c>
      <c r="J41" s="129" t="n">
        <v>0</v>
      </c>
      <c r="K41" s="129" t="n">
        <v>0</v>
      </c>
    </row>
    <row r="42" ht="14.25" customHeight="1" s="75">
      <c r="A42" s="130" t="n"/>
      <c r="B42" s="131" t="n"/>
      <c r="C42" s="132" t="inlineStr">
        <is>
          <t>Pass through</t>
        </is>
      </c>
      <c r="D42" s="133" t="n">
        <v>0</v>
      </c>
      <c r="E42" s="134" t="n">
        <v>0</v>
      </c>
      <c r="F42" s="134" t="n">
        <v>0</v>
      </c>
      <c r="G42" s="134" t="n">
        <v>0</v>
      </c>
      <c r="H42" s="134" t="n">
        <v>0</v>
      </c>
      <c r="I42" s="134" t="n">
        <v>0</v>
      </c>
      <c r="J42" s="134" t="n">
        <v>0</v>
      </c>
      <c r="K42" s="134" t="n">
        <v>0</v>
      </c>
    </row>
    <row r="43" ht="14.25" customHeight="1" s="75">
      <c r="A43" s="130" t="n"/>
      <c r="B43" s="127" t="inlineStr">
        <is>
          <t>Rev Acctg Total</t>
        </is>
      </c>
      <c r="C43" s="122" t="n"/>
      <c r="D43" s="128" t="n">
        <v>0</v>
      </c>
      <c r="E43" s="129" t="n">
        <v>0</v>
      </c>
      <c r="F43" s="129" t="n">
        <v>0</v>
      </c>
      <c r="G43" s="129" t="n">
        <v>0</v>
      </c>
      <c r="H43" s="129" t="n">
        <v>0</v>
      </c>
      <c r="I43" s="129" t="n">
        <v>0</v>
      </c>
      <c r="J43" s="129" t="n">
        <v>0</v>
      </c>
      <c r="K43" s="129" t="n">
        <v>0</v>
      </c>
    </row>
    <row r="44" ht="14.25" customHeight="1" s="75">
      <c r="A44" s="130" t="n"/>
      <c r="B44" s="127" t="inlineStr">
        <is>
          <t>Req to Pay</t>
        </is>
      </c>
      <c r="C44" s="127" t="inlineStr">
        <is>
          <t>Supplier assumed</t>
        </is>
      </c>
      <c r="D44" s="128" t="n">
        <v>9</v>
      </c>
      <c r="E44" s="129" t="n">
        <v>2</v>
      </c>
      <c r="F44" s="129" t="n">
        <v>2</v>
      </c>
      <c r="G44" s="129" t="n">
        <v>2</v>
      </c>
      <c r="H44" s="129" t="n">
        <v>2</v>
      </c>
      <c r="I44" s="129" t="n">
        <v>2</v>
      </c>
      <c r="J44" s="129" t="n">
        <v>2</v>
      </c>
      <c r="K44" s="129" t="n">
        <v>2</v>
      </c>
    </row>
    <row r="45" ht="14.25" customHeight="1" s="75">
      <c r="A45" s="130" t="n"/>
      <c r="B45" s="131" t="n"/>
      <c r="C45" s="132" t="inlineStr">
        <is>
          <t>Pass through</t>
        </is>
      </c>
      <c r="D45" s="133" t="n">
        <v>0</v>
      </c>
      <c r="E45" s="134" t="n">
        <v>0</v>
      </c>
      <c r="F45" s="134" t="n">
        <v>0</v>
      </c>
      <c r="G45" s="134" t="n">
        <v>0</v>
      </c>
      <c r="H45" s="134" t="n">
        <v>0</v>
      </c>
      <c r="I45" s="134" t="n">
        <v>0</v>
      </c>
      <c r="J45" s="134" t="n">
        <v>0</v>
      </c>
      <c r="K45" s="134" t="n">
        <v>0</v>
      </c>
    </row>
    <row r="46" ht="14.25" customHeight="1" s="75">
      <c r="A46" s="130" t="n"/>
      <c r="B46" s="127" t="inlineStr">
        <is>
          <t>Req to Pay Total</t>
        </is>
      </c>
      <c r="C46" s="122" t="n"/>
      <c r="D46" s="128">
        <f>SUM(D44:D45)</f>
        <v/>
      </c>
      <c r="E46" s="129" t="n">
        <v>2</v>
      </c>
      <c r="F46" s="129" t="n">
        <v>2</v>
      </c>
      <c r="G46" s="129" t="n">
        <v>2</v>
      </c>
      <c r="H46" s="129" t="n">
        <v>2</v>
      </c>
      <c r="I46" s="129" t="n">
        <v>2</v>
      </c>
      <c r="J46" s="129" t="n">
        <v>2</v>
      </c>
      <c r="K46" s="129" t="n">
        <v>2</v>
      </c>
    </row>
    <row r="47" ht="14.25" customHeight="1" s="75">
      <c r="A47" s="127" t="inlineStr">
        <is>
          <t>US Total</t>
        </is>
      </c>
      <c r="B47" s="122" t="n"/>
      <c r="C47" s="122" t="n"/>
      <c r="D47" s="128">
        <f>D46+D43+D40+D37+D34+D31+D28+D25</f>
        <v/>
      </c>
      <c r="E47" s="129" t="n">
        <v>24.455</v>
      </c>
      <c r="F47" s="129" t="n">
        <v>24.5</v>
      </c>
      <c r="G47" s="129" t="n">
        <v>24.5</v>
      </c>
      <c r="H47" s="129" t="n">
        <v>24.5</v>
      </c>
      <c r="I47" s="129" t="n">
        <v>24.5</v>
      </c>
      <c r="J47" s="129" t="n">
        <v>24.5</v>
      </c>
      <c r="K47" s="129" t="n">
        <v>24.5</v>
      </c>
    </row>
    <row r="48" ht="14.25" customHeight="1" s="75">
      <c r="A48" s="126" t="inlineStr">
        <is>
          <t>France</t>
        </is>
      </c>
      <c r="B48" s="127" t="inlineStr">
        <is>
          <t>Gen Acctg</t>
        </is>
      </c>
      <c r="C48" s="127" t="inlineStr">
        <is>
          <t>Supplier assumed</t>
        </is>
      </c>
      <c r="D48" s="128" t="n">
        <v>3</v>
      </c>
      <c r="E48" s="129" t="n">
        <v>3</v>
      </c>
      <c r="F48" s="129" t="n">
        <v>3</v>
      </c>
      <c r="G48" s="129" t="n">
        <v>3</v>
      </c>
      <c r="H48" s="129" t="n">
        <v>3</v>
      </c>
      <c r="I48" s="129" t="n">
        <v>3</v>
      </c>
      <c r="J48" s="129" t="n">
        <v>3</v>
      </c>
      <c r="K48" s="129" t="n">
        <v>3</v>
      </c>
    </row>
    <row r="49" ht="14.25" customHeight="1" s="75">
      <c r="A49" s="130" t="n"/>
      <c r="B49" s="131" t="n"/>
      <c r="C49" s="132" t="inlineStr">
        <is>
          <t>Pass through</t>
        </is>
      </c>
      <c r="D49" s="133" t="n">
        <v>0</v>
      </c>
      <c r="E49" s="134" t="n">
        <v>0</v>
      </c>
      <c r="F49" s="134" t="n">
        <v>0</v>
      </c>
      <c r="G49" s="134" t="n">
        <v>0</v>
      </c>
      <c r="H49" s="134" t="n">
        <v>0</v>
      </c>
      <c r="I49" s="134" t="n">
        <v>0</v>
      </c>
      <c r="J49" s="134" t="n">
        <v>0</v>
      </c>
      <c r="K49" s="134" t="n">
        <v>0</v>
      </c>
    </row>
    <row r="50" ht="14.25" customHeight="1" s="75">
      <c r="A50" s="130" t="n"/>
      <c r="B50" s="127" t="inlineStr">
        <is>
          <t>Gen Acctg Total</t>
        </is>
      </c>
      <c r="C50" s="122" t="n"/>
      <c r="D50" s="128">
        <f>SUM(D48:D49)</f>
        <v/>
      </c>
      <c r="E50" s="129" t="n">
        <v>3</v>
      </c>
      <c r="F50" s="129" t="n">
        <v>3</v>
      </c>
      <c r="G50" s="129" t="n">
        <v>3</v>
      </c>
      <c r="H50" s="129" t="n">
        <v>3</v>
      </c>
      <c r="I50" s="129" t="n">
        <v>3</v>
      </c>
      <c r="J50" s="129" t="n">
        <v>3</v>
      </c>
      <c r="K50" s="129" t="n">
        <v>3</v>
      </c>
    </row>
    <row r="51" ht="14.25" customHeight="1" s="75">
      <c r="A51" s="130" t="n"/>
      <c r="B51" s="127" t="inlineStr">
        <is>
          <t>Reporting</t>
        </is>
      </c>
      <c r="C51" s="127" t="inlineStr">
        <is>
          <t>Supplier assumed</t>
        </is>
      </c>
      <c r="D51" s="128" t="n">
        <v>0</v>
      </c>
      <c r="E51" s="129" t="n">
        <v>1</v>
      </c>
      <c r="F51" s="129" t="n">
        <v>1</v>
      </c>
      <c r="G51" s="129" t="n">
        <v>1</v>
      </c>
      <c r="H51" s="129" t="n">
        <v>1</v>
      </c>
      <c r="I51" s="129" t="n">
        <v>1</v>
      </c>
      <c r="J51" s="129" t="n">
        <v>1</v>
      </c>
      <c r="K51" s="129" t="n">
        <v>1</v>
      </c>
    </row>
    <row r="52" ht="14.25" customHeight="1" s="75">
      <c r="A52" s="130" t="n"/>
      <c r="B52" s="131" t="n"/>
      <c r="C52" s="132" t="inlineStr">
        <is>
          <t>Pass through</t>
        </is>
      </c>
      <c r="D52" s="133" t="n">
        <v>0</v>
      </c>
      <c r="E52" s="134" t="n">
        <v>0</v>
      </c>
      <c r="F52" s="134" t="n">
        <v>0</v>
      </c>
      <c r="G52" s="134" t="n">
        <v>0</v>
      </c>
      <c r="H52" s="134" t="n">
        <v>0</v>
      </c>
      <c r="I52" s="134" t="n">
        <v>0</v>
      </c>
      <c r="J52" s="134" t="n">
        <v>0</v>
      </c>
      <c r="K52" s="134" t="n">
        <v>0</v>
      </c>
    </row>
    <row r="53" ht="14.25" customHeight="1" s="75">
      <c r="A53" s="130" t="n"/>
      <c r="B53" s="127" t="inlineStr">
        <is>
          <t>Reporting Total</t>
        </is>
      </c>
      <c r="C53" s="122" t="n"/>
      <c r="D53" s="128">
        <f>SUM(D51:D52)</f>
        <v/>
      </c>
      <c r="E53" s="129" t="n">
        <v>1</v>
      </c>
      <c r="F53" s="129" t="n">
        <v>1</v>
      </c>
      <c r="G53" s="129" t="n">
        <v>1</v>
      </c>
      <c r="H53" s="129" t="n">
        <v>1</v>
      </c>
      <c r="I53" s="129" t="n">
        <v>1</v>
      </c>
      <c r="J53" s="129" t="n">
        <v>1</v>
      </c>
      <c r="K53" s="129" t="n">
        <v>1</v>
      </c>
    </row>
    <row r="54" ht="14.25" customHeight="1" s="75">
      <c r="A54" s="130" t="n"/>
      <c r="B54" s="127" t="inlineStr">
        <is>
          <t>Acct Payable</t>
        </is>
      </c>
      <c r="C54" s="127" t="inlineStr">
        <is>
          <t>Supplier assumed</t>
        </is>
      </c>
      <c r="D54" s="128" t="n">
        <v>8</v>
      </c>
      <c r="E54" s="129" t="n">
        <v>10</v>
      </c>
      <c r="F54" s="129" t="n">
        <v>10</v>
      </c>
      <c r="G54" s="129" t="n">
        <v>10</v>
      </c>
      <c r="H54" s="129" t="n">
        <v>10</v>
      </c>
      <c r="I54" s="129" t="n">
        <v>10</v>
      </c>
      <c r="J54" s="129" t="n">
        <v>10</v>
      </c>
      <c r="K54" s="129" t="n">
        <v>10</v>
      </c>
    </row>
    <row r="55" ht="14.25" customHeight="1" s="75">
      <c r="A55" s="130" t="n"/>
      <c r="B55" s="131" t="n"/>
      <c r="C55" s="132" t="inlineStr">
        <is>
          <t>Pass through</t>
        </is>
      </c>
      <c r="D55" s="133" t="n">
        <v>0</v>
      </c>
      <c r="E55" s="134" t="n">
        <v>0</v>
      </c>
      <c r="F55" s="134" t="n">
        <v>0</v>
      </c>
      <c r="G55" s="134" t="n">
        <v>0</v>
      </c>
      <c r="H55" s="134" t="n">
        <v>0</v>
      </c>
      <c r="I55" s="134" t="n">
        <v>0</v>
      </c>
      <c r="J55" s="134" t="n">
        <v>0</v>
      </c>
      <c r="K55" s="134" t="n">
        <v>0</v>
      </c>
    </row>
    <row r="56" ht="14.25" customHeight="1" s="75">
      <c r="A56" s="130" t="n"/>
      <c r="B56" s="127" t="inlineStr">
        <is>
          <t>Acct Payable Total</t>
        </is>
      </c>
      <c r="C56" s="122" t="n"/>
      <c r="D56" s="128">
        <f>SUM(D54:D55)</f>
        <v/>
      </c>
      <c r="E56" s="129" t="n">
        <v>10</v>
      </c>
      <c r="F56" s="129" t="n">
        <v>10</v>
      </c>
      <c r="G56" s="129" t="n">
        <v>10</v>
      </c>
      <c r="H56" s="129" t="n">
        <v>10</v>
      </c>
      <c r="I56" s="129" t="n">
        <v>10</v>
      </c>
      <c r="J56" s="129" t="n">
        <v>10</v>
      </c>
      <c r="K56" s="129" t="n">
        <v>10</v>
      </c>
    </row>
    <row r="57" ht="14.25" customHeight="1" s="75">
      <c r="A57" s="130" t="n"/>
      <c r="B57" s="127" t="inlineStr">
        <is>
          <t>T&amp;E</t>
        </is>
      </c>
      <c r="C57" s="127" t="inlineStr">
        <is>
          <t>Supplier assumed</t>
        </is>
      </c>
      <c r="D57" s="128" t="n">
        <v>1</v>
      </c>
      <c r="E57" s="129" t="n">
        <v>1</v>
      </c>
      <c r="F57" s="129" t="n">
        <v>1</v>
      </c>
      <c r="G57" s="129" t="n">
        <v>1</v>
      </c>
      <c r="H57" s="129" t="n">
        <v>1</v>
      </c>
      <c r="I57" s="129" t="n">
        <v>1</v>
      </c>
      <c r="J57" s="129" t="n">
        <v>1</v>
      </c>
      <c r="K57" s="129" t="n">
        <v>1</v>
      </c>
    </row>
    <row r="58" ht="14.25" customHeight="1" s="75">
      <c r="A58" s="130" t="n"/>
      <c r="B58" s="131" t="n"/>
      <c r="C58" s="132" t="inlineStr">
        <is>
          <t>Pass through</t>
        </is>
      </c>
      <c r="D58" s="133" t="n">
        <v>0</v>
      </c>
      <c r="E58" s="134" t="n">
        <v>0</v>
      </c>
      <c r="F58" s="134" t="n">
        <v>0</v>
      </c>
      <c r="G58" s="134" t="n">
        <v>0</v>
      </c>
      <c r="H58" s="134" t="n">
        <v>0</v>
      </c>
      <c r="I58" s="134" t="n">
        <v>0</v>
      </c>
      <c r="J58" s="134" t="n">
        <v>0</v>
      </c>
      <c r="K58" s="134" t="n">
        <v>0</v>
      </c>
    </row>
    <row r="59" ht="14.25" customHeight="1" s="75">
      <c r="A59" s="130" t="n"/>
      <c r="B59" s="127" t="inlineStr">
        <is>
          <t>T&amp;E Total</t>
        </is>
      </c>
      <c r="C59" s="122" t="n"/>
      <c r="D59" s="128">
        <f>SUM(D57:D58)</f>
        <v/>
      </c>
      <c r="E59" s="129" t="n">
        <v>1</v>
      </c>
      <c r="F59" s="129" t="n">
        <v>1</v>
      </c>
      <c r="G59" s="129" t="n">
        <v>1</v>
      </c>
      <c r="H59" s="129" t="n">
        <v>1</v>
      </c>
      <c r="I59" s="129" t="n">
        <v>1</v>
      </c>
      <c r="J59" s="129" t="n">
        <v>1</v>
      </c>
      <c r="K59" s="129" t="n">
        <v>1</v>
      </c>
    </row>
    <row r="60" ht="14.25" customHeight="1" s="75">
      <c r="A60" s="130" t="n"/>
      <c r="B60" s="127" t="inlineStr">
        <is>
          <t>Order to Cash</t>
        </is>
      </c>
      <c r="C60" s="127" t="inlineStr">
        <is>
          <t>Supplier assumed</t>
        </is>
      </c>
      <c r="D60" s="128" t="n">
        <v>5</v>
      </c>
      <c r="E60" s="129" t="n">
        <v>5</v>
      </c>
      <c r="F60" s="129" t="n">
        <v>5</v>
      </c>
      <c r="G60" s="129" t="n">
        <v>5</v>
      </c>
      <c r="H60" s="129" t="n">
        <v>5</v>
      </c>
      <c r="I60" s="129" t="n">
        <v>5</v>
      </c>
      <c r="J60" s="129" t="n">
        <v>5</v>
      </c>
      <c r="K60" s="129" t="n">
        <v>5</v>
      </c>
    </row>
    <row r="61" ht="14.25" customHeight="1" s="75">
      <c r="A61" s="130" t="n"/>
      <c r="B61" s="131" t="n"/>
      <c r="C61" s="132" t="inlineStr">
        <is>
          <t>Pass through</t>
        </is>
      </c>
      <c r="D61" s="133" t="n">
        <v>0</v>
      </c>
      <c r="E61" s="134" t="n">
        <v>0</v>
      </c>
      <c r="F61" s="134" t="n">
        <v>0</v>
      </c>
      <c r="G61" s="134" t="n">
        <v>0</v>
      </c>
      <c r="H61" s="134" t="n">
        <v>0</v>
      </c>
      <c r="I61" s="134" t="n">
        <v>0</v>
      </c>
      <c r="J61" s="134" t="n">
        <v>0</v>
      </c>
      <c r="K61" s="134" t="n">
        <v>0</v>
      </c>
    </row>
    <row r="62" ht="14.25" customHeight="1" s="75">
      <c r="A62" s="130" t="n"/>
      <c r="B62" s="127" t="inlineStr">
        <is>
          <t>Order to Cash Total</t>
        </is>
      </c>
      <c r="C62" s="122" t="n"/>
      <c r="D62" s="128">
        <f>SUM(D60:D61)</f>
        <v/>
      </c>
      <c r="E62" s="129" t="n">
        <v>5</v>
      </c>
      <c r="F62" s="129" t="n">
        <v>5</v>
      </c>
      <c r="G62" s="129" t="n">
        <v>5</v>
      </c>
      <c r="H62" s="129" t="n">
        <v>5</v>
      </c>
      <c r="I62" s="129" t="n">
        <v>5</v>
      </c>
      <c r="J62" s="129" t="n">
        <v>5</v>
      </c>
      <c r="K62" s="129" t="n">
        <v>5</v>
      </c>
    </row>
    <row r="63" ht="14.25" customHeight="1" s="75">
      <c r="A63" s="130" t="n"/>
      <c r="B63" s="127" t="inlineStr">
        <is>
          <t>Req to Pay</t>
        </is>
      </c>
      <c r="C63" s="127" t="inlineStr">
        <is>
          <t>Supplier assumed</t>
        </is>
      </c>
      <c r="D63" s="128" t="n">
        <v>4</v>
      </c>
      <c r="E63" s="129" t="n">
        <v>4</v>
      </c>
      <c r="F63" s="129" t="n">
        <v>4</v>
      </c>
      <c r="G63" s="129" t="n">
        <v>4</v>
      </c>
      <c r="H63" s="129" t="n">
        <v>4</v>
      </c>
      <c r="I63" s="129" t="n">
        <v>4</v>
      </c>
      <c r="J63" s="129" t="n">
        <v>4</v>
      </c>
      <c r="K63" s="129" t="n">
        <v>4</v>
      </c>
    </row>
    <row r="64" ht="14.25" customHeight="1" s="75">
      <c r="A64" s="130" t="n"/>
      <c r="B64" s="131" t="n"/>
      <c r="C64" s="132" t="inlineStr">
        <is>
          <t>Pass through</t>
        </is>
      </c>
      <c r="D64" s="133" t="n">
        <v>2</v>
      </c>
      <c r="E64" s="134" t="n">
        <v>2</v>
      </c>
      <c r="F64" s="134" t="n">
        <v>2</v>
      </c>
      <c r="G64" s="134" t="n">
        <v>2</v>
      </c>
      <c r="H64" s="134" t="n">
        <v>2</v>
      </c>
      <c r="I64" s="134" t="n">
        <v>2</v>
      </c>
      <c r="J64" s="134" t="n">
        <v>2</v>
      </c>
      <c r="K64" s="134" t="n">
        <v>2</v>
      </c>
    </row>
    <row r="65" ht="14.25" customHeight="1" s="75">
      <c r="A65" s="130" t="n"/>
      <c r="B65" s="127" t="inlineStr">
        <is>
          <t>Req to Pay Total</t>
        </is>
      </c>
      <c r="C65" s="122" t="n"/>
      <c r="D65" s="128" t="n">
        <v>6</v>
      </c>
      <c r="E65" s="129" t="n">
        <v>6</v>
      </c>
      <c r="F65" s="129" t="n">
        <v>6</v>
      </c>
      <c r="G65" s="129" t="n">
        <v>6</v>
      </c>
      <c r="H65" s="129" t="n">
        <v>6</v>
      </c>
      <c r="I65" s="129" t="n">
        <v>6</v>
      </c>
      <c r="J65" s="129" t="n">
        <v>6</v>
      </c>
      <c r="K65" s="129" t="n">
        <v>6</v>
      </c>
    </row>
    <row r="66" ht="14.25" customHeight="1" s="75">
      <c r="A66" s="127" t="inlineStr">
        <is>
          <t>France Total</t>
        </is>
      </c>
      <c r="B66" s="122" t="n"/>
      <c r="C66" s="122" t="n"/>
      <c r="D66" s="128">
        <f>SUM(D65+D62+D59+D56+D53+D50)</f>
        <v/>
      </c>
      <c r="E66" s="129" t="n">
        <v>26</v>
      </c>
      <c r="F66" s="129" t="n">
        <v>26</v>
      </c>
      <c r="G66" s="129" t="n">
        <v>26</v>
      </c>
      <c r="H66" s="129" t="n">
        <v>26</v>
      </c>
      <c r="I66" s="129" t="n">
        <v>26</v>
      </c>
      <c r="J66" s="129" t="n">
        <v>26</v>
      </c>
      <c r="K66" s="129" t="n">
        <v>26</v>
      </c>
    </row>
    <row r="67" ht="14.25" customHeight="1" s="75">
      <c r="A67" s="126" t="inlineStr">
        <is>
          <t>Germany</t>
        </is>
      </c>
      <c r="B67" s="127" t="inlineStr">
        <is>
          <t>Gen Acctg</t>
        </is>
      </c>
      <c r="C67" s="127" t="inlineStr">
        <is>
          <t>Supplier assumed</t>
        </is>
      </c>
      <c r="D67" s="128" t="n">
        <v>0</v>
      </c>
      <c r="E67" s="129" t="n">
        <v>0</v>
      </c>
      <c r="F67" s="129" t="n">
        <v>0</v>
      </c>
      <c r="G67" s="129" t="n">
        <v>0</v>
      </c>
      <c r="H67" s="129" t="n">
        <v>0</v>
      </c>
      <c r="I67" s="129" t="n">
        <v>0</v>
      </c>
      <c r="J67" s="129" t="n">
        <v>0</v>
      </c>
      <c r="K67" s="129" t="n">
        <v>0</v>
      </c>
    </row>
    <row r="68" ht="14.25" customHeight="1" s="75">
      <c r="A68" s="130" t="n"/>
      <c r="B68" s="131" t="n"/>
      <c r="C68" s="132" t="inlineStr">
        <is>
          <t>Pass through</t>
        </is>
      </c>
      <c r="D68" s="133" t="n">
        <v>0</v>
      </c>
      <c r="E68" s="134" t="n">
        <v>0</v>
      </c>
      <c r="F68" s="134" t="n">
        <v>0</v>
      </c>
      <c r="G68" s="134" t="n">
        <v>0</v>
      </c>
      <c r="H68" s="134" t="n">
        <v>0</v>
      </c>
      <c r="I68" s="134" t="n">
        <v>0</v>
      </c>
      <c r="J68" s="134" t="n">
        <v>0</v>
      </c>
      <c r="K68" s="134" t="n">
        <v>0</v>
      </c>
    </row>
    <row r="69" ht="14.25" customHeight="1" s="75">
      <c r="A69" s="130" t="n"/>
      <c r="B69" s="127" t="inlineStr">
        <is>
          <t>Gen Acctg Total</t>
        </is>
      </c>
      <c r="C69" s="122" t="n"/>
      <c r="D69" s="128" t="n">
        <v>0</v>
      </c>
      <c r="E69" s="129" t="n">
        <v>0</v>
      </c>
      <c r="F69" s="129" t="n">
        <v>0</v>
      </c>
      <c r="G69" s="129" t="n">
        <v>0</v>
      </c>
      <c r="H69" s="129" t="n">
        <v>0</v>
      </c>
      <c r="I69" s="129" t="n">
        <v>0</v>
      </c>
      <c r="J69" s="129" t="n">
        <v>0</v>
      </c>
      <c r="K69" s="129" t="n">
        <v>0</v>
      </c>
    </row>
    <row r="70" ht="14.25" customHeight="1" s="75">
      <c r="A70" s="130" t="n"/>
      <c r="B70" s="127" t="inlineStr">
        <is>
          <t>Reporting</t>
        </is>
      </c>
      <c r="C70" s="127" t="inlineStr">
        <is>
          <t>Supplier assumed</t>
        </is>
      </c>
      <c r="D70" s="128" t="n">
        <v>0</v>
      </c>
      <c r="E70" s="129" t="n">
        <v>0</v>
      </c>
      <c r="F70" s="129" t="n">
        <v>0</v>
      </c>
      <c r="G70" s="129" t="n">
        <v>0</v>
      </c>
      <c r="H70" s="129" t="n">
        <v>0</v>
      </c>
      <c r="I70" s="129" t="n">
        <v>0</v>
      </c>
      <c r="J70" s="129" t="n">
        <v>0</v>
      </c>
      <c r="K70" s="129" t="n">
        <v>0</v>
      </c>
    </row>
    <row r="71" ht="14.25" customHeight="1" s="75">
      <c r="A71" s="130" t="n"/>
      <c r="B71" s="131" t="n"/>
      <c r="C71" s="132" t="inlineStr">
        <is>
          <t>Pass through</t>
        </is>
      </c>
      <c r="D71" s="133" t="n">
        <v>0</v>
      </c>
      <c r="E71" s="134" t="n">
        <v>0</v>
      </c>
      <c r="F71" s="134" t="n">
        <v>0</v>
      </c>
      <c r="G71" s="134" t="n">
        <v>0</v>
      </c>
      <c r="H71" s="134" t="n">
        <v>0</v>
      </c>
      <c r="I71" s="134" t="n">
        <v>0</v>
      </c>
      <c r="J71" s="134" t="n">
        <v>0</v>
      </c>
      <c r="K71" s="134" t="n">
        <v>0</v>
      </c>
    </row>
    <row r="72" ht="14.25" customHeight="1" s="75">
      <c r="A72" s="130" t="n"/>
      <c r="B72" s="127" t="inlineStr">
        <is>
          <t>Reporting Total</t>
        </is>
      </c>
      <c r="C72" s="122" t="n"/>
      <c r="D72" s="128" t="n">
        <v>0</v>
      </c>
      <c r="E72" s="129" t="n">
        <v>0</v>
      </c>
      <c r="F72" s="129" t="n">
        <v>0</v>
      </c>
      <c r="G72" s="129" t="n">
        <v>0</v>
      </c>
      <c r="H72" s="129" t="n">
        <v>0</v>
      </c>
      <c r="I72" s="129" t="n">
        <v>0</v>
      </c>
      <c r="J72" s="129" t="n">
        <v>0</v>
      </c>
      <c r="K72" s="129" t="n">
        <v>0</v>
      </c>
    </row>
    <row r="73" ht="14.25" customHeight="1" s="75">
      <c r="A73" s="130" t="n"/>
      <c r="B73" s="127" t="inlineStr">
        <is>
          <t>Fixed Assets</t>
        </is>
      </c>
      <c r="C73" s="127" t="inlineStr">
        <is>
          <t>Supplier assumed</t>
        </is>
      </c>
      <c r="D73" s="128" t="n">
        <v>0.5</v>
      </c>
      <c r="E73" s="129" t="n">
        <v>0.485</v>
      </c>
      <c r="F73" s="129" t="n">
        <v>0.485</v>
      </c>
      <c r="G73" s="129" t="n">
        <v>0.485</v>
      </c>
      <c r="H73" s="129" t="n">
        <v>0.485</v>
      </c>
      <c r="I73" s="129" t="n">
        <v>0.485</v>
      </c>
      <c r="J73" s="129" t="n">
        <v>0.485</v>
      </c>
      <c r="K73" s="129" t="n">
        <v>0.485</v>
      </c>
    </row>
    <row r="74" ht="14.25" customHeight="1" s="75">
      <c r="A74" s="130" t="n"/>
      <c r="B74" s="131" t="n"/>
      <c r="C74" s="132" t="inlineStr">
        <is>
          <t>Pass through</t>
        </is>
      </c>
      <c r="D74" s="133" t="n">
        <v>0</v>
      </c>
      <c r="E74" s="134" t="n">
        <v>0</v>
      </c>
      <c r="F74" s="134" t="n">
        <v>0</v>
      </c>
      <c r="G74" s="134" t="n">
        <v>0</v>
      </c>
      <c r="H74" s="134" t="n">
        <v>0</v>
      </c>
      <c r="I74" s="134" t="n">
        <v>0</v>
      </c>
      <c r="J74" s="134" t="n">
        <v>0</v>
      </c>
      <c r="K74" s="134" t="n">
        <v>0</v>
      </c>
    </row>
    <row r="75" ht="14.25" customHeight="1" s="75">
      <c r="A75" s="130" t="n"/>
      <c r="B75" s="127" t="inlineStr">
        <is>
          <t>Fixed Assets Total</t>
        </is>
      </c>
      <c r="C75" s="122" t="n"/>
      <c r="D75" s="128" t="n">
        <v>0.5</v>
      </c>
      <c r="E75" s="129" t="n">
        <v>0.485</v>
      </c>
      <c r="F75" s="129" t="n">
        <v>0.485</v>
      </c>
      <c r="G75" s="129" t="n">
        <v>0.485</v>
      </c>
      <c r="H75" s="129" t="n">
        <v>0.485</v>
      </c>
      <c r="I75" s="129" t="n">
        <v>0.485</v>
      </c>
      <c r="J75" s="129" t="n">
        <v>0.485</v>
      </c>
      <c r="K75" s="129" t="n">
        <v>0.485</v>
      </c>
    </row>
    <row r="76" ht="14.25" customHeight="1" s="75">
      <c r="A76" s="130" t="n"/>
      <c r="B76" s="127" t="inlineStr">
        <is>
          <t>Acct Payable</t>
        </is>
      </c>
      <c r="C76" s="127" t="inlineStr">
        <is>
          <t>Supplier assumed</t>
        </is>
      </c>
      <c r="D76" s="128" t="n">
        <v>9</v>
      </c>
      <c r="E76" s="129" t="n">
        <v>5.626</v>
      </c>
      <c r="F76" s="129" t="n">
        <v>5.626</v>
      </c>
      <c r="G76" s="129" t="n">
        <v>5.626</v>
      </c>
      <c r="H76" s="129" t="n">
        <v>5.626</v>
      </c>
      <c r="I76" s="129" t="n">
        <v>5.626</v>
      </c>
      <c r="J76" s="129" t="n">
        <v>5.626</v>
      </c>
      <c r="K76" s="129" t="n">
        <v>5.626</v>
      </c>
    </row>
    <row r="77" ht="14.25" customHeight="1" s="75">
      <c r="A77" s="130" t="n"/>
      <c r="B77" s="131" t="n"/>
      <c r="C77" s="132" t="inlineStr">
        <is>
          <t>Pass through</t>
        </is>
      </c>
      <c r="D77" s="133" t="n">
        <v>0</v>
      </c>
      <c r="E77" s="134" t="n">
        <v>0</v>
      </c>
      <c r="F77" s="134" t="n">
        <v>0</v>
      </c>
      <c r="G77" s="134" t="n">
        <v>0</v>
      </c>
      <c r="H77" s="134" t="n">
        <v>0</v>
      </c>
      <c r="I77" s="134" t="n">
        <v>0</v>
      </c>
      <c r="J77" s="134" t="n">
        <v>0</v>
      </c>
      <c r="K77" s="134" t="n">
        <v>0</v>
      </c>
    </row>
    <row r="78" ht="14.25" customHeight="1" s="75">
      <c r="A78" s="130" t="n"/>
      <c r="B78" s="127" t="inlineStr">
        <is>
          <t>Acct Payable Total</t>
        </is>
      </c>
      <c r="C78" s="122" t="n"/>
      <c r="D78" s="128">
        <f>SUM(D76:D77)</f>
        <v/>
      </c>
      <c r="E78" s="129" t="n">
        <v>5.626</v>
      </c>
      <c r="F78" s="129" t="n">
        <v>5.626</v>
      </c>
      <c r="G78" s="129" t="n">
        <v>5.626</v>
      </c>
      <c r="H78" s="129" t="n">
        <v>5.626</v>
      </c>
      <c r="I78" s="129" t="n">
        <v>5.626</v>
      </c>
      <c r="J78" s="129" t="n">
        <v>5.626</v>
      </c>
      <c r="K78" s="129" t="n">
        <v>5.626</v>
      </c>
    </row>
    <row r="79" ht="14.25" customHeight="1" s="75">
      <c r="A79" s="130" t="n"/>
      <c r="B79" s="127" t="inlineStr">
        <is>
          <t>Cash&amp;Bank</t>
        </is>
      </c>
      <c r="C79" s="127" t="inlineStr">
        <is>
          <t>Supplier assumed</t>
        </is>
      </c>
      <c r="D79" s="128" t="n">
        <v>1.5</v>
      </c>
      <c r="E79" s="129" t="n">
        <v>1.455</v>
      </c>
      <c r="F79" s="129" t="n">
        <v>1.455</v>
      </c>
      <c r="G79" s="129" t="n">
        <v>1.455</v>
      </c>
      <c r="H79" s="129" t="n">
        <v>1.455</v>
      </c>
      <c r="I79" s="129" t="n">
        <v>1.455</v>
      </c>
      <c r="J79" s="129" t="n">
        <v>1.455</v>
      </c>
      <c r="K79" s="129" t="n">
        <v>1.455</v>
      </c>
    </row>
    <row r="80" ht="14.25" customHeight="1" s="75">
      <c r="A80" s="130" t="n"/>
      <c r="B80" s="131" t="n"/>
      <c r="C80" s="132" t="inlineStr">
        <is>
          <t>Pass through</t>
        </is>
      </c>
      <c r="D80" s="133" t="n">
        <v>0</v>
      </c>
      <c r="E80" s="134" t="n">
        <v>0</v>
      </c>
      <c r="F80" s="134" t="n">
        <v>0</v>
      </c>
      <c r="G80" s="134" t="n">
        <v>0</v>
      </c>
      <c r="H80" s="134" t="n">
        <v>0</v>
      </c>
      <c r="I80" s="134" t="n">
        <v>0</v>
      </c>
      <c r="J80" s="134" t="n">
        <v>0</v>
      </c>
      <c r="K80" s="134" t="n">
        <v>0</v>
      </c>
    </row>
    <row r="81" ht="14.25" customHeight="1" s="75">
      <c r="A81" s="130" t="n"/>
      <c r="B81" s="127" t="inlineStr">
        <is>
          <t>Cash&amp;Bank Total</t>
        </is>
      </c>
      <c r="C81" s="122" t="n"/>
      <c r="D81" s="128" t="n">
        <v>1.5</v>
      </c>
      <c r="E81" s="129" t="n">
        <v>1.455</v>
      </c>
      <c r="F81" s="129" t="n">
        <v>1.455</v>
      </c>
      <c r="G81" s="129" t="n">
        <v>1.455</v>
      </c>
      <c r="H81" s="129" t="n">
        <v>1.455</v>
      </c>
      <c r="I81" s="129" t="n">
        <v>1.455</v>
      </c>
      <c r="J81" s="129" t="n">
        <v>1.455</v>
      </c>
      <c r="K81" s="129" t="n">
        <v>1.455</v>
      </c>
    </row>
    <row r="82" ht="14.25" customHeight="1" s="75">
      <c r="A82" s="130" t="n"/>
      <c r="B82" s="127" t="inlineStr">
        <is>
          <t>T&amp;E</t>
        </is>
      </c>
      <c r="C82" s="127" t="inlineStr">
        <is>
          <t>Supplier assumed</t>
        </is>
      </c>
      <c r="D82" s="128" t="n">
        <v>3</v>
      </c>
      <c r="E82" s="129" t="n">
        <v>2.91</v>
      </c>
      <c r="F82" s="129" t="n">
        <v>2.91</v>
      </c>
      <c r="G82" s="129" t="n">
        <v>2.91</v>
      </c>
      <c r="H82" s="129" t="n">
        <v>2.91</v>
      </c>
      <c r="I82" s="129" t="n">
        <v>2.91</v>
      </c>
      <c r="J82" s="129" t="n">
        <v>2.91</v>
      </c>
      <c r="K82" s="129" t="n">
        <v>2.91</v>
      </c>
    </row>
    <row r="83" ht="14.25" customHeight="1" s="75">
      <c r="A83" s="130" t="n"/>
      <c r="B83" s="131" t="n"/>
      <c r="C83" s="132" t="inlineStr">
        <is>
          <t>Pass through</t>
        </is>
      </c>
      <c r="D83" s="133" t="n">
        <v>0</v>
      </c>
      <c r="E83" s="134" t="n">
        <v>0</v>
      </c>
      <c r="F83" s="134" t="n">
        <v>0</v>
      </c>
      <c r="G83" s="134" t="n">
        <v>0</v>
      </c>
      <c r="H83" s="134" t="n">
        <v>0</v>
      </c>
      <c r="I83" s="134" t="n">
        <v>0</v>
      </c>
      <c r="J83" s="134" t="n">
        <v>0</v>
      </c>
      <c r="K83" s="134" t="n">
        <v>0</v>
      </c>
    </row>
    <row r="84" ht="14.25" customHeight="1" s="75">
      <c r="A84" s="130" t="n"/>
      <c r="B84" s="127" t="inlineStr">
        <is>
          <t>T&amp;E Total</t>
        </is>
      </c>
      <c r="C84" s="122" t="n"/>
      <c r="D84" s="128" t="n">
        <v>3</v>
      </c>
      <c r="E84" s="129" t="n">
        <v>2.91</v>
      </c>
      <c r="F84" s="129" t="n">
        <v>2.91</v>
      </c>
      <c r="G84" s="129" t="n">
        <v>2.91</v>
      </c>
      <c r="H84" s="129" t="n">
        <v>2.91</v>
      </c>
      <c r="I84" s="129" t="n">
        <v>2.91</v>
      </c>
      <c r="J84" s="129" t="n">
        <v>2.91</v>
      </c>
      <c r="K84" s="129" t="n">
        <v>2.91</v>
      </c>
    </row>
    <row r="85" ht="14.25" customHeight="1" s="75">
      <c r="A85" s="130" t="n"/>
      <c r="B85" s="127" t="inlineStr">
        <is>
          <t>Order to Cash</t>
        </is>
      </c>
      <c r="C85" s="127" t="inlineStr">
        <is>
          <t>Supplier assumed</t>
        </is>
      </c>
      <c r="D85" s="128" t="n">
        <v>2</v>
      </c>
      <c r="E85" s="129" t="n">
        <v>1.94</v>
      </c>
      <c r="F85" s="129" t="n">
        <v>1.94</v>
      </c>
      <c r="G85" s="129" t="n">
        <v>1.94</v>
      </c>
      <c r="H85" s="129" t="n">
        <v>1.94</v>
      </c>
      <c r="I85" s="129" t="n">
        <v>1.94</v>
      </c>
      <c r="J85" s="129" t="n">
        <v>1.94</v>
      </c>
      <c r="K85" s="129" t="n">
        <v>1.94</v>
      </c>
    </row>
    <row r="86" ht="14.25" customHeight="1" s="75">
      <c r="A86" s="130" t="n"/>
      <c r="B86" s="131" t="n"/>
      <c r="C86" s="132" t="inlineStr">
        <is>
          <t>Pass through</t>
        </is>
      </c>
      <c r="D86" s="133" t="n">
        <v>0</v>
      </c>
      <c r="E86" s="134" t="n">
        <v>0</v>
      </c>
      <c r="F86" s="134" t="n">
        <v>0</v>
      </c>
      <c r="G86" s="134" t="n">
        <v>0</v>
      </c>
      <c r="H86" s="134" t="n">
        <v>0</v>
      </c>
      <c r="I86" s="134" t="n">
        <v>0</v>
      </c>
      <c r="J86" s="134" t="n">
        <v>0</v>
      </c>
      <c r="K86" s="134" t="n">
        <v>0</v>
      </c>
    </row>
    <row r="87" ht="14.25" customHeight="1" s="75">
      <c r="A87" s="130" t="n"/>
      <c r="B87" s="127" t="inlineStr">
        <is>
          <t>Order to Cash Total</t>
        </is>
      </c>
      <c r="C87" s="122" t="n"/>
      <c r="D87" s="128" t="n">
        <v>2</v>
      </c>
      <c r="E87" s="129" t="n">
        <v>1.94</v>
      </c>
      <c r="F87" s="129" t="n">
        <v>1.94</v>
      </c>
      <c r="G87" s="129" t="n">
        <v>1.94</v>
      </c>
      <c r="H87" s="129" t="n">
        <v>1.94</v>
      </c>
      <c r="I87" s="129" t="n">
        <v>1.94</v>
      </c>
      <c r="J87" s="129" t="n">
        <v>1.94</v>
      </c>
      <c r="K87" s="129" t="n">
        <v>1.94</v>
      </c>
    </row>
    <row r="88" ht="14.25" customHeight="1" s="75">
      <c r="A88" s="130" t="n"/>
      <c r="B88" s="127" t="inlineStr">
        <is>
          <t>Req to Pay</t>
        </is>
      </c>
      <c r="C88" s="127" t="inlineStr">
        <is>
          <t>Supplier assumed</t>
        </is>
      </c>
      <c r="D88" s="128" t="n">
        <v>1</v>
      </c>
      <c r="E88" s="129" t="n">
        <v>0.9</v>
      </c>
      <c r="F88" s="129" t="n">
        <v>0.9</v>
      </c>
      <c r="G88" s="129" t="n">
        <v>0.9</v>
      </c>
      <c r="H88" s="129" t="n">
        <v>0.9</v>
      </c>
      <c r="I88" s="129" t="n">
        <v>0.9</v>
      </c>
      <c r="J88" s="129" t="n">
        <v>0.9</v>
      </c>
      <c r="K88" s="129" t="n">
        <v>0.9</v>
      </c>
    </row>
    <row r="89" ht="14.25" customHeight="1" s="75">
      <c r="A89" s="130" t="n"/>
      <c r="B89" s="131" t="n"/>
      <c r="C89" s="132" t="inlineStr">
        <is>
          <t>Pass through</t>
        </is>
      </c>
      <c r="D89" s="133" t="n">
        <v>0</v>
      </c>
      <c r="E89" s="134" t="n">
        <v>0</v>
      </c>
      <c r="F89" s="134" t="n">
        <v>0</v>
      </c>
      <c r="G89" s="134" t="n">
        <v>0</v>
      </c>
      <c r="H89" s="134" t="n">
        <v>0</v>
      </c>
      <c r="I89" s="134" t="n">
        <v>0</v>
      </c>
      <c r="J89" s="134" t="n">
        <v>0</v>
      </c>
      <c r="K89" s="134" t="n">
        <v>0</v>
      </c>
    </row>
    <row r="90" ht="14.25" customHeight="1" s="75">
      <c r="A90" s="130" t="n"/>
      <c r="B90" s="127" t="inlineStr">
        <is>
          <t>Req to Pay Total</t>
        </is>
      </c>
      <c r="C90" s="122" t="n"/>
      <c r="D90" s="128">
        <f>SUM(D88:D89)</f>
        <v/>
      </c>
      <c r="E90" s="129" t="n">
        <v>0.9</v>
      </c>
      <c r="F90" s="129" t="n">
        <v>0.9</v>
      </c>
      <c r="G90" s="129" t="n">
        <v>0.9</v>
      </c>
      <c r="H90" s="129" t="n">
        <v>0.9</v>
      </c>
      <c r="I90" s="129" t="n">
        <v>0.9</v>
      </c>
      <c r="J90" s="129" t="n">
        <v>0.9</v>
      </c>
      <c r="K90" s="129" t="n">
        <v>0.9</v>
      </c>
    </row>
    <row r="91" ht="14.25" customHeight="1" s="75">
      <c r="A91" s="127" t="inlineStr">
        <is>
          <t>Germany Total</t>
        </is>
      </c>
      <c r="B91" s="122" t="n"/>
      <c r="C91" s="122" t="n"/>
      <c r="D91" s="128">
        <f>D90+D87+D84+D81+D78+D75+D72+D69</f>
        <v/>
      </c>
      <c r="E91" s="129" t="n">
        <v>13.316</v>
      </c>
      <c r="F91" s="129" t="n">
        <v>13.316</v>
      </c>
      <c r="G91" s="129" t="n">
        <v>13.316</v>
      </c>
      <c r="H91" s="129" t="n">
        <v>13.316</v>
      </c>
      <c r="I91" s="129" t="n">
        <v>13.316</v>
      </c>
      <c r="J91" s="129" t="n">
        <v>13.316</v>
      </c>
      <c r="K91" s="129" t="n">
        <v>13.316</v>
      </c>
    </row>
    <row r="92" ht="14.25" customHeight="1" s="75">
      <c r="A92" s="126" t="inlineStr">
        <is>
          <t>Spain</t>
        </is>
      </c>
      <c r="B92" s="127" t="inlineStr">
        <is>
          <t>Gen Acctg</t>
        </is>
      </c>
      <c r="C92" s="127" t="inlineStr">
        <is>
          <t>Supplier assumed</t>
        </is>
      </c>
      <c r="D92" s="128" t="n">
        <v>1.5</v>
      </c>
      <c r="E92" s="129" t="n">
        <v>0.97</v>
      </c>
      <c r="F92" s="129" t="n">
        <v>0.97</v>
      </c>
      <c r="G92" s="129" t="n">
        <v>0.97</v>
      </c>
      <c r="H92" s="129" t="n">
        <v>0.97</v>
      </c>
      <c r="I92" s="129" t="n">
        <v>0.97</v>
      </c>
      <c r="J92" s="129" t="n">
        <v>0.97</v>
      </c>
      <c r="K92" s="129" t="n">
        <v>0.97</v>
      </c>
    </row>
    <row r="93" ht="14.25" customHeight="1" s="75">
      <c r="A93" s="130" t="n"/>
      <c r="B93" s="131" t="n"/>
      <c r="C93" s="132" t="inlineStr">
        <is>
          <t>Pass through</t>
        </is>
      </c>
      <c r="D93" s="133" t="n">
        <v>1.5</v>
      </c>
      <c r="E93" s="134" t="n">
        <v>1.455</v>
      </c>
      <c r="F93" s="134" t="n">
        <v>1.455</v>
      </c>
      <c r="G93" s="134" t="n">
        <v>1.455</v>
      </c>
      <c r="H93" s="134" t="n">
        <v>1.455</v>
      </c>
      <c r="I93" s="134" t="n">
        <v>1.455</v>
      </c>
      <c r="J93" s="134" t="n">
        <v>1.455</v>
      </c>
      <c r="K93" s="134" t="n">
        <v>1.455</v>
      </c>
    </row>
    <row r="94" ht="14.25" customHeight="1" s="75">
      <c r="A94" s="130" t="n"/>
      <c r="B94" s="127" t="inlineStr">
        <is>
          <t>Gen Acctg Total</t>
        </is>
      </c>
      <c r="C94" s="122" t="n"/>
      <c r="D94" s="128">
        <f>SUM(D92:D93)</f>
        <v/>
      </c>
      <c r="E94" s="129" t="n">
        <v>2.425</v>
      </c>
      <c r="F94" s="129" t="n">
        <v>2.425</v>
      </c>
      <c r="G94" s="129" t="n">
        <v>2.425</v>
      </c>
      <c r="H94" s="129" t="n">
        <v>2.425</v>
      </c>
      <c r="I94" s="129" t="n">
        <v>2.425</v>
      </c>
      <c r="J94" s="129" t="n">
        <v>2.425</v>
      </c>
      <c r="K94" s="129" t="n">
        <v>2.425</v>
      </c>
    </row>
    <row r="95" ht="14.25" customHeight="1" s="75">
      <c r="A95" s="130" t="n"/>
      <c r="B95" s="127" t="inlineStr">
        <is>
          <t>Reporting</t>
        </is>
      </c>
      <c r="C95" s="127" t="inlineStr">
        <is>
          <t>Supplier assumed</t>
        </is>
      </c>
      <c r="D95" s="128" t="n">
        <v>0</v>
      </c>
      <c r="E95" s="129" t="n">
        <v>0</v>
      </c>
      <c r="F95" s="129" t="n">
        <v>0</v>
      </c>
      <c r="G95" s="129" t="n">
        <v>0</v>
      </c>
      <c r="H95" s="129" t="n">
        <v>0</v>
      </c>
      <c r="I95" s="129" t="n">
        <v>0</v>
      </c>
      <c r="J95" s="129" t="n">
        <v>0</v>
      </c>
      <c r="K95" s="129" t="n">
        <v>0</v>
      </c>
    </row>
    <row r="96" ht="14.25" customHeight="1" s="75">
      <c r="A96" s="130" t="n"/>
      <c r="B96" s="131" t="n"/>
      <c r="C96" s="132" t="inlineStr">
        <is>
          <t>Pass through</t>
        </is>
      </c>
      <c r="D96" s="133" t="n">
        <v>0</v>
      </c>
      <c r="E96" s="134" t="n">
        <v>0</v>
      </c>
      <c r="F96" s="134" t="n">
        <v>0</v>
      </c>
      <c r="G96" s="134" t="n">
        <v>0</v>
      </c>
      <c r="H96" s="134" t="n">
        <v>0</v>
      </c>
      <c r="I96" s="134" t="n">
        <v>0</v>
      </c>
      <c r="J96" s="134" t="n">
        <v>0</v>
      </c>
      <c r="K96" s="134" t="n">
        <v>0</v>
      </c>
    </row>
    <row r="97" ht="14.25" customHeight="1" s="75">
      <c r="A97" s="130" t="n"/>
      <c r="B97" s="127" t="inlineStr">
        <is>
          <t>Reporting Total</t>
        </is>
      </c>
      <c r="C97" s="122" t="n"/>
      <c r="D97" s="128" t="n">
        <v>0</v>
      </c>
      <c r="E97" s="129" t="n">
        <v>0</v>
      </c>
      <c r="F97" s="129" t="n">
        <v>0</v>
      </c>
      <c r="G97" s="129" t="n">
        <v>0</v>
      </c>
      <c r="H97" s="129" t="n">
        <v>0</v>
      </c>
      <c r="I97" s="129" t="n">
        <v>0</v>
      </c>
      <c r="J97" s="129" t="n">
        <v>0</v>
      </c>
      <c r="K97" s="129" t="n">
        <v>0</v>
      </c>
    </row>
    <row r="98" ht="14.25" customHeight="1" s="75">
      <c r="A98" s="130" t="n"/>
      <c r="B98" s="127" t="inlineStr">
        <is>
          <t>Acct Payable</t>
        </is>
      </c>
      <c r="C98" s="127" t="inlineStr">
        <is>
          <t>Supplier assumed</t>
        </is>
      </c>
      <c r="D98" s="128" t="n">
        <v>3.5</v>
      </c>
      <c r="E98" s="129" t="n">
        <v>3.686</v>
      </c>
      <c r="F98" s="129" t="n">
        <v>3.686</v>
      </c>
      <c r="G98" s="129" t="n">
        <v>3.686</v>
      </c>
      <c r="H98" s="129" t="n">
        <v>3.686</v>
      </c>
      <c r="I98" s="129" t="n">
        <v>3.686</v>
      </c>
      <c r="J98" s="129" t="n">
        <v>3.686</v>
      </c>
      <c r="K98" s="129" t="n">
        <v>3.686</v>
      </c>
    </row>
    <row r="99" ht="14.25" customHeight="1" s="75">
      <c r="A99" s="130" t="n"/>
      <c r="B99" s="131" t="n"/>
      <c r="C99" s="132" t="inlineStr">
        <is>
          <t>Pass through</t>
        </is>
      </c>
      <c r="D99" s="133" t="n">
        <v>0</v>
      </c>
      <c r="E99" s="134" t="n">
        <v>0</v>
      </c>
      <c r="F99" s="134" t="n">
        <v>0</v>
      </c>
      <c r="G99" s="134" t="n">
        <v>0</v>
      </c>
      <c r="H99" s="134" t="n">
        <v>0</v>
      </c>
      <c r="I99" s="134" t="n">
        <v>0</v>
      </c>
      <c r="J99" s="134" t="n">
        <v>0</v>
      </c>
      <c r="K99" s="134" t="n">
        <v>0</v>
      </c>
    </row>
    <row r="100" ht="14.25" customHeight="1" s="75">
      <c r="A100" s="130" t="n"/>
      <c r="B100" s="127" t="inlineStr">
        <is>
          <t>Acct Payable Total</t>
        </is>
      </c>
      <c r="C100" s="122" t="n"/>
      <c r="D100" s="128">
        <f>SUM(D98:D99)</f>
        <v/>
      </c>
      <c r="E100" s="129" t="n">
        <v>3.686</v>
      </c>
      <c r="F100" s="129" t="n">
        <v>3.686</v>
      </c>
      <c r="G100" s="129" t="n">
        <v>3.686</v>
      </c>
      <c r="H100" s="129" t="n">
        <v>3.686</v>
      </c>
      <c r="I100" s="129" t="n">
        <v>3.686</v>
      </c>
      <c r="J100" s="129" t="n">
        <v>3.686</v>
      </c>
      <c r="K100" s="129" t="n">
        <v>3.686</v>
      </c>
    </row>
    <row r="101" ht="14.25" customHeight="1" s="75">
      <c r="A101" s="130" t="n"/>
      <c r="B101" s="127" t="inlineStr">
        <is>
          <t>T&amp;E</t>
        </is>
      </c>
      <c r="C101" s="127" t="inlineStr">
        <is>
          <t>Supplier assumed</t>
        </is>
      </c>
      <c r="D101" s="128" t="n">
        <v>0</v>
      </c>
      <c r="E101" s="129" t="n">
        <v>0</v>
      </c>
      <c r="F101" s="129" t="n">
        <v>0</v>
      </c>
      <c r="G101" s="129" t="n">
        <v>0</v>
      </c>
      <c r="H101" s="129" t="n">
        <v>0</v>
      </c>
      <c r="I101" s="129" t="n">
        <v>0</v>
      </c>
      <c r="J101" s="129" t="n">
        <v>0</v>
      </c>
      <c r="K101" s="129" t="n">
        <v>0</v>
      </c>
    </row>
    <row r="102" ht="14.25" customHeight="1" s="75">
      <c r="A102" s="130" t="n"/>
      <c r="B102" s="131" t="n"/>
      <c r="C102" s="132" t="inlineStr">
        <is>
          <t>Pass through</t>
        </is>
      </c>
      <c r="D102" s="133" t="n">
        <v>0.5</v>
      </c>
      <c r="E102" s="134" t="n">
        <v>0.485</v>
      </c>
      <c r="F102" s="134" t="n">
        <v>0.485</v>
      </c>
      <c r="G102" s="134" t="n">
        <v>0.485</v>
      </c>
      <c r="H102" s="134" t="n">
        <v>0.485</v>
      </c>
      <c r="I102" s="134" t="n">
        <v>0.485</v>
      </c>
      <c r="J102" s="134" t="n">
        <v>0.485</v>
      </c>
      <c r="K102" s="134" t="n">
        <v>0.485</v>
      </c>
    </row>
    <row r="103" ht="14.25" customHeight="1" s="75">
      <c r="A103" s="130" t="n"/>
      <c r="B103" s="127" t="inlineStr">
        <is>
          <t>T&amp;E Total</t>
        </is>
      </c>
      <c r="C103" s="122" t="n"/>
      <c r="D103" s="128" t="n">
        <v>0.5</v>
      </c>
      <c r="E103" s="129" t="n">
        <v>0.485</v>
      </c>
      <c r="F103" s="129" t="n">
        <v>0.485</v>
      </c>
      <c r="G103" s="129" t="n">
        <v>0.485</v>
      </c>
      <c r="H103" s="129" t="n">
        <v>0.485</v>
      </c>
      <c r="I103" s="129" t="n">
        <v>0.485</v>
      </c>
      <c r="J103" s="129" t="n">
        <v>0.485</v>
      </c>
      <c r="K103" s="129" t="n">
        <v>0.485</v>
      </c>
    </row>
    <row r="104" ht="14.25" customHeight="1" s="75">
      <c r="A104" s="130" t="n"/>
      <c r="B104" s="127" t="inlineStr">
        <is>
          <t>Order to Cash</t>
        </is>
      </c>
      <c r="C104" s="127" t="inlineStr">
        <is>
          <t>Supplier assumed</t>
        </is>
      </c>
      <c r="D104" s="128" t="n">
        <v>1</v>
      </c>
      <c r="E104" s="129">
        <f>2.619-2</f>
        <v/>
      </c>
      <c r="F104" s="129">
        <f>2.619-2</f>
        <v/>
      </c>
      <c r="G104" s="129">
        <f>2.619-2</f>
        <v/>
      </c>
      <c r="H104" s="129">
        <f>2.619-2</f>
        <v/>
      </c>
      <c r="I104" s="129">
        <f>2.619-2</f>
        <v/>
      </c>
      <c r="J104" s="129">
        <f>2.619-2</f>
        <v/>
      </c>
      <c r="K104" s="129">
        <f>2.619-2</f>
        <v/>
      </c>
    </row>
    <row r="105" ht="14.25" customHeight="1" s="75">
      <c r="A105" s="130" t="n"/>
      <c r="B105" s="131" t="n"/>
      <c r="C105" s="132" t="inlineStr">
        <is>
          <t>Pass through</t>
        </is>
      </c>
      <c r="D105" s="133" t="n">
        <v>0</v>
      </c>
      <c r="E105" s="134" t="n">
        <v>0</v>
      </c>
      <c r="F105" s="134" t="n">
        <v>0</v>
      </c>
      <c r="G105" s="134" t="n">
        <v>0</v>
      </c>
      <c r="H105" s="134" t="n">
        <v>0</v>
      </c>
      <c r="I105" s="134" t="n">
        <v>0</v>
      </c>
      <c r="J105" s="134" t="n">
        <v>0</v>
      </c>
      <c r="K105" s="134" t="n">
        <v>0</v>
      </c>
    </row>
    <row r="106" ht="14.25" customHeight="1" s="75">
      <c r="A106" s="130" t="n"/>
      <c r="B106" s="127" t="inlineStr">
        <is>
          <t>Order to Cash Total</t>
        </is>
      </c>
      <c r="C106" s="122" t="n"/>
      <c r="D106" s="128">
        <f>SUM(D104:D105)</f>
        <v/>
      </c>
      <c r="E106" s="129">
        <f>2.619-2</f>
        <v/>
      </c>
      <c r="F106" s="129">
        <f>2.619-2</f>
        <v/>
      </c>
      <c r="G106" s="129">
        <f>2.619-2</f>
        <v/>
      </c>
      <c r="H106" s="129">
        <f>2.619-2</f>
        <v/>
      </c>
      <c r="I106" s="129">
        <f>2.619-2</f>
        <v/>
      </c>
      <c r="J106" s="129">
        <f>2.619-2</f>
        <v/>
      </c>
      <c r="K106" s="129">
        <f>2.619-2</f>
        <v/>
      </c>
    </row>
    <row r="107" ht="14.25" customHeight="1" s="75">
      <c r="A107" s="130" t="n"/>
      <c r="B107" s="127" t="inlineStr">
        <is>
          <t>Req to Pay</t>
        </is>
      </c>
      <c r="C107" s="127" t="inlineStr">
        <is>
          <t>Supplier assumed</t>
        </is>
      </c>
      <c r="D107" s="128" t="n">
        <v>4</v>
      </c>
      <c r="E107" s="129" t="n">
        <v>3.9</v>
      </c>
      <c r="F107" s="129" t="n">
        <v>3.9</v>
      </c>
      <c r="G107" s="129" t="n">
        <v>3.9</v>
      </c>
      <c r="H107" s="129" t="n">
        <v>3.9</v>
      </c>
      <c r="I107" s="129" t="n">
        <v>3.9</v>
      </c>
      <c r="J107" s="129" t="n">
        <v>3.9</v>
      </c>
      <c r="K107" s="129" t="n">
        <v>3.9</v>
      </c>
    </row>
    <row r="108" ht="14.25" customHeight="1" s="75">
      <c r="A108" s="130" t="n"/>
      <c r="B108" s="131" t="n"/>
      <c r="C108" s="132" t="inlineStr">
        <is>
          <t>Pass through</t>
        </is>
      </c>
      <c r="D108" s="133" t="n">
        <v>0</v>
      </c>
      <c r="E108" s="134" t="n">
        <v>0</v>
      </c>
      <c r="F108" s="134" t="n">
        <v>0</v>
      </c>
      <c r="G108" s="134" t="n">
        <v>0</v>
      </c>
      <c r="H108" s="134" t="n">
        <v>0</v>
      </c>
      <c r="I108" s="134" t="n">
        <v>0</v>
      </c>
      <c r="J108" s="134" t="n">
        <v>0</v>
      </c>
      <c r="K108" s="134" t="n">
        <v>0</v>
      </c>
    </row>
    <row r="109" ht="14.25" customHeight="1" s="75">
      <c r="A109" s="130" t="n"/>
      <c r="B109" s="127" t="inlineStr">
        <is>
          <t>Req to Pay Total</t>
        </is>
      </c>
      <c r="C109" s="122" t="n"/>
      <c r="D109" s="128" t="n">
        <v>4</v>
      </c>
      <c r="E109" s="129" t="n">
        <v>3.9</v>
      </c>
      <c r="F109" s="129" t="n">
        <v>3.9</v>
      </c>
      <c r="G109" s="129" t="n">
        <v>3.9</v>
      </c>
      <c r="H109" s="129" t="n">
        <v>3.9</v>
      </c>
      <c r="I109" s="129" t="n">
        <v>3.9</v>
      </c>
      <c r="J109" s="129" t="n">
        <v>3.9</v>
      </c>
      <c r="K109" s="129" t="n">
        <v>3.9</v>
      </c>
    </row>
    <row r="110" ht="14.25" customHeight="1" s="75">
      <c r="A110" s="127" t="inlineStr">
        <is>
          <t>Spain Total</t>
        </is>
      </c>
      <c r="B110" s="122" t="n"/>
      <c r="C110" s="122" t="n"/>
      <c r="D110" s="128">
        <f>D109+D106+D103+D100+D97+D94</f>
        <v/>
      </c>
      <c r="E110" s="129">
        <f>13.115-2</f>
        <v/>
      </c>
      <c r="F110" s="129">
        <f>13.115-2</f>
        <v/>
      </c>
      <c r="G110" s="129">
        <f>13.115-2</f>
        <v/>
      </c>
      <c r="H110" s="129">
        <f>13.115-2</f>
        <v/>
      </c>
      <c r="I110" s="129">
        <f>13.115-2</f>
        <v/>
      </c>
      <c r="J110" s="129">
        <f>13.115-2</f>
        <v/>
      </c>
      <c r="K110" s="129">
        <f>13.115-2</f>
        <v/>
      </c>
    </row>
    <row r="111" ht="14.25" customHeight="1" s="75">
      <c r="A111" s="126" t="inlineStr">
        <is>
          <t>Italy</t>
        </is>
      </c>
      <c r="B111" s="127" t="inlineStr">
        <is>
          <t>Gen Acctg</t>
        </is>
      </c>
      <c r="C111" s="127" t="inlineStr">
        <is>
          <t>Supplier assumed</t>
        </is>
      </c>
      <c r="D111" s="128" t="n">
        <v>1</v>
      </c>
      <c r="E111" s="129" t="n">
        <v>0.873</v>
      </c>
      <c r="F111" s="129" t="n">
        <v>0.873</v>
      </c>
      <c r="G111" s="129" t="n">
        <v>0.873</v>
      </c>
      <c r="H111" s="129" t="n">
        <v>0.873</v>
      </c>
      <c r="I111" s="129" t="n">
        <v>0.873</v>
      </c>
      <c r="J111" s="129" t="n">
        <v>0.873</v>
      </c>
      <c r="K111" s="129" t="n">
        <v>0.873</v>
      </c>
    </row>
    <row r="112" ht="14.25" customHeight="1" s="75">
      <c r="A112" s="130" t="n"/>
      <c r="B112" s="131" t="n"/>
      <c r="C112" s="132" t="inlineStr">
        <is>
          <t>Pass through</t>
        </is>
      </c>
      <c r="D112" s="133" t="n">
        <v>0</v>
      </c>
      <c r="E112" s="134" t="n">
        <v>0</v>
      </c>
      <c r="F112" s="134" t="n">
        <v>0</v>
      </c>
      <c r="G112" s="134" t="n">
        <v>0</v>
      </c>
      <c r="H112" s="134" t="n">
        <v>0</v>
      </c>
      <c r="I112" s="134" t="n">
        <v>0</v>
      </c>
      <c r="J112" s="134" t="n">
        <v>0</v>
      </c>
      <c r="K112" s="134" t="n">
        <v>0</v>
      </c>
    </row>
    <row r="113" ht="14.25" customHeight="1" s="75">
      <c r="A113" s="130" t="n"/>
      <c r="B113" s="127" t="inlineStr">
        <is>
          <t>Gen Acctg Total</t>
        </is>
      </c>
      <c r="C113" s="122" t="n"/>
      <c r="D113" s="128">
        <f>SUM(D111:D112)</f>
        <v/>
      </c>
      <c r="E113" s="129" t="n">
        <v>0.873</v>
      </c>
      <c r="F113" s="129" t="n">
        <v>0.873</v>
      </c>
      <c r="G113" s="129" t="n">
        <v>0.873</v>
      </c>
      <c r="H113" s="129" t="n">
        <v>0.873</v>
      </c>
      <c r="I113" s="129" t="n">
        <v>0.873</v>
      </c>
      <c r="J113" s="129" t="n">
        <v>0.873</v>
      </c>
      <c r="K113" s="129" t="n">
        <v>0.873</v>
      </c>
    </row>
    <row r="114" ht="14.25" customHeight="1" s="75">
      <c r="A114" s="130" t="n"/>
      <c r="B114" s="127" t="inlineStr">
        <is>
          <t>Reporting</t>
        </is>
      </c>
      <c r="C114" s="127" t="inlineStr">
        <is>
          <t>Supplier assumed</t>
        </is>
      </c>
      <c r="D114" s="128" t="n">
        <v>0</v>
      </c>
      <c r="E114" s="129" t="n">
        <v>0</v>
      </c>
      <c r="F114" s="129" t="n">
        <v>0</v>
      </c>
      <c r="G114" s="129" t="n">
        <v>0</v>
      </c>
      <c r="H114" s="129" t="n">
        <v>0</v>
      </c>
      <c r="I114" s="129" t="n">
        <v>0</v>
      </c>
      <c r="J114" s="129" t="n">
        <v>0</v>
      </c>
      <c r="K114" s="129" t="n">
        <v>0</v>
      </c>
    </row>
    <row r="115" ht="14.25" customHeight="1" s="75">
      <c r="A115" s="130" t="n"/>
      <c r="B115" s="131" t="n"/>
      <c r="C115" s="132" t="inlineStr">
        <is>
          <t>Pass through</t>
        </is>
      </c>
      <c r="D115" s="133" t="n">
        <v>0</v>
      </c>
      <c r="E115" s="134" t="n">
        <v>0</v>
      </c>
      <c r="F115" s="134" t="n">
        <v>0</v>
      </c>
      <c r="G115" s="134" t="n">
        <v>0</v>
      </c>
      <c r="H115" s="134" t="n">
        <v>0</v>
      </c>
      <c r="I115" s="134" t="n">
        <v>0</v>
      </c>
      <c r="J115" s="134" t="n">
        <v>0</v>
      </c>
      <c r="K115" s="134" t="n">
        <v>0</v>
      </c>
    </row>
    <row r="116" ht="14.25" customHeight="1" s="75">
      <c r="A116" s="130" t="n"/>
      <c r="B116" s="127" t="inlineStr">
        <is>
          <t>Reporting Total</t>
        </is>
      </c>
      <c r="C116" s="122" t="n"/>
      <c r="D116" s="128" t="n">
        <v>0</v>
      </c>
      <c r="E116" s="129" t="n">
        <v>0</v>
      </c>
      <c r="F116" s="129" t="n">
        <v>0</v>
      </c>
      <c r="G116" s="129" t="n">
        <v>0</v>
      </c>
      <c r="H116" s="129" t="n">
        <v>0</v>
      </c>
      <c r="I116" s="129" t="n">
        <v>0</v>
      </c>
      <c r="J116" s="129" t="n">
        <v>0</v>
      </c>
      <c r="K116" s="129" t="n">
        <v>0</v>
      </c>
    </row>
    <row r="117" ht="14.25" customHeight="1" s="75">
      <c r="A117" s="130" t="n"/>
      <c r="B117" s="127" t="inlineStr">
        <is>
          <t>Acct Payable</t>
        </is>
      </c>
      <c r="C117" s="127" t="inlineStr">
        <is>
          <t>Supplier assumed</t>
        </is>
      </c>
      <c r="D117" s="128" t="n">
        <v>5.5</v>
      </c>
      <c r="E117" s="129" t="n">
        <v>6.79</v>
      </c>
      <c r="F117" s="129" t="n">
        <v>6.79</v>
      </c>
      <c r="G117" s="129" t="n">
        <v>6.79</v>
      </c>
      <c r="H117" s="129" t="n">
        <v>6.79</v>
      </c>
      <c r="I117" s="129" t="n">
        <v>6.79</v>
      </c>
      <c r="J117" s="129" t="n">
        <v>6.79</v>
      </c>
      <c r="K117" s="129" t="n">
        <v>6.79</v>
      </c>
    </row>
    <row r="118" ht="14.25" customHeight="1" s="75">
      <c r="A118" s="130" t="n"/>
      <c r="B118" s="131" t="n"/>
      <c r="C118" s="132" t="inlineStr">
        <is>
          <t>Pass through</t>
        </is>
      </c>
      <c r="D118" s="133" t="n">
        <v>0</v>
      </c>
      <c r="E118" s="134" t="n">
        <v>0</v>
      </c>
      <c r="F118" s="134" t="n">
        <v>0</v>
      </c>
      <c r="G118" s="134" t="n">
        <v>0</v>
      </c>
      <c r="H118" s="134" t="n">
        <v>0</v>
      </c>
      <c r="I118" s="134" t="n">
        <v>0</v>
      </c>
      <c r="J118" s="134" t="n">
        <v>0</v>
      </c>
      <c r="K118" s="134" t="n">
        <v>0</v>
      </c>
    </row>
    <row r="119" ht="14.25" customHeight="1" s="75">
      <c r="A119" s="130" t="n"/>
      <c r="B119" s="127" t="inlineStr">
        <is>
          <t>Acct Payable Total</t>
        </is>
      </c>
      <c r="C119" s="122" t="n"/>
      <c r="D119" s="128">
        <f>SUM(D117:D118)</f>
        <v/>
      </c>
      <c r="E119" s="129" t="n">
        <v>6.79</v>
      </c>
      <c r="F119" s="129" t="n">
        <v>6.79</v>
      </c>
      <c r="G119" s="129" t="n">
        <v>6.79</v>
      </c>
      <c r="H119" s="129" t="n">
        <v>6.79</v>
      </c>
      <c r="I119" s="129" t="n">
        <v>6.79</v>
      </c>
      <c r="J119" s="129" t="n">
        <v>6.79</v>
      </c>
      <c r="K119" s="129" t="n">
        <v>6.79</v>
      </c>
    </row>
    <row r="120" ht="14.25" customHeight="1" s="75">
      <c r="A120" s="130" t="n"/>
      <c r="B120" s="127" t="inlineStr">
        <is>
          <t>T&amp;E</t>
        </is>
      </c>
      <c r="C120" s="127" t="inlineStr">
        <is>
          <t>Supplier assumed</t>
        </is>
      </c>
      <c r="D120" s="128" t="n">
        <v>2.5</v>
      </c>
      <c r="E120" s="129" t="n">
        <v>2.425</v>
      </c>
      <c r="F120" s="129" t="n">
        <v>2.425</v>
      </c>
      <c r="G120" s="129" t="n">
        <v>2.425</v>
      </c>
      <c r="H120" s="129" t="n">
        <v>2.425</v>
      </c>
      <c r="I120" s="129" t="n">
        <v>2.425</v>
      </c>
      <c r="J120" s="129" t="n">
        <v>2.425</v>
      </c>
      <c r="K120" s="129" t="n">
        <v>2.425</v>
      </c>
    </row>
    <row r="121" ht="14.25" customHeight="1" s="75">
      <c r="A121" s="130" t="n"/>
      <c r="B121" s="131" t="n"/>
      <c r="C121" s="132" t="inlineStr">
        <is>
          <t>Pass through</t>
        </is>
      </c>
      <c r="D121" s="133" t="n">
        <v>0</v>
      </c>
      <c r="E121" s="134" t="n">
        <v>0</v>
      </c>
      <c r="F121" s="134" t="n">
        <v>0</v>
      </c>
      <c r="G121" s="134" t="n">
        <v>0</v>
      </c>
      <c r="H121" s="134" t="n">
        <v>0</v>
      </c>
      <c r="I121" s="134" t="n">
        <v>0</v>
      </c>
      <c r="J121" s="134" t="n">
        <v>0</v>
      </c>
      <c r="K121" s="134" t="n">
        <v>0</v>
      </c>
    </row>
    <row r="122" ht="14.25" customHeight="1" s="75">
      <c r="A122" s="130" t="n"/>
      <c r="B122" s="127" t="inlineStr">
        <is>
          <t>T&amp;E Total</t>
        </is>
      </c>
      <c r="C122" s="122" t="n"/>
      <c r="D122" s="128" t="n">
        <v>2.5</v>
      </c>
      <c r="E122" s="129" t="n">
        <v>2.425</v>
      </c>
      <c r="F122" s="129" t="n">
        <v>2.425</v>
      </c>
      <c r="G122" s="129" t="n">
        <v>2.425</v>
      </c>
      <c r="H122" s="129" t="n">
        <v>2.425</v>
      </c>
      <c r="I122" s="129" t="n">
        <v>2.425</v>
      </c>
      <c r="J122" s="129" t="n">
        <v>2.425</v>
      </c>
      <c r="K122" s="129" t="n">
        <v>2.425</v>
      </c>
    </row>
    <row r="123" ht="14.25" customHeight="1" s="75">
      <c r="A123" s="130" t="n"/>
      <c r="B123" s="127" t="inlineStr">
        <is>
          <t>Order to Cash</t>
        </is>
      </c>
      <c r="C123" s="127" t="inlineStr">
        <is>
          <t>Supplier assumed</t>
        </is>
      </c>
      <c r="D123" s="128" t="n">
        <v>2</v>
      </c>
      <c r="E123" s="129" t="n">
        <v>1.552</v>
      </c>
      <c r="F123" s="129" t="n">
        <v>1.552</v>
      </c>
      <c r="G123" s="129" t="n">
        <v>1.552</v>
      </c>
      <c r="H123" s="129" t="n">
        <v>1.552</v>
      </c>
      <c r="I123" s="129" t="n">
        <v>1.552</v>
      </c>
      <c r="J123" s="129" t="n">
        <v>1.552</v>
      </c>
      <c r="K123" s="129" t="n">
        <v>1.552</v>
      </c>
    </row>
    <row r="124" ht="14.25" customHeight="1" s="75">
      <c r="A124" s="130" t="n"/>
      <c r="B124" s="131" t="n"/>
      <c r="C124" s="132" t="inlineStr">
        <is>
          <t>Pass through</t>
        </is>
      </c>
      <c r="D124" s="133" t="n">
        <v>0</v>
      </c>
      <c r="E124" s="134" t="n">
        <v>0</v>
      </c>
      <c r="F124" s="134" t="n">
        <v>0</v>
      </c>
      <c r="G124" s="134" t="n">
        <v>0</v>
      </c>
      <c r="H124" s="134" t="n">
        <v>0</v>
      </c>
      <c r="I124" s="134" t="n">
        <v>0</v>
      </c>
      <c r="J124" s="134" t="n">
        <v>0</v>
      </c>
      <c r="K124" s="134" t="n">
        <v>0</v>
      </c>
    </row>
    <row r="125" ht="14.25" customHeight="1" s="75">
      <c r="A125" s="130" t="n"/>
      <c r="B125" s="127" t="inlineStr">
        <is>
          <t>Order to Cash Total</t>
        </is>
      </c>
      <c r="C125" s="122" t="n"/>
      <c r="D125" s="128">
        <f>SUM(D123:D124)</f>
        <v/>
      </c>
      <c r="E125" s="129" t="n">
        <v>1.552</v>
      </c>
      <c r="F125" s="129" t="n">
        <v>1.552</v>
      </c>
      <c r="G125" s="129" t="n">
        <v>1.552</v>
      </c>
      <c r="H125" s="129" t="n">
        <v>1.552</v>
      </c>
      <c r="I125" s="129" t="n">
        <v>1.552</v>
      </c>
      <c r="J125" s="129" t="n">
        <v>1.552</v>
      </c>
      <c r="K125" s="129" t="n">
        <v>1.552</v>
      </c>
    </row>
    <row r="126" ht="14.25" customHeight="1" s="75">
      <c r="A126" s="130" t="n"/>
      <c r="B126" s="127" t="inlineStr">
        <is>
          <t>Req to Pay</t>
        </is>
      </c>
      <c r="C126" s="127" t="inlineStr">
        <is>
          <t>Supplier assumed</t>
        </is>
      </c>
      <c r="D126" s="128" t="n">
        <v>3</v>
      </c>
      <c r="E126" s="129" t="n">
        <v>0.679</v>
      </c>
      <c r="F126" s="129" t="n">
        <v>0.679</v>
      </c>
      <c r="G126" s="129" t="n">
        <v>0.679</v>
      </c>
      <c r="H126" s="129" t="n">
        <v>0.679</v>
      </c>
      <c r="I126" s="129" t="n">
        <v>0.679</v>
      </c>
      <c r="J126" s="129" t="n">
        <v>0.7</v>
      </c>
      <c r="K126" s="129" t="n">
        <v>0.7</v>
      </c>
    </row>
    <row r="127" ht="14.25" customHeight="1" s="75">
      <c r="A127" s="130" t="n"/>
      <c r="B127" s="131" t="n"/>
      <c r="C127" s="132" t="inlineStr">
        <is>
          <t>Pass through</t>
        </is>
      </c>
      <c r="D127" s="133" t="n">
        <v>0</v>
      </c>
      <c r="E127" s="134" t="n">
        <v>0</v>
      </c>
      <c r="F127" s="134" t="n">
        <v>0</v>
      </c>
      <c r="G127" s="134" t="n">
        <v>0</v>
      </c>
      <c r="H127" s="134" t="n">
        <v>0</v>
      </c>
      <c r="I127" s="134" t="n">
        <v>0</v>
      </c>
      <c r="J127" s="134" t="n">
        <v>0</v>
      </c>
      <c r="K127" s="134" t="n">
        <v>0</v>
      </c>
    </row>
    <row r="128" ht="14.25" customHeight="1" s="75">
      <c r="A128" s="130" t="n"/>
      <c r="B128" s="127" t="inlineStr">
        <is>
          <t>Req to Pay Total</t>
        </is>
      </c>
      <c r="C128" s="122" t="n"/>
      <c r="D128" s="128">
        <f>SUM(D126:D127)</f>
        <v/>
      </c>
      <c r="E128" s="129" t="n">
        <v>0.679</v>
      </c>
      <c r="F128" s="129" t="n">
        <v>0.679</v>
      </c>
      <c r="G128" s="129" t="n">
        <v>0.679</v>
      </c>
      <c r="H128" s="129" t="n">
        <v>0.679</v>
      </c>
      <c r="I128" s="129" t="n">
        <v>0.679</v>
      </c>
      <c r="J128" s="129" t="n">
        <v>0.7</v>
      </c>
      <c r="K128" s="129" t="n">
        <v>0.7</v>
      </c>
    </row>
    <row r="129" ht="14.25" customHeight="1" s="75">
      <c r="A129" s="127" t="inlineStr">
        <is>
          <t>Italy Total</t>
        </is>
      </c>
      <c r="B129" s="122" t="n"/>
      <c r="C129" s="122" t="n"/>
      <c r="D129" s="128">
        <f>D128+D125+D122+D119+D116+D113</f>
        <v/>
      </c>
      <c r="E129" s="129" t="n">
        <v>12.319</v>
      </c>
      <c r="F129" s="129" t="n">
        <v>12.319</v>
      </c>
      <c r="G129" s="129" t="n">
        <v>12.319</v>
      </c>
      <c r="H129" s="129" t="n">
        <v>12.319</v>
      </c>
      <c r="I129" s="129" t="n">
        <v>12.319</v>
      </c>
      <c r="J129" s="129" t="n">
        <v>12.34</v>
      </c>
      <c r="K129" s="129" t="n">
        <v>12.34</v>
      </c>
    </row>
    <row r="130" ht="14.25" customHeight="1" s="75">
      <c r="A130" s="126" t="inlineStr">
        <is>
          <t>UK</t>
        </is>
      </c>
      <c r="B130" s="127" t="inlineStr">
        <is>
          <t>Gen Acctg</t>
        </is>
      </c>
      <c r="C130" s="127" t="inlineStr">
        <is>
          <t>Supplier assumed</t>
        </is>
      </c>
      <c r="D130" s="128" t="n">
        <v>1</v>
      </c>
      <c r="E130" s="129" t="n">
        <v>1</v>
      </c>
      <c r="F130" s="129" t="n">
        <v>1</v>
      </c>
      <c r="G130" s="129" t="n">
        <v>1</v>
      </c>
      <c r="H130" s="129" t="n">
        <v>1</v>
      </c>
      <c r="I130" s="129" t="n">
        <v>1</v>
      </c>
      <c r="J130" s="129" t="n">
        <v>1</v>
      </c>
      <c r="K130" s="129" t="n">
        <v>1</v>
      </c>
    </row>
    <row r="131" ht="14.25" customHeight="1" s="75">
      <c r="A131" s="130" t="n"/>
      <c r="B131" s="131" t="n"/>
      <c r="C131" s="132" t="inlineStr">
        <is>
          <t>Pass through</t>
        </is>
      </c>
      <c r="D131" s="133" t="n">
        <v>0</v>
      </c>
      <c r="E131" s="134" t="n">
        <v>0</v>
      </c>
      <c r="F131" s="134" t="n">
        <v>0</v>
      </c>
      <c r="G131" s="134" t="n">
        <v>0</v>
      </c>
      <c r="H131" s="134" t="n">
        <v>0</v>
      </c>
      <c r="I131" s="134" t="n">
        <v>0</v>
      </c>
      <c r="J131" s="134" t="n">
        <v>0</v>
      </c>
      <c r="K131" s="134" t="n">
        <v>0</v>
      </c>
    </row>
    <row r="132" ht="14.25" customHeight="1" s="75">
      <c r="A132" s="130" t="n"/>
      <c r="B132" s="127" t="inlineStr">
        <is>
          <t>Gen Acctg Total</t>
        </is>
      </c>
      <c r="C132" s="122" t="n"/>
      <c r="D132" s="128" t="n">
        <v>1</v>
      </c>
      <c r="E132" s="129" t="n">
        <v>1</v>
      </c>
      <c r="F132" s="129" t="n">
        <v>1</v>
      </c>
      <c r="G132" s="129" t="n">
        <v>1</v>
      </c>
      <c r="H132" s="129" t="n">
        <v>1</v>
      </c>
      <c r="I132" s="129" t="n">
        <v>1</v>
      </c>
      <c r="J132" s="129" t="n">
        <v>1</v>
      </c>
      <c r="K132" s="129" t="n">
        <v>1</v>
      </c>
    </row>
    <row r="133" ht="14.25" customHeight="1" s="75">
      <c r="A133" s="130" t="n"/>
      <c r="B133" s="127" t="inlineStr">
        <is>
          <t>Reporting</t>
        </is>
      </c>
      <c r="C133" s="127" t="inlineStr">
        <is>
          <t>Supplier assumed</t>
        </is>
      </c>
      <c r="D133" s="128" t="n">
        <v>0</v>
      </c>
      <c r="E133" s="129" t="n">
        <v>0</v>
      </c>
      <c r="F133" s="129" t="n">
        <v>0</v>
      </c>
      <c r="G133" s="129" t="n">
        <v>0</v>
      </c>
      <c r="H133" s="129" t="n">
        <v>0</v>
      </c>
      <c r="I133" s="129" t="n">
        <v>0</v>
      </c>
      <c r="J133" s="129" t="n">
        <v>0</v>
      </c>
      <c r="K133" s="129" t="n">
        <v>0</v>
      </c>
    </row>
    <row r="134" ht="14.25" customHeight="1" s="75">
      <c r="A134" s="130" t="n"/>
      <c r="B134" s="131" t="n"/>
      <c r="C134" s="132" t="inlineStr">
        <is>
          <t>Pass through</t>
        </is>
      </c>
      <c r="D134" s="133" t="n">
        <v>0</v>
      </c>
      <c r="E134" s="134" t="n">
        <v>0</v>
      </c>
      <c r="F134" s="134" t="n">
        <v>0</v>
      </c>
      <c r="G134" s="134" t="n">
        <v>0</v>
      </c>
      <c r="H134" s="134" t="n">
        <v>0</v>
      </c>
      <c r="I134" s="134" t="n">
        <v>0</v>
      </c>
      <c r="J134" s="134" t="n">
        <v>0</v>
      </c>
      <c r="K134" s="134" t="n">
        <v>0</v>
      </c>
    </row>
    <row r="135" ht="14.25" customHeight="1" s="75">
      <c r="A135" s="130" t="n"/>
      <c r="B135" s="127" t="inlineStr">
        <is>
          <t>Reporting Total</t>
        </is>
      </c>
      <c r="C135" s="122" t="n"/>
      <c r="D135" s="128" t="n">
        <v>0</v>
      </c>
      <c r="E135" s="129" t="n">
        <v>0</v>
      </c>
      <c r="F135" s="129" t="n">
        <v>0</v>
      </c>
      <c r="G135" s="129" t="n">
        <v>0</v>
      </c>
      <c r="H135" s="129" t="n">
        <v>0</v>
      </c>
      <c r="I135" s="129" t="n">
        <v>0</v>
      </c>
      <c r="J135" s="129" t="n">
        <v>0</v>
      </c>
      <c r="K135" s="129" t="n">
        <v>0</v>
      </c>
    </row>
    <row r="136" ht="14.25" customHeight="1" s="75">
      <c r="A136" s="130" t="n"/>
      <c r="B136" s="127" t="inlineStr">
        <is>
          <t>Acct Payable</t>
        </is>
      </c>
      <c r="C136" s="127" t="inlineStr">
        <is>
          <t>Supplier assumed</t>
        </is>
      </c>
      <c r="D136" s="128" t="n">
        <v>6</v>
      </c>
      <c r="E136" s="129" t="n">
        <v>6.6</v>
      </c>
      <c r="F136" s="129" t="n">
        <v>6.6</v>
      </c>
      <c r="G136" s="129" t="n">
        <v>6.6</v>
      </c>
      <c r="H136" s="129" t="n">
        <v>6.6</v>
      </c>
      <c r="I136" s="129" t="n">
        <v>6.6</v>
      </c>
      <c r="J136" s="129" t="n">
        <v>6.6</v>
      </c>
      <c r="K136" s="129" t="n">
        <v>6.6</v>
      </c>
    </row>
    <row r="137" ht="14.25" customHeight="1" s="75">
      <c r="A137" s="130" t="n"/>
      <c r="B137" s="131" t="n"/>
      <c r="C137" s="132" t="inlineStr">
        <is>
          <t>Pass through</t>
        </is>
      </c>
      <c r="D137" s="133" t="n">
        <v>0</v>
      </c>
      <c r="E137" s="134" t="n">
        <v>0</v>
      </c>
      <c r="F137" s="134" t="n">
        <v>0</v>
      </c>
      <c r="G137" s="134" t="n">
        <v>0</v>
      </c>
      <c r="H137" s="134" t="n">
        <v>0</v>
      </c>
      <c r="I137" s="134" t="n">
        <v>0</v>
      </c>
      <c r="J137" s="134" t="n">
        <v>0</v>
      </c>
      <c r="K137" s="134" t="n">
        <v>0</v>
      </c>
    </row>
    <row r="138" ht="14.25" customHeight="1" s="75">
      <c r="A138" s="130" t="n"/>
      <c r="B138" s="127" t="inlineStr">
        <is>
          <t>Acct Payable Total</t>
        </is>
      </c>
      <c r="C138" s="122" t="n"/>
      <c r="D138" s="128">
        <f>SUM(D136:D137)</f>
        <v/>
      </c>
      <c r="E138" s="129" t="n">
        <v>6.6</v>
      </c>
      <c r="F138" s="129" t="n">
        <v>6.6</v>
      </c>
      <c r="G138" s="129" t="n">
        <v>6.6</v>
      </c>
      <c r="H138" s="129" t="n">
        <v>6.6</v>
      </c>
      <c r="I138" s="129" t="n">
        <v>6.6</v>
      </c>
      <c r="J138" s="129" t="n">
        <v>6.6</v>
      </c>
      <c r="K138" s="129" t="n">
        <v>6.6</v>
      </c>
    </row>
    <row r="139" ht="14.25" customHeight="1" s="75">
      <c r="A139" s="130" t="n"/>
      <c r="B139" s="127" t="inlineStr">
        <is>
          <t>T&amp;E</t>
        </is>
      </c>
      <c r="C139" s="127" t="inlineStr">
        <is>
          <t>Supplier assumed</t>
        </is>
      </c>
      <c r="D139" s="128" t="n">
        <v>2</v>
      </c>
      <c r="E139" s="129" t="n">
        <v>2</v>
      </c>
      <c r="F139" s="129" t="n">
        <v>2</v>
      </c>
      <c r="G139" s="129" t="n">
        <v>2</v>
      </c>
      <c r="H139" s="129" t="n">
        <v>2</v>
      </c>
      <c r="I139" s="129" t="n">
        <v>2</v>
      </c>
      <c r="J139" s="129" t="n">
        <v>2</v>
      </c>
      <c r="K139" s="129" t="n">
        <v>2</v>
      </c>
    </row>
    <row r="140" ht="14.25" customHeight="1" s="75">
      <c r="A140" s="130" t="n"/>
      <c r="B140" s="131" t="n"/>
      <c r="C140" s="132" t="inlineStr">
        <is>
          <t>Pass through</t>
        </is>
      </c>
      <c r="D140" s="133" t="n">
        <v>0</v>
      </c>
      <c r="E140" s="134" t="n">
        <v>0</v>
      </c>
      <c r="F140" s="134" t="n">
        <v>0</v>
      </c>
      <c r="G140" s="134" t="n">
        <v>0</v>
      </c>
      <c r="H140" s="134" t="n">
        <v>0</v>
      </c>
      <c r="I140" s="134" t="n">
        <v>0</v>
      </c>
      <c r="J140" s="134" t="n">
        <v>0</v>
      </c>
      <c r="K140" s="134" t="n">
        <v>0</v>
      </c>
    </row>
    <row r="141" ht="14.25" customHeight="1" s="75">
      <c r="A141" s="130" t="n"/>
      <c r="B141" s="127" t="inlineStr">
        <is>
          <t>T&amp;E Total</t>
        </is>
      </c>
      <c r="C141" s="122" t="n"/>
      <c r="D141" s="128" t="n">
        <v>2</v>
      </c>
      <c r="E141" s="129" t="n">
        <v>2</v>
      </c>
      <c r="F141" s="129" t="n">
        <v>2</v>
      </c>
      <c r="G141" s="129" t="n">
        <v>2</v>
      </c>
      <c r="H141" s="129" t="n">
        <v>2</v>
      </c>
      <c r="I141" s="129" t="n">
        <v>2</v>
      </c>
      <c r="J141" s="129" t="n">
        <v>2</v>
      </c>
      <c r="K141" s="129" t="n">
        <v>2</v>
      </c>
    </row>
    <row r="142" ht="14.25" customHeight="1" s="75">
      <c r="A142" s="130" t="n"/>
      <c r="B142" s="127" t="inlineStr">
        <is>
          <t>Order to Cash</t>
        </is>
      </c>
      <c r="C142" s="127" t="inlineStr">
        <is>
          <t>Supplier assumed</t>
        </is>
      </c>
      <c r="D142" s="128" t="n">
        <v>2</v>
      </c>
      <c r="E142" s="129" t="n">
        <v>1.6</v>
      </c>
      <c r="F142" s="129" t="n">
        <v>1.6</v>
      </c>
      <c r="G142" s="129" t="n">
        <v>1.6</v>
      </c>
      <c r="H142" s="129" t="n">
        <v>1.6</v>
      </c>
      <c r="I142" s="129" t="n">
        <v>1.6</v>
      </c>
      <c r="J142" s="129" t="n">
        <v>1.6</v>
      </c>
      <c r="K142" s="129" t="n">
        <v>1.6</v>
      </c>
    </row>
    <row r="143" ht="14.25" customHeight="1" s="75">
      <c r="A143" s="130" t="n"/>
      <c r="B143" s="131" t="n"/>
      <c r="C143" s="132" t="inlineStr">
        <is>
          <t>Pass through</t>
        </is>
      </c>
      <c r="D143" s="133" t="n">
        <v>0</v>
      </c>
      <c r="E143" s="134" t="n">
        <v>0</v>
      </c>
      <c r="F143" s="134" t="n">
        <v>0</v>
      </c>
      <c r="G143" s="134" t="n">
        <v>0</v>
      </c>
      <c r="H143" s="134" t="n">
        <v>0</v>
      </c>
      <c r="I143" s="134" t="n">
        <v>0</v>
      </c>
      <c r="J143" s="134" t="n">
        <v>0</v>
      </c>
      <c r="K143" s="134" t="n">
        <v>0</v>
      </c>
    </row>
    <row r="144" ht="14.25" customHeight="1" s="75">
      <c r="A144" s="130" t="n"/>
      <c r="B144" s="127" t="inlineStr">
        <is>
          <t>Order to Cash Total</t>
        </is>
      </c>
      <c r="C144" s="122" t="n"/>
      <c r="D144" s="128">
        <f>SUM(D142:D143)</f>
        <v/>
      </c>
      <c r="E144" s="129" t="n">
        <v>1.6</v>
      </c>
      <c r="F144" s="129" t="n">
        <v>1.6</v>
      </c>
      <c r="G144" s="129" t="n">
        <v>1.6</v>
      </c>
      <c r="H144" s="129" t="n">
        <v>1.6</v>
      </c>
      <c r="I144" s="129" t="n">
        <v>1.6</v>
      </c>
      <c r="J144" s="129" t="n">
        <v>1.6</v>
      </c>
      <c r="K144" s="129" t="n">
        <v>1.6</v>
      </c>
    </row>
    <row r="145" ht="14.25" customHeight="1" s="75">
      <c r="A145" s="130" t="n"/>
      <c r="B145" s="127" t="inlineStr">
        <is>
          <t>Req to Pay</t>
        </is>
      </c>
      <c r="C145" s="127" t="inlineStr">
        <is>
          <t>Supplier assumed</t>
        </is>
      </c>
      <c r="D145" s="128" t="n">
        <v>0</v>
      </c>
      <c r="E145" s="129" t="n">
        <v>1.5</v>
      </c>
      <c r="F145" s="129" t="n">
        <v>1.5</v>
      </c>
      <c r="G145" s="129" t="n">
        <v>1.5</v>
      </c>
      <c r="H145" s="129" t="n">
        <v>1.5</v>
      </c>
      <c r="I145" s="129" t="n">
        <v>1.5</v>
      </c>
      <c r="J145" s="129" t="n">
        <v>1.5</v>
      </c>
      <c r="K145" s="129" t="n">
        <v>1.5</v>
      </c>
    </row>
    <row r="146" ht="14.25" customHeight="1" s="75">
      <c r="A146" s="130" t="n"/>
      <c r="B146" s="131" t="n"/>
      <c r="C146" s="132" t="inlineStr">
        <is>
          <t>Pass through</t>
        </is>
      </c>
      <c r="D146" s="133" t="n">
        <v>0</v>
      </c>
      <c r="E146" s="134" t="n">
        <v>0</v>
      </c>
      <c r="F146" s="134" t="n">
        <v>0</v>
      </c>
      <c r="G146" s="134" t="n">
        <v>0</v>
      </c>
      <c r="H146" s="134" t="n">
        <v>0</v>
      </c>
      <c r="I146" s="134" t="n">
        <v>0</v>
      </c>
      <c r="J146" s="134" t="n">
        <v>0</v>
      </c>
      <c r="K146" s="134" t="n">
        <v>0</v>
      </c>
    </row>
    <row r="147" ht="14.25" customHeight="1" s="75">
      <c r="A147" s="130" t="n"/>
      <c r="B147" s="127" t="inlineStr">
        <is>
          <t>Req to Pay Total</t>
        </is>
      </c>
      <c r="C147" s="122" t="n"/>
      <c r="D147" s="128">
        <f>SUM(D145:D146)</f>
        <v/>
      </c>
      <c r="E147" s="129" t="n">
        <v>1.5</v>
      </c>
      <c r="F147" s="129" t="n">
        <v>1.5</v>
      </c>
      <c r="G147" s="129" t="n">
        <v>1.5</v>
      </c>
      <c r="H147" s="129" t="n">
        <v>1.5</v>
      </c>
      <c r="I147" s="129" t="n">
        <v>1.5</v>
      </c>
      <c r="J147" s="129" t="n">
        <v>1.5</v>
      </c>
      <c r="K147" s="129" t="n">
        <v>1.5</v>
      </c>
    </row>
    <row r="148" ht="14.25" customHeight="1" s="75">
      <c r="A148" s="127" t="inlineStr">
        <is>
          <t>UK Total</t>
        </is>
      </c>
      <c r="B148" s="122" t="n"/>
      <c r="C148" s="122" t="n"/>
      <c r="D148" s="128">
        <f>D147+D144+D141+D138+D135+D132</f>
        <v/>
      </c>
      <c r="E148" s="129" t="n">
        <v>12.7</v>
      </c>
      <c r="F148" s="129" t="n">
        <v>12.7</v>
      </c>
      <c r="G148" s="129" t="n">
        <v>12.7</v>
      </c>
      <c r="H148" s="129" t="n">
        <v>12.7</v>
      </c>
      <c r="I148" s="129" t="n">
        <v>12.7</v>
      </c>
      <c r="J148" s="129" t="n">
        <v>12.7</v>
      </c>
      <c r="K148" s="129" t="n">
        <v>12.7</v>
      </c>
    </row>
    <row r="149" ht="14.25" customHeight="1" s="75">
      <c r="A149" s="126" t="inlineStr">
        <is>
          <t>Germany Prod</t>
        </is>
      </c>
      <c r="B149" s="127" t="inlineStr">
        <is>
          <t>Gen Acctg</t>
        </is>
      </c>
      <c r="C149" s="127" t="inlineStr">
        <is>
          <t>Supplier assumed</t>
        </is>
      </c>
      <c r="D149" s="128" t="n">
        <v>1</v>
      </c>
      <c r="E149" s="129" t="n">
        <v>0.97</v>
      </c>
      <c r="F149" s="129" t="n">
        <v>0.97</v>
      </c>
      <c r="G149" s="129" t="n">
        <v>0.97</v>
      </c>
      <c r="H149" s="129" t="n">
        <v>0.97</v>
      </c>
      <c r="I149" s="129" t="n">
        <v>0.97</v>
      </c>
      <c r="J149" s="129" t="n">
        <v>0.97</v>
      </c>
      <c r="K149" s="129" t="n">
        <v>0.97</v>
      </c>
    </row>
    <row r="150" ht="14.25" customHeight="1" s="75">
      <c r="A150" s="130" t="n"/>
      <c r="B150" s="131" t="n"/>
      <c r="C150" s="132" t="inlineStr">
        <is>
          <t>Pass through</t>
        </is>
      </c>
      <c r="D150" s="133" t="n">
        <v>0</v>
      </c>
      <c r="E150" s="134" t="n">
        <v>0</v>
      </c>
      <c r="F150" s="134" t="n">
        <v>0</v>
      </c>
      <c r="G150" s="134" t="n">
        <v>0</v>
      </c>
      <c r="H150" s="134" t="n">
        <v>0</v>
      </c>
      <c r="I150" s="134" t="n">
        <v>0</v>
      </c>
      <c r="J150" s="134" t="n">
        <v>0</v>
      </c>
      <c r="K150" s="134" t="n">
        <v>0</v>
      </c>
    </row>
    <row r="151" ht="14.25" customHeight="1" s="75">
      <c r="A151" s="130" t="n"/>
      <c r="B151" s="127" t="inlineStr">
        <is>
          <t>Gen Acctg Total</t>
        </is>
      </c>
      <c r="C151" s="122" t="n"/>
      <c r="D151" s="128" t="n">
        <v>1</v>
      </c>
      <c r="E151" s="129" t="n">
        <v>0.97</v>
      </c>
      <c r="F151" s="129" t="n">
        <v>0.97</v>
      </c>
      <c r="G151" s="129" t="n">
        <v>0.97</v>
      </c>
      <c r="H151" s="129" t="n">
        <v>0.97</v>
      </c>
      <c r="I151" s="129" t="n">
        <v>0.97</v>
      </c>
      <c r="J151" s="129" t="n">
        <v>0.97</v>
      </c>
      <c r="K151" s="129" t="n">
        <v>0.97</v>
      </c>
    </row>
    <row r="152" ht="14.25" customHeight="1" s="75">
      <c r="A152" s="130" t="n"/>
      <c r="B152" s="127" t="inlineStr">
        <is>
          <t>Reporting</t>
        </is>
      </c>
      <c r="C152" s="127" t="inlineStr">
        <is>
          <t>Supplier assumed</t>
        </is>
      </c>
      <c r="D152" s="128" t="n">
        <v>0</v>
      </c>
      <c r="E152" s="129" t="n">
        <v>0</v>
      </c>
      <c r="F152" s="129" t="n">
        <v>0</v>
      </c>
      <c r="G152" s="129" t="n">
        <v>0</v>
      </c>
      <c r="H152" s="129" t="n">
        <v>0</v>
      </c>
      <c r="I152" s="129" t="n">
        <v>0</v>
      </c>
      <c r="J152" s="129" t="n">
        <v>0</v>
      </c>
      <c r="K152" s="129" t="n">
        <v>0</v>
      </c>
    </row>
    <row r="153" ht="14.25" customHeight="1" s="75">
      <c r="A153" s="130" t="n"/>
      <c r="B153" s="131" t="n"/>
      <c r="C153" s="132" t="inlineStr">
        <is>
          <t>Pass through</t>
        </is>
      </c>
      <c r="D153" s="133" t="n">
        <v>0</v>
      </c>
      <c r="E153" s="134" t="n">
        <v>0</v>
      </c>
      <c r="F153" s="134" t="n">
        <v>0</v>
      </c>
      <c r="G153" s="134" t="n">
        <v>0</v>
      </c>
      <c r="H153" s="134" t="n">
        <v>0</v>
      </c>
      <c r="I153" s="134" t="n">
        <v>0</v>
      </c>
      <c r="J153" s="134" t="n">
        <v>0</v>
      </c>
      <c r="K153" s="134" t="n">
        <v>0</v>
      </c>
    </row>
    <row r="154" ht="14.25" customHeight="1" s="75">
      <c r="A154" s="130" t="n"/>
      <c r="B154" s="127" t="inlineStr">
        <is>
          <t>Reporting Total</t>
        </is>
      </c>
      <c r="C154" s="122" t="n"/>
      <c r="D154" s="128" t="n">
        <v>0</v>
      </c>
      <c r="E154" s="129" t="n">
        <v>0</v>
      </c>
      <c r="F154" s="129" t="n">
        <v>0</v>
      </c>
      <c r="G154" s="129" t="n">
        <v>0</v>
      </c>
      <c r="H154" s="129" t="n">
        <v>0</v>
      </c>
      <c r="I154" s="129" t="n">
        <v>0</v>
      </c>
      <c r="J154" s="129" t="n">
        <v>0</v>
      </c>
      <c r="K154" s="129" t="n">
        <v>0</v>
      </c>
    </row>
    <row r="155" ht="14.25" customHeight="1" s="75">
      <c r="A155" s="130" t="n"/>
      <c r="B155" s="127" t="inlineStr">
        <is>
          <t>Acct Payable</t>
        </is>
      </c>
      <c r="C155" s="127" t="inlineStr">
        <is>
          <t>Supplier assumed</t>
        </is>
      </c>
      <c r="D155" s="128" t="n">
        <v>0</v>
      </c>
      <c r="E155" s="129" t="n">
        <v>2</v>
      </c>
      <c r="F155" s="129" t="n">
        <v>2</v>
      </c>
      <c r="G155" s="129" t="n">
        <v>2</v>
      </c>
      <c r="H155" s="129" t="n">
        <v>2</v>
      </c>
      <c r="I155" s="129" t="n">
        <v>2</v>
      </c>
      <c r="J155" s="129" t="n">
        <v>2</v>
      </c>
      <c r="K155" s="129" t="n">
        <v>2</v>
      </c>
    </row>
    <row r="156" ht="14.25" customHeight="1" s="75">
      <c r="A156" s="130" t="n"/>
      <c r="B156" s="131" t="n"/>
      <c r="C156" s="132" t="inlineStr">
        <is>
          <t>Pass through</t>
        </is>
      </c>
      <c r="D156" s="133" t="n">
        <v>0</v>
      </c>
      <c r="E156" s="134" t="n">
        <v>0</v>
      </c>
      <c r="F156" s="134" t="n">
        <v>0</v>
      </c>
      <c r="G156" s="134" t="n">
        <v>0</v>
      </c>
      <c r="H156" s="134" t="n">
        <v>0</v>
      </c>
      <c r="I156" s="134" t="n">
        <v>0</v>
      </c>
      <c r="J156" s="134" t="n">
        <v>0</v>
      </c>
      <c r="K156" s="134" t="n">
        <v>0</v>
      </c>
    </row>
    <row r="157" ht="14.25" customHeight="1" s="75">
      <c r="A157" s="130" t="n"/>
      <c r="B157" s="127" t="inlineStr">
        <is>
          <t>Acct Payable Total</t>
        </is>
      </c>
      <c r="C157" s="122" t="n"/>
      <c r="D157" s="128">
        <f>SUM(D155:D156)</f>
        <v/>
      </c>
      <c r="E157" s="129" t="n">
        <v>2</v>
      </c>
      <c r="F157" s="129" t="n">
        <v>2</v>
      </c>
      <c r="G157" s="129" t="n">
        <v>2</v>
      </c>
      <c r="H157" s="129" t="n">
        <v>2</v>
      </c>
      <c r="I157" s="129" t="n">
        <v>2</v>
      </c>
      <c r="J157" s="129" t="n">
        <v>2</v>
      </c>
      <c r="K157" s="129" t="n">
        <v>2</v>
      </c>
    </row>
    <row r="158" ht="14.25" customHeight="1" s="75">
      <c r="A158" s="130" t="n"/>
      <c r="B158" s="127" t="inlineStr">
        <is>
          <t>T&amp;E</t>
        </is>
      </c>
      <c r="C158" s="127" t="inlineStr">
        <is>
          <t>Supplier assumed</t>
        </is>
      </c>
      <c r="D158" s="128" t="n">
        <v>0</v>
      </c>
      <c r="E158" s="129" t="n">
        <v>0</v>
      </c>
      <c r="F158" s="129" t="n">
        <v>0</v>
      </c>
      <c r="G158" s="129" t="n">
        <v>0</v>
      </c>
      <c r="H158" s="129" t="n">
        <v>0</v>
      </c>
      <c r="I158" s="129" t="n">
        <v>0</v>
      </c>
      <c r="J158" s="129" t="n">
        <v>0</v>
      </c>
      <c r="K158" s="129" t="n">
        <v>0</v>
      </c>
    </row>
    <row r="159" ht="14.25" customHeight="1" s="75">
      <c r="A159" s="130" t="n"/>
      <c r="B159" s="131" t="n"/>
      <c r="C159" s="132" t="inlineStr">
        <is>
          <t>Pass through</t>
        </is>
      </c>
      <c r="D159" s="133" t="n">
        <v>0</v>
      </c>
      <c r="E159" s="134" t="n">
        <v>0</v>
      </c>
      <c r="F159" s="134" t="n">
        <v>0</v>
      </c>
      <c r="G159" s="134" t="n">
        <v>0</v>
      </c>
      <c r="H159" s="134" t="n">
        <v>0</v>
      </c>
      <c r="I159" s="134" t="n">
        <v>0</v>
      </c>
      <c r="J159" s="134" t="n">
        <v>0</v>
      </c>
      <c r="K159" s="134" t="n">
        <v>0</v>
      </c>
    </row>
    <row r="160" ht="14.25" customHeight="1" s="75">
      <c r="A160" s="130" t="n"/>
      <c r="B160" s="127" t="inlineStr">
        <is>
          <t>T&amp;E Total</t>
        </is>
      </c>
      <c r="C160" s="122" t="n"/>
      <c r="D160" s="128" t="n">
        <v>0</v>
      </c>
      <c r="E160" s="129" t="n">
        <v>0</v>
      </c>
      <c r="F160" s="129" t="n">
        <v>0</v>
      </c>
      <c r="G160" s="129" t="n">
        <v>0</v>
      </c>
      <c r="H160" s="129" t="n">
        <v>0</v>
      </c>
      <c r="I160" s="129" t="n">
        <v>0</v>
      </c>
      <c r="J160" s="129" t="n">
        <v>0</v>
      </c>
      <c r="K160" s="129" t="n">
        <v>0</v>
      </c>
    </row>
    <row r="161" ht="14.25" customHeight="1" s="75">
      <c r="A161" s="130" t="n"/>
      <c r="B161" s="127" t="inlineStr">
        <is>
          <t>Order to Cash</t>
        </is>
      </c>
      <c r="C161" s="127" t="inlineStr">
        <is>
          <t>Supplier assumed</t>
        </is>
      </c>
      <c r="D161" s="128" t="n">
        <v>0</v>
      </c>
      <c r="E161" s="129" t="n">
        <v>0</v>
      </c>
      <c r="F161" s="129" t="n">
        <v>0</v>
      </c>
      <c r="G161" s="129" t="n">
        <v>0</v>
      </c>
      <c r="H161" s="129" t="n">
        <v>0</v>
      </c>
      <c r="I161" s="129" t="n">
        <v>0</v>
      </c>
      <c r="J161" s="129" t="n">
        <v>0</v>
      </c>
      <c r="K161" s="129" t="n">
        <v>0</v>
      </c>
    </row>
    <row r="162" ht="14.25" customHeight="1" s="75">
      <c r="A162" s="130" t="n"/>
      <c r="B162" s="131" t="n"/>
      <c r="C162" s="132" t="inlineStr">
        <is>
          <t>Pass through</t>
        </is>
      </c>
      <c r="D162" s="133" t="n">
        <v>0</v>
      </c>
      <c r="E162" s="134" t="n">
        <v>0</v>
      </c>
      <c r="F162" s="134" t="n">
        <v>0</v>
      </c>
      <c r="G162" s="134" t="n">
        <v>0</v>
      </c>
      <c r="H162" s="134" t="n">
        <v>0</v>
      </c>
      <c r="I162" s="134" t="n">
        <v>0</v>
      </c>
      <c r="J162" s="134" t="n">
        <v>0</v>
      </c>
      <c r="K162" s="134" t="n">
        <v>0</v>
      </c>
    </row>
    <row r="163" ht="14.25" customHeight="1" s="75">
      <c r="A163" s="130" t="n"/>
      <c r="B163" s="127" t="inlineStr">
        <is>
          <t>Order to Cash Total</t>
        </is>
      </c>
      <c r="C163" s="122" t="n"/>
      <c r="D163" s="128" t="n">
        <v>0</v>
      </c>
      <c r="E163" s="129" t="n">
        <v>0</v>
      </c>
      <c r="F163" s="129" t="n">
        <v>0</v>
      </c>
      <c r="G163" s="129" t="n">
        <v>0</v>
      </c>
      <c r="H163" s="129" t="n">
        <v>0</v>
      </c>
      <c r="I163" s="129" t="n">
        <v>0</v>
      </c>
      <c r="J163" s="129" t="n">
        <v>0</v>
      </c>
      <c r="K163" s="129" t="n">
        <v>0</v>
      </c>
    </row>
    <row r="164" ht="14.25" customHeight="1" s="75">
      <c r="A164" s="130" t="n"/>
      <c r="B164" s="127" t="inlineStr">
        <is>
          <t>Req to Pay</t>
        </is>
      </c>
      <c r="C164" s="127" t="inlineStr">
        <is>
          <t>Supplier assumed</t>
        </is>
      </c>
      <c r="D164" s="128" t="n">
        <v>0</v>
      </c>
      <c r="E164" s="129" t="n">
        <v>0.4</v>
      </c>
      <c r="F164" s="129" t="n">
        <v>0.4</v>
      </c>
      <c r="G164" s="129" t="n">
        <v>0.4</v>
      </c>
      <c r="H164" s="129" t="n">
        <v>0.4</v>
      </c>
      <c r="I164" s="129" t="n">
        <v>0.4</v>
      </c>
      <c r="J164" s="129" t="n">
        <v>0.4</v>
      </c>
      <c r="K164" s="129" t="n">
        <v>0.4</v>
      </c>
    </row>
    <row r="165" ht="14.25" customHeight="1" s="75">
      <c r="A165" s="130" t="n"/>
      <c r="B165" s="131" t="n"/>
      <c r="C165" s="132" t="inlineStr">
        <is>
          <t>Pass through</t>
        </is>
      </c>
      <c r="D165" s="133" t="n">
        <v>0</v>
      </c>
      <c r="E165" s="134" t="n">
        <v>0</v>
      </c>
      <c r="F165" s="134" t="n">
        <v>0</v>
      </c>
      <c r="G165" s="134" t="n">
        <v>0</v>
      </c>
      <c r="H165" s="134" t="n">
        <v>0</v>
      </c>
      <c r="I165" s="134" t="n">
        <v>0</v>
      </c>
      <c r="J165" s="134" t="n">
        <v>0</v>
      </c>
      <c r="K165" s="134" t="n">
        <v>0</v>
      </c>
    </row>
    <row r="166" ht="14.25" customHeight="1" s="75">
      <c r="A166" s="130" t="n"/>
      <c r="B166" s="127" t="inlineStr">
        <is>
          <t>Req to Pay Total</t>
        </is>
      </c>
      <c r="C166" s="122" t="n"/>
      <c r="D166" s="128">
        <f>SUM(D164:D165)</f>
        <v/>
      </c>
      <c r="E166" s="129" t="n">
        <v>0.4</v>
      </c>
      <c r="F166" s="129" t="n">
        <v>0.4</v>
      </c>
      <c r="G166" s="129" t="n">
        <v>0.4</v>
      </c>
      <c r="H166" s="129" t="n">
        <v>0.4</v>
      </c>
      <c r="I166" s="129" t="n">
        <v>0.4</v>
      </c>
      <c r="J166" s="129" t="n">
        <v>0.4</v>
      </c>
      <c r="K166" s="129" t="n">
        <v>0.4</v>
      </c>
    </row>
    <row r="167" ht="14.25" customHeight="1" s="75">
      <c r="A167" s="127" t="inlineStr">
        <is>
          <t>Germany Prod Total</t>
        </is>
      </c>
      <c r="B167" s="122" t="n"/>
      <c r="C167" s="122" t="n"/>
      <c r="D167" s="128">
        <f>D166+D163+D160+D157+D154+D151</f>
        <v/>
      </c>
      <c r="E167" s="129" t="n">
        <v>3.37</v>
      </c>
      <c r="F167" s="129" t="n">
        <v>3.37</v>
      </c>
      <c r="G167" s="129" t="n">
        <v>3.37</v>
      </c>
      <c r="H167" s="129" t="n">
        <v>3.37</v>
      </c>
      <c r="I167" s="129" t="n">
        <v>3.37</v>
      </c>
      <c r="J167" s="129" t="n">
        <v>3.37</v>
      </c>
      <c r="K167" s="129" t="n">
        <v>3.37</v>
      </c>
    </row>
    <row r="168" ht="15.75" customHeight="1" s="75">
      <c r="A168" s="135" t="inlineStr">
        <is>
          <t>Grand Total</t>
        </is>
      </c>
      <c r="B168" s="136" t="n"/>
      <c r="C168" s="136" t="n"/>
      <c r="D168" s="137">
        <f>D167+D148+D129+D110+D91+D66+D47+D22</f>
        <v/>
      </c>
      <c r="E168" s="138">
        <f>127.391-2</f>
        <v/>
      </c>
      <c r="F168" s="138">
        <f>127.436-2</f>
        <v/>
      </c>
      <c r="G168" s="138">
        <f>127.436-2</f>
        <v/>
      </c>
      <c r="H168" s="138">
        <f>127.436-2</f>
        <v/>
      </c>
      <c r="I168" s="138">
        <f>127.436-2</f>
        <v/>
      </c>
      <c r="J168" s="138">
        <f>127.436-2</f>
        <v/>
      </c>
      <c r="K168" s="138">
        <f>127.436-2</f>
        <v/>
      </c>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4" fitToWidth="1" pageOrder="downThenOver" blackAndWhite="0" draft="0" horizontalDpi="300" verticalDpi="300" copies="1"/>
</worksheet>
</file>

<file path=xl/worksheets/sheet5.xml><?xml version="1.0" encoding="utf-8"?>
<worksheet xmlns="http://schemas.openxmlformats.org/spreadsheetml/2006/main">
  <sheetPr filterMode="0">
    <tabColor rgb="FF00FFFF"/>
    <outlinePr summaryBelow="1" summaryRight="1"/>
    <pageSetUpPr fitToPage="1"/>
  </sheetPr>
  <dimension ref="A1:J66"/>
  <sheetViews>
    <sheetView showFormulas="0" showGridLines="1" showRowColHeaders="1" showZeros="1" rightToLeft="0" tabSelected="1" showOutlineSymbols="1" defaultGridColor="1" view="normal" topLeftCell="A1" colorId="64" zoomScale="50" zoomScaleNormal="5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K68"/>
    </sheetView>
  </sheetViews>
  <sheetFormatPr baseColWidth="8" defaultColWidth="9.13671875" defaultRowHeight="12.75" customHeight="1" zeroHeight="0" outlineLevelRow="0"/>
  <cols>
    <col width="21.13" customWidth="1" style="74" min="1" max="1"/>
    <col width="16.99" customWidth="1" style="74" min="2" max="2"/>
    <col width="12.56" customWidth="1" style="74" min="3" max="3"/>
    <col width="7.7" customWidth="1" style="74" min="4" max="7"/>
    <col width="6.85" customWidth="1" style="74" min="8" max="8"/>
    <col width="9.41" customWidth="1" style="74" min="9" max="10"/>
    <col width="10.99" customWidth="1" style="74" min="11" max="11"/>
    <col width="11.7" customWidth="1" style="74" min="12" max="12"/>
    <col width="16.28" customWidth="1" style="74" min="13" max="23"/>
    <col width="11.7" customWidth="1" style="74" min="24" max="25"/>
    <col width="12.7" customWidth="1" style="74" min="26" max="28"/>
    <col width="16.84" customWidth="1" style="74" min="29" max="29"/>
    <col width="12.7" customWidth="1" style="74" min="30" max="36"/>
    <col width="14.99" customWidth="1" style="74" min="37" max="37"/>
    <col width="11.42" customWidth="1" style="74" min="38" max="45"/>
    <col width="12.7" customWidth="1" style="74" min="46" max="46"/>
    <col width="10.85" customWidth="1" style="74" min="47" max="47"/>
    <col width="15.56" customWidth="1" style="74" min="48" max="48"/>
    <col width="11.42" customWidth="1" style="74" min="49" max="56"/>
    <col width="12.7" customWidth="1" style="74" min="57" max="57"/>
    <col width="12.56" customWidth="1" style="74" min="58" max="65"/>
    <col width="17.42" customWidth="1" style="74" min="66" max="66"/>
    <col width="11.42" customWidth="1" style="74" min="67" max="67"/>
    <col width="14.14" customWidth="1" style="74" min="68" max="68"/>
    <col width="7.28" customWidth="1" style="74" min="69" max="72"/>
    <col width="10.13" customWidth="1" style="74" min="73" max="73"/>
    <col width="12.7" customWidth="1" style="74" min="74" max="81"/>
    <col width="14.99" customWidth="1" style="74" min="82" max="82"/>
    <col width="11.42" customWidth="1" style="74" min="83" max="85"/>
    <col width="14.85" customWidth="1" style="74" min="86" max="86"/>
    <col width="14.14" customWidth="1" style="74" min="87" max="87"/>
  </cols>
  <sheetData>
    <row r="1"/>
    <row r="2"/>
    <row r="3" ht="12.75" customHeight="1" s="75">
      <c r="A3" s="121" t="inlineStr">
        <is>
          <t>Resource Zurichine Process By Country</t>
        </is>
      </c>
      <c r="B3" s="122" t="n"/>
      <c r="C3" s="121" t="inlineStr">
        <is>
          <t>FTEs</t>
        </is>
      </c>
      <c r="D3" s="122" t="n"/>
      <c r="E3" s="122" t="n"/>
      <c r="F3" s="122" t="n"/>
      <c r="G3" s="122" t="n"/>
      <c r="H3" s="122" t="n"/>
      <c r="I3" s="122" t="n"/>
      <c r="J3" s="122" t="n"/>
    </row>
    <row r="4" ht="12.75" customHeight="1" s="75">
      <c r="A4" s="139" t="inlineStr">
        <is>
          <t>Process</t>
        </is>
      </c>
      <c r="B4" s="127" t="inlineStr">
        <is>
          <t>Country</t>
        </is>
      </c>
      <c r="C4" s="124" t="inlineStr">
        <is>
          <t>Base Year</t>
        </is>
      </c>
      <c r="D4" s="125" t="inlineStr">
        <is>
          <t>Year 1</t>
        </is>
      </c>
      <c r="E4" s="125" t="inlineStr">
        <is>
          <t>Year 2</t>
        </is>
      </c>
      <c r="F4" s="125" t="inlineStr">
        <is>
          <t>Year 3</t>
        </is>
      </c>
      <c r="G4" s="125" t="inlineStr">
        <is>
          <t>Year 4</t>
        </is>
      </c>
      <c r="H4" s="125" t="inlineStr">
        <is>
          <t>Year 5</t>
        </is>
      </c>
      <c r="I4" s="125" t="inlineStr">
        <is>
          <t>Year 6</t>
        </is>
      </c>
      <c r="J4" s="125" t="inlineStr">
        <is>
          <t>Year 7</t>
        </is>
      </c>
    </row>
    <row r="5" ht="14.25" customHeight="1" s="75">
      <c r="A5" s="127" t="inlineStr">
        <is>
          <t>Gen Acctg</t>
        </is>
      </c>
      <c r="B5" s="126" t="inlineStr">
        <is>
          <t>Zurich</t>
        </is>
      </c>
      <c r="C5" s="140" t="n">
        <v>2</v>
      </c>
      <c r="D5" s="141" t="n">
        <v>2.425</v>
      </c>
      <c r="E5" s="141" t="n">
        <v>2.425</v>
      </c>
      <c r="F5" s="141" t="n">
        <v>2.425</v>
      </c>
      <c r="G5" s="141" t="n">
        <v>2.425</v>
      </c>
      <c r="H5" s="141" t="n">
        <v>2.425</v>
      </c>
      <c r="I5" s="141" t="n">
        <v>2.425</v>
      </c>
      <c r="J5" s="141" t="n">
        <v>2.425</v>
      </c>
    </row>
    <row r="6" ht="14.25" customHeight="1" s="75">
      <c r="A6" s="131" t="n"/>
      <c r="B6" s="142" t="inlineStr">
        <is>
          <t>US</t>
        </is>
      </c>
      <c r="C6" s="143" t="n">
        <v>2</v>
      </c>
      <c r="D6" s="144" t="n">
        <v>1.455</v>
      </c>
      <c r="E6" s="144" t="n">
        <v>1.5</v>
      </c>
      <c r="F6" s="144" t="n">
        <v>1.5</v>
      </c>
      <c r="G6" s="144" t="n">
        <v>1.5</v>
      </c>
      <c r="H6" s="144" t="n">
        <v>1.5</v>
      </c>
      <c r="I6" s="144" t="n">
        <v>1.5</v>
      </c>
      <c r="J6" s="144" t="n">
        <v>1.5</v>
      </c>
    </row>
    <row r="7" ht="14.25" customHeight="1" s="75">
      <c r="A7" s="131" t="n"/>
      <c r="B7" s="142" t="inlineStr">
        <is>
          <t>France</t>
        </is>
      </c>
      <c r="C7" s="143" t="n">
        <v>3</v>
      </c>
      <c r="D7" s="144" t="n">
        <v>3</v>
      </c>
      <c r="E7" s="144" t="n">
        <v>3</v>
      </c>
      <c r="F7" s="144" t="n">
        <v>3</v>
      </c>
      <c r="G7" s="144" t="n">
        <v>3</v>
      </c>
      <c r="H7" s="144" t="n">
        <v>3</v>
      </c>
      <c r="I7" s="144" t="n">
        <v>3</v>
      </c>
      <c r="J7" s="144" t="n">
        <v>3</v>
      </c>
    </row>
    <row r="8" ht="14.25" customHeight="1" s="75">
      <c r="A8" s="131" t="n"/>
      <c r="B8" s="142" t="inlineStr">
        <is>
          <t>Germany</t>
        </is>
      </c>
      <c r="C8" s="143" t="n">
        <v>0</v>
      </c>
      <c r="D8" s="144" t="n">
        <v>0</v>
      </c>
      <c r="E8" s="144" t="n">
        <v>0</v>
      </c>
      <c r="F8" s="144" t="n">
        <v>0</v>
      </c>
      <c r="G8" s="144" t="n">
        <v>0</v>
      </c>
      <c r="H8" s="144" t="n">
        <v>0</v>
      </c>
      <c r="I8" s="144" t="n">
        <v>0</v>
      </c>
      <c r="J8" s="144" t="n">
        <v>0</v>
      </c>
    </row>
    <row r="9" ht="14.25" customHeight="1" s="75">
      <c r="A9" s="131" t="n"/>
      <c r="B9" s="142" t="inlineStr">
        <is>
          <t>Spain</t>
        </is>
      </c>
      <c r="C9" s="143" t="n">
        <v>3</v>
      </c>
      <c r="D9" s="144" t="n">
        <v>2.425</v>
      </c>
      <c r="E9" s="144" t="n">
        <v>2.425</v>
      </c>
      <c r="F9" s="144" t="n">
        <v>2.425</v>
      </c>
      <c r="G9" s="144" t="n">
        <v>2.425</v>
      </c>
      <c r="H9" s="144" t="n">
        <v>2.425</v>
      </c>
      <c r="I9" s="144" t="n">
        <v>2.425</v>
      </c>
      <c r="J9" s="144" t="n">
        <v>2.425</v>
      </c>
    </row>
    <row r="10" ht="14.25" customHeight="1" s="75">
      <c r="A10" s="131" t="n"/>
      <c r="B10" s="142" t="inlineStr">
        <is>
          <t>Italy</t>
        </is>
      </c>
      <c r="C10" s="143" t="n">
        <v>1</v>
      </c>
      <c r="D10" s="144" t="n">
        <v>0.873</v>
      </c>
      <c r="E10" s="144" t="n">
        <v>0.873</v>
      </c>
      <c r="F10" s="144" t="n">
        <v>0.873</v>
      </c>
      <c r="G10" s="144" t="n">
        <v>0.873</v>
      </c>
      <c r="H10" s="144" t="n">
        <v>0.873</v>
      </c>
      <c r="I10" s="144" t="n">
        <v>0.873</v>
      </c>
      <c r="J10" s="144" t="n">
        <v>0.873</v>
      </c>
    </row>
    <row r="11" ht="14.25" customHeight="1" s="75">
      <c r="A11" s="131" t="n"/>
      <c r="B11" s="142" t="inlineStr">
        <is>
          <t>UK</t>
        </is>
      </c>
      <c r="C11" s="143" t="n">
        <v>1</v>
      </c>
      <c r="D11" s="144" t="n">
        <v>1</v>
      </c>
      <c r="E11" s="144" t="n">
        <v>1</v>
      </c>
      <c r="F11" s="144" t="n">
        <v>1</v>
      </c>
      <c r="G11" s="144" t="n">
        <v>1</v>
      </c>
      <c r="H11" s="144" t="n">
        <v>1</v>
      </c>
      <c r="I11" s="144" t="n">
        <v>1</v>
      </c>
      <c r="J11" s="144" t="n">
        <v>1</v>
      </c>
    </row>
    <row r="12" ht="14.25" customHeight="1" s="75">
      <c r="A12" s="131" t="n"/>
      <c r="B12" s="142" t="inlineStr">
        <is>
          <t>Germany Prod</t>
        </is>
      </c>
      <c r="C12" s="143" t="n">
        <v>1</v>
      </c>
      <c r="D12" s="144" t="n">
        <v>0.97</v>
      </c>
      <c r="E12" s="144" t="n">
        <v>0.97</v>
      </c>
      <c r="F12" s="144" t="n">
        <v>0.97</v>
      </c>
      <c r="G12" s="144" t="n">
        <v>0.97</v>
      </c>
      <c r="H12" s="144" t="n">
        <v>0.97</v>
      </c>
      <c r="I12" s="144" t="n">
        <v>0.97</v>
      </c>
      <c r="J12" s="144" t="n">
        <v>0.97</v>
      </c>
    </row>
    <row r="13" ht="15" customHeight="1" s="75">
      <c r="A13" s="127" t="inlineStr">
        <is>
          <t>Gen Acctg Total</t>
        </is>
      </c>
      <c r="B13" s="122" t="n"/>
      <c r="C13" s="145">
        <f>SUM(C5:C12)</f>
        <v/>
      </c>
      <c r="D13" s="146" t="n">
        <v>12.148</v>
      </c>
      <c r="E13" s="146" t="n">
        <v>12.193</v>
      </c>
      <c r="F13" s="146" t="n">
        <v>12.193</v>
      </c>
      <c r="G13" s="146" t="n">
        <v>12.193</v>
      </c>
      <c r="H13" s="146" t="n">
        <v>12.193</v>
      </c>
      <c r="I13" s="146" t="n">
        <v>12.193</v>
      </c>
      <c r="J13" s="146" t="n">
        <v>12.193</v>
      </c>
    </row>
    <row r="14" ht="14.25" customHeight="1" s="75">
      <c r="A14" s="127" t="inlineStr">
        <is>
          <t>Reporting</t>
        </is>
      </c>
      <c r="B14" s="126" t="inlineStr">
        <is>
          <t>Zurich</t>
        </is>
      </c>
      <c r="C14" s="140" t="n">
        <v>0</v>
      </c>
      <c r="D14" s="141" t="n">
        <v>0</v>
      </c>
      <c r="E14" s="141" t="n">
        <v>0</v>
      </c>
      <c r="F14" s="141" t="n">
        <v>0</v>
      </c>
      <c r="G14" s="141" t="n">
        <v>0</v>
      </c>
      <c r="H14" s="141" t="n">
        <v>0</v>
      </c>
      <c r="I14" s="141" t="n">
        <v>0</v>
      </c>
      <c r="J14" s="141" t="n">
        <v>0</v>
      </c>
    </row>
    <row r="15" ht="14.25" customHeight="1" s="75">
      <c r="A15" s="131" t="n"/>
      <c r="B15" s="142" t="inlineStr">
        <is>
          <t>US</t>
        </is>
      </c>
      <c r="C15" s="143" t="n">
        <v>0</v>
      </c>
      <c r="D15" s="144" t="n">
        <v>0</v>
      </c>
      <c r="E15" s="144" t="n">
        <v>0</v>
      </c>
      <c r="F15" s="144" t="n">
        <v>0</v>
      </c>
      <c r="G15" s="144" t="n">
        <v>0</v>
      </c>
      <c r="H15" s="144" t="n">
        <v>0</v>
      </c>
      <c r="I15" s="144" t="n">
        <v>0</v>
      </c>
      <c r="J15" s="144" t="n">
        <v>0</v>
      </c>
    </row>
    <row r="16" ht="14.25" customHeight="1" s="75">
      <c r="A16" s="131" t="n"/>
      <c r="B16" s="142" t="inlineStr">
        <is>
          <t>France</t>
        </is>
      </c>
      <c r="C16" s="143" t="n">
        <v>0</v>
      </c>
      <c r="D16" s="144" t="n">
        <v>1</v>
      </c>
      <c r="E16" s="144" t="n">
        <v>1</v>
      </c>
      <c r="F16" s="144" t="n">
        <v>1</v>
      </c>
      <c r="G16" s="144" t="n">
        <v>1</v>
      </c>
      <c r="H16" s="144" t="n">
        <v>1</v>
      </c>
      <c r="I16" s="144" t="n">
        <v>1</v>
      </c>
      <c r="J16" s="144" t="n">
        <v>1</v>
      </c>
    </row>
    <row r="17" ht="14.25" customHeight="1" s="75">
      <c r="A17" s="131" t="n"/>
      <c r="B17" s="142" t="inlineStr">
        <is>
          <t>Germany</t>
        </is>
      </c>
      <c r="C17" s="143" t="n">
        <v>0</v>
      </c>
      <c r="D17" s="144" t="n">
        <v>0</v>
      </c>
      <c r="E17" s="144" t="n">
        <v>0</v>
      </c>
      <c r="F17" s="144" t="n">
        <v>0</v>
      </c>
      <c r="G17" s="144" t="n">
        <v>0</v>
      </c>
      <c r="H17" s="144" t="n">
        <v>0</v>
      </c>
      <c r="I17" s="144" t="n">
        <v>0</v>
      </c>
      <c r="J17" s="144" t="n">
        <v>0</v>
      </c>
    </row>
    <row r="18" ht="14.25" customHeight="1" s="75">
      <c r="A18" s="131" t="n"/>
      <c r="B18" s="142" t="inlineStr">
        <is>
          <t>Spain</t>
        </is>
      </c>
      <c r="C18" s="143" t="n">
        <v>0</v>
      </c>
      <c r="D18" s="144" t="n">
        <v>0</v>
      </c>
      <c r="E18" s="144" t="n">
        <v>0</v>
      </c>
      <c r="F18" s="144" t="n">
        <v>0</v>
      </c>
      <c r="G18" s="144" t="n">
        <v>0</v>
      </c>
      <c r="H18" s="144" t="n">
        <v>0</v>
      </c>
      <c r="I18" s="144" t="n">
        <v>0</v>
      </c>
      <c r="J18" s="144" t="n">
        <v>0</v>
      </c>
    </row>
    <row r="19" ht="14.25" customHeight="1" s="75">
      <c r="A19" s="131" t="n"/>
      <c r="B19" s="142" t="inlineStr">
        <is>
          <t>Italy</t>
        </is>
      </c>
      <c r="C19" s="143" t="n">
        <v>0</v>
      </c>
      <c r="D19" s="144" t="n">
        <v>0</v>
      </c>
      <c r="E19" s="144" t="n">
        <v>0</v>
      </c>
      <c r="F19" s="144" t="n">
        <v>0</v>
      </c>
      <c r="G19" s="144" t="n">
        <v>0</v>
      </c>
      <c r="H19" s="144" t="n">
        <v>0</v>
      </c>
      <c r="I19" s="144" t="n">
        <v>0</v>
      </c>
      <c r="J19" s="144" t="n">
        <v>0</v>
      </c>
    </row>
    <row r="20" ht="14.25" customHeight="1" s="75">
      <c r="A20" s="131" t="n"/>
      <c r="B20" s="142" t="inlineStr">
        <is>
          <t>UK</t>
        </is>
      </c>
      <c r="C20" s="143" t="n">
        <v>0</v>
      </c>
      <c r="D20" s="144" t="n">
        <v>0</v>
      </c>
      <c r="E20" s="144" t="n">
        <v>0</v>
      </c>
      <c r="F20" s="144" t="n">
        <v>0</v>
      </c>
      <c r="G20" s="144" t="n">
        <v>0</v>
      </c>
      <c r="H20" s="144" t="n">
        <v>0</v>
      </c>
      <c r="I20" s="144" t="n">
        <v>0</v>
      </c>
      <c r="J20" s="144" t="n">
        <v>0</v>
      </c>
    </row>
    <row r="21" ht="14.25" customHeight="1" s="75">
      <c r="A21" s="131" t="n"/>
      <c r="B21" s="142" t="inlineStr">
        <is>
          <t>Germany Prod</t>
        </is>
      </c>
      <c r="C21" s="143" t="n">
        <v>0</v>
      </c>
      <c r="D21" s="144" t="n">
        <v>0</v>
      </c>
      <c r="E21" s="144" t="n">
        <v>0</v>
      </c>
      <c r="F21" s="144" t="n">
        <v>0</v>
      </c>
      <c r="G21" s="144" t="n">
        <v>0</v>
      </c>
      <c r="H21" s="144" t="n">
        <v>0</v>
      </c>
      <c r="I21" s="144" t="n">
        <v>0</v>
      </c>
      <c r="J21" s="144" t="n">
        <v>0</v>
      </c>
    </row>
    <row r="22" ht="15" customHeight="1" s="75">
      <c r="A22" s="127" t="inlineStr">
        <is>
          <t>Reporting Total</t>
        </is>
      </c>
      <c r="B22" s="122" t="n"/>
      <c r="C22" s="145">
        <f>SUM(C14:C21)</f>
        <v/>
      </c>
      <c r="D22" s="146" t="n">
        <v>1</v>
      </c>
      <c r="E22" s="146" t="n">
        <v>1</v>
      </c>
      <c r="F22" s="146" t="n">
        <v>1</v>
      </c>
      <c r="G22" s="146" t="n">
        <v>1</v>
      </c>
      <c r="H22" s="146" t="n">
        <v>1</v>
      </c>
      <c r="I22" s="146" t="n">
        <v>1</v>
      </c>
      <c r="J22" s="146" t="n">
        <v>1</v>
      </c>
    </row>
    <row r="23" ht="14.25" customHeight="1" s="75">
      <c r="A23" s="127" t="inlineStr">
        <is>
          <t>Fixed Assets</t>
        </is>
      </c>
      <c r="B23" s="126" t="inlineStr">
        <is>
          <t>US</t>
        </is>
      </c>
      <c r="C23" s="140" t="n">
        <v>2</v>
      </c>
      <c r="D23" s="141" t="n">
        <v>2</v>
      </c>
      <c r="E23" s="141" t="n">
        <v>2</v>
      </c>
      <c r="F23" s="141" t="n">
        <v>2</v>
      </c>
      <c r="G23" s="141" t="n">
        <v>2</v>
      </c>
      <c r="H23" s="141" t="n">
        <v>2</v>
      </c>
      <c r="I23" s="141" t="n">
        <v>2</v>
      </c>
      <c r="J23" s="141" t="n">
        <v>2</v>
      </c>
    </row>
    <row r="24" ht="14.25" customHeight="1" s="75">
      <c r="A24" s="131" t="n"/>
      <c r="B24" s="142" t="inlineStr">
        <is>
          <t>Germany</t>
        </is>
      </c>
      <c r="C24" s="143" t="n">
        <v>0.5</v>
      </c>
      <c r="D24" s="144" t="n">
        <v>0.485</v>
      </c>
      <c r="E24" s="144" t="n">
        <v>0.485</v>
      </c>
      <c r="F24" s="144" t="n">
        <v>0.485</v>
      </c>
      <c r="G24" s="144" t="n">
        <v>0.485</v>
      </c>
      <c r="H24" s="144" t="n">
        <v>0.485</v>
      </c>
      <c r="I24" s="144" t="n">
        <v>0.485</v>
      </c>
      <c r="J24" s="144" t="n">
        <v>0.485</v>
      </c>
    </row>
    <row r="25" ht="15" customHeight="1" s="75">
      <c r="A25" s="127" t="inlineStr">
        <is>
          <t>Fixed Assets Total</t>
        </is>
      </c>
      <c r="B25" s="122" t="n"/>
      <c r="C25" s="145">
        <f>SUM(C23:C24)</f>
        <v/>
      </c>
      <c r="D25" s="146" t="n">
        <v>2.485</v>
      </c>
      <c r="E25" s="146" t="n">
        <v>2.485</v>
      </c>
      <c r="F25" s="146" t="n">
        <v>2.485</v>
      </c>
      <c r="G25" s="146" t="n">
        <v>2.485</v>
      </c>
      <c r="H25" s="146" t="n">
        <v>2.485</v>
      </c>
      <c r="I25" s="146" t="n">
        <v>2.485</v>
      </c>
      <c r="J25" s="146" t="n">
        <v>2.485</v>
      </c>
    </row>
    <row r="26" ht="14.25" customHeight="1" s="75">
      <c r="A26" s="127" t="inlineStr">
        <is>
          <t>Acct Payable</t>
        </is>
      </c>
      <c r="B26" s="126" t="inlineStr">
        <is>
          <t>Zurich</t>
        </is>
      </c>
      <c r="C26" s="140" t="n">
        <v>13</v>
      </c>
      <c r="D26" s="141" t="n">
        <v>12.61</v>
      </c>
      <c r="E26" s="141" t="n">
        <v>12.61</v>
      </c>
      <c r="F26" s="141" t="n">
        <v>12.61</v>
      </c>
      <c r="G26" s="141" t="n">
        <v>12.61</v>
      </c>
      <c r="H26" s="141" t="n">
        <v>12.61</v>
      </c>
      <c r="I26" s="141" t="n">
        <v>12.61</v>
      </c>
      <c r="J26" s="141" t="n">
        <v>12.61</v>
      </c>
    </row>
    <row r="27" ht="14.25" customHeight="1" s="75">
      <c r="A27" s="131" t="n"/>
      <c r="B27" s="142" t="inlineStr">
        <is>
          <t>US</t>
        </is>
      </c>
      <c r="C27" s="143" t="n">
        <v>12</v>
      </c>
      <c r="D27" s="144" t="n">
        <v>18</v>
      </c>
      <c r="E27" s="144" t="n">
        <v>18</v>
      </c>
      <c r="F27" s="144" t="n">
        <v>18</v>
      </c>
      <c r="G27" s="144" t="n">
        <v>18</v>
      </c>
      <c r="H27" s="144" t="n">
        <v>18</v>
      </c>
      <c r="I27" s="144" t="n">
        <v>18</v>
      </c>
      <c r="J27" s="144" t="n">
        <v>18</v>
      </c>
    </row>
    <row r="28" ht="14.25" customHeight="1" s="75">
      <c r="A28" s="131" t="n"/>
      <c r="B28" s="142" t="inlineStr">
        <is>
          <t>France</t>
        </is>
      </c>
      <c r="C28" s="143" t="n">
        <v>8</v>
      </c>
      <c r="D28" s="144" t="n">
        <v>10</v>
      </c>
      <c r="E28" s="144" t="n">
        <v>10</v>
      </c>
      <c r="F28" s="144" t="n">
        <v>10</v>
      </c>
      <c r="G28" s="144" t="n">
        <v>10</v>
      </c>
      <c r="H28" s="144" t="n">
        <v>10</v>
      </c>
      <c r="I28" s="144" t="n">
        <v>10</v>
      </c>
      <c r="J28" s="144" t="n">
        <v>10</v>
      </c>
    </row>
    <row r="29" ht="14.25" customHeight="1" s="75">
      <c r="A29" s="131" t="n"/>
      <c r="B29" s="142" t="inlineStr">
        <is>
          <t>Germany</t>
        </is>
      </c>
      <c r="C29" s="143" t="n">
        <v>9</v>
      </c>
      <c r="D29" s="144" t="n">
        <v>5.626</v>
      </c>
      <c r="E29" s="144" t="n">
        <v>5.626</v>
      </c>
      <c r="F29" s="144" t="n">
        <v>5.626</v>
      </c>
      <c r="G29" s="144" t="n">
        <v>5.626</v>
      </c>
      <c r="H29" s="144" t="n">
        <v>5.626</v>
      </c>
      <c r="I29" s="144" t="n">
        <v>5.626</v>
      </c>
      <c r="J29" s="144" t="n">
        <v>5.626</v>
      </c>
    </row>
    <row r="30" ht="14.25" customHeight="1" s="75">
      <c r="A30" s="131" t="n"/>
      <c r="B30" s="142" t="inlineStr">
        <is>
          <t>Spain</t>
        </is>
      </c>
      <c r="C30" s="143" t="n">
        <v>3.5</v>
      </c>
      <c r="D30" s="144" t="n">
        <v>3.686</v>
      </c>
      <c r="E30" s="144" t="n">
        <v>3.686</v>
      </c>
      <c r="F30" s="144" t="n">
        <v>3.686</v>
      </c>
      <c r="G30" s="144" t="n">
        <v>3.686</v>
      </c>
      <c r="H30" s="144" t="n">
        <v>3.686</v>
      </c>
      <c r="I30" s="144" t="n">
        <v>3.686</v>
      </c>
      <c r="J30" s="144" t="n">
        <v>3.686</v>
      </c>
    </row>
    <row r="31" ht="14.25" customHeight="1" s="75">
      <c r="A31" s="131" t="n"/>
      <c r="B31" s="142" t="inlineStr">
        <is>
          <t>Italy</t>
        </is>
      </c>
      <c r="C31" s="143" t="n">
        <v>5.5</v>
      </c>
      <c r="D31" s="144" t="n">
        <v>6.79</v>
      </c>
      <c r="E31" s="144" t="n">
        <v>6.79</v>
      </c>
      <c r="F31" s="144" t="n">
        <v>6.79</v>
      </c>
      <c r="G31" s="144" t="n">
        <v>6.79</v>
      </c>
      <c r="H31" s="144" t="n">
        <v>6.79</v>
      </c>
      <c r="I31" s="144" t="n">
        <v>6.79</v>
      </c>
      <c r="J31" s="144" t="n">
        <v>6.79</v>
      </c>
    </row>
    <row r="32" ht="14.25" customHeight="1" s="75">
      <c r="A32" s="131" t="n"/>
      <c r="B32" s="142" t="inlineStr">
        <is>
          <t>UK</t>
        </is>
      </c>
      <c r="C32" s="143" t="n">
        <v>6</v>
      </c>
      <c r="D32" s="144" t="n">
        <v>6.6</v>
      </c>
      <c r="E32" s="144" t="n">
        <v>6.6</v>
      </c>
      <c r="F32" s="144" t="n">
        <v>6.6</v>
      </c>
      <c r="G32" s="144" t="n">
        <v>6.6</v>
      </c>
      <c r="H32" s="144" t="n">
        <v>6.6</v>
      </c>
      <c r="I32" s="144" t="n">
        <v>6.6</v>
      </c>
      <c r="J32" s="144" t="n">
        <v>6.6</v>
      </c>
    </row>
    <row r="33" ht="14.25" customHeight="1" s="75">
      <c r="A33" s="131" t="n"/>
      <c r="B33" s="142" t="inlineStr">
        <is>
          <t>Germany Prod</t>
        </is>
      </c>
      <c r="C33" s="143" t="n">
        <v>0</v>
      </c>
      <c r="D33" s="144" t="n">
        <v>2</v>
      </c>
      <c r="E33" s="144" t="n">
        <v>2</v>
      </c>
      <c r="F33" s="144" t="n">
        <v>2</v>
      </c>
      <c r="G33" s="144" t="n">
        <v>2</v>
      </c>
      <c r="H33" s="144" t="n">
        <v>2</v>
      </c>
      <c r="I33" s="144" t="n">
        <v>2</v>
      </c>
      <c r="J33" s="144" t="n">
        <v>2</v>
      </c>
    </row>
    <row r="34" ht="15" customHeight="1" s="75">
      <c r="A34" s="127" t="inlineStr">
        <is>
          <t>Acct Payable Total</t>
        </is>
      </c>
      <c r="B34" s="122" t="n"/>
      <c r="C34" s="145">
        <f>SUM(C26:C33)</f>
        <v/>
      </c>
      <c r="D34" s="146" t="n">
        <v>65.312</v>
      </c>
      <c r="E34" s="146" t="n">
        <v>65.312</v>
      </c>
      <c r="F34" s="146" t="n">
        <v>65.312</v>
      </c>
      <c r="G34" s="146" t="n">
        <v>65.312</v>
      </c>
      <c r="H34" s="146" t="n">
        <v>65.312</v>
      </c>
      <c r="I34" s="146" t="n">
        <v>65.312</v>
      </c>
      <c r="J34" s="146" t="n">
        <v>65.312</v>
      </c>
    </row>
    <row r="35" ht="14.25" customHeight="1" s="75">
      <c r="A35" s="127" t="inlineStr">
        <is>
          <t>Cash&amp;Bank</t>
        </is>
      </c>
      <c r="B35" s="126" t="inlineStr">
        <is>
          <t>Germany</t>
        </is>
      </c>
      <c r="C35" s="140" t="n">
        <v>1.5</v>
      </c>
      <c r="D35" s="141" t="n">
        <v>1.455</v>
      </c>
      <c r="E35" s="141" t="n">
        <v>1.455</v>
      </c>
      <c r="F35" s="141" t="n">
        <v>1.455</v>
      </c>
      <c r="G35" s="141" t="n">
        <v>1.455</v>
      </c>
      <c r="H35" s="141" t="n">
        <v>1.455</v>
      </c>
      <c r="I35" s="141" t="n">
        <v>1.455</v>
      </c>
      <c r="J35" s="141" t="n">
        <v>1.455</v>
      </c>
    </row>
    <row r="36" ht="15" customHeight="1" s="75">
      <c r="A36" s="127" t="inlineStr">
        <is>
          <t>Cash&amp;Bank Total</t>
        </is>
      </c>
      <c r="B36" s="122" t="n"/>
      <c r="C36" s="145" t="n">
        <v>1.5</v>
      </c>
      <c r="D36" s="146" t="n">
        <v>1.455</v>
      </c>
      <c r="E36" s="146" t="n">
        <v>1.455</v>
      </c>
      <c r="F36" s="146" t="n">
        <v>1.455</v>
      </c>
      <c r="G36" s="146" t="n">
        <v>1.455</v>
      </c>
      <c r="H36" s="146" t="n">
        <v>1.455</v>
      </c>
      <c r="I36" s="146" t="n">
        <v>1.455</v>
      </c>
      <c r="J36" s="146" t="n">
        <v>1.455</v>
      </c>
    </row>
    <row r="37" ht="14.25" customHeight="1" s="75">
      <c r="A37" s="127" t="inlineStr">
        <is>
          <t>T&amp;E</t>
        </is>
      </c>
      <c r="B37" s="126" t="inlineStr">
        <is>
          <t>Zurich</t>
        </is>
      </c>
      <c r="C37" s="140" t="n">
        <v>0</v>
      </c>
      <c r="D37" s="141" t="n">
        <v>0</v>
      </c>
      <c r="E37" s="141" t="n">
        <v>0</v>
      </c>
      <c r="F37" s="141" t="n">
        <v>0</v>
      </c>
      <c r="G37" s="141" t="n">
        <v>0</v>
      </c>
      <c r="H37" s="141" t="n">
        <v>0</v>
      </c>
      <c r="I37" s="141" t="n">
        <v>0</v>
      </c>
      <c r="J37" s="141" t="n">
        <v>0</v>
      </c>
    </row>
    <row r="38" ht="14.25" customHeight="1" s="75">
      <c r="A38" s="131" t="n"/>
      <c r="B38" s="142" t="inlineStr">
        <is>
          <t>US</t>
        </is>
      </c>
      <c r="C38" s="143" t="n">
        <v>0</v>
      </c>
      <c r="D38" s="144" t="n">
        <v>0</v>
      </c>
      <c r="E38" s="144" t="n">
        <v>0</v>
      </c>
      <c r="F38" s="144" t="n">
        <v>0</v>
      </c>
      <c r="G38" s="144" t="n">
        <v>0</v>
      </c>
      <c r="H38" s="144" t="n">
        <v>0</v>
      </c>
      <c r="I38" s="144" t="n">
        <v>0</v>
      </c>
      <c r="J38" s="144" t="n">
        <v>0</v>
      </c>
    </row>
    <row r="39" ht="14.25" customHeight="1" s="75">
      <c r="A39" s="131" t="n"/>
      <c r="B39" s="142" t="inlineStr">
        <is>
          <t>France</t>
        </is>
      </c>
      <c r="C39" s="143" t="n">
        <v>1</v>
      </c>
      <c r="D39" s="144" t="n">
        <v>1</v>
      </c>
      <c r="E39" s="144" t="n">
        <v>1</v>
      </c>
      <c r="F39" s="144" t="n">
        <v>1</v>
      </c>
      <c r="G39" s="144" t="n">
        <v>1</v>
      </c>
      <c r="H39" s="144" t="n">
        <v>1</v>
      </c>
      <c r="I39" s="144" t="n">
        <v>1</v>
      </c>
      <c r="J39" s="144" t="n">
        <v>1</v>
      </c>
    </row>
    <row r="40" ht="14.25" customHeight="1" s="75">
      <c r="A40" s="131" t="n"/>
      <c r="B40" s="142" t="inlineStr">
        <is>
          <t>Germany</t>
        </is>
      </c>
      <c r="C40" s="143" t="n">
        <v>3</v>
      </c>
      <c r="D40" s="144" t="n">
        <v>2.91</v>
      </c>
      <c r="E40" s="144" t="n">
        <v>2.91</v>
      </c>
      <c r="F40" s="144" t="n">
        <v>2.91</v>
      </c>
      <c r="G40" s="144" t="n">
        <v>2.91</v>
      </c>
      <c r="H40" s="144" t="n">
        <v>2.91</v>
      </c>
      <c r="I40" s="144" t="n">
        <v>2.91</v>
      </c>
      <c r="J40" s="144" t="n">
        <v>2.91</v>
      </c>
    </row>
    <row r="41" ht="14.25" customHeight="1" s="75">
      <c r="A41" s="131" t="n"/>
      <c r="B41" s="142" t="inlineStr">
        <is>
          <t>Spain</t>
        </is>
      </c>
      <c r="C41" s="143" t="n">
        <v>0.5</v>
      </c>
      <c r="D41" s="144" t="n">
        <v>0.485</v>
      </c>
      <c r="E41" s="144" t="n">
        <v>0.485</v>
      </c>
      <c r="F41" s="144" t="n">
        <v>0.485</v>
      </c>
      <c r="G41" s="144" t="n">
        <v>0.485</v>
      </c>
      <c r="H41" s="144" t="n">
        <v>0.485</v>
      </c>
      <c r="I41" s="144" t="n">
        <v>0.485</v>
      </c>
      <c r="J41" s="144" t="n">
        <v>0.485</v>
      </c>
    </row>
    <row r="42" ht="14.25" customHeight="1" s="75">
      <c r="A42" s="131" t="n"/>
      <c r="B42" s="142" t="inlineStr">
        <is>
          <t>Italy</t>
        </is>
      </c>
      <c r="C42" s="143" t="n">
        <v>2.5</v>
      </c>
      <c r="D42" s="144" t="n">
        <v>2.425</v>
      </c>
      <c r="E42" s="144" t="n">
        <v>2.425</v>
      </c>
      <c r="F42" s="144" t="n">
        <v>2.425</v>
      </c>
      <c r="G42" s="144" t="n">
        <v>2.425</v>
      </c>
      <c r="H42" s="144" t="n">
        <v>2.425</v>
      </c>
      <c r="I42" s="144" t="n">
        <v>2.425</v>
      </c>
      <c r="J42" s="144" t="n">
        <v>2.425</v>
      </c>
    </row>
    <row r="43" ht="14.25" customHeight="1" s="75">
      <c r="A43" s="131" t="n"/>
      <c r="B43" s="142" t="inlineStr">
        <is>
          <t>UK</t>
        </is>
      </c>
      <c r="C43" s="143" t="n">
        <v>2</v>
      </c>
      <c r="D43" s="144" t="n">
        <v>2</v>
      </c>
      <c r="E43" s="144" t="n">
        <v>2</v>
      </c>
      <c r="F43" s="144" t="n">
        <v>2</v>
      </c>
      <c r="G43" s="144" t="n">
        <v>2</v>
      </c>
      <c r="H43" s="144" t="n">
        <v>2</v>
      </c>
      <c r="I43" s="144" t="n">
        <v>2</v>
      </c>
      <c r="J43" s="144" t="n">
        <v>2</v>
      </c>
    </row>
    <row r="44" ht="14.25" customHeight="1" s="75">
      <c r="A44" s="131" t="n"/>
      <c r="B44" s="142" t="inlineStr">
        <is>
          <t>Germany Prod</t>
        </is>
      </c>
      <c r="C44" s="143" t="n">
        <v>0</v>
      </c>
      <c r="D44" s="144" t="n">
        <v>0</v>
      </c>
      <c r="E44" s="144" t="n">
        <v>0</v>
      </c>
      <c r="F44" s="144" t="n">
        <v>0</v>
      </c>
      <c r="G44" s="144" t="n">
        <v>0</v>
      </c>
      <c r="H44" s="144" t="n">
        <v>0</v>
      </c>
      <c r="I44" s="144" t="n">
        <v>0</v>
      </c>
      <c r="J44" s="144" t="n">
        <v>0</v>
      </c>
    </row>
    <row r="45" ht="15" customHeight="1" s="75">
      <c r="A45" s="127" t="inlineStr">
        <is>
          <t>T&amp;E Total</t>
        </is>
      </c>
      <c r="B45" s="122" t="n"/>
      <c r="C45" s="145">
        <f>SUM(C37:C44)</f>
        <v/>
      </c>
      <c r="D45" s="146" t="n">
        <v>8.82</v>
      </c>
      <c r="E45" s="146" t="n">
        <v>8.82</v>
      </c>
      <c r="F45" s="146" t="n">
        <v>8.82</v>
      </c>
      <c r="G45" s="146" t="n">
        <v>8.82</v>
      </c>
      <c r="H45" s="146" t="n">
        <v>8.82</v>
      </c>
      <c r="I45" s="146" t="n">
        <v>8.82</v>
      </c>
      <c r="J45" s="146" t="n">
        <v>8.82</v>
      </c>
    </row>
    <row r="46" ht="14.25" customHeight="1" s="75">
      <c r="A46" s="127" t="inlineStr">
        <is>
          <t>Order to Cash</t>
        </is>
      </c>
      <c r="B46" s="126" t="inlineStr">
        <is>
          <t>Zurich</t>
        </is>
      </c>
      <c r="C46" s="140" t="n">
        <v>1</v>
      </c>
      <c r="D46" s="141" t="n">
        <v>0.97</v>
      </c>
      <c r="E46" s="141" t="n">
        <v>0.97</v>
      </c>
      <c r="F46" s="141" t="n">
        <v>0.97</v>
      </c>
      <c r="G46" s="141" t="n">
        <v>0.97</v>
      </c>
      <c r="H46" s="141" t="n">
        <v>0.97</v>
      </c>
      <c r="I46" s="141" t="n">
        <v>0.97</v>
      </c>
      <c r="J46" s="141" t="n">
        <v>0.97</v>
      </c>
    </row>
    <row r="47" ht="14.25" customHeight="1" s="75">
      <c r="A47" s="131" t="n"/>
      <c r="B47" s="142" t="inlineStr">
        <is>
          <t>US</t>
        </is>
      </c>
      <c r="C47" s="143" t="n">
        <v>1</v>
      </c>
      <c r="D47" s="144" t="n">
        <v>1</v>
      </c>
      <c r="E47" s="144" t="n">
        <v>1</v>
      </c>
      <c r="F47" s="144" t="n">
        <v>1</v>
      </c>
      <c r="G47" s="144" t="n">
        <v>1</v>
      </c>
      <c r="H47" s="144" t="n">
        <v>1</v>
      </c>
      <c r="I47" s="144" t="n">
        <v>1</v>
      </c>
      <c r="J47" s="144" t="n">
        <v>1</v>
      </c>
    </row>
    <row r="48" ht="14.25" customHeight="1" s="75">
      <c r="A48" s="131" t="n"/>
      <c r="B48" s="142" t="inlineStr">
        <is>
          <t>France</t>
        </is>
      </c>
      <c r="C48" s="143" t="n">
        <v>5</v>
      </c>
      <c r="D48" s="144" t="n">
        <v>5</v>
      </c>
      <c r="E48" s="144" t="n">
        <v>5</v>
      </c>
      <c r="F48" s="144" t="n">
        <v>5</v>
      </c>
      <c r="G48" s="144" t="n">
        <v>5</v>
      </c>
      <c r="H48" s="144" t="n">
        <v>5</v>
      </c>
      <c r="I48" s="144" t="n">
        <v>5</v>
      </c>
      <c r="J48" s="144" t="n">
        <v>5</v>
      </c>
    </row>
    <row r="49" ht="14.25" customHeight="1" s="75">
      <c r="A49" s="131" t="n"/>
      <c r="B49" s="142" t="inlineStr">
        <is>
          <t>Germany</t>
        </is>
      </c>
      <c r="C49" s="143" t="n">
        <v>2</v>
      </c>
      <c r="D49" s="144" t="n">
        <v>1.94</v>
      </c>
      <c r="E49" s="144" t="n">
        <v>1.94</v>
      </c>
      <c r="F49" s="144" t="n">
        <v>1.94</v>
      </c>
      <c r="G49" s="144" t="n">
        <v>1.94</v>
      </c>
      <c r="H49" s="144" t="n">
        <v>1.94</v>
      </c>
      <c r="I49" s="144" t="n">
        <v>1.94</v>
      </c>
      <c r="J49" s="144" t="n">
        <v>1.94</v>
      </c>
    </row>
    <row r="50" ht="14.25" customHeight="1" s="75">
      <c r="A50" s="131" t="n"/>
      <c r="B50" s="142" t="inlineStr">
        <is>
          <t>Spain</t>
        </is>
      </c>
      <c r="C50" s="143" t="n">
        <v>1</v>
      </c>
      <c r="D50" s="144">
        <f>2.619-2</f>
        <v/>
      </c>
      <c r="E50" s="144">
        <f>2.619-2</f>
        <v/>
      </c>
      <c r="F50" s="144">
        <f>2.619-2</f>
        <v/>
      </c>
      <c r="G50" s="144">
        <f>2.619-2</f>
        <v/>
      </c>
      <c r="H50" s="144">
        <f>2.619-2</f>
        <v/>
      </c>
      <c r="I50" s="144">
        <f>2.619-2</f>
        <v/>
      </c>
      <c r="J50" s="144">
        <f>2.619-2</f>
        <v/>
      </c>
    </row>
    <row r="51" ht="14.25" customHeight="1" s="75">
      <c r="A51" s="131" t="n"/>
      <c r="B51" s="142" t="inlineStr">
        <is>
          <t>Italy</t>
        </is>
      </c>
      <c r="C51" s="143" t="n">
        <v>2</v>
      </c>
      <c r="D51" s="144" t="n">
        <v>1.552</v>
      </c>
      <c r="E51" s="144" t="n">
        <v>1.552</v>
      </c>
      <c r="F51" s="144" t="n">
        <v>1.552</v>
      </c>
      <c r="G51" s="144" t="n">
        <v>1.552</v>
      </c>
      <c r="H51" s="144" t="n">
        <v>1.552</v>
      </c>
      <c r="I51" s="144" t="n">
        <v>1.552</v>
      </c>
      <c r="J51" s="144" t="n">
        <v>1.552</v>
      </c>
    </row>
    <row r="52" ht="14.25" customHeight="1" s="75">
      <c r="A52" s="131" t="n"/>
      <c r="B52" s="142" t="inlineStr">
        <is>
          <t>UK</t>
        </is>
      </c>
      <c r="C52" s="143" t="n">
        <v>2</v>
      </c>
      <c r="D52" s="144" t="n">
        <v>1.6</v>
      </c>
      <c r="E52" s="144" t="n">
        <v>1.6</v>
      </c>
      <c r="F52" s="144" t="n">
        <v>1.6</v>
      </c>
      <c r="G52" s="144" t="n">
        <v>1.6</v>
      </c>
      <c r="H52" s="144" t="n">
        <v>1.6</v>
      </c>
      <c r="I52" s="144" t="n">
        <v>1.6</v>
      </c>
      <c r="J52" s="144" t="n">
        <v>1.6</v>
      </c>
    </row>
    <row r="53" ht="14.25" customHeight="1" s="75">
      <c r="A53" s="131" t="n"/>
      <c r="B53" s="142" t="inlineStr">
        <is>
          <t>Germany Prod</t>
        </is>
      </c>
      <c r="C53" s="143" t="n">
        <v>0</v>
      </c>
      <c r="D53" s="144" t="n">
        <v>0</v>
      </c>
      <c r="E53" s="144" t="n">
        <v>0</v>
      </c>
      <c r="F53" s="144" t="n">
        <v>0</v>
      </c>
      <c r="G53" s="144" t="n">
        <v>0</v>
      </c>
      <c r="H53" s="144" t="n">
        <v>0</v>
      </c>
      <c r="I53" s="144" t="n">
        <v>0</v>
      </c>
      <c r="J53" s="144" t="n">
        <v>0</v>
      </c>
    </row>
    <row r="54" ht="15" customHeight="1" s="75">
      <c r="A54" s="127" t="inlineStr">
        <is>
          <t>Order to Cash Total</t>
        </is>
      </c>
      <c r="B54" s="122" t="n"/>
      <c r="C54" s="145">
        <f>SUM(C46:C53)</f>
        <v/>
      </c>
      <c r="D54" s="146">
        <f>14.681-2</f>
        <v/>
      </c>
      <c r="E54" s="146">
        <f>14.681-2</f>
        <v/>
      </c>
      <c r="F54" s="146">
        <f>14.681-2</f>
        <v/>
      </c>
      <c r="G54" s="146">
        <f>14.681-2</f>
        <v/>
      </c>
      <c r="H54" s="146">
        <f>14.681-2</f>
        <v/>
      </c>
      <c r="I54" s="146">
        <f>14.681-2</f>
        <v/>
      </c>
      <c r="J54" s="146">
        <f>14.681-2</f>
        <v/>
      </c>
    </row>
    <row r="55" ht="14.25" customHeight="1" s="75">
      <c r="A55" s="127" t="inlineStr">
        <is>
          <t>Rev Acctg</t>
        </is>
      </c>
      <c r="B55" s="126" t="inlineStr">
        <is>
          <t>US</t>
        </is>
      </c>
      <c r="C55" s="140" t="n">
        <v>0</v>
      </c>
      <c r="D55" s="141" t="n">
        <v>0</v>
      </c>
      <c r="E55" s="141" t="n">
        <v>0</v>
      </c>
      <c r="F55" s="141" t="n">
        <v>0</v>
      </c>
      <c r="G55" s="141" t="n">
        <v>0</v>
      </c>
      <c r="H55" s="141" t="n">
        <v>0</v>
      </c>
      <c r="I55" s="141" t="n">
        <v>0</v>
      </c>
      <c r="J55" s="141" t="n">
        <v>0</v>
      </c>
    </row>
    <row r="56" ht="15" customHeight="1" s="75">
      <c r="A56" s="127" t="inlineStr">
        <is>
          <t>Rev Acctg Total</t>
        </is>
      </c>
      <c r="B56" s="122" t="n"/>
      <c r="C56" s="145" t="n">
        <v>0</v>
      </c>
      <c r="D56" s="146" t="n">
        <v>0</v>
      </c>
      <c r="E56" s="146" t="n">
        <v>0</v>
      </c>
      <c r="F56" s="146" t="n">
        <v>0</v>
      </c>
      <c r="G56" s="146" t="n">
        <v>0</v>
      </c>
      <c r="H56" s="146" t="n">
        <v>0</v>
      </c>
      <c r="I56" s="146" t="n">
        <v>0</v>
      </c>
      <c r="J56" s="146" t="n">
        <v>0</v>
      </c>
    </row>
    <row r="57" ht="14.25" customHeight="1" s="75">
      <c r="A57" s="127" t="inlineStr">
        <is>
          <t>Req to Pay</t>
        </is>
      </c>
      <c r="B57" s="126" t="inlineStr">
        <is>
          <t>Zurich</t>
        </is>
      </c>
      <c r="C57" s="140" t="n">
        <v>6</v>
      </c>
      <c r="D57" s="141" t="n">
        <v>6.111</v>
      </c>
      <c r="E57" s="141" t="n">
        <v>6.111</v>
      </c>
      <c r="F57" s="141" t="n">
        <v>6.111</v>
      </c>
      <c r="G57" s="141" t="n">
        <v>6.111</v>
      </c>
      <c r="H57" s="141" t="n">
        <v>6.111</v>
      </c>
      <c r="I57" s="141" t="n">
        <v>6.111</v>
      </c>
      <c r="J57" s="141" t="n">
        <v>6.111</v>
      </c>
    </row>
    <row r="58" ht="14.25" customHeight="1" s="75">
      <c r="A58" s="131" t="n"/>
      <c r="B58" s="142" t="inlineStr">
        <is>
          <t>US</t>
        </is>
      </c>
      <c r="C58" s="143" t="n">
        <v>9</v>
      </c>
      <c r="D58" s="144" t="n">
        <v>2</v>
      </c>
      <c r="E58" s="144" t="n">
        <v>2</v>
      </c>
      <c r="F58" s="144" t="n">
        <v>2</v>
      </c>
      <c r="G58" s="144" t="n">
        <v>2</v>
      </c>
      <c r="H58" s="144" t="n">
        <v>2</v>
      </c>
      <c r="I58" s="144" t="n">
        <v>2</v>
      </c>
      <c r="J58" s="144" t="n">
        <v>2</v>
      </c>
    </row>
    <row r="59" ht="14.25" customHeight="1" s="75">
      <c r="A59" s="131" t="n"/>
      <c r="B59" s="142" t="inlineStr">
        <is>
          <t>France</t>
        </is>
      </c>
      <c r="C59" s="143" t="n">
        <v>6</v>
      </c>
      <c r="D59" s="144" t="n">
        <v>6</v>
      </c>
      <c r="E59" s="144" t="n">
        <v>6</v>
      </c>
      <c r="F59" s="144" t="n">
        <v>6</v>
      </c>
      <c r="G59" s="144" t="n">
        <v>6</v>
      </c>
      <c r="H59" s="144" t="n">
        <v>6</v>
      </c>
      <c r="I59" s="144" t="n">
        <v>6</v>
      </c>
      <c r="J59" s="144" t="n">
        <v>6</v>
      </c>
    </row>
    <row r="60" ht="14.25" customHeight="1" s="75">
      <c r="A60" s="131" t="n"/>
      <c r="B60" s="142" t="inlineStr">
        <is>
          <t>Germany</t>
        </is>
      </c>
      <c r="C60" s="143" t="n">
        <v>1</v>
      </c>
      <c r="D60" s="144" t="n">
        <v>0.9</v>
      </c>
      <c r="E60" s="144" t="n">
        <v>0.9</v>
      </c>
      <c r="F60" s="144" t="n">
        <v>0.9</v>
      </c>
      <c r="G60" s="144" t="n">
        <v>0.9</v>
      </c>
      <c r="H60" s="144" t="n">
        <v>0.9</v>
      </c>
      <c r="I60" s="144" t="n">
        <v>0.9</v>
      </c>
      <c r="J60" s="144" t="n">
        <v>0.9</v>
      </c>
    </row>
    <row r="61" ht="14.25" customHeight="1" s="75">
      <c r="A61" s="131" t="n"/>
      <c r="B61" s="142" t="inlineStr">
        <is>
          <t>Spain</t>
        </is>
      </c>
      <c r="C61" s="143" t="n">
        <v>4</v>
      </c>
      <c r="D61" s="144" t="n">
        <v>3.9</v>
      </c>
      <c r="E61" s="144" t="n">
        <v>3.9</v>
      </c>
      <c r="F61" s="144" t="n">
        <v>3.9</v>
      </c>
      <c r="G61" s="144" t="n">
        <v>3.9</v>
      </c>
      <c r="H61" s="144" t="n">
        <v>3.9</v>
      </c>
      <c r="I61" s="144" t="n">
        <v>3.9</v>
      </c>
      <c r="J61" s="144" t="n">
        <v>3.9</v>
      </c>
    </row>
    <row r="62" ht="14.25" customHeight="1" s="75">
      <c r="A62" s="131" t="n"/>
      <c r="B62" s="142" t="inlineStr">
        <is>
          <t>Italy</t>
        </is>
      </c>
      <c r="C62" s="143" t="n">
        <v>3</v>
      </c>
      <c r="D62" s="144" t="n">
        <v>0.679</v>
      </c>
      <c r="E62" s="144" t="n">
        <v>0.679</v>
      </c>
      <c r="F62" s="144" t="n">
        <v>0.679</v>
      </c>
      <c r="G62" s="144" t="n">
        <v>0.679</v>
      </c>
      <c r="H62" s="144" t="n">
        <v>0.679</v>
      </c>
      <c r="I62" s="144" t="n">
        <v>0.7</v>
      </c>
      <c r="J62" s="144" t="n">
        <v>0.7</v>
      </c>
    </row>
    <row r="63" ht="14.25" customHeight="1" s="75">
      <c r="A63" s="131" t="n"/>
      <c r="B63" s="142" t="inlineStr">
        <is>
          <t>UK</t>
        </is>
      </c>
      <c r="C63" s="143" t="n">
        <v>0</v>
      </c>
      <c r="D63" s="144" t="n">
        <v>1.5</v>
      </c>
      <c r="E63" s="144" t="n">
        <v>1.5</v>
      </c>
      <c r="F63" s="144" t="n">
        <v>1.5</v>
      </c>
      <c r="G63" s="144" t="n">
        <v>1.5</v>
      </c>
      <c r="H63" s="144" t="n">
        <v>1.5</v>
      </c>
      <c r="I63" s="144" t="n">
        <v>1.5</v>
      </c>
      <c r="J63" s="144" t="n">
        <v>1.5</v>
      </c>
    </row>
    <row r="64" ht="14.25" customHeight="1" s="75">
      <c r="A64" s="131" t="n"/>
      <c r="B64" s="142" t="inlineStr">
        <is>
          <t>Germany Prod</t>
        </is>
      </c>
      <c r="C64" s="143" t="n">
        <v>0</v>
      </c>
      <c r="D64" s="144" t="n">
        <v>0.4</v>
      </c>
      <c r="E64" s="144" t="n">
        <v>0.4</v>
      </c>
      <c r="F64" s="144" t="n">
        <v>0.4</v>
      </c>
      <c r="G64" s="144" t="n">
        <v>0.4</v>
      </c>
      <c r="H64" s="144" t="n">
        <v>0.4</v>
      </c>
      <c r="I64" s="144" t="n">
        <v>0.4</v>
      </c>
      <c r="J64" s="144" t="n">
        <v>0.4</v>
      </c>
    </row>
    <row r="65" ht="15" customHeight="1" s="75">
      <c r="A65" s="127" t="inlineStr">
        <is>
          <t>Req to Pay Total</t>
        </is>
      </c>
      <c r="B65" s="122" t="n"/>
      <c r="C65" s="145">
        <f>SUM(C57:C64)</f>
        <v/>
      </c>
      <c r="D65" s="146" t="n">
        <v>21.49</v>
      </c>
      <c r="E65" s="146" t="n">
        <v>21.49</v>
      </c>
      <c r="F65" s="146" t="n">
        <v>21.49</v>
      </c>
      <c r="G65" s="146" t="n">
        <v>21.49</v>
      </c>
      <c r="H65" s="146" t="n">
        <v>21.49</v>
      </c>
      <c r="I65" s="146" t="n">
        <v>21.511</v>
      </c>
      <c r="J65" s="146" t="n">
        <v>21.511</v>
      </c>
    </row>
    <row r="66" ht="15.75" customHeight="1" s="75">
      <c r="A66" s="135" t="inlineStr">
        <is>
          <t>Grand Total</t>
        </is>
      </c>
      <c r="B66" s="136" t="n"/>
      <c r="C66" s="147">
        <f>C65+C56+C54+C45+C36+C34+C25+C22+C13</f>
        <v/>
      </c>
      <c r="D66" s="138">
        <f>127.391-2</f>
        <v/>
      </c>
      <c r="E66" s="138">
        <f>127.436-2</f>
        <v/>
      </c>
      <c r="F66" s="138">
        <f>127.436-2</f>
        <v/>
      </c>
      <c r="G66" s="138">
        <f>127.436-2</f>
        <v/>
      </c>
      <c r="H66" s="138">
        <f>127.436-2</f>
        <v/>
      </c>
      <c r="I66" s="138">
        <f>127.436-2</f>
        <v/>
      </c>
      <c r="J66" s="138">
        <f>127.436-2</f>
        <v/>
      </c>
    </row>
  </sheetData>
  <printOptions horizontalCentered="0" verticalCentered="0" headings="0" gridLines="0" gridLinesSet="1"/>
  <pageMargins left="0.747916666666667" right="0.747916666666667" top="0.9840277777777779" bottom="0.9840277777777779" header="0.511811023622047" footer="0.511811023622047"/>
  <pageSetup orientation="landscape" paperSize="9" scale="100" fitToHeight="3"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radfords</dc:creator>
  <dc:language xmlns:dc="http://purl.org/dc/elements/1.1/">en-US</dc:language>
  <dcterms:created xmlns:dcterms="http://purl.org/dc/terms/" xmlns:xsi="http://www.w3.org/2001/XMLSchema-instance" xsi:type="dcterms:W3CDTF">2006-09-26T03:03:49Z</dcterms:created>
  <dcterms:modified xmlns:dcterms="http://purl.org/dc/terms/" xmlns:xsi="http://www.w3.org/2001/XMLSchema-instance" xsi:type="dcterms:W3CDTF">2026-02-11T03:52:20Z</dcterms:modified>
  <cp:lastModifiedBy>Wenger Plattner</cp:lastModifiedBy>
  <cp:revision>0</cp:revision>
  <cp:lastPrinted>2007-01-29T20:42:43Z</cp:lastPrinted>
</cp:coreProperties>
</file>
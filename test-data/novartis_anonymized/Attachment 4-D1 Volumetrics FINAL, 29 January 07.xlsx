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Sheet" sheetId="1" state="visible" r:id="rId1"/>
    <sheet xmlns:r="http://schemas.openxmlformats.org/officeDocument/2006/relationships" name="Switzerland" sheetId="2" state="visible" r:id="rId2"/>
    <sheet xmlns:r="http://schemas.openxmlformats.org/officeDocument/2006/relationships" name="USA" sheetId="3" state="visible" r:id="rId3"/>
    <sheet xmlns:r="http://schemas.openxmlformats.org/officeDocument/2006/relationships" name="France" sheetId="4" state="visible" r:id="rId4"/>
    <sheet xmlns:r="http://schemas.openxmlformats.org/officeDocument/2006/relationships" name="Germany" sheetId="5" state="visible" r:id="rId5"/>
    <sheet xmlns:r="http://schemas.openxmlformats.org/officeDocument/2006/relationships" name="Italy" sheetId="6" state="visible" r:id="rId6"/>
    <sheet xmlns:r="http://schemas.openxmlformats.org/officeDocument/2006/relationships" name="Spain" sheetId="7" state="visible" r:id="rId7"/>
    <sheet xmlns:r="http://schemas.openxmlformats.org/officeDocument/2006/relationships" name="UK" sheetId="8" state="visible" r:id="rId8"/>
    <sheet xmlns:r="http://schemas.openxmlformats.org/officeDocument/2006/relationships" name="Procurement Data" sheetId="9" state="visible" r:id="rId9"/>
  </sheets>
  <definedNames>
    <definedName name="Baseline" hidden="0" function="0" vbProcedure="0">#REF!</definedName>
    <definedName name="_xlnm.Print_Titles" localSheetId="1">'Switzerland'!$2:$2</definedName>
    <definedName name="_xlnm.Print_Titles" localSheetId="2">'USA'!$2:$2</definedName>
    <definedName name="_xlnm.Print_Titles" localSheetId="3">'France'!$2:$2</definedName>
    <definedName name="_xlnm.Print_Titles" localSheetId="4">'Germany'!$2:$2</definedName>
    <definedName name="_xlnm.Print_Titles" localSheetId="5">'Italy'!$2:$2</definedName>
    <definedName name="_xlnm.Print_Titles" localSheetId="6">'Spain'!$2:$2</definedName>
    <definedName name="_xlnm.Print_Titles" localSheetId="7">'UK'!$2:$2</definedName>
  </definedNames>
  <calcPr calcId="124519" fullCalcOnLoad="1" refMode="A1" iterate="0" iterateCount="100" iterateDelta="0.001"/>
</workbook>
</file>

<file path=xl/styles.xml><?xml version="1.0" encoding="utf-8"?>
<styleSheet xmlns="http://schemas.openxmlformats.org/spreadsheetml/2006/main">
  <numFmts count="10">
    <numFmt numFmtId="164" formatCode="[$-409]d\-mmm\-yy"/>
    <numFmt numFmtId="165" formatCode="_-* #,##0_-;\-* #,##0_-;_-* \-??_-;_-@_-"/>
    <numFmt numFmtId="166" formatCode="_ * #,##0_ ;_ * \-#,##0_ ;_ * \-??_ ;_ @_ "/>
    <numFmt numFmtId="167" formatCode="_-* #,##0.00_-;\-* #,##0.00_-;_-* \-??_-;_-@_-"/>
    <numFmt numFmtId="168" formatCode="_(* #,##0_);_(* \(#,##0\);_(* \-_);_(@_)"/>
    <numFmt numFmtId="169" formatCode="_(* #,##0_);_(* \(#,##0\);_(* \-??_);_(@_)"/>
    <numFmt numFmtId="170" formatCode="[$-409]#,##0_);[RED]\(#,##0\)"/>
    <numFmt numFmtId="171" formatCode="0.0%"/>
    <numFmt numFmtId="172" formatCode="[$-409]mmm\-yy"/>
    <numFmt numFmtId="173" formatCode="0.0"/>
  </numFmts>
  <fonts count="21">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Times New Roman"/>
      <family val="1"/>
      <sz val="10"/>
    </font>
    <font>
      <name val="Times New Roman"/>
      <family val="1"/>
      <b val="1"/>
      <sz val="14"/>
    </font>
    <font>
      <name val="Times New Roman"/>
      <family val="1"/>
      <b val="1"/>
      <sz val="10"/>
    </font>
    <font>
      <name val="Times New Roman"/>
      <family val="1"/>
      <b val="1"/>
      <color rgb="FF33CCCC"/>
      <sz val="10"/>
    </font>
    <font>
      <name val="Times New Roman"/>
      <family val="1"/>
      <color rgb="FF000000"/>
      <sz val="10"/>
    </font>
    <font>
      <name val="Times New Roman"/>
      <family val="1"/>
      <b val="1"/>
      <color rgb="FFFF0000"/>
      <sz val="10"/>
    </font>
    <font>
      <name val="Times New Roman"/>
      <family val="1"/>
      <color rgb="FFFF0000"/>
      <sz val="10"/>
    </font>
    <font>
      <name val="Times New Roman"/>
      <family val="1"/>
      <b val="1"/>
      <color rgb="FF0000FF"/>
      <sz val="10"/>
    </font>
    <font>
      <name val="Times New Roman"/>
      <family val="1"/>
      <b val="1"/>
      <sz val="12"/>
    </font>
    <font>
      <name val="Times New Roman"/>
      <family val="1"/>
      <b val="1"/>
      <color rgb="FF000000"/>
      <sz val="10"/>
    </font>
    <font>
      <name val="Times New Roman"/>
      <family val="1"/>
      <b val="1"/>
      <i val="1"/>
      <sz val="10"/>
    </font>
    <font>
      <name val="Arial"/>
      <family val="2"/>
      <sz val="10"/>
    </font>
    <font>
      <name val="Arial"/>
      <family val="2"/>
      <b val="1"/>
      <sz val="14"/>
    </font>
    <font>
      <name val="Arial"/>
      <family val="2"/>
      <b val="1"/>
      <sz val="10"/>
    </font>
    <font>
      <name val="Arial"/>
      <family val="0"/>
      <sz val="8"/>
    </font>
  </fonts>
  <fills count="5">
    <fill>
      <patternFill/>
    </fill>
    <fill>
      <patternFill patternType="gray125"/>
    </fill>
    <fill>
      <patternFill patternType="solid">
        <fgColor rgb="FF99CCFF"/>
        <bgColor rgb="FFCCCCFF"/>
      </patternFill>
    </fill>
    <fill>
      <patternFill patternType="solid">
        <fgColor rgb="FFFFFF99"/>
        <bgColor rgb="FFFFFFCC"/>
      </patternFill>
    </fill>
    <fill>
      <patternFill patternType="solid">
        <fgColor rgb="FF808080"/>
        <bgColor rgb="FF969696"/>
      </patternFill>
    </fill>
  </fills>
  <borders count="41">
    <border>
      <left/>
      <right/>
      <top/>
      <bottom/>
      <diagonal/>
    </border>
    <border>
      <left style="thin"/>
      <right style="thin"/>
      <top style="thin"/>
      <bottom/>
      <diagonal/>
    </border>
    <border>
      <left style="thin"/>
      <right style="thin"/>
      <top/>
      <bottom/>
      <diagonal/>
    </border>
    <border>
      <left style="thin"/>
      <right style="thin"/>
      <top/>
      <bottom style="thin"/>
      <diagonal/>
    </border>
    <border>
      <left style="medium"/>
      <right style="thin"/>
      <top style="medium"/>
      <bottom/>
      <diagonal/>
    </border>
    <border>
      <left style="thin"/>
      <right style="thin"/>
      <top style="medium"/>
      <bottom/>
      <diagonal/>
    </border>
    <border>
      <left style="medium"/>
      <right style="thin"/>
      <top style="medium"/>
      <bottom style="thin"/>
      <diagonal/>
    </border>
    <border>
      <left style="thin"/>
      <right style="thin"/>
      <top style="medium"/>
      <bottom style="thin"/>
      <diagonal/>
    </border>
    <border>
      <left style="medium"/>
      <right style="thin"/>
      <top style="thin"/>
      <bottom style="thin"/>
      <diagonal/>
    </border>
    <border>
      <left style="thin"/>
      <right style="thin"/>
      <top style="thin"/>
      <bottom style="thin"/>
      <diagonal/>
    </border>
    <border>
      <left style="medium"/>
      <right/>
      <top style="medium"/>
      <bottom style="medium"/>
      <diagonal/>
    </border>
    <border>
      <left/>
      <right/>
      <top style="medium"/>
      <bottom style="medium"/>
      <diagonal/>
    </border>
    <border>
      <left style="medium"/>
      <right/>
      <top style="medium"/>
      <bottom/>
      <diagonal/>
    </border>
    <border>
      <left/>
      <right/>
      <top style="medium"/>
      <bottom/>
      <diagonal/>
    </border>
    <border>
      <left style="medium"/>
      <right style="thin"/>
      <top/>
      <bottom style="medium"/>
      <diagonal/>
    </border>
    <border>
      <left style="medium"/>
      <right style="thin"/>
      <top/>
      <bottom/>
      <diagonal/>
    </border>
    <border>
      <left style="medium"/>
      <right/>
      <top style="thin"/>
      <bottom style="thin"/>
      <diagonal/>
    </border>
    <border>
      <left style="medium"/>
      <right/>
      <top style="thin"/>
      <bottom/>
      <diagonal/>
    </border>
    <border>
      <left style="thin"/>
      <right/>
      <top style="thin"/>
      <bottom style="thin"/>
      <diagonal/>
    </border>
    <border>
      <left style="medium"/>
      <right/>
      <top/>
      <bottom/>
      <diagonal/>
    </border>
    <border>
      <left style="thin"/>
      <right style="medium"/>
      <top style="medium"/>
      <bottom/>
      <diagonal/>
    </border>
    <border>
      <left style="medium"/>
      <right style="medium"/>
      <top style="medium"/>
      <bottom/>
      <diagonal/>
    </border>
    <border>
      <left style="thin"/>
      <right style="medium"/>
      <top style="medium"/>
      <bottom style="thin"/>
      <diagonal/>
    </border>
    <border>
      <left style="thin"/>
      <right style="medium"/>
      <top style="thin"/>
      <bottom style="thin"/>
      <diagonal/>
    </border>
    <border>
      <left style="medium"/>
      <right style="medium"/>
      <top/>
      <bottom style="medium"/>
      <diagonal/>
    </border>
    <border>
      <left style="thin"/>
      <right style="medium"/>
      <top/>
      <bottom/>
      <diagonal/>
    </border>
    <border>
      <left style="medium"/>
      <right style="medium"/>
      <top style="medium"/>
      <bottom style="medium"/>
      <diagonal/>
    </border>
    <border>
      <left style="thin"/>
      <right style="medium"/>
      <top/>
      <bottom style="thin"/>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style="medium"/>
      <top style="medium"/>
      <bottom/>
      <diagonal/>
    </border>
    <border>
      <left style="medium"/>
      <right/>
      <top/>
      <bottom style="medium"/>
      <diagonal/>
    </border>
    <border>
      <left/>
      <right style="medium"/>
      <top/>
      <bottom style="medium"/>
      <diagonal/>
    </border>
    <border>
      <left/>
      <right/>
      <top/>
      <bottom style="medium"/>
      <diagonal/>
    </border>
    <border>
      <left style="medium"/>
      <right style="medium"/>
      <top/>
      <bottom/>
      <diagonal/>
    </border>
    <border>
      <left/>
      <right style="medium"/>
      <top/>
      <bottom/>
      <diagonal/>
    </border>
    <border>
      <left/>
      <right style="thin"/>
      <top style="medium"/>
      <bottom/>
      <diagonal/>
    </border>
    <border>
      <left/>
      <right style="thin"/>
      <top/>
      <bottom/>
      <diagonal/>
    </border>
    <border>
      <left/>
      <right style="thin"/>
      <top/>
      <bottom style="medium"/>
      <diagonal/>
    </border>
    <border>
      <left/>
      <right style="medium"/>
      <top style="medium"/>
      <bottom style="medium"/>
      <diagonal/>
    </border>
  </borders>
  <cellStyleXfs count="8">
    <xf numFmtId="0" fontId="3" fillId="0" borderId="0" applyAlignment="1">
      <alignment horizontal="general" vertical="bottom"/>
    </xf>
    <xf numFmtId="167" fontId="3" fillId="0" borderId="0" applyAlignment="1">
      <alignment horizontal="general" vertical="bottom"/>
    </xf>
    <xf numFmtId="41" fontId="3" fillId="0" borderId="0"/>
    <xf numFmtId="44" fontId="3" fillId="0" borderId="0"/>
    <xf numFmtId="42" fontId="3" fillId="0" borderId="0"/>
    <xf numFmtId="9" fontId="6" fillId="0" borderId="0" applyAlignment="1">
      <alignment horizontal="general" vertical="bottom"/>
    </xf>
    <xf numFmtId="0" fontId="3" fillId="0" borderId="0" applyAlignment="1">
      <alignment horizontal="general" vertical="bottom"/>
    </xf>
    <xf numFmtId="0" fontId="3" fillId="0" borderId="0" applyAlignment="1">
      <alignment horizontal="general" vertical="bottom"/>
    </xf>
  </cellStyleXfs>
  <cellXfs count="394">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21">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6" fillId="0" borderId="0" applyAlignment="1" pivotButton="0" quotePrefix="0" xfId="0">
      <alignment horizontal="right"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8" fillId="0" borderId="4" applyAlignment="1" pivotButton="0" quotePrefix="0" xfId="0">
      <alignment horizontal="center" vertical="bottom" wrapText="1"/>
    </xf>
    <xf numFmtId="0" fontId="8" fillId="0" borderId="5" applyAlignment="1" pivotButton="0" quotePrefix="0" xfId="0">
      <alignment horizontal="right" vertical="bottom" wrapText="1"/>
    </xf>
    <xf numFmtId="0" fontId="8" fillId="0" borderId="5" applyAlignment="1" pivotButton="0" quotePrefix="0" xfId="0">
      <alignment horizontal="center" vertical="bottom" wrapText="1"/>
    </xf>
    <xf numFmtId="0" fontId="8" fillId="2" borderId="4" applyAlignment="1" pivotButton="0" quotePrefix="0" xfId="0">
      <alignment horizontal="center" vertical="bottom" wrapText="1"/>
    </xf>
    <xf numFmtId="0" fontId="8" fillId="2" borderId="5" applyAlignment="1" pivotButton="0" quotePrefix="0" xfId="0">
      <alignment horizontal="right" vertical="bottom"/>
    </xf>
    <xf numFmtId="0" fontId="8" fillId="2" borderId="5" applyAlignment="1" pivotButton="0" quotePrefix="0" xfId="0">
      <alignment horizontal="center" vertical="bottom"/>
    </xf>
    <xf numFmtId="0" fontId="8" fillId="3" borderId="6" applyAlignment="1" pivotButton="0" quotePrefix="0" xfId="0">
      <alignment horizontal="left" vertical="bottom" wrapText="1"/>
    </xf>
    <xf numFmtId="165" fontId="9" fillId="0" borderId="7" applyAlignment="1" pivotButton="0" quotePrefix="0" xfId="15">
      <alignment horizontal="right" vertical="bottom"/>
    </xf>
    <xf numFmtId="0" fontId="6" fillId="0" borderId="7" applyAlignment="1" pivotButton="0" quotePrefix="0" xfId="0">
      <alignment horizontal="general" vertical="bottom"/>
    </xf>
    <xf numFmtId="0" fontId="6" fillId="0" borderId="0" applyAlignment="1" pivotButton="0" quotePrefix="0" xfId="0">
      <alignment horizontal="general" vertical="bottom"/>
    </xf>
    <xf numFmtId="0" fontId="6" fillId="0" borderId="8" applyAlignment="1" pivotButton="0" quotePrefix="0" xfId="0">
      <alignment horizontal="left" vertical="bottom" wrapText="1"/>
    </xf>
    <xf numFmtId="165" fontId="6" fillId="0" borderId="9" applyAlignment="1" pivotButton="0" quotePrefix="0" xfId="15">
      <alignment horizontal="center" vertical="bottom"/>
    </xf>
    <xf numFmtId="165" fontId="6" fillId="0" borderId="9" applyAlignment="1" pivotButton="0" quotePrefix="0" xfId="15">
      <alignment horizontal="general" vertical="bottom"/>
    </xf>
    <xf numFmtId="165" fontId="6" fillId="0" borderId="0" applyAlignment="1" pivotButton="0" quotePrefix="0" xfId="0">
      <alignment horizontal="general" vertical="bottom"/>
    </xf>
    <xf numFmtId="1" fontId="6" fillId="0" borderId="0" applyAlignment="1" pivotButton="0" quotePrefix="0" xfId="0">
      <alignment horizontal="general" vertical="bottom"/>
    </xf>
    <xf numFmtId="165" fontId="6" fillId="0" borderId="9" applyAlignment="1" pivotButton="0" quotePrefix="0" xfId="0">
      <alignment horizontal="general" vertical="bottom"/>
    </xf>
    <xf numFmtId="166" fontId="6" fillId="0" borderId="9" applyAlignment="1" pivotButton="0" quotePrefix="0" xfId="0">
      <alignment horizontal="general" vertical="bottom"/>
    </xf>
    <xf numFmtId="0" fontId="6" fillId="0" borderId="9" applyAlignment="1" pivotButton="0" quotePrefix="0" xfId="0">
      <alignment horizontal="general" vertical="bottom"/>
    </xf>
    <xf numFmtId="165" fontId="6" fillId="0" borderId="0" applyAlignment="1" pivotButton="0" quotePrefix="0" xfId="15">
      <alignment horizontal="general" vertical="bottom"/>
    </xf>
    <xf numFmtId="0" fontId="8" fillId="3" borderId="8" applyAlignment="1" pivotButton="0" quotePrefix="0" xfId="0">
      <alignment horizontal="left" vertical="bottom" wrapText="1"/>
    </xf>
    <xf numFmtId="165" fontId="9" fillId="0" borderId="9" applyAlignment="1" pivotButton="0" quotePrefix="0" xfId="15">
      <alignment horizontal="center" vertical="bottom"/>
    </xf>
    <xf numFmtId="167" fontId="6" fillId="0" borderId="0" applyAlignment="1" pivotButton="0" quotePrefix="0" xfId="0">
      <alignment horizontal="general" vertical="bottom"/>
    </xf>
    <xf numFmtId="0" fontId="10" fillId="0" borderId="8" applyAlignment="1" pivotButton="0" quotePrefix="0" xfId="0">
      <alignment horizontal="left" vertical="bottom" wrapText="1"/>
    </xf>
    <xf numFmtId="0" fontId="8" fillId="2" borderId="10" applyAlignment="1" pivotButton="0" quotePrefix="0" xfId="0">
      <alignment horizontal="left" vertical="bottom" wrapText="1"/>
    </xf>
    <xf numFmtId="0" fontId="8" fillId="2" borderId="11" applyAlignment="1" pivotButton="0" quotePrefix="0" xfId="0">
      <alignment horizontal="left" vertical="bottom"/>
    </xf>
    <xf numFmtId="0" fontId="8" fillId="3" borderId="8" applyAlignment="1" pivotButton="0" quotePrefix="0" xfId="0">
      <alignment horizontal="general" vertical="bottom" wrapText="1"/>
    </xf>
    <xf numFmtId="0" fontId="6" fillId="0" borderId="9" applyAlignment="1" pivotButton="0" quotePrefix="0" xfId="0">
      <alignment horizontal="center" vertical="bottom"/>
    </xf>
    <xf numFmtId="0" fontId="6" fillId="0" borderId="8" applyAlignment="1" pivotButton="0" quotePrefix="0" xfId="0">
      <alignment horizontal="left" vertical="bottom" wrapText="1"/>
    </xf>
    <xf numFmtId="0" fontId="8" fillId="2" borderId="12" applyAlignment="1" pivotButton="0" quotePrefix="0" xfId="0">
      <alignment horizontal="center" vertical="bottom" wrapText="1"/>
    </xf>
    <xf numFmtId="0" fontId="8" fillId="2" borderId="13" applyAlignment="1" pivotButton="0" quotePrefix="0" xfId="0">
      <alignment horizontal="center" vertical="bottom"/>
    </xf>
    <xf numFmtId="0" fontId="9" fillId="0" borderId="7" applyAlignment="1" pivotButton="0" quotePrefix="0" xfId="0">
      <alignment horizontal="right" vertical="bottom"/>
    </xf>
    <xf numFmtId="0" fontId="9" fillId="0" borderId="7" applyAlignment="1" pivotButton="0" quotePrefix="0" xfId="0">
      <alignment horizontal="general" vertical="bottom"/>
    </xf>
    <xf numFmtId="0" fontId="6" fillId="0" borderId="7" applyAlignment="1" pivotButton="0" quotePrefix="0" xfId="0">
      <alignment horizontal="general" vertical="bottom"/>
    </xf>
    <xf numFmtId="0" fontId="6" fillId="0" borderId="9" applyAlignment="1" pivotButton="0" quotePrefix="0" xfId="0">
      <alignment horizontal="right" vertical="bottom"/>
    </xf>
    <xf numFmtId="0" fontId="6" fillId="0" borderId="9" applyAlignment="1" pivotButton="0" quotePrefix="0" xfId="0">
      <alignment horizontal="general" vertical="bottom"/>
    </xf>
    <xf numFmtId="0" fontId="12" fillId="0" borderId="9"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6" fillId="0" borderId="0" applyAlignment="1" pivotButton="0" quotePrefix="0" xfId="0">
      <alignment horizontal="general" vertical="bottom"/>
    </xf>
    <xf numFmtId="168"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4" applyAlignment="1" pivotButton="0" quotePrefix="0" xfId="0">
      <alignment horizontal="general" vertical="top" wrapText="1"/>
    </xf>
    <xf numFmtId="0" fontId="8" fillId="0" borderId="5" applyAlignment="1" pivotButton="0" quotePrefix="0" xfId="0">
      <alignment horizontal="general" vertical="top" wrapText="1"/>
    </xf>
    <xf numFmtId="168" fontId="8" fillId="0" borderId="5" applyAlignment="1" pivotButton="0" quotePrefix="0" xfId="0">
      <alignment horizontal="general" vertical="top" wrapText="1"/>
    </xf>
    <xf numFmtId="0" fontId="8" fillId="2" borderId="4" applyAlignment="1" pivotButton="0" quotePrefix="0" xfId="0">
      <alignment horizontal="center" vertical="bottom"/>
    </xf>
    <xf numFmtId="0" fontId="8" fillId="3" borderId="6" applyAlignment="1" pivotButton="0" quotePrefix="0" xfId="0">
      <alignment horizontal="left" vertical="bottom"/>
    </xf>
    <xf numFmtId="168" fontId="6" fillId="0" borderId="7" applyAlignment="1" pivotButton="0" quotePrefix="0" xfId="0">
      <alignment horizontal="general" vertical="bottom"/>
    </xf>
    <xf numFmtId="0" fontId="6" fillId="0" borderId="8" applyAlignment="1" pivotButton="0" quotePrefix="0" xfId="0">
      <alignment horizontal="left" vertical="bottom"/>
    </xf>
    <xf numFmtId="168" fontId="6" fillId="0" borderId="9" applyAlignment="1" pivotButton="0" quotePrefix="0" xfId="0">
      <alignment horizontal="general" vertical="bottom"/>
    </xf>
    <xf numFmtId="0" fontId="10" fillId="0" borderId="8" applyAlignment="1" pivotButton="0" quotePrefix="0" xfId="0">
      <alignment horizontal="left" vertical="bottom"/>
    </xf>
    <xf numFmtId="0" fontId="8" fillId="3" borderId="8" applyAlignment="1" pivotButton="0" quotePrefix="0" xfId="0">
      <alignment horizontal="left" vertical="bottom"/>
    </xf>
    <xf numFmtId="165" fontId="6" fillId="0" borderId="9" applyAlignment="1" pivotButton="0" quotePrefix="0" xfId="15">
      <alignment horizontal="right" vertical="bottom"/>
    </xf>
    <xf numFmtId="0" fontId="8" fillId="2" borderId="12" applyAlignment="1" pivotButton="0" quotePrefix="0" xfId="0">
      <alignment horizontal="center" vertical="bottom"/>
    </xf>
    <xf numFmtId="0" fontId="8" fillId="3" borderId="8" applyAlignment="1" pivotButton="0" quotePrefix="0" xfId="0">
      <alignment horizontal="general" vertical="bottom"/>
    </xf>
    <xf numFmtId="168" fontId="6" fillId="0" borderId="9" applyAlignment="1" pivotButton="0" quotePrefix="0" xfId="0">
      <alignment horizontal="center" vertical="bottom"/>
    </xf>
    <xf numFmtId="0" fontId="6" fillId="0" borderId="8" applyAlignment="1" pivotButton="0" quotePrefix="0" xfId="0">
      <alignment horizontal="left" vertical="bottom"/>
    </xf>
    <xf numFmtId="0" fontId="6" fillId="0" borderId="9" applyAlignment="1" pivotButton="0" quotePrefix="0" xfId="0">
      <alignment horizontal="center" vertical="bottom"/>
    </xf>
    <xf numFmtId="168" fontId="6" fillId="0" borderId="9" applyAlignment="1" pivotButton="0" quotePrefix="0" xfId="0">
      <alignment horizontal="center" vertical="bottom"/>
    </xf>
    <xf numFmtId="0" fontId="6" fillId="0" borderId="9" applyAlignment="1" pivotButton="0" quotePrefix="0" xfId="0">
      <alignment horizontal="general" vertical="bottom"/>
    </xf>
    <xf numFmtId="169" fontId="6" fillId="0" borderId="9" applyAlignment="1" pivotButton="0" quotePrefix="0" xfId="0">
      <alignment horizontal="general" vertical="bottom"/>
    </xf>
    <xf numFmtId="0" fontId="6" fillId="0" borderId="9" applyAlignment="1" pivotButton="0" quotePrefix="0" xfId="0">
      <alignment horizontal="left" vertical="bottom"/>
    </xf>
    <xf numFmtId="170" fontId="6" fillId="0" borderId="9" applyAlignment="1" pivotButton="0" quotePrefix="0" xfId="0">
      <alignment horizontal="general" vertical="bottom"/>
    </xf>
    <xf numFmtId="0" fontId="8" fillId="0" borderId="9" applyAlignment="1" pivotButton="0" quotePrefix="0" xfId="0">
      <alignment horizontal="left" vertical="bottom"/>
    </xf>
    <xf numFmtId="170" fontId="13" fillId="0" borderId="9" applyAlignment="1" pivotButton="0" quotePrefix="0" xfId="0">
      <alignment horizontal="general" vertical="bottom"/>
    </xf>
    <xf numFmtId="0" fontId="7" fillId="0" borderId="0" applyAlignment="1" pivotButton="0" quotePrefix="0" xfId="0">
      <alignment horizontal="general" vertical="bottom"/>
    </xf>
    <xf numFmtId="0" fontId="14" fillId="2" borderId="4" applyAlignment="1" pivotButton="0" quotePrefix="0" xfId="0">
      <alignment horizontal="center" vertical="bottom"/>
    </xf>
    <xf numFmtId="0" fontId="6" fillId="0" borderId="8" applyAlignment="1" pivotButton="0" quotePrefix="0" xfId="0">
      <alignment horizontal="left" vertical="bottom" indent="1"/>
    </xf>
    <xf numFmtId="1" fontId="6" fillId="0" borderId="9" applyAlignment="1" pivotButton="0" quotePrefix="0" xfId="0">
      <alignment horizontal="general" vertical="bottom"/>
    </xf>
    <xf numFmtId="0" fontId="10" fillId="0" borderId="8" applyAlignment="1" pivotButton="0" quotePrefix="0" xfId="0">
      <alignment horizontal="left" vertical="bottom" indent="1"/>
    </xf>
    <xf numFmtId="0" fontId="14" fillId="2" borderId="14" applyAlignment="1" pivotButton="0" quotePrefix="0" xfId="0">
      <alignment horizontal="center" vertical="bottom"/>
    </xf>
    <xf numFmtId="0" fontId="15" fillId="3" borderId="15" applyAlignment="1" pivotButton="0" quotePrefix="0" xfId="0">
      <alignment horizontal="left" vertical="bottom"/>
    </xf>
    <xf numFmtId="0" fontId="6" fillId="0" borderId="2" applyAlignment="1" pivotButton="0" quotePrefix="0" xfId="0">
      <alignment horizontal="general" vertical="bottom"/>
    </xf>
    <xf numFmtId="0" fontId="6" fillId="0" borderId="9" applyAlignment="1" pivotButton="0" quotePrefix="0" xfId="0">
      <alignment horizontal="right" vertical="bottom"/>
    </xf>
    <xf numFmtId="0" fontId="14" fillId="2" borderId="12" applyAlignment="1" pivotButton="0" quotePrefix="0" xfId="0">
      <alignment horizontal="center" vertical="bottom"/>
    </xf>
    <xf numFmtId="0" fontId="6" fillId="0" borderId="7" applyAlignment="1" pivotButton="0" quotePrefix="0" xfId="0">
      <alignment horizontal="center" vertical="bottom"/>
    </xf>
    <xf numFmtId="0" fontId="8" fillId="3" borderId="8" applyAlignment="1" pivotButton="0" quotePrefix="0" xfId="0">
      <alignment horizontal="general" vertical="bottom"/>
    </xf>
    <xf numFmtId="0" fontId="6" fillId="0" borderId="8" applyAlignment="1" pivotButton="0" quotePrefix="0" xfId="0">
      <alignment horizontal="left" vertical="bottom" indent="1"/>
    </xf>
    <xf numFmtId="0" fontId="6" fillId="0" borderId="9" applyAlignment="1" pivotButton="0" quotePrefix="0" xfId="0">
      <alignment horizontal="left" vertical="bottom" indent="1"/>
    </xf>
    <xf numFmtId="0" fontId="6" fillId="0" borderId="3" applyAlignment="1" pivotButton="0" quotePrefix="0" xfId="0">
      <alignment horizontal="general" vertical="bottom"/>
    </xf>
    <xf numFmtId="1" fontId="9" fillId="0" borderId="7" applyAlignment="1" pivotButton="0" quotePrefix="0" xfId="0">
      <alignment horizontal="general" vertical="bottom"/>
    </xf>
    <xf numFmtId="0" fontId="9" fillId="0" borderId="9" applyAlignment="1" pivotButton="0" quotePrefix="0" xfId="0">
      <alignment horizontal="general" vertical="bottom"/>
    </xf>
    <xf numFmtId="0" fontId="8" fillId="2" borderId="14" applyAlignment="1" pivotButton="0" quotePrefix="0" xfId="0">
      <alignment horizontal="center" vertical="bottom"/>
    </xf>
    <xf numFmtId="0" fontId="9" fillId="0" borderId="2" applyAlignment="1" pivotButton="0" quotePrefix="0" xfId="0">
      <alignment horizontal="general" vertical="bottom"/>
    </xf>
    <xf numFmtId="0" fontId="9" fillId="0" borderId="7" applyAlignment="1" pivotButton="0" quotePrefix="0" xfId="0">
      <alignment horizontal="right" vertical="bottom"/>
    </xf>
    <xf numFmtId="0" fontId="9" fillId="0" borderId="9" applyAlignment="1" pivotButton="0" quotePrefix="0" xfId="0">
      <alignment horizontal="right" vertical="bottom"/>
    </xf>
    <xf numFmtId="0" fontId="6" fillId="0" borderId="7" applyAlignment="1" pivotButton="0" quotePrefix="0" xfId="0">
      <alignment horizontal="right" vertical="bottom"/>
    </xf>
    <xf numFmtId="0" fontId="9" fillId="0" borderId="9" applyAlignment="1" pivotButton="0" quotePrefix="0" xfId="0">
      <alignment horizontal="general" vertical="bottom"/>
    </xf>
    <xf numFmtId="3" fontId="6" fillId="0" borderId="9" applyAlignment="1" pivotButton="0" quotePrefix="0" xfId="0">
      <alignment horizontal="center" vertical="bottom"/>
    </xf>
    <xf numFmtId="3" fontId="6" fillId="0" borderId="9" applyAlignment="1" pivotButton="0" quotePrefix="0" xfId="0">
      <alignment horizontal="center" vertical="bottom"/>
    </xf>
    <xf numFmtId="1" fontId="6" fillId="0" borderId="9" applyAlignment="1" pivotButton="0" quotePrefix="0" xfId="0">
      <alignment horizontal="center" vertical="bottom"/>
    </xf>
    <xf numFmtId="0" fontId="8" fillId="3" borderId="16" applyAlignment="1" pivotButton="0" quotePrefix="0" xfId="0">
      <alignment horizontal="general" vertical="bottom"/>
    </xf>
    <xf numFmtId="0" fontId="6" fillId="0" borderId="16" applyAlignment="1" pivotButton="0" quotePrefix="0" xfId="0">
      <alignment horizontal="left" vertical="bottom" indent="1"/>
    </xf>
    <xf numFmtId="0" fontId="8" fillId="3" borderId="17" applyAlignment="1" pivotButton="0" quotePrefix="0" xfId="0">
      <alignment horizontal="general" vertical="bottom"/>
    </xf>
    <xf numFmtId="0" fontId="0" fillId="0" borderId="18" applyAlignment="1" pivotButton="0" quotePrefix="0" xfId="0">
      <alignment horizontal="general" vertical="bottom"/>
    </xf>
    <xf numFmtId="0" fontId="6" fillId="0" borderId="19" applyAlignment="1" pivotButton="0" quotePrefix="0" xfId="0">
      <alignment horizontal="left" vertical="bottom" indent="1"/>
    </xf>
    <xf numFmtId="0" fontId="6" fillId="0" borderId="9" applyAlignment="1" pivotButton="0" quotePrefix="0" xfId="0">
      <alignment horizontal="general" vertical="bottom"/>
    </xf>
    <xf numFmtId="0" fontId="6" fillId="0" borderId="7" applyAlignment="1" pivotButton="0" quotePrefix="0" xfId="0">
      <alignment horizontal="general" vertical="bottom"/>
    </xf>
    <xf numFmtId="0" fontId="6" fillId="0" borderId="9" applyAlignment="1" pivotButton="0" quotePrefix="0" xfId="0">
      <alignment horizontal="general" vertical="bottom"/>
    </xf>
    <xf numFmtId="0" fontId="6" fillId="0" borderId="2" applyAlignment="1" pivotButton="0" quotePrefix="0" xfId="0">
      <alignment horizontal="general" vertical="bottom"/>
    </xf>
    <xf numFmtId="0" fontId="6" fillId="0" borderId="7" applyAlignment="1" pivotButton="0" quotePrefix="0" xfId="0">
      <alignment horizontal="general" vertical="bottom"/>
    </xf>
    <xf numFmtId="3" fontId="6" fillId="0" borderId="9" applyAlignment="1" pivotButton="0" quotePrefix="0" xfId="0">
      <alignment horizontal="general" vertical="bottom"/>
    </xf>
    <xf numFmtId="0" fontId="6" fillId="0" borderId="9" applyAlignment="1" pivotButton="0" quotePrefix="0" xfId="0">
      <alignment horizontal="general" vertical="bottom"/>
    </xf>
    <xf numFmtId="0" fontId="6" fillId="0" borderId="3" applyAlignment="1" pivotButton="0" quotePrefix="0" xfId="0">
      <alignment horizontal="general" vertical="bottom"/>
    </xf>
    <xf numFmtId="0" fontId="8" fillId="0" borderId="20" applyAlignment="1" pivotButton="0" quotePrefix="0" xfId="0">
      <alignment horizontal="center" vertical="bottom" wrapText="1"/>
    </xf>
    <xf numFmtId="0" fontId="14" fillId="2" borderId="21" applyAlignment="1" pivotButton="0" quotePrefix="0" xfId="0">
      <alignment horizontal="center" vertical="bottom"/>
    </xf>
    <xf numFmtId="0" fontId="6" fillId="0" borderId="22" applyAlignment="1" pivotButton="0" quotePrefix="0" xfId="0">
      <alignment horizontal="general" vertical="bottom"/>
    </xf>
    <xf numFmtId="1" fontId="6" fillId="0" borderId="23" applyAlignment="1" pivotButton="0" quotePrefix="0" xfId="0">
      <alignment horizontal="general" vertical="bottom"/>
    </xf>
    <xf numFmtId="0" fontId="10" fillId="0" borderId="8" applyAlignment="1" pivotButton="0" quotePrefix="0" xfId="0">
      <alignment horizontal="left" vertical="bottom" indent="1"/>
    </xf>
    <xf numFmtId="0" fontId="14" fillId="2" borderId="24" applyAlignment="1" pivotButton="0" quotePrefix="0" xfId="0">
      <alignment horizontal="center" vertical="bottom"/>
    </xf>
    <xf numFmtId="0" fontId="6" fillId="0" borderId="25" applyAlignment="1" pivotButton="0" quotePrefix="0" xfId="0">
      <alignment horizontal="general" vertical="bottom"/>
    </xf>
    <xf numFmtId="0" fontId="15" fillId="3" borderId="8" applyAlignment="1" pivotButton="0" quotePrefix="0" xfId="0">
      <alignment horizontal="left" vertical="bottom"/>
    </xf>
    <xf numFmtId="0" fontId="6" fillId="0" borderId="23" applyAlignment="1" pivotButton="0" quotePrefix="0" xfId="0">
      <alignment horizontal="general" vertical="bottom"/>
    </xf>
    <xf numFmtId="171" fontId="6" fillId="0" borderId="9" applyAlignment="1" pivotButton="0" quotePrefix="0" xfId="19">
      <alignment horizontal="general" vertical="bottom"/>
    </xf>
    <xf numFmtId="171" fontId="6" fillId="0" borderId="23" applyAlignment="1" pivotButton="0" quotePrefix="0" xfId="19">
      <alignment horizontal="general" vertical="bottom"/>
    </xf>
    <xf numFmtId="0" fontId="6" fillId="0" borderId="23" applyAlignment="1" pivotButton="0" quotePrefix="0" xfId="0">
      <alignment horizontal="center" vertical="bottom"/>
    </xf>
    <xf numFmtId="0" fontId="6" fillId="0" borderId="22" applyAlignment="1" pivotButton="0" quotePrefix="0" xfId="0">
      <alignment horizontal="general" vertical="bottom"/>
    </xf>
    <xf numFmtId="1" fontId="6" fillId="0" borderId="9" applyAlignment="1" pivotButton="0" quotePrefix="0" xfId="0">
      <alignment horizontal="general" vertical="bottom"/>
    </xf>
    <xf numFmtId="1" fontId="6" fillId="0" borderId="23" applyAlignment="1" pivotButton="0" quotePrefix="0" xfId="0">
      <alignment horizontal="general" vertical="bottom"/>
    </xf>
    <xf numFmtId="0" fontId="6" fillId="0" borderId="23" applyAlignment="1" pivotButton="0" quotePrefix="0" xfId="0">
      <alignment horizontal="general" vertical="bottom"/>
    </xf>
    <xf numFmtId="1" fontId="6" fillId="0" borderId="9" applyAlignment="1" pivotButton="0" quotePrefix="0" xfId="0">
      <alignment horizontal="right" vertical="bottom"/>
    </xf>
    <xf numFmtId="1" fontId="6" fillId="0" borderId="9" applyAlignment="1" pivotButton="0" quotePrefix="0" xfId="0">
      <alignment horizontal="general" vertical="bottom" wrapText="1"/>
    </xf>
    <xf numFmtId="0" fontId="8" fillId="2" borderId="26" applyAlignment="1" pivotButton="0" quotePrefix="0" xfId="0">
      <alignment horizontal="center" vertical="bottom"/>
    </xf>
    <xf numFmtId="0" fontId="6" fillId="0" borderId="27" applyAlignment="1" pivotButton="0" quotePrefix="0" xfId="0">
      <alignment horizontal="general" vertical="bottom"/>
    </xf>
    <xf numFmtId="0" fontId="6" fillId="0" borderId="28" applyAlignment="1" pivotButton="0" quotePrefix="0" xfId="0">
      <alignment horizontal="left" vertical="bottom" indent="1"/>
    </xf>
    <xf numFmtId="0" fontId="6" fillId="0" borderId="29" applyAlignment="1" pivotButton="0" quotePrefix="0" xfId="0">
      <alignment horizontal="general" vertical="bottom"/>
    </xf>
    <xf numFmtId="0" fontId="6" fillId="0" borderId="30" applyAlignment="1" pivotButton="0" quotePrefix="0" xfId="0">
      <alignment horizontal="general" vertical="bottom"/>
    </xf>
    <xf numFmtId="1" fontId="17"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10" applyAlignment="1" pivotButton="0" quotePrefix="0" xfId="0">
      <alignment horizontal="center" vertical="center" shrinkToFit="1"/>
    </xf>
    <xf numFmtId="0" fontId="0" fillId="0" borderId="26" applyAlignment="1" pivotButton="0" quotePrefix="0" xfId="0">
      <alignment horizontal="center" vertical="center" shrinkToFit="1"/>
    </xf>
    <xf numFmtId="1" fontId="17" fillId="0" borderId="26" applyAlignment="1" pivotButton="0" quotePrefix="0" xfId="15">
      <alignment horizontal="center" vertical="center" shrinkToFit="1"/>
    </xf>
    <xf numFmtId="0" fontId="0" fillId="0" borderId="21" applyAlignment="1" pivotButton="0" quotePrefix="0" xfId="0">
      <alignment horizontal="center" vertical="center" shrinkToFit="1"/>
    </xf>
    <xf numFmtId="0" fontId="0" fillId="0" borderId="31" applyAlignment="1" pivotButton="0" quotePrefix="0" xfId="0">
      <alignment horizontal="center" vertical="center" shrinkToFit="1"/>
    </xf>
    <xf numFmtId="0" fontId="17" fillId="0" borderId="32" applyAlignment="1" pivotButton="0" quotePrefix="0" xfId="0">
      <alignment horizontal="center" vertical="bottom"/>
    </xf>
    <xf numFmtId="0" fontId="17" fillId="0" borderId="33" applyAlignment="1" pivotButton="0" quotePrefix="0" xfId="0">
      <alignment horizontal="center" vertical="bottom"/>
    </xf>
    <xf numFmtId="0" fontId="17" fillId="0" borderId="34" applyAlignment="1" pivotButton="0" quotePrefix="0" xfId="0">
      <alignment horizontal="center" vertical="bottom"/>
    </xf>
    <xf numFmtId="0" fontId="19" fillId="0" borderId="12" applyAlignment="1" pivotButton="0" quotePrefix="0" xfId="0">
      <alignment horizontal="general" vertical="bottom"/>
    </xf>
    <xf numFmtId="0" fontId="17" fillId="4" borderId="21" applyAlignment="1" pivotButton="0" quotePrefix="0" xfId="0">
      <alignment horizontal="center" vertical="bottom"/>
    </xf>
    <xf numFmtId="1" fontId="17" fillId="4" borderId="21" applyAlignment="1" pivotButton="0" quotePrefix="0" xfId="15">
      <alignment horizontal="general" vertical="bottom"/>
    </xf>
    <xf numFmtId="0" fontId="0" fillId="4" borderId="12" applyAlignment="1" pivotButton="0" quotePrefix="0" xfId="0">
      <alignment horizontal="general" vertical="bottom"/>
    </xf>
    <xf numFmtId="0" fontId="0" fillId="4" borderId="31" applyAlignment="1" pivotButton="0" quotePrefix="0" xfId="0">
      <alignment horizontal="general" vertical="bottom"/>
    </xf>
    <xf numFmtId="0" fontId="0" fillId="4" borderId="13" applyAlignment="1" pivotButton="0" quotePrefix="0" xfId="0">
      <alignment horizontal="general" vertical="bottom"/>
    </xf>
    <xf numFmtId="0" fontId="20" fillId="0" borderId="19" applyAlignment="1" pivotButton="0" quotePrefix="0" xfId="0">
      <alignment horizontal="right" vertical="bottom"/>
    </xf>
    <xf numFmtId="0" fontId="0" fillId="0" borderId="35" applyAlignment="1" pivotButton="0" quotePrefix="0" xfId="0">
      <alignment horizontal="general" vertical="bottom"/>
    </xf>
    <xf numFmtId="1" fontId="17" fillId="0" borderId="35" applyAlignment="1" pivotButton="0" quotePrefix="0" xfId="15">
      <alignment horizontal="general" vertical="bottom"/>
    </xf>
    <xf numFmtId="0" fontId="0" fillId="0" borderId="19" applyAlignment="1" pivotButton="0" quotePrefix="0" xfId="0">
      <alignment horizontal="general" vertical="bottom"/>
    </xf>
    <xf numFmtId="0" fontId="0" fillId="0" borderId="36" applyAlignment="1" pivotButton="0" quotePrefix="0" xfId="0">
      <alignment horizontal="general" vertical="bottom"/>
    </xf>
    <xf numFmtId="0" fontId="0" fillId="0" borderId="0" applyAlignment="1" pivotButton="0" quotePrefix="0" xfId="0">
      <alignment horizontal="general" vertical="bottom"/>
    </xf>
    <xf numFmtId="0" fontId="20" fillId="0" borderId="32" applyAlignment="1" pivotButton="0" quotePrefix="0" xfId="0">
      <alignment horizontal="right" vertical="bottom"/>
    </xf>
    <xf numFmtId="0" fontId="0" fillId="0" borderId="24" applyAlignment="1" pivotButton="0" quotePrefix="0" xfId="0">
      <alignment horizontal="right" vertical="bottom"/>
    </xf>
    <xf numFmtId="1" fontId="17" fillId="0" borderId="24" applyAlignment="1" pivotButton="0" quotePrefix="0" xfId="15">
      <alignment horizontal="right" vertical="bottom"/>
    </xf>
    <xf numFmtId="0" fontId="17" fillId="0" borderId="32" applyAlignment="1" pivotButton="0" quotePrefix="0" xfId="0">
      <alignment horizontal="right" vertical="bottom"/>
    </xf>
    <xf numFmtId="0" fontId="17" fillId="0" borderId="33" applyAlignment="1" pivotButton="0" quotePrefix="0" xfId="0">
      <alignment horizontal="general" vertical="bottom"/>
    </xf>
    <xf numFmtId="0" fontId="17" fillId="0" borderId="34" applyAlignment="1" pivotButton="0" quotePrefix="0" xfId="0">
      <alignment horizontal="general" vertical="bottom"/>
    </xf>
    <xf numFmtId="0" fontId="17" fillId="0" borderId="32" applyAlignment="1" pivotButton="0" quotePrefix="0" xfId="0">
      <alignment horizontal="general" vertical="bottom"/>
    </xf>
    <xf numFmtId="0" fontId="19" fillId="4" borderId="21" applyAlignment="1" pivotButton="0" quotePrefix="0" xfId="0">
      <alignment horizontal="general" vertical="bottom"/>
    </xf>
    <xf numFmtId="0" fontId="17" fillId="4" borderId="12" applyAlignment="1" pivotButton="0" quotePrefix="0" xfId="0">
      <alignment horizontal="general" vertical="bottom"/>
    </xf>
    <xf numFmtId="0" fontId="17" fillId="4" borderId="31" applyAlignment="1" pivotButton="0" quotePrefix="0" xfId="0">
      <alignment horizontal="general" vertical="bottom"/>
    </xf>
    <xf numFmtId="1" fontId="17" fillId="0" borderId="35" applyAlignment="1" pivotButton="0" quotePrefix="0" xfId="15">
      <alignment horizontal="right" vertical="bottom"/>
    </xf>
    <xf numFmtId="0" fontId="0" fillId="0" borderId="36" applyAlignment="1" pivotButton="0" quotePrefix="0" xfId="0">
      <alignment horizontal="general" vertical="bottom" shrinkToFit="1"/>
    </xf>
    <xf numFmtId="0" fontId="0" fillId="0" borderId="35" applyAlignment="1" pivotButton="0" quotePrefix="0" xfId="0">
      <alignment horizontal="center" vertical="bottom"/>
    </xf>
    <xf numFmtId="0" fontId="0" fillId="0" borderId="24" applyAlignment="1" pivotButton="0" quotePrefix="0" xfId="0">
      <alignment horizontal="general" vertical="bottom"/>
    </xf>
    <xf numFmtId="1" fontId="17" fillId="0" borderId="24" applyAlignment="1" pivotButton="0" quotePrefix="0" xfId="15">
      <alignment horizontal="general" vertical="bottom"/>
    </xf>
    <xf numFmtId="0" fontId="19" fillId="0" borderId="33" applyAlignment="1" pivotButton="0" quotePrefix="0" xfId="0">
      <alignment horizontal="general" vertical="bottom"/>
    </xf>
    <xf numFmtId="0" fontId="17" fillId="0" borderId="33" applyAlignment="1" pivotButton="0" quotePrefix="0" xfId="0">
      <alignment horizontal="general" vertical="bottom" shrinkToFit="1"/>
    </xf>
    <xf numFmtId="49" fontId="0" fillId="0" borderId="19" applyAlignment="1" pivotButton="0" quotePrefix="0" xfId="0">
      <alignment horizontal="right" vertical="bottom"/>
    </xf>
    <xf numFmtId="49" fontId="0" fillId="0" borderId="36" applyAlignment="1" pivotButton="0" quotePrefix="0" xfId="0">
      <alignment horizontal="right" vertical="bottom"/>
    </xf>
    <xf numFmtId="172" fontId="0" fillId="0" borderId="19" applyAlignment="1" pivotButton="0" quotePrefix="0" xfId="0">
      <alignment horizontal="right" vertical="bottom"/>
    </xf>
    <xf numFmtId="0" fontId="0" fillId="0" borderId="36" applyAlignment="1" pivotButton="0" quotePrefix="0" xfId="0">
      <alignment horizontal="right" vertical="bottom"/>
    </xf>
    <xf numFmtId="0" fontId="0" fillId="0" borderId="35" applyAlignment="1" pivotButton="0" quotePrefix="0" xfId="0">
      <alignment horizontal="right" vertical="bottom"/>
    </xf>
    <xf numFmtId="0" fontId="0" fillId="0" borderId="19" applyAlignment="1" pivotButton="0" quotePrefix="0" xfId="0">
      <alignment horizontal="right" vertical="bottom"/>
    </xf>
    <xf numFmtId="49" fontId="17" fillId="0" borderId="32" applyAlignment="1" pivotButton="0" quotePrefix="0" xfId="0">
      <alignment horizontal="right" vertical="bottom"/>
    </xf>
    <xf numFmtId="49" fontId="17" fillId="0" borderId="33" applyAlignment="1" pivotButton="0" quotePrefix="0" xfId="0">
      <alignment horizontal="right" vertical="bottom"/>
    </xf>
    <xf numFmtId="0" fontId="0" fillId="0" borderId="24" applyAlignment="1" pivotButton="0" quotePrefix="0" xfId="0">
      <alignment horizontal="general" vertical="bottom" shrinkToFit="1"/>
    </xf>
    <xf numFmtId="1" fontId="17" fillId="0" borderId="24" applyAlignment="1" pivotButton="0" quotePrefix="0" xfId="15">
      <alignment horizontal="general" vertical="bottom" shrinkToFit="1"/>
    </xf>
    <xf numFmtId="0" fontId="0" fillId="0" borderId="32" applyAlignment="1" pivotButton="0" quotePrefix="0" xfId="0">
      <alignment horizontal="general" vertical="bottom" shrinkToFit="1"/>
    </xf>
    <xf numFmtId="0" fontId="0" fillId="0" borderId="33" applyAlignment="1" pivotButton="0" quotePrefix="0" xfId="0">
      <alignment horizontal="general" vertical="bottom" shrinkToFit="1"/>
    </xf>
    <xf numFmtId="0" fontId="0" fillId="0" borderId="34" applyAlignment="1" pivotButton="0" quotePrefix="0" xfId="0">
      <alignment horizontal="general" vertical="bottom" shrinkToFit="1"/>
    </xf>
    <xf numFmtId="0" fontId="0" fillId="4" borderId="21" applyAlignment="1" pivotButton="0" quotePrefix="0" xfId="0">
      <alignment horizontal="general" vertical="bottom"/>
    </xf>
    <xf numFmtId="0" fontId="0" fillId="0" borderId="32" applyAlignment="1" pivotButton="0" quotePrefix="0" xfId="0">
      <alignment horizontal="general" vertical="bottom"/>
    </xf>
    <xf numFmtId="0" fontId="0" fillId="0" borderId="33" applyAlignment="1" pivotButton="0" quotePrefix="0" xfId="0">
      <alignment horizontal="general" vertical="bottom"/>
    </xf>
    <xf numFmtId="0" fontId="0" fillId="0" borderId="34" applyAlignment="1" pivotButton="0" quotePrefix="0" xfId="0">
      <alignment horizontal="general" vertical="bottom"/>
    </xf>
    <xf numFmtId="0" fontId="19" fillId="0" borderId="19" applyAlignment="1" pivotButton="0" quotePrefix="0" xfId="0">
      <alignment horizontal="general" vertical="bottom"/>
    </xf>
    <xf numFmtId="0" fontId="0" fillId="4" borderId="35" applyAlignment="1" pivotButton="0" quotePrefix="0" xfId="0">
      <alignment horizontal="general" vertical="bottom"/>
    </xf>
    <xf numFmtId="1" fontId="17" fillId="4" borderId="35" applyAlignment="1" pivotButton="0" quotePrefix="0" xfId="15">
      <alignment horizontal="general" vertical="bottom"/>
    </xf>
    <xf numFmtId="0" fontId="0" fillId="4" borderId="19" applyAlignment="1" pivotButton="0" quotePrefix="0" xfId="0">
      <alignment horizontal="general" vertical="bottom"/>
    </xf>
    <xf numFmtId="0" fontId="0" fillId="4" borderId="36" applyAlignment="1" pivotButton="0" quotePrefix="0" xfId="0">
      <alignment horizontal="general" vertical="bottom"/>
    </xf>
    <xf numFmtId="0" fontId="0" fillId="4" borderId="0" applyAlignment="1" pivotButton="0" quotePrefix="0" xfId="0">
      <alignment horizontal="general" vertical="bottom"/>
    </xf>
    <xf numFmtId="173" fontId="17" fillId="0" borderId="35" applyAlignment="1" pivotButton="0" quotePrefix="0" xfId="15">
      <alignment horizontal="right" vertical="bottom"/>
    </xf>
    <xf numFmtId="9" fontId="0" fillId="0" borderId="35" applyAlignment="1" pivotButton="0" quotePrefix="0" xfId="0">
      <alignment horizontal="general" vertical="bottom"/>
    </xf>
    <xf numFmtId="9" fontId="17" fillId="0" borderId="35" applyAlignment="1" pivotButton="0" quotePrefix="0" xfId="19">
      <alignment horizontal="right" vertical="bottom"/>
    </xf>
    <xf numFmtId="9" fontId="0" fillId="0" borderId="35" applyAlignment="1" pivotButton="0" quotePrefix="0" xfId="0">
      <alignment horizontal="center" vertical="bottom"/>
    </xf>
    <xf numFmtId="0" fontId="20" fillId="0" borderId="0" applyAlignment="1" pivotButton="0" quotePrefix="0" xfId="0">
      <alignment horizontal="right" vertical="bottom"/>
    </xf>
    <xf numFmtId="1" fontId="17" fillId="0" borderId="0" applyAlignment="1" pivotButton="0" quotePrefix="0" xfId="15">
      <alignment horizontal="right"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4" fillId="0" borderId="0" applyAlignment="1" pivotButton="0" quotePrefix="0" xfId="21">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6" fillId="0" borderId="0" applyAlignment="1" pivotButton="0" quotePrefix="0" xfId="0">
      <alignment horizontal="right"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8" fillId="0" borderId="4" applyAlignment="1" pivotButton="0" quotePrefix="0" xfId="0">
      <alignment horizontal="center" vertical="bottom" wrapText="1"/>
    </xf>
    <xf numFmtId="0" fontId="8" fillId="0" borderId="5" applyAlignment="1" pivotButton="0" quotePrefix="0" xfId="0">
      <alignment horizontal="right" vertical="bottom" wrapText="1"/>
    </xf>
    <xf numFmtId="0" fontId="8" fillId="0" borderId="5" applyAlignment="1" pivotButton="0" quotePrefix="0" xfId="0">
      <alignment horizontal="center" vertical="bottom" wrapText="1"/>
    </xf>
    <xf numFmtId="0" fontId="8" fillId="2" borderId="4" applyAlignment="1" pivotButton="0" quotePrefix="0" xfId="0">
      <alignment horizontal="center" vertical="bottom" wrapText="1"/>
    </xf>
    <xf numFmtId="0" fontId="8" fillId="2" borderId="5" applyAlignment="1" pivotButton="0" quotePrefix="0" xfId="0">
      <alignment horizontal="right" vertical="bottom"/>
    </xf>
    <xf numFmtId="0" fontId="8" fillId="2" borderId="5" applyAlignment="1" pivotButton="0" quotePrefix="0" xfId="0">
      <alignment horizontal="center" vertical="bottom"/>
    </xf>
    <xf numFmtId="0" fontId="8" fillId="3" borderId="6" applyAlignment="1" pivotButton="0" quotePrefix="0" xfId="0">
      <alignment horizontal="left" vertical="bottom" wrapText="1"/>
    </xf>
    <xf numFmtId="165" fontId="9" fillId="0" borderId="7" applyAlignment="1" pivotButton="0" quotePrefix="0" xfId="15">
      <alignment horizontal="right" vertical="bottom"/>
    </xf>
    <xf numFmtId="0" fontId="6" fillId="0" borderId="7" applyAlignment="1" pivotButton="0" quotePrefix="0" xfId="0">
      <alignment horizontal="general" vertical="bottom"/>
    </xf>
    <xf numFmtId="0" fontId="6" fillId="0" borderId="8" applyAlignment="1" pivotButton="0" quotePrefix="0" xfId="0">
      <alignment horizontal="left" vertical="bottom" wrapText="1"/>
    </xf>
    <xf numFmtId="165" fontId="6" fillId="0" borderId="9" applyAlignment="1" pivotButton="0" quotePrefix="0" xfId="15">
      <alignment horizontal="center" vertical="bottom"/>
    </xf>
    <xf numFmtId="165" fontId="6" fillId="0" borderId="9" applyAlignment="1" pivotButton="0" quotePrefix="0" xfId="15">
      <alignment horizontal="general" vertical="bottom"/>
    </xf>
    <xf numFmtId="165" fontId="6" fillId="0" borderId="0" applyAlignment="1" pivotButton="0" quotePrefix="0" xfId="0">
      <alignment horizontal="general" vertical="bottom"/>
    </xf>
    <xf numFmtId="1" fontId="6" fillId="0" borderId="0" applyAlignment="1" pivotButton="0" quotePrefix="0" xfId="0">
      <alignment horizontal="general" vertical="bottom"/>
    </xf>
    <xf numFmtId="165" fontId="6" fillId="0" borderId="9" applyAlignment="1" pivotButton="0" quotePrefix="0" xfId="0">
      <alignment horizontal="general" vertical="bottom"/>
    </xf>
    <xf numFmtId="166" fontId="6" fillId="0" borderId="9" applyAlignment="1" pivotButton="0" quotePrefix="0" xfId="0">
      <alignment horizontal="general" vertical="bottom"/>
    </xf>
    <xf numFmtId="0" fontId="6" fillId="0" borderId="9" applyAlignment="1" pivotButton="0" quotePrefix="0" xfId="0">
      <alignment horizontal="general" vertical="bottom"/>
    </xf>
    <xf numFmtId="165" fontId="6" fillId="0" borderId="0" applyAlignment="1" pivotButton="0" quotePrefix="0" xfId="15">
      <alignment horizontal="general" vertical="bottom"/>
    </xf>
    <xf numFmtId="0" fontId="8" fillId="3" borderId="8" applyAlignment="1" pivotButton="0" quotePrefix="0" xfId="0">
      <alignment horizontal="left" vertical="bottom" wrapText="1"/>
    </xf>
    <xf numFmtId="165" fontId="9" fillId="0" borderId="9" applyAlignment="1" pivotButton="0" quotePrefix="0" xfId="15">
      <alignment horizontal="center" vertical="bottom"/>
    </xf>
    <xf numFmtId="167" fontId="6" fillId="0" borderId="0" applyAlignment="1" pivotButton="0" quotePrefix="0" xfId="0">
      <alignment horizontal="general" vertical="bottom"/>
    </xf>
    <xf numFmtId="0" fontId="10" fillId="0" borderId="8" applyAlignment="1" pivotButton="0" quotePrefix="0" xfId="0">
      <alignment horizontal="left" vertical="bottom" wrapText="1"/>
    </xf>
    <xf numFmtId="0" fontId="8" fillId="2" borderId="10" applyAlignment="1" pivotButton="0" quotePrefix="0" xfId="0">
      <alignment horizontal="left" vertical="bottom" wrapText="1"/>
    </xf>
    <xf numFmtId="0" fontId="8" fillId="2" borderId="11" applyAlignment="1" pivotButton="0" quotePrefix="0" xfId="0">
      <alignment horizontal="left" vertical="bottom"/>
    </xf>
    <xf numFmtId="0" fontId="8" fillId="3" borderId="8" applyAlignment="1" pivotButton="0" quotePrefix="0" xfId="0">
      <alignment horizontal="general" vertical="bottom" wrapText="1"/>
    </xf>
    <xf numFmtId="0" fontId="6" fillId="0" borderId="9" applyAlignment="1" pivotButton="0" quotePrefix="0" xfId="0">
      <alignment horizontal="center" vertical="bottom"/>
    </xf>
    <xf numFmtId="0" fontId="8" fillId="2" borderId="12" applyAlignment="1" pivotButton="0" quotePrefix="0" xfId="0">
      <alignment horizontal="center" vertical="bottom" wrapText="1"/>
    </xf>
    <xf numFmtId="0" fontId="8" fillId="2" borderId="13" applyAlignment="1" pivotButton="0" quotePrefix="0" xfId="0">
      <alignment horizontal="center" vertical="bottom"/>
    </xf>
    <xf numFmtId="0" fontId="9" fillId="0" borderId="7" applyAlignment="1" pivotButton="0" quotePrefix="0" xfId="0">
      <alignment horizontal="right" vertical="bottom"/>
    </xf>
    <xf numFmtId="0" fontId="9" fillId="0" borderId="7" applyAlignment="1" pivotButton="0" quotePrefix="0" xfId="0">
      <alignment horizontal="general" vertical="bottom"/>
    </xf>
    <xf numFmtId="0" fontId="6" fillId="0" borderId="9" applyAlignment="1" pivotButton="0" quotePrefix="0" xfId="0">
      <alignment horizontal="right" vertical="bottom"/>
    </xf>
    <xf numFmtId="0" fontId="12" fillId="0" borderId="9" applyAlignment="1" pivotButton="0" quotePrefix="0" xfId="0">
      <alignment horizontal="general" vertical="bottom"/>
    </xf>
    <xf numFmtId="0" fontId="0" fillId="0" borderId="0" applyAlignment="1" pivotButton="0" quotePrefix="0" xfId="0">
      <alignment horizontal="general" vertical="bottom" wrapText="1"/>
    </xf>
    <xf numFmtId="168"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4" applyAlignment="1" pivotButton="0" quotePrefix="0" xfId="0">
      <alignment horizontal="general" vertical="top" wrapText="1"/>
    </xf>
    <xf numFmtId="0" fontId="8" fillId="0" borderId="5" applyAlignment="1" pivotButton="0" quotePrefix="0" xfId="0">
      <alignment horizontal="general" vertical="top" wrapText="1"/>
    </xf>
    <xf numFmtId="168" fontId="8" fillId="0" borderId="5" applyAlignment="1" pivotButton="0" quotePrefix="0" xfId="0">
      <alignment horizontal="general" vertical="top" wrapText="1"/>
    </xf>
    <xf numFmtId="0" fontId="8" fillId="2" borderId="4" applyAlignment="1" pivotButton="0" quotePrefix="0" xfId="0">
      <alignment horizontal="center" vertical="bottom"/>
    </xf>
    <xf numFmtId="0" fontId="0" fillId="0" borderId="13" pivotButton="0" quotePrefix="0" xfId="0"/>
    <xf numFmtId="0" fontId="0" fillId="0" borderId="37" pivotButton="0" quotePrefix="0" xfId="0"/>
    <xf numFmtId="0" fontId="8" fillId="3" borderId="6" applyAlignment="1" pivotButton="0" quotePrefix="0" xfId="0">
      <alignment horizontal="left" vertical="bottom"/>
    </xf>
    <xf numFmtId="168" fontId="6" fillId="0" borderId="7" applyAlignment="1" pivotButton="0" quotePrefix="0" xfId="0">
      <alignment horizontal="general" vertical="bottom"/>
    </xf>
    <xf numFmtId="0" fontId="6" fillId="0" borderId="8" applyAlignment="1" pivotButton="0" quotePrefix="0" xfId="0">
      <alignment horizontal="left" vertical="bottom"/>
    </xf>
    <xf numFmtId="168" fontId="6" fillId="0" borderId="9" applyAlignment="1" pivotButton="0" quotePrefix="0" xfId="0">
      <alignment horizontal="general" vertical="bottom"/>
    </xf>
    <xf numFmtId="0" fontId="10" fillId="0" borderId="8" applyAlignment="1" pivotButton="0" quotePrefix="0" xfId="0">
      <alignment horizontal="left" vertical="bottom"/>
    </xf>
    <xf numFmtId="0" fontId="8" fillId="3" borderId="8" applyAlignment="1" pivotButton="0" quotePrefix="0" xfId="0">
      <alignment horizontal="left" vertical="bottom"/>
    </xf>
    <xf numFmtId="165" fontId="6" fillId="0" borderId="9" applyAlignment="1" pivotButton="0" quotePrefix="0" xfId="15">
      <alignment horizontal="right" vertical="bottom"/>
    </xf>
    <xf numFmtId="0" fontId="8" fillId="2" borderId="12" applyAlignment="1" pivotButton="0" quotePrefix="0" xfId="0">
      <alignment horizontal="center" vertical="bottom"/>
    </xf>
    <xf numFmtId="0" fontId="8" fillId="3" borderId="8" applyAlignment="1" pivotButton="0" quotePrefix="0" xfId="0">
      <alignment horizontal="general" vertical="bottom"/>
    </xf>
    <xf numFmtId="168" fontId="6" fillId="0" borderId="9" applyAlignment="1" pivotButton="0" quotePrefix="0" xfId="0">
      <alignment horizontal="center" vertical="bottom"/>
    </xf>
    <xf numFmtId="169" fontId="6" fillId="0" borderId="9" applyAlignment="1" pivotButton="0" quotePrefix="0" xfId="0">
      <alignment horizontal="general" vertical="bottom"/>
    </xf>
    <xf numFmtId="0" fontId="6" fillId="0" borderId="9" applyAlignment="1" pivotButton="0" quotePrefix="0" xfId="0">
      <alignment horizontal="left" vertical="bottom"/>
    </xf>
    <xf numFmtId="170" fontId="6" fillId="0" borderId="9" applyAlignment="1" pivotButton="0" quotePrefix="0" xfId="0">
      <alignment horizontal="general" vertical="bottom"/>
    </xf>
    <xf numFmtId="0" fontId="8" fillId="0" borderId="9" applyAlignment="1" pivotButton="0" quotePrefix="0" xfId="0">
      <alignment horizontal="left" vertical="bottom"/>
    </xf>
    <xf numFmtId="170" fontId="13" fillId="0" borderId="9" applyAlignment="1" pivotButton="0" quotePrefix="0" xfId="0">
      <alignment horizontal="general" vertical="bottom"/>
    </xf>
    <xf numFmtId="0" fontId="14" fillId="2" borderId="4" applyAlignment="1" pivotButton="0" quotePrefix="0" xfId="0">
      <alignment horizontal="center" vertical="bottom"/>
    </xf>
    <xf numFmtId="0" fontId="6" fillId="0" borderId="8" applyAlignment="1" pivotButton="0" quotePrefix="0" xfId="0">
      <alignment horizontal="left" vertical="bottom" indent="1"/>
    </xf>
    <xf numFmtId="1" fontId="6" fillId="0" borderId="9" applyAlignment="1" pivotButton="0" quotePrefix="0" xfId="0">
      <alignment horizontal="general" vertical="bottom"/>
    </xf>
    <xf numFmtId="0" fontId="10" fillId="0" borderId="8" applyAlignment="1" pivotButton="0" quotePrefix="0" xfId="0">
      <alignment horizontal="left" vertical="bottom" indent="1"/>
    </xf>
    <xf numFmtId="0" fontId="14" fillId="2" borderId="14" applyAlignment="1" pivotButton="0" quotePrefix="0" xfId="0">
      <alignment horizontal="center" vertical="bottom"/>
    </xf>
    <xf numFmtId="0" fontId="0" fillId="0" borderId="34" pivotButton="0" quotePrefix="0" xfId="0"/>
    <xf numFmtId="0" fontId="0" fillId="0" borderId="39" pivotButton="0" quotePrefix="0" xfId="0"/>
    <xf numFmtId="0" fontId="15" fillId="3" borderId="15" applyAlignment="1" pivotButton="0" quotePrefix="0" xfId="0">
      <alignment horizontal="left" vertical="bottom"/>
    </xf>
    <xf numFmtId="0" fontId="6" fillId="0" borderId="2" applyAlignment="1" pivotButton="0" quotePrefix="0" xfId="0">
      <alignment horizontal="general" vertical="bottom"/>
    </xf>
    <xf numFmtId="0" fontId="14" fillId="2" borderId="12" applyAlignment="1" pivotButton="0" quotePrefix="0" xfId="0">
      <alignment horizontal="center" vertical="bottom"/>
    </xf>
    <xf numFmtId="0" fontId="6" fillId="0" borderId="7" applyAlignment="1" pivotButton="0" quotePrefix="0" xfId="0">
      <alignment horizontal="center" vertical="bottom"/>
    </xf>
    <xf numFmtId="0" fontId="6" fillId="0" borderId="9" applyAlignment="1" pivotButton="0" quotePrefix="0" xfId="0">
      <alignment horizontal="left" vertical="bottom" indent="1"/>
    </xf>
    <xf numFmtId="0" fontId="6" fillId="0" borderId="3" applyAlignment="1" pivotButton="0" quotePrefix="0" xfId="0">
      <alignment horizontal="general" vertical="bottom"/>
    </xf>
    <xf numFmtId="1" fontId="9" fillId="0" borderId="7" applyAlignment="1" pivotButton="0" quotePrefix="0" xfId="0">
      <alignment horizontal="general" vertical="bottom"/>
    </xf>
    <xf numFmtId="0" fontId="9" fillId="0" borderId="9" applyAlignment="1" pivotButton="0" quotePrefix="0" xfId="0">
      <alignment horizontal="general" vertical="bottom"/>
    </xf>
    <xf numFmtId="0" fontId="8" fillId="2" borderId="14" applyAlignment="1" pivotButton="0" quotePrefix="0" xfId="0">
      <alignment horizontal="center" vertical="bottom"/>
    </xf>
    <xf numFmtId="0" fontId="9" fillId="0" borderId="2" applyAlignment="1" pivotButton="0" quotePrefix="0" xfId="0">
      <alignment horizontal="general" vertical="bottom"/>
    </xf>
    <xf numFmtId="0" fontId="9" fillId="0" borderId="9" applyAlignment="1" pivotButton="0" quotePrefix="0" xfId="0">
      <alignment horizontal="right" vertical="bottom"/>
    </xf>
    <xf numFmtId="0" fontId="6" fillId="0" borderId="7" applyAlignment="1" pivotButton="0" quotePrefix="0" xfId="0">
      <alignment horizontal="right" vertical="bottom"/>
    </xf>
    <xf numFmtId="3" fontId="6" fillId="0" borderId="9" applyAlignment="1" pivotButton="0" quotePrefix="0" xfId="0">
      <alignment horizontal="center" vertical="bottom"/>
    </xf>
    <xf numFmtId="1" fontId="6" fillId="0" borderId="9" applyAlignment="1" pivotButton="0" quotePrefix="0" xfId="0">
      <alignment horizontal="center" vertical="bottom"/>
    </xf>
    <xf numFmtId="0" fontId="8" fillId="3" borderId="16" applyAlignment="1" pivotButton="0" quotePrefix="0" xfId="0">
      <alignment horizontal="general" vertical="bottom"/>
    </xf>
    <xf numFmtId="0" fontId="6" fillId="0" borderId="16" applyAlignment="1" pivotButton="0" quotePrefix="0" xfId="0">
      <alignment horizontal="left" vertical="bottom" indent="1"/>
    </xf>
    <xf numFmtId="0" fontId="8" fillId="3" borderId="17" applyAlignment="1" pivotButton="0" quotePrefix="0" xfId="0">
      <alignment horizontal="general" vertical="bottom"/>
    </xf>
    <xf numFmtId="0" fontId="0" fillId="0" borderId="18" applyAlignment="1" pivotButton="0" quotePrefix="0" xfId="0">
      <alignment horizontal="general" vertical="bottom"/>
    </xf>
    <xf numFmtId="0" fontId="6" fillId="0" borderId="19" applyAlignment="1" pivotButton="0" quotePrefix="0" xfId="0">
      <alignment horizontal="left" vertical="bottom" indent="1"/>
    </xf>
    <xf numFmtId="3" fontId="6" fillId="0" borderId="9" applyAlignment="1" pivotButton="0" quotePrefix="0" xfId="0">
      <alignment horizontal="general" vertical="bottom"/>
    </xf>
    <xf numFmtId="0" fontId="8" fillId="0" borderId="20" applyAlignment="1" pivotButton="0" quotePrefix="0" xfId="0">
      <alignment horizontal="center" vertical="bottom" wrapText="1"/>
    </xf>
    <xf numFmtId="0" fontId="14" fillId="2" borderId="21" applyAlignment="1" pivotButton="0" quotePrefix="0" xfId="0">
      <alignment horizontal="center" vertical="bottom"/>
    </xf>
    <xf numFmtId="0" fontId="0" fillId="0" borderId="31" pivotButton="0" quotePrefix="0" xfId="0"/>
    <xf numFmtId="0" fontId="6" fillId="0" borderId="22" applyAlignment="1" pivotButton="0" quotePrefix="0" xfId="0">
      <alignment horizontal="general" vertical="bottom"/>
    </xf>
    <xf numFmtId="1" fontId="6" fillId="0" borderId="23" applyAlignment="1" pivotButton="0" quotePrefix="0" xfId="0">
      <alignment horizontal="general" vertical="bottom"/>
    </xf>
    <xf numFmtId="0" fontId="14" fillId="2" borderId="24" applyAlignment="1" pivotButton="0" quotePrefix="0" xfId="0">
      <alignment horizontal="center" vertical="bottom"/>
    </xf>
    <xf numFmtId="0" fontId="0" fillId="0" borderId="33" pivotButton="0" quotePrefix="0" xfId="0"/>
    <xf numFmtId="0" fontId="6" fillId="0" borderId="25" applyAlignment="1" pivotButton="0" quotePrefix="0" xfId="0">
      <alignment horizontal="general" vertical="bottom"/>
    </xf>
    <xf numFmtId="0" fontId="15" fillId="3" borderId="8" applyAlignment="1" pivotButton="0" quotePrefix="0" xfId="0">
      <alignment horizontal="left" vertical="bottom"/>
    </xf>
    <xf numFmtId="0" fontId="6" fillId="0" borderId="23" applyAlignment="1" pivotButton="0" quotePrefix="0" xfId="0">
      <alignment horizontal="general" vertical="bottom"/>
    </xf>
    <xf numFmtId="171" fontId="6" fillId="0" borderId="9" applyAlignment="1" pivotButton="0" quotePrefix="0" xfId="19">
      <alignment horizontal="general" vertical="bottom"/>
    </xf>
    <xf numFmtId="171" fontId="6" fillId="0" borderId="23" applyAlignment="1" pivotButton="0" quotePrefix="0" xfId="19">
      <alignment horizontal="general" vertical="bottom"/>
    </xf>
    <xf numFmtId="0" fontId="6" fillId="0" borderId="23" applyAlignment="1" pivotButton="0" quotePrefix="0" xfId="0">
      <alignment horizontal="center" vertical="bottom"/>
    </xf>
    <xf numFmtId="1" fontId="6" fillId="0" borderId="9" applyAlignment="1" pivotButton="0" quotePrefix="0" xfId="0">
      <alignment horizontal="right" vertical="bottom"/>
    </xf>
    <xf numFmtId="1" fontId="6" fillId="0" borderId="9" applyAlignment="1" pivotButton="0" quotePrefix="0" xfId="0">
      <alignment horizontal="general" vertical="bottom" wrapText="1"/>
    </xf>
    <xf numFmtId="0" fontId="8" fillId="2" borderId="26" applyAlignment="1" pivotButton="0" quotePrefix="0" xfId="0">
      <alignment horizontal="center" vertical="bottom"/>
    </xf>
    <xf numFmtId="0" fontId="0" fillId="0" borderId="11" pivotButton="0" quotePrefix="0" xfId="0"/>
    <xf numFmtId="0" fontId="0" fillId="0" borderId="40" pivotButton="0" quotePrefix="0" xfId="0"/>
    <xf numFmtId="0" fontId="6" fillId="0" borderId="27" applyAlignment="1" pivotButton="0" quotePrefix="0" xfId="0">
      <alignment horizontal="general" vertical="bottom"/>
    </xf>
    <xf numFmtId="0" fontId="6" fillId="0" borderId="28" applyAlignment="1" pivotButton="0" quotePrefix="0" xfId="0">
      <alignment horizontal="left" vertical="bottom" indent="1"/>
    </xf>
    <xf numFmtId="0" fontId="6" fillId="0" borderId="29" applyAlignment="1" pivotButton="0" quotePrefix="0" xfId="0">
      <alignment horizontal="general" vertical="bottom"/>
    </xf>
    <xf numFmtId="0" fontId="6" fillId="0" borderId="30" applyAlignment="1" pivotButton="0" quotePrefix="0" xfId="0">
      <alignment horizontal="general" vertical="bottom"/>
    </xf>
    <xf numFmtId="1" fontId="17"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10" applyAlignment="1" pivotButton="0" quotePrefix="0" xfId="0">
      <alignment horizontal="center" vertical="center" shrinkToFit="1"/>
    </xf>
    <xf numFmtId="0" fontId="0" fillId="0" borderId="26" applyAlignment="1" pivotButton="0" quotePrefix="0" xfId="0">
      <alignment horizontal="center" vertical="center" shrinkToFit="1"/>
    </xf>
    <xf numFmtId="1" fontId="17" fillId="0" borderId="26" applyAlignment="1" pivotButton="0" quotePrefix="0" xfId="15">
      <alignment horizontal="center" vertical="center" shrinkToFit="1"/>
    </xf>
    <xf numFmtId="0" fontId="0" fillId="0" borderId="21" applyAlignment="1" pivotButton="0" quotePrefix="0" xfId="0">
      <alignment horizontal="center" vertical="center" shrinkToFit="1"/>
    </xf>
    <xf numFmtId="0" fontId="0" fillId="0" borderId="31" applyAlignment="1" pivotButton="0" quotePrefix="0" xfId="0">
      <alignment horizontal="center" vertical="center" shrinkToFit="1"/>
    </xf>
    <xf numFmtId="0" fontId="0" fillId="0" borderId="32" pivotButton="0" quotePrefix="0" xfId="0"/>
    <xf numFmtId="0" fontId="0" fillId="0" borderId="24" pivotButton="0" quotePrefix="0" xfId="0"/>
    <xf numFmtId="0" fontId="17" fillId="0" borderId="32" applyAlignment="1" pivotButton="0" quotePrefix="0" xfId="0">
      <alignment horizontal="center" vertical="bottom"/>
    </xf>
    <xf numFmtId="0" fontId="17" fillId="0" borderId="33" applyAlignment="1" pivotButton="0" quotePrefix="0" xfId="0">
      <alignment horizontal="center" vertical="bottom"/>
    </xf>
    <xf numFmtId="0" fontId="17" fillId="0" borderId="34" applyAlignment="1" pivotButton="0" quotePrefix="0" xfId="0">
      <alignment horizontal="center" vertical="bottom"/>
    </xf>
    <xf numFmtId="0" fontId="19" fillId="0" borderId="12" applyAlignment="1" pivotButton="0" quotePrefix="0" xfId="0">
      <alignment horizontal="general" vertical="bottom"/>
    </xf>
    <xf numFmtId="0" fontId="17" fillId="4" borderId="21" applyAlignment="1" pivotButton="0" quotePrefix="0" xfId="0">
      <alignment horizontal="center" vertical="bottom"/>
    </xf>
    <xf numFmtId="1" fontId="17" fillId="4" borderId="21" applyAlignment="1" pivotButton="0" quotePrefix="0" xfId="15">
      <alignment horizontal="general" vertical="bottom"/>
    </xf>
    <xf numFmtId="0" fontId="0" fillId="4" borderId="12" applyAlignment="1" pivotButton="0" quotePrefix="0" xfId="0">
      <alignment horizontal="general" vertical="bottom"/>
    </xf>
    <xf numFmtId="0" fontId="0" fillId="4" borderId="31" applyAlignment="1" pivotButton="0" quotePrefix="0" xfId="0">
      <alignment horizontal="general" vertical="bottom"/>
    </xf>
    <xf numFmtId="0" fontId="0" fillId="4" borderId="13" applyAlignment="1" pivotButton="0" quotePrefix="0" xfId="0">
      <alignment horizontal="general" vertical="bottom"/>
    </xf>
    <xf numFmtId="0" fontId="20" fillId="0" borderId="19" applyAlignment="1" pivotButton="0" quotePrefix="0" xfId="0">
      <alignment horizontal="right" vertical="bottom"/>
    </xf>
    <xf numFmtId="0" fontId="0" fillId="0" borderId="35" applyAlignment="1" pivotButton="0" quotePrefix="0" xfId="0">
      <alignment horizontal="general" vertical="bottom"/>
    </xf>
    <xf numFmtId="1" fontId="17" fillId="0" borderId="35" applyAlignment="1" pivotButton="0" quotePrefix="0" xfId="15">
      <alignment horizontal="general" vertical="bottom"/>
    </xf>
    <xf numFmtId="0" fontId="0" fillId="0" borderId="19" applyAlignment="1" pivotButton="0" quotePrefix="0" xfId="0">
      <alignment horizontal="general" vertical="bottom"/>
    </xf>
    <xf numFmtId="0" fontId="0" fillId="0" borderId="36" applyAlignment="1" pivotButton="0" quotePrefix="0" xfId="0">
      <alignment horizontal="general" vertical="bottom"/>
    </xf>
    <xf numFmtId="0" fontId="20" fillId="0" borderId="32" applyAlignment="1" pivotButton="0" quotePrefix="0" xfId="0">
      <alignment horizontal="right" vertical="bottom"/>
    </xf>
    <xf numFmtId="0" fontId="0" fillId="0" borderId="24" applyAlignment="1" pivotButton="0" quotePrefix="0" xfId="0">
      <alignment horizontal="right" vertical="bottom"/>
    </xf>
    <xf numFmtId="1" fontId="17" fillId="0" borderId="24" applyAlignment="1" pivotButton="0" quotePrefix="0" xfId="15">
      <alignment horizontal="right" vertical="bottom"/>
    </xf>
    <xf numFmtId="0" fontId="17" fillId="0" borderId="32" applyAlignment="1" pivotButton="0" quotePrefix="0" xfId="0">
      <alignment horizontal="right" vertical="bottom"/>
    </xf>
    <xf numFmtId="0" fontId="17" fillId="0" borderId="33" applyAlignment="1" pivotButton="0" quotePrefix="0" xfId="0">
      <alignment horizontal="general" vertical="bottom"/>
    </xf>
    <xf numFmtId="0" fontId="17" fillId="0" borderId="34" applyAlignment="1" pivotButton="0" quotePrefix="0" xfId="0">
      <alignment horizontal="general" vertical="bottom"/>
    </xf>
    <xf numFmtId="0" fontId="17" fillId="0" borderId="32" applyAlignment="1" pivotButton="0" quotePrefix="0" xfId="0">
      <alignment horizontal="general" vertical="bottom"/>
    </xf>
    <xf numFmtId="0" fontId="19" fillId="4" borderId="21" applyAlignment="1" pivotButton="0" quotePrefix="0" xfId="0">
      <alignment horizontal="general" vertical="bottom"/>
    </xf>
    <xf numFmtId="0" fontId="17" fillId="4" borderId="12" applyAlignment="1" pivotButton="0" quotePrefix="0" xfId="0">
      <alignment horizontal="general" vertical="bottom"/>
    </xf>
    <xf numFmtId="0" fontId="17" fillId="4" borderId="31" applyAlignment="1" pivotButton="0" quotePrefix="0" xfId="0">
      <alignment horizontal="general" vertical="bottom"/>
    </xf>
    <xf numFmtId="1" fontId="17" fillId="0" borderId="35" applyAlignment="1" pivotButton="0" quotePrefix="0" xfId="15">
      <alignment horizontal="right" vertical="bottom"/>
    </xf>
    <xf numFmtId="0" fontId="0" fillId="0" borderId="36" applyAlignment="1" pivotButton="0" quotePrefix="0" xfId="0">
      <alignment horizontal="general" vertical="bottom" shrinkToFit="1"/>
    </xf>
    <xf numFmtId="0" fontId="0" fillId="0" borderId="35" applyAlignment="1" pivotButton="0" quotePrefix="0" xfId="0">
      <alignment horizontal="center" vertical="bottom"/>
    </xf>
    <xf numFmtId="0" fontId="0" fillId="0" borderId="36" pivotButton="0" quotePrefix="0" xfId="0"/>
    <xf numFmtId="0" fontId="0" fillId="0" borderId="24" applyAlignment="1" pivotButton="0" quotePrefix="0" xfId="0">
      <alignment horizontal="general" vertical="bottom"/>
    </xf>
    <xf numFmtId="1" fontId="17" fillId="0" borderId="24" applyAlignment="1" pivotButton="0" quotePrefix="0" xfId="15">
      <alignment horizontal="general" vertical="bottom"/>
    </xf>
    <xf numFmtId="0" fontId="19" fillId="0" borderId="33" applyAlignment="1" pivotButton="0" quotePrefix="0" xfId="0">
      <alignment horizontal="general" vertical="bottom"/>
    </xf>
    <xf numFmtId="0" fontId="17" fillId="0" borderId="33" applyAlignment="1" pivotButton="0" quotePrefix="0" xfId="0">
      <alignment horizontal="general" vertical="bottom" shrinkToFit="1"/>
    </xf>
    <xf numFmtId="49" fontId="0" fillId="0" borderId="19" applyAlignment="1" pivotButton="0" quotePrefix="0" xfId="0">
      <alignment horizontal="right" vertical="bottom"/>
    </xf>
    <xf numFmtId="49" fontId="0" fillId="0" borderId="36" applyAlignment="1" pivotButton="0" quotePrefix="0" xfId="0">
      <alignment horizontal="right" vertical="bottom"/>
    </xf>
    <xf numFmtId="172" fontId="0" fillId="0" borderId="19" applyAlignment="1" pivotButton="0" quotePrefix="0" xfId="0">
      <alignment horizontal="right" vertical="bottom"/>
    </xf>
    <xf numFmtId="0" fontId="0" fillId="0" borderId="36" applyAlignment="1" pivotButton="0" quotePrefix="0" xfId="0">
      <alignment horizontal="right" vertical="bottom"/>
    </xf>
    <xf numFmtId="0" fontId="0" fillId="0" borderId="35" applyAlignment="1" pivotButton="0" quotePrefix="0" xfId="0">
      <alignment horizontal="right" vertical="bottom"/>
    </xf>
    <xf numFmtId="0" fontId="0" fillId="0" borderId="19" applyAlignment="1" pivotButton="0" quotePrefix="0" xfId="0">
      <alignment horizontal="right" vertical="bottom"/>
    </xf>
    <xf numFmtId="49" fontId="17" fillId="0" borderId="32" applyAlignment="1" pivotButton="0" quotePrefix="0" xfId="0">
      <alignment horizontal="right" vertical="bottom"/>
    </xf>
    <xf numFmtId="49" fontId="17" fillId="0" borderId="33" applyAlignment="1" pivotButton="0" quotePrefix="0" xfId="0">
      <alignment horizontal="right" vertical="bottom"/>
    </xf>
    <xf numFmtId="0" fontId="0" fillId="0" borderId="24" applyAlignment="1" pivotButton="0" quotePrefix="0" xfId="0">
      <alignment horizontal="general" vertical="bottom" shrinkToFit="1"/>
    </xf>
    <xf numFmtId="1" fontId="17" fillId="0" borderId="24" applyAlignment="1" pivotButton="0" quotePrefix="0" xfId="15">
      <alignment horizontal="general" vertical="bottom" shrinkToFit="1"/>
    </xf>
    <xf numFmtId="0" fontId="0" fillId="0" borderId="32" applyAlignment="1" pivotButton="0" quotePrefix="0" xfId="0">
      <alignment horizontal="general" vertical="bottom" shrinkToFit="1"/>
    </xf>
    <xf numFmtId="0" fontId="0" fillId="0" borderId="33" applyAlignment="1" pivotButton="0" quotePrefix="0" xfId="0">
      <alignment horizontal="general" vertical="bottom" shrinkToFit="1"/>
    </xf>
    <xf numFmtId="0" fontId="0" fillId="0" borderId="34" applyAlignment="1" pivotButton="0" quotePrefix="0" xfId="0">
      <alignment horizontal="general" vertical="bottom" shrinkToFit="1"/>
    </xf>
    <xf numFmtId="0" fontId="0" fillId="4" borderId="21" applyAlignment="1" pivotButton="0" quotePrefix="0" xfId="0">
      <alignment horizontal="general" vertical="bottom"/>
    </xf>
    <xf numFmtId="0" fontId="0" fillId="0" borderId="32" applyAlignment="1" pivotButton="0" quotePrefix="0" xfId="0">
      <alignment horizontal="general" vertical="bottom"/>
    </xf>
    <xf numFmtId="0" fontId="0" fillId="0" borderId="33" applyAlignment="1" pivotButton="0" quotePrefix="0" xfId="0">
      <alignment horizontal="general" vertical="bottom"/>
    </xf>
    <xf numFmtId="0" fontId="0" fillId="0" borderId="34" applyAlignment="1" pivotButton="0" quotePrefix="0" xfId="0">
      <alignment horizontal="general" vertical="bottom"/>
    </xf>
    <xf numFmtId="0" fontId="19" fillId="0" borderId="19" applyAlignment="1" pivotButton="0" quotePrefix="0" xfId="0">
      <alignment horizontal="general" vertical="bottom"/>
    </xf>
    <xf numFmtId="0" fontId="0" fillId="4" borderId="35" applyAlignment="1" pivotButton="0" quotePrefix="0" xfId="0">
      <alignment horizontal="general" vertical="bottom"/>
    </xf>
    <xf numFmtId="1" fontId="17" fillId="4" borderId="35" applyAlignment="1" pivotButton="0" quotePrefix="0" xfId="15">
      <alignment horizontal="general" vertical="bottom"/>
    </xf>
    <xf numFmtId="0" fontId="0" fillId="4" borderId="19" applyAlignment="1" pivotButton="0" quotePrefix="0" xfId="0">
      <alignment horizontal="general" vertical="bottom"/>
    </xf>
    <xf numFmtId="0" fontId="0" fillId="4" borderId="36" applyAlignment="1" pivotButton="0" quotePrefix="0" xfId="0">
      <alignment horizontal="general" vertical="bottom"/>
    </xf>
    <xf numFmtId="0" fontId="0" fillId="4" borderId="0" applyAlignment="1" pivotButton="0" quotePrefix="0" xfId="0">
      <alignment horizontal="general" vertical="bottom"/>
    </xf>
    <xf numFmtId="173" fontId="17" fillId="0" borderId="35" applyAlignment="1" pivotButton="0" quotePrefix="0" xfId="15">
      <alignment horizontal="right" vertical="bottom"/>
    </xf>
    <xf numFmtId="9" fontId="0" fillId="0" borderId="35" applyAlignment="1" pivotButton="0" quotePrefix="0" xfId="0">
      <alignment horizontal="general" vertical="bottom"/>
    </xf>
    <xf numFmtId="9" fontId="17" fillId="0" borderId="35" applyAlignment="1" pivotButton="0" quotePrefix="0" xfId="19">
      <alignment horizontal="right" vertical="bottom"/>
    </xf>
    <xf numFmtId="9" fontId="0" fillId="0" borderId="35" applyAlignment="1" pivotButton="0" quotePrefix="0" xfId="0">
      <alignment horizontal="center" vertical="bottom"/>
    </xf>
    <xf numFmtId="0" fontId="20" fillId="0" borderId="0" applyAlignment="1" pivotButton="0" quotePrefix="0" xfId="0">
      <alignment horizontal="right" vertical="bottom"/>
    </xf>
    <xf numFmtId="1" fontId="17" fillId="0" borderId="0" applyAlignment="1" pivotButton="0" quotePrefix="0" xfId="15">
      <alignment horizontal="right"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 name="Normal_RFP8 Attachment 4-A Supplier Pricing Forms"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121.85" customWidth="1" style="206" min="2" max="2"/>
  </cols>
  <sheetData>
    <row r="1" ht="72" customHeight="1" s="207"/>
    <row r="2" ht="21.75" customHeight="1" s="207">
      <c r="B2" s="208" t="inlineStr">
        <is>
          <t>GlobalPharma AG</t>
        </is>
      </c>
    </row>
    <row r="3" ht="20.25" customHeight="1" s="207">
      <c r="B3" s="208" t="n"/>
    </row>
    <row r="4" ht="45" customHeight="1" s="207">
      <c r="B4" s="208" t="n"/>
    </row>
    <row r="5" ht="20.25" customHeight="1" s="207">
      <c r="B5" s="209" t="inlineStr">
        <is>
          <t>ATTACHMENT 4-D 1</t>
        </is>
      </c>
    </row>
    <row r="6" ht="20.25" customHeight="1" s="207">
      <c r="B6" s="208" t="n"/>
    </row>
    <row r="7" ht="20.25" customHeight="1" s="207">
      <c r="B7" s="209" t="inlineStr">
        <is>
          <t>Volumetrics</t>
        </is>
      </c>
    </row>
    <row r="8" ht="20.25" customHeight="1" s="207">
      <c r="B8" s="209" t="inlineStr">
        <is>
          <t>Attachment to Exhibit 4 (Pricing and Financial Provisions)</t>
        </is>
      </c>
    </row>
    <row r="9" ht="20.25" customHeight="1" s="207">
      <c r="B9" s="208" t="n"/>
    </row>
    <row r="10" ht="20.25" customHeight="1" s="207">
      <c r="B10" s="210" t="n"/>
    </row>
    <row r="11" ht="46.5" customHeight="1" s="207">
      <c r="B11" s="208" t="n"/>
    </row>
    <row r="12" ht="0.75" customHeight="1" s="207">
      <c r="B12" s="208" t="n"/>
    </row>
    <row r="13" ht="15" customHeight="1" s="207">
      <c r="B13" s="211" t="n"/>
    </row>
    <row r="14" ht="45" customHeight="1" s="207">
      <c r="B14" s="212"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5" ht="56.25" customHeight="1" s="207">
      <c r="B15" s="213" t="n"/>
    </row>
    <row r="16" ht="27.75" customHeight="1" s="207">
      <c r="B16" s="214"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397"/>
  <sheetViews>
    <sheetView showFormulas="0" showGridLines="1" showRowColHeaders="1" showZeros="1" rightToLeft="0" tabSelected="1" showOutlineSymbols="1" defaultGridColor="1" view="normal" topLeftCell="B1" colorId="64" zoomScale="75" zoomScaleNormal="75" zoomScalePageLayoutView="100" workbookViewId="0">
      <selection pane="topLeft" activeCell="M14" activeCellId="0" sqref="M14"/>
    </sheetView>
  </sheetViews>
  <sheetFormatPr baseColWidth="8" defaultColWidth="9.13671875" defaultRowHeight="12.75" customHeight="1" zeroHeight="0" outlineLevelRow="0"/>
  <cols>
    <col width="74.84" customWidth="1" style="215" min="1" max="1"/>
    <col width="13.7" customWidth="1" style="216" min="2" max="2"/>
    <col width="13.7" customWidth="1" style="217" min="3" max="9"/>
    <col width="9.140000000000001" customWidth="1" style="217" min="10" max="12"/>
    <col width="12.85" customWidth="1" style="217" min="13" max="13"/>
    <col width="9.140000000000001" customWidth="1" style="217" min="14" max="257"/>
  </cols>
  <sheetData>
    <row r="1" ht="19.5" customHeight="1" s="207">
      <c r="A1" s="218" t="inlineStr">
        <is>
          <t>Switzerland</t>
        </is>
      </c>
    </row>
    <row r="2" ht="27" customHeight="1" s="207">
      <c r="A2" s="219" t="inlineStr">
        <is>
          <t>Description</t>
        </is>
      </c>
      <c r="B2" s="220" t="inlineStr">
        <is>
          <t>Base Year Monthly Avg.</t>
        </is>
      </c>
      <c r="C2" s="221" t="inlineStr">
        <is>
          <t>Year 1 Monthly Avg.</t>
        </is>
      </c>
      <c r="D2" s="221" t="inlineStr">
        <is>
          <t>Year 2 Monthly Avg.</t>
        </is>
      </c>
      <c r="E2" s="221" t="inlineStr">
        <is>
          <t>Year 3 Monthly Avg.</t>
        </is>
      </c>
      <c r="F2" s="221" t="inlineStr">
        <is>
          <t>Year 4 Monthly Avg.</t>
        </is>
      </c>
      <c r="G2" s="221" t="inlineStr">
        <is>
          <t>Year 5 Monthly Avg.</t>
        </is>
      </c>
      <c r="H2" s="221" t="inlineStr">
        <is>
          <t>Year 6 Monthly Avg.</t>
        </is>
      </c>
      <c r="I2" s="221" t="inlineStr">
        <is>
          <t>Year 7 Monthly Avg.</t>
        </is>
      </c>
    </row>
    <row r="3" ht="13.5" customHeight="1" s="207">
      <c r="A3" s="222" t="inlineStr">
        <is>
          <t>Accounts Payable</t>
        </is>
      </c>
      <c r="B3" s="223" t="n"/>
      <c r="C3" s="224" t="n"/>
      <c r="D3" s="224" t="n"/>
      <c r="E3" s="224" t="n"/>
      <c r="F3" s="224" t="n"/>
      <c r="G3" s="224" t="n"/>
      <c r="H3" s="224" t="n"/>
      <c r="I3" s="224" t="n"/>
    </row>
    <row r="4" ht="12.75" customHeight="1" s="207">
      <c r="A4" s="225" t="inlineStr">
        <is>
          <t>Invoice Processing</t>
        </is>
      </c>
      <c r="B4" s="226">
        <f>SUM(B5:B13)</f>
        <v/>
      </c>
      <c r="C4" s="227" t="n"/>
      <c r="D4" s="227" t="n"/>
      <c r="E4" s="227" t="n"/>
      <c r="F4" s="227" t="n"/>
      <c r="G4" s="227" t="n"/>
      <c r="H4" s="227" t="n"/>
      <c r="I4" s="227" t="n"/>
      <c r="K4" s="217" t="inlineStr">
        <is>
          <t>Invoices</t>
        </is>
      </c>
      <c r="L4" s="217" t="inlineStr">
        <is>
          <t>FTE</t>
        </is>
      </c>
      <c r="M4" s="217" t="inlineStr">
        <is>
          <t>BC</t>
        </is>
      </c>
    </row>
    <row r="5" ht="12.75" customHeight="1" s="207">
      <c r="A5" s="228" t="inlineStr">
        <is>
          <t>Manual Invoices - Purchase Order</t>
        </is>
      </c>
      <c r="B5" s="229">
        <f>15400+600</f>
        <v/>
      </c>
      <c r="C5" s="230" t="n">
        <v>15600</v>
      </c>
      <c r="D5" s="230" t="n">
        <v>15600</v>
      </c>
      <c r="E5" s="230" t="n">
        <v>15600</v>
      </c>
      <c r="F5" s="230" t="n">
        <v>15500</v>
      </c>
      <c r="G5" s="230" t="n">
        <v>15500</v>
      </c>
      <c r="H5" s="230" t="n">
        <v>15500</v>
      </c>
      <c r="I5" s="230" t="n">
        <v>15500</v>
      </c>
      <c r="K5" s="231">
        <f>SUM(I5:I13)</f>
        <v/>
      </c>
    </row>
    <row r="6" ht="12.75" customHeight="1" s="207">
      <c r="A6" s="228" t="inlineStr">
        <is>
          <t>Manual Invoices - Non-Purchase Order</t>
        </is>
      </c>
      <c r="B6" s="229">
        <f>3700+100</f>
        <v/>
      </c>
      <c r="C6" s="230" t="n">
        <v>3900</v>
      </c>
      <c r="D6" s="230" t="n">
        <v>4000</v>
      </c>
      <c r="E6" s="230" t="n">
        <v>4100</v>
      </c>
      <c r="F6" s="230" t="n">
        <v>4200</v>
      </c>
      <c r="G6" s="230" t="n">
        <v>4300</v>
      </c>
      <c r="H6" s="230" t="n">
        <v>4300</v>
      </c>
      <c r="I6" s="230" t="n">
        <v>4300</v>
      </c>
      <c r="K6" s="217">
        <f>SUM(USA!I11)</f>
        <v/>
      </c>
    </row>
    <row r="7" ht="12.75" customHeight="1" s="207">
      <c r="A7" s="228" t="inlineStr">
        <is>
          <t>Electronic Invoices - Purchase Order</t>
        </is>
      </c>
      <c r="B7" s="229">
        <f>3600+600</f>
        <v/>
      </c>
      <c r="C7" s="230" t="n">
        <v>5200</v>
      </c>
      <c r="D7" s="230" t="n">
        <v>5600</v>
      </c>
      <c r="E7" s="230" t="n">
        <v>6000</v>
      </c>
      <c r="F7" s="230" t="n">
        <v>6500</v>
      </c>
      <c r="G7" s="230" t="n">
        <v>7000</v>
      </c>
      <c r="H7" s="230" t="n">
        <v>7000</v>
      </c>
      <c r="I7" s="230" t="n">
        <v>7000</v>
      </c>
      <c r="K7" s="232">
        <f>SUM(France!I5:I8)</f>
        <v/>
      </c>
    </row>
    <row r="8" ht="12.75" customHeight="1" s="207">
      <c r="A8" s="228" t="inlineStr">
        <is>
          <t>Electronic Invoices - BATCH INPUT PROCESS</t>
        </is>
      </c>
      <c r="B8" s="229" t="n">
        <v>25</v>
      </c>
      <c r="C8" s="233" t="n">
        <v>25</v>
      </c>
      <c r="D8" s="233" t="n">
        <v>25</v>
      </c>
      <c r="E8" s="234" t="n">
        <v>25</v>
      </c>
      <c r="F8" s="234" t="n">
        <v>25</v>
      </c>
      <c r="G8" s="234" t="n">
        <v>25</v>
      </c>
      <c r="H8" s="234" t="n">
        <v>25</v>
      </c>
      <c r="I8" s="234" t="n">
        <v>25</v>
      </c>
      <c r="K8" s="232">
        <f>SUM(Germany!I5:I14)</f>
        <v/>
      </c>
    </row>
    <row r="9" ht="12.75" customHeight="1" s="207">
      <c r="A9" s="228" t="inlineStr">
        <is>
          <t>Pre-booking</t>
        </is>
      </c>
      <c r="B9" s="229" t="n">
        <v>670</v>
      </c>
      <c r="C9" s="233" t="n">
        <v>680</v>
      </c>
      <c r="D9" s="234" t="n">
        <v>690</v>
      </c>
      <c r="E9" s="235" t="n">
        <v>700</v>
      </c>
      <c r="F9" s="235" t="n">
        <v>710</v>
      </c>
      <c r="G9" s="235" t="n">
        <v>720</v>
      </c>
      <c r="H9" s="235" t="n">
        <v>720</v>
      </c>
      <c r="I9" s="235" t="n">
        <v>720</v>
      </c>
      <c r="K9" s="232">
        <f>SUM(Italy!I5:I9)</f>
        <v/>
      </c>
    </row>
    <row r="10" ht="12.75" customHeight="1" s="207">
      <c r="A10" s="228" t="inlineStr">
        <is>
          <t>Internal manual postings ( adjustments, corrections, etc...)</t>
        </is>
      </c>
      <c r="B10" s="229" t="n">
        <v>500</v>
      </c>
      <c r="C10" s="235" t="n">
        <v>510</v>
      </c>
      <c r="D10" s="235" t="n">
        <v>520</v>
      </c>
      <c r="E10" s="235" t="n">
        <v>530</v>
      </c>
      <c r="F10" s="235" t="n">
        <v>540</v>
      </c>
      <c r="G10" s="235" t="n">
        <v>550</v>
      </c>
      <c r="H10" s="235" t="n">
        <v>550</v>
      </c>
      <c r="I10" s="235" t="n">
        <v>550</v>
      </c>
      <c r="K10" s="217">
        <f>SUM(Spain!I5:I9)</f>
        <v/>
      </c>
    </row>
    <row r="11" ht="25.5" customHeight="1" s="207">
      <c r="A11" s="228" t="inlineStr">
        <is>
          <t>Follow up activities for blooked invoices ( no.of pending blooked inv./month) initial pendings  / Quantity 3700 = 19 % / Price 750  = 3,8 %</t>
        </is>
      </c>
      <c r="B11" s="229" t="n">
        <v>1700</v>
      </c>
      <c r="C11" s="235" t="n">
        <v>1700</v>
      </c>
      <c r="D11" s="235" t="n">
        <v>1700</v>
      </c>
      <c r="E11" s="235" t="n">
        <v>1700</v>
      </c>
      <c r="F11" s="235" t="n">
        <v>1700</v>
      </c>
      <c r="G11" s="235" t="n">
        <v>1700</v>
      </c>
      <c r="H11" s="235" t="n">
        <v>1700</v>
      </c>
      <c r="I11" s="235" t="n">
        <v>1700</v>
      </c>
      <c r="K11" s="232">
        <f>SUM(UK!I5:I7)</f>
        <v/>
      </c>
    </row>
    <row r="12" ht="12.75" customHeight="1" s="207">
      <c r="A12" s="228" t="inlineStr">
        <is>
          <t>Electronic Invoices - Non-Purchase Order</t>
        </is>
      </c>
      <c r="B12" s="229" t="n"/>
      <c r="C12" s="235" t="n"/>
      <c r="D12" s="235" t="n"/>
      <c r="E12" s="235" t="n"/>
      <c r="F12" s="235" t="n"/>
      <c r="G12" s="235" t="n"/>
      <c r="H12" s="235" t="n"/>
      <c r="I12" s="235" t="n"/>
      <c r="K12" s="217" t="n">
        <v>48600</v>
      </c>
      <c r="L12" s="217" t="n">
        <v>44</v>
      </c>
      <c r="M12" s="236" t="n">
        <v>2020058</v>
      </c>
    </row>
    <row r="13" ht="12.75" customHeight="1" s="207">
      <c r="A13" s="228" t="inlineStr">
        <is>
          <t>Consolidated Invoices</t>
        </is>
      </c>
      <c r="B13" s="229" t="n">
        <v>3</v>
      </c>
      <c r="C13" s="235" t="n">
        <v>3</v>
      </c>
      <c r="D13" s="235" t="n">
        <v>3</v>
      </c>
      <c r="E13" s="235" t="n">
        <v>3</v>
      </c>
      <c r="F13" s="235" t="n">
        <v>3</v>
      </c>
      <c r="G13" s="235" t="n">
        <v>3</v>
      </c>
      <c r="H13" s="235" t="n">
        <v>3</v>
      </c>
      <c r="I13" s="235" t="n">
        <v>3</v>
      </c>
      <c r="K13" s="231">
        <f>SUM(K5:K12)</f>
        <v/>
      </c>
    </row>
    <row r="14" ht="12.75" customHeight="1" s="207">
      <c r="A14" s="237" t="inlineStr">
        <is>
          <t>Payments (Check Printing and Disbursement)</t>
        </is>
      </c>
      <c r="B14" s="238">
        <f>SUM(B15:B18)</f>
        <v/>
      </c>
      <c r="C14" s="235" t="n"/>
      <c r="D14" s="235" t="n"/>
      <c r="E14" s="235" t="n"/>
      <c r="F14" s="235" t="n"/>
      <c r="G14" s="235" t="n"/>
      <c r="H14" s="235" t="n"/>
      <c r="I14" s="235" t="n"/>
      <c r="K14" s="217" t="inlineStr">
        <is>
          <t>cost per Invoice</t>
        </is>
      </c>
      <c r="M14" s="239">
        <f>+M12/K13</f>
        <v/>
      </c>
      <c r="N14" s="217" t="inlineStr">
        <is>
          <t>Final Yr</t>
        </is>
      </c>
    </row>
    <row r="15" ht="12.75" customHeight="1" s="207">
      <c r="A15" s="228" t="inlineStr">
        <is>
          <t>Payments - Normal Handling</t>
        </is>
      </c>
      <c r="B15" s="229" t="n">
        <v>10800</v>
      </c>
      <c r="C15" s="230" t="n">
        <v>11050</v>
      </c>
      <c r="D15" s="235" t="n">
        <v>11300</v>
      </c>
      <c r="E15" s="235" t="n">
        <v>11550</v>
      </c>
      <c r="F15" s="235" t="n">
        <v>11800</v>
      </c>
      <c r="G15" s="235" t="n">
        <v>12000</v>
      </c>
      <c r="H15" s="235" t="n">
        <v>12000</v>
      </c>
      <c r="I15" s="235" t="n">
        <v>12000</v>
      </c>
      <c r="K15" s="217" t="inlineStr">
        <is>
          <t>inv. Processed per FTE</t>
        </is>
      </c>
      <c r="M15" s="217">
        <f>(+K13/220)/44</f>
        <v/>
      </c>
    </row>
    <row r="16" ht="12.75" customHeight="1" s="207">
      <c r="A16" s="228" t="inlineStr">
        <is>
          <t>Payments - Checks Requiring Special Handling</t>
        </is>
      </c>
      <c r="B16" s="229" t="n"/>
      <c r="C16" s="235" t="n"/>
      <c r="D16" s="235" t="n"/>
      <c r="E16" s="235" t="n"/>
      <c r="F16" s="235" t="n"/>
      <c r="G16" s="235" t="n"/>
      <c r="H16" s="235" t="n"/>
      <c r="I16" s="235" t="n"/>
    </row>
    <row r="17" ht="12.75" customHeight="1" s="207">
      <c r="A17" s="228" t="inlineStr">
        <is>
          <t>Payments - Electronic Disbursement (manual postings of ebanking)</t>
        </is>
      </c>
      <c r="B17" s="229" t="n">
        <v>60</v>
      </c>
      <c r="C17" s="235" t="n">
        <v>60</v>
      </c>
      <c r="D17" s="235" t="n">
        <v>60</v>
      </c>
      <c r="E17" s="235" t="n">
        <v>60</v>
      </c>
      <c r="F17" s="235" t="n">
        <v>60</v>
      </c>
      <c r="G17" s="235" t="n">
        <v>60</v>
      </c>
      <c r="H17" s="235" t="n">
        <v>60</v>
      </c>
      <c r="I17" s="235" t="n">
        <v>60</v>
      </c>
    </row>
    <row r="18" ht="12.75" customHeight="1" s="207">
      <c r="A18" s="228" t="inlineStr">
        <is>
          <t>Payments - Wire Disbursement</t>
        </is>
      </c>
      <c r="B18" s="229" t="n"/>
      <c r="C18" s="235" t="n"/>
      <c r="D18" s="235" t="n"/>
      <c r="E18" s="235" t="n"/>
      <c r="F18" s="235" t="n"/>
      <c r="G18" s="235" t="n"/>
      <c r="H18" s="235" t="n"/>
      <c r="I18" s="235" t="n"/>
    </row>
    <row r="19" ht="12.75" customHeight="1" s="207">
      <c r="A19" s="237" t="inlineStr">
        <is>
          <t>Vendor Management</t>
        </is>
      </c>
      <c r="B19" s="238">
        <f>SUM(B20:B22)</f>
        <v/>
      </c>
      <c r="C19" s="235" t="n"/>
      <c r="D19" s="235" t="n"/>
      <c r="E19" s="235" t="n"/>
      <c r="F19" s="235" t="n"/>
      <c r="G19" s="235" t="n"/>
      <c r="H19" s="235" t="n"/>
      <c r="I19" s="235" t="n"/>
    </row>
    <row r="20" ht="12.75" customHeight="1" s="207">
      <c r="A20" s="240" t="inlineStr">
        <is>
          <t>Vendor Set Up (open &amp; maintenance master datas)</t>
        </is>
      </c>
      <c r="B20" s="229" t="n">
        <v>370</v>
      </c>
      <c r="C20" s="235" t="n">
        <v>370</v>
      </c>
      <c r="D20" s="235" t="n">
        <v>370</v>
      </c>
      <c r="E20" s="235" t="n">
        <v>370</v>
      </c>
      <c r="F20" s="235" t="n">
        <v>370</v>
      </c>
      <c r="G20" s="235" t="n">
        <v>370</v>
      </c>
      <c r="H20" s="235" t="n">
        <v>370</v>
      </c>
      <c r="I20" s="235" t="n">
        <v>370</v>
      </c>
    </row>
    <row r="21" ht="12.75" customHeight="1" s="207">
      <c r="A21" s="240" t="inlineStr">
        <is>
          <t>Vendor Inquiry ( reminders &amp; requests)</t>
        </is>
      </c>
      <c r="B21" s="229" t="n">
        <v>1100</v>
      </c>
      <c r="C21" s="235" t="n">
        <v>1130</v>
      </c>
      <c r="D21" s="235" t="n">
        <v>1150</v>
      </c>
      <c r="E21" s="235" t="n">
        <v>1180</v>
      </c>
      <c r="F21" s="235" t="n">
        <v>1200</v>
      </c>
      <c r="G21" s="235" t="n">
        <v>1220</v>
      </c>
      <c r="H21" s="235" t="n">
        <v>1220</v>
      </c>
      <c r="I21" s="235" t="n">
        <v>1220</v>
      </c>
    </row>
    <row r="22" ht="13.5" customHeight="1" s="207">
      <c r="A22" s="240" t="inlineStr">
        <is>
          <t>Year End Vendor Tax Reporting</t>
        </is>
      </c>
      <c r="B22" s="229" t="n"/>
      <c r="C22" s="235" t="n"/>
      <c r="D22" s="235" t="n"/>
      <c r="E22" s="235" t="n"/>
      <c r="F22" s="235" t="n"/>
      <c r="G22" s="235" t="n"/>
      <c r="H22" s="235" t="n"/>
      <c r="I22" s="235" t="n"/>
    </row>
    <row r="23" ht="13.5" customHeight="1" s="207">
      <c r="A23" s="241" t="inlineStr">
        <is>
          <t>Order to Cash</t>
        </is>
      </c>
      <c r="B23" s="242" t="n"/>
      <c r="C23" s="242" t="n"/>
      <c r="D23" s="242" t="n"/>
      <c r="E23" s="242" t="n"/>
      <c r="F23" s="242" t="n"/>
      <c r="G23" s="242" t="n"/>
      <c r="H23" s="242" t="n"/>
      <c r="I23" s="242" t="n"/>
    </row>
    <row r="24" ht="12.75" customHeight="1" s="207">
      <c r="A24" s="243" t="inlineStr">
        <is>
          <t>Customer Inquiries</t>
        </is>
      </c>
      <c r="B24" s="238">
        <f>SUM(B25:B27)</f>
        <v/>
      </c>
      <c r="C24" s="244" t="n"/>
      <c r="D24" s="235" t="n"/>
      <c r="E24" s="235" t="n"/>
      <c r="F24" s="235" t="n"/>
      <c r="G24" s="235" t="n"/>
      <c r="H24" s="235" t="n"/>
      <c r="I24" s="235" t="n"/>
    </row>
    <row r="25" ht="12.75" customHeight="1" s="207">
      <c r="A25" s="228" t="inlineStr">
        <is>
          <t>Internal Inquiries (aging list / provision / bad debts)</t>
        </is>
      </c>
      <c r="B25" s="229" t="n">
        <v>1</v>
      </c>
      <c r="C25" s="235" t="n">
        <v>1</v>
      </c>
      <c r="D25" s="235" t="n">
        <v>1</v>
      </c>
      <c r="E25" s="235" t="n">
        <v>1</v>
      </c>
      <c r="F25" s="235" t="n">
        <v>1</v>
      </c>
      <c r="G25" s="235" t="n">
        <v>1</v>
      </c>
      <c r="H25" s="235" t="n">
        <v>1</v>
      </c>
      <c r="I25" s="235" t="n">
        <v>1</v>
      </c>
    </row>
    <row r="26" ht="12.75" customHeight="1" s="207">
      <c r="A26" s="228" t="inlineStr">
        <is>
          <t>Internal Inquiries IC</t>
        </is>
      </c>
      <c r="B26" s="229" t="n">
        <v>20</v>
      </c>
      <c r="C26" s="235" t="n">
        <v>20</v>
      </c>
      <c r="D26" s="235" t="n">
        <v>20</v>
      </c>
      <c r="E26" s="235" t="n">
        <v>20</v>
      </c>
      <c r="F26" s="235" t="n">
        <v>20</v>
      </c>
      <c r="G26" s="235" t="n">
        <v>20</v>
      </c>
      <c r="H26" s="235" t="n">
        <v>20</v>
      </c>
      <c r="I26" s="235" t="n">
        <v>20</v>
      </c>
    </row>
    <row r="27" ht="12.75" customHeight="1" s="207">
      <c r="A27" s="228" t="inlineStr">
        <is>
          <t>External Inquiries</t>
        </is>
      </c>
      <c r="B27" s="229" t="n">
        <v>3</v>
      </c>
      <c r="C27" s="235" t="n">
        <v>3</v>
      </c>
      <c r="D27" s="235" t="n">
        <v>3</v>
      </c>
      <c r="E27" s="235" t="n">
        <v>3</v>
      </c>
      <c r="F27" s="235" t="n">
        <v>3</v>
      </c>
      <c r="G27" s="235" t="n">
        <v>3</v>
      </c>
      <c r="H27" s="235" t="n">
        <v>3</v>
      </c>
      <c r="I27" s="235" t="n">
        <v>3</v>
      </c>
    </row>
    <row r="28" ht="12.75" customHeight="1" s="207">
      <c r="A28" s="243" t="inlineStr">
        <is>
          <t>Invoicing</t>
        </is>
      </c>
      <c r="B28" s="238">
        <f>SUM(B29:B32)</f>
        <v/>
      </c>
      <c r="C28" s="235" t="n"/>
      <c r="D28" s="235" t="n"/>
      <c r="E28" s="235" t="n"/>
      <c r="F28" s="235" t="n"/>
      <c r="G28" s="235" t="n"/>
      <c r="H28" s="235" t="n"/>
      <c r="I28" s="235" t="n"/>
    </row>
    <row r="29" ht="12.75" customHeight="1" s="207">
      <c r="A29" s="228" t="inlineStr">
        <is>
          <t>Paper Invoices ( on template /miscellaneous)</t>
        </is>
      </c>
      <c r="B29" s="235" t="n">
        <v>50</v>
      </c>
      <c r="C29" s="235" t="n">
        <v>45</v>
      </c>
      <c r="D29" s="235" t="n">
        <v>40</v>
      </c>
      <c r="E29" s="235" t="n">
        <v>40</v>
      </c>
      <c r="F29" s="235" t="n">
        <v>35</v>
      </c>
      <c r="G29" s="235" t="n">
        <v>35</v>
      </c>
      <c r="H29" s="235" t="n">
        <v>35</v>
      </c>
      <c r="I29" s="235" t="n">
        <v>35</v>
      </c>
    </row>
    <row r="30" ht="12.75" customHeight="1" s="207">
      <c r="A30" s="228" t="inlineStr">
        <is>
          <t>Electronic Invoices  ( SCM process)for information purposes only</t>
        </is>
      </c>
      <c r="B30" s="235" t="n">
        <v>4200</v>
      </c>
      <c r="C30" s="235" t="n">
        <v>4200</v>
      </c>
      <c r="D30" s="235" t="n">
        <v>4200</v>
      </c>
      <c r="E30" s="235" t="n">
        <v>4200</v>
      </c>
      <c r="F30" s="235" t="n">
        <v>4200</v>
      </c>
      <c r="G30" s="235" t="n">
        <v>4200</v>
      </c>
      <c r="H30" s="235" t="n">
        <v>4200</v>
      </c>
      <c r="I30" s="235" t="n">
        <v>4200</v>
      </c>
    </row>
    <row r="31" ht="12.75" customHeight="1" s="207">
      <c r="A31" s="228" t="inlineStr">
        <is>
          <t>Electronic Invoices  (SUNDRY invoices)for information purposes only</t>
        </is>
      </c>
      <c r="B31" s="235" t="n">
        <v>600</v>
      </c>
      <c r="C31" s="235" t="n">
        <v>620</v>
      </c>
      <c r="D31" s="235" t="n">
        <v>640</v>
      </c>
      <c r="E31" s="235" t="n">
        <v>640</v>
      </c>
      <c r="F31" s="235" t="n">
        <v>640</v>
      </c>
      <c r="G31" s="235" t="n">
        <v>640</v>
      </c>
      <c r="H31" s="235" t="n">
        <v>640</v>
      </c>
      <c r="I31" s="235" t="n">
        <v>640</v>
      </c>
    </row>
    <row r="32" ht="12.75" customHeight="1" s="207">
      <c r="A32" s="228" t="inlineStr">
        <is>
          <t>Customer Statements</t>
        </is>
      </c>
      <c r="B32" s="235" t="n"/>
      <c r="C32" s="244" t="n"/>
      <c r="D32" s="235" t="n"/>
      <c r="E32" s="235" t="n"/>
      <c r="F32" s="235" t="n"/>
      <c r="G32" s="235" t="n"/>
      <c r="H32" s="235" t="n"/>
      <c r="I32" s="235" t="n"/>
    </row>
    <row r="33" ht="12.75" customHeight="1" s="207">
      <c r="A33" s="243" t="inlineStr">
        <is>
          <t>Cash Applications</t>
        </is>
      </c>
      <c r="B33" s="238">
        <f>SUM(B34:B37)</f>
        <v/>
      </c>
      <c r="C33" s="244" t="n"/>
      <c r="D33" s="235" t="n"/>
      <c r="E33" s="235" t="n"/>
      <c r="F33" s="235" t="n"/>
      <c r="G33" s="235" t="n"/>
      <c r="H33" s="235" t="n"/>
      <c r="I33" s="235" t="n"/>
    </row>
    <row r="34" ht="12.75" customHeight="1" s="207">
      <c r="A34" s="228" t="inlineStr">
        <is>
          <t>Electronic Payments (bank credit advices)</t>
        </is>
      </c>
      <c r="B34" s="235" t="n">
        <v>290</v>
      </c>
      <c r="C34" s="235" t="n">
        <v>300</v>
      </c>
      <c r="D34" s="235" t="n">
        <v>310</v>
      </c>
      <c r="E34" s="235" t="n">
        <v>310</v>
      </c>
      <c r="F34" s="235" t="n">
        <v>310</v>
      </c>
      <c r="G34" s="235" t="n">
        <v>310</v>
      </c>
      <c r="H34" s="235" t="n">
        <v>310</v>
      </c>
      <c r="I34" s="235" t="n">
        <v>310</v>
      </c>
    </row>
    <row r="35" ht="12.75" customHeight="1" s="207">
      <c r="A35" s="228" t="inlineStr">
        <is>
          <t>Electronic Payments (intercomapy clearing process automated from 07)  70/80 companies</t>
        </is>
      </c>
      <c r="B35" s="235" t="n">
        <v>2500</v>
      </c>
      <c r="C35" s="235" t="n">
        <v>2500</v>
      </c>
      <c r="D35" s="235" t="n">
        <v>2500</v>
      </c>
      <c r="E35" s="235" t="n">
        <v>2500</v>
      </c>
      <c r="F35" s="235" t="n">
        <v>2500</v>
      </c>
      <c r="G35" s="235" t="n">
        <v>2500</v>
      </c>
      <c r="H35" s="235" t="n">
        <v>2500</v>
      </c>
      <c r="I35" s="235" t="n">
        <v>2500</v>
      </c>
    </row>
    <row r="36" ht="12.75" customHeight="1" s="207">
      <c r="A36" s="228" t="inlineStr">
        <is>
          <t>Lockbox Payments</t>
        </is>
      </c>
      <c r="B36" s="229" t="n"/>
      <c r="C36" s="244" t="n"/>
      <c r="D36" s="235" t="n"/>
      <c r="E36" s="235" t="n"/>
      <c r="F36" s="235" t="n"/>
      <c r="G36" s="235" t="n"/>
      <c r="H36" s="235" t="n"/>
      <c r="I36" s="235" t="n"/>
    </row>
    <row r="37" ht="12.75" customHeight="1" s="207">
      <c r="A37" s="228" t="inlineStr">
        <is>
          <t>Check Payments</t>
        </is>
      </c>
      <c r="B37" s="229" t="n"/>
      <c r="C37" s="244" t="n"/>
      <c r="D37" s="235" t="n"/>
      <c r="E37" s="235" t="n"/>
      <c r="F37" s="235" t="n"/>
      <c r="G37" s="235" t="n"/>
      <c r="H37" s="235" t="n"/>
      <c r="I37" s="235" t="n"/>
    </row>
    <row r="38" ht="12.75" customHeight="1" s="207">
      <c r="A38" s="243" t="inlineStr">
        <is>
          <t>Collections</t>
        </is>
      </c>
      <c r="B38" s="238">
        <f>SUM(B39:B40)</f>
        <v/>
      </c>
      <c r="C38" s="244" t="n"/>
      <c r="D38" s="235" t="n"/>
      <c r="E38" s="235" t="n"/>
      <c r="F38" s="235" t="n"/>
      <c r="G38" s="235" t="n"/>
      <c r="H38" s="235" t="n"/>
      <c r="I38" s="235" t="n"/>
    </row>
    <row r="39" ht="12.75" customHeight="1" s="207">
      <c r="A39" s="228" t="inlineStr">
        <is>
          <t>Actively Managed Accounts (with open balance)</t>
        </is>
      </c>
      <c r="B39" s="229" t="n">
        <v>360</v>
      </c>
      <c r="C39" s="235" t="n">
        <v>360</v>
      </c>
      <c r="D39" s="235" t="n">
        <v>360</v>
      </c>
      <c r="E39" s="235" t="n">
        <v>360</v>
      </c>
      <c r="F39" s="235" t="n">
        <v>360</v>
      </c>
      <c r="G39" s="235" t="n">
        <v>360</v>
      </c>
      <c r="H39" s="235" t="n">
        <v>360</v>
      </c>
      <c r="I39" s="235" t="n">
        <v>360</v>
      </c>
    </row>
    <row r="40" ht="13.5" customHeight="1" s="207">
      <c r="A40" s="228" t="inlineStr">
        <is>
          <t xml:space="preserve">Dunning letters </t>
        </is>
      </c>
      <c r="B40" s="229" t="n">
        <v>125</v>
      </c>
      <c r="C40" s="235" t="n">
        <v>125</v>
      </c>
      <c r="D40" s="235" t="n">
        <v>125</v>
      </c>
      <c r="E40" s="235" t="n">
        <v>125</v>
      </c>
      <c r="F40" s="235" t="n">
        <v>125</v>
      </c>
      <c r="G40" s="235" t="n">
        <v>125</v>
      </c>
      <c r="H40" s="235" t="n">
        <v>125</v>
      </c>
      <c r="I40" s="235" t="n">
        <v>125</v>
      </c>
    </row>
    <row r="41" ht="13.5" customHeight="1" s="207">
      <c r="A41" s="245" t="inlineStr">
        <is>
          <t>Fixed Assets</t>
        </is>
      </c>
      <c r="B41" s="246" t="n"/>
      <c r="C41" s="246" t="n"/>
      <c r="D41" s="246" t="n"/>
      <c r="E41" s="246" t="n"/>
      <c r="F41" s="246" t="n"/>
      <c r="G41" s="246" t="n"/>
      <c r="H41" s="246" t="n"/>
      <c r="I41" s="246" t="n"/>
    </row>
    <row r="42" ht="12.75" customHeight="1" s="207">
      <c r="A42" s="225" t="inlineStr">
        <is>
          <t>Fixed Assets</t>
        </is>
      </c>
      <c r="B42" s="247">
        <f>SUM(B43:B45)</f>
        <v/>
      </c>
      <c r="C42" s="248">
        <f>SUM(C43:C45)</f>
        <v/>
      </c>
      <c r="D42" s="227" t="n"/>
      <c r="E42" s="227" t="n"/>
      <c r="F42" s="227" t="n"/>
      <c r="G42" s="227" t="n"/>
      <c r="H42" s="227" t="n"/>
      <c r="I42" s="227" t="n"/>
    </row>
    <row r="43" ht="12.75" customHeight="1" s="207">
      <c r="A43" s="228" t="inlineStr">
        <is>
          <t>Active Assets (Or)</t>
        </is>
      </c>
      <c r="B43" s="249" t="n"/>
      <c r="C43" s="235" t="n"/>
      <c r="D43" s="235" t="n"/>
      <c r="E43" s="235" t="n"/>
      <c r="F43" s="235" t="n"/>
      <c r="G43" s="235" t="n"/>
      <c r="H43" s="235" t="n"/>
      <c r="I43" s="235" t="n"/>
    </row>
    <row r="44" ht="12.75" customHeight="1" s="207">
      <c r="A44" s="228" t="inlineStr">
        <is>
          <t>Asset Record Changes (asset creation only, changes are automated)</t>
        </is>
      </c>
      <c r="B44" s="249" t="n">
        <v>110</v>
      </c>
      <c r="C44" s="235" t="n">
        <v>110</v>
      </c>
      <c r="D44" s="235" t="n">
        <v>110</v>
      </c>
      <c r="E44" s="235" t="n">
        <v>110</v>
      </c>
      <c r="F44" s="235" t="n">
        <v>110</v>
      </c>
      <c r="G44" s="235" t="n">
        <v>110</v>
      </c>
      <c r="H44" s="235" t="n">
        <v>110</v>
      </c>
      <c r="I44" s="235" t="n">
        <v>110</v>
      </c>
    </row>
    <row r="45" ht="13.5" customHeight="1" s="207">
      <c r="A45" s="228" t="inlineStr">
        <is>
          <t>Asset registration sticker</t>
        </is>
      </c>
      <c r="B45" s="249" t="n">
        <v>80</v>
      </c>
      <c r="C45" s="235" t="n">
        <v>80</v>
      </c>
      <c r="D45" s="235" t="n">
        <v>80</v>
      </c>
      <c r="E45" s="235" t="n">
        <v>80</v>
      </c>
      <c r="F45" s="235" t="n">
        <v>80</v>
      </c>
      <c r="G45" s="235" t="n">
        <v>80</v>
      </c>
      <c r="H45" s="235" t="n">
        <v>80</v>
      </c>
      <c r="I45" s="235" t="n">
        <v>80</v>
      </c>
    </row>
    <row r="46" ht="13.5" customHeight="1" s="207">
      <c r="A46" s="245" t="inlineStr">
        <is>
          <t>Account to Report</t>
        </is>
      </c>
      <c r="B46" s="246" t="n"/>
      <c r="C46" s="246" t="n"/>
      <c r="D46" s="246" t="n"/>
      <c r="E46" s="246" t="n"/>
      <c r="F46" s="246" t="n"/>
      <c r="G46" s="246" t="n"/>
      <c r="H46" s="246" t="n"/>
      <c r="I46" s="246" t="n"/>
    </row>
    <row r="47" ht="12.75" customHeight="1" s="207">
      <c r="A47" s="225" t="inlineStr">
        <is>
          <t>General Ledger Accounting</t>
        </is>
      </c>
      <c r="B47" s="226">
        <f>SUM(B48:B50)</f>
        <v/>
      </c>
      <c r="C47" s="226">
        <f>SUM(C48:C50)</f>
        <v/>
      </c>
      <c r="D47" s="227" t="n"/>
      <c r="E47" s="227" t="n"/>
      <c r="F47" s="227" t="n"/>
      <c r="G47" s="227" t="n"/>
      <c r="H47" s="227" t="n"/>
      <c r="I47" s="227" t="n"/>
    </row>
    <row r="48" ht="12.75" customHeight="1" s="207">
      <c r="A48" s="228" t="inlineStr">
        <is>
          <t>Journal Entries - Manual (internal postings adjustments, corrections, etc..)</t>
        </is>
      </c>
      <c r="B48" s="229" t="n">
        <v>250</v>
      </c>
      <c r="C48" s="235" t="n">
        <v>250</v>
      </c>
      <c r="D48" s="235" t="n">
        <v>250</v>
      </c>
      <c r="E48" s="235" t="n">
        <v>250</v>
      </c>
      <c r="F48" s="235" t="n">
        <v>250</v>
      </c>
      <c r="G48" s="235" t="n">
        <v>250</v>
      </c>
      <c r="H48" s="235" t="n">
        <v>250</v>
      </c>
      <c r="I48" s="235" t="n">
        <v>250</v>
      </c>
    </row>
    <row r="49" ht="12.75" customHeight="1" s="207">
      <c r="A49" s="228" t="inlineStr">
        <is>
          <t>Journal Entries - (accruals posting)</t>
        </is>
      </c>
      <c r="B49" s="229" t="n">
        <v>120</v>
      </c>
      <c r="C49" s="235" t="n">
        <v>120</v>
      </c>
      <c r="D49" s="235" t="n">
        <v>120</v>
      </c>
      <c r="E49" s="235" t="n">
        <v>120</v>
      </c>
      <c r="F49" s="235" t="n">
        <v>120</v>
      </c>
      <c r="G49" s="235" t="n">
        <v>120</v>
      </c>
      <c r="H49" s="235" t="n">
        <v>120</v>
      </c>
      <c r="I49" s="235" t="n">
        <v>120</v>
      </c>
    </row>
    <row r="50" ht="12.75" customHeight="1" s="207">
      <c r="A50" s="228" t="inlineStr">
        <is>
          <t>Journal Entries - (bank postings)</t>
        </is>
      </c>
      <c r="B50" s="229" t="n">
        <v>670</v>
      </c>
      <c r="C50" s="235" t="n">
        <v>680</v>
      </c>
      <c r="D50" s="235" t="n">
        <v>690</v>
      </c>
      <c r="E50" s="235" t="n">
        <v>700</v>
      </c>
      <c r="F50" s="235" t="n">
        <v>710</v>
      </c>
      <c r="G50" s="235" t="n">
        <v>710</v>
      </c>
      <c r="H50" s="235" t="n">
        <v>710</v>
      </c>
      <c r="I50" s="235" t="n">
        <v>710</v>
      </c>
    </row>
    <row r="51" ht="12.75" customHeight="1" s="207">
      <c r="A51" s="237" t="inlineStr">
        <is>
          <t>Financial Management Services</t>
        </is>
      </c>
      <c r="B51" s="238">
        <f>SUM(B52:B53)</f>
        <v/>
      </c>
      <c r="C51" s="235" t="n"/>
      <c r="D51" s="235" t="n"/>
      <c r="E51" s="235" t="n"/>
      <c r="F51" s="235" t="n"/>
      <c r="G51" s="235" t="n"/>
      <c r="H51" s="235" t="n"/>
      <c r="I51" s="235" t="n"/>
    </row>
    <row r="52" ht="12.75" customHeight="1" s="207">
      <c r="A52" s="228" t="inlineStr">
        <is>
          <t>Bank Reconciliation - Type A (bank ordinario account) number of accounts</t>
        </is>
      </c>
      <c r="B52" s="229" t="n">
        <v>15</v>
      </c>
      <c r="C52" s="235" t="n">
        <v>15</v>
      </c>
      <c r="D52" s="235" t="n">
        <v>15</v>
      </c>
      <c r="E52" s="235" t="n">
        <v>15</v>
      </c>
      <c r="F52" s="235" t="n">
        <v>15</v>
      </c>
      <c r="G52" s="235" t="n">
        <v>15</v>
      </c>
      <c r="H52" s="235" t="n">
        <v>15</v>
      </c>
      <c r="I52" s="235" t="n">
        <v>15</v>
      </c>
    </row>
    <row r="53" ht="12.75" customHeight="1" s="207">
      <c r="A53" s="228" t="inlineStr">
        <is>
          <t>Bank Reconciliations - Type B (bank clearing account) number of accounts</t>
        </is>
      </c>
      <c r="B53" s="229" t="n">
        <v>15</v>
      </c>
      <c r="C53" s="235" t="n">
        <v>15</v>
      </c>
      <c r="D53" s="235" t="n">
        <v>15</v>
      </c>
      <c r="E53" s="235" t="n">
        <v>15</v>
      </c>
      <c r="F53" s="235" t="n">
        <v>15</v>
      </c>
      <c r="G53" s="235" t="n">
        <v>15</v>
      </c>
      <c r="H53" s="235" t="n">
        <v>15</v>
      </c>
      <c r="I53" s="235" t="n">
        <v>15</v>
      </c>
    </row>
    <row r="54" ht="12.75" customHeight="1" s="207">
      <c r="A54" s="237" t="inlineStr">
        <is>
          <t>Master Data Cost Accounting</t>
        </is>
      </c>
      <c r="B54" s="238">
        <f>SUM(B55:B61)</f>
        <v/>
      </c>
      <c r="C54" s="250" t="n"/>
      <c r="D54" s="250" t="n"/>
      <c r="E54" s="250" t="n"/>
      <c r="F54" s="250" t="n"/>
      <c r="G54" s="250" t="n"/>
      <c r="H54" s="250" t="n"/>
      <c r="I54" s="250" t="n"/>
    </row>
    <row r="55" ht="12.75" customHeight="1" s="207">
      <c r="A55" s="228" t="inlineStr">
        <is>
          <t>Number of master data changs in IO (open, close, change)</t>
        </is>
      </c>
      <c r="B55" s="229" t="n">
        <v>510</v>
      </c>
      <c r="C55" s="230" t="n">
        <v>520</v>
      </c>
      <c r="D55" s="230" t="n">
        <v>540</v>
      </c>
      <c r="E55" s="230" t="n">
        <v>550</v>
      </c>
      <c r="F55" s="230" t="n">
        <v>570</v>
      </c>
      <c r="G55" s="230" t="n">
        <v>580</v>
      </c>
      <c r="H55" s="230" t="n">
        <v>580</v>
      </c>
      <c r="I55" s="230" t="n">
        <v>580</v>
      </c>
    </row>
    <row r="56" ht="12.75" customHeight="1" s="207">
      <c r="A56" s="228" t="inlineStr">
        <is>
          <t>Number of master data changes in CTR (Cost Center)</t>
        </is>
      </c>
      <c r="B56" s="229" t="n">
        <v>240</v>
      </c>
      <c r="C56" s="230" t="n">
        <v>245</v>
      </c>
      <c r="D56" s="230" t="n">
        <v>250</v>
      </c>
      <c r="E56" s="230" t="n">
        <v>255</v>
      </c>
      <c r="F56" s="230" t="n">
        <v>260</v>
      </c>
      <c r="G56" s="230" t="n">
        <v>265</v>
      </c>
      <c r="H56" s="230" t="n">
        <v>265</v>
      </c>
      <c r="I56" s="230" t="n">
        <v>265</v>
      </c>
    </row>
    <row r="57" ht="12.75" customHeight="1" s="207">
      <c r="A57" s="228" t="inlineStr">
        <is>
          <t>CO-reposting by batch</t>
        </is>
      </c>
      <c r="B57" s="229" t="n">
        <v>430</v>
      </c>
      <c r="C57" s="229" t="n">
        <v>440</v>
      </c>
      <c r="D57" s="229" t="n">
        <v>450</v>
      </c>
      <c r="E57" s="229" t="n">
        <v>460</v>
      </c>
      <c r="F57" s="229" t="n">
        <v>470</v>
      </c>
      <c r="G57" s="229" t="n">
        <v>480</v>
      </c>
      <c r="H57" s="229" t="n">
        <v>480</v>
      </c>
      <c r="I57" s="229" t="n">
        <v>480</v>
      </c>
    </row>
    <row r="58" ht="12.75" customHeight="1" s="207">
      <c r="A58" s="228" t="inlineStr">
        <is>
          <t>PerisCope organizational unit changes</t>
        </is>
      </c>
      <c r="B58" s="229" t="n">
        <v>100</v>
      </c>
      <c r="C58" s="229" t="n">
        <v>100</v>
      </c>
      <c r="D58" s="229" t="n">
        <v>100</v>
      </c>
      <c r="E58" s="229" t="n">
        <v>100</v>
      </c>
      <c r="F58" s="229" t="n">
        <v>100</v>
      </c>
      <c r="G58" s="229" t="n">
        <v>100</v>
      </c>
      <c r="H58" s="229" t="n">
        <v>100</v>
      </c>
      <c r="I58" s="229" t="n">
        <v>100</v>
      </c>
    </row>
    <row r="59" ht="12.75" customHeight="1" s="207">
      <c r="A59" s="228" t="inlineStr">
        <is>
          <t>Open project master data (big CAR)</t>
        </is>
      </c>
      <c r="B59" s="229" t="n">
        <v>24</v>
      </c>
      <c r="C59" s="229" t="n">
        <v>25</v>
      </c>
      <c r="D59" s="229" t="n">
        <v>25</v>
      </c>
      <c r="E59" s="229" t="n">
        <v>25</v>
      </c>
      <c r="F59" s="229" t="n">
        <v>25</v>
      </c>
      <c r="G59" s="229" t="n">
        <v>25</v>
      </c>
      <c r="H59" s="229" t="n">
        <v>25</v>
      </c>
      <c r="I59" s="229" t="n">
        <v>25</v>
      </c>
    </row>
    <row r="60" ht="12.75" customHeight="1" s="207">
      <c r="A60" s="228" t="inlineStr">
        <is>
          <t>Open project master data (small CAR)</t>
        </is>
      </c>
      <c r="B60" s="229" t="n">
        <v>65</v>
      </c>
      <c r="C60" s="229" t="n">
        <v>65</v>
      </c>
      <c r="D60" s="229" t="n">
        <v>65</v>
      </c>
      <c r="E60" s="229" t="n">
        <v>65</v>
      </c>
      <c r="F60" s="229" t="n">
        <v>65</v>
      </c>
      <c r="G60" s="229" t="n">
        <v>65</v>
      </c>
      <c r="H60" s="229" t="n">
        <v>65</v>
      </c>
      <c r="I60" s="229" t="n">
        <v>65</v>
      </c>
    </row>
    <row r="61" ht="12.75" customHeight="1" s="207">
      <c r="A61" s="228" t="inlineStr">
        <is>
          <t>SOX Control related to project system</t>
        </is>
      </c>
      <c r="B61" s="229" t="n">
        <v>2</v>
      </c>
      <c r="C61" s="229" t="n">
        <v>2</v>
      </c>
      <c r="D61" s="229" t="n">
        <v>2</v>
      </c>
      <c r="E61" s="229" t="n">
        <v>2</v>
      </c>
      <c r="F61" s="229" t="n">
        <v>2</v>
      </c>
      <c r="G61" s="229" t="n">
        <v>2</v>
      </c>
      <c r="H61" s="229" t="n">
        <v>2</v>
      </c>
      <c r="I61" s="229" t="n">
        <v>2</v>
      </c>
    </row>
    <row r="62" ht="12.75" customHeight="1" s="207">
      <c r="A62" s="251" t="n"/>
      <c r="B62" s="206" t="n"/>
      <c r="C62" s="206" t="n"/>
      <c r="D62" s="206" t="n"/>
      <c r="E62" s="206" t="n"/>
      <c r="F62" s="206" t="n"/>
      <c r="G62" s="206" t="n"/>
      <c r="H62" s="206" t="n"/>
      <c r="I62" s="206" t="n"/>
    </row>
    <row r="63" ht="12.75" customHeight="1" s="207">
      <c r="A63" s="251" t="n"/>
      <c r="B63" s="206" t="n"/>
      <c r="C63" s="206" t="n"/>
      <c r="D63" s="206" t="n"/>
      <c r="E63" s="206" t="n"/>
      <c r="F63" s="206" t="n"/>
      <c r="G63" s="206" t="n"/>
      <c r="H63" s="206" t="n"/>
      <c r="I63" s="206" t="n"/>
    </row>
    <row r="64" ht="12.75" customHeight="1" s="207">
      <c r="A64" s="251" t="n"/>
      <c r="B64" s="206" t="n"/>
      <c r="C64" s="206" t="n"/>
      <c r="D64" s="206" t="n"/>
      <c r="E64" s="206" t="n"/>
      <c r="F64" s="206" t="n"/>
      <c r="G64" s="206" t="n"/>
      <c r="H64" s="206" t="n"/>
      <c r="I64" s="206" t="n"/>
    </row>
    <row r="65" ht="12.75" customHeight="1" s="207">
      <c r="A65" s="251" t="n"/>
      <c r="B65" s="206" t="n"/>
      <c r="C65" s="206" t="n"/>
      <c r="D65" s="206" t="n"/>
      <c r="E65" s="206" t="n"/>
      <c r="F65" s="206" t="n"/>
      <c r="G65" s="206" t="n"/>
      <c r="H65" s="206" t="n"/>
      <c r="I65" s="206" t="n"/>
    </row>
    <row r="66" ht="12.75" customHeight="1" s="207">
      <c r="A66" s="251" t="n"/>
      <c r="B66" s="206" t="n"/>
      <c r="C66" s="206" t="n"/>
      <c r="D66" s="206" t="n"/>
      <c r="E66" s="206" t="n"/>
      <c r="F66" s="206" t="n"/>
      <c r="G66" s="206" t="n"/>
      <c r="H66" s="206" t="n"/>
      <c r="I66" s="206" t="n"/>
    </row>
    <row r="67" ht="12.75" customHeight="1" s="207">
      <c r="A67" s="251" t="n"/>
      <c r="B67" s="206" t="n"/>
      <c r="C67" s="206" t="n"/>
      <c r="D67" s="206" t="n"/>
      <c r="E67" s="206" t="n"/>
      <c r="F67" s="206" t="n"/>
      <c r="G67" s="206" t="n"/>
      <c r="H67" s="206" t="n"/>
      <c r="I67" s="206" t="n"/>
    </row>
    <row r="68" ht="12.75" customHeight="1" s="207">
      <c r="A68" s="251" t="n"/>
      <c r="B68" s="206" t="n"/>
      <c r="C68" s="206" t="n"/>
      <c r="D68" s="206" t="n"/>
      <c r="E68" s="206" t="n"/>
      <c r="F68" s="206" t="n"/>
      <c r="G68" s="206" t="n"/>
      <c r="H68" s="206" t="n"/>
      <c r="I68" s="206" t="n"/>
    </row>
    <row r="69" ht="12.75" customHeight="1" s="207">
      <c r="A69" s="251" t="n"/>
      <c r="B69" s="206" t="n"/>
      <c r="C69" s="206" t="n"/>
      <c r="D69" s="206" t="n"/>
      <c r="E69" s="206" t="n"/>
      <c r="F69" s="206" t="n"/>
      <c r="G69" s="206" t="n"/>
      <c r="H69" s="206" t="n"/>
      <c r="I69" s="206" t="n"/>
    </row>
    <row r="70" ht="12.75" customHeight="1" s="207">
      <c r="A70" s="251" t="n"/>
      <c r="B70" s="206" t="n"/>
      <c r="C70" s="206" t="n"/>
      <c r="D70" s="206" t="n"/>
      <c r="E70" s="206" t="n"/>
      <c r="F70" s="206" t="n"/>
      <c r="G70" s="206" t="n"/>
      <c r="H70" s="206" t="n"/>
      <c r="I70" s="206" t="n"/>
    </row>
    <row r="71" ht="12.75" customHeight="1" s="207">
      <c r="A71" s="251" t="n"/>
      <c r="B71" s="206" t="n"/>
      <c r="C71" s="206" t="n"/>
      <c r="D71" s="206" t="n"/>
      <c r="E71" s="206" t="n"/>
      <c r="F71" s="206" t="n"/>
      <c r="G71" s="206" t="n"/>
      <c r="H71" s="206" t="n"/>
      <c r="I71" s="206" t="n"/>
    </row>
    <row r="72" ht="12.75" customHeight="1" s="207">
      <c r="A72" s="251" t="n"/>
      <c r="B72" s="206" t="n"/>
      <c r="C72" s="206" t="n"/>
      <c r="D72" s="206" t="n"/>
      <c r="E72" s="206" t="n"/>
      <c r="F72" s="206" t="n"/>
      <c r="G72" s="206" t="n"/>
      <c r="H72" s="206" t="n"/>
      <c r="I72" s="206" t="n"/>
    </row>
    <row r="73" ht="12.75" customHeight="1" s="207">
      <c r="A73" s="251" t="n"/>
      <c r="B73" s="206" t="n"/>
      <c r="C73" s="206" t="n"/>
      <c r="D73" s="206" t="n"/>
      <c r="E73" s="206" t="n"/>
      <c r="F73" s="206" t="n"/>
      <c r="G73" s="206" t="n"/>
      <c r="H73" s="206" t="n"/>
      <c r="I73" s="206" t="n"/>
    </row>
    <row r="74" ht="12.75" customHeight="1" s="207">
      <c r="A74" s="251" t="n"/>
      <c r="B74" s="206" t="n"/>
      <c r="C74" s="206" t="n"/>
      <c r="D74" s="206" t="n"/>
      <c r="E74" s="206" t="n"/>
      <c r="F74" s="206" t="n"/>
      <c r="G74" s="206" t="n"/>
      <c r="H74" s="206" t="n"/>
      <c r="I74" s="206" t="n"/>
    </row>
    <row r="75" ht="12.75" customHeight="1" s="207">
      <c r="A75" s="251" t="n"/>
      <c r="B75" s="206" t="n"/>
      <c r="C75" s="206" t="n"/>
      <c r="D75" s="206" t="n"/>
      <c r="E75" s="206" t="n"/>
      <c r="F75" s="206" t="n"/>
      <c r="G75" s="206" t="n"/>
      <c r="H75" s="206" t="n"/>
      <c r="I75" s="206" t="n"/>
    </row>
    <row r="76" ht="12.75" customHeight="1" s="207">
      <c r="A76" s="251" t="n"/>
      <c r="B76" s="206" t="n"/>
      <c r="C76" s="206" t="n"/>
      <c r="D76" s="206" t="n"/>
      <c r="E76" s="206" t="n"/>
      <c r="F76" s="206" t="n"/>
      <c r="G76" s="206" t="n"/>
      <c r="H76" s="206" t="n"/>
      <c r="I76" s="206" t="n"/>
    </row>
    <row r="77" ht="12.75" customHeight="1" s="207">
      <c r="A77" s="251" t="n"/>
      <c r="B77" s="206" t="n"/>
      <c r="C77" s="206" t="n"/>
      <c r="D77" s="206" t="n"/>
      <c r="E77" s="206" t="n"/>
      <c r="F77" s="206" t="n"/>
      <c r="G77" s="206" t="n"/>
      <c r="H77" s="206" t="n"/>
      <c r="I77" s="206" t="n"/>
    </row>
    <row r="78" ht="12.75" customHeight="1" s="207">
      <c r="A78" s="251" t="n"/>
      <c r="B78" s="206" t="n"/>
      <c r="C78" s="206" t="n"/>
      <c r="D78" s="206" t="n"/>
      <c r="E78" s="206" t="n"/>
      <c r="F78" s="206" t="n"/>
      <c r="G78" s="206" t="n"/>
      <c r="H78" s="206" t="n"/>
      <c r="I78" s="206" t="n"/>
    </row>
    <row r="79" ht="12.75" customHeight="1" s="207">
      <c r="A79" s="251" t="n"/>
      <c r="B79" s="206" t="n"/>
      <c r="C79" s="206" t="n"/>
      <c r="D79" s="206" t="n"/>
      <c r="E79" s="206" t="n"/>
      <c r="F79" s="206" t="n"/>
      <c r="G79" s="206" t="n"/>
      <c r="H79" s="206" t="n"/>
      <c r="I79" s="206" t="n"/>
    </row>
    <row r="80" ht="12.75" customHeight="1" s="207">
      <c r="A80" s="251" t="n"/>
      <c r="B80" s="206" t="n"/>
      <c r="C80" s="206" t="n"/>
      <c r="D80" s="206" t="n"/>
      <c r="E80" s="206" t="n"/>
      <c r="F80" s="206" t="n"/>
      <c r="G80" s="206" t="n"/>
      <c r="H80" s="206" t="n"/>
      <c r="I80" s="206" t="n"/>
    </row>
    <row r="81" ht="12.75" customHeight="1" s="207">
      <c r="A81" s="251" t="n"/>
      <c r="B81" s="206" t="n"/>
      <c r="C81" s="206" t="n"/>
      <c r="D81" s="206" t="n"/>
      <c r="E81" s="206" t="n"/>
      <c r="F81" s="206" t="n"/>
      <c r="G81" s="206" t="n"/>
      <c r="H81" s="206" t="n"/>
      <c r="I81" s="206" t="n"/>
    </row>
    <row r="82" ht="12.75" customHeight="1" s="207">
      <c r="A82" s="251" t="n"/>
      <c r="B82" s="206" t="n"/>
      <c r="C82" s="206" t="n"/>
      <c r="D82" s="206" t="n"/>
      <c r="E82" s="206" t="n"/>
      <c r="F82" s="206" t="n"/>
      <c r="G82" s="206" t="n"/>
      <c r="H82" s="206" t="n"/>
      <c r="I82" s="206" t="n"/>
    </row>
    <row r="83" ht="12.75" customHeight="1" s="207">
      <c r="A83" s="251" t="n"/>
      <c r="B83" s="206" t="n"/>
      <c r="C83" s="206" t="n"/>
      <c r="D83" s="206" t="n"/>
      <c r="E83" s="206" t="n"/>
      <c r="F83" s="206" t="n"/>
      <c r="G83" s="206" t="n"/>
      <c r="H83" s="206" t="n"/>
      <c r="I83" s="206" t="n"/>
    </row>
    <row r="84" ht="12.75" customHeight="1" s="207">
      <c r="A84" s="251" t="n"/>
      <c r="B84" s="206" t="n"/>
      <c r="C84" s="206" t="n"/>
      <c r="D84" s="206" t="n"/>
      <c r="E84" s="206" t="n"/>
      <c r="F84" s="206" t="n"/>
      <c r="G84" s="206" t="n"/>
      <c r="H84" s="206" t="n"/>
      <c r="I84" s="206" t="n"/>
    </row>
    <row r="85" ht="12.75" customHeight="1" s="207">
      <c r="A85" s="251" t="n"/>
      <c r="B85" s="206" t="n"/>
      <c r="C85" s="206" t="n"/>
      <c r="D85" s="206" t="n"/>
      <c r="E85" s="206" t="n"/>
      <c r="F85" s="206" t="n"/>
      <c r="G85" s="206" t="n"/>
      <c r="H85" s="206" t="n"/>
      <c r="I85" s="206" t="n"/>
    </row>
    <row r="86" ht="12.75" customHeight="1" s="207">
      <c r="A86" s="251" t="n"/>
      <c r="B86" s="206" t="n"/>
      <c r="C86" s="206" t="n"/>
      <c r="D86" s="206" t="n"/>
      <c r="E86" s="206" t="n"/>
      <c r="F86" s="206" t="n"/>
      <c r="G86" s="206" t="n"/>
      <c r="H86" s="206" t="n"/>
      <c r="I86" s="206" t="n"/>
    </row>
    <row r="87" ht="12.75" customHeight="1" s="207">
      <c r="A87" s="251" t="n"/>
      <c r="B87" s="206" t="n"/>
      <c r="C87" s="206" t="n"/>
      <c r="D87" s="206" t="n"/>
      <c r="E87" s="206" t="n"/>
      <c r="F87" s="206" t="n"/>
      <c r="G87" s="206" t="n"/>
      <c r="H87" s="206" t="n"/>
      <c r="I87" s="206" t="n"/>
    </row>
    <row r="88" ht="12.75" customHeight="1" s="207">
      <c r="A88" s="251" t="n"/>
      <c r="B88" s="206" t="n"/>
      <c r="C88" s="206" t="n"/>
      <c r="D88" s="206" t="n"/>
      <c r="E88" s="206" t="n"/>
      <c r="F88" s="206" t="n"/>
      <c r="G88" s="206" t="n"/>
      <c r="H88" s="206" t="n"/>
      <c r="I88" s="206" t="n"/>
    </row>
    <row r="89" ht="12.75" customHeight="1" s="207">
      <c r="A89" s="251" t="n"/>
      <c r="B89" s="206" t="n"/>
      <c r="C89" s="206" t="n"/>
      <c r="D89" s="206" t="n"/>
      <c r="E89" s="206" t="n"/>
      <c r="F89" s="206" t="n"/>
      <c r="G89" s="206" t="n"/>
      <c r="H89" s="206" t="n"/>
      <c r="I89" s="206" t="n"/>
    </row>
    <row r="90" ht="12.75" customHeight="1" s="207">
      <c r="A90" s="251" t="n"/>
      <c r="B90" s="206" t="n"/>
      <c r="C90" s="206" t="n"/>
      <c r="D90" s="206" t="n"/>
      <c r="E90" s="206" t="n"/>
      <c r="F90" s="206" t="n"/>
      <c r="G90" s="206" t="n"/>
      <c r="H90" s="206" t="n"/>
      <c r="I90" s="206" t="n"/>
    </row>
    <row r="91" ht="12.75" customHeight="1" s="207">
      <c r="A91" s="251" t="n"/>
      <c r="B91" s="206" t="n"/>
      <c r="C91" s="206" t="n"/>
      <c r="D91" s="206" t="n"/>
      <c r="E91" s="206" t="n"/>
      <c r="F91" s="206" t="n"/>
      <c r="G91" s="206" t="n"/>
      <c r="H91" s="206" t="n"/>
      <c r="I91" s="206" t="n"/>
    </row>
    <row r="92" ht="12.75" customHeight="1" s="207">
      <c r="A92" s="251" t="n"/>
      <c r="B92" s="206" t="n"/>
      <c r="C92" s="206" t="n"/>
      <c r="D92" s="206" t="n"/>
      <c r="E92" s="206" t="n"/>
      <c r="F92" s="206" t="n"/>
      <c r="G92" s="206" t="n"/>
      <c r="H92" s="206" t="n"/>
      <c r="I92" s="206" t="n"/>
    </row>
    <row r="93" ht="12.75" customHeight="1" s="207">
      <c r="A93" s="251" t="n"/>
      <c r="B93" s="206" t="n"/>
      <c r="C93" s="206" t="n"/>
      <c r="D93" s="206" t="n"/>
      <c r="E93" s="206" t="n"/>
      <c r="F93" s="206" t="n"/>
      <c r="G93" s="206" t="n"/>
      <c r="H93" s="206" t="n"/>
      <c r="I93" s="206" t="n"/>
    </row>
    <row r="94" ht="12.75" customHeight="1" s="207">
      <c r="A94" s="251" t="n"/>
      <c r="B94" s="206" t="n"/>
      <c r="C94" s="206" t="n"/>
      <c r="D94" s="206" t="n"/>
      <c r="E94" s="206" t="n"/>
      <c r="F94" s="206" t="n"/>
      <c r="G94" s="206" t="n"/>
      <c r="H94" s="206" t="n"/>
      <c r="I94" s="206" t="n"/>
    </row>
    <row r="95" ht="12.75" customHeight="1" s="207">
      <c r="A95" s="251" t="n"/>
      <c r="B95" s="206" t="n"/>
      <c r="C95" s="206" t="n"/>
      <c r="D95" s="206" t="n"/>
      <c r="E95" s="206" t="n"/>
      <c r="F95" s="206" t="n"/>
      <c r="G95" s="206" t="n"/>
      <c r="H95" s="206" t="n"/>
      <c r="I95" s="206" t="n"/>
    </row>
    <row r="96" ht="12.75" customHeight="1" s="207">
      <c r="A96" s="251" t="n"/>
      <c r="B96" s="206" t="n"/>
      <c r="C96" s="206" t="n"/>
      <c r="D96" s="206" t="n"/>
      <c r="E96" s="206" t="n"/>
      <c r="F96" s="206" t="n"/>
      <c r="G96" s="206" t="n"/>
      <c r="H96" s="206" t="n"/>
      <c r="I96" s="206" t="n"/>
    </row>
    <row r="97" ht="12.75" customHeight="1" s="207">
      <c r="A97" s="251" t="n"/>
      <c r="B97" s="206" t="n"/>
      <c r="C97" s="206" t="n"/>
      <c r="D97" s="206" t="n"/>
      <c r="E97" s="206" t="n"/>
      <c r="F97" s="206" t="n"/>
      <c r="G97" s="206" t="n"/>
      <c r="H97" s="206" t="n"/>
      <c r="I97" s="206" t="n"/>
    </row>
    <row r="98" ht="12.75" customHeight="1" s="207">
      <c r="A98" s="251" t="n"/>
      <c r="B98" s="206" t="n"/>
      <c r="C98" s="206" t="n"/>
      <c r="D98" s="206" t="n"/>
      <c r="E98" s="206" t="n"/>
      <c r="F98" s="206" t="n"/>
      <c r="G98" s="206" t="n"/>
      <c r="H98" s="206" t="n"/>
      <c r="I98" s="206" t="n"/>
    </row>
    <row r="99" ht="12.75" customHeight="1" s="207">
      <c r="A99" s="251" t="n"/>
      <c r="B99" s="206" t="n"/>
      <c r="C99" s="206" t="n"/>
      <c r="D99" s="206" t="n"/>
      <c r="E99" s="206" t="n"/>
      <c r="F99" s="206" t="n"/>
      <c r="G99" s="206" t="n"/>
      <c r="H99" s="206" t="n"/>
      <c r="I99" s="206" t="n"/>
    </row>
    <row r="100" ht="12.75" customHeight="1" s="207">
      <c r="A100" s="251" t="n"/>
      <c r="B100" s="206" t="n"/>
      <c r="C100" s="206" t="n"/>
      <c r="D100" s="206" t="n"/>
      <c r="E100" s="206" t="n"/>
      <c r="F100" s="206" t="n"/>
      <c r="G100" s="206" t="n"/>
      <c r="H100" s="206" t="n"/>
      <c r="I100" s="206" t="n"/>
    </row>
    <row r="101" ht="12.75" customHeight="1" s="207">
      <c r="A101" s="251" t="n"/>
      <c r="B101" s="206" t="n"/>
      <c r="C101" s="206" t="n"/>
      <c r="D101" s="206" t="n"/>
      <c r="E101" s="206" t="n"/>
      <c r="F101" s="206" t="n"/>
      <c r="G101" s="206" t="n"/>
      <c r="H101" s="206" t="n"/>
      <c r="I101" s="206" t="n"/>
    </row>
    <row r="102" ht="12.75" customHeight="1" s="207">
      <c r="A102" s="251" t="n"/>
      <c r="B102" s="206" t="n"/>
      <c r="C102" s="206" t="n"/>
      <c r="D102" s="206" t="n"/>
      <c r="E102" s="206" t="n"/>
      <c r="F102" s="206" t="n"/>
      <c r="G102" s="206" t="n"/>
      <c r="H102" s="206" t="n"/>
      <c r="I102" s="206" t="n"/>
    </row>
    <row r="103" ht="12.75" customHeight="1" s="207">
      <c r="A103" s="251" t="n"/>
      <c r="B103" s="206" t="n"/>
      <c r="C103" s="206" t="n"/>
      <c r="D103" s="206" t="n"/>
      <c r="E103" s="206" t="n"/>
      <c r="F103" s="206" t="n"/>
      <c r="G103" s="206" t="n"/>
      <c r="H103" s="206" t="n"/>
      <c r="I103" s="206" t="n"/>
    </row>
    <row r="104" ht="12.75" customHeight="1" s="207">
      <c r="A104" s="251" t="n"/>
      <c r="B104" s="206" t="n"/>
      <c r="C104" s="206" t="n"/>
      <c r="D104" s="206" t="n"/>
      <c r="E104" s="206" t="n"/>
      <c r="F104" s="206" t="n"/>
      <c r="G104" s="206" t="n"/>
      <c r="H104" s="206" t="n"/>
      <c r="I104" s="206" t="n"/>
    </row>
    <row r="105" ht="12.75" customHeight="1" s="207">
      <c r="A105" s="251" t="n"/>
      <c r="B105" s="206" t="n"/>
      <c r="C105" s="206" t="n"/>
      <c r="D105" s="206" t="n"/>
      <c r="E105" s="206" t="n"/>
      <c r="F105" s="206" t="n"/>
      <c r="G105" s="206" t="n"/>
      <c r="H105" s="206" t="n"/>
      <c r="I105" s="206" t="n"/>
    </row>
    <row r="106" ht="12.75" customHeight="1" s="207">
      <c r="A106" s="251" t="n"/>
      <c r="B106" s="206" t="n"/>
      <c r="C106" s="206" t="n"/>
      <c r="D106" s="206" t="n"/>
      <c r="E106" s="206" t="n"/>
      <c r="F106" s="206" t="n"/>
      <c r="G106" s="206" t="n"/>
      <c r="H106" s="206" t="n"/>
      <c r="I106" s="206" t="n"/>
    </row>
    <row r="107" ht="12.75" customHeight="1" s="207">
      <c r="A107" s="251" t="n"/>
      <c r="B107" s="206" t="n"/>
      <c r="C107" s="206" t="n"/>
      <c r="D107" s="206" t="n"/>
      <c r="E107" s="206" t="n"/>
      <c r="F107" s="206" t="n"/>
      <c r="G107" s="206" t="n"/>
      <c r="H107" s="206" t="n"/>
      <c r="I107" s="206" t="n"/>
    </row>
    <row r="108" ht="12.75" customHeight="1" s="207">
      <c r="A108" s="251" t="n"/>
      <c r="B108" s="206" t="n"/>
      <c r="C108" s="206" t="n"/>
      <c r="D108" s="206" t="n"/>
      <c r="E108" s="206" t="n"/>
      <c r="F108" s="206" t="n"/>
      <c r="G108" s="206" t="n"/>
      <c r="H108" s="206" t="n"/>
      <c r="I108" s="206" t="n"/>
    </row>
    <row r="109" ht="12.75" customHeight="1" s="207">
      <c r="A109" s="251" t="n"/>
      <c r="B109" s="206" t="n"/>
      <c r="C109" s="206" t="n"/>
      <c r="D109" s="206" t="n"/>
      <c r="E109" s="206" t="n"/>
      <c r="F109" s="206" t="n"/>
      <c r="G109" s="206" t="n"/>
      <c r="H109" s="206" t="n"/>
      <c r="I109" s="206" t="n"/>
    </row>
    <row r="110" ht="12.75" customHeight="1" s="207">
      <c r="A110" s="251" t="n"/>
      <c r="B110" s="206" t="n"/>
      <c r="C110" s="206" t="n"/>
      <c r="D110" s="206" t="n"/>
      <c r="E110" s="206" t="n"/>
      <c r="F110" s="206" t="n"/>
      <c r="G110" s="206" t="n"/>
      <c r="H110" s="206" t="n"/>
      <c r="I110" s="206" t="n"/>
    </row>
    <row r="111" ht="12.75" customHeight="1" s="207">
      <c r="A111" s="251" t="n"/>
      <c r="B111" s="206" t="n"/>
      <c r="C111" s="206" t="n"/>
      <c r="D111" s="206" t="n"/>
      <c r="E111" s="206" t="n"/>
      <c r="F111" s="206" t="n"/>
      <c r="G111" s="206" t="n"/>
      <c r="H111" s="206" t="n"/>
      <c r="I111" s="206" t="n"/>
    </row>
    <row r="112" ht="12.75" customHeight="1" s="207">
      <c r="A112" s="251" t="n"/>
      <c r="B112" s="206" t="n"/>
      <c r="C112" s="206" t="n"/>
      <c r="D112" s="206" t="n"/>
      <c r="E112" s="206" t="n"/>
      <c r="F112" s="206" t="n"/>
      <c r="G112" s="206" t="n"/>
      <c r="H112" s="206" t="n"/>
      <c r="I112" s="206" t="n"/>
    </row>
    <row r="113" ht="12.75" customHeight="1" s="207">
      <c r="A113" s="251" t="n"/>
      <c r="B113" s="206" t="n"/>
      <c r="C113" s="206" t="n"/>
      <c r="D113" s="206" t="n"/>
      <c r="E113" s="206" t="n"/>
      <c r="F113" s="206" t="n"/>
      <c r="G113" s="206" t="n"/>
      <c r="H113" s="206" t="n"/>
      <c r="I113" s="206" t="n"/>
    </row>
    <row r="114" ht="12.75" customHeight="1" s="207">
      <c r="A114" s="251" t="n"/>
      <c r="B114" s="206" t="n"/>
      <c r="C114" s="206" t="n"/>
      <c r="D114" s="206" t="n"/>
      <c r="E114" s="206" t="n"/>
      <c r="F114" s="206" t="n"/>
      <c r="G114" s="206" t="n"/>
      <c r="H114" s="206" t="n"/>
      <c r="I114" s="206" t="n"/>
    </row>
    <row r="115" ht="12.75" customHeight="1" s="207">
      <c r="A115" s="251" t="n"/>
      <c r="B115" s="206" t="n"/>
      <c r="C115" s="206" t="n"/>
      <c r="D115" s="206" t="n"/>
      <c r="E115" s="206" t="n"/>
      <c r="F115" s="206" t="n"/>
      <c r="G115" s="206" t="n"/>
      <c r="H115" s="206" t="n"/>
      <c r="I115" s="206" t="n"/>
    </row>
    <row r="116" ht="12.75" customHeight="1" s="207">
      <c r="A116" s="251" t="n"/>
      <c r="B116" s="206" t="n"/>
      <c r="C116" s="206" t="n"/>
      <c r="D116" s="206" t="n"/>
      <c r="E116" s="206" t="n"/>
      <c r="F116" s="206" t="n"/>
      <c r="G116" s="206" t="n"/>
      <c r="H116" s="206" t="n"/>
      <c r="I116" s="206" t="n"/>
    </row>
    <row r="117" ht="12.75" customHeight="1" s="207">
      <c r="A117" s="251" t="n"/>
      <c r="B117" s="206" t="n"/>
      <c r="C117" s="206" t="n"/>
      <c r="D117" s="206" t="n"/>
      <c r="E117" s="206" t="n"/>
      <c r="F117" s="206" t="n"/>
      <c r="G117" s="206" t="n"/>
      <c r="H117" s="206" t="n"/>
      <c r="I117" s="206" t="n"/>
    </row>
    <row r="118" ht="12.75" customHeight="1" s="207">
      <c r="A118" s="251" t="n"/>
      <c r="B118" s="206" t="n"/>
      <c r="C118" s="206" t="n"/>
      <c r="D118" s="206" t="n"/>
      <c r="E118" s="206" t="n"/>
      <c r="F118" s="206" t="n"/>
      <c r="G118" s="206" t="n"/>
      <c r="H118" s="206" t="n"/>
      <c r="I118" s="206" t="n"/>
    </row>
    <row r="119" ht="12.75" customHeight="1" s="207">
      <c r="A119" s="251" t="n"/>
      <c r="B119" s="206" t="n"/>
      <c r="C119" s="206" t="n"/>
      <c r="D119" s="206" t="n"/>
      <c r="E119" s="206" t="n"/>
      <c r="F119" s="206" t="n"/>
      <c r="G119" s="206" t="n"/>
      <c r="H119" s="206" t="n"/>
      <c r="I119" s="206" t="n"/>
    </row>
    <row r="120" ht="12.75" customHeight="1" s="207">
      <c r="A120" s="251" t="n"/>
      <c r="B120" s="206" t="n"/>
      <c r="C120" s="206" t="n"/>
      <c r="D120" s="206" t="n"/>
      <c r="E120" s="206" t="n"/>
      <c r="F120" s="206" t="n"/>
      <c r="G120" s="206" t="n"/>
      <c r="H120" s="206" t="n"/>
      <c r="I120" s="206" t="n"/>
    </row>
    <row r="121" ht="12.75" customHeight="1" s="207">
      <c r="A121" s="251" t="n"/>
      <c r="B121" s="206" t="n"/>
      <c r="C121" s="206" t="n"/>
      <c r="D121" s="206" t="n"/>
      <c r="E121" s="206" t="n"/>
      <c r="F121" s="206" t="n"/>
      <c r="G121" s="206" t="n"/>
      <c r="H121" s="206" t="n"/>
      <c r="I121" s="206" t="n"/>
    </row>
    <row r="122" ht="12.75" customHeight="1" s="207">
      <c r="A122" s="251" t="n"/>
      <c r="B122" s="206" t="n"/>
      <c r="C122" s="206" t="n"/>
      <c r="D122" s="206" t="n"/>
      <c r="E122" s="206" t="n"/>
      <c r="F122" s="206" t="n"/>
      <c r="G122" s="206" t="n"/>
      <c r="H122" s="206" t="n"/>
      <c r="I122" s="206" t="n"/>
    </row>
    <row r="123" ht="12.75" customHeight="1" s="207">
      <c r="A123" s="251" t="n"/>
      <c r="B123" s="206" t="n"/>
      <c r="C123" s="206" t="n"/>
      <c r="D123" s="206" t="n"/>
      <c r="E123" s="206" t="n"/>
      <c r="F123" s="206" t="n"/>
      <c r="G123" s="206" t="n"/>
      <c r="H123" s="206" t="n"/>
      <c r="I123" s="206" t="n"/>
    </row>
    <row r="124" ht="12.75" customHeight="1" s="207">
      <c r="A124" s="251" t="n"/>
      <c r="B124" s="206" t="n"/>
      <c r="C124" s="206" t="n"/>
      <c r="D124" s="206" t="n"/>
      <c r="E124" s="206" t="n"/>
      <c r="F124" s="206" t="n"/>
      <c r="G124" s="206" t="n"/>
      <c r="H124" s="206" t="n"/>
      <c r="I124" s="206" t="n"/>
    </row>
    <row r="125" ht="12.75" customHeight="1" s="207">
      <c r="A125" s="251" t="n"/>
      <c r="B125" s="206" t="n"/>
      <c r="C125" s="206" t="n"/>
      <c r="D125" s="206" t="n"/>
      <c r="E125" s="206" t="n"/>
      <c r="F125" s="206" t="n"/>
      <c r="G125" s="206" t="n"/>
      <c r="H125" s="206" t="n"/>
      <c r="I125" s="206" t="n"/>
    </row>
    <row r="126" ht="12.75" customHeight="1" s="207">
      <c r="A126" s="251" t="n"/>
      <c r="B126" s="206" t="n"/>
      <c r="C126" s="206" t="n"/>
      <c r="D126" s="206" t="n"/>
      <c r="E126" s="206" t="n"/>
      <c r="F126" s="206" t="n"/>
      <c r="G126" s="206" t="n"/>
      <c r="H126" s="206" t="n"/>
      <c r="I126" s="206" t="n"/>
    </row>
    <row r="127" ht="12.75" customHeight="1" s="207">
      <c r="A127" s="251" t="n"/>
      <c r="B127" s="206" t="n"/>
      <c r="C127" s="206" t="n"/>
      <c r="D127" s="206" t="n"/>
      <c r="E127" s="206" t="n"/>
      <c r="F127" s="206" t="n"/>
      <c r="G127" s="206" t="n"/>
      <c r="H127" s="206" t="n"/>
      <c r="I127" s="206" t="n"/>
    </row>
    <row r="128" ht="12.75" customHeight="1" s="207">
      <c r="A128" s="251" t="n"/>
      <c r="B128" s="206" t="n"/>
      <c r="C128" s="206" t="n"/>
      <c r="D128" s="206" t="n"/>
      <c r="E128" s="206" t="n"/>
      <c r="F128" s="206" t="n"/>
      <c r="G128" s="206" t="n"/>
      <c r="H128" s="206" t="n"/>
      <c r="I128" s="206" t="n"/>
    </row>
    <row r="129" ht="12.75" customHeight="1" s="207">
      <c r="A129" s="251" t="n"/>
      <c r="B129" s="206" t="n"/>
      <c r="C129" s="206" t="n"/>
      <c r="D129" s="206" t="n"/>
      <c r="E129" s="206" t="n"/>
      <c r="F129" s="206" t="n"/>
      <c r="G129" s="206" t="n"/>
      <c r="H129" s="206" t="n"/>
      <c r="I129" s="206" t="n"/>
    </row>
    <row r="130" ht="12.75" customHeight="1" s="207">
      <c r="A130" s="251" t="n"/>
      <c r="B130" s="206" t="n"/>
      <c r="C130" s="206" t="n"/>
      <c r="D130" s="206" t="n"/>
      <c r="E130" s="206" t="n"/>
      <c r="F130" s="206" t="n"/>
      <c r="G130" s="206" t="n"/>
      <c r="H130" s="206" t="n"/>
      <c r="I130" s="206" t="n"/>
    </row>
    <row r="131" ht="12.75" customHeight="1" s="207">
      <c r="A131" s="251" t="n"/>
      <c r="B131" s="206" t="n"/>
      <c r="C131" s="206" t="n"/>
      <c r="D131" s="206" t="n"/>
      <c r="E131" s="206" t="n"/>
      <c r="F131" s="206" t="n"/>
      <c r="G131" s="206" t="n"/>
      <c r="H131" s="206" t="n"/>
      <c r="I131" s="206" t="n"/>
    </row>
    <row r="132" ht="12.75" customHeight="1" s="207">
      <c r="A132" s="251" t="n"/>
      <c r="B132" s="206" t="n"/>
      <c r="C132" s="206" t="n"/>
      <c r="D132" s="206" t="n"/>
      <c r="E132" s="206" t="n"/>
      <c r="F132" s="206" t="n"/>
      <c r="G132" s="206" t="n"/>
      <c r="H132" s="206" t="n"/>
      <c r="I132" s="206" t="n"/>
    </row>
    <row r="133" ht="12.75" customHeight="1" s="207">
      <c r="A133" s="251" t="n"/>
      <c r="B133" s="206" t="n"/>
      <c r="C133" s="206" t="n"/>
      <c r="D133" s="206" t="n"/>
      <c r="E133" s="206" t="n"/>
      <c r="F133" s="206" t="n"/>
      <c r="G133" s="206" t="n"/>
      <c r="H133" s="206" t="n"/>
      <c r="I133" s="206" t="n"/>
    </row>
    <row r="134" ht="12.75" customHeight="1" s="207">
      <c r="A134" s="251" t="n"/>
      <c r="B134" s="206" t="n"/>
      <c r="C134" s="206" t="n"/>
      <c r="D134" s="206" t="n"/>
      <c r="E134" s="206" t="n"/>
      <c r="F134" s="206" t="n"/>
      <c r="G134" s="206" t="n"/>
      <c r="H134" s="206" t="n"/>
      <c r="I134" s="206" t="n"/>
    </row>
    <row r="135" ht="12.75" customHeight="1" s="207">
      <c r="A135" s="251" t="n"/>
      <c r="B135" s="206" t="n"/>
      <c r="C135" s="206" t="n"/>
      <c r="D135" s="206" t="n"/>
      <c r="E135" s="206" t="n"/>
      <c r="F135" s="206" t="n"/>
      <c r="G135" s="206" t="n"/>
      <c r="H135" s="206" t="n"/>
      <c r="I135" s="206" t="n"/>
    </row>
    <row r="136" ht="12.75" customHeight="1" s="207">
      <c r="A136" s="251" t="n"/>
      <c r="B136" s="206" t="n"/>
      <c r="C136" s="206" t="n"/>
      <c r="D136" s="206" t="n"/>
      <c r="E136" s="206" t="n"/>
      <c r="F136" s="206" t="n"/>
      <c r="G136" s="206" t="n"/>
      <c r="H136" s="206" t="n"/>
      <c r="I136" s="206" t="n"/>
    </row>
    <row r="137" ht="12.75" customHeight="1" s="207">
      <c r="A137" s="251" t="n"/>
      <c r="B137" s="206" t="n"/>
      <c r="C137" s="206" t="n"/>
      <c r="D137" s="206" t="n"/>
      <c r="E137" s="206" t="n"/>
      <c r="F137" s="206" t="n"/>
      <c r="G137" s="206" t="n"/>
      <c r="H137" s="206" t="n"/>
      <c r="I137" s="206" t="n"/>
    </row>
    <row r="138" ht="12.75" customHeight="1" s="207">
      <c r="A138" s="251" t="n"/>
      <c r="B138" s="206" t="n"/>
      <c r="C138" s="206" t="n"/>
      <c r="D138" s="206" t="n"/>
      <c r="E138" s="206" t="n"/>
      <c r="F138" s="206" t="n"/>
      <c r="G138" s="206" t="n"/>
      <c r="H138" s="206" t="n"/>
      <c r="I138" s="206" t="n"/>
    </row>
    <row r="139" ht="12.75" customHeight="1" s="207">
      <c r="A139" s="251" t="n"/>
      <c r="B139" s="206" t="n"/>
      <c r="C139" s="206" t="n"/>
      <c r="D139" s="206" t="n"/>
      <c r="E139" s="206" t="n"/>
      <c r="F139" s="206" t="n"/>
      <c r="G139" s="206" t="n"/>
      <c r="H139" s="206" t="n"/>
      <c r="I139" s="206" t="n"/>
    </row>
    <row r="140" ht="12.75" customHeight="1" s="207">
      <c r="A140" s="251" t="n"/>
      <c r="B140" s="206" t="n"/>
      <c r="C140" s="206" t="n"/>
      <c r="D140" s="206" t="n"/>
      <c r="E140" s="206" t="n"/>
      <c r="F140" s="206" t="n"/>
      <c r="G140" s="206" t="n"/>
      <c r="H140" s="206" t="n"/>
      <c r="I140" s="206" t="n"/>
    </row>
    <row r="141" ht="12.75" customHeight="1" s="207">
      <c r="A141" s="251" t="n"/>
      <c r="B141" s="206" t="n"/>
      <c r="C141" s="206" t="n"/>
      <c r="D141" s="206" t="n"/>
      <c r="E141" s="206" t="n"/>
      <c r="F141" s="206" t="n"/>
      <c r="G141" s="206" t="n"/>
      <c r="H141" s="206" t="n"/>
      <c r="I141" s="206" t="n"/>
    </row>
    <row r="142" ht="12.75" customHeight="1" s="207">
      <c r="A142" s="251" t="n"/>
      <c r="B142" s="206" t="n"/>
      <c r="C142" s="206" t="n"/>
      <c r="D142" s="206" t="n"/>
      <c r="E142" s="206" t="n"/>
      <c r="F142" s="206" t="n"/>
      <c r="G142" s="206" t="n"/>
      <c r="H142" s="206" t="n"/>
      <c r="I142" s="206" t="n"/>
    </row>
    <row r="143" ht="12.75" customHeight="1" s="207">
      <c r="A143" s="251" t="n"/>
      <c r="B143" s="206" t="n"/>
      <c r="C143" s="206" t="n"/>
      <c r="D143" s="206" t="n"/>
      <c r="E143" s="206" t="n"/>
      <c r="F143" s="206" t="n"/>
      <c r="G143" s="206" t="n"/>
      <c r="H143" s="206" t="n"/>
      <c r="I143" s="206" t="n"/>
    </row>
    <row r="144" ht="12.75" customHeight="1" s="207">
      <c r="A144" s="251" t="n"/>
      <c r="B144" s="206" t="n"/>
      <c r="C144" s="206" t="n"/>
      <c r="D144" s="206" t="n"/>
      <c r="E144" s="206" t="n"/>
      <c r="F144" s="206" t="n"/>
      <c r="G144" s="206" t="n"/>
      <c r="H144" s="206" t="n"/>
      <c r="I144" s="206" t="n"/>
    </row>
    <row r="145" ht="12.75" customHeight="1" s="207">
      <c r="A145" s="251" t="n"/>
      <c r="B145" s="206" t="n"/>
      <c r="C145" s="206" t="n"/>
      <c r="D145" s="206" t="n"/>
      <c r="E145" s="206" t="n"/>
      <c r="F145" s="206" t="n"/>
      <c r="G145" s="206" t="n"/>
      <c r="H145" s="206" t="n"/>
      <c r="I145" s="206" t="n"/>
    </row>
    <row r="146" ht="12.75" customHeight="1" s="207">
      <c r="A146" s="251" t="n"/>
      <c r="B146" s="206" t="n"/>
      <c r="C146" s="206" t="n"/>
      <c r="D146" s="206" t="n"/>
      <c r="E146" s="206" t="n"/>
      <c r="F146" s="206" t="n"/>
      <c r="G146" s="206" t="n"/>
      <c r="H146" s="206" t="n"/>
      <c r="I146" s="206" t="n"/>
    </row>
    <row r="147" ht="12.75" customHeight="1" s="207">
      <c r="A147" s="251" t="n"/>
      <c r="B147" s="206" t="n"/>
      <c r="C147" s="206" t="n"/>
      <c r="D147" s="206" t="n"/>
      <c r="E147" s="206" t="n"/>
      <c r="F147" s="206" t="n"/>
      <c r="G147" s="206" t="n"/>
      <c r="H147" s="206" t="n"/>
      <c r="I147" s="206" t="n"/>
    </row>
    <row r="148" ht="12.75" customHeight="1" s="207">
      <c r="A148" s="251" t="n"/>
      <c r="B148" s="206" t="n"/>
      <c r="C148" s="206" t="n"/>
      <c r="D148" s="206" t="n"/>
      <c r="E148" s="206" t="n"/>
      <c r="F148" s="206" t="n"/>
      <c r="G148" s="206" t="n"/>
      <c r="H148" s="206" t="n"/>
      <c r="I148" s="206" t="n"/>
    </row>
    <row r="149" ht="12.75" customHeight="1" s="207">
      <c r="A149" s="251" t="n"/>
      <c r="B149" s="206" t="n"/>
      <c r="C149" s="206" t="n"/>
      <c r="D149" s="206" t="n"/>
      <c r="E149" s="206" t="n"/>
      <c r="F149" s="206" t="n"/>
      <c r="G149" s="206" t="n"/>
      <c r="H149" s="206" t="n"/>
      <c r="I149" s="206" t="n"/>
    </row>
    <row r="150" ht="12.75" customHeight="1" s="207">
      <c r="A150" s="251" t="n"/>
      <c r="B150" s="206" t="n"/>
      <c r="C150" s="206" t="n"/>
      <c r="D150" s="206" t="n"/>
      <c r="E150" s="206" t="n"/>
      <c r="F150" s="206" t="n"/>
      <c r="G150" s="206" t="n"/>
      <c r="H150" s="206" t="n"/>
      <c r="I150" s="206" t="n"/>
    </row>
    <row r="151" ht="12.75" customHeight="1" s="207">
      <c r="A151" s="251" t="n"/>
      <c r="B151" s="206" t="n"/>
      <c r="C151" s="206" t="n"/>
      <c r="D151" s="206" t="n"/>
      <c r="E151" s="206" t="n"/>
      <c r="F151" s="206" t="n"/>
      <c r="G151" s="206" t="n"/>
      <c r="H151" s="206" t="n"/>
      <c r="I151" s="206" t="n"/>
    </row>
    <row r="152" ht="12.75" customHeight="1" s="207">
      <c r="A152" s="251" t="n"/>
      <c r="B152" s="206" t="n"/>
      <c r="C152" s="206" t="n"/>
      <c r="D152" s="206" t="n"/>
      <c r="E152" s="206" t="n"/>
      <c r="F152" s="206" t="n"/>
      <c r="G152" s="206" t="n"/>
      <c r="H152" s="206" t="n"/>
      <c r="I152" s="206" t="n"/>
    </row>
    <row r="153" ht="12.75" customHeight="1" s="207">
      <c r="A153" s="251" t="n"/>
      <c r="B153" s="206" t="n"/>
      <c r="C153" s="206" t="n"/>
      <c r="D153" s="206" t="n"/>
      <c r="E153" s="206" t="n"/>
      <c r="F153" s="206" t="n"/>
      <c r="G153" s="206" t="n"/>
      <c r="H153" s="206" t="n"/>
      <c r="I153" s="206" t="n"/>
    </row>
    <row r="154" ht="12.75" customHeight="1" s="207">
      <c r="A154" s="251" t="n"/>
      <c r="B154" s="206" t="n"/>
      <c r="C154" s="206" t="n"/>
      <c r="D154" s="206" t="n"/>
      <c r="E154" s="206" t="n"/>
      <c r="F154" s="206" t="n"/>
      <c r="G154" s="206" t="n"/>
      <c r="H154" s="206" t="n"/>
      <c r="I154" s="206" t="n"/>
    </row>
    <row r="155" ht="12.75" customHeight="1" s="207">
      <c r="A155" s="251" t="n"/>
      <c r="B155" s="206" t="n"/>
      <c r="C155" s="206" t="n"/>
      <c r="D155" s="206" t="n"/>
      <c r="E155" s="206" t="n"/>
      <c r="F155" s="206" t="n"/>
      <c r="G155" s="206" t="n"/>
      <c r="H155" s="206" t="n"/>
      <c r="I155" s="206" t="n"/>
    </row>
    <row r="156" ht="12.75" customHeight="1" s="207">
      <c r="A156" s="251" t="n"/>
      <c r="B156" s="206" t="n"/>
      <c r="C156" s="206" t="n"/>
      <c r="D156" s="206" t="n"/>
      <c r="E156" s="206" t="n"/>
      <c r="F156" s="206" t="n"/>
      <c r="G156" s="206" t="n"/>
      <c r="H156" s="206" t="n"/>
      <c r="I156" s="206" t="n"/>
    </row>
    <row r="157" ht="12.75" customHeight="1" s="207">
      <c r="A157" s="251" t="n"/>
      <c r="B157" s="206" t="n"/>
      <c r="C157" s="206" t="n"/>
      <c r="D157" s="206" t="n"/>
      <c r="E157" s="206" t="n"/>
      <c r="F157" s="206" t="n"/>
      <c r="G157" s="206" t="n"/>
      <c r="H157" s="206" t="n"/>
      <c r="I157" s="206" t="n"/>
    </row>
    <row r="158" ht="12.75" customHeight="1" s="207">
      <c r="A158" s="251" t="n"/>
      <c r="B158" s="206" t="n"/>
      <c r="C158" s="206" t="n"/>
      <c r="D158" s="206" t="n"/>
      <c r="E158" s="206" t="n"/>
      <c r="F158" s="206" t="n"/>
      <c r="G158" s="206" t="n"/>
      <c r="H158" s="206" t="n"/>
      <c r="I158" s="206" t="n"/>
    </row>
    <row r="159" ht="12.75" customHeight="1" s="207">
      <c r="A159" s="251" t="n"/>
      <c r="B159" s="206" t="n"/>
      <c r="C159" s="206" t="n"/>
      <c r="D159" s="206" t="n"/>
      <c r="E159" s="206" t="n"/>
      <c r="F159" s="206" t="n"/>
      <c r="G159" s="206" t="n"/>
      <c r="H159" s="206" t="n"/>
      <c r="I159" s="206" t="n"/>
    </row>
    <row r="160" ht="12.75" customHeight="1" s="207">
      <c r="A160" s="251" t="n"/>
      <c r="B160" s="206" t="n"/>
      <c r="C160" s="206" t="n"/>
      <c r="D160" s="206" t="n"/>
      <c r="E160" s="206" t="n"/>
      <c r="F160" s="206" t="n"/>
      <c r="G160" s="206" t="n"/>
      <c r="H160" s="206" t="n"/>
      <c r="I160" s="206" t="n"/>
    </row>
    <row r="161" ht="12.75" customHeight="1" s="207">
      <c r="A161" s="251" t="n"/>
      <c r="B161" s="206" t="n"/>
      <c r="C161" s="206" t="n"/>
      <c r="D161" s="206" t="n"/>
      <c r="E161" s="206" t="n"/>
      <c r="F161" s="206" t="n"/>
      <c r="G161" s="206" t="n"/>
      <c r="H161" s="206" t="n"/>
      <c r="I161" s="206" t="n"/>
    </row>
    <row r="162" ht="12.75" customHeight="1" s="207">
      <c r="A162" s="251" t="n"/>
      <c r="B162" s="206" t="n"/>
      <c r="C162" s="206" t="n"/>
      <c r="D162" s="206" t="n"/>
      <c r="E162" s="206" t="n"/>
      <c r="F162" s="206" t="n"/>
      <c r="G162" s="206" t="n"/>
      <c r="H162" s="206" t="n"/>
      <c r="I162" s="206" t="n"/>
    </row>
    <row r="163" ht="12.75" customHeight="1" s="207">
      <c r="A163" s="251" t="n"/>
      <c r="B163" s="206" t="n"/>
      <c r="C163" s="206" t="n"/>
      <c r="D163" s="206" t="n"/>
      <c r="E163" s="206" t="n"/>
      <c r="F163" s="206" t="n"/>
      <c r="G163" s="206" t="n"/>
      <c r="H163" s="206" t="n"/>
      <c r="I163" s="206" t="n"/>
    </row>
    <row r="164" ht="12.75" customHeight="1" s="207">
      <c r="A164" s="251" t="n"/>
      <c r="B164" s="206" t="n"/>
      <c r="C164" s="206" t="n"/>
      <c r="D164" s="206" t="n"/>
      <c r="E164" s="206" t="n"/>
      <c r="F164" s="206" t="n"/>
      <c r="G164" s="206" t="n"/>
      <c r="H164" s="206" t="n"/>
      <c r="I164" s="206" t="n"/>
    </row>
    <row r="165" ht="12.75" customHeight="1" s="207">
      <c r="A165" s="251" t="n"/>
      <c r="B165" s="206" t="n"/>
      <c r="C165" s="206" t="n"/>
      <c r="D165" s="206" t="n"/>
      <c r="E165" s="206" t="n"/>
      <c r="F165" s="206" t="n"/>
      <c r="G165" s="206" t="n"/>
      <c r="H165" s="206" t="n"/>
      <c r="I165" s="206" t="n"/>
    </row>
    <row r="166" ht="12.75" customHeight="1" s="207">
      <c r="A166" s="251" t="n"/>
      <c r="B166" s="206" t="n"/>
      <c r="C166" s="206" t="n"/>
      <c r="D166" s="206" t="n"/>
      <c r="E166" s="206" t="n"/>
      <c r="F166" s="206" t="n"/>
      <c r="G166" s="206" t="n"/>
      <c r="H166" s="206" t="n"/>
      <c r="I166" s="206" t="n"/>
    </row>
    <row r="167" ht="12.75" customHeight="1" s="207">
      <c r="A167" s="251" t="n"/>
      <c r="B167" s="206" t="n"/>
      <c r="C167" s="206" t="n"/>
      <c r="D167" s="206" t="n"/>
      <c r="E167" s="206" t="n"/>
      <c r="F167" s="206" t="n"/>
      <c r="G167" s="206" t="n"/>
      <c r="H167" s="206" t="n"/>
      <c r="I167" s="206" t="n"/>
    </row>
    <row r="168" ht="12.75" customHeight="1" s="207">
      <c r="A168" s="251" t="n"/>
      <c r="B168" s="206" t="n"/>
      <c r="C168" s="206" t="n"/>
      <c r="D168" s="206" t="n"/>
      <c r="E168" s="206" t="n"/>
      <c r="F168" s="206" t="n"/>
      <c r="G168" s="206" t="n"/>
      <c r="H168" s="206" t="n"/>
      <c r="I168" s="206" t="n"/>
    </row>
    <row r="169" ht="12.75" customHeight="1" s="207">
      <c r="A169" s="251" t="n"/>
      <c r="B169" s="206" t="n"/>
      <c r="C169" s="206" t="n"/>
      <c r="D169" s="206" t="n"/>
      <c r="E169" s="206" t="n"/>
      <c r="F169" s="206" t="n"/>
      <c r="G169" s="206" t="n"/>
      <c r="H169" s="206" t="n"/>
      <c r="I169" s="206" t="n"/>
    </row>
    <row r="170" ht="12.75" customHeight="1" s="207">
      <c r="A170" s="251" t="n"/>
      <c r="B170" s="206" t="n"/>
      <c r="C170" s="206" t="n"/>
      <c r="D170" s="206" t="n"/>
      <c r="E170" s="206" t="n"/>
      <c r="F170" s="206" t="n"/>
      <c r="G170" s="206" t="n"/>
      <c r="H170" s="206" t="n"/>
      <c r="I170" s="206" t="n"/>
    </row>
    <row r="171" ht="12.75" customHeight="1" s="207">
      <c r="A171" s="251" t="n"/>
      <c r="B171" s="206" t="n"/>
      <c r="C171" s="206" t="n"/>
      <c r="D171" s="206" t="n"/>
      <c r="E171" s="206" t="n"/>
      <c r="F171" s="206" t="n"/>
      <c r="G171" s="206" t="n"/>
      <c r="H171" s="206" t="n"/>
      <c r="I171" s="206" t="n"/>
    </row>
    <row r="172" ht="12.75" customHeight="1" s="207">
      <c r="A172" s="251" t="n"/>
      <c r="B172" s="206" t="n"/>
      <c r="C172" s="206" t="n"/>
      <c r="D172" s="206" t="n"/>
      <c r="E172" s="206" t="n"/>
      <c r="F172" s="206" t="n"/>
      <c r="G172" s="206" t="n"/>
      <c r="H172" s="206" t="n"/>
      <c r="I172" s="206" t="n"/>
    </row>
    <row r="173" ht="12.75" customHeight="1" s="207">
      <c r="A173" s="251" t="n"/>
      <c r="B173" s="206" t="n"/>
      <c r="C173" s="206" t="n"/>
      <c r="D173" s="206" t="n"/>
      <c r="E173" s="206" t="n"/>
      <c r="F173" s="206" t="n"/>
      <c r="G173" s="206" t="n"/>
      <c r="H173" s="206" t="n"/>
      <c r="I173" s="206" t="n"/>
    </row>
    <row r="174" ht="12.75" customHeight="1" s="207">
      <c r="A174" s="251" t="n"/>
      <c r="B174" s="206" t="n"/>
      <c r="C174" s="206" t="n"/>
      <c r="D174" s="206" t="n"/>
      <c r="E174" s="206" t="n"/>
      <c r="F174" s="206" t="n"/>
      <c r="G174" s="206" t="n"/>
      <c r="H174" s="206" t="n"/>
      <c r="I174" s="206" t="n"/>
    </row>
    <row r="175" ht="12.75" customHeight="1" s="207">
      <c r="A175" s="251" t="n"/>
      <c r="B175" s="206" t="n"/>
      <c r="C175" s="206" t="n"/>
      <c r="D175" s="206" t="n"/>
      <c r="E175" s="206" t="n"/>
      <c r="F175" s="206" t="n"/>
      <c r="G175" s="206" t="n"/>
      <c r="H175" s="206" t="n"/>
      <c r="I175" s="206" t="n"/>
    </row>
    <row r="176" ht="12.75" customHeight="1" s="207">
      <c r="A176" s="251" t="n"/>
      <c r="B176" s="206" t="n"/>
      <c r="C176" s="206" t="n"/>
      <c r="D176" s="206" t="n"/>
      <c r="E176" s="206" t="n"/>
      <c r="F176" s="206" t="n"/>
      <c r="G176" s="206" t="n"/>
      <c r="H176" s="206" t="n"/>
      <c r="I176" s="206" t="n"/>
    </row>
    <row r="177" ht="12.75" customHeight="1" s="207">
      <c r="A177" s="251" t="n"/>
      <c r="B177" s="206" t="n"/>
      <c r="C177" s="206" t="n"/>
      <c r="D177" s="206" t="n"/>
      <c r="E177" s="206" t="n"/>
      <c r="F177" s="206" t="n"/>
      <c r="G177" s="206" t="n"/>
      <c r="H177" s="206" t="n"/>
      <c r="I177" s="206" t="n"/>
    </row>
    <row r="178" ht="12.75" customHeight="1" s="207">
      <c r="A178" s="251" t="n"/>
      <c r="B178" s="206" t="n"/>
      <c r="C178" s="206" t="n"/>
      <c r="D178" s="206" t="n"/>
      <c r="E178" s="206" t="n"/>
      <c r="F178" s="206" t="n"/>
      <c r="G178" s="206" t="n"/>
      <c r="H178" s="206" t="n"/>
      <c r="I178" s="206" t="n"/>
    </row>
    <row r="179" ht="12.75" customHeight="1" s="207">
      <c r="A179" s="251" t="n"/>
      <c r="B179" s="206" t="n"/>
      <c r="C179" s="206" t="n"/>
      <c r="D179" s="206" t="n"/>
      <c r="E179" s="206" t="n"/>
      <c r="F179" s="206" t="n"/>
      <c r="G179" s="206" t="n"/>
      <c r="H179" s="206" t="n"/>
      <c r="I179" s="206" t="n"/>
    </row>
    <row r="180" ht="12.75" customHeight="1" s="207">
      <c r="A180" s="251" t="n"/>
      <c r="B180" s="206" t="n"/>
      <c r="C180" s="206" t="n"/>
      <c r="D180" s="206" t="n"/>
      <c r="E180" s="206" t="n"/>
      <c r="F180" s="206" t="n"/>
      <c r="G180" s="206" t="n"/>
      <c r="H180" s="206" t="n"/>
      <c r="I180" s="206" t="n"/>
    </row>
    <row r="181" ht="12.75" customHeight="1" s="207">
      <c r="A181" s="251" t="n"/>
      <c r="B181" s="206" t="n"/>
      <c r="C181" s="206" t="n"/>
      <c r="D181" s="206" t="n"/>
      <c r="E181" s="206" t="n"/>
      <c r="F181" s="206" t="n"/>
      <c r="G181" s="206" t="n"/>
      <c r="H181" s="206" t="n"/>
      <c r="I181" s="206" t="n"/>
    </row>
    <row r="182" ht="12.75" customHeight="1" s="207">
      <c r="A182" s="251" t="n"/>
      <c r="B182" s="206" t="n"/>
      <c r="C182" s="206" t="n"/>
      <c r="D182" s="206" t="n"/>
      <c r="E182" s="206" t="n"/>
      <c r="F182" s="206" t="n"/>
      <c r="G182" s="206" t="n"/>
      <c r="H182" s="206" t="n"/>
      <c r="I182" s="206" t="n"/>
    </row>
    <row r="183" ht="12.75" customHeight="1" s="207">
      <c r="A183" s="251" t="n"/>
      <c r="B183" s="206" t="n"/>
      <c r="C183" s="206" t="n"/>
      <c r="D183" s="206" t="n"/>
      <c r="E183" s="206" t="n"/>
      <c r="F183" s="206" t="n"/>
      <c r="G183" s="206" t="n"/>
      <c r="H183" s="206" t="n"/>
      <c r="I183" s="206" t="n"/>
    </row>
    <row r="184" ht="12.75" customHeight="1" s="207">
      <c r="A184" s="251" t="n"/>
      <c r="B184" s="206" t="n"/>
      <c r="C184" s="206" t="n"/>
      <c r="D184" s="206" t="n"/>
      <c r="E184" s="206" t="n"/>
      <c r="F184" s="206" t="n"/>
      <c r="G184" s="206" t="n"/>
      <c r="H184" s="206" t="n"/>
      <c r="I184" s="206" t="n"/>
    </row>
    <row r="185" ht="12.75" customHeight="1" s="207">
      <c r="A185" s="251" t="n"/>
      <c r="B185" s="206" t="n"/>
      <c r="C185" s="206" t="n"/>
      <c r="D185" s="206" t="n"/>
      <c r="E185" s="206" t="n"/>
      <c r="F185" s="206" t="n"/>
      <c r="G185" s="206" t="n"/>
      <c r="H185" s="206" t="n"/>
      <c r="I185" s="206" t="n"/>
    </row>
    <row r="186" ht="12.75" customHeight="1" s="207">
      <c r="A186" s="251" t="n"/>
      <c r="B186" s="206" t="n"/>
      <c r="C186" s="206" t="n"/>
      <c r="D186" s="206" t="n"/>
      <c r="E186" s="206" t="n"/>
      <c r="F186" s="206" t="n"/>
      <c r="G186" s="206" t="n"/>
      <c r="H186" s="206" t="n"/>
      <c r="I186" s="206" t="n"/>
    </row>
    <row r="187" ht="12.75" customHeight="1" s="207">
      <c r="A187" s="251" t="n"/>
      <c r="B187" s="206" t="n"/>
      <c r="C187" s="206" t="n"/>
      <c r="D187" s="206" t="n"/>
      <c r="E187" s="206" t="n"/>
      <c r="F187" s="206" t="n"/>
      <c r="G187" s="206" t="n"/>
      <c r="H187" s="206" t="n"/>
      <c r="I187" s="206" t="n"/>
    </row>
    <row r="188" ht="12.75" customHeight="1" s="207">
      <c r="A188" s="251" t="n"/>
      <c r="B188" s="206" t="n"/>
      <c r="C188" s="206" t="n"/>
      <c r="D188" s="206" t="n"/>
      <c r="E188" s="206" t="n"/>
      <c r="F188" s="206" t="n"/>
      <c r="G188" s="206" t="n"/>
      <c r="H188" s="206" t="n"/>
      <c r="I188" s="206" t="n"/>
    </row>
    <row r="189" ht="12.75" customHeight="1" s="207">
      <c r="A189" s="251" t="n"/>
      <c r="B189" s="206" t="n"/>
      <c r="C189" s="206" t="n"/>
      <c r="D189" s="206" t="n"/>
      <c r="E189" s="206" t="n"/>
      <c r="F189" s="206" t="n"/>
      <c r="G189" s="206" t="n"/>
      <c r="H189" s="206" t="n"/>
      <c r="I189" s="206" t="n"/>
    </row>
    <row r="190" ht="12.75" customHeight="1" s="207">
      <c r="A190" s="251" t="n"/>
      <c r="B190" s="206" t="n"/>
      <c r="C190" s="206" t="n"/>
      <c r="D190" s="206" t="n"/>
      <c r="E190" s="206" t="n"/>
      <c r="F190" s="206" t="n"/>
      <c r="G190" s="206" t="n"/>
      <c r="H190" s="206" t="n"/>
      <c r="I190" s="206" t="n"/>
    </row>
    <row r="191" ht="12.75" customHeight="1" s="207">
      <c r="A191" s="251" t="n"/>
      <c r="B191" s="206" t="n"/>
      <c r="C191" s="206" t="n"/>
      <c r="D191" s="206" t="n"/>
      <c r="E191" s="206" t="n"/>
      <c r="F191" s="206" t="n"/>
      <c r="G191" s="206" t="n"/>
      <c r="H191" s="206" t="n"/>
      <c r="I191" s="206" t="n"/>
    </row>
    <row r="192" ht="12.75" customHeight="1" s="207">
      <c r="A192" s="251" t="n"/>
      <c r="B192" s="206" t="n"/>
      <c r="C192" s="206" t="n"/>
      <c r="D192" s="206" t="n"/>
      <c r="E192" s="206" t="n"/>
      <c r="F192" s="206" t="n"/>
      <c r="G192" s="206" t="n"/>
      <c r="H192" s="206" t="n"/>
      <c r="I192" s="206" t="n"/>
    </row>
    <row r="193" ht="12.75" customHeight="1" s="207">
      <c r="A193" s="251" t="n"/>
      <c r="B193" s="206" t="n"/>
      <c r="C193" s="206" t="n"/>
      <c r="D193" s="206" t="n"/>
      <c r="E193" s="206" t="n"/>
      <c r="F193" s="206" t="n"/>
      <c r="G193" s="206" t="n"/>
      <c r="H193" s="206" t="n"/>
      <c r="I193" s="206" t="n"/>
    </row>
    <row r="194" ht="12.75" customHeight="1" s="207">
      <c r="A194" s="251" t="n"/>
      <c r="B194" s="206" t="n"/>
      <c r="C194" s="206" t="n"/>
      <c r="D194" s="206" t="n"/>
      <c r="E194" s="206" t="n"/>
      <c r="F194" s="206" t="n"/>
      <c r="G194" s="206" t="n"/>
      <c r="H194" s="206" t="n"/>
      <c r="I194" s="206" t="n"/>
    </row>
    <row r="195" ht="12.75" customHeight="1" s="207">
      <c r="A195" s="251" t="n"/>
      <c r="B195" s="206" t="n"/>
      <c r="C195" s="206" t="n"/>
      <c r="D195" s="206" t="n"/>
      <c r="E195" s="206" t="n"/>
      <c r="F195" s="206" t="n"/>
      <c r="G195" s="206" t="n"/>
      <c r="H195" s="206" t="n"/>
      <c r="I195" s="206" t="n"/>
    </row>
    <row r="196" ht="12.75" customHeight="1" s="207">
      <c r="A196" s="251" t="n"/>
      <c r="B196" s="206" t="n"/>
      <c r="C196" s="206" t="n"/>
      <c r="D196" s="206" t="n"/>
      <c r="E196" s="206" t="n"/>
      <c r="F196" s="206" t="n"/>
      <c r="G196" s="206" t="n"/>
      <c r="H196" s="206" t="n"/>
      <c r="I196" s="206" t="n"/>
    </row>
    <row r="197" ht="12.75" customHeight="1" s="207">
      <c r="A197" s="251" t="n"/>
      <c r="B197" s="206" t="n"/>
      <c r="C197" s="206" t="n"/>
      <c r="D197" s="206" t="n"/>
      <c r="E197" s="206" t="n"/>
      <c r="F197" s="206" t="n"/>
      <c r="G197" s="206" t="n"/>
      <c r="H197" s="206" t="n"/>
      <c r="I197" s="206" t="n"/>
    </row>
    <row r="198" ht="12.75" customHeight="1" s="207">
      <c r="A198" s="251" t="n"/>
      <c r="B198" s="206" t="n"/>
      <c r="C198" s="206" t="n"/>
      <c r="D198" s="206" t="n"/>
      <c r="E198" s="206" t="n"/>
      <c r="F198" s="206" t="n"/>
      <c r="G198" s="206" t="n"/>
      <c r="H198" s="206" t="n"/>
      <c r="I198" s="206" t="n"/>
    </row>
    <row r="199" ht="12.75" customHeight="1" s="207">
      <c r="A199" s="251" t="n"/>
      <c r="B199" s="206" t="n"/>
      <c r="C199" s="206" t="n"/>
      <c r="D199" s="206" t="n"/>
      <c r="E199" s="206" t="n"/>
      <c r="F199" s="206" t="n"/>
      <c r="G199" s="206" t="n"/>
      <c r="H199" s="206" t="n"/>
      <c r="I199" s="206" t="n"/>
    </row>
    <row r="200" ht="12.75" customHeight="1" s="207">
      <c r="A200" s="251" t="n"/>
      <c r="B200" s="206" t="n"/>
      <c r="C200" s="206" t="n"/>
      <c r="D200" s="206" t="n"/>
      <c r="E200" s="206" t="n"/>
      <c r="F200" s="206" t="n"/>
      <c r="G200" s="206" t="n"/>
      <c r="H200" s="206" t="n"/>
      <c r="I200" s="206" t="n"/>
    </row>
    <row r="201" ht="12.75" customHeight="1" s="207">
      <c r="A201" s="251" t="n"/>
      <c r="B201" s="206" t="n"/>
      <c r="C201" s="206" t="n"/>
      <c r="D201" s="206" t="n"/>
      <c r="E201" s="206" t="n"/>
      <c r="F201" s="206" t="n"/>
      <c r="G201" s="206" t="n"/>
      <c r="H201" s="206" t="n"/>
      <c r="I201" s="206" t="n"/>
    </row>
    <row r="202" ht="12.75" customHeight="1" s="207">
      <c r="A202" s="251" t="n"/>
      <c r="B202" s="206" t="n"/>
      <c r="C202" s="206" t="n"/>
      <c r="D202" s="206" t="n"/>
      <c r="E202" s="206" t="n"/>
      <c r="F202" s="206" t="n"/>
      <c r="G202" s="206" t="n"/>
      <c r="H202" s="206" t="n"/>
      <c r="I202" s="206" t="n"/>
    </row>
    <row r="203" ht="12.75" customHeight="1" s="207">
      <c r="A203" s="251" t="n"/>
      <c r="B203" s="206" t="n"/>
      <c r="C203" s="206" t="n"/>
      <c r="D203" s="206" t="n"/>
      <c r="E203" s="206" t="n"/>
      <c r="F203" s="206" t="n"/>
      <c r="G203" s="206" t="n"/>
      <c r="H203" s="206" t="n"/>
      <c r="I203" s="206" t="n"/>
    </row>
    <row r="204" ht="12.75" customHeight="1" s="207">
      <c r="A204" s="251" t="n"/>
      <c r="B204" s="206" t="n"/>
      <c r="C204" s="206" t="n"/>
      <c r="D204" s="206" t="n"/>
      <c r="E204" s="206" t="n"/>
      <c r="F204" s="206" t="n"/>
      <c r="G204" s="206" t="n"/>
      <c r="H204" s="206" t="n"/>
      <c r="I204" s="206" t="n"/>
    </row>
    <row r="205" ht="12.75" customHeight="1" s="207">
      <c r="A205" s="251" t="n"/>
      <c r="B205" s="206" t="n"/>
      <c r="C205" s="206" t="n"/>
      <c r="D205" s="206" t="n"/>
      <c r="E205" s="206" t="n"/>
      <c r="F205" s="206" t="n"/>
      <c r="G205" s="206" t="n"/>
      <c r="H205" s="206" t="n"/>
      <c r="I205" s="206" t="n"/>
    </row>
    <row r="206" ht="12.75" customHeight="1" s="207">
      <c r="A206" s="251" t="n"/>
      <c r="B206" s="206" t="n"/>
      <c r="C206" s="206" t="n"/>
      <c r="D206" s="206" t="n"/>
      <c r="E206" s="206" t="n"/>
      <c r="F206" s="206" t="n"/>
      <c r="G206" s="206" t="n"/>
      <c r="H206" s="206" t="n"/>
      <c r="I206" s="206" t="n"/>
    </row>
    <row r="207" ht="12.75" customHeight="1" s="207">
      <c r="A207" s="251" t="n"/>
      <c r="B207" s="206" t="n"/>
      <c r="C207" s="206" t="n"/>
      <c r="D207" s="206" t="n"/>
      <c r="E207" s="206" t="n"/>
      <c r="F207" s="206" t="n"/>
      <c r="G207" s="206" t="n"/>
      <c r="H207" s="206" t="n"/>
      <c r="I207" s="206" t="n"/>
    </row>
    <row r="208" ht="12.75" customHeight="1" s="207">
      <c r="A208" s="251" t="n"/>
      <c r="B208" s="206" t="n"/>
      <c r="C208" s="206" t="n"/>
      <c r="D208" s="206" t="n"/>
      <c r="E208" s="206" t="n"/>
      <c r="F208" s="206" t="n"/>
      <c r="G208" s="206" t="n"/>
      <c r="H208" s="206" t="n"/>
      <c r="I208" s="206" t="n"/>
    </row>
    <row r="209" ht="12.75" customHeight="1" s="207">
      <c r="A209" s="251" t="n"/>
      <c r="B209" s="206" t="n"/>
      <c r="C209" s="206" t="n"/>
      <c r="D209" s="206" t="n"/>
      <c r="E209" s="206" t="n"/>
      <c r="F209" s="206" t="n"/>
      <c r="G209" s="206" t="n"/>
      <c r="H209" s="206" t="n"/>
      <c r="I209" s="206" t="n"/>
    </row>
    <row r="210" ht="12.75" customHeight="1" s="207">
      <c r="A210" s="251" t="n"/>
      <c r="B210" s="206" t="n"/>
      <c r="C210" s="206" t="n"/>
      <c r="D210" s="206" t="n"/>
      <c r="E210" s="206" t="n"/>
      <c r="F210" s="206" t="n"/>
      <c r="G210" s="206" t="n"/>
      <c r="H210" s="206" t="n"/>
      <c r="I210" s="206" t="n"/>
    </row>
    <row r="211" ht="12.75" customHeight="1" s="207">
      <c r="A211" s="251" t="n"/>
      <c r="B211" s="206" t="n"/>
      <c r="C211" s="206" t="n"/>
      <c r="D211" s="206" t="n"/>
      <c r="E211" s="206" t="n"/>
      <c r="F211" s="206" t="n"/>
      <c r="G211" s="206" t="n"/>
      <c r="H211" s="206" t="n"/>
      <c r="I211" s="206" t="n"/>
    </row>
    <row r="212" ht="12.75" customHeight="1" s="207">
      <c r="A212" s="251" t="n"/>
      <c r="B212" s="206" t="n"/>
      <c r="C212" s="206" t="n"/>
      <c r="D212" s="206" t="n"/>
      <c r="E212" s="206" t="n"/>
      <c r="F212" s="206" t="n"/>
      <c r="G212" s="206" t="n"/>
      <c r="H212" s="206" t="n"/>
      <c r="I212" s="206" t="n"/>
    </row>
    <row r="213" ht="12.75" customHeight="1" s="207">
      <c r="A213" s="251" t="n"/>
      <c r="B213" s="206" t="n"/>
      <c r="C213" s="206" t="n"/>
      <c r="D213" s="206" t="n"/>
      <c r="E213" s="206" t="n"/>
      <c r="F213" s="206" t="n"/>
      <c r="G213" s="206" t="n"/>
      <c r="H213" s="206" t="n"/>
      <c r="I213" s="206" t="n"/>
    </row>
    <row r="214" ht="12.75" customHeight="1" s="207">
      <c r="A214" s="251" t="n"/>
      <c r="B214" s="206" t="n"/>
      <c r="C214" s="206" t="n"/>
      <c r="D214" s="206" t="n"/>
      <c r="E214" s="206" t="n"/>
      <c r="F214" s="206" t="n"/>
      <c r="G214" s="206" t="n"/>
      <c r="H214" s="206" t="n"/>
      <c r="I214" s="206" t="n"/>
    </row>
    <row r="215" ht="12.75" customHeight="1" s="207">
      <c r="A215" s="251" t="n"/>
      <c r="B215" s="206" t="n"/>
      <c r="C215" s="206" t="n"/>
      <c r="D215" s="206" t="n"/>
      <c r="E215" s="206" t="n"/>
      <c r="F215" s="206" t="n"/>
      <c r="G215" s="206" t="n"/>
      <c r="H215" s="206" t="n"/>
      <c r="I215" s="206" t="n"/>
    </row>
    <row r="216" ht="12.75" customHeight="1" s="207">
      <c r="A216" s="251" t="n"/>
      <c r="B216" s="206" t="n"/>
      <c r="C216" s="206" t="n"/>
      <c r="D216" s="206" t="n"/>
      <c r="E216" s="206" t="n"/>
      <c r="F216" s="206" t="n"/>
      <c r="G216" s="206" t="n"/>
      <c r="H216" s="206" t="n"/>
      <c r="I216" s="206" t="n"/>
    </row>
    <row r="217" ht="12.75" customHeight="1" s="207">
      <c r="A217" s="251" t="n"/>
      <c r="B217" s="206" t="n"/>
      <c r="C217" s="206" t="n"/>
      <c r="D217" s="206" t="n"/>
      <c r="E217" s="206" t="n"/>
      <c r="F217" s="206" t="n"/>
      <c r="G217" s="206" t="n"/>
      <c r="H217" s="206" t="n"/>
      <c r="I217" s="206" t="n"/>
    </row>
    <row r="218" ht="12.75" customHeight="1" s="207">
      <c r="A218" s="251" t="n"/>
      <c r="B218" s="206" t="n"/>
      <c r="C218" s="206" t="n"/>
      <c r="D218" s="206" t="n"/>
      <c r="E218" s="206" t="n"/>
      <c r="F218" s="206" t="n"/>
      <c r="G218" s="206" t="n"/>
      <c r="H218" s="206" t="n"/>
      <c r="I218" s="206" t="n"/>
    </row>
    <row r="219" ht="12.75" customHeight="1" s="207">
      <c r="A219" s="251" t="n"/>
      <c r="B219" s="206" t="n"/>
      <c r="C219" s="206" t="n"/>
      <c r="D219" s="206" t="n"/>
      <c r="E219" s="206" t="n"/>
      <c r="F219" s="206" t="n"/>
      <c r="G219" s="206" t="n"/>
      <c r="H219" s="206" t="n"/>
      <c r="I219" s="206" t="n"/>
    </row>
    <row r="220" ht="12.75" customHeight="1" s="207">
      <c r="A220" s="251" t="n"/>
      <c r="B220" s="206" t="n"/>
      <c r="C220" s="206" t="n"/>
      <c r="D220" s="206" t="n"/>
      <c r="E220" s="206" t="n"/>
      <c r="F220" s="206" t="n"/>
      <c r="G220" s="206" t="n"/>
      <c r="H220" s="206" t="n"/>
      <c r="I220" s="206" t="n"/>
    </row>
    <row r="221" ht="12.75" customHeight="1" s="207">
      <c r="A221" s="251" t="n"/>
      <c r="B221" s="206" t="n"/>
      <c r="C221" s="206" t="n"/>
      <c r="D221" s="206" t="n"/>
      <c r="E221" s="206" t="n"/>
      <c r="F221" s="206" t="n"/>
      <c r="G221" s="206" t="n"/>
      <c r="H221" s="206" t="n"/>
      <c r="I221" s="206" t="n"/>
    </row>
    <row r="222" ht="12.75" customHeight="1" s="207">
      <c r="A222" s="251" t="n"/>
      <c r="B222" s="206" t="n"/>
      <c r="C222" s="206" t="n"/>
      <c r="D222" s="206" t="n"/>
      <c r="E222" s="206" t="n"/>
      <c r="F222" s="206" t="n"/>
      <c r="G222" s="206" t="n"/>
      <c r="H222" s="206" t="n"/>
      <c r="I222" s="206" t="n"/>
    </row>
    <row r="223" ht="12.75" customHeight="1" s="207">
      <c r="A223" s="251" t="n"/>
      <c r="B223" s="206" t="n"/>
      <c r="C223" s="206" t="n"/>
      <c r="D223" s="206" t="n"/>
      <c r="E223" s="206" t="n"/>
      <c r="F223" s="206" t="n"/>
      <c r="G223" s="206" t="n"/>
      <c r="H223" s="206" t="n"/>
      <c r="I223" s="206" t="n"/>
    </row>
    <row r="224" ht="12.75" customHeight="1" s="207">
      <c r="A224" s="251" t="n"/>
      <c r="B224" s="206" t="n"/>
      <c r="C224" s="206" t="n"/>
      <c r="D224" s="206" t="n"/>
      <c r="E224" s="206" t="n"/>
      <c r="F224" s="206" t="n"/>
      <c r="G224" s="206" t="n"/>
      <c r="H224" s="206" t="n"/>
      <c r="I224" s="206" t="n"/>
    </row>
    <row r="225" ht="12.75" customHeight="1" s="207">
      <c r="A225" s="251" t="n"/>
      <c r="B225" s="206" t="n"/>
      <c r="C225" s="206" t="n"/>
      <c r="D225" s="206" t="n"/>
      <c r="E225" s="206" t="n"/>
      <c r="F225" s="206" t="n"/>
      <c r="G225" s="206" t="n"/>
      <c r="H225" s="206" t="n"/>
      <c r="I225" s="206" t="n"/>
    </row>
    <row r="226" ht="12.75" customHeight="1" s="207">
      <c r="A226" s="251" t="n"/>
      <c r="B226" s="206" t="n"/>
      <c r="C226" s="206" t="n"/>
      <c r="D226" s="206" t="n"/>
      <c r="E226" s="206" t="n"/>
      <c r="F226" s="206" t="n"/>
      <c r="G226" s="206" t="n"/>
      <c r="H226" s="206" t="n"/>
      <c r="I226" s="206" t="n"/>
    </row>
    <row r="227" ht="12.75" customHeight="1" s="207">
      <c r="A227" s="251" t="n"/>
      <c r="B227" s="206" t="n"/>
      <c r="C227" s="206" t="n"/>
      <c r="D227" s="206" t="n"/>
      <c r="E227" s="206" t="n"/>
      <c r="F227" s="206" t="n"/>
      <c r="G227" s="206" t="n"/>
      <c r="H227" s="206" t="n"/>
      <c r="I227" s="206" t="n"/>
    </row>
    <row r="228" ht="12.75" customHeight="1" s="207">
      <c r="A228" s="251" t="n"/>
      <c r="B228" s="206" t="n"/>
      <c r="C228" s="206" t="n"/>
      <c r="D228" s="206" t="n"/>
      <c r="E228" s="206" t="n"/>
      <c r="F228" s="206" t="n"/>
      <c r="G228" s="206" t="n"/>
      <c r="H228" s="206" t="n"/>
      <c r="I228" s="206" t="n"/>
    </row>
    <row r="229" ht="12.75" customHeight="1" s="207">
      <c r="A229" s="251" t="n"/>
      <c r="B229" s="206" t="n"/>
      <c r="C229" s="206" t="n"/>
      <c r="D229" s="206" t="n"/>
      <c r="E229" s="206" t="n"/>
      <c r="F229" s="206" t="n"/>
      <c r="G229" s="206" t="n"/>
      <c r="H229" s="206" t="n"/>
      <c r="I229" s="206" t="n"/>
    </row>
    <row r="230" ht="12.75" customHeight="1" s="207">
      <c r="A230" s="251" t="n"/>
      <c r="B230" s="206" t="n"/>
      <c r="C230" s="206" t="n"/>
      <c r="D230" s="206" t="n"/>
      <c r="E230" s="206" t="n"/>
      <c r="F230" s="206" t="n"/>
      <c r="G230" s="206" t="n"/>
      <c r="H230" s="206" t="n"/>
      <c r="I230" s="206" t="n"/>
    </row>
    <row r="231" ht="12.75" customHeight="1" s="207">
      <c r="A231" s="251" t="n"/>
      <c r="B231" s="206" t="n"/>
      <c r="C231" s="206" t="n"/>
      <c r="D231" s="206" t="n"/>
      <c r="E231" s="206" t="n"/>
      <c r="F231" s="206" t="n"/>
      <c r="G231" s="206" t="n"/>
      <c r="H231" s="206" t="n"/>
      <c r="I231" s="206" t="n"/>
    </row>
    <row r="232" ht="12.75" customHeight="1" s="207">
      <c r="A232" s="251" t="n"/>
      <c r="B232" s="206" t="n"/>
      <c r="C232" s="206" t="n"/>
      <c r="D232" s="206" t="n"/>
      <c r="E232" s="206" t="n"/>
      <c r="F232" s="206" t="n"/>
      <c r="G232" s="206" t="n"/>
      <c r="H232" s="206" t="n"/>
      <c r="I232" s="206" t="n"/>
    </row>
    <row r="233" ht="12.75" customHeight="1" s="207">
      <c r="A233" s="251" t="n"/>
      <c r="B233" s="206" t="n"/>
      <c r="C233" s="206" t="n"/>
      <c r="D233" s="206" t="n"/>
      <c r="E233" s="206" t="n"/>
      <c r="F233" s="206" t="n"/>
      <c r="G233" s="206" t="n"/>
      <c r="H233" s="206" t="n"/>
      <c r="I233" s="206" t="n"/>
    </row>
    <row r="234" ht="12.75" customHeight="1" s="207">
      <c r="A234" s="251" t="n"/>
      <c r="B234" s="206" t="n"/>
      <c r="C234" s="206" t="n"/>
      <c r="D234" s="206" t="n"/>
      <c r="E234" s="206" t="n"/>
      <c r="F234" s="206" t="n"/>
      <c r="G234" s="206" t="n"/>
      <c r="H234" s="206" t="n"/>
      <c r="I234" s="206" t="n"/>
    </row>
    <row r="235" ht="12.75" customHeight="1" s="207">
      <c r="A235" s="251" t="n"/>
      <c r="B235" s="206" t="n"/>
      <c r="C235" s="206" t="n"/>
      <c r="D235" s="206" t="n"/>
      <c r="E235" s="206" t="n"/>
      <c r="F235" s="206" t="n"/>
      <c r="G235" s="206" t="n"/>
      <c r="H235" s="206" t="n"/>
      <c r="I235" s="206" t="n"/>
    </row>
    <row r="236" ht="12.75" customHeight="1" s="207">
      <c r="A236" s="251" t="n"/>
      <c r="B236" s="206" t="n"/>
      <c r="C236" s="206" t="n"/>
      <c r="D236" s="206" t="n"/>
      <c r="E236" s="206" t="n"/>
      <c r="F236" s="206" t="n"/>
      <c r="G236" s="206" t="n"/>
      <c r="H236" s="206" t="n"/>
      <c r="I236" s="206" t="n"/>
    </row>
    <row r="237" ht="12.75" customHeight="1" s="207">
      <c r="A237" s="251" t="n"/>
      <c r="B237" s="206" t="n"/>
      <c r="C237" s="206" t="n"/>
      <c r="D237" s="206" t="n"/>
      <c r="E237" s="206" t="n"/>
      <c r="F237" s="206" t="n"/>
      <c r="G237" s="206" t="n"/>
      <c r="H237" s="206" t="n"/>
      <c r="I237" s="206" t="n"/>
    </row>
    <row r="238" ht="12.75" customHeight="1" s="207">
      <c r="A238" s="251" t="n"/>
      <c r="B238" s="206" t="n"/>
      <c r="C238" s="206" t="n"/>
      <c r="D238" s="206" t="n"/>
      <c r="E238" s="206" t="n"/>
      <c r="F238" s="206" t="n"/>
      <c r="G238" s="206" t="n"/>
      <c r="H238" s="206" t="n"/>
      <c r="I238" s="206" t="n"/>
    </row>
    <row r="239" ht="12.75" customHeight="1" s="207">
      <c r="A239" s="251" t="n"/>
      <c r="B239" s="206" t="n"/>
      <c r="C239" s="206" t="n"/>
      <c r="D239" s="206" t="n"/>
      <c r="E239" s="206" t="n"/>
      <c r="F239" s="206" t="n"/>
      <c r="G239" s="206" t="n"/>
      <c r="H239" s="206" t="n"/>
      <c r="I239" s="206" t="n"/>
    </row>
    <row r="240" ht="12.75" customHeight="1" s="207">
      <c r="A240" s="251" t="n"/>
      <c r="B240" s="206" t="n"/>
      <c r="C240" s="206" t="n"/>
      <c r="D240" s="206" t="n"/>
      <c r="E240" s="206" t="n"/>
      <c r="F240" s="206" t="n"/>
      <c r="G240" s="206" t="n"/>
      <c r="H240" s="206" t="n"/>
      <c r="I240" s="206" t="n"/>
    </row>
    <row r="241" ht="12.75" customHeight="1" s="207">
      <c r="A241" s="251" t="n"/>
      <c r="B241" s="206" t="n"/>
      <c r="C241" s="206" t="n"/>
      <c r="D241" s="206" t="n"/>
      <c r="E241" s="206" t="n"/>
      <c r="F241" s="206" t="n"/>
      <c r="G241" s="206" t="n"/>
      <c r="H241" s="206" t="n"/>
      <c r="I241" s="206" t="n"/>
    </row>
    <row r="242" ht="12.75" customHeight="1" s="207">
      <c r="A242" s="251" t="n"/>
      <c r="B242" s="206" t="n"/>
      <c r="C242" s="206" t="n"/>
      <c r="D242" s="206" t="n"/>
      <c r="E242" s="206" t="n"/>
      <c r="F242" s="206" t="n"/>
      <c r="G242" s="206" t="n"/>
      <c r="H242" s="206" t="n"/>
      <c r="I242" s="206" t="n"/>
    </row>
    <row r="243" ht="12.75" customHeight="1" s="207">
      <c r="A243" s="251" t="n"/>
      <c r="B243" s="206" t="n"/>
      <c r="C243" s="206" t="n"/>
      <c r="D243" s="206" t="n"/>
      <c r="E243" s="206" t="n"/>
      <c r="F243" s="206" t="n"/>
      <c r="G243" s="206" t="n"/>
      <c r="H243" s="206" t="n"/>
      <c r="I243" s="206" t="n"/>
    </row>
    <row r="244" ht="12.75" customHeight="1" s="207">
      <c r="A244" s="251" t="n"/>
      <c r="B244" s="206" t="n"/>
      <c r="C244" s="206" t="n"/>
      <c r="D244" s="206" t="n"/>
      <c r="E244" s="206" t="n"/>
      <c r="F244" s="206" t="n"/>
      <c r="G244" s="206" t="n"/>
      <c r="H244" s="206" t="n"/>
      <c r="I244" s="206" t="n"/>
    </row>
    <row r="245" ht="12.75" customHeight="1" s="207">
      <c r="A245" s="251" t="n"/>
      <c r="B245" s="206" t="n"/>
      <c r="C245" s="206" t="n"/>
      <c r="D245" s="206" t="n"/>
      <c r="E245" s="206" t="n"/>
      <c r="F245" s="206" t="n"/>
      <c r="G245" s="206" t="n"/>
      <c r="H245" s="206" t="n"/>
      <c r="I245" s="206" t="n"/>
    </row>
    <row r="246" ht="12.75" customHeight="1" s="207">
      <c r="A246" s="251" t="n"/>
      <c r="B246" s="206" t="n"/>
      <c r="C246" s="206" t="n"/>
      <c r="D246" s="206" t="n"/>
      <c r="E246" s="206" t="n"/>
      <c r="F246" s="206" t="n"/>
      <c r="G246" s="206" t="n"/>
      <c r="H246" s="206" t="n"/>
      <c r="I246" s="206" t="n"/>
    </row>
    <row r="247" ht="12.75" customHeight="1" s="207">
      <c r="A247" s="251" t="n"/>
      <c r="B247" s="206" t="n"/>
      <c r="C247" s="206" t="n"/>
      <c r="D247" s="206" t="n"/>
      <c r="E247" s="206" t="n"/>
      <c r="F247" s="206" t="n"/>
      <c r="G247" s="206" t="n"/>
      <c r="H247" s="206" t="n"/>
      <c r="I247" s="206" t="n"/>
    </row>
    <row r="248" ht="12.75" customHeight="1" s="207">
      <c r="A248" s="251" t="n"/>
      <c r="B248" s="206" t="n"/>
      <c r="C248" s="206" t="n"/>
      <c r="D248" s="206" t="n"/>
      <c r="E248" s="206" t="n"/>
      <c r="F248" s="206" t="n"/>
      <c r="G248" s="206" t="n"/>
      <c r="H248" s="206" t="n"/>
      <c r="I248" s="206" t="n"/>
    </row>
    <row r="249" ht="12.75" customHeight="1" s="207">
      <c r="A249" s="251" t="n"/>
      <c r="B249" s="206" t="n"/>
      <c r="C249" s="206" t="n"/>
      <c r="D249" s="206" t="n"/>
      <c r="E249" s="206" t="n"/>
      <c r="F249" s="206" t="n"/>
      <c r="G249" s="206" t="n"/>
      <c r="H249" s="206" t="n"/>
      <c r="I249" s="206" t="n"/>
    </row>
    <row r="250" ht="12.75" customHeight="1" s="207">
      <c r="A250" s="251" t="n"/>
      <c r="B250" s="206" t="n"/>
      <c r="C250" s="206" t="n"/>
      <c r="D250" s="206" t="n"/>
      <c r="E250" s="206" t="n"/>
      <c r="F250" s="206" t="n"/>
      <c r="G250" s="206" t="n"/>
      <c r="H250" s="206" t="n"/>
      <c r="I250" s="206" t="n"/>
    </row>
    <row r="251" ht="12.75" customHeight="1" s="207">
      <c r="A251" s="251" t="n"/>
      <c r="B251" s="206" t="n"/>
      <c r="C251" s="206" t="n"/>
      <c r="D251" s="206" t="n"/>
      <c r="E251" s="206" t="n"/>
      <c r="F251" s="206" t="n"/>
      <c r="G251" s="206" t="n"/>
      <c r="H251" s="206" t="n"/>
      <c r="I251" s="206" t="n"/>
    </row>
    <row r="252" ht="12.75" customHeight="1" s="207">
      <c r="A252" s="251" t="n"/>
      <c r="B252" s="206" t="n"/>
      <c r="C252" s="206" t="n"/>
      <c r="D252" s="206" t="n"/>
      <c r="E252" s="206" t="n"/>
      <c r="F252" s="206" t="n"/>
      <c r="G252" s="206" t="n"/>
      <c r="H252" s="206" t="n"/>
      <c r="I252" s="206" t="n"/>
    </row>
    <row r="253" ht="12.75" customHeight="1" s="207">
      <c r="A253" s="251" t="n"/>
      <c r="B253" s="206" t="n"/>
      <c r="C253" s="206" t="n"/>
      <c r="D253" s="206" t="n"/>
      <c r="E253" s="206" t="n"/>
      <c r="F253" s="206" t="n"/>
      <c r="G253" s="206" t="n"/>
      <c r="H253" s="206" t="n"/>
      <c r="I253" s="206" t="n"/>
    </row>
    <row r="254" ht="12.75" customHeight="1" s="207">
      <c r="A254" s="251" t="n"/>
      <c r="B254" s="206" t="n"/>
      <c r="C254" s="206" t="n"/>
      <c r="D254" s="206" t="n"/>
      <c r="E254" s="206" t="n"/>
      <c r="F254" s="206" t="n"/>
      <c r="G254" s="206" t="n"/>
      <c r="H254" s="206" t="n"/>
      <c r="I254" s="206" t="n"/>
    </row>
    <row r="255" ht="12.75" customHeight="1" s="207">
      <c r="A255" s="251" t="n"/>
      <c r="B255" s="206" t="n"/>
      <c r="C255" s="206" t="n"/>
      <c r="D255" s="206" t="n"/>
      <c r="E255" s="206" t="n"/>
      <c r="F255" s="206" t="n"/>
      <c r="G255" s="206" t="n"/>
      <c r="H255" s="206" t="n"/>
      <c r="I255" s="206" t="n"/>
    </row>
    <row r="256" ht="12.75" customHeight="1" s="207">
      <c r="A256" s="251" t="n"/>
      <c r="B256" s="206" t="n"/>
      <c r="C256" s="206" t="n"/>
      <c r="D256" s="206" t="n"/>
      <c r="E256" s="206" t="n"/>
      <c r="F256" s="206" t="n"/>
      <c r="G256" s="206" t="n"/>
      <c r="H256" s="206" t="n"/>
      <c r="I256" s="206" t="n"/>
    </row>
    <row r="257" ht="12.75" customHeight="1" s="207">
      <c r="A257" s="251" t="n"/>
      <c r="B257" s="206" t="n"/>
      <c r="C257" s="206" t="n"/>
      <c r="D257" s="206" t="n"/>
      <c r="E257" s="206" t="n"/>
      <c r="F257" s="206" t="n"/>
      <c r="G257" s="206" t="n"/>
      <c r="H257" s="206" t="n"/>
      <c r="I257" s="206" t="n"/>
    </row>
    <row r="258" ht="12.75" customHeight="1" s="207">
      <c r="A258" s="251" t="n"/>
      <c r="B258" s="206" t="n"/>
      <c r="C258" s="206" t="n"/>
      <c r="D258" s="206" t="n"/>
      <c r="E258" s="206" t="n"/>
      <c r="F258" s="206" t="n"/>
      <c r="G258" s="206" t="n"/>
      <c r="H258" s="206" t="n"/>
      <c r="I258" s="206" t="n"/>
    </row>
    <row r="259" ht="12.75" customHeight="1" s="207">
      <c r="A259" s="251" t="n"/>
      <c r="B259" s="206" t="n"/>
      <c r="C259" s="206" t="n"/>
      <c r="D259" s="206" t="n"/>
      <c r="E259" s="206" t="n"/>
      <c r="F259" s="206" t="n"/>
      <c r="G259" s="206" t="n"/>
      <c r="H259" s="206" t="n"/>
      <c r="I259" s="206" t="n"/>
    </row>
    <row r="260" ht="12.75" customHeight="1" s="207">
      <c r="A260" s="251" t="n"/>
      <c r="B260" s="206" t="n"/>
      <c r="C260" s="206" t="n"/>
      <c r="D260" s="206" t="n"/>
      <c r="E260" s="206" t="n"/>
      <c r="F260" s="206" t="n"/>
      <c r="G260" s="206" t="n"/>
      <c r="H260" s="206" t="n"/>
      <c r="I260" s="206" t="n"/>
    </row>
    <row r="261" ht="12.75" customHeight="1" s="207">
      <c r="A261" s="251" t="n"/>
      <c r="B261" s="206" t="n"/>
      <c r="C261" s="206" t="n"/>
      <c r="D261" s="206" t="n"/>
      <c r="E261" s="206" t="n"/>
      <c r="F261" s="206" t="n"/>
      <c r="G261" s="206" t="n"/>
      <c r="H261" s="206" t="n"/>
      <c r="I261" s="206" t="n"/>
    </row>
    <row r="262" ht="12.75" customHeight="1" s="207">
      <c r="A262" s="251" t="n"/>
      <c r="B262" s="206" t="n"/>
      <c r="C262" s="206" t="n"/>
      <c r="D262" s="206" t="n"/>
      <c r="E262" s="206" t="n"/>
      <c r="F262" s="206" t="n"/>
      <c r="G262" s="206" t="n"/>
      <c r="H262" s="206" t="n"/>
      <c r="I262" s="206" t="n"/>
    </row>
    <row r="263" ht="12.75" customHeight="1" s="207">
      <c r="A263" s="251" t="n"/>
      <c r="B263" s="206" t="n"/>
      <c r="C263" s="206" t="n"/>
      <c r="D263" s="206" t="n"/>
      <c r="E263" s="206" t="n"/>
      <c r="F263" s="206" t="n"/>
      <c r="G263" s="206" t="n"/>
      <c r="H263" s="206" t="n"/>
      <c r="I263" s="206" t="n"/>
    </row>
    <row r="264" ht="12.75" customHeight="1" s="207">
      <c r="A264" s="251" t="n"/>
      <c r="B264" s="206" t="n"/>
      <c r="C264" s="206" t="n"/>
      <c r="D264" s="206" t="n"/>
      <c r="E264" s="206" t="n"/>
      <c r="F264" s="206" t="n"/>
      <c r="G264" s="206" t="n"/>
      <c r="H264" s="206" t="n"/>
      <c r="I264" s="206" t="n"/>
    </row>
    <row r="265" ht="12.75" customHeight="1" s="207">
      <c r="A265" s="251" t="n"/>
      <c r="B265" s="206" t="n"/>
      <c r="C265" s="206" t="n"/>
      <c r="D265" s="206" t="n"/>
      <c r="E265" s="206" t="n"/>
      <c r="F265" s="206" t="n"/>
      <c r="G265" s="206" t="n"/>
      <c r="H265" s="206" t="n"/>
      <c r="I265" s="206" t="n"/>
    </row>
    <row r="266" ht="12.75" customHeight="1" s="207">
      <c r="A266" s="251" t="n"/>
      <c r="B266" s="206" t="n"/>
      <c r="C266" s="206" t="n"/>
      <c r="D266" s="206" t="n"/>
      <c r="E266" s="206" t="n"/>
      <c r="F266" s="206" t="n"/>
      <c r="G266" s="206" t="n"/>
      <c r="H266" s="206" t="n"/>
      <c r="I266" s="206" t="n"/>
    </row>
    <row r="267" ht="12.75" customHeight="1" s="207">
      <c r="A267" s="251" t="n"/>
      <c r="B267" s="206" t="n"/>
      <c r="C267" s="206" t="n"/>
      <c r="D267" s="206" t="n"/>
      <c r="E267" s="206" t="n"/>
      <c r="F267" s="206" t="n"/>
      <c r="G267" s="206" t="n"/>
      <c r="H267" s="206" t="n"/>
      <c r="I267" s="206" t="n"/>
    </row>
    <row r="268" ht="12.75" customHeight="1" s="207">
      <c r="A268" s="251" t="n"/>
      <c r="B268" s="206" t="n"/>
      <c r="C268" s="206" t="n"/>
      <c r="D268" s="206" t="n"/>
      <c r="E268" s="206" t="n"/>
      <c r="F268" s="206" t="n"/>
      <c r="G268" s="206" t="n"/>
      <c r="H268" s="206" t="n"/>
      <c r="I268" s="206" t="n"/>
    </row>
    <row r="269" ht="12.75" customHeight="1" s="207">
      <c r="A269" s="251" t="n"/>
      <c r="B269" s="206" t="n"/>
      <c r="C269" s="206" t="n"/>
      <c r="D269" s="206" t="n"/>
      <c r="E269" s="206" t="n"/>
      <c r="F269" s="206" t="n"/>
      <c r="G269" s="206" t="n"/>
      <c r="H269" s="206" t="n"/>
      <c r="I269" s="206" t="n"/>
    </row>
    <row r="270" ht="12.75" customHeight="1" s="207">
      <c r="A270" s="251" t="n"/>
      <c r="B270" s="206" t="n"/>
      <c r="C270" s="206" t="n"/>
      <c r="D270" s="206" t="n"/>
      <c r="E270" s="206" t="n"/>
      <c r="F270" s="206" t="n"/>
      <c r="G270" s="206" t="n"/>
      <c r="H270" s="206" t="n"/>
      <c r="I270" s="206" t="n"/>
    </row>
    <row r="271" ht="12.75" customHeight="1" s="207">
      <c r="A271" s="251" t="n"/>
      <c r="B271" s="206" t="n"/>
      <c r="C271" s="206" t="n"/>
      <c r="D271" s="206" t="n"/>
      <c r="E271" s="206" t="n"/>
      <c r="F271" s="206" t="n"/>
      <c r="G271" s="206" t="n"/>
      <c r="H271" s="206" t="n"/>
      <c r="I271" s="206" t="n"/>
    </row>
    <row r="272" ht="12.75" customHeight="1" s="207">
      <c r="A272" s="251" t="n"/>
      <c r="B272" s="206" t="n"/>
      <c r="C272" s="206" t="n"/>
      <c r="D272" s="206" t="n"/>
      <c r="E272" s="206" t="n"/>
      <c r="F272" s="206" t="n"/>
      <c r="G272" s="206" t="n"/>
      <c r="H272" s="206" t="n"/>
      <c r="I272" s="206" t="n"/>
    </row>
    <row r="273" ht="12.75" customHeight="1" s="207">
      <c r="A273" s="251" t="n"/>
      <c r="B273" s="206" t="n"/>
      <c r="C273" s="206" t="n"/>
      <c r="D273" s="206" t="n"/>
      <c r="E273" s="206" t="n"/>
      <c r="F273" s="206" t="n"/>
      <c r="G273" s="206" t="n"/>
      <c r="H273" s="206" t="n"/>
      <c r="I273" s="206" t="n"/>
    </row>
    <row r="274" ht="12.75" customHeight="1" s="207">
      <c r="A274" s="251" t="n"/>
      <c r="B274" s="206" t="n"/>
      <c r="C274" s="206" t="n"/>
      <c r="D274" s="206" t="n"/>
      <c r="E274" s="206" t="n"/>
      <c r="F274" s="206" t="n"/>
      <c r="G274" s="206" t="n"/>
      <c r="H274" s="206" t="n"/>
      <c r="I274" s="206" t="n"/>
    </row>
    <row r="275" ht="12.75" customHeight="1" s="207">
      <c r="A275" s="251" t="n"/>
      <c r="B275" s="206" t="n"/>
      <c r="C275" s="206" t="n"/>
      <c r="D275" s="206" t="n"/>
      <c r="E275" s="206" t="n"/>
      <c r="F275" s="206" t="n"/>
      <c r="G275" s="206" t="n"/>
      <c r="H275" s="206" t="n"/>
      <c r="I275" s="206" t="n"/>
    </row>
    <row r="276" ht="12.75" customHeight="1" s="207">
      <c r="A276" s="251" t="n"/>
      <c r="B276" s="206" t="n"/>
      <c r="C276" s="206" t="n"/>
      <c r="D276" s="206" t="n"/>
      <c r="E276" s="206" t="n"/>
      <c r="F276" s="206" t="n"/>
      <c r="G276" s="206" t="n"/>
      <c r="H276" s="206" t="n"/>
      <c r="I276" s="206" t="n"/>
    </row>
    <row r="277" ht="12.75" customHeight="1" s="207">
      <c r="A277" s="251" t="n"/>
      <c r="B277" s="206" t="n"/>
      <c r="C277" s="206" t="n"/>
      <c r="D277" s="206" t="n"/>
      <c r="E277" s="206" t="n"/>
      <c r="F277" s="206" t="n"/>
      <c r="G277" s="206" t="n"/>
      <c r="H277" s="206" t="n"/>
      <c r="I277" s="206" t="n"/>
    </row>
    <row r="278" ht="12.75" customHeight="1" s="207">
      <c r="A278" s="251" t="n"/>
      <c r="B278" s="206" t="n"/>
      <c r="C278" s="206" t="n"/>
      <c r="D278" s="206" t="n"/>
      <c r="E278" s="206" t="n"/>
      <c r="F278" s="206" t="n"/>
      <c r="G278" s="206" t="n"/>
      <c r="H278" s="206" t="n"/>
      <c r="I278" s="206" t="n"/>
    </row>
    <row r="279" ht="12.75" customHeight="1" s="207">
      <c r="A279" s="251" t="n"/>
      <c r="B279" s="206" t="n"/>
      <c r="C279" s="206" t="n"/>
      <c r="D279" s="206" t="n"/>
      <c r="E279" s="206" t="n"/>
      <c r="F279" s="206" t="n"/>
      <c r="G279" s="206" t="n"/>
      <c r="H279" s="206" t="n"/>
      <c r="I279" s="206" t="n"/>
    </row>
    <row r="280" ht="12.75" customHeight="1" s="207">
      <c r="A280" s="251" t="n"/>
      <c r="B280" s="206" t="n"/>
      <c r="C280" s="206" t="n"/>
      <c r="D280" s="206" t="n"/>
      <c r="E280" s="206" t="n"/>
      <c r="F280" s="206" t="n"/>
      <c r="G280" s="206" t="n"/>
      <c r="H280" s="206" t="n"/>
      <c r="I280" s="206" t="n"/>
    </row>
    <row r="281" ht="12.75" customHeight="1" s="207">
      <c r="A281" s="251" t="n"/>
      <c r="B281" s="206" t="n"/>
      <c r="C281" s="206" t="n"/>
      <c r="D281" s="206" t="n"/>
      <c r="E281" s="206" t="n"/>
      <c r="F281" s="206" t="n"/>
      <c r="G281" s="206" t="n"/>
      <c r="H281" s="206" t="n"/>
      <c r="I281" s="206" t="n"/>
    </row>
    <row r="282" ht="12.75" customHeight="1" s="207">
      <c r="A282" s="251" t="n"/>
      <c r="B282" s="206" t="n"/>
      <c r="C282" s="206" t="n"/>
      <c r="D282" s="206" t="n"/>
      <c r="E282" s="206" t="n"/>
      <c r="F282" s="206" t="n"/>
      <c r="G282" s="206" t="n"/>
      <c r="H282" s="206" t="n"/>
      <c r="I282" s="206" t="n"/>
    </row>
    <row r="283" ht="12.75" customHeight="1" s="207">
      <c r="A283" s="251" t="n"/>
      <c r="B283" s="206" t="n"/>
      <c r="C283" s="206" t="n"/>
      <c r="D283" s="206" t="n"/>
      <c r="E283" s="206" t="n"/>
      <c r="F283" s="206" t="n"/>
      <c r="G283" s="206" t="n"/>
      <c r="H283" s="206" t="n"/>
      <c r="I283" s="206" t="n"/>
    </row>
    <row r="284" ht="12.75" customHeight="1" s="207">
      <c r="A284" s="251" t="n"/>
      <c r="B284" s="206" t="n"/>
      <c r="C284" s="206" t="n"/>
      <c r="D284" s="206" t="n"/>
      <c r="E284" s="206" t="n"/>
      <c r="F284" s="206" t="n"/>
      <c r="G284" s="206" t="n"/>
      <c r="H284" s="206" t="n"/>
      <c r="I284" s="206" t="n"/>
    </row>
    <row r="285" ht="12.75" customHeight="1" s="207">
      <c r="A285" s="251" t="n"/>
      <c r="B285" s="206" t="n"/>
      <c r="C285" s="206" t="n"/>
      <c r="D285" s="206" t="n"/>
      <c r="E285" s="206" t="n"/>
      <c r="F285" s="206" t="n"/>
      <c r="G285" s="206" t="n"/>
      <c r="H285" s="206" t="n"/>
      <c r="I285" s="206" t="n"/>
    </row>
    <row r="286" ht="12.75" customHeight="1" s="207">
      <c r="A286" s="251" t="n"/>
      <c r="B286" s="206" t="n"/>
      <c r="C286" s="206" t="n"/>
      <c r="D286" s="206" t="n"/>
      <c r="E286" s="206" t="n"/>
      <c r="F286" s="206" t="n"/>
      <c r="G286" s="206" t="n"/>
      <c r="H286" s="206" t="n"/>
      <c r="I286" s="206" t="n"/>
    </row>
    <row r="287" ht="12.75" customHeight="1" s="207">
      <c r="A287" s="251" t="n"/>
      <c r="B287" s="206" t="n"/>
      <c r="C287" s="206" t="n"/>
      <c r="D287" s="206" t="n"/>
      <c r="E287" s="206" t="n"/>
      <c r="F287" s="206" t="n"/>
      <c r="G287" s="206" t="n"/>
      <c r="H287" s="206" t="n"/>
      <c r="I287" s="206" t="n"/>
    </row>
    <row r="288" ht="12.75" customHeight="1" s="207">
      <c r="A288" s="251" t="n"/>
      <c r="B288" s="206" t="n"/>
      <c r="C288" s="206" t="n"/>
      <c r="D288" s="206" t="n"/>
      <c r="E288" s="206" t="n"/>
      <c r="F288" s="206" t="n"/>
      <c r="G288" s="206" t="n"/>
      <c r="H288" s="206" t="n"/>
      <c r="I288" s="206" t="n"/>
    </row>
    <row r="289" ht="12.75" customHeight="1" s="207">
      <c r="A289" s="251" t="n"/>
      <c r="B289" s="206" t="n"/>
      <c r="C289" s="206" t="n"/>
      <c r="D289" s="206" t="n"/>
      <c r="E289" s="206" t="n"/>
      <c r="F289" s="206" t="n"/>
      <c r="G289" s="206" t="n"/>
      <c r="H289" s="206" t="n"/>
      <c r="I289" s="206" t="n"/>
    </row>
    <row r="290" ht="12.75" customHeight="1" s="207">
      <c r="A290" s="251" t="n"/>
      <c r="B290" s="206" t="n"/>
      <c r="C290" s="206" t="n"/>
      <c r="D290" s="206" t="n"/>
      <c r="E290" s="206" t="n"/>
      <c r="F290" s="206" t="n"/>
      <c r="G290" s="206" t="n"/>
      <c r="H290" s="206" t="n"/>
      <c r="I290" s="206" t="n"/>
    </row>
    <row r="291" ht="12.75" customHeight="1" s="207">
      <c r="A291" s="251" t="n"/>
      <c r="B291" s="206" t="n"/>
      <c r="C291" s="206" t="n"/>
      <c r="D291" s="206" t="n"/>
      <c r="E291" s="206" t="n"/>
      <c r="F291" s="206" t="n"/>
      <c r="G291" s="206" t="n"/>
      <c r="H291" s="206" t="n"/>
      <c r="I291" s="206" t="n"/>
    </row>
    <row r="292" ht="12.75" customHeight="1" s="207">
      <c r="A292" s="251" t="n"/>
      <c r="B292" s="206" t="n"/>
      <c r="C292" s="206" t="n"/>
      <c r="D292" s="206" t="n"/>
      <c r="E292" s="206" t="n"/>
      <c r="F292" s="206" t="n"/>
      <c r="G292" s="206" t="n"/>
      <c r="H292" s="206" t="n"/>
      <c r="I292" s="206" t="n"/>
    </row>
    <row r="293" ht="12.75" customHeight="1" s="207">
      <c r="A293" s="251" t="n"/>
      <c r="B293" s="206" t="n"/>
      <c r="C293" s="206" t="n"/>
      <c r="D293" s="206" t="n"/>
      <c r="E293" s="206" t="n"/>
      <c r="F293" s="206" t="n"/>
      <c r="G293" s="206" t="n"/>
      <c r="H293" s="206" t="n"/>
      <c r="I293" s="206" t="n"/>
    </row>
    <row r="294" ht="12.75" customHeight="1" s="207">
      <c r="A294" s="251" t="n"/>
      <c r="B294" s="206" t="n"/>
      <c r="C294" s="206" t="n"/>
      <c r="D294" s="206" t="n"/>
      <c r="E294" s="206" t="n"/>
      <c r="F294" s="206" t="n"/>
      <c r="G294" s="206" t="n"/>
      <c r="H294" s="206" t="n"/>
      <c r="I294" s="206" t="n"/>
    </row>
    <row r="295" ht="12.75" customHeight="1" s="207">
      <c r="A295" s="251" t="n"/>
      <c r="B295" s="206" t="n"/>
      <c r="C295" s="206" t="n"/>
      <c r="D295" s="206" t="n"/>
      <c r="E295" s="206" t="n"/>
      <c r="F295" s="206" t="n"/>
      <c r="G295" s="206" t="n"/>
      <c r="H295" s="206" t="n"/>
      <c r="I295" s="206" t="n"/>
    </row>
    <row r="296" ht="12.75" customHeight="1" s="207">
      <c r="A296" s="251" t="n"/>
      <c r="B296" s="206" t="n"/>
      <c r="C296" s="206" t="n"/>
      <c r="D296" s="206" t="n"/>
      <c r="E296" s="206" t="n"/>
      <c r="F296" s="206" t="n"/>
      <c r="G296" s="206" t="n"/>
      <c r="H296" s="206" t="n"/>
      <c r="I296" s="206" t="n"/>
    </row>
    <row r="297" ht="12.75" customHeight="1" s="207">
      <c r="A297" s="251" t="n"/>
      <c r="B297" s="206" t="n"/>
      <c r="C297" s="206" t="n"/>
      <c r="D297" s="206" t="n"/>
      <c r="E297" s="206" t="n"/>
      <c r="F297" s="206" t="n"/>
      <c r="G297" s="206" t="n"/>
      <c r="H297" s="206" t="n"/>
      <c r="I297" s="206" t="n"/>
    </row>
    <row r="298" ht="12.75" customHeight="1" s="207">
      <c r="A298" s="251" t="n"/>
      <c r="B298" s="206" t="n"/>
      <c r="C298" s="206" t="n"/>
      <c r="D298" s="206" t="n"/>
      <c r="E298" s="206" t="n"/>
      <c r="F298" s="206" t="n"/>
      <c r="G298" s="206" t="n"/>
      <c r="H298" s="206" t="n"/>
      <c r="I298" s="206" t="n"/>
    </row>
    <row r="299" ht="12.75" customHeight="1" s="207">
      <c r="A299" s="251" t="n"/>
      <c r="B299" s="206" t="n"/>
      <c r="C299" s="206" t="n"/>
      <c r="D299" s="206" t="n"/>
      <c r="E299" s="206" t="n"/>
      <c r="F299" s="206" t="n"/>
      <c r="G299" s="206" t="n"/>
      <c r="H299" s="206" t="n"/>
      <c r="I299" s="206" t="n"/>
    </row>
    <row r="300" ht="12.75" customHeight="1" s="207">
      <c r="A300" s="251" t="n"/>
      <c r="B300" s="206" t="n"/>
      <c r="C300" s="206" t="n"/>
      <c r="D300" s="206" t="n"/>
      <c r="E300" s="206" t="n"/>
      <c r="F300" s="206" t="n"/>
      <c r="G300" s="206" t="n"/>
      <c r="H300" s="206" t="n"/>
      <c r="I300" s="206" t="n"/>
    </row>
    <row r="301" ht="12.75" customHeight="1" s="207">
      <c r="A301" s="251" t="n"/>
      <c r="B301" s="206" t="n"/>
      <c r="C301" s="206" t="n"/>
      <c r="D301" s="206" t="n"/>
      <c r="E301" s="206" t="n"/>
      <c r="F301" s="206" t="n"/>
      <c r="G301" s="206" t="n"/>
      <c r="H301" s="206" t="n"/>
      <c r="I301" s="206" t="n"/>
    </row>
    <row r="302" ht="12.75" customHeight="1" s="207">
      <c r="A302" s="251" t="n"/>
      <c r="B302" s="206" t="n"/>
      <c r="C302" s="206" t="n"/>
      <c r="D302" s="206" t="n"/>
      <c r="E302" s="206" t="n"/>
      <c r="F302" s="206" t="n"/>
      <c r="G302" s="206" t="n"/>
      <c r="H302" s="206" t="n"/>
      <c r="I302" s="206" t="n"/>
    </row>
    <row r="303" ht="12.75" customHeight="1" s="207">
      <c r="A303" s="251" t="n"/>
      <c r="B303" s="206" t="n"/>
      <c r="C303" s="206" t="n"/>
      <c r="D303" s="206" t="n"/>
      <c r="E303" s="206" t="n"/>
      <c r="F303" s="206" t="n"/>
      <c r="G303" s="206" t="n"/>
      <c r="H303" s="206" t="n"/>
      <c r="I303" s="206" t="n"/>
    </row>
    <row r="304" ht="12.75" customHeight="1" s="207">
      <c r="A304" s="251" t="n"/>
      <c r="B304" s="206" t="n"/>
      <c r="C304" s="206" t="n"/>
      <c r="D304" s="206" t="n"/>
      <c r="E304" s="206" t="n"/>
      <c r="F304" s="206" t="n"/>
      <c r="G304" s="206" t="n"/>
      <c r="H304" s="206" t="n"/>
      <c r="I304" s="206" t="n"/>
    </row>
    <row r="305" ht="12.75" customHeight="1" s="207">
      <c r="A305" s="251" t="n"/>
      <c r="B305" s="206" t="n"/>
      <c r="C305" s="206" t="n"/>
      <c r="D305" s="206" t="n"/>
      <c r="E305" s="206" t="n"/>
      <c r="F305" s="206" t="n"/>
      <c r="G305" s="206" t="n"/>
      <c r="H305" s="206" t="n"/>
      <c r="I305" s="206" t="n"/>
    </row>
    <row r="306" ht="12.75" customHeight="1" s="207">
      <c r="A306" s="251" t="n"/>
      <c r="B306" s="206" t="n"/>
      <c r="C306" s="206" t="n"/>
      <c r="D306" s="206" t="n"/>
      <c r="E306" s="206" t="n"/>
      <c r="F306" s="206" t="n"/>
      <c r="G306" s="206" t="n"/>
      <c r="H306" s="206" t="n"/>
      <c r="I306" s="206" t="n"/>
    </row>
    <row r="307" ht="12.75" customHeight="1" s="207">
      <c r="A307" s="251" t="n"/>
      <c r="B307" s="206" t="n"/>
      <c r="C307" s="206" t="n"/>
      <c r="D307" s="206" t="n"/>
      <c r="E307" s="206" t="n"/>
      <c r="F307" s="206" t="n"/>
      <c r="G307" s="206" t="n"/>
      <c r="H307" s="206" t="n"/>
      <c r="I307" s="206" t="n"/>
    </row>
    <row r="308" ht="12.75" customHeight="1" s="207">
      <c r="A308" s="251" t="n"/>
      <c r="B308" s="206" t="n"/>
      <c r="C308" s="206" t="n"/>
      <c r="D308" s="206" t="n"/>
      <c r="E308" s="206" t="n"/>
      <c r="F308" s="206" t="n"/>
      <c r="G308" s="206" t="n"/>
      <c r="H308" s="206" t="n"/>
      <c r="I308" s="206" t="n"/>
    </row>
    <row r="309" ht="12.75" customHeight="1" s="207">
      <c r="A309" s="251" t="n"/>
      <c r="B309" s="206" t="n"/>
      <c r="C309" s="206" t="n"/>
      <c r="D309" s="206" t="n"/>
      <c r="E309" s="206" t="n"/>
      <c r="F309" s="206" t="n"/>
      <c r="G309" s="206" t="n"/>
      <c r="H309" s="206" t="n"/>
      <c r="I309" s="206" t="n"/>
    </row>
    <row r="310" ht="12.75" customHeight="1" s="207">
      <c r="A310" s="251" t="n"/>
      <c r="B310" s="206" t="n"/>
      <c r="C310" s="206" t="n"/>
      <c r="D310" s="206" t="n"/>
      <c r="E310" s="206" t="n"/>
      <c r="F310" s="206" t="n"/>
      <c r="G310" s="206" t="n"/>
      <c r="H310" s="206" t="n"/>
      <c r="I310" s="206" t="n"/>
    </row>
    <row r="311" ht="12.75" customHeight="1" s="207">
      <c r="A311" s="251" t="n"/>
      <c r="B311" s="206" t="n"/>
      <c r="C311" s="206" t="n"/>
      <c r="D311" s="206" t="n"/>
      <c r="E311" s="206" t="n"/>
      <c r="F311" s="206" t="n"/>
      <c r="G311" s="206" t="n"/>
      <c r="H311" s="206" t="n"/>
      <c r="I311" s="206" t="n"/>
    </row>
    <row r="312" ht="12.75" customHeight="1" s="207">
      <c r="A312" s="251" t="n"/>
      <c r="B312" s="206" t="n"/>
      <c r="C312" s="206" t="n"/>
      <c r="D312" s="206" t="n"/>
      <c r="E312" s="206" t="n"/>
      <c r="F312" s="206" t="n"/>
      <c r="G312" s="206" t="n"/>
      <c r="H312" s="206" t="n"/>
      <c r="I312" s="206" t="n"/>
    </row>
    <row r="313" ht="12.75" customHeight="1" s="207">
      <c r="A313" s="251" t="n"/>
      <c r="B313" s="206" t="n"/>
      <c r="C313" s="206" t="n"/>
      <c r="D313" s="206" t="n"/>
      <c r="E313" s="206" t="n"/>
      <c r="F313" s="206" t="n"/>
      <c r="G313" s="206" t="n"/>
      <c r="H313" s="206" t="n"/>
      <c r="I313" s="206" t="n"/>
    </row>
    <row r="314" ht="12.75" customHeight="1" s="207">
      <c r="A314" s="251" t="n"/>
      <c r="B314" s="206" t="n"/>
      <c r="C314" s="206" t="n"/>
      <c r="D314" s="206" t="n"/>
      <c r="E314" s="206" t="n"/>
      <c r="F314" s="206" t="n"/>
      <c r="G314" s="206" t="n"/>
      <c r="H314" s="206" t="n"/>
      <c r="I314" s="206" t="n"/>
    </row>
    <row r="315" ht="12.75" customHeight="1" s="207">
      <c r="A315" s="251" t="n"/>
      <c r="B315" s="206" t="n"/>
      <c r="C315" s="206" t="n"/>
      <c r="D315" s="206" t="n"/>
      <c r="E315" s="206" t="n"/>
      <c r="F315" s="206" t="n"/>
      <c r="G315" s="206" t="n"/>
      <c r="H315" s="206" t="n"/>
      <c r="I315" s="206" t="n"/>
    </row>
    <row r="316" ht="12.75" customHeight="1" s="207">
      <c r="A316" s="251" t="n"/>
      <c r="B316" s="206" t="n"/>
      <c r="C316" s="206" t="n"/>
      <c r="D316" s="206" t="n"/>
      <c r="E316" s="206" t="n"/>
      <c r="F316" s="206" t="n"/>
      <c r="G316" s="206" t="n"/>
      <c r="H316" s="206" t="n"/>
      <c r="I316" s="206" t="n"/>
    </row>
    <row r="317" ht="12.75" customHeight="1" s="207">
      <c r="A317" s="251" t="n"/>
      <c r="B317" s="206" t="n"/>
      <c r="C317" s="206" t="n"/>
      <c r="D317" s="206" t="n"/>
      <c r="E317" s="206" t="n"/>
      <c r="F317" s="206" t="n"/>
      <c r="G317" s="206" t="n"/>
      <c r="H317" s="206" t="n"/>
      <c r="I317" s="206" t="n"/>
    </row>
    <row r="318" ht="12.75" customHeight="1" s="207">
      <c r="A318" s="251" t="n"/>
      <c r="B318" s="206" t="n"/>
      <c r="C318" s="206" t="n"/>
      <c r="D318" s="206" t="n"/>
      <c r="E318" s="206" t="n"/>
      <c r="F318" s="206" t="n"/>
      <c r="G318" s="206" t="n"/>
      <c r="H318" s="206" t="n"/>
      <c r="I318" s="206" t="n"/>
    </row>
    <row r="319" ht="12.75" customHeight="1" s="207">
      <c r="A319" s="251" t="n"/>
      <c r="B319" s="206" t="n"/>
      <c r="C319" s="206" t="n"/>
      <c r="D319" s="206" t="n"/>
      <c r="E319" s="206" t="n"/>
      <c r="F319" s="206" t="n"/>
      <c r="G319" s="206" t="n"/>
      <c r="H319" s="206" t="n"/>
      <c r="I319" s="206" t="n"/>
    </row>
    <row r="320" ht="12.75" customHeight="1" s="207">
      <c r="A320" s="251" t="n"/>
      <c r="B320" s="206" t="n"/>
      <c r="C320" s="206" t="n"/>
      <c r="D320" s="206" t="n"/>
      <c r="E320" s="206" t="n"/>
      <c r="F320" s="206" t="n"/>
      <c r="G320" s="206" t="n"/>
      <c r="H320" s="206" t="n"/>
      <c r="I320" s="206" t="n"/>
    </row>
    <row r="321" ht="12.75" customHeight="1" s="207">
      <c r="A321" s="251" t="n"/>
      <c r="B321" s="206" t="n"/>
      <c r="C321" s="206" t="n"/>
      <c r="D321" s="206" t="n"/>
      <c r="E321" s="206" t="n"/>
      <c r="F321" s="206" t="n"/>
      <c r="G321" s="206" t="n"/>
      <c r="H321" s="206" t="n"/>
      <c r="I321" s="206" t="n"/>
    </row>
    <row r="322" ht="12.75" customHeight="1" s="207">
      <c r="A322" s="251" t="n"/>
      <c r="B322" s="206" t="n"/>
      <c r="C322" s="206" t="n"/>
      <c r="D322" s="206" t="n"/>
      <c r="E322" s="206" t="n"/>
      <c r="F322" s="206" t="n"/>
      <c r="G322" s="206" t="n"/>
      <c r="H322" s="206" t="n"/>
      <c r="I322" s="206" t="n"/>
    </row>
    <row r="323" ht="12.75" customHeight="1" s="207">
      <c r="A323" s="251" t="n"/>
      <c r="B323" s="206" t="n"/>
      <c r="C323" s="206" t="n"/>
      <c r="D323" s="206" t="n"/>
      <c r="E323" s="206" t="n"/>
      <c r="F323" s="206" t="n"/>
      <c r="G323" s="206" t="n"/>
      <c r="H323" s="206" t="n"/>
      <c r="I323" s="206" t="n"/>
    </row>
    <row r="324" ht="12.75" customHeight="1" s="207">
      <c r="A324" s="251" t="n"/>
      <c r="B324" s="206" t="n"/>
      <c r="C324" s="206" t="n"/>
      <c r="D324" s="206" t="n"/>
      <c r="E324" s="206" t="n"/>
      <c r="F324" s="206" t="n"/>
      <c r="G324" s="206" t="n"/>
      <c r="H324" s="206" t="n"/>
      <c r="I324" s="206" t="n"/>
    </row>
    <row r="325" ht="12.75" customHeight="1" s="207">
      <c r="A325" s="251" t="n"/>
      <c r="B325" s="206" t="n"/>
      <c r="C325" s="206" t="n"/>
      <c r="D325" s="206" t="n"/>
      <c r="E325" s="206" t="n"/>
      <c r="F325" s="206" t="n"/>
      <c r="G325" s="206" t="n"/>
      <c r="H325" s="206" t="n"/>
      <c r="I325" s="206" t="n"/>
    </row>
    <row r="326" ht="12.75" customHeight="1" s="207">
      <c r="A326" s="251" t="n"/>
      <c r="B326" s="206" t="n"/>
      <c r="C326" s="206" t="n"/>
      <c r="D326" s="206" t="n"/>
      <c r="E326" s="206" t="n"/>
      <c r="F326" s="206" t="n"/>
      <c r="G326" s="206" t="n"/>
      <c r="H326" s="206" t="n"/>
      <c r="I326" s="206" t="n"/>
    </row>
    <row r="327" ht="12.75" customHeight="1" s="207">
      <c r="A327" s="251" t="n"/>
      <c r="B327" s="206" t="n"/>
      <c r="C327" s="206" t="n"/>
      <c r="D327" s="206" t="n"/>
      <c r="E327" s="206" t="n"/>
      <c r="F327" s="206" t="n"/>
      <c r="G327" s="206" t="n"/>
      <c r="H327" s="206" t="n"/>
      <c r="I327" s="206" t="n"/>
    </row>
    <row r="328" ht="12.75" customHeight="1" s="207">
      <c r="A328" s="251" t="n"/>
      <c r="B328" s="206" t="n"/>
      <c r="C328" s="206" t="n"/>
      <c r="D328" s="206" t="n"/>
      <c r="E328" s="206" t="n"/>
      <c r="F328" s="206" t="n"/>
      <c r="G328" s="206" t="n"/>
      <c r="H328" s="206" t="n"/>
      <c r="I328" s="206" t="n"/>
    </row>
    <row r="329" ht="12.75" customHeight="1" s="207">
      <c r="A329" s="251" t="n"/>
      <c r="B329" s="206" t="n"/>
      <c r="C329" s="206" t="n"/>
      <c r="D329" s="206" t="n"/>
      <c r="E329" s="206" t="n"/>
      <c r="F329" s="206" t="n"/>
      <c r="G329" s="206" t="n"/>
      <c r="H329" s="206" t="n"/>
      <c r="I329" s="206" t="n"/>
    </row>
    <row r="330" ht="12.75" customHeight="1" s="207">
      <c r="A330" s="251" t="n"/>
      <c r="B330" s="206" t="n"/>
      <c r="C330" s="206" t="n"/>
      <c r="D330" s="206" t="n"/>
      <c r="E330" s="206" t="n"/>
      <c r="F330" s="206" t="n"/>
      <c r="G330" s="206" t="n"/>
      <c r="H330" s="206" t="n"/>
      <c r="I330" s="206" t="n"/>
    </row>
    <row r="331" ht="12.75" customHeight="1" s="207">
      <c r="A331" s="251" t="n"/>
      <c r="B331" s="206" t="n"/>
      <c r="C331" s="206" t="n"/>
      <c r="D331" s="206" t="n"/>
      <c r="E331" s="206" t="n"/>
      <c r="F331" s="206" t="n"/>
      <c r="G331" s="206" t="n"/>
      <c r="H331" s="206" t="n"/>
      <c r="I331" s="206" t="n"/>
    </row>
    <row r="332" ht="12.75" customHeight="1" s="207">
      <c r="A332" s="251" t="n"/>
      <c r="B332" s="206" t="n"/>
      <c r="C332" s="206" t="n"/>
      <c r="D332" s="206" t="n"/>
      <c r="E332" s="206" t="n"/>
      <c r="F332" s="206" t="n"/>
      <c r="G332" s="206" t="n"/>
      <c r="H332" s="206" t="n"/>
      <c r="I332" s="206" t="n"/>
    </row>
    <row r="333" ht="12.75" customHeight="1" s="207">
      <c r="A333" s="251" t="n"/>
      <c r="B333" s="206" t="n"/>
      <c r="C333" s="206" t="n"/>
      <c r="D333" s="206" t="n"/>
      <c r="E333" s="206" t="n"/>
      <c r="F333" s="206" t="n"/>
      <c r="G333" s="206" t="n"/>
      <c r="H333" s="206" t="n"/>
      <c r="I333" s="206" t="n"/>
    </row>
    <row r="334" ht="12.75" customHeight="1" s="207">
      <c r="A334" s="251" t="n"/>
      <c r="B334" s="206" t="n"/>
      <c r="C334" s="206" t="n"/>
      <c r="D334" s="206" t="n"/>
      <c r="E334" s="206" t="n"/>
      <c r="F334" s="206" t="n"/>
      <c r="G334" s="206" t="n"/>
      <c r="H334" s="206" t="n"/>
      <c r="I334" s="206" t="n"/>
    </row>
    <row r="335" ht="12.75" customHeight="1" s="207">
      <c r="A335" s="251" t="n"/>
      <c r="B335" s="206" t="n"/>
      <c r="C335" s="206" t="n"/>
      <c r="D335" s="206" t="n"/>
      <c r="E335" s="206" t="n"/>
      <c r="F335" s="206" t="n"/>
      <c r="G335" s="206" t="n"/>
      <c r="H335" s="206" t="n"/>
      <c r="I335" s="206" t="n"/>
    </row>
    <row r="336" ht="12.75" customHeight="1" s="207">
      <c r="A336" s="251" t="n"/>
      <c r="B336" s="206" t="n"/>
      <c r="C336" s="206" t="n"/>
      <c r="D336" s="206" t="n"/>
      <c r="E336" s="206" t="n"/>
      <c r="F336" s="206" t="n"/>
      <c r="G336" s="206" t="n"/>
      <c r="H336" s="206" t="n"/>
      <c r="I336" s="206" t="n"/>
    </row>
    <row r="337" ht="12.75" customHeight="1" s="207">
      <c r="A337" s="251" t="n"/>
      <c r="B337" s="206" t="n"/>
      <c r="C337" s="206" t="n"/>
      <c r="D337" s="206" t="n"/>
      <c r="E337" s="206" t="n"/>
      <c r="F337" s="206" t="n"/>
      <c r="G337" s="206" t="n"/>
      <c r="H337" s="206" t="n"/>
      <c r="I337" s="206" t="n"/>
    </row>
    <row r="338" ht="12.75" customHeight="1" s="207">
      <c r="A338" s="251" t="n"/>
      <c r="B338" s="206" t="n"/>
      <c r="C338" s="206" t="n"/>
      <c r="D338" s="206" t="n"/>
      <c r="E338" s="206" t="n"/>
      <c r="F338" s="206" t="n"/>
      <c r="G338" s="206" t="n"/>
      <c r="H338" s="206" t="n"/>
      <c r="I338" s="206" t="n"/>
    </row>
    <row r="339" ht="12.75" customHeight="1" s="207">
      <c r="A339" s="251" t="n"/>
      <c r="B339" s="206" t="n"/>
      <c r="C339" s="206" t="n"/>
      <c r="D339" s="206" t="n"/>
      <c r="E339" s="206" t="n"/>
      <c r="F339" s="206" t="n"/>
      <c r="G339" s="206" t="n"/>
      <c r="H339" s="206" t="n"/>
      <c r="I339" s="206" t="n"/>
    </row>
    <row r="340" ht="12.75" customHeight="1" s="207">
      <c r="A340" s="251" t="n"/>
      <c r="B340" s="206" t="n"/>
      <c r="C340" s="206" t="n"/>
      <c r="D340" s="206" t="n"/>
      <c r="E340" s="206" t="n"/>
      <c r="F340" s="206" t="n"/>
      <c r="G340" s="206" t="n"/>
      <c r="H340" s="206" t="n"/>
      <c r="I340" s="206" t="n"/>
    </row>
    <row r="341" ht="12.75" customHeight="1" s="207">
      <c r="A341" s="251" t="n"/>
      <c r="B341" s="206" t="n"/>
      <c r="C341" s="206" t="n"/>
      <c r="D341" s="206" t="n"/>
      <c r="E341" s="206" t="n"/>
      <c r="F341" s="206" t="n"/>
      <c r="G341" s="206" t="n"/>
      <c r="H341" s="206" t="n"/>
      <c r="I341" s="206" t="n"/>
    </row>
    <row r="342" ht="12.75" customHeight="1" s="207">
      <c r="A342" s="251" t="n"/>
      <c r="B342" s="206" t="n"/>
      <c r="C342" s="206" t="n"/>
      <c r="D342" s="206" t="n"/>
      <c r="E342" s="206" t="n"/>
      <c r="F342" s="206" t="n"/>
      <c r="G342" s="206" t="n"/>
      <c r="H342" s="206" t="n"/>
      <c r="I342" s="206" t="n"/>
    </row>
    <row r="343" ht="12.75" customHeight="1" s="207">
      <c r="A343" s="251" t="n"/>
      <c r="B343" s="206" t="n"/>
      <c r="C343" s="206" t="n"/>
      <c r="D343" s="206" t="n"/>
      <c r="E343" s="206" t="n"/>
      <c r="F343" s="206" t="n"/>
      <c r="G343" s="206" t="n"/>
      <c r="H343" s="206" t="n"/>
      <c r="I343" s="206" t="n"/>
    </row>
    <row r="344" ht="12.75" customHeight="1" s="207">
      <c r="A344" s="251" t="n"/>
      <c r="B344" s="206" t="n"/>
      <c r="C344" s="206" t="n"/>
      <c r="D344" s="206" t="n"/>
      <c r="E344" s="206" t="n"/>
      <c r="F344" s="206" t="n"/>
      <c r="G344" s="206" t="n"/>
      <c r="H344" s="206" t="n"/>
      <c r="I344" s="206" t="n"/>
    </row>
    <row r="345" ht="12.75" customHeight="1" s="207">
      <c r="A345" s="251" t="n"/>
      <c r="B345" s="206" t="n"/>
      <c r="C345" s="206" t="n"/>
      <c r="D345" s="206" t="n"/>
      <c r="E345" s="206" t="n"/>
      <c r="F345" s="206" t="n"/>
      <c r="G345" s="206" t="n"/>
      <c r="H345" s="206" t="n"/>
      <c r="I345" s="206" t="n"/>
    </row>
    <row r="346" ht="12.75" customHeight="1" s="207">
      <c r="A346" s="251" t="n"/>
      <c r="B346" s="206" t="n"/>
      <c r="C346" s="206" t="n"/>
      <c r="D346" s="206" t="n"/>
      <c r="E346" s="206" t="n"/>
      <c r="F346" s="206" t="n"/>
      <c r="G346" s="206" t="n"/>
      <c r="H346" s="206" t="n"/>
      <c r="I346" s="206" t="n"/>
    </row>
    <row r="347" ht="12.75" customHeight="1" s="207">
      <c r="A347" s="251" t="n"/>
      <c r="B347" s="206" t="n"/>
      <c r="C347" s="206" t="n"/>
      <c r="D347" s="206" t="n"/>
      <c r="E347" s="206" t="n"/>
      <c r="F347" s="206" t="n"/>
      <c r="G347" s="206" t="n"/>
      <c r="H347" s="206" t="n"/>
      <c r="I347" s="206" t="n"/>
    </row>
    <row r="348" ht="12.75" customHeight="1" s="207">
      <c r="A348" s="251" t="n"/>
      <c r="B348" s="206" t="n"/>
      <c r="C348" s="206" t="n"/>
      <c r="D348" s="206" t="n"/>
      <c r="E348" s="206" t="n"/>
      <c r="F348" s="206" t="n"/>
      <c r="G348" s="206" t="n"/>
      <c r="H348" s="206" t="n"/>
      <c r="I348" s="206" t="n"/>
    </row>
    <row r="349" ht="12.75" customHeight="1" s="207">
      <c r="A349" s="251" t="n"/>
      <c r="B349" s="206" t="n"/>
      <c r="C349" s="206" t="n"/>
      <c r="D349" s="206" t="n"/>
      <c r="E349" s="206" t="n"/>
      <c r="F349" s="206" t="n"/>
      <c r="G349" s="206" t="n"/>
      <c r="H349" s="206" t="n"/>
      <c r="I349" s="206" t="n"/>
    </row>
    <row r="350" ht="12.75" customHeight="1" s="207">
      <c r="A350" s="251" t="n"/>
      <c r="B350" s="206" t="n"/>
      <c r="C350" s="206" t="n"/>
      <c r="D350" s="206" t="n"/>
      <c r="E350" s="206" t="n"/>
      <c r="F350" s="206" t="n"/>
      <c r="G350" s="206" t="n"/>
      <c r="H350" s="206" t="n"/>
      <c r="I350" s="206" t="n"/>
    </row>
    <row r="351" ht="12.75" customHeight="1" s="207">
      <c r="A351" s="251" t="n"/>
      <c r="B351" s="206" t="n"/>
      <c r="C351" s="206" t="n"/>
      <c r="D351" s="206" t="n"/>
      <c r="E351" s="206" t="n"/>
      <c r="F351" s="206" t="n"/>
      <c r="G351" s="206" t="n"/>
      <c r="H351" s="206" t="n"/>
      <c r="I351" s="206" t="n"/>
    </row>
    <row r="352" ht="12.75" customHeight="1" s="207">
      <c r="A352" s="251" t="n"/>
      <c r="B352" s="206" t="n"/>
      <c r="C352" s="206" t="n"/>
      <c r="D352" s="206" t="n"/>
      <c r="E352" s="206" t="n"/>
      <c r="F352" s="206" t="n"/>
      <c r="G352" s="206" t="n"/>
      <c r="H352" s="206" t="n"/>
      <c r="I352" s="206" t="n"/>
    </row>
    <row r="353" ht="12.75" customHeight="1" s="207">
      <c r="A353" s="251" t="n"/>
      <c r="B353" s="206" t="n"/>
      <c r="C353" s="206" t="n"/>
      <c r="D353" s="206" t="n"/>
      <c r="E353" s="206" t="n"/>
      <c r="F353" s="206" t="n"/>
      <c r="G353" s="206" t="n"/>
      <c r="H353" s="206" t="n"/>
      <c r="I353" s="206" t="n"/>
    </row>
    <row r="354" ht="12.75" customHeight="1" s="207">
      <c r="A354" s="251" t="n"/>
      <c r="B354" s="206" t="n"/>
      <c r="C354" s="206" t="n"/>
      <c r="D354" s="206" t="n"/>
      <c r="E354" s="206" t="n"/>
      <c r="F354" s="206" t="n"/>
      <c r="G354" s="206" t="n"/>
      <c r="H354" s="206" t="n"/>
      <c r="I354" s="206" t="n"/>
    </row>
    <row r="355" ht="12.75" customHeight="1" s="207">
      <c r="A355" s="251" t="n"/>
      <c r="B355" s="206" t="n"/>
      <c r="C355" s="206" t="n"/>
      <c r="D355" s="206" t="n"/>
      <c r="E355" s="206" t="n"/>
      <c r="F355" s="206" t="n"/>
      <c r="G355" s="206" t="n"/>
      <c r="H355" s="206" t="n"/>
      <c r="I355" s="206" t="n"/>
    </row>
    <row r="356" ht="12.75" customHeight="1" s="207">
      <c r="A356" s="251" t="n"/>
      <c r="B356" s="206" t="n"/>
      <c r="C356" s="206" t="n"/>
      <c r="D356" s="206" t="n"/>
      <c r="E356" s="206" t="n"/>
      <c r="F356" s="206" t="n"/>
      <c r="G356" s="206" t="n"/>
      <c r="H356" s="206" t="n"/>
      <c r="I356" s="206" t="n"/>
    </row>
    <row r="357" ht="12.75" customHeight="1" s="207">
      <c r="A357" s="251" t="n"/>
      <c r="B357" s="206" t="n"/>
      <c r="C357" s="206" t="n"/>
      <c r="D357" s="206" t="n"/>
      <c r="E357" s="206" t="n"/>
      <c r="F357" s="206" t="n"/>
      <c r="G357" s="206" t="n"/>
      <c r="H357" s="206" t="n"/>
      <c r="I357" s="206" t="n"/>
    </row>
    <row r="358" ht="12.75" customHeight="1" s="207">
      <c r="A358" s="251" t="n"/>
      <c r="B358" s="206" t="n"/>
      <c r="C358" s="206" t="n"/>
      <c r="D358" s="206" t="n"/>
      <c r="E358" s="206" t="n"/>
      <c r="F358" s="206" t="n"/>
      <c r="G358" s="206" t="n"/>
      <c r="H358" s="206" t="n"/>
      <c r="I358" s="206" t="n"/>
    </row>
    <row r="359" ht="12.75" customHeight="1" s="207">
      <c r="A359" s="251" t="n"/>
      <c r="B359" s="206" t="n"/>
      <c r="C359" s="206" t="n"/>
      <c r="D359" s="206" t="n"/>
      <c r="E359" s="206" t="n"/>
      <c r="F359" s="206" t="n"/>
      <c r="G359" s="206" t="n"/>
      <c r="H359" s="206" t="n"/>
      <c r="I359" s="206" t="n"/>
    </row>
    <row r="360" ht="12.75" customHeight="1" s="207">
      <c r="A360" s="251" t="n"/>
      <c r="B360" s="206" t="n"/>
      <c r="C360" s="206" t="n"/>
      <c r="D360" s="206" t="n"/>
      <c r="E360" s="206" t="n"/>
      <c r="F360" s="206" t="n"/>
      <c r="G360" s="206" t="n"/>
      <c r="H360" s="206" t="n"/>
      <c r="I360" s="206" t="n"/>
    </row>
    <row r="361" ht="12.75" customHeight="1" s="207">
      <c r="A361" s="251" t="n"/>
      <c r="B361" s="206" t="n"/>
      <c r="C361" s="206" t="n"/>
      <c r="D361" s="206" t="n"/>
      <c r="E361" s="206" t="n"/>
      <c r="F361" s="206" t="n"/>
      <c r="G361" s="206" t="n"/>
      <c r="H361" s="206" t="n"/>
      <c r="I361" s="206" t="n"/>
    </row>
    <row r="362" ht="12.75" customHeight="1" s="207">
      <c r="A362" s="251" t="n"/>
      <c r="B362" s="206" t="n"/>
      <c r="C362" s="206" t="n"/>
      <c r="D362" s="206" t="n"/>
      <c r="E362" s="206" t="n"/>
      <c r="F362" s="206" t="n"/>
      <c r="G362" s="206" t="n"/>
      <c r="H362" s="206" t="n"/>
      <c r="I362" s="206" t="n"/>
    </row>
    <row r="363" ht="12.75" customHeight="1" s="207">
      <c r="A363" s="251" t="n"/>
      <c r="B363" s="206" t="n"/>
      <c r="C363" s="206" t="n"/>
      <c r="D363" s="206" t="n"/>
      <c r="E363" s="206" t="n"/>
      <c r="F363" s="206" t="n"/>
      <c r="G363" s="206" t="n"/>
      <c r="H363" s="206" t="n"/>
      <c r="I363" s="206" t="n"/>
    </row>
    <row r="364" ht="12.75" customHeight="1" s="207">
      <c r="A364" s="251" t="n"/>
      <c r="B364" s="206" t="n"/>
      <c r="C364" s="206" t="n"/>
      <c r="D364" s="206" t="n"/>
      <c r="E364" s="206" t="n"/>
      <c r="F364" s="206" t="n"/>
      <c r="G364" s="206" t="n"/>
      <c r="H364" s="206" t="n"/>
      <c r="I364" s="206" t="n"/>
    </row>
    <row r="365" ht="12.75" customHeight="1" s="207">
      <c r="A365" s="251" t="n"/>
      <c r="B365" s="206" t="n"/>
      <c r="C365" s="206" t="n"/>
      <c r="D365" s="206" t="n"/>
      <c r="E365" s="206" t="n"/>
      <c r="F365" s="206" t="n"/>
      <c r="G365" s="206" t="n"/>
      <c r="H365" s="206" t="n"/>
      <c r="I365" s="206" t="n"/>
    </row>
    <row r="366" ht="12.75" customHeight="1" s="207">
      <c r="A366" s="251" t="n"/>
      <c r="B366" s="206" t="n"/>
      <c r="C366" s="206" t="n"/>
      <c r="D366" s="206" t="n"/>
      <c r="E366" s="206" t="n"/>
      <c r="F366" s="206" t="n"/>
      <c r="G366" s="206" t="n"/>
      <c r="H366" s="206" t="n"/>
      <c r="I366" s="206" t="n"/>
    </row>
    <row r="367" ht="12.75" customHeight="1" s="207">
      <c r="A367" s="251" t="n"/>
      <c r="B367" s="206" t="n"/>
      <c r="C367" s="206" t="n"/>
      <c r="D367" s="206" t="n"/>
      <c r="E367" s="206" t="n"/>
      <c r="F367" s="206" t="n"/>
      <c r="G367" s="206" t="n"/>
      <c r="H367" s="206" t="n"/>
      <c r="I367" s="206" t="n"/>
    </row>
    <row r="368" ht="12.75" customHeight="1" s="207">
      <c r="A368" s="251" t="n"/>
      <c r="B368" s="206" t="n"/>
      <c r="C368" s="206" t="n"/>
      <c r="D368" s="206" t="n"/>
      <c r="E368" s="206" t="n"/>
      <c r="F368" s="206" t="n"/>
      <c r="G368" s="206" t="n"/>
      <c r="H368" s="206" t="n"/>
      <c r="I368" s="206" t="n"/>
    </row>
    <row r="369" ht="12.75" customHeight="1" s="207">
      <c r="A369" s="251" t="n"/>
      <c r="B369" s="206" t="n"/>
      <c r="C369" s="206" t="n"/>
      <c r="D369" s="206" t="n"/>
      <c r="E369" s="206" t="n"/>
      <c r="F369" s="206" t="n"/>
      <c r="G369" s="206" t="n"/>
      <c r="H369" s="206" t="n"/>
      <c r="I369" s="206" t="n"/>
    </row>
    <row r="370" ht="12.75" customHeight="1" s="207">
      <c r="A370" s="251" t="n"/>
      <c r="B370" s="206" t="n"/>
      <c r="C370" s="206" t="n"/>
      <c r="D370" s="206" t="n"/>
      <c r="E370" s="206" t="n"/>
      <c r="F370" s="206" t="n"/>
      <c r="G370" s="206" t="n"/>
      <c r="H370" s="206" t="n"/>
      <c r="I370" s="206" t="n"/>
    </row>
    <row r="371" ht="12.75" customHeight="1" s="207">
      <c r="A371" s="251" t="n"/>
      <c r="B371" s="206" t="n"/>
      <c r="C371" s="206" t="n"/>
      <c r="D371" s="206" t="n"/>
      <c r="E371" s="206" t="n"/>
      <c r="F371" s="206" t="n"/>
      <c r="G371" s="206" t="n"/>
      <c r="H371" s="206" t="n"/>
      <c r="I371" s="206" t="n"/>
    </row>
    <row r="372" ht="12.75" customHeight="1" s="207">
      <c r="A372" s="251" t="n"/>
      <c r="B372" s="206" t="n"/>
      <c r="C372" s="206" t="n"/>
      <c r="D372" s="206" t="n"/>
      <c r="E372" s="206" t="n"/>
      <c r="F372" s="206" t="n"/>
      <c r="G372" s="206" t="n"/>
      <c r="H372" s="206" t="n"/>
      <c r="I372" s="206" t="n"/>
    </row>
    <row r="373" ht="12.75" customHeight="1" s="207">
      <c r="A373" s="251" t="n"/>
      <c r="B373" s="206" t="n"/>
      <c r="C373" s="206" t="n"/>
      <c r="D373" s="206" t="n"/>
      <c r="E373" s="206" t="n"/>
      <c r="F373" s="206" t="n"/>
      <c r="G373" s="206" t="n"/>
      <c r="H373" s="206" t="n"/>
      <c r="I373" s="206" t="n"/>
    </row>
    <row r="374" ht="12.75" customHeight="1" s="207">
      <c r="A374" s="251" t="n"/>
      <c r="B374" s="206" t="n"/>
      <c r="C374" s="206" t="n"/>
      <c r="D374" s="206" t="n"/>
      <c r="E374" s="206" t="n"/>
      <c r="F374" s="206" t="n"/>
      <c r="G374" s="206" t="n"/>
      <c r="H374" s="206" t="n"/>
      <c r="I374" s="206" t="n"/>
    </row>
    <row r="375" ht="12.75" customHeight="1" s="207">
      <c r="A375" s="251" t="n"/>
      <c r="B375" s="206" t="n"/>
      <c r="C375" s="206" t="n"/>
      <c r="D375" s="206" t="n"/>
      <c r="E375" s="206" t="n"/>
      <c r="F375" s="206" t="n"/>
      <c r="G375" s="206" t="n"/>
      <c r="H375" s="206" t="n"/>
      <c r="I375" s="206" t="n"/>
    </row>
    <row r="376" ht="12.75" customHeight="1" s="207">
      <c r="A376" s="251" t="n"/>
      <c r="B376" s="206" t="n"/>
      <c r="C376" s="206" t="n"/>
      <c r="D376" s="206" t="n"/>
      <c r="E376" s="206" t="n"/>
      <c r="F376" s="206" t="n"/>
      <c r="G376" s="206" t="n"/>
      <c r="H376" s="206" t="n"/>
      <c r="I376" s="206" t="n"/>
    </row>
    <row r="377" ht="12.75" customHeight="1" s="207">
      <c r="A377" s="251" t="n"/>
      <c r="B377" s="206" t="n"/>
      <c r="C377" s="206" t="n"/>
      <c r="D377" s="206" t="n"/>
      <c r="E377" s="206" t="n"/>
      <c r="F377" s="206" t="n"/>
      <c r="G377" s="206" t="n"/>
      <c r="H377" s="206" t="n"/>
      <c r="I377" s="206" t="n"/>
    </row>
    <row r="378" ht="12.75" customHeight="1" s="207">
      <c r="A378" s="251" t="n"/>
      <c r="B378" s="206" t="n"/>
      <c r="C378" s="206" t="n"/>
      <c r="D378" s="206" t="n"/>
      <c r="E378" s="206" t="n"/>
      <c r="F378" s="206" t="n"/>
      <c r="G378" s="206" t="n"/>
      <c r="H378" s="206" t="n"/>
      <c r="I378" s="206" t="n"/>
    </row>
    <row r="379" ht="12.75" customHeight="1" s="207">
      <c r="A379" s="251" t="n"/>
      <c r="B379" s="206" t="n"/>
      <c r="C379" s="206" t="n"/>
      <c r="D379" s="206" t="n"/>
      <c r="E379" s="206" t="n"/>
      <c r="F379" s="206" t="n"/>
      <c r="G379" s="206" t="n"/>
      <c r="H379" s="206" t="n"/>
      <c r="I379" s="206" t="n"/>
    </row>
    <row r="380" ht="12.75" customHeight="1" s="207">
      <c r="A380" s="251" t="n"/>
      <c r="B380" s="206" t="n"/>
      <c r="C380" s="206" t="n"/>
      <c r="D380" s="206" t="n"/>
      <c r="E380" s="206" t="n"/>
      <c r="F380" s="206" t="n"/>
      <c r="G380" s="206" t="n"/>
      <c r="H380" s="206" t="n"/>
      <c r="I380" s="206" t="n"/>
    </row>
    <row r="381" ht="12.75" customHeight="1" s="207">
      <c r="A381" s="251" t="n"/>
      <c r="B381" s="206" t="n"/>
      <c r="C381" s="206" t="n"/>
      <c r="D381" s="206" t="n"/>
      <c r="E381" s="206" t="n"/>
      <c r="F381" s="206" t="n"/>
      <c r="G381" s="206" t="n"/>
      <c r="H381" s="206" t="n"/>
      <c r="I381" s="206" t="n"/>
    </row>
    <row r="382" ht="12.75" customHeight="1" s="207">
      <c r="A382" s="251" t="n"/>
      <c r="B382" s="206" t="n"/>
      <c r="C382" s="206" t="n"/>
      <c r="D382" s="206" t="n"/>
      <c r="E382" s="206" t="n"/>
      <c r="F382" s="206" t="n"/>
      <c r="G382" s="206" t="n"/>
      <c r="H382" s="206" t="n"/>
      <c r="I382" s="206" t="n"/>
    </row>
    <row r="383" ht="12.75" customHeight="1" s="207">
      <c r="A383" s="251" t="n"/>
      <c r="B383" s="206" t="n"/>
      <c r="C383" s="206" t="n"/>
      <c r="D383" s="206" t="n"/>
      <c r="E383" s="206" t="n"/>
      <c r="F383" s="206" t="n"/>
      <c r="G383" s="206" t="n"/>
      <c r="H383" s="206" t="n"/>
      <c r="I383" s="206" t="n"/>
    </row>
    <row r="384" ht="12.75" customHeight="1" s="207">
      <c r="A384" s="251" t="n"/>
      <c r="B384" s="206" t="n"/>
      <c r="C384" s="206" t="n"/>
      <c r="D384" s="206" t="n"/>
      <c r="E384" s="206" t="n"/>
      <c r="F384" s="206" t="n"/>
      <c r="G384" s="206" t="n"/>
      <c r="H384" s="206" t="n"/>
      <c r="I384" s="206" t="n"/>
    </row>
    <row r="385" ht="12.75" customHeight="1" s="207">
      <c r="A385" s="251" t="n"/>
      <c r="B385" s="206" t="n"/>
      <c r="C385" s="206" t="n"/>
      <c r="D385" s="206" t="n"/>
      <c r="E385" s="206" t="n"/>
      <c r="F385" s="206" t="n"/>
      <c r="G385" s="206" t="n"/>
      <c r="H385" s="206" t="n"/>
      <c r="I385" s="206" t="n"/>
    </row>
    <row r="386" ht="12.75" customHeight="1" s="207">
      <c r="A386" s="251" t="n"/>
      <c r="B386" s="206" t="n"/>
      <c r="C386" s="206" t="n"/>
      <c r="D386" s="206" t="n"/>
      <c r="E386" s="206" t="n"/>
      <c r="F386" s="206" t="n"/>
      <c r="G386" s="206" t="n"/>
      <c r="H386" s="206" t="n"/>
      <c r="I386" s="206" t="n"/>
    </row>
    <row r="387" ht="12.75" customHeight="1" s="207">
      <c r="A387" s="251" t="n"/>
      <c r="B387" s="206" t="n"/>
      <c r="C387" s="206" t="n"/>
      <c r="D387" s="206" t="n"/>
      <c r="E387" s="206" t="n"/>
      <c r="F387" s="206" t="n"/>
      <c r="G387" s="206" t="n"/>
      <c r="H387" s="206" t="n"/>
      <c r="I387" s="206" t="n"/>
    </row>
    <row r="388" ht="12.75" customHeight="1" s="207">
      <c r="A388" s="251" t="n"/>
      <c r="B388" s="206" t="n"/>
      <c r="C388" s="206" t="n"/>
      <c r="D388" s="206" t="n"/>
      <c r="E388" s="206" t="n"/>
      <c r="F388" s="206" t="n"/>
      <c r="G388" s="206" t="n"/>
      <c r="H388" s="206" t="n"/>
      <c r="I388" s="206" t="n"/>
    </row>
    <row r="389" ht="12.75" customHeight="1" s="207">
      <c r="A389" s="251" t="n"/>
      <c r="B389" s="206" t="n"/>
      <c r="C389" s="206" t="n"/>
      <c r="D389" s="206" t="n"/>
      <c r="E389" s="206" t="n"/>
      <c r="F389" s="206" t="n"/>
      <c r="G389" s="206" t="n"/>
      <c r="H389" s="206" t="n"/>
      <c r="I389" s="206" t="n"/>
    </row>
    <row r="390" ht="12.75" customHeight="1" s="207">
      <c r="A390" s="251" t="n"/>
      <c r="B390" s="206" t="n"/>
      <c r="C390" s="206" t="n"/>
      <c r="D390" s="206" t="n"/>
      <c r="E390" s="206" t="n"/>
      <c r="F390" s="206" t="n"/>
      <c r="G390" s="206" t="n"/>
      <c r="H390" s="206" t="n"/>
      <c r="I390" s="206" t="n"/>
    </row>
    <row r="391" ht="12.75" customHeight="1" s="207">
      <c r="A391" s="251" t="n"/>
      <c r="B391" s="206" t="n"/>
      <c r="C391" s="206" t="n"/>
      <c r="D391" s="206" t="n"/>
      <c r="E391" s="206" t="n"/>
      <c r="F391" s="206" t="n"/>
      <c r="G391" s="206" t="n"/>
      <c r="H391" s="206" t="n"/>
      <c r="I391" s="206" t="n"/>
    </row>
    <row r="392" ht="12.75" customHeight="1" s="207">
      <c r="A392" s="251" t="n"/>
      <c r="B392" s="206" t="n"/>
      <c r="C392" s="206" t="n"/>
      <c r="D392" s="206" t="n"/>
      <c r="E392" s="206" t="n"/>
      <c r="F392" s="206" t="n"/>
      <c r="G392" s="206" t="n"/>
      <c r="H392" s="206" t="n"/>
      <c r="I392" s="206" t="n"/>
    </row>
    <row r="393" ht="12.75" customHeight="1" s="207">
      <c r="A393" s="251" t="n"/>
      <c r="B393" s="206" t="n"/>
      <c r="C393" s="206" t="n"/>
      <c r="D393" s="206" t="n"/>
      <c r="E393" s="206" t="n"/>
      <c r="F393" s="206" t="n"/>
      <c r="G393" s="206" t="n"/>
      <c r="H393" s="206" t="n"/>
      <c r="I393" s="206" t="n"/>
    </row>
    <row r="394" ht="12.75" customHeight="1" s="207">
      <c r="A394" s="251" t="n"/>
      <c r="B394" s="206" t="n"/>
      <c r="C394" s="206" t="n"/>
      <c r="D394" s="206" t="n"/>
      <c r="E394" s="206" t="n"/>
      <c r="F394" s="206" t="n"/>
      <c r="G394" s="206" t="n"/>
      <c r="H394" s="206" t="n"/>
      <c r="I394" s="206" t="n"/>
    </row>
    <row r="395" ht="12.75" customHeight="1" s="207">
      <c r="A395" s="251" t="n"/>
      <c r="B395" s="206" t="n"/>
      <c r="C395" s="206" t="n"/>
      <c r="D395" s="206" t="n"/>
      <c r="E395" s="206" t="n"/>
      <c r="F395" s="206" t="n"/>
      <c r="G395" s="206" t="n"/>
      <c r="H395" s="206" t="n"/>
      <c r="I395" s="206" t="n"/>
    </row>
    <row r="396" ht="12.75" customHeight="1" s="207">
      <c r="A396" s="251" t="n"/>
      <c r="B396" s="206" t="n"/>
      <c r="C396" s="206" t="n"/>
      <c r="D396" s="206" t="n"/>
      <c r="E396" s="206" t="n"/>
      <c r="F396" s="206" t="n"/>
      <c r="G396" s="206" t="n"/>
      <c r="H396" s="206" t="n"/>
      <c r="I396" s="206" t="n"/>
    </row>
    <row r="397" ht="12.75" customHeight="1" s="207">
      <c r="A397" s="251" t="n"/>
      <c r="B397" s="206" t="n"/>
      <c r="C397" s="206" t="n"/>
      <c r="D397" s="206" t="n"/>
      <c r="E397" s="206" t="n"/>
      <c r="F397" s="206" t="n"/>
      <c r="G397" s="206" t="n"/>
      <c r="H397" s="206" t="n"/>
      <c r="I397" s="206"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85" zoomScaleNormal="85"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5" activeCellId="0" sqref="B5"/>
    </sheetView>
  </sheetViews>
  <sheetFormatPr baseColWidth="8" defaultColWidth="9.13671875" defaultRowHeight="12.75" customHeight="1" zeroHeight="0" outlineLevelRow="0"/>
  <cols>
    <col width="66.14" customWidth="1" style="217" min="1" max="1"/>
    <col width="13.7" customWidth="1" style="217" min="2" max="2"/>
    <col width="14.56" customWidth="1" style="252" min="3" max="3"/>
    <col width="14.85" customWidth="1" style="252" min="4" max="4"/>
    <col width="13.7" customWidth="1" style="217" min="5" max="9"/>
    <col width="9.140000000000001" customWidth="1" style="217" min="10" max="257"/>
  </cols>
  <sheetData>
    <row r="1" ht="19.5" customHeight="1" s="207">
      <c r="A1" s="253" t="inlineStr">
        <is>
          <t>United States</t>
        </is>
      </c>
    </row>
    <row r="2" ht="27" customHeight="1" s="207">
      <c r="A2" s="254" t="inlineStr">
        <is>
          <t>Description</t>
        </is>
      </c>
      <c r="B2" s="255" t="inlineStr">
        <is>
          <t>Base Year Monthly Avg.</t>
        </is>
      </c>
      <c r="C2" s="256" t="inlineStr">
        <is>
          <t>Year 1 Monthly Avg.</t>
        </is>
      </c>
      <c r="D2" s="255" t="inlineStr">
        <is>
          <t>Year 2 Monthly Avg.</t>
        </is>
      </c>
      <c r="E2" s="255" t="inlineStr">
        <is>
          <t>Year 3 Monthly Avg.</t>
        </is>
      </c>
      <c r="F2" s="255" t="inlineStr">
        <is>
          <t>Year 4 Monthly Avg.</t>
        </is>
      </c>
      <c r="G2" s="255" t="inlineStr">
        <is>
          <t>Year 5 Monthly Avg.</t>
        </is>
      </c>
      <c r="H2" s="255" t="inlineStr">
        <is>
          <t>Year 6 Monthly Avg.</t>
        </is>
      </c>
      <c r="I2" s="255" t="inlineStr">
        <is>
          <t>Year 7 Monthly Avg.</t>
        </is>
      </c>
    </row>
    <row r="3" ht="13.5" customHeight="1" s="207">
      <c r="A3" s="257" t="inlineStr">
        <is>
          <t>Accounts Payable</t>
        </is>
      </c>
      <c r="B3" s="258" t="n"/>
      <c r="C3" s="258" t="n"/>
      <c r="D3" s="258" t="n"/>
      <c r="E3" s="258" t="n"/>
      <c r="F3" s="258" t="n"/>
      <c r="G3" s="258" t="n"/>
      <c r="H3" s="258" t="n"/>
      <c r="I3" s="259" t="n"/>
    </row>
    <row r="4" ht="12.75" customHeight="1" s="207">
      <c r="A4" s="260" t="inlineStr">
        <is>
          <t>Invoice Processing</t>
        </is>
      </c>
      <c r="B4" s="227" t="n"/>
      <c r="C4" s="261" t="n"/>
      <c r="D4" s="261" t="n"/>
      <c r="E4" s="227" t="n"/>
      <c r="F4" s="227" t="n"/>
      <c r="G4" s="227" t="n"/>
      <c r="H4" s="227" t="n"/>
      <c r="I4" s="227" t="n"/>
    </row>
    <row r="5" ht="12.75" customHeight="1" s="207">
      <c r="A5" s="262" t="inlineStr">
        <is>
          <t>Manual Invoices - Purchase Order</t>
        </is>
      </c>
      <c r="B5" s="230" t="n">
        <v>4573.58333333333</v>
      </c>
      <c r="C5" s="263" t="n">
        <v>5305.35666666667</v>
      </c>
      <c r="D5" s="263" t="n">
        <v>6154.21373333333</v>
      </c>
      <c r="E5" s="263" t="n">
        <v>7138.88793066667</v>
      </c>
      <c r="F5" s="263" t="n">
        <v>8281.109999573329</v>
      </c>
      <c r="G5" s="263" t="n">
        <v>9606.08759950507</v>
      </c>
      <c r="H5" s="263" t="n">
        <v>11143.0616154259</v>
      </c>
      <c r="I5" s="263" t="n">
        <v>12925.951473894</v>
      </c>
    </row>
    <row r="6" ht="12.75" customHeight="1" s="207">
      <c r="A6" s="262" t="inlineStr">
        <is>
          <t>Manual Invoices - Non-Purchase Order</t>
        </is>
      </c>
      <c r="B6" s="230" t="n">
        <v>2532.83333333333</v>
      </c>
      <c r="C6" s="263" t="n">
        <v>2938.08666666667</v>
      </c>
      <c r="D6" s="263" t="n">
        <v>3408.18053333333</v>
      </c>
      <c r="E6" s="263" t="n">
        <v>3953.48941866667</v>
      </c>
      <c r="F6" s="263" t="n">
        <v>4586.04772565333</v>
      </c>
      <c r="G6" s="263" t="n">
        <v>5319.81536175787</v>
      </c>
      <c r="H6" s="263" t="n">
        <v>6170.98581963913</v>
      </c>
      <c r="I6" s="263" t="n">
        <v>7158.34355078139</v>
      </c>
    </row>
    <row r="7" ht="12.75" customHeight="1" s="207">
      <c r="A7" s="262" t="inlineStr">
        <is>
          <t>Electronic Invoices - Purchase Order</t>
        </is>
      </c>
      <c r="B7" s="230" t="n">
        <v>13839.5</v>
      </c>
      <c r="C7" s="263" t="n">
        <v>16053.82</v>
      </c>
      <c r="D7" s="263" t="n">
        <v>18622.4312</v>
      </c>
      <c r="E7" s="263" t="n">
        <v>21602.020192</v>
      </c>
      <c r="F7" s="263" t="n">
        <v>25058.34342272</v>
      </c>
      <c r="G7" s="263" t="n">
        <v>29067.6783703552</v>
      </c>
      <c r="H7" s="263" t="n">
        <v>33718.506909612</v>
      </c>
      <c r="I7" s="263" t="n">
        <v>39113.46801515</v>
      </c>
    </row>
    <row r="8" ht="12.75" customHeight="1" s="207">
      <c r="A8" s="262" t="inlineStr">
        <is>
          <t>Electronic Invoices - Non-Purchase Order</t>
        </is>
      </c>
      <c r="B8" s="230" t="n">
        <v>3941.5</v>
      </c>
      <c r="C8" s="263" t="n">
        <v>4572.14</v>
      </c>
      <c r="D8" s="263" t="n">
        <v>5303.6824</v>
      </c>
      <c r="E8" s="263" t="n">
        <v>6152.271584</v>
      </c>
      <c r="F8" s="263" t="n">
        <v>7136.63503744</v>
      </c>
      <c r="G8" s="263" t="n">
        <v>8278.496643430401</v>
      </c>
      <c r="H8" s="263" t="n">
        <v>9603.05610637927</v>
      </c>
      <c r="I8" s="263" t="n">
        <v>11139.5450833999</v>
      </c>
    </row>
    <row r="9" ht="12.75" customHeight="1" s="207">
      <c r="A9" s="262" t="inlineStr">
        <is>
          <t>P-Cards</t>
        </is>
      </c>
      <c r="B9" s="230" t="n">
        <v>4633</v>
      </c>
      <c r="C9" s="263" t="n">
        <v>5374.28</v>
      </c>
      <c r="D9" s="263" t="n">
        <v>6234.1648</v>
      </c>
      <c r="E9" s="263" t="n">
        <v>7231.631168</v>
      </c>
      <c r="F9" s="263" t="n">
        <v>8388.69215488</v>
      </c>
      <c r="G9" s="263" t="n">
        <v>9730.882899660801</v>
      </c>
      <c r="H9" s="263" t="n">
        <v>11287.8241636065</v>
      </c>
      <c r="I9" s="263" t="n">
        <v>13093.8760297836</v>
      </c>
    </row>
    <row r="10" ht="25.5" customHeight="1" s="207">
      <c r="A10" s="228" t="inlineStr">
        <is>
          <t>GlobalPharma Events Central (NEC) - Field Sales Force Related Checks                                                                             (see RTP Key Assumptions)</t>
        </is>
      </c>
      <c r="B10" s="230" t="n">
        <v>6966.16666666667</v>
      </c>
      <c r="C10" s="263" t="n">
        <v>8777.370000000001</v>
      </c>
      <c r="D10" s="263" t="n">
        <v>11059.4862</v>
      </c>
      <c r="E10" s="263" t="n">
        <v>13934.952612</v>
      </c>
      <c r="F10" s="263" t="n">
        <v>17558.04029112</v>
      </c>
      <c r="G10" s="263" t="n">
        <v>22123.1307668112</v>
      </c>
      <c r="H10" s="263" t="n">
        <v>27875.1447661821</v>
      </c>
      <c r="I10" s="263" t="n">
        <v>35122.6824053895</v>
      </c>
    </row>
    <row r="11" ht="12.75" customHeight="1" s="207">
      <c r="A11" s="264" t="inlineStr">
        <is>
          <t>Consolidated Invoices - Including GlobalPharma Events Central (NEC)</t>
        </is>
      </c>
      <c r="B11" s="230" t="n">
        <v>36486.5833333333</v>
      </c>
      <c r="C11" s="263" t="n">
        <v>42324.4366666667</v>
      </c>
      <c r="D11" s="263" t="n">
        <v>49096.3465333333</v>
      </c>
      <c r="E11" s="263" t="n">
        <v>56951.7619786667</v>
      </c>
      <c r="F11" s="263" t="n">
        <v>66064.0438952533</v>
      </c>
      <c r="G11" s="263" t="n">
        <v>76634.29091849391</v>
      </c>
      <c r="H11" s="263" t="n">
        <v>88895.77746545291</v>
      </c>
      <c r="I11" s="263" t="n">
        <v>103119.101859925</v>
      </c>
    </row>
    <row r="12" ht="12.75" customHeight="1" s="207">
      <c r="A12" s="265" t="inlineStr">
        <is>
          <t>Payments (Check Printing and Disbursement)</t>
        </is>
      </c>
      <c r="B12" s="230" t="n"/>
      <c r="C12" s="263" t="n"/>
      <c r="D12" s="263" t="inlineStr">
        <is>
          <t xml:space="preserve"> </t>
        </is>
      </c>
      <c r="E12" s="235" t="n"/>
      <c r="F12" s="235" t="n"/>
      <c r="G12" s="235" t="n"/>
      <c r="H12" s="235" t="n"/>
      <c r="I12" s="235" t="n"/>
    </row>
    <row r="13" ht="12.75" customHeight="1" s="207">
      <c r="A13" s="262" t="inlineStr">
        <is>
          <t>Payments - Normal Handling</t>
        </is>
      </c>
      <c r="B13" s="230" t="n">
        <v>12145.5</v>
      </c>
      <c r="C13" s="263" t="n">
        <v>14088.78</v>
      </c>
      <c r="D13" s="263" t="n">
        <v>16342.9848</v>
      </c>
      <c r="E13" s="263" t="n">
        <v>18957.862368</v>
      </c>
      <c r="F13" s="263" t="n">
        <v>21991.12034688</v>
      </c>
      <c r="G13" s="263" t="n">
        <v>25509.6996023808</v>
      </c>
      <c r="H13" s="263" t="n">
        <v>29591.2515387617</v>
      </c>
      <c r="I13" s="263" t="n">
        <v>34325.8517849636</v>
      </c>
    </row>
    <row r="14" ht="25.5" customHeight="1" s="207">
      <c r="A14" s="228" t="inlineStr">
        <is>
          <t>Payments - GlobalPharma Events Central (NEC) - Field Sales Force Related Checks                                                                                                                                 (see RTP Key Assumptions)</t>
        </is>
      </c>
      <c r="B14" s="230" t="n">
        <v>6966.16666666667</v>
      </c>
      <c r="C14" s="263" t="n">
        <v>8777.370000000001</v>
      </c>
      <c r="D14" s="263" t="n">
        <v>11059.4862</v>
      </c>
      <c r="E14" s="263" t="n">
        <v>13934.952612</v>
      </c>
      <c r="F14" s="263" t="n">
        <v>17558.04029112</v>
      </c>
      <c r="G14" s="263" t="n">
        <v>22123.1307668112</v>
      </c>
      <c r="H14" s="263" t="n">
        <v>27875.1447661821</v>
      </c>
      <c r="I14" s="263" t="n">
        <v>35122.6824053895</v>
      </c>
    </row>
    <row r="15" ht="12.75" customHeight="1" s="207">
      <c r="A15" s="262" t="inlineStr">
        <is>
          <t>Payments - Checks Requiring Special Handling</t>
        </is>
      </c>
      <c r="B15" s="230" t="n">
        <v>614.333333333333</v>
      </c>
      <c r="C15" s="263" t="n">
        <v>712.626666666667</v>
      </c>
      <c r="D15" s="263" t="n">
        <v>826.646933333333</v>
      </c>
      <c r="E15" s="263" t="n">
        <v>958.910442666667</v>
      </c>
      <c r="F15" s="263" t="n">
        <v>1112.33611349333</v>
      </c>
      <c r="G15" s="263" t="n">
        <v>1290.30989165227</v>
      </c>
      <c r="H15" s="263" t="n">
        <v>1496.75947431663</v>
      </c>
      <c r="I15" s="263" t="n">
        <v>1736.24099020729</v>
      </c>
    </row>
    <row r="16" ht="12.75" customHeight="1" s="207">
      <c r="A16" s="262" t="inlineStr">
        <is>
          <t>Payments - Electronic Disbursement</t>
        </is>
      </c>
      <c r="B16" s="230" t="n">
        <v>1666.66666666667</v>
      </c>
      <c r="C16" s="263" t="n">
        <v>1933.33333333333</v>
      </c>
      <c r="D16" s="263" t="n">
        <v>2242.66666666667</v>
      </c>
      <c r="E16" s="263" t="n">
        <v>2601.49333333333</v>
      </c>
      <c r="F16" s="263" t="n">
        <v>3017.73226666667</v>
      </c>
      <c r="G16" s="263" t="n">
        <v>3500.56942933333</v>
      </c>
      <c r="H16" s="263" t="n">
        <v>4060.66053802667</v>
      </c>
      <c r="I16" s="263" t="n">
        <v>4710.36622411093</v>
      </c>
    </row>
    <row r="17" ht="12.75" customHeight="1" s="207">
      <c r="A17" s="262" t="inlineStr">
        <is>
          <t>Payments - Wire Disbursement</t>
        </is>
      </c>
      <c r="B17" s="230" t="n">
        <v>72.6666666666667</v>
      </c>
      <c r="C17" s="263" t="n">
        <v>84.29333333333329</v>
      </c>
      <c r="D17" s="263" t="n">
        <v>97.78026666666671</v>
      </c>
      <c r="E17" s="263" t="n">
        <v>113.425109333333</v>
      </c>
      <c r="F17" s="263" t="n">
        <v>131.573126826667</v>
      </c>
      <c r="G17" s="263" t="n">
        <v>152.624827118933</v>
      </c>
      <c r="H17" s="263" t="n">
        <v>177.044799457963</v>
      </c>
      <c r="I17" s="263" t="n">
        <v>205.371967371237</v>
      </c>
    </row>
    <row r="18" ht="12.75" customHeight="1" s="207">
      <c r="A18" s="265" t="inlineStr">
        <is>
          <t>Vendor Management</t>
        </is>
      </c>
      <c r="B18" s="230" t="n"/>
      <c r="C18" s="263" t="inlineStr">
        <is>
          <t xml:space="preserve"> </t>
        </is>
      </c>
      <c r="D18" s="263" t="inlineStr">
        <is>
          <t xml:space="preserve"> </t>
        </is>
      </c>
      <c r="E18" s="235" t="n"/>
      <c r="F18" s="235" t="n"/>
      <c r="G18" s="235" t="n"/>
      <c r="H18" s="235" t="n"/>
      <c r="I18" s="235" t="n"/>
    </row>
    <row r="19" ht="12.75" customHeight="1" s="207">
      <c r="A19" s="264" t="inlineStr">
        <is>
          <t>Vendor Set Up</t>
        </is>
      </c>
      <c r="B19" s="230" t="n">
        <v>208.166666666667</v>
      </c>
      <c r="C19" s="263" t="n">
        <v>241.473333333333</v>
      </c>
      <c r="D19" s="263" t="n">
        <v>280.109066666667</v>
      </c>
      <c r="E19" s="263" t="n">
        <v>324.926517333333</v>
      </c>
      <c r="F19" s="263" t="n">
        <v>376.914760106667</v>
      </c>
      <c r="G19" s="263" t="n">
        <v>437.221121723733</v>
      </c>
      <c r="H19" s="263" t="n">
        <v>507.176501199531</v>
      </c>
      <c r="I19" s="263" t="n">
        <v>588.324741391456</v>
      </c>
    </row>
    <row r="20" ht="12.75" customHeight="1" s="207">
      <c r="A20" s="264" t="inlineStr">
        <is>
          <t>Vendor Inquiry</t>
        </is>
      </c>
      <c r="B20" s="266" t="inlineStr">
        <is>
          <t>n/a</t>
        </is>
      </c>
      <c r="C20" s="266" t="inlineStr">
        <is>
          <t>n/a</t>
        </is>
      </c>
      <c r="D20" s="263" t="inlineStr">
        <is>
          <t xml:space="preserve"> </t>
        </is>
      </c>
      <c r="E20" s="266" t="inlineStr">
        <is>
          <t>n/a</t>
        </is>
      </c>
      <c r="F20" s="266" t="inlineStr">
        <is>
          <t>n/a</t>
        </is>
      </c>
      <c r="G20" s="266" t="inlineStr">
        <is>
          <t>n/a</t>
        </is>
      </c>
      <c r="H20" s="266" t="inlineStr">
        <is>
          <t>n/a</t>
        </is>
      </c>
      <c r="I20" s="266" t="inlineStr">
        <is>
          <t>n/a</t>
        </is>
      </c>
    </row>
    <row r="21" ht="13.5" customHeight="1" s="207">
      <c r="A21" s="264" t="inlineStr">
        <is>
          <t>Year End Vendor Tax Reporting (2005 - Reported in 2006)</t>
        </is>
      </c>
      <c r="B21" s="230" t="n">
        <v>916.666666666667</v>
      </c>
      <c r="C21" s="263" t="n">
        <v>1063.33333333333</v>
      </c>
      <c r="D21" s="263" t="n">
        <v>1233.46666666667</v>
      </c>
      <c r="E21" s="263" t="n">
        <v>1430.82133333333</v>
      </c>
      <c r="F21" s="263" t="n">
        <v>1659.75274666667</v>
      </c>
      <c r="G21" s="263" t="n">
        <v>1925.31318613333</v>
      </c>
      <c r="H21" s="263" t="n">
        <v>2233.36329591467</v>
      </c>
      <c r="I21" s="263" t="n">
        <v>2590.70142326101</v>
      </c>
    </row>
    <row r="22" ht="12.75" customHeight="1" s="207">
      <c r="A22" s="267" t="inlineStr">
        <is>
          <t>Order to Cash</t>
        </is>
      </c>
      <c r="B22" s="258" t="n"/>
      <c r="C22" s="258" t="n"/>
      <c r="D22" s="258" t="n"/>
      <c r="E22" s="258" t="n"/>
      <c r="F22" s="258" t="n"/>
      <c r="G22" s="258" t="n"/>
      <c r="H22" s="258" t="n"/>
      <c r="I22" s="258" t="n"/>
    </row>
    <row r="23" ht="12.75" customHeight="1" s="207">
      <c r="A23" s="268" t="inlineStr">
        <is>
          <t>Collections</t>
        </is>
      </c>
      <c r="B23" s="244" t="n"/>
      <c r="C23" s="269" t="n"/>
      <c r="D23" s="269" t="n"/>
      <c r="E23" s="235" t="n"/>
      <c r="F23" s="235" t="n"/>
      <c r="G23" s="235" t="n"/>
      <c r="H23" s="235" t="n"/>
      <c r="I23" s="235" t="n"/>
    </row>
    <row r="24" ht="12.75" customHeight="1" s="207">
      <c r="A24" s="262" t="inlineStr">
        <is>
          <t>Actively Managed Accounts</t>
        </is>
      </c>
      <c r="B24" s="244" t="n"/>
      <c r="C24" s="269" t="n"/>
      <c r="D24" s="269" t="n"/>
      <c r="E24" s="235" t="n"/>
      <c r="F24" s="235" t="n"/>
      <c r="G24" s="235" t="n"/>
      <c r="H24" s="235" t="n"/>
      <c r="I24" s="235" t="n"/>
    </row>
    <row r="25" ht="12.75" customHeight="1" s="207">
      <c r="A25" s="262" t="inlineStr">
        <is>
          <t>Ophtha OTC Accounts</t>
        </is>
      </c>
      <c r="B25" s="266" t="n">
        <v>835</v>
      </c>
      <c r="C25" s="266" t="n">
        <v>920</v>
      </c>
      <c r="D25" s="266" t="n">
        <v>1000</v>
      </c>
      <c r="E25" s="266" t="n">
        <v>1100</v>
      </c>
      <c r="F25" s="266" t="n">
        <v>1210</v>
      </c>
      <c r="G25" s="266" t="n">
        <v>1330</v>
      </c>
      <c r="H25" s="266" t="n">
        <v>1465</v>
      </c>
      <c r="I25" s="266" t="n">
        <v>1610</v>
      </c>
    </row>
    <row r="26" ht="12.75" customHeight="1" s="207">
      <c r="A26" s="262" t="inlineStr">
        <is>
          <t>Deduction Management (items &gt;$250)</t>
        </is>
      </c>
      <c r="B26" s="266" t="n">
        <v>1270</v>
      </c>
      <c r="C26" s="266" t="n">
        <v>1310</v>
      </c>
      <c r="D26" s="266" t="n">
        <v>1375</v>
      </c>
      <c r="E26" s="266" t="n">
        <v>1500</v>
      </c>
      <c r="F26" s="266" t="n">
        <v>1575</v>
      </c>
      <c r="G26" s="266" t="n">
        <v>1650</v>
      </c>
      <c r="H26" s="266" t="n">
        <v>1730</v>
      </c>
      <c r="I26" s="266" t="n">
        <v>1820</v>
      </c>
    </row>
    <row r="27" ht="12.75" customHeight="1" s="207">
      <c r="A27" s="262" t="inlineStr">
        <is>
          <t>Ophtha Advertising Deduction Management</t>
        </is>
      </c>
      <c r="B27" s="266" t="n">
        <v>100</v>
      </c>
      <c r="C27" s="266" t="n">
        <v>105</v>
      </c>
      <c r="D27" s="266" t="n">
        <v>110</v>
      </c>
      <c r="E27" s="266" t="n">
        <v>116</v>
      </c>
      <c r="F27" s="266" t="n">
        <v>122</v>
      </c>
      <c r="G27" s="266" t="n">
        <v>128</v>
      </c>
      <c r="H27" s="266" t="n">
        <v>134</v>
      </c>
      <c r="I27" s="266" t="n">
        <v>141</v>
      </c>
    </row>
    <row r="28" ht="13.5" customHeight="1" s="207">
      <c r="A28" s="262" t="inlineStr">
        <is>
          <t>Ophtha Coupons Deduction Management</t>
        </is>
      </c>
      <c r="B28" s="266" t="n">
        <v>67</v>
      </c>
      <c r="C28" s="266" t="n">
        <v>70</v>
      </c>
      <c r="D28" s="266" t="n">
        <v>73</v>
      </c>
      <c r="E28" s="266" t="n">
        <v>77</v>
      </c>
      <c r="F28" s="266" t="n">
        <v>80</v>
      </c>
      <c r="G28" s="266" t="n">
        <v>84</v>
      </c>
      <c r="H28" s="266" t="n">
        <v>88</v>
      </c>
      <c r="I28" s="266" t="n">
        <v>92</v>
      </c>
    </row>
    <row r="29" ht="13.5" customHeight="1" s="207">
      <c r="A29" s="267" t="inlineStr">
        <is>
          <t>Fixed Assets</t>
        </is>
      </c>
      <c r="B29" s="258" t="n"/>
      <c r="C29" s="258" t="n"/>
      <c r="D29" s="258" t="n"/>
      <c r="E29" s="258" t="n"/>
      <c r="F29" s="258" t="n"/>
      <c r="G29" s="258" t="n"/>
      <c r="H29" s="258" t="n"/>
      <c r="I29" s="258" t="n"/>
    </row>
    <row r="30" ht="12.75" customHeight="1" s="207">
      <c r="A30" s="260" t="inlineStr">
        <is>
          <t>Fixed Assets</t>
        </is>
      </c>
      <c r="B30" s="227" t="n"/>
      <c r="C30" s="261" t="n"/>
      <c r="D30" s="261" t="n"/>
      <c r="E30" s="227" t="n"/>
      <c r="F30" s="227" t="n"/>
      <c r="G30" s="227" t="n"/>
      <c r="H30" s="227" t="n"/>
      <c r="I30" s="227" t="n"/>
    </row>
    <row r="31" ht="12.75" customHeight="1" s="207">
      <c r="A31" s="262" t="inlineStr">
        <is>
          <t>Active Assets (Or)</t>
        </is>
      </c>
      <c r="B31" s="263" t="n">
        <v>16500</v>
      </c>
      <c r="C31" s="263" t="n">
        <v>17460</v>
      </c>
      <c r="D31" s="263" t="n">
        <v>17548</v>
      </c>
      <c r="E31" s="263" t="n">
        <v>17644.8</v>
      </c>
      <c r="F31" s="263" t="n">
        <v>17741.6</v>
      </c>
      <c r="G31" s="263" t="n">
        <v>17741.6</v>
      </c>
      <c r="H31" s="263" t="n">
        <v>17741.6</v>
      </c>
      <c r="I31" s="263" t="n">
        <v>17741.6</v>
      </c>
    </row>
    <row r="32" ht="13.5" customHeight="1" s="207">
      <c r="A32" s="262" t="inlineStr">
        <is>
          <t>Asset Record Changes</t>
        </is>
      </c>
      <c r="B32" s="263" t="n">
        <v>80</v>
      </c>
      <c r="C32" s="263" t="n">
        <v>88</v>
      </c>
      <c r="D32" s="263" t="n">
        <v>96.8</v>
      </c>
      <c r="E32" s="270" t="n">
        <v>96.8</v>
      </c>
      <c r="F32" s="270" t="n">
        <v>96.8</v>
      </c>
      <c r="G32" s="270" t="n">
        <v>96.8</v>
      </c>
      <c r="H32" s="270" t="n">
        <v>96.8</v>
      </c>
      <c r="I32" s="235" t="n">
        <v>80</v>
      </c>
    </row>
    <row r="33" ht="13.5" customHeight="1" s="207">
      <c r="A33" s="267" t="inlineStr">
        <is>
          <t>Account to Report</t>
        </is>
      </c>
      <c r="B33" s="258" t="n"/>
      <c r="C33" s="258" t="n"/>
      <c r="D33" s="258" t="n"/>
      <c r="E33" s="258" t="n"/>
      <c r="F33" s="258" t="n"/>
      <c r="G33" s="258" t="n"/>
      <c r="H33" s="258" t="n"/>
      <c r="I33" s="258" t="n"/>
    </row>
    <row r="34" ht="12.75" customHeight="1" s="207">
      <c r="A34" s="260" t="inlineStr">
        <is>
          <t>General Ledger Accounting</t>
        </is>
      </c>
      <c r="B34" s="227" t="n"/>
      <c r="C34" s="261" t="n"/>
      <c r="D34" s="261" t="n"/>
      <c r="E34" s="227" t="n"/>
      <c r="F34" s="227" t="n"/>
      <c r="G34" s="227" t="n"/>
      <c r="H34" s="227" t="n"/>
      <c r="I34" s="227" t="n"/>
    </row>
    <row r="35" ht="12.75" customHeight="1" s="207">
      <c r="A35" s="271" t="inlineStr">
        <is>
          <t>Chart of Account Change</t>
        </is>
      </c>
      <c r="B35" s="272" t="n">
        <v>27.0833333333333</v>
      </c>
      <c r="C35" s="272" t="n">
        <v>27.0833333333333</v>
      </c>
      <c r="D35" s="272" t="n">
        <v>27.0833333333333</v>
      </c>
      <c r="E35" s="272" t="n">
        <v>27.0833333333333</v>
      </c>
      <c r="F35" s="272" t="n">
        <v>27.0833333333333</v>
      </c>
      <c r="G35" s="272" t="n">
        <v>27.0833333333333</v>
      </c>
      <c r="H35" s="272" t="n">
        <v>27.0833333333333</v>
      </c>
      <c r="I35" s="272" t="n">
        <v>27.0833333333333</v>
      </c>
    </row>
    <row r="36" ht="12.75" customHeight="1" s="207">
      <c r="A36" s="273" t="inlineStr">
        <is>
          <t>Inter-Company Transactions</t>
        </is>
      </c>
      <c r="B36" s="274" t="n">
        <v>1000</v>
      </c>
      <c r="C36" s="274" t="n">
        <v>1000</v>
      </c>
      <c r="D36" s="274" t="n">
        <v>1000</v>
      </c>
      <c r="E36" s="274" t="n">
        <v>1000</v>
      </c>
      <c r="F36" s="274" t="n">
        <v>1000</v>
      </c>
      <c r="G36" s="274" t="n">
        <v>1000</v>
      </c>
      <c r="H36" s="274" t="n">
        <v>1000</v>
      </c>
      <c r="I36" s="274" t="n">
        <v>1000</v>
      </c>
    </row>
    <row r="37" ht="12.75" customHeight="1" s="207">
      <c r="A37" s="271" t="inlineStr">
        <is>
          <t>Cost Center Change</t>
        </is>
      </c>
      <c r="B37" s="272" t="n">
        <v>81.25</v>
      </c>
      <c r="C37" s="272" t="n">
        <v>81.25</v>
      </c>
      <c r="D37" s="272" t="n">
        <v>81.25</v>
      </c>
      <c r="E37" s="272" t="n">
        <v>81.25</v>
      </c>
      <c r="F37" s="272" t="n">
        <v>81.25</v>
      </c>
      <c r="G37" s="272" t="n">
        <v>81.25</v>
      </c>
      <c r="H37" s="272" t="n">
        <v>81.25</v>
      </c>
      <c r="I37" s="272" t="n">
        <v>81.25</v>
      </c>
    </row>
    <row r="38" ht="12.75" customHeight="1" s="207">
      <c r="A38" s="265" t="inlineStr">
        <is>
          <t>Financial Management Services</t>
        </is>
      </c>
      <c r="B38" s="235" t="n"/>
      <c r="C38" s="263" t="n"/>
      <c r="D38" s="263" t="n"/>
      <c r="E38" s="235" t="n"/>
      <c r="F38" s="235" t="n"/>
      <c r="G38" s="235" t="n"/>
      <c r="H38" s="235" t="n"/>
      <c r="I38" s="235" t="n"/>
    </row>
    <row r="39" ht="12.75" customHeight="1" s="207">
      <c r="A39" s="262" t="inlineStr">
        <is>
          <t>Bank Reconciliation - Pharma</t>
        </is>
      </c>
      <c r="B39" s="235" t="n">
        <v>13</v>
      </c>
      <c r="C39" s="263" t="n">
        <v>13</v>
      </c>
      <c r="D39" s="263" t="n">
        <v>13</v>
      </c>
      <c r="E39" s="263" t="n">
        <v>13</v>
      </c>
      <c r="F39" s="263" t="n">
        <v>13</v>
      </c>
      <c r="G39" s="263" t="n">
        <v>13</v>
      </c>
      <c r="H39" s="263" t="n">
        <v>13</v>
      </c>
      <c r="I39" s="263" t="n">
        <v>13</v>
      </c>
    </row>
    <row r="40" ht="12.75" customHeight="1" s="207">
      <c r="A40" s="262" t="inlineStr">
        <is>
          <t>Bank Reconciliations - USCO</t>
        </is>
      </c>
      <c r="B40" s="235" t="n">
        <v>13</v>
      </c>
      <c r="C40" s="263" t="n">
        <v>13</v>
      </c>
      <c r="D40" s="263" t="n">
        <v>13</v>
      </c>
      <c r="E40" s="263" t="n">
        <v>13</v>
      </c>
      <c r="F40" s="263" t="n">
        <v>13</v>
      </c>
      <c r="G40" s="263" t="n">
        <v>13</v>
      </c>
      <c r="H40" s="263" t="n">
        <v>13</v>
      </c>
      <c r="I40" s="263" t="n">
        <v>13</v>
      </c>
    </row>
  </sheetData>
  <mergeCells count="4">
    <mergeCell ref="A29:I29"/>
    <mergeCell ref="A3:I3"/>
    <mergeCell ref="A33:I33"/>
    <mergeCell ref="A22:I22"/>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63"/>
  <sheetViews>
    <sheetView showFormulas="0" showGridLines="1" showRowColHeaders="1" showZeros="1" rightToLeft="0" tabSelected="0" showOutlineSymbols="1" defaultGridColor="1" view="normal" topLeftCell="A1" colorId="64" zoomScale="88" zoomScaleNormal="88" zoomScalePageLayoutView="100" workbookViewId="0">
      <selection pane="topLeft" activeCell="B5" activeCellId="0" sqref="B5:B8"/>
    </sheetView>
  </sheetViews>
  <sheetFormatPr baseColWidth="8" defaultColWidth="9.13671875" defaultRowHeight="12.75" customHeight="1" zeroHeight="0" outlineLevelRow="0"/>
  <cols>
    <col width="64.13" customWidth="1" style="217" min="1" max="1"/>
    <col width="13.7" customWidth="1" style="217" min="2" max="9"/>
    <col width="9.140000000000001" customWidth="1" style="217" min="10" max="257"/>
  </cols>
  <sheetData>
    <row r="1" ht="19.5" customHeight="1" s="207">
      <c r="A1" s="253" t="inlineStr">
        <is>
          <t>France</t>
        </is>
      </c>
    </row>
    <row r="2" ht="27" customHeight="1" s="207">
      <c r="A2" s="219" t="inlineStr">
        <is>
          <t>Description</t>
        </is>
      </c>
      <c r="B2" s="221" t="inlineStr">
        <is>
          <t>Base Year Monthly Avg.</t>
        </is>
      </c>
      <c r="C2" s="221" t="inlineStr">
        <is>
          <t>Year 1 Monthly Avg.</t>
        </is>
      </c>
      <c r="D2" s="221" t="inlineStr">
        <is>
          <t>Year 2 Monthly Avg.</t>
        </is>
      </c>
      <c r="E2" s="221" t="inlineStr">
        <is>
          <t>Year 3 Monthly Avg.</t>
        </is>
      </c>
      <c r="F2" s="221" t="inlineStr">
        <is>
          <t>Year 4 Monthly Avg.</t>
        </is>
      </c>
      <c r="G2" s="221" t="inlineStr">
        <is>
          <t>Year 5 Monthly Avg.</t>
        </is>
      </c>
      <c r="H2" s="221" t="inlineStr">
        <is>
          <t>Year 6 Monthly Avg.</t>
        </is>
      </c>
      <c r="I2" s="221" t="inlineStr">
        <is>
          <t>Year 7 Monthly Avg.</t>
        </is>
      </c>
    </row>
    <row r="3" ht="16.5" customHeight="1" s="207">
      <c r="A3" s="275" t="inlineStr">
        <is>
          <t>Accounts Payable</t>
        </is>
      </c>
      <c r="B3" s="258" t="n"/>
      <c r="C3" s="258" t="n"/>
      <c r="D3" s="258" t="n"/>
      <c r="E3" s="258" t="n"/>
      <c r="F3" s="258" t="n"/>
      <c r="G3" s="258" t="n"/>
      <c r="H3" s="258" t="n"/>
      <c r="I3" s="259" t="n"/>
    </row>
    <row r="4" ht="12.75" customHeight="1" s="207">
      <c r="A4" s="260" t="inlineStr">
        <is>
          <t>Invoice Processing</t>
        </is>
      </c>
      <c r="B4" s="227" t="n"/>
      <c r="C4" s="227" t="n"/>
      <c r="D4" s="227" t="n"/>
      <c r="E4" s="227" t="n"/>
      <c r="F4" s="227" t="n"/>
      <c r="G4" s="227" t="n"/>
      <c r="H4" s="227" t="n"/>
      <c r="I4" s="227" t="n"/>
      <c r="K4" s="217" t="n">
        <v>1.03</v>
      </c>
    </row>
    <row r="5" ht="12.75" customHeight="1" s="207">
      <c r="A5" s="276" t="inlineStr">
        <is>
          <t>Manual Invoices - Purchase Order</t>
        </is>
      </c>
      <c r="B5" s="235" t="n">
        <v>725</v>
      </c>
      <c r="C5" s="277">
        <f>B5*$K$4</f>
        <v/>
      </c>
      <c r="D5" s="277">
        <f>C5*$K$4</f>
        <v/>
      </c>
      <c r="E5" s="277">
        <f>D5*$K$4</f>
        <v/>
      </c>
      <c r="F5" s="277">
        <f>E5*$K$4</f>
        <v/>
      </c>
      <c r="G5" s="277">
        <f>F5*$K$4</f>
        <v/>
      </c>
      <c r="H5" s="277">
        <f>G5*$K$4</f>
        <v/>
      </c>
      <c r="I5" s="277">
        <f>H5*$K$4</f>
        <v/>
      </c>
    </row>
    <row r="6" ht="12.75" customHeight="1" s="207">
      <c r="A6" s="276" t="inlineStr">
        <is>
          <t>Manual Invoices - Non-Purchase Order</t>
        </is>
      </c>
      <c r="B6" s="235" t="n">
        <v>1705</v>
      </c>
      <c r="C6" s="277">
        <f>B6*$K$4</f>
        <v/>
      </c>
      <c r="D6" s="277">
        <f>C6*$K$4</f>
        <v/>
      </c>
      <c r="E6" s="277">
        <f>D6*$K$4</f>
        <v/>
      </c>
      <c r="F6" s="277">
        <f>E6*$K$4</f>
        <v/>
      </c>
      <c r="G6" s="277">
        <f>F6*$K$4</f>
        <v/>
      </c>
      <c r="H6" s="277">
        <f>G6*$K$4</f>
        <v/>
      </c>
      <c r="I6" s="277">
        <f>H6*$K$4</f>
        <v/>
      </c>
    </row>
    <row r="7" ht="12.75" customHeight="1" s="207">
      <c r="A7" s="276" t="inlineStr">
        <is>
          <t>Electronic Invoices - Purchase Order</t>
        </is>
      </c>
      <c r="B7" s="235" t="n">
        <v>0</v>
      </c>
      <c r="C7" s="277">
        <f>B7*$K$4</f>
        <v/>
      </c>
      <c r="D7" s="277">
        <f>C7*$K$4</f>
        <v/>
      </c>
      <c r="E7" s="277">
        <f>D7*$K$4</f>
        <v/>
      </c>
      <c r="F7" s="277">
        <f>E7*$K$4</f>
        <v/>
      </c>
      <c r="G7" s="277">
        <f>F7*$K$4</f>
        <v/>
      </c>
      <c r="H7" s="277">
        <f>G7*$K$4</f>
        <v/>
      </c>
      <c r="I7" s="277">
        <f>H7*$K$4</f>
        <v/>
      </c>
    </row>
    <row r="8" ht="12.75" customHeight="1" s="207">
      <c r="A8" s="276" t="inlineStr">
        <is>
          <t>Electronic Invoices - Non-Purchase Order</t>
        </is>
      </c>
      <c r="B8" s="235" t="n">
        <v>70</v>
      </c>
      <c r="C8" s="277">
        <f>B8*$K$4</f>
        <v/>
      </c>
      <c r="D8" s="277">
        <f>C8*$K$4</f>
        <v/>
      </c>
      <c r="E8" s="277">
        <f>D8*$K$4</f>
        <v/>
      </c>
      <c r="F8" s="277">
        <f>E8*$K$4</f>
        <v/>
      </c>
      <c r="G8" s="277">
        <f>F8*$K$4</f>
        <v/>
      </c>
      <c r="H8" s="277">
        <f>G8*$K$4</f>
        <v/>
      </c>
      <c r="I8" s="277">
        <f>H8*$K$4</f>
        <v/>
      </c>
    </row>
    <row r="9" ht="12.75" customHeight="1" s="207">
      <c r="A9" s="265" t="inlineStr">
        <is>
          <t>Payments (Check Printing and Disbursement)</t>
        </is>
      </c>
      <c r="B9" s="235" t="n"/>
      <c r="C9" s="277" t="n"/>
      <c r="D9" s="277" t="n"/>
      <c r="E9" s="277" t="n"/>
      <c r="F9" s="277" t="n"/>
      <c r="G9" s="277" t="n"/>
      <c r="H9" s="277" t="n"/>
      <c r="I9" s="277" t="n"/>
    </row>
    <row r="10" ht="12.75" customHeight="1" s="207">
      <c r="A10" s="276" t="inlineStr">
        <is>
          <t>Payments - Normal Handling (number of SAP payment runs)</t>
        </is>
      </c>
      <c r="B10" s="235" t="n">
        <v>12</v>
      </c>
      <c r="C10" s="277">
        <f>B10*$K$4</f>
        <v/>
      </c>
      <c r="D10" s="277">
        <f>C10*$K$4</f>
        <v/>
      </c>
      <c r="E10" s="277">
        <f>D10*$K$4</f>
        <v/>
      </c>
      <c r="F10" s="277">
        <f>E10*$K$4</f>
        <v/>
      </c>
      <c r="G10" s="277">
        <f>F10*$K$4</f>
        <v/>
      </c>
      <c r="H10" s="277">
        <f>G10*$K$4</f>
        <v/>
      </c>
      <c r="I10" s="277">
        <f>H10*$K$4</f>
        <v/>
      </c>
    </row>
    <row r="11" ht="12.75" customHeight="1" s="207">
      <c r="A11" s="276" t="inlineStr">
        <is>
          <t>Payments - Checks Requiring Special Handling</t>
        </is>
      </c>
      <c r="B11" s="235" t="n">
        <v>650</v>
      </c>
      <c r="C11" s="277">
        <f>B11*$K$4</f>
        <v/>
      </c>
      <c r="D11" s="277">
        <f>C11*$K$4</f>
        <v/>
      </c>
      <c r="E11" s="277">
        <f>D11*$K$4</f>
        <v/>
      </c>
      <c r="F11" s="277">
        <f>E11*$K$4</f>
        <v/>
      </c>
      <c r="G11" s="277">
        <f>F11*$K$4</f>
        <v/>
      </c>
      <c r="H11" s="277">
        <f>G11*$K$4</f>
        <v/>
      </c>
      <c r="I11" s="277">
        <f>H11*$K$4</f>
        <v/>
      </c>
    </row>
    <row r="12" ht="12.75" customHeight="1" s="207">
      <c r="A12" s="276" t="inlineStr">
        <is>
          <t>Payments - Electronic Disbursement (number of SAP payment runs)</t>
        </is>
      </c>
      <c r="B12" s="235" t="n">
        <v>16</v>
      </c>
      <c r="C12" s="277">
        <f>B12*$K$4</f>
        <v/>
      </c>
      <c r="D12" s="277">
        <f>C12*$K$4</f>
        <v/>
      </c>
      <c r="E12" s="277">
        <f>D12*$K$4</f>
        <v/>
      </c>
      <c r="F12" s="277">
        <f>E12*$K$4</f>
        <v/>
      </c>
      <c r="G12" s="277">
        <f>F12*$K$4</f>
        <v/>
      </c>
      <c r="H12" s="277">
        <f>G12*$K$4</f>
        <v/>
      </c>
      <c r="I12" s="277">
        <f>H12*$K$4</f>
        <v/>
      </c>
    </row>
    <row r="13" ht="12.75" customHeight="1" s="207">
      <c r="A13" s="265" t="inlineStr">
        <is>
          <t>Vendor Management</t>
        </is>
      </c>
      <c r="B13" s="235" t="n"/>
      <c r="C13" s="277" t="n"/>
      <c r="D13" s="277" t="n"/>
      <c r="E13" s="277" t="n"/>
      <c r="F13" s="277" t="n"/>
      <c r="G13" s="277" t="n"/>
      <c r="H13" s="277" t="n"/>
      <c r="I13" s="277" t="n"/>
    </row>
    <row r="14" ht="12.75" customHeight="1" s="207">
      <c r="A14" s="278" t="inlineStr">
        <is>
          <t>Vendor Set Up</t>
        </is>
      </c>
      <c r="B14" s="235" t="n">
        <v>250</v>
      </c>
      <c r="C14" s="277">
        <f>B14*$K$4</f>
        <v/>
      </c>
      <c r="D14" s="277">
        <f>C14*$K$4</f>
        <v/>
      </c>
      <c r="E14" s="277">
        <f>D14*$K$4</f>
        <v/>
      </c>
      <c r="F14" s="277">
        <f>E14*$K$4</f>
        <v/>
      </c>
      <c r="G14" s="277">
        <f>F14*$K$4</f>
        <v/>
      </c>
      <c r="H14" s="277">
        <f>G14*$K$4</f>
        <v/>
      </c>
      <c r="I14" s="277">
        <f>H14*$K$4</f>
        <v/>
      </c>
    </row>
    <row r="15" ht="12.75" customHeight="1" s="207">
      <c r="A15" s="278" t="inlineStr">
        <is>
          <t>Vendor Inquiry</t>
        </is>
      </c>
      <c r="B15" s="235" t="n">
        <v>15</v>
      </c>
      <c r="C15" s="277">
        <f>B15*$K$4</f>
        <v/>
      </c>
      <c r="D15" s="277">
        <f>C15*$K$4</f>
        <v/>
      </c>
      <c r="E15" s="277">
        <f>D15*$K$4</f>
        <v/>
      </c>
      <c r="F15" s="277">
        <f>E15*$K$4</f>
        <v/>
      </c>
      <c r="G15" s="277">
        <f>F15*$K$4</f>
        <v/>
      </c>
      <c r="H15" s="277">
        <f>G15*$K$4</f>
        <v/>
      </c>
      <c r="I15" s="277">
        <f>H15*$K$4</f>
        <v/>
      </c>
    </row>
    <row r="16" ht="16.5" customHeight="1" s="207">
      <c r="A16" s="279" t="inlineStr">
        <is>
          <t>Travel and Entertainment</t>
        </is>
      </c>
      <c r="B16" s="280" t="n"/>
      <c r="C16" s="280" t="n"/>
      <c r="D16" s="280" t="n"/>
      <c r="E16" s="280" t="n"/>
      <c r="F16" s="280" t="n"/>
      <c r="G16" s="280" t="n"/>
      <c r="H16" s="280" t="n"/>
      <c r="I16" s="281" t="n"/>
    </row>
    <row r="17" ht="12.75" customHeight="1" s="207">
      <c r="A17" s="282" t="inlineStr">
        <is>
          <t>Employee Expense Reports</t>
        </is>
      </c>
      <c r="B17" s="283" t="n"/>
      <c r="C17" s="283" t="n"/>
      <c r="D17" s="283" t="n"/>
      <c r="E17" s="283" t="n"/>
      <c r="F17" s="283" t="n"/>
      <c r="G17" s="283" t="n"/>
      <c r="H17" s="283" t="n"/>
      <c r="I17" s="283" t="n"/>
    </row>
    <row r="18" ht="12.75" customHeight="1" s="207">
      <c r="A18" s="278" t="inlineStr">
        <is>
          <t>Manual Employee Expense Reports</t>
        </is>
      </c>
      <c r="B18" s="235" t="n">
        <v>245</v>
      </c>
      <c r="C18" s="277">
        <f>B18*$K$4</f>
        <v/>
      </c>
      <c r="D18" s="277">
        <f>C18*$K$4</f>
        <v/>
      </c>
      <c r="E18" s="277">
        <f>D18*$K$4</f>
        <v/>
      </c>
      <c r="F18" s="277">
        <f>E18*$K$4</f>
        <v/>
      </c>
      <c r="G18" s="277">
        <f>F18*$K$4</f>
        <v/>
      </c>
      <c r="H18" s="277">
        <f>G18*$K$4</f>
        <v/>
      </c>
      <c r="I18" s="277">
        <f>H18*$K$4</f>
        <v/>
      </c>
    </row>
    <row r="19" ht="12.75" customHeight="1" s="207">
      <c r="A19" s="278" t="inlineStr">
        <is>
          <t>Electronic Employee Expense Reports (Or)</t>
        </is>
      </c>
      <c r="B19" s="235" t="n">
        <v>3096</v>
      </c>
      <c r="C19" s="277">
        <f>B19*$K$4</f>
        <v/>
      </c>
      <c r="D19" s="277">
        <f>C19*$K$4</f>
        <v/>
      </c>
      <c r="E19" s="277">
        <f>D19*$K$4</f>
        <v/>
      </c>
      <c r="F19" s="277">
        <f>E19*$K$4</f>
        <v/>
      </c>
      <c r="G19" s="277">
        <f>F19*$K$4</f>
        <v/>
      </c>
      <c r="H19" s="277">
        <f>G19*$K$4</f>
        <v/>
      </c>
      <c r="I19" s="277">
        <f>H19*$K$4</f>
        <v/>
      </c>
    </row>
    <row r="20" ht="13.5" customHeight="1" s="207">
      <c r="A20" s="278" t="inlineStr">
        <is>
          <t>Employees Submitting Expense Reports</t>
        </is>
      </c>
      <c r="B20" s="249" t="n">
        <v>1550</v>
      </c>
      <c r="C20" s="277">
        <f>B20*$K$4</f>
        <v/>
      </c>
      <c r="D20" s="277">
        <f>C20*$K$4</f>
        <v/>
      </c>
      <c r="E20" s="277">
        <f>D20*$K$4</f>
        <v/>
      </c>
      <c r="F20" s="277">
        <f>E20*$K$4</f>
        <v/>
      </c>
      <c r="G20" s="277">
        <f>F20*$K$4</f>
        <v/>
      </c>
      <c r="H20" s="277">
        <f>G20*$K$4</f>
        <v/>
      </c>
      <c r="I20" s="277">
        <f>H20*$K$4</f>
        <v/>
      </c>
    </row>
    <row r="21" ht="16.5" customHeight="1" s="207">
      <c r="A21" s="284" t="inlineStr">
        <is>
          <t>Order to Cash</t>
        </is>
      </c>
      <c r="B21" s="258" t="n"/>
      <c r="C21" s="258" t="n"/>
      <c r="D21" s="258" t="n"/>
      <c r="E21" s="258" t="n"/>
      <c r="F21" s="258" t="n"/>
      <c r="G21" s="258" t="n"/>
      <c r="H21" s="258" t="n"/>
      <c r="I21" s="258" t="n"/>
    </row>
    <row r="22" ht="12.75" customHeight="1" s="207">
      <c r="A22" s="260" t="inlineStr">
        <is>
          <t>Credit</t>
        </is>
      </c>
      <c r="B22" s="285" t="n"/>
      <c r="C22" s="285" t="n"/>
      <c r="D22" s="227" t="n"/>
      <c r="E22" s="227" t="n"/>
      <c r="F22" s="227" t="n"/>
      <c r="G22" s="227" t="n"/>
      <c r="H22" s="227" t="n"/>
      <c r="I22" s="227" t="n"/>
    </row>
    <row r="23" ht="12.75" customHeight="1" s="207">
      <c r="A23" s="276" t="inlineStr">
        <is>
          <t>Credit Applications Processed - Standard</t>
        </is>
      </c>
      <c r="B23" s="244" t="n">
        <v>320</v>
      </c>
      <c r="C23" s="277">
        <f>B23*$K$4</f>
        <v/>
      </c>
      <c r="D23" s="277">
        <f>C23*$K$4</f>
        <v/>
      </c>
      <c r="E23" s="277">
        <f>D23*$K$4</f>
        <v/>
      </c>
      <c r="F23" s="277">
        <f>E23*$K$4</f>
        <v/>
      </c>
      <c r="G23" s="277">
        <f>F23*$K$4</f>
        <v/>
      </c>
      <c r="H23" s="277">
        <f>G23*$K$4</f>
        <v/>
      </c>
      <c r="I23" s="277">
        <f>H23*$K$4</f>
        <v/>
      </c>
    </row>
    <row r="24" ht="12.75" customHeight="1" s="207">
      <c r="A24" s="276" t="inlineStr">
        <is>
          <t>Credit Application Processed - Special/Outside Policy</t>
        </is>
      </c>
      <c r="B24" s="244" t="n">
        <v>25</v>
      </c>
      <c r="C24" s="277">
        <f>B24*$K$4</f>
        <v/>
      </c>
      <c r="D24" s="277">
        <f>C24*$K$4</f>
        <v/>
      </c>
      <c r="E24" s="277">
        <f>D24*$K$4</f>
        <v/>
      </c>
      <c r="F24" s="277">
        <f>E24*$K$4</f>
        <v/>
      </c>
      <c r="G24" s="277">
        <f>F24*$K$4</f>
        <v/>
      </c>
      <c r="H24" s="277">
        <f>G24*$K$4</f>
        <v/>
      </c>
      <c r="I24" s="277">
        <f>H24*$K$4</f>
        <v/>
      </c>
    </row>
    <row r="25" ht="12.75" customHeight="1" s="207">
      <c r="A25" s="276" t="inlineStr">
        <is>
          <t>Credit Review Processed</t>
        </is>
      </c>
      <c r="B25" s="244" t="n">
        <v>20</v>
      </c>
      <c r="C25" s="277">
        <f>B25*$K$4</f>
        <v/>
      </c>
      <c r="D25" s="277">
        <f>C25*$K$4</f>
        <v/>
      </c>
      <c r="E25" s="277">
        <f>D25*$K$4</f>
        <v/>
      </c>
      <c r="F25" s="277">
        <f>E25*$K$4</f>
        <v/>
      </c>
      <c r="G25" s="277">
        <f>F25*$K$4</f>
        <v/>
      </c>
      <c r="H25" s="277">
        <f>G25*$K$4</f>
        <v/>
      </c>
      <c r="I25" s="277">
        <f>H25*$K$4</f>
        <v/>
      </c>
    </row>
    <row r="26" ht="12.75" customHeight="1" s="207">
      <c r="A26" s="268" t="inlineStr">
        <is>
          <t>Order Entry</t>
        </is>
      </c>
      <c r="B26" s="244" t="n"/>
      <c r="C26" s="244" t="n"/>
      <c r="D26" s="235" t="n"/>
      <c r="E26" s="235" t="n"/>
      <c r="F26" s="235" t="n"/>
      <c r="G26" s="235" t="n"/>
      <c r="H26" s="235" t="n"/>
      <c r="I26" s="235" t="n"/>
    </row>
    <row r="27" ht="12.75" customHeight="1" s="207">
      <c r="A27" s="276" t="inlineStr">
        <is>
          <t>Manual Orders Processed</t>
        </is>
      </c>
      <c r="B27" s="244" t="n">
        <v>5610</v>
      </c>
      <c r="C27" s="277">
        <f>B27*$K$4</f>
        <v/>
      </c>
      <c r="D27" s="277">
        <f>C27*$K$4</f>
        <v/>
      </c>
      <c r="E27" s="277">
        <f>D27*$K$4</f>
        <v/>
      </c>
      <c r="F27" s="277">
        <f>E27*$K$4</f>
        <v/>
      </c>
      <c r="G27" s="277">
        <f>F27*$K$4</f>
        <v/>
      </c>
      <c r="H27" s="277">
        <f>G27*$K$4</f>
        <v/>
      </c>
      <c r="I27" s="277">
        <f>H27*$K$4</f>
        <v/>
      </c>
    </row>
    <row r="28" ht="12.75" customHeight="1" s="207">
      <c r="A28" s="276" t="inlineStr">
        <is>
          <t>Electronic Orders Processed</t>
        </is>
      </c>
      <c r="B28" s="244" t="n">
        <v>2420</v>
      </c>
      <c r="C28" s="277">
        <f>B28*$K$4</f>
        <v/>
      </c>
      <c r="D28" s="277">
        <f>C28*$K$4</f>
        <v/>
      </c>
      <c r="E28" s="277">
        <f>D28*$K$4</f>
        <v/>
      </c>
      <c r="F28" s="277">
        <f>E28*$K$4</f>
        <v/>
      </c>
      <c r="G28" s="277">
        <f>F28*$K$4</f>
        <v/>
      </c>
      <c r="H28" s="277">
        <f>G28*$K$4</f>
        <v/>
      </c>
      <c r="I28" s="277">
        <f>H28*$K$4</f>
        <v/>
      </c>
    </row>
    <row r="29" ht="12.75" customHeight="1" s="207">
      <c r="A29" s="268" t="inlineStr">
        <is>
          <t>Customer Inquiries</t>
        </is>
      </c>
      <c r="B29" s="244" t="n"/>
      <c r="C29" s="244" t="n"/>
      <c r="D29" s="235" t="n"/>
      <c r="E29" s="235" t="n"/>
      <c r="F29" s="235" t="n"/>
      <c r="G29" s="235" t="n"/>
      <c r="H29" s="235" t="n"/>
      <c r="I29" s="235" t="n"/>
    </row>
    <row r="30" ht="12.75" customHeight="1" s="207">
      <c r="A30" s="276" t="inlineStr">
        <is>
          <t>Internal Inquiries</t>
        </is>
      </c>
      <c r="B30" s="244" t="n">
        <v>277</v>
      </c>
      <c r="C30" s="277">
        <f>B30*$K$4</f>
        <v/>
      </c>
      <c r="D30" s="277">
        <f>C30*$K$4</f>
        <v/>
      </c>
      <c r="E30" s="277">
        <f>D30*$K$4</f>
        <v/>
      </c>
      <c r="F30" s="277">
        <f>E30*$K$4</f>
        <v/>
      </c>
      <c r="G30" s="277">
        <f>F30*$K$4</f>
        <v/>
      </c>
      <c r="H30" s="277">
        <f>G30*$K$4</f>
        <v/>
      </c>
      <c r="I30" s="277">
        <f>H30*$K$4</f>
        <v/>
      </c>
    </row>
    <row r="31" ht="12.75" customHeight="1" s="207">
      <c r="A31" s="276" t="inlineStr">
        <is>
          <t>External Inquiries</t>
        </is>
      </c>
      <c r="B31" s="244" t="n"/>
      <c r="C31" s="277">
        <f>B31*$K$4</f>
        <v/>
      </c>
      <c r="D31" s="277">
        <f>C31*$K$4</f>
        <v/>
      </c>
      <c r="E31" s="277">
        <f>D31*$K$4</f>
        <v/>
      </c>
      <c r="F31" s="277">
        <f>E31*$K$4</f>
        <v/>
      </c>
      <c r="G31" s="277">
        <f>F31*$K$4</f>
        <v/>
      </c>
      <c r="H31" s="277">
        <f>G31*$K$4</f>
        <v/>
      </c>
      <c r="I31" s="277">
        <f>H31*$K$4</f>
        <v/>
      </c>
    </row>
    <row r="32" ht="12.75" customHeight="1" s="207">
      <c r="A32" s="268" t="inlineStr">
        <is>
          <t>Invoicing</t>
        </is>
      </c>
      <c r="B32" s="244" t="n"/>
      <c r="C32" s="244" t="n"/>
      <c r="D32" s="235" t="n"/>
      <c r="E32" s="235" t="n"/>
      <c r="F32" s="235" t="n"/>
      <c r="G32" s="235" t="n"/>
      <c r="H32" s="235" t="n"/>
      <c r="I32" s="235" t="n"/>
    </row>
    <row r="33" ht="12.75" customHeight="1" s="207">
      <c r="A33" s="276" t="inlineStr">
        <is>
          <t>Paper Invoices</t>
        </is>
      </c>
      <c r="B33" s="244" t="n">
        <v>10490</v>
      </c>
      <c r="C33" s="277">
        <f>B33*$K$4</f>
        <v/>
      </c>
      <c r="D33" s="277">
        <f>C33*$K$4</f>
        <v/>
      </c>
      <c r="E33" s="277">
        <f>D33*$K$4</f>
        <v/>
      </c>
      <c r="F33" s="277">
        <f>E33*$K$4</f>
        <v/>
      </c>
      <c r="G33" s="277">
        <f>F33*$K$4</f>
        <v/>
      </c>
      <c r="H33" s="277">
        <f>G33*$K$4</f>
        <v/>
      </c>
      <c r="I33" s="277">
        <f>H33*$K$4</f>
        <v/>
      </c>
    </row>
    <row r="34" ht="12.75" customHeight="1" s="207">
      <c r="A34" s="276" t="inlineStr">
        <is>
          <t>Electronic Invoices</t>
        </is>
      </c>
      <c r="B34" s="244" t="n">
        <v>0</v>
      </c>
      <c r="C34" s="277">
        <f>B34*$K$4</f>
        <v/>
      </c>
      <c r="D34" s="277">
        <f>C34*$K$4</f>
        <v/>
      </c>
      <c r="E34" s="277">
        <f>D34*$K$4</f>
        <v/>
      </c>
      <c r="F34" s="277">
        <f>E34*$K$4</f>
        <v/>
      </c>
      <c r="G34" s="277">
        <f>F34*$K$4</f>
        <v/>
      </c>
      <c r="H34" s="277">
        <f>G34*$K$4</f>
        <v/>
      </c>
      <c r="I34" s="277">
        <f>H34*$K$4</f>
        <v/>
      </c>
    </row>
    <row r="35" ht="12.75" customHeight="1" s="207">
      <c r="A35" s="276" t="inlineStr">
        <is>
          <t>Customer Statements</t>
        </is>
      </c>
      <c r="B35" s="244" t="n">
        <v>900</v>
      </c>
      <c r="C35" s="277">
        <f>B35*$K$4</f>
        <v/>
      </c>
      <c r="D35" s="277">
        <f>C35*$K$4</f>
        <v/>
      </c>
      <c r="E35" s="277">
        <f>D35*$K$4</f>
        <v/>
      </c>
      <c r="F35" s="277">
        <f>E35*$K$4</f>
        <v/>
      </c>
      <c r="G35" s="277">
        <f>F35*$K$4</f>
        <v/>
      </c>
      <c r="H35" s="277">
        <f>G35*$K$4</f>
        <v/>
      </c>
      <c r="I35" s="277">
        <f>H35*$K$4</f>
        <v/>
      </c>
    </row>
    <row r="36" ht="12.75" customHeight="1" s="207">
      <c r="A36" s="268" t="inlineStr">
        <is>
          <t>Cash Applications</t>
        </is>
      </c>
      <c r="B36" s="244" t="n"/>
      <c r="C36" s="244" t="n"/>
      <c r="D36" s="235" t="n"/>
      <c r="E36" s="235" t="n"/>
      <c r="F36" s="235" t="n"/>
      <c r="G36" s="235" t="n"/>
      <c r="H36" s="235" t="n"/>
      <c r="I36" s="235" t="n"/>
    </row>
    <row r="37" ht="12.75" customHeight="1" s="207">
      <c r="A37" s="276" t="inlineStr">
        <is>
          <t>Electronic Payments</t>
        </is>
      </c>
      <c r="B37" s="244" t="n">
        <v>680</v>
      </c>
      <c r="C37" s="277">
        <f>B37*$K$4</f>
        <v/>
      </c>
      <c r="D37" s="277">
        <f>C37*$K$4</f>
        <v/>
      </c>
      <c r="E37" s="277">
        <f>D37*$K$4</f>
        <v/>
      </c>
      <c r="F37" s="277">
        <f>E37*$K$4</f>
        <v/>
      </c>
      <c r="G37" s="277">
        <f>F37*$K$4</f>
        <v/>
      </c>
      <c r="H37" s="277">
        <f>G37*$K$4</f>
        <v/>
      </c>
      <c r="I37" s="277">
        <f>H37*$K$4</f>
        <v/>
      </c>
    </row>
    <row r="38" ht="12.75" customHeight="1" s="207">
      <c r="A38" s="276" t="inlineStr">
        <is>
          <t>Lockbox Payments</t>
        </is>
      </c>
      <c r="B38" s="244" t="n">
        <v>0</v>
      </c>
      <c r="C38" s="277">
        <f>B38*$K$4</f>
        <v/>
      </c>
      <c r="D38" s="277">
        <f>C38*$K$4</f>
        <v/>
      </c>
      <c r="E38" s="277">
        <f>D38*$K$4</f>
        <v/>
      </c>
      <c r="F38" s="277">
        <f>E38*$K$4</f>
        <v/>
      </c>
      <c r="G38" s="277">
        <f>F38*$K$4</f>
        <v/>
      </c>
      <c r="H38" s="277">
        <f>G38*$K$4</f>
        <v/>
      </c>
      <c r="I38" s="277">
        <f>H38*$K$4</f>
        <v/>
      </c>
    </row>
    <row r="39" ht="12.75" customHeight="1" s="207">
      <c r="A39" s="276" t="inlineStr">
        <is>
          <t>Check Payments</t>
        </is>
      </c>
      <c r="B39" s="244" t="n">
        <v>6100</v>
      </c>
      <c r="C39" s="277">
        <f>B39*$K$4</f>
        <v/>
      </c>
      <c r="D39" s="277">
        <f>C39*$K$4</f>
        <v/>
      </c>
      <c r="E39" s="277">
        <f>D39*$K$4</f>
        <v/>
      </c>
      <c r="F39" s="277">
        <f>E39*$K$4</f>
        <v/>
      </c>
      <c r="G39" s="277">
        <f>F39*$K$4</f>
        <v/>
      </c>
      <c r="H39" s="277">
        <f>G39*$K$4</f>
        <v/>
      </c>
      <c r="I39" s="277">
        <f>H39*$K$4</f>
        <v/>
      </c>
    </row>
    <row r="40" ht="12.75" customHeight="1" s="207">
      <c r="A40" s="268" t="inlineStr">
        <is>
          <t>Collections</t>
        </is>
      </c>
      <c r="B40" s="244" t="n"/>
      <c r="C40" s="244" t="n"/>
      <c r="D40" s="235" t="n"/>
      <c r="E40" s="235" t="n"/>
      <c r="F40" s="235" t="n"/>
      <c r="G40" s="235" t="n"/>
      <c r="H40" s="235" t="n"/>
      <c r="I40" s="235" t="n"/>
    </row>
    <row r="41" ht="13.5" customHeight="1" s="207">
      <c r="A41" s="276" t="inlineStr">
        <is>
          <t>Actively Managed Accounts</t>
        </is>
      </c>
      <c r="B41" s="244" t="n">
        <v>7270</v>
      </c>
      <c r="C41" s="277">
        <f>B41*$K$4</f>
        <v/>
      </c>
      <c r="D41" s="277">
        <f>C41*$K$4</f>
        <v/>
      </c>
      <c r="E41" s="277">
        <f>D41*$K$4</f>
        <v/>
      </c>
      <c r="F41" s="277">
        <f>E41*$K$4</f>
        <v/>
      </c>
      <c r="G41" s="277">
        <f>F41*$K$4</f>
        <v/>
      </c>
      <c r="H41" s="277">
        <f>G41*$K$4</f>
        <v/>
      </c>
      <c r="I41" s="277">
        <f>H41*$K$4</f>
        <v/>
      </c>
    </row>
    <row r="42" ht="16.5" customHeight="1" s="207">
      <c r="A42" s="284" t="inlineStr">
        <is>
          <t>Fixed Assets</t>
        </is>
      </c>
      <c r="B42" s="258" t="n"/>
      <c r="C42" s="258" t="n"/>
      <c r="D42" s="258" t="n"/>
      <c r="E42" s="258" t="n"/>
      <c r="F42" s="258" t="n"/>
      <c r="G42" s="258" t="n"/>
      <c r="H42" s="258" t="n"/>
      <c r="I42" s="258" t="n"/>
    </row>
    <row r="43" ht="12.75" customHeight="1" s="207">
      <c r="A43" s="260" t="inlineStr">
        <is>
          <t>Fixed Assets</t>
        </is>
      </c>
      <c r="B43" s="227" t="n"/>
      <c r="C43" s="227" t="n"/>
      <c r="D43" s="227" t="n"/>
      <c r="E43" s="227" t="n"/>
      <c r="F43" s="227" t="n"/>
      <c r="G43" s="227" t="n"/>
      <c r="H43" s="227" t="n"/>
      <c r="I43" s="227" t="n"/>
    </row>
    <row r="44" ht="12.75" customHeight="1" s="207">
      <c r="A44" s="276" t="inlineStr">
        <is>
          <t>Active Assets (Or)</t>
        </is>
      </c>
      <c r="B44" s="235" t="n">
        <v>12062</v>
      </c>
      <c r="C44" s="277">
        <f>B44*$K$4</f>
        <v/>
      </c>
      <c r="D44" s="277">
        <f>C44*$K$4</f>
        <v/>
      </c>
      <c r="E44" s="277">
        <f>D44*$K$4</f>
        <v/>
      </c>
      <c r="F44" s="277">
        <f>E44*$K$4</f>
        <v/>
      </c>
      <c r="G44" s="277">
        <f>F44*$K$4</f>
        <v/>
      </c>
      <c r="H44" s="277">
        <f>G44*$K$4</f>
        <v/>
      </c>
      <c r="I44" s="277">
        <f>H44*$K$4</f>
        <v/>
      </c>
    </row>
    <row r="45" ht="13.5" customHeight="1" s="207">
      <c r="A45" s="276" t="inlineStr">
        <is>
          <t>Asset Record Changes</t>
        </is>
      </c>
      <c r="B45" s="235" t="n">
        <v>250</v>
      </c>
      <c r="C45" s="277">
        <f>B45*$K$4</f>
        <v/>
      </c>
      <c r="D45" s="277">
        <f>C45*$K$4</f>
        <v/>
      </c>
      <c r="E45" s="277">
        <f>D45*$K$4</f>
        <v/>
      </c>
      <c r="F45" s="277">
        <f>E45*$K$4</f>
        <v/>
      </c>
      <c r="G45" s="277">
        <f>F45*$K$4</f>
        <v/>
      </c>
      <c r="H45" s="277">
        <f>G45*$K$4</f>
        <v/>
      </c>
      <c r="I45" s="277">
        <f>H45*$K$4</f>
        <v/>
      </c>
    </row>
    <row r="46" ht="16.5" customHeight="1" s="207">
      <c r="A46" s="284" t="inlineStr">
        <is>
          <t>Account to Report</t>
        </is>
      </c>
      <c r="B46" s="258" t="n"/>
      <c r="C46" s="258" t="n"/>
      <c r="D46" s="258" t="n"/>
      <c r="E46" s="258" t="n"/>
      <c r="F46" s="258" t="n"/>
      <c r="G46" s="258" t="n"/>
      <c r="H46" s="258" t="n"/>
      <c r="I46" s="258" t="n"/>
    </row>
    <row r="47" ht="12.75" customHeight="1" s="207">
      <c r="A47" s="260" t="inlineStr">
        <is>
          <t>General Ledger Accounting</t>
        </is>
      </c>
      <c r="B47" s="227" t="n"/>
      <c r="C47" s="227" t="n"/>
      <c r="D47" s="227" t="n"/>
      <c r="E47" s="227" t="n"/>
      <c r="F47" s="227" t="n"/>
      <c r="G47" s="227" t="n"/>
      <c r="H47" s="227" t="n"/>
      <c r="I47" s="227" t="n"/>
    </row>
    <row r="48" ht="12.75" customHeight="1" s="207">
      <c r="A48" s="276" t="inlineStr">
        <is>
          <t xml:space="preserve">Journal Entries - Recurring </t>
        </is>
      </c>
      <c r="B48" s="235" t="n">
        <v>6215</v>
      </c>
      <c r="C48" s="277">
        <f>B48*$K$4</f>
        <v/>
      </c>
      <c r="D48" s="277">
        <f>C48*$K$4</f>
        <v/>
      </c>
      <c r="E48" s="277">
        <f>D48*$K$4</f>
        <v/>
      </c>
      <c r="F48" s="277">
        <f>E48*$K$4</f>
        <v/>
      </c>
      <c r="G48" s="277">
        <f>F48*$K$4</f>
        <v/>
      </c>
      <c r="H48" s="277">
        <f>G48*$K$4</f>
        <v/>
      </c>
      <c r="I48" s="277">
        <f>H48*$K$4</f>
        <v/>
      </c>
    </row>
    <row r="49" ht="12.75" customHeight="1" s="207">
      <c r="A49" s="276" t="inlineStr">
        <is>
          <t>Journal Entries - Automated Posting</t>
        </is>
      </c>
      <c r="B49" s="235" t="n">
        <v>5121</v>
      </c>
      <c r="C49" s="277">
        <f>B49*$K$4</f>
        <v/>
      </c>
      <c r="D49" s="277">
        <f>C49*$K$4</f>
        <v/>
      </c>
      <c r="E49" s="277">
        <f>D49*$K$4</f>
        <v/>
      </c>
      <c r="F49" s="277">
        <f>E49*$K$4</f>
        <v/>
      </c>
      <c r="G49" s="277">
        <f>F49*$K$4</f>
        <v/>
      </c>
      <c r="H49" s="277">
        <f>G49*$K$4</f>
        <v/>
      </c>
      <c r="I49" s="277">
        <f>H49*$K$4</f>
        <v/>
      </c>
    </row>
    <row r="50" ht="12.75" customHeight="1" s="207">
      <c r="A50" s="276" t="inlineStr">
        <is>
          <t>Journal Entries - Manual</t>
        </is>
      </c>
      <c r="B50" s="235" t="n">
        <v>1094</v>
      </c>
      <c r="C50" s="277">
        <f>B50*$K$4</f>
        <v/>
      </c>
      <c r="D50" s="277">
        <f>C50*$K$4</f>
        <v/>
      </c>
      <c r="E50" s="277">
        <f>D50*$K$4</f>
        <v/>
      </c>
      <c r="F50" s="277">
        <f>E50*$K$4</f>
        <v/>
      </c>
      <c r="G50" s="277">
        <f>F50*$K$4</f>
        <v/>
      </c>
      <c r="H50" s="277">
        <f>G50*$K$4</f>
        <v/>
      </c>
      <c r="I50" s="277">
        <f>H50*$K$4</f>
        <v/>
      </c>
    </row>
    <row r="51" ht="12.75" customHeight="1" s="207">
      <c r="A51" s="286" t="inlineStr">
        <is>
          <t>Chart of Account Change</t>
        </is>
      </c>
      <c r="B51" s="235" t="n">
        <v>8</v>
      </c>
      <c r="C51" s="277">
        <f>B51*$K$4</f>
        <v/>
      </c>
      <c r="D51" s="277">
        <f>C51*$K$4</f>
        <v/>
      </c>
      <c r="E51" s="277">
        <f>D51*$K$4</f>
        <v/>
      </c>
      <c r="F51" s="277">
        <f>E51*$K$4</f>
        <v/>
      </c>
      <c r="G51" s="277">
        <f>F51*$K$4</f>
        <v/>
      </c>
      <c r="H51" s="277">
        <f>G51*$K$4</f>
        <v/>
      </c>
      <c r="I51" s="277">
        <f>H51*$K$4</f>
        <v/>
      </c>
    </row>
    <row r="52" ht="12.75" customHeight="1" s="207">
      <c r="A52" s="286" t="inlineStr">
        <is>
          <t>Legal Entity Change</t>
        </is>
      </c>
      <c r="B52" s="235" t="n">
        <v>0</v>
      </c>
      <c r="C52" s="277">
        <f>B52*$K$4</f>
        <v/>
      </c>
      <c r="D52" s="277">
        <f>C52*$K$4</f>
        <v/>
      </c>
      <c r="E52" s="277">
        <f>D52*$K$4</f>
        <v/>
      </c>
      <c r="F52" s="277">
        <f>E52*$K$4</f>
        <v/>
      </c>
      <c r="G52" s="277">
        <f>F52*$K$4</f>
        <v/>
      </c>
      <c r="H52" s="277">
        <f>G52*$K$4</f>
        <v/>
      </c>
      <c r="I52" s="277">
        <f>H52*$K$4</f>
        <v/>
      </c>
    </row>
    <row r="53" ht="12.75" customHeight="1" s="207">
      <c r="A53" s="286" t="inlineStr">
        <is>
          <t>Cost Center Change</t>
        </is>
      </c>
      <c r="B53" s="235" t="n">
        <v>10</v>
      </c>
      <c r="C53" s="277">
        <f>B53*$K$4</f>
        <v/>
      </c>
      <c r="D53" s="277">
        <f>C53*$K$4</f>
        <v/>
      </c>
      <c r="E53" s="277">
        <f>D53*$K$4</f>
        <v/>
      </c>
      <c r="F53" s="277">
        <f>E53*$K$4</f>
        <v/>
      </c>
      <c r="G53" s="277">
        <f>F53*$K$4</f>
        <v/>
      </c>
      <c r="H53" s="277">
        <f>G53*$K$4</f>
        <v/>
      </c>
      <c r="I53" s="277">
        <f>H53*$K$4</f>
        <v/>
      </c>
    </row>
    <row r="54" ht="12.75" customHeight="1" s="207">
      <c r="A54" s="276" t="inlineStr">
        <is>
          <t>Account Reconciliations</t>
        </is>
      </c>
      <c r="B54" s="235" t="n">
        <v>100</v>
      </c>
      <c r="C54" s="277">
        <f>B54*$K$4</f>
        <v/>
      </c>
      <c r="D54" s="277">
        <f>C54*$K$4</f>
        <v/>
      </c>
      <c r="E54" s="277">
        <f>D54*$K$4</f>
        <v/>
      </c>
      <c r="F54" s="277">
        <f>E54*$K$4</f>
        <v/>
      </c>
      <c r="G54" s="277">
        <f>F54*$K$4</f>
        <v/>
      </c>
      <c r="H54" s="277">
        <f>G54*$K$4</f>
        <v/>
      </c>
      <c r="I54" s="277">
        <f>H54*$K$4</f>
        <v/>
      </c>
    </row>
    <row r="55" ht="12.75" customHeight="1" s="207">
      <c r="A55" s="265" t="inlineStr">
        <is>
          <t>Financial Management Services</t>
        </is>
      </c>
      <c r="B55" s="235" t="n"/>
      <c r="C55" s="235" t="n"/>
      <c r="D55" s="235" t="n"/>
      <c r="E55" s="235" t="n"/>
      <c r="F55" s="235" t="n"/>
      <c r="G55" s="235" t="n"/>
      <c r="H55" s="235" t="n"/>
      <c r="I55" s="235" t="n"/>
    </row>
    <row r="56" ht="12.75" customHeight="1" s="207">
      <c r="A56" s="276" t="inlineStr">
        <is>
          <t>Bank Reconciliation - Type A</t>
        </is>
      </c>
      <c r="B56" s="235" t="n">
        <v>15</v>
      </c>
      <c r="C56" s="277">
        <f>B56*$K$4</f>
        <v/>
      </c>
      <c r="D56" s="277">
        <f>C56*$K$4</f>
        <v/>
      </c>
      <c r="E56" s="277">
        <f>D56*$K$4</f>
        <v/>
      </c>
      <c r="F56" s="277">
        <f>E56*$K$4</f>
        <v/>
      </c>
      <c r="G56" s="277">
        <f>F56*$K$4</f>
        <v/>
      </c>
      <c r="H56" s="277">
        <f>G56*$K$4</f>
        <v/>
      </c>
      <c r="I56" s="277">
        <f>H56*$K$4</f>
        <v/>
      </c>
    </row>
    <row r="57" ht="12.75" customHeight="1" s="207">
      <c r="A57" s="276" t="inlineStr">
        <is>
          <t>Bank Reconciliations - Type B</t>
        </is>
      </c>
      <c r="B57" s="235" t="n"/>
      <c r="C57" s="277">
        <f>B57*$K$4</f>
        <v/>
      </c>
      <c r="D57" s="277">
        <f>C57*$K$4</f>
        <v/>
      </c>
      <c r="E57" s="277">
        <f>D57*$K$4</f>
        <v/>
      </c>
      <c r="F57" s="277">
        <f>E57*$K$4</f>
        <v/>
      </c>
      <c r="G57" s="277">
        <f>F57*$K$4</f>
        <v/>
      </c>
      <c r="H57" s="277">
        <f>G57*$K$4</f>
        <v/>
      </c>
      <c r="I57" s="277">
        <f>H57*$K$4</f>
        <v/>
      </c>
    </row>
    <row r="58" ht="12.75" customHeight="1" s="207">
      <c r="A58" s="276" t="inlineStr">
        <is>
          <t>Budget &amp; Forecasting - Business Unit</t>
        </is>
      </c>
      <c r="B58" s="235" t="n"/>
      <c r="C58" s="277">
        <f>B58*$K$4</f>
        <v/>
      </c>
      <c r="D58" s="277">
        <f>C58*$K$4</f>
        <v/>
      </c>
      <c r="E58" s="277">
        <f>D58*$K$4</f>
        <v/>
      </c>
      <c r="F58" s="277">
        <f>E58*$K$4</f>
        <v/>
      </c>
      <c r="G58" s="277">
        <f>F58*$K$4</f>
        <v/>
      </c>
      <c r="H58" s="277">
        <f>G58*$K$4</f>
        <v/>
      </c>
      <c r="I58" s="277">
        <f>H58*$K$4</f>
        <v/>
      </c>
    </row>
    <row r="59" ht="12.75" customHeight="1" s="207">
      <c r="A59" s="265" t="inlineStr">
        <is>
          <t>Financial Analysis &amp; Support</t>
        </is>
      </c>
      <c r="B59" s="235" t="n"/>
      <c r="C59" s="235" t="n"/>
      <c r="D59" s="235" t="n"/>
      <c r="E59" s="235" t="n"/>
      <c r="F59" s="235" t="n"/>
      <c r="G59" s="235" t="n"/>
      <c r="H59" s="235" t="n"/>
      <c r="I59" s="235" t="n"/>
    </row>
    <row r="60" ht="12.75" customHeight="1" s="207">
      <c r="A60" s="276" t="inlineStr">
        <is>
          <t>Business Units</t>
        </is>
      </c>
      <c r="B60" s="235" t="n"/>
      <c r="C60" s="277">
        <f>B60*$K$4</f>
        <v/>
      </c>
      <c r="D60" s="277">
        <f>C60*$K$4</f>
        <v/>
      </c>
      <c r="E60" s="277">
        <f>D60*$K$4</f>
        <v/>
      </c>
      <c r="F60" s="277">
        <f>E60*$K$4</f>
        <v/>
      </c>
      <c r="G60" s="277">
        <f>F60*$K$4</f>
        <v/>
      </c>
      <c r="H60" s="277">
        <f>G60*$K$4</f>
        <v/>
      </c>
      <c r="I60" s="277">
        <f>H60*$K$4</f>
        <v/>
      </c>
    </row>
    <row r="61" ht="12.75" customHeight="1" s="207">
      <c r="A61" s="276" t="inlineStr">
        <is>
          <t>Legal Entities</t>
        </is>
      </c>
      <c r="B61" s="235" t="n">
        <v>6</v>
      </c>
      <c r="C61" s="277">
        <f>B61*$K$4</f>
        <v/>
      </c>
      <c r="D61" s="277">
        <f>C61*$K$4</f>
        <v/>
      </c>
      <c r="E61" s="277">
        <f>D61*$K$4</f>
        <v/>
      </c>
      <c r="F61" s="277">
        <f>E61*$K$4</f>
        <v/>
      </c>
      <c r="G61" s="277">
        <f>F61*$K$4</f>
        <v/>
      </c>
      <c r="H61" s="277">
        <f>G61*$K$4</f>
        <v/>
      </c>
      <c r="I61" s="277">
        <f>H61*$K$4</f>
        <v/>
      </c>
    </row>
    <row r="62" ht="12.75" customHeight="1" s="207">
      <c r="A62" s="265" t="inlineStr">
        <is>
          <t>Tax Consulting and Compliance</t>
        </is>
      </c>
      <c r="B62" s="287" t="n"/>
      <c r="C62" s="287" t="n"/>
      <c r="D62" s="287" t="n"/>
      <c r="E62" s="287" t="n"/>
      <c r="F62" s="287" t="n"/>
      <c r="G62" s="287" t="n"/>
      <c r="H62" s="287" t="n"/>
      <c r="I62" s="287" t="n"/>
    </row>
    <row r="63" ht="12.75" customHeight="1" s="207">
      <c r="A63" s="276" t="inlineStr">
        <is>
          <t>Tax Forms/Types Filed - Type A</t>
        </is>
      </c>
      <c r="B63" s="235" t="n">
        <v>29</v>
      </c>
      <c r="C63" s="277">
        <f>B63*$K$4</f>
        <v/>
      </c>
      <c r="D63" s="277">
        <f>C63*$K$4</f>
        <v/>
      </c>
      <c r="E63" s="277">
        <f>D63*$K$4</f>
        <v/>
      </c>
      <c r="F63" s="277">
        <f>E63*$K$4</f>
        <v/>
      </c>
      <c r="G63" s="277">
        <f>F63*$K$4</f>
        <v/>
      </c>
      <c r="H63" s="277">
        <f>G63*$K$4</f>
        <v/>
      </c>
      <c r="I63" s="277">
        <f>H63*$K$4</f>
        <v/>
      </c>
    </row>
  </sheetData>
  <mergeCells count="5">
    <mergeCell ref="A42:I42"/>
    <mergeCell ref="A46:I46"/>
    <mergeCell ref="A3:I3"/>
    <mergeCell ref="A21:I21"/>
    <mergeCell ref="A16:I16"/>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72"/>
  <sheetViews>
    <sheetView showFormulas="0" showGridLines="1" showRowColHeaders="1" showZeros="1" rightToLeft="0" tabSelected="0" showOutlineSymbols="1" defaultGridColor="1" view="normal" topLeftCell="A1" colorId="64" zoomScale="88" zoomScaleNormal="88" zoomScalePageLayoutView="100" workbookViewId="0">
      <selection pane="topLeft" activeCell="C5" activeCellId="0" sqref="C5:C14"/>
    </sheetView>
  </sheetViews>
  <sheetFormatPr baseColWidth="8" defaultColWidth="9.13671875" defaultRowHeight="12.75" customHeight="1" zeroHeight="0" outlineLevelRow="0"/>
  <cols>
    <col width="64.13" customWidth="1" style="217" min="1" max="1"/>
    <col width="13.7" customWidth="1" style="217" min="2" max="9"/>
    <col width="9.140000000000001" customWidth="1" style="217" min="10" max="257"/>
  </cols>
  <sheetData>
    <row r="1" ht="19.5" customHeight="1" s="207">
      <c r="A1" s="253" t="inlineStr">
        <is>
          <t>Germany</t>
        </is>
      </c>
    </row>
    <row r="2" ht="27" customHeight="1" s="207">
      <c r="A2" s="219" t="inlineStr">
        <is>
          <t>Description</t>
        </is>
      </c>
      <c r="B2" s="221" t="inlineStr">
        <is>
          <t>Base Year Monthly Avg.</t>
        </is>
      </c>
      <c r="C2" s="221" t="inlineStr">
        <is>
          <t>Year 1 Monthly Avg.</t>
        </is>
      </c>
      <c r="D2" s="221" t="inlineStr">
        <is>
          <t>Year 2 Monthly Avg.</t>
        </is>
      </c>
      <c r="E2" s="221" t="inlineStr">
        <is>
          <t>Year 3 Monthly Avg.</t>
        </is>
      </c>
      <c r="F2" s="221" t="inlineStr">
        <is>
          <t>Year 4 Monthly Avg.</t>
        </is>
      </c>
      <c r="G2" s="221" t="inlineStr">
        <is>
          <t>Year 5 Monthly Avg.</t>
        </is>
      </c>
      <c r="H2" s="221" t="inlineStr">
        <is>
          <t>Year 6 Monthly Avg.</t>
        </is>
      </c>
      <c r="I2" s="221" t="inlineStr">
        <is>
          <t>Year 7 Monthly Avg.</t>
        </is>
      </c>
    </row>
    <row r="3" ht="13.5" customHeight="1" s="207">
      <c r="A3" s="257" t="inlineStr">
        <is>
          <t>Accounts Payable</t>
        </is>
      </c>
      <c r="B3" s="258" t="n"/>
      <c r="C3" s="258" t="n"/>
      <c r="D3" s="258" t="n"/>
      <c r="E3" s="258" t="n"/>
      <c r="F3" s="258" t="n"/>
      <c r="G3" s="258" t="n"/>
      <c r="H3" s="258" t="n"/>
      <c r="I3" s="259" t="n"/>
    </row>
    <row r="4" ht="12.75" customHeight="1" s="207">
      <c r="A4" s="260" t="inlineStr">
        <is>
          <t>Invoice Processing</t>
        </is>
      </c>
      <c r="B4" s="288">
        <f>SUM(B5:B14)</f>
        <v/>
      </c>
      <c r="C4" s="227" t="n"/>
      <c r="D4" s="227" t="n"/>
      <c r="E4" s="227" t="n"/>
      <c r="F4" s="227" t="n"/>
      <c r="G4" s="227" t="n"/>
      <c r="H4" s="227" t="n"/>
      <c r="I4" s="227" t="n"/>
    </row>
    <row r="5" ht="12.75" customHeight="1" s="207">
      <c r="A5" s="276" t="inlineStr">
        <is>
          <t>Manual Invoices - Purchase Order</t>
        </is>
      </c>
      <c r="B5" s="235" t="n">
        <v>1583</v>
      </c>
      <c r="C5" s="277">
        <f>B5*1.02</f>
        <v/>
      </c>
      <c r="D5" s="277">
        <f>C5*1.02</f>
        <v/>
      </c>
      <c r="E5" s="277">
        <f>D5*1.02</f>
        <v/>
      </c>
      <c r="F5" s="277">
        <f>E5*1.02</f>
        <v/>
      </c>
      <c r="G5" s="277">
        <f>F5*1.02</f>
        <v/>
      </c>
      <c r="H5" s="277">
        <f>G5*1.02</f>
        <v/>
      </c>
      <c r="I5" s="277">
        <f>H5*1.02</f>
        <v/>
      </c>
    </row>
    <row r="6" ht="12.75" customHeight="1" s="207">
      <c r="A6" s="276" t="inlineStr">
        <is>
          <t>Manual Invoices - Purchase Order by line items</t>
        </is>
      </c>
      <c r="B6" s="235" t="n">
        <v>6511</v>
      </c>
      <c r="C6" s="277">
        <f>B6*1.02</f>
        <v/>
      </c>
      <c r="D6" s="277">
        <f>C6*1.02</f>
        <v/>
      </c>
      <c r="E6" s="277">
        <f>D6*1.02</f>
        <v/>
      </c>
      <c r="F6" s="277">
        <f>E6*1.02</f>
        <v/>
      </c>
      <c r="G6" s="277">
        <f>F6*1.02</f>
        <v/>
      </c>
      <c r="H6" s="277">
        <f>G6*1.02</f>
        <v/>
      </c>
      <c r="I6" s="277">
        <f>H6*1.02</f>
        <v/>
      </c>
    </row>
    <row r="7" ht="12.75" customHeight="1" s="207">
      <c r="A7" s="276" t="inlineStr">
        <is>
          <t>Manual Invoices - Non-Purchase Order</t>
        </is>
      </c>
      <c r="B7" s="277">
        <f>(2288+926)*1.3</f>
        <v/>
      </c>
      <c r="C7" s="277">
        <f>B7*1.02</f>
        <v/>
      </c>
      <c r="D7" s="277">
        <f>C7*1.02</f>
        <v/>
      </c>
      <c r="E7" s="277">
        <f>D7*1.02</f>
        <v/>
      </c>
      <c r="F7" s="277">
        <f>E7*1.02</f>
        <v/>
      </c>
      <c r="G7" s="277">
        <f>F7*1.02</f>
        <v/>
      </c>
      <c r="H7" s="277">
        <f>G7*1.02</f>
        <v/>
      </c>
      <c r="I7" s="277">
        <f>H7*1.02</f>
        <v/>
      </c>
    </row>
    <row r="8" ht="12.75" customHeight="1" s="207">
      <c r="A8" s="276" t="inlineStr">
        <is>
          <t>Manual Invoices - Non-Purchase Order  by line items</t>
        </is>
      </c>
      <c r="B8" s="277">
        <f>(7679+2976)*1.3</f>
        <v/>
      </c>
      <c r="C8" s="277">
        <f>B8*1.02</f>
        <v/>
      </c>
      <c r="D8" s="277">
        <f>C8*1.02</f>
        <v/>
      </c>
      <c r="E8" s="277">
        <f>D8*1.02</f>
        <v/>
      </c>
      <c r="F8" s="277">
        <f>E8*1.02</f>
        <v/>
      </c>
      <c r="G8" s="277">
        <f>F8*1.02</f>
        <v/>
      </c>
      <c r="H8" s="277">
        <f>G8*1.02</f>
        <v/>
      </c>
      <c r="I8" s="277">
        <f>H8*1.02</f>
        <v/>
      </c>
    </row>
    <row r="9" ht="12.75" customHeight="1" s="207">
      <c r="A9" s="276" t="inlineStr">
        <is>
          <t>Electronic Invoices - Purchase Order</t>
        </is>
      </c>
      <c r="B9" s="235" t="n">
        <v>736</v>
      </c>
      <c r="C9" s="277">
        <f>B9*1.02</f>
        <v/>
      </c>
      <c r="D9" s="277">
        <f>C9*1.02</f>
        <v/>
      </c>
      <c r="E9" s="277">
        <f>D9*1.02</f>
        <v/>
      </c>
      <c r="F9" s="277">
        <f>E9*1.02</f>
        <v/>
      </c>
      <c r="G9" s="277">
        <f>F9*1.02</f>
        <v/>
      </c>
      <c r="H9" s="277">
        <f>G9*1.02</f>
        <v/>
      </c>
      <c r="I9" s="277">
        <f>H9*1.02</f>
        <v/>
      </c>
    </row>
    <row r="10" ht="12.75" customHeight="1" s="207">
      <c r="A10" s="276" t="inlineStr">
        <is>
          <t>Electronic Invoices - Purchase Order by line item</t>
        </is>
      </c>
      <c r="B10" s="235" t="n">
        <v>4788</v>
      </c>
      <c r="C10" s="277">
        <f>B10*1.02</f>
        <v/>
      </c>
      <c r="D10" s="277">
        <f>C10*1.02</f>
        <v/>
      </c>
      <c r="E10" s="277">
        <f>D10*1.02</f>
        <v/>
      </c>
      <c r="F10" s="277">
        <f>E10*1.02</f>
        <v/>
      </c>
      <c r="G10" s="277">
        <f>F10*1.02</f>
        <v/>
      </c>
      <c r="H10" s="277">
        <f>G10*1.02</f>
        <v/>
      </c>
      <c r="I10" s="277">
        <f>H10*1.02</f>
        <v/>
      </c>
    </row>
    <row r="11" ht="12.75" customHeight="1" s="207">
      <c r="A11" s="276" t="inlineStr">
        <is>
          <t>Electronic Invoices - Non-Purchase Order</t>
        </is>
      </c>
      <c r="B11" s="235" t="n">
        <v>1070</v>
      </c>
      <c r="C11" s="277">
        <f>B11*1.02</f>
        <v/>
      </c>
      <c r="D11" s="277">
        <f>C11*1.02</f>
        <v/>
      </c>
      <c r="E11" s="277">
        <f>D11*1.02</f>
        <v/>
      </c>
      <c r="F11" s="277">
        <f>E11*1.02</f>
        <v/>
      </c>
      <c r="G11" s="277">
        <f>F11*1.02</f>
        <v/>
      </c>
      <c r="H11" s="277">
        <f>G11*1.02</f>
        <v/>
      </c>
      <c r="I11" s="277">
        <f>H11*1.02</f>
        <v/>
      </c>
    </row>
    <row r="12" ht="12.75" customHeight="1" s="207">
      <c r="A12" s="276" t="inlineStr">
        <is>
          <t>Electronic Invoices - Non-Purchase Order by line item</t>
        </is>
      </c>
      <c r="B12" s="235" t="n">
        <v>9533</v>
      </c>
      <c r="C12" s="277">
        <f>B12*1.02</f>
        <v/>
      </c>
      <c r="D12" s="277">
        <f>C12*1.02</f>
        <v/>
      </c>
      <c r="E12" s="277">
        <f>D12*1.02</f>
        <v/>
      </c>
      <c r="F12" s="277">
        <f>E12*1.02</f>
        <v/>
      </c>
      <c r="G12" s="277">
        <f>F12*1.02</f>
        <v/>
      </c>
      <c r="H12" s="277">
        <f>G12*1.02</f>
        <v/>
      </c>
      <c r="I12" s="277">
        <f>H12*1.02</f>
        <v/>
      </c>
    </row>
    <row r="13" ht="12.75" customHeight="1" s="207">
      <c r="A13" s="276" t="inlineStr">
        <is>
          <t>Batch Input</t>
        </is>
      </c>
      <c r="B13" s="235" t="n">
        <v>1412</v>
      </c>
      <c r="C13" s="277">
        <f>B13*1.02</f>
        <v/>
      </c>
      <c r="D13" s="277">
        <f>C13*1.02</f>
        <v/>
      </c>
      <c r="E13" s="277">
        <f>D13*1.02</f>
        <v/>
      </c>
      <c r="F13" s="277">
        <f>E13*1.02</f>
        <v/>
      </c>
      <c r="G13" s="277">
        <f>F13*1.02</f>
        <v/>
      </c>
      <c r="H13" s="277">
        <f>G13*1.02</f>
        <v/>
      </c>
      <c r="I13" s="277">
        <f>H13*1.02</f>
        <v/>
      </c>
    </row>
    <row r="14" ht="12.75" customHeight="1" s="207">
      <c r="A14" s="276" t="inlineStr">
        <is>
          <t>Batch Input by line item</t>
        </is>
      </c>
      <c r="B14" s="235" t="n">
        <v>4231</v>
      </c>
      <c r="C14" s="277">
        <f>B14*1.02</f>
        <v/>
      </c>
      <c r="D14" s="277">
        <f>C14*1.02</f>
        <v/>
      </c>
      <c r="E14" s="277">
        <f>D14*1.02</f>
        <v/>
      </c>
      <c r="F14" s="277">
        <f>E14*1.02</f>
        <v/>
      </c>
      <c r="G14" s="277">
        <f>F14*1.02</f>
        <v/>
      </c>
      <c r="H14" s="277">
        <f>G14*1.02</f>
        <v/>
      </c>
      <c r="I14" s="277">
        <f>H14*1.02</f>
        <v/>
      </c>
    </row>
    <row r="15" ht="12.75" customHeight="1" s="207">
      <c r="A15" s="265" t="inlineStr">
        <is>
          <t>Payments (Check Printing and Disbursement)</t>
        </is>
      </c>
      <c r="B15" s="289">
        <f>SUM(B16:B20)</f>
        <v/>
      </c>
      <c r="C15" s="235" t="n"/>
      <c r="D15" s="235" t="n"/>
      <c r="E15" s="235" t="n"/>
      <c r="F15" s="235" t="n"/>
      <c r="G15" s="235" t="n"/>
      <c r="H15" s="235" t="n"/>
      <c r="I15" s="235" t="n"/>
    </row>
    <row r="16" ht="12.75" customHeight="1" s="207">
      <c r="A16" s="276" t="inlineStr">
        <is>
          <t>Payments - Normal Handling</t>
        </is>
      </c>
      <c r="B16" s="235" t="n">
        <v>613</v>
      </c>
      <c r="C16" s="277">
        <f>B16*1.02</f>
        <v/>
      </c>
      <c r="D16" s="277">
        <f>C16*1.02</f>
        <v/>
      </c>
      <c r="E16" s="277">
        <f>D16*1.02</f>
        <v/>
      </c>
      <c r="F16" s="277">
        <f>E16*1.02</f>
        <v/>
      </c>
      <c r="G16" s="277">
        <f>F16*1.02</f>
        <v/>
      </c>
      <c r="H16" s="277">
        <f>G16*1.02</f>
        <v/>
      </c>
      <c r="I16" s="277">
        <f>H16*1.02</f>
        <v/>
      </c>
    </row>
    <row r="17" ht="12.75" customHeight="1" s="207">
      <c r="A17" s="276" t="inlineStr">
        <is>
          <t>Payments - Normal Handling</t>
        </is>
      </c>
      <c r="B17" s="235" t="n">
        <v>1231</v>
      </c>
      <c r="C17" s="277">
        <f>B17*1.02</f>
        <v/>
      </c>
      <c r="D17" s="277">
        <f>C17*1.02</f>
        <v/>
      </c>
      <c r="E17" s="277">
        <f>D17*1.02</f>
        <v/>
      </c>
      <c r="F17" s="277">
        <f>E17*1.02</f>
        <v/>
      </c>
      <c r="G17" s="277">
        <f>F17*1.02</f>
        <v/>
      </c>
      <c r="H17" s="277">
        <f>G17*1.02</f>
        <v/>
      </c>
      <c r="I17" s="277">
        <f>H17*1.02</f>
        <v/>
      </c>
    </row>
    <row r="18" ht="12.75" customHeight="1" s="207">
      <c r="A18" s="276" t="inlineStr">
        <is>
          <t>Payments - Electronic Disbursement</t>
        </is>
      </c>
      <c r="B18" s="235" t="n">
        <v>4497</v>
      </c>
      <c r="C18" s="277">
        <f>B18*1.02</f>
        <v/>
      </c>
      <c r="D18" s="277">
        <f>C18*1.02</f>
        <v/>
      </c>
      <c r="E18" s="277">
        <f>D18*1.02</f>
        <v/>
      </c>
      <c r="F18" s="277">
        <f>E18*1.02</f>
        <v/>
      </c>
      <c r="G18" s="277">
        <f>F18*1.02</f>
        <v/>
      </c>
      <c r="H18" s="277">
        <f>G18*1.02</f>
        <v/>
      </c>
      <c r="I18" s="277">
        <f>H18*1.02</f>
        <v/>
      </c>
    </row>
    <row r="19" ht="12.75" customHeight="1" s="207">
      <c r="A19" s="276" t="inlineStr">
        <is>
          <t>Payments - Electronic Disbursement by line item</t>
        </is>
      </c>
      <c r="B19" s="235" t="n">
        <v>9123</v>
      </c>
      <c r="C19" s="277">
        <f>B19*1.02</f>
        <v/>
      </c>
      <c r="D19" s="277">
        <f>C19*1.02</f>
        <v/>
      </c>
      <c r="E19" s="277">
        <f>D19*1.02</f>
        <v/>
      </c>
      <c r="F19" s="277">
        <f>E19*1.02</f>
        <v/>
      </c>
      <c r="G19" s="277">
        <f>F19*1.02</f>
        <v/>
      </c>
      <c r="H19" s="277">
        <f>G19*1.02</f>
        <v/>
      </c>
      <c r="I19" s="277">
        <f>H19*1.02</f>
        <v/>
      </c>
    </row>
    <row r="20" ht="12.75" customHeight="1" s="207">
      <c r="A20" s="276" t="inlineStr">
        <is>
          <t>Payments - Wire Disbursement</t>
        </is>
      </c>
      <c r="B20" s="235" t="n"/>
      <c r="C20" s="235" t="n"/>
      <c r="D20" s="235" t="n"/>
      <c r="E20" s="235" t="n"/>
      <c r="F20" s="235" t="n"/>
      <c r="G20" s="235" t="n"/>
      <c r="H20" s="235" t="n"/>
      <c r="I20" s="235" t="n"/>
    </row>
    <row r="21" ht="12.75" customHeight="1" s="207">
      <c r="A21" s="265" t="inlineStr">
        <is>
          <t>Vendor Management</t>
        </is>
      </c>
      <c r="B21" s="289">
        <f>SUM(B22:B25)</f>
        <v/>
      </c>
      <c r="C21" s="235" t="n"/>
      <c r="D21" s="235" t="n"/>
      <c r="E21" s="235" t="n"/>
      <c r="F21" s="235" t="n"/>
      <c r="G21" s="235" t="n"/>
      <c r="H21" s="235" t="n"/>
      <c r="I21" s="235" t="n"/>
    </row>
    <row r="22" ht="12.75" customHeight="1" s="207">
      <c r="A22" s="278" t="inlineStr">
        <is>
          <t>Vendor Set Up</t>
        </is>
      </c>
      <c r="B22" s="235" t="n">
        <v>175</v>
      </c>
      <c r="C22" s="277">
        <f>B22</f>
        <v/>
      </c>
      <c r="D22" s="277">
        <f>C22</f>
        <v/>
      </c>
      <c r="E22" s="277">
        <f>D22</f>
        <v/>
      </c>
      <c r="F22" s="277">
        <f>E22</f>
        <v/>
      </c>
      <c r="G22" s="277">
        <f>F22</f>
        <v/>
      </c>
      <c r="H22" s="277">
        <f>G22</f>
        <v/>
      </c>
      <c r="I22" s="277">
        <f>H22</f>
        <v/>
      </c>
    </row>
    <row r="23" ht="12.75" customHeight="1" s="207">
      <c r="A23" s="278" t="inlineStr">
        <is>
          <t>Vendor Inquiry</t>
        </is>
      </c>
      <c r="B23" s="235" t="n">
        <v>300</v>
      </c>
      <c r="C23" s="277">
        <f>B23</f>
        <v/>
      </c>
      <c r="D23" s="277">
        <f>C23</f>
        <v/>
      </c>
      <c r="E23" s="277">
        <f>D23</f>
        <v/>
      </c>
      <c r="F23" s="277">
        <f>E23</f>
        <v/>
      </c>
      <c r="G23" s="277">
        <f>F23</f>
        <v/>
      </c>
      <c r="H23" s="277">
        <f>G23</f>
        <v/>
      </c>
      <c r="I23" s="277">
        <f>H23</f>
        <v/>
      </c>
    </row>
    <row r="24" ht="12.75" customHeight="1" s="207">
      <c r="A24" s="278" t="inlineStr">
        <is>
          <t>Internal Inquiries re. Vendors and payments</t>
        </is>
      </c>
      <c r="B24" s="235" t="n">
        <v>700</v>
      </c>
      <c r="C24" s="277">
        <f>B24</f>
        <v/>
      </c>
      <c r="D24" s="277">
        <f>C24</f>
        <v/>
      </c>
      <c r="E24" s="277">
        <f>D24</f>
        <v/>
      </c>
      <c r="F24" s="277">
        <f>E24</f>
        <v/>
      </c>
      <c r="G24" s="277">
        <f>F24</f>
        <v/>
      </c>
      <c r="H24" s="277">
        <f>G24</f>
        <v/>
      </c>
      <c r="I24" s="277">
        <f>H24</f>
        <v/>
      </c>
    </row>
    <row r="25" ht="12.75" customHeight="1" s="207">
      <c r="A25" s="278" t="inlineStr">
        <is>
          <t>Year End Vendor Tax Reporting</t>
        </is>
      </c>
      <c r="B25" s="235" t="n">
        <v>0</v>
      </c>
      <c r="C25" s="277">
        <f>B25</f>
        <v/>
      </c>
      <c r="D25" s="277">
        <f>C25</f>
        <v/>
      </c>
      <c r="E25" s="277">
        <f>D25</f>
        <v/>
      </c>
      <c r="F25" s="277">
        <f>E25</f>
        <v/>
      </c>
      <c r="G25" s="277">
        <f>F25</f>
        <v/>
      </c>
      <c r="H25" s="277">
        <f>G25</f>
        <v/>
      </c>
      <c r="I25" s="277">
        <f>H25</f>
        <v/>
      </c>
    </row>
    <row r="26" ht="13.5" customHeight="1" s="207">
      <c r="A26" s="290" t="inlineStr">
        <is>
          <t>Travel and Entertainment</t>
        </is>
      </c>
      <c r="B26" s="280" t="n"/>
      <c r="C26" s="280" t="n"/>
      <c r="D26" s="280" t="n"/>
      <c r="E26" s="280" t="n"/>
      <c r="F26" s="280" t="n"/>
      <c r="G26" s="280" t="n"/>
      <c r="H26" s="280" t="n"/>
      <c r="I26" s="281" t="n"/>
    </row>
    <row r="27" ht="12.75" customHeight="1" s="207">
      <c r="A27" s="282" t="inlineStr">
        <is>
          <t>Employee Expense Reports</t>
        </is>
      </c>
      <c r="B27" s="291">
        <f>SUM(B28:B31)</f>
        <v/>
      </c>
      <c r="C27" s="283" t="n"/>
      <c r="D27" s="283" t="n"/>
      <c r="E27" s="283" t="n"/>
      <c r="F27" s="283" t="n"/>
      <c r="G27" s="283" t="n"/>
      <c r="H27" s="283" t="n"/>
      <c r="I27" s="283" t="n"/>
    </row>
    <row r="28" ht="12.75" customHeight="1" s="207">
      <c r="A28" s="278" t="inlineStr">
        <is>
          <t>Manual Employee Expense Reports</t>
        </is>
      </c>
      <c r="B28" s="235" t="n">
        <v>15</v>
      </c>
      <c r="C28" s="235" t="n">
        <v>15</v>
      </c>
      <c r="D28" s="235" t="n">
        <v>15</v>
      </c>
      <c r="E28" s="235" t="n">
        <v>15</v>
      </c>
      <c r="F28" s="235" t="n">
        <v>15</v>
      </c>
      <c r="G28" s="235" t="n">
        <v>15</v>
      </c>
      <c r="H28" s="235" t="n">
        <v>15</v>
      </c>
      <c r="I28" s="235" t="n">
        <v>15</v>
      </c>
    </row>
    <row r="29" ht="12.75" customHeight="1" s="207">
      <c r="A29" s="278" t="inlineStr">
        <is>
          <t>Electronic Employee Expense Reports</t>
        </is>
      </c>
      <c r="B29" s="235" t="n">
        <v>1622</v>
      </c>
      <c r="C29" s="235" t="n">
        <v>1622</v>
      </c>
      <c r="D29" s="235" t="n">
        <v>1622</v>
      </c>
      <c r="E29" s="235" t="n">
        <v>1622</v>
      </c>
      <c r="F29" s="235" t="n">
        <v>1622</v>
      </c>
      <c r="G29" s="235" t="n">
        <v>1622</v>
      </c>
      <c r="H29" s="235" t="n">
        <v>1622</v>
      </c>
      <c r="I29" s="235" t="n">
        <v>1622</v>
      </c>
    </row>
    <row r="30" ht="12.75" customHeight="1" s="207">
      <c r="A30" s="278" t="inlineStr">
        <is>
          <t>Electronic Employee Expense Reports</t>
        </is>
      </c>
      <c r="B30" s="235" t="n">
        <v>10276</v>
      </c>
      <c r="C30" s="235" t="n">
        <v>10276</v>
      </c>
      <c r="D30" s="235" t="n">
        <v>10276</v>
      </c>
      <c r="E30" s="235" t="n">
        <v>10276</v>
      </c>
      <c r="F30" s="235" t="n">
        <v>10276</v>
      </c>
      <c r="G30" s="235" t="n">
        <v>10276</v>
      </c>
      <c r="H30" s="235" t="n">
        <v>10276</v>
      </c>
      <c r="I30" s="235" t="n">
        <v>10276</v>
      </c>
    </row>
    <row r="31" ht="13.5" customHeight="1" s="207">
      <c r="A31" s="278" t="inlineStr">
        <is>
          <t>Employees Submitting Expense Reports</t>
        </is>
      </c>
      <c r="B31" s="235">
        <f>1100+250</f>
        <v/>
      </c>
      <c r="C31" s="235">
        <f>1100+250</f>
        <v/>
      </c>
      <c r="D31" s="235">
        <f>1100+250</f>
        <v/>
      </c>
      <c r="E31" s="235">
        <f>1100+250</f>
        <v/>
      </c>
      <c r="F31" s="235">
        <f>1100+250</f>
        <v/>
      </c>
      <c r="G31" s="235">
        <f>1100+250</f>
        <v/>
      </c>
      <c r="H31" s="235">
        <f>1100+250</f>
        <v/>
      </c>
      <c r="I31" s="235">
        <f>1100+250</f>
        <v/>
      </c>
    </row>
    <row r="32" ht="13.5" customHeight="1" s="207">
      <c r="A32" s="267" t="inlineStr">
        <is>
          <t>Order to Cash</t>
        </is>
      </c>
      <c r="B32" s="258" t="n"/>
      <c r="C32" s="258" t="n"/>
      <c r="D32" s="258" t="n"/>
      <c r="E32" s="258" t="n"/>
      <c r="F32" s="258" t="n"/>
      <c r="G32" s="258" t="n"/>
      <c r="H32" s="258" t="n"/>
      <c r="I32" s="258" t="n"/>
    </row>
    <row r="33" ht="12.75" customHeight="1" s="207">
      <c r="A33" s="260" t="inlineStr">
        <is>
          <t>Credit</t>
        </is>
      </c>
      <c r="B33" s="247">
        <f>SUM(B34:B36)</f>
        <v/>
      </c>
      <c r="C33" s="285" t="n"/>
      <c r="D33" s="227" t="n"/>
      <c r="E33" s="227" t="n"/>
      <c r="F33" s="227" t="n"/>
      <c r="G33" s="227" t="n"/>
      <c r="H33" s="227" t="n"/>
      <c r="I33" s="227" t="n"/>
    </row>
    <row r="34" ht="12.75" customHeight="1" s="207">
      <c r="A34" s="276" t="inlineStr">
        <is>
          <t>Credit Applications Processed - Standard</t>
        </is>
      </c>
      <c r="B34" s="249" t="n">
        <v>60</v>
      </c>
      <c r="C34" s="249">
        <f>B34</f>
        <v/>
      </c>
      <c r="D34" s="249">
        <f>C34</f>
        <v/>
      </c>
      <c r="E34" s="249">
        <f>D34</f>
        <v/>
      </c>
      <c r="F34" s="249">
        <f>E34</f>
        <v/>
      </c>
      <c r="G34" s="249">
        <f>F34</f>
        <v/>
      </c>
      <c r="H34" s="249">
        <f>G34</f>
        <v/>
      </c>
      <c r="I34" s="249">
        <f>H34</f>
        <v/>
      </c>
    </row>
    <row r="35" ht="12.75" customHeight="1" s="207">
      <c r="A35" s="276" t="inlineStr">
        <is>
          <t>Credit Application Processed - Special/Outside Policy</t>
        </is>
      </c>
      <c r="B35" s="249" t="n">
        <v>350</v>
      </c>
      <c r="C35" s="249">
        <f>B35</f>
        <v/>
      </c>
      <c r="D35" s="249">
        <f>C35</f>
        <v/>
      </c>
      <c r="E35" s="249">
        <f>D35</f>
        <v/>
      </c>
      <c r="F35" s="249">
        <f>E35</f>
        <v/>
      </c>
      <c r="G35" s="249">
        <f>F35</f>
        <v/>
      </c>
      <c r="H35" s="249">
        <f>G35</f>
        <v/>
      </c>
      <c r="I35" s="249">
        <f>H35</f>
        <v/>
      </c>
    </row>
    <row r="36" ht="12.75" customHeight="1" s="207">
      <c r="A36" s="276" t="inlineStr">
        <is>
          <t>Credit Review Processed</t>
        </is>
      </c>
      <c r="B36" s="249" t="n">
        <v>300</v>
      </c>
      <c r="C36" s="249">
        <f>B36</f>
        <v/>
      </c>
      <c r="D36" s="249">
        <f>C36</f>
        <v/>
      </c>
      <c r="E36" s="249">
        <f>D36</f>
        <v/>
      </c>
      <c r="F36" s="249">
        <f>E36</f>
        <v/>
      </c>
      <c r="G36" s="249">
        <f>F36</f>
        <v/>
      </c>
      <c r="H36" s="249">
        <f>G36</f>
        <v/>
      </c>
      <c r="I36" s="249">
        <f>H36</f>
        <v/>
      </c>
    </row>
    <row r="37" ht="12.75" customHeight="1" s="207">
      <c r="A37" s="268" t="inlineStr">
        <is>
          <t>Customer Inquiries</t>
        </is>
      </c>
      <c r="B37" s="292">
        <f>SUM(B38:B39)</f>
        <v/>
      </c>
      <c r="C37" s="249" t="n"/>
      <c r="D37" s="249" t="n"/>
      <c r="E37" s="249" t="n"/>
      <c r="F37" s="249" t="n"/>
      <c r="G37" s="249" t="n"/>
      <c r="H37" s="249" t="n"/>
      <c r="I37" s="249" t="n"/>
    </row>
    <row r="38" ht="12.75" customHeight="1" s="207">
      <c r="A38" s="276" t="inlineStr">
        <is>
          <t>Internal Inquiries</t>
        </is>
      </c>
      <c r="B38" s="249" t="n">
        <v>1300</v>
      </c>
      <c r="C38" s="249">
        <f>B38</f>
        <v/>
      </c>
      <c r="D38" s="249">
        <f>C38</f>
        <v/>
      </c>
      <c r="E38" s="249">
        <f>D38</f>
        <v/>
      </c>
      <c r="F38" s="249">
        <f>E38</f>
        <v/>
      </c>
      <c r="G38" s="249">
        <f>F38</f>
        <v/>
      </c>
      <c r="H38" s="249">
        <f>G38</f>
        <v/>
      </c>
      <c r="I38" s="249">
        <f>H38</f>
        <v/>
      </c>
    </row>
    <row r="39" ht="12.75" customHeight="1" s="207">
      <c r="A39" s="276" t="inlineStr">
        <is>
          <t>External Inquiries</t>
        </is>
      </c>
      <c r="B39" s="249" t="n">
        <v>1450</v>
      </c>
      <c r="C39" s="249">
        <f>B39</f>
        <v/>
      </c>
      <c r="D39" s="249">
        <f>C39</f>
        <v/>
      </c>
      <c r="E39" s="249">
        <f>D39</f>
        <v/>
      </c>
      <c r="F39" s="249">
        <f>E39</f>
        <v/>
      </c>
      <c r="G39" s="249">
        <f>F39</f>
        <v/>
      </c>
      <c r="H39" s="249">
        <f>G39</f>
        <v/>
      </c>
      <c r="I39" s="249">
        <f>H39</f>
        <v/>
      </c>
    </row>
    <row r="40" ht="12.75" customHeight="1" s="207">
      <c r="A40" s="268" t="inlineStr">
        <is>
          <t>Invoicing</t>
        </is>
      </c>
      <c r="B40" s="292">
        <f>SUM(B41:B44)</f>
        <v/>
      </c>
      <c r="C40" s="249" t="n"/>
      <c r="D40" s="249" t="n"/>
      <c r="E40" s="249" t="n"/>
      <c r="F40" s="249" t="n"/>
      <c r="G40" s="249" t="n"/>
      <c r="H40" s="249" t="n"/>
      <c r="I40" s="249" t="n"/>
    </row>
    <row r="41" ht="12.75" customHeight="1" s="207">
      <c r="A41" s="276" t="inlineStr">
        <is>
          <t>Paper Invoices</t>
        </is>
      </c>
      <c r="B41" s="249" t="n">
        <v>16085</v>
      </c>
      <c r="C41" s="249">
        <f>B41</f>
        <v/>
      </c>
      <c r="D41" s="249">
        <f>C41</f>
        <v/>
      </c>
      <c r="E41" s="249">
        <f>D41</f>
        <v/>
      </c>
      <c r="F41" s="249">
        <f>E41</f>
        <v/>
      </c>
      <c r="G41" s="249">
        <f>F41</f>
        <v/>
      </c>
      <c r="H41" s="249">
        <f>G41</f>
        <v/>
      </c>
      <c r="I41" s="249">
        <f>H41</f>
        <v/>
      </c>
    </row>
    <row r="42" ht="12.75" customHeight="1" s="207">
      <c r="A42" s="276" t="inlineStr">
        <is>
          <t>Paper Invoices by line item</t>
        </is>
      </c>
      <c r="B42" s="249" t="n">
        <v>246374</v>
      </c>
      <c r="C42" s="249">
        <f>B42</f>
        <v/>
      </c>
      <c r="D42" s="249">
        <f>C42</f>
        <v/>
      </c>
      <c r="E42" s="249">
        <f>D42</f>
        <v/>
      </c>
      <c r="F42" s="249">
        <f>E42</f>
        <v/>
      </c>
      <c r="G42" s="249">
        <f>F42</f>
        <v/>
      </c>
      <c r="H42" s="249">
        <f>G42</f>
        <v/>
      </c>
      <c r="I42" s="249">
        <f>H42</f>
        <v/>
      </c>
    </row>
    <row r="43" ht="12.75" customHeight="1" s="207">
      <c r="A43" s="276" t="inlineStr">
        <is>
          <t>Electronic Invoices</t>
        </is>
      </c>
      <c r="B43" s="249" t="n">
        <v>0</v>
      </c>
      <c r="C43" s="249">
        <f>B43</f>
        <v/>
      </c>
      <c r="D43" s="249">
        <f>C43</f>
        <v/>
      </c>
      <c r="E43" s="249">
        <f>D43</f>
        <v/>
      </c>
      <c r="F43" s="249">
        <f>E43</f>
        <v/>
      </c>
      <c r="G43" s="249">
        <f>F43</f>
        <v/>
      </c>
      <c r="H43" s="249">
        <f>G43</f>
        <v/>
      </c>
      <c r="I43" s="249">
        <f>H43</f>
        <v/>
      </c>
    </row>
    <row r="44" ht="12.75" customHeight="1" s="207">
      <c r="A44" s="276" t="inlineStr">
        <is>
          <t>Customer Statements</t>
        </is>
      </c>
      <c r="B44" s="249" t="n">
        <v>900</v>
      </c>
      <c r="C44" s="249">
        <f>B44</f>
        <v/>
      </c>
      <c r="D44" s="249">
        <f>C44</f>
        <v/>
      </c>
      <c r="E44" s="249">
        <f>D44</f>
        <v/>
      </c>
      <c r="F44" s="249">
        <f>E44</f>
        <v/>
      </c>
      <c r="G44" s="249">
        <f>F44</f>
        <v/>
      </c>
      <c r="H44" s="249">
        <f>G44</f>
        <v/>
      </c>
      <c r="I44" s="249">
        <f>H44</f>
        <v/>
      </c>
    </row>
    <row r="45" ht="12.75" customHeight="1" s="207">
      <c r="A45" s="268" t="inlineStr">
        <is>
          <t>Cash Applications</t>
        </is>
      </c>
      <c r="B45" s="292">
        <f>SUM(B46:B49)</f>
        <v/>
      </c>
      <c r="C45" s="249" t="n"/>
      <c r="D45" s="249" t="n"/>
      <c r="E45" s="249" t="n"/>
      <c r="F45" s="249" t="n"/>
      <c r="G45" s="249" t="n"/>
      <c r="H45" s="249" t="n"/>
      <c r="I45" s="249" t="n"/>
    </row>
    <row r="46" ht="12.75" customHeight="1" s="207">
      <c r="A46" s="276" t="inlineStr">
        <is>
          <t>Electronic Payments</t>
        </is>
      </c>
      <c r="B46" s="249">
        <f>4408+2258</f>
        <v/>
      </c>
      <c r="C46" s="249">
        <f>B46</f>
        <v/>
      </c>
      <c r="D46" s="249">
        <f>C46</f>
        <v/>
      </c>
      <c r="E46" s="249">
        <f>D46</f>
        <v/>
      </c>
      <c r="F46" s="249">
        <f>E46</f>
        <v/>
      </c>
      <c r="G46" s="249">
        <f>F46</f>
        <v/>
      </c>
      <c r="H46" s="249">
        <f>G46</f>
        <v/>
      </c>
      <c r="I46" s="249">
        <f>H46</f>
        <v/>
      </c>
    </row>
    <row r="47" ht="12.75" customHeight="1" s="207">
      <c r="A47" s="276" t="inlineStr">
        <is>
          <t>Electronic Payments by line item</t>
        </is>
      </c>
      <c r="B47" s="249">
        <f>16383+9118</f>
        <v/>
      </c>
      <c r="C47" s="249">
        <f>B47</f>
        <v/>
      </c>
      <c r="D47" s="249">
        <f>C47</f>
        <v/>
      </c>
      <c r="E47" s="249">
        <f>D47</f>
        <v/>
      </c>
      <c r="F47" s="249">
        <f>E47</f>
        <v/>
      </c>
      <c r="G47" s="249">
        <f>F47</f>
        <v/>
      </c>
      <c r="H47" s="249">
        <f>G47</f>
        <v/>
      </c>
      <c r="I47" s="249">
        <f>H47</f>
        <v/>
      </c>
    </row>
    <row r="48" ht="12.75" customHeight="1" s="207">
      <c r="A48" s="276" t="inlineStr">
        <is>
          <t>Lockbox Payments</t>
        </is>
      </c>
      <c r="B48" s="249" t="n">
        <v>0</v>
      </c>
      <c r="C48" s="249">
        <f>B48</f>
        <v/>
      </c>
      <c r="D48" s="249">
        <f>C48</f>
        <v/>
      </c>
      <c r="E48" s="249">
        <f>D48</f>
        <v/>
      </c>
      <c r="F48" s="249">
        <f>E48</f>
        <v/>
      </c>
      <c r="G48" s="249">
        <f>F48</f>
        <v/>
      </c>
      <c r="H48" s="249">
        <f>G48</f>
        <v/>
      </c>
      <c r="I48" s="249">
        <f>H48</f>
        <v/>
      </c>
    </row>
    <row r="49" ht="12.75" customHeight="1" s="207">
      <c r="A49" s="276" t="inlineStr">
        <is>
          <t>Check Payments</t>
        </is>
      </c>
      <c r="B49" s="249" t="n">
        <v>3</v>
      </c>
      <c r="C49" s="249">
        <f>B49</f>
        <v/>
      </c>
      <c r="D49" s="249">
        <f>C49</f>
        <v/>
      </c>
      <c r="E49" s="249">
        <f>D49</f>
        <v/>
      </c>
      <c r="F49" s="249">
        <f>E49</f>
        <v/>
      </c>
      <c r="G49" s="249">
        <f>F49</f>
        <v/>
      </c>
      <c r="H49" s="249">
        <f>G49</f>
        <v/>
      </c>
      <c r="I49" s="249">
        <f>H49</f>
        <v/>
      </c>
    </row>
    <row r="50" ht="12.75" customHeight="1" s="207">
      <c r="A50" s="268" t="inlineStr">
        <is>
          <t>Collections</t>
        </is>
      </c>
      <c r="B50" s="292">
        <f>SUM(B51)</f>
        <v/>
      </c>
      <c r="C50" s="249" t="n"/>
      <c r="D50" s="249" t="n"/>
      <c r="E50" s="249" t="n"/>
      <c r="F50" s="249" t="n"/>
      <c r="G50" s="249" t="n"/>
      <c r="H50" s="249" t="n"/>
      <c r="I50" s="249" t="n"/>
    </row>
    <row r="51" ht="13.5" customHeight="1" s="207">
      <c r="A51" s="276" t="inlineStr">
        <is>
          <t>Actively Managed Accounts</t>
        </is>
      </c>
      <c r="B51" s="249" t="n">
        <v>14500</v>
      </c>
      <c r="C51" s="249">
        <f>B51</f>
        <v/>
      </c>
      <c r="D51" s="249">
        <f>C51</f>
        <v/>
      </c>
      <c r="E51" s="249">
        <f>D51</f>
        <v/>
      </c>
      <c r="F51" s="249">
        <f>E51</f>
        <v/>
      </c>
      <c r="G51" s="249">
        <f>F51</f>
        <v/>
      </c>
      <c r="H51" s="249">
        <f>G51</f>
        <v/>
      </c>
      <c r="I51" s="249">
        <f>H51</f>
        <v/>
      </c>
    </row>
    <row r="52" ht="13.5" customHeight="1" s="207">
      <c r="A52" s="267" t="inlineStr">
        <is>
          <t>Fixed Assets</t>
        </is>
      </c>
      <c r="B52" s="258" t="n"/>
      <c r="C52" s="258" t="n"/>
      <c r="D52" s="258" t="n"/>
      <c r="E52" s="258" t="n"/>
      <c r="F52" s="258" t="n"/>
      <c r="G52" s="258" t="n"/>
      <c r="H52" s="258" t="n"/>
      <c r="I52" s="258" t="n"/>
    </row>
    <row r="53" ht="12.75" customHeight="1" s="207">
      <c r="A53" s="260" t="inlineStr">
        <is>
          <t>Fixed Assets</t>
        </is>
      </c>
      <c r="B53" s="247">
        <f>SUM(B54:B55)</f>
        <v/>
      </c>
      <c r="C53" s="293" t="n"/>
      <c r="D53" s="293" t="n"/>
      <c r="E53" s="293" t="n"/>
      <c r="F53" s="293" t="n"/>
      <c r="G53" s="293" t="n"/>
      <c r="H53" s="293" t="n"/>
      <c r="I53" s="293" t="n"/>
    </row>
    <row r="54" ht="12.75" customHeight="1" s="207">
      <c r="A54" s="276" t="inlineStr">
        <is>
          <t xml:space="preserve">Active Assets </t>
        </is>
      </c>
      <c r="B54" s="249" t="n">
        <v>8712</v>
      </c>
      <c r="C54" s="249">
        <f>B54+300</f>
        <v/>
      </c>
      <c r="D54" s="249">
        <f>C54</f>
        <v/>
      </c>
      <c r="E54" s="249">
        <f>D54</f>
        <v/>
      </c>
      <c r="F54" s="249">
        <f>E54</f>
        <v/>
      </c>
      <c r="G54" s="249">
        <f>F54</f>
        <v/>
      </c>
      <c r="H54" s="249">
        <f>G54</f>
        <v/>
      </c>
      <c r="I54" s="249">
        <f>H54</f>
        <v/>
      </c>
    </row>
    <row r="55" ht="13.5" customHeight="1" s="207">
      <c r="A55" s="276" t="inlineStr">
        <is>
          <t>Asset Record Changes</t>
        </is>
      </c>
      <c r="B55" s="249" t="n">
        <v>1575</v>
      </c>
      <c r="C55" s="249">
        <f>B55</f>
        <v/>
      </c>
      <c r="D55" s="249">
        <f>C55</f>
        <v/>
      </c>
      <c r="E55" s="249">
        <f>D55</f>
        <v/>
      </c>
      <c r="F55" s="249">
        <f>E55</f>
        <v/>
      </c>
      <c r="G55" s="249">
        <f>F55</f>
        <v/>
      </c>
      <c r="H55" s="249">
        <f>G55</f>
        <v/>
      </c>
      <c r="I55" s="249">
        <f>H55</f>
        <v/>
      </c>
    </row>
    <row r="56" ht="13.5" customHeight="1" s="207">
      <c r="A56" s="267" t="inlineStr">
        <is>
          <t>Account to Report</t>
        </is>
      </c>
      <c r="B56" s="258" t="n"/>
      <c r="C56" s="258" t="n"/>
      <c r="D56" s="258" t="n"/>
      <c r="E56" s="258" t="n"/>
      <c r="F56" s="258" t="n"/>
      <c r="G56" s="258" t="n"/>
      <c r="H56" s="258" t="n"/>
      <c r="I56" s="258" t="n"/>
    </row>
    <row r="57" ht="12.75" customHeight="1" s="207">
      <c r="A57" s="260" t="inlineStr">
        <is>
          <t>General Ledger Accounting</t>
        </is>
      </c>
      <c r="B57" s="248">
        <f>SUM(B58:B62)</f>
        <v/>
      </c>
      <c r="C57" s="227" t="n"/>
      <c r="D57" s="227" t="n"/>
      <c r="E57" s="227" t="n"/>
      <c r="F57" s="227" t="n"/>
      <c r="G57" s="227" t="n"/>
      <c r="H57" s="227" t="n"/>
      <c r="I57" s="227" t="n"/>
    </row>
    <row r="58" ht="12.75" customHeight="1" s="207">
      <c r="A58" s="276" t="inlineStr">
        <is>
          <t>Journal Entries - Automated Posting</t>
        </is>
      </c>
      <c r="B58" s="235" t="n">
        <v>2064</v>
      </c>
      <c r="C58" s="235">
        <f>B58</f>
        <v/>
      </c>
      <c r="D58" s="235">
        <f>C58</f>
        <v/>
      </c>
      <c r="E58" s="235">
        <f>D58</f>
        <v/>
      </c>
      <c r="F58" s="235">
        <f>E58</f>
        <v/>
      </c>
      <c r="G58" s="235">
        <f>F58</f>
        <v/>
      </c>
      <c r="H58" s="235">
        <f>G58</f>
        <v/>
      </c>
      <c r="I58" s="235">
        <f>H58</f>
        <v/>
      </c>
    </row>
    <row r="59" ht="12.75" customHeight="1" s="207">
      <c r="A59" s="276" t="inlineStr">
        <is>
          <t>Journal Entries - Automated Posting</t>
        </is>
      </c>
      <c r="B59" s="235" t="n">
        <v>5289</v>
      </c>
      <c r="C59" s="235">
        <f>B59</f>
        <v/>
      </c>
      <c r="D59" s="235">
        <f>C59</f>
        <v/>
      </c>
      <c r="E59" s="235">
        <f>D59</f>
        <v/>
      </c>
      <c r="F59" s="235">
        <f>E59</f>
        <v/>
      </c>
      <c r="G59" s="235">
        <f>F59</f>
        <v/>
      </c>
      <c r="H59" s="235">
        <f>G59</f>
        <v/>
      </c>
      <c r="I59" s="235">
        <f>H59</f>
        <v/>
      </c>
    </row>
    <row r="60" ht="12.75" customHeight="1" s="207">
      <c r="A60" s="276" t="inlineStr">
        <is>
          <t>Journal Entries - Manual incl. Recurring</t>
        </is>
      </c>
      <c r="B60" s="235" t="n">
        <v>100</v>
      </c>
      <c r="C60" s="235">
        <f>B60</f>
        <v/>
      </c>
      <c r="D60" s="235">
        <f>C60</f>
        <v/>
      </c>
      <c r="E60" s="235">
        <f>D60</f>
        <v/>
      </c>
      <c r="F60" s="235">
        <f>E60</f>
        <v/>
      </c>
      <c r="G60" s="235">
        <f>F60</f>
        <v/>
      </c>
      <c r="H60" s="235">
        <f>G60</f>
        <v/>
      </c>
      <c r="I60" s="235">
        <f>H60</f>
        <v/>
      </c>
    </row>
    <row r="61" ht="12.75" customHeight="1" s="207">
      <c r="A61" s="286" t="inlineStr">
        <is>
          <t>Chart of Account Change</t>
        </is>
      </c>
      <c r="B61" s="235" t="n">
        <v>5</v>
      </c>
      <c r="C61" s="235">
        <f>B61</f>
        <v/>
      </c>
      <c r="D61" s="235">
        <f>C61</f>
        <v/>
      </c>
      <c r="E61" s="235">
        <f>D61</f>
        <v/>
      </c>
      <c r="F61" s="235">
        <f>E61</f>
        <v/>
      </c>
      <c r="G61" s="235">
        <f>F61</f>
        <v/>
      </c>
      <c r="H61" s="235">
        <f>G61</f>
        <v/>
      </c>
      <c r="I61" s="235">
        <f>H61</f>
        <v/>
      </c>
    </row>
    <row r="62" ht="12.75" customHeight="1" s="207">
      <c r="A62" s="276" t="inlineStr">
        <is>
          <t>Account Reconciliations</t>
        </is>
      </c>
      <c r="B62" s="235" t="n">
        <v>50</v>
      </c>
      <c r="C62" s="235">
        <f>B62</f>
        <v/>
      </c>
      <c r="D62" s="235">
        <f>C62</f>
        <v/>
      </c>
      <c r="E62" s="235">
        <f>D62</f>
        <v/>
      </c>
      <c r="F62" s="235">
        <f>E62</f>
        <v/>
      </c>
      <c r="G62" s="235">
        <f>F62</f>
        <v/>
      </c>
      <c r="H62" s="235">
        <f>G62</f>
        <v/>
      </c>
      <c r="I62" s="235">
        <f>H62</f>
        <v/>
      </c>
    </row>
    <row r="63" ht="12.75" customHeight="1" s="207">
      <c r="A63" s="265" t="inlineStr">
        <is>
          <t>Financial Reporting</t>
        </is>
      </c>
      <c r="B63" s="289">
        <f>SUM(B64:B66)</f>
        <v/>
      </c>
      <c r="C63" s="235" t="n"/>
      <c r="D63" s="235" t="n"/>
      <c r="E63" s="235" t="n"/>
      <c r="F63" s="235" t="n"/>
      <c r="G63" s="235" t="n"/>
      <c r="H63" s="235" t="n"/>
      <c r="I63" s="235" t="n"/>
    </row>
    <row r="64" ht="12.75" customHeight="1" s="207">
      <c r="A64" s="276" t="inlineStr">
        <is>
          <t>Reports (Automated)</t>
        </is>
      </c>
      <c r="B64" s="235" t="n">
        <v>175</v>
      </c>
      <c r="C64" s="235">
        <f>B64</f>
        <v/>
      </c>
      <c r="D64" s="235">
        <f>C64</f>
        <v/>
      </c>
      <c r="E64" s="235">
        <f>D64</f>
        <v/>
      </c>
      <c r="F64" s="235">
        <f>E64</f>
        <v/>
      </c>
      <c r="G64" s="235">
        <f>F64</f>
        <v/>
      </c>
      <c r="H64" s="235">
        <f>G64</f>
        <v/>
      </c>
      <c r="I64" s="235">
        <f>H64</f>
        <v/>
      </c>
    </row>
    <row r="65" ht="12.75" customHeight="1" s="207">
      <c r="A65" s="276" t="inlineStr">
        <is>
          <t>Manual Regulatory Reports</t>
        </is>
      </c>
      <c r="B65" s="235" t="n">
        <v>5</v>
      </c>
      <c r="C65" s="235">
        <f>B65</f>
        <v/>
      </c>
      <c r="D65" s="235">
        <f>C65</f>
        <v/>
      </c>
      <c r="E65" s="235">
        <f>D65</f>
        <v/>
      </c>
      <c r="F65" s="235">
        <f>E65</f>
        <v/>
      </c>
      <c r="G65" s="235">
        <f>F65</f>
        <v/>
      </c>
      <c r="H65" s="235">
        <f>G65</f>
        <v/>
      </c>
      <c r="I65" s="235">
        <f>H65</f>
        <v/>
      </c>
    </row>
    <row r="66" ht="12.75" customHeight="1" s="207">
      <c r="A66" s="276" t="inlineStr">
        <is>
          <t>Manual Scheduled Reports</t>
        </is>
      </c>
      <c r="B66" s="235" t="n">
        <v>75</v>
      </c>
      <c r="C66" s="235">
        <f>B66</f>
        <v/>
      </c>
      <c r="D66" s="235">
        <f>C66</f>
        <v/>
      </c>
      <c r="E66" s="235">
        <f>D66</f>
        <v/>
      </c>
      <c r="F66" s="235">
        <f>E66</f>
        <v/>
      </c>
      <c r="G66" s="235">
        <f>F66</f>
        <v/>
      </c>
      <c r="H66" s="235">
        <f>G66</f>
        <v/>
      </c>
      <c r="I66" s="235">
        <f>H66</f>
        <v/>
      </c>
    </row>
    <row r="67" ht="12.75" customHeight="1" s="207">
      <c r="A67" s="265" t="inlineStr">
        <is>
          <t>Financial Management Services</t>
        </is>
      </c>
      <c r="B67" s="289">
        <f>SUM(B68)</f>
        <v/>
      </c>
      <c r="C67" s="235" t="n"/>
      <c r="D67" s="235" t="n"/>
      <c r="E67" s="235" t="n"/>
      <c r="F67" s="235" t="n"/>
      <c r="G67" s="235" t="n"/>
      <c r="H67" s="235" t="n"/>
      <c r="I67" s="235" t="n"/>
    </row>
    <row r="68" ht="12.75" customHeight="1" s="207">
      <c r="A68" s="276" t="inlineStr">
        <is>
          <t>Bank Reconciliation - Type A</t>
        </is>
      </c>
      <c r="B68" s="235" t="n">
        <v>40</v>
      </c>
      <c r="C68" s="235">
        <f>B68</f>
        <v/>
      </c>
      <c r="D68" s="235">
        <f>C68</f>
        <v/>
      </c>
      <c r="E68" s="235">
        <f>D68</f>
        <v/>
      </c>
      <c r="F68" s="235">
        <f>E68</f>
        <v/>
      </c>
      <c r="G68" s="235">
        <f>F68</f>
        <v/>
      </c>
      <c r="H68" s="235">
        <f>G68</f>
        <v/>
      </c>
      <c r="I68" s="235">
        <f>H68</f>
        <v/>
      </c>
    </row>
    <row r="69" ht="12.75" customHeight="1" s="207">
      <c r="A69" s="276" t="inlineStr">
        <is>
          <t>Budget &amp; Forecasting - Business Unit - not in scope - process in BPA</t>
        </is>
      </c>
      <c r="B69" s="235" t="n"/>
      <c r="C69" s="235" t="n"/>
      <c r="D69" s="235" t="n"/>
      <c r="E69" s="235" t="n"/>
      <c r="F69" s="235" t="n"/>
      <c r="G69" s="235" t="n"/>
      <c r="H69" s="235" t="n"/>
      <c r="I69" s="235" t="n"/>
    </row>
    <row r="70" ht="12.75" customHeight="1" s="207">
      <c r="A70" s="265" t="inlineStr">
        <is>
          <t>Financial Analysis &amp; Support</t>
        </is>
      </c>
      <c r="B70" s="289">
        <f>SUM(B71:B72)</f>
        <v/>
      </c>
      <c r="C70" s="235" t="n"/>
      <c r="D70" s="235" t="n"/>
      <c r="E70" s="235" t="n"/>
      <c r="F70" s="235" t="n"/>
      <c r="G70" s="235" t="n"/>
      <c r="H70" s="235" t="n"/>
      <c r="I70" s="235" t="n"/>
    </row>
    <row r="71" ht="12.75" customHeight="1" s="207">
      <c r="A71" s="276" t="inlineStr">
        <is>
          <t>Business Units</t>
        </is>
      </c>
      <c r="B71" s="235" t="n">
        <v>5</v>
      </c>
      <c r="C71" s="235">
        <f>B71</f>
        <v/>
      </c>
      <c r="D71" s="235">
        <f>C71</f>
        <v/>
      </c>
      <c r="E71" s="235">
        <f>D71</f>
        <v/>
      </c>
      <c r="F71" s="235">
        <f>E71</f>
        <v/>
      </c>
      <c r="G71" s="235">
        <f>F71</f>
        <v/>
      </c>
      <c r="H71" s="235">
        <f>G71</f>
        <v/>
      </c>
      <c r="I71" s="235">
        <f>H71</f>
        <v/>
      </c>
    </row>
    <row r="72" ht="12.75" customHeight="1" s="207">
      <c r="A72" s="276" t="inlineStr">
        <is>
          <t>Legal Entities</t>
        </is>
      </c>
      <c r="B72" s="235" t="n">
        <v>8</v>
      </c>
      <c r="C72" s="235">
        <f>B72</f>
        <v/>
      </c>
      <c r="D72" s="235">
        <f>C72</f>
        <v/>
      </c>
      <c r="E72" s="235">
        <f>D72</f>
        <v/>
      </c>
      <c r="F72" s="235">
        <f>E72</f>
        <v/>
      </c>
      <c r="G72" s="235">
        <f>F72</f>
        <v/>
      </c>
      <c r="H72" s="235">
        <f>G72</f>
        <v/>
      </c>
      <c r="I72" s="235">
        <f>H72</f>
        <v/>
      </c>
    </row>
  </sheetData>
  <mergeCells count="5">
    <mergeCell ref="A52:I52"/>
    <mergeCell ref="A32:I32"/>
    <mergeCell ref="A56:I56"/>
    <mergeCell ref="A3:I3"/>
    <mergeCell ref="A26:I26"/>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63"/>
  <sheetViews>
    <sheetView showFormulas="0" showGridLines="0" showRowColHeaders="1" showZeros="1" rightToLeft="0" tabSelected="0" showOutlineSymbols="1" defaultGridColor="1" view="normal" topLeftCell="A1" colorId="64" zoomScale="88" zoomScaleNormal="88" zoomScalePageLayoutView="100" workbookViewId="0">
      <pane xSplit="1" ySplit="3" topLeftCell="C4" activePane="bottomRight" state="frozen"/>
      <selection pane="topLeft" activeCell="A1" activeCellId="0" sqref="A1"/>
      <selection pane="topRight" activeCell="C1" activeCellId="0" sqref="C1"/>
      <selection pane="bottomLeft" activeCell="A4" activeCellId="0" sqref="A4"/>
      <selection pane="bottomRight" activeCell="B5" activeCellId="0" sqref="B5:B8"/>
    </sheetView>
  </sheetViews>
  <sheetFormatPr baseColWidth="8" defaultColWidth="9.13671875" defaultRowHeight="12.75" customHeight="1" zeroHeight="0" outlineLevelRow="0"/>
  <cols>
    <col width="64.13" customWidth="1" style="217" min="1" max="1"/>
    <col width="13.7" customWidth="1" style="217" min="2" max="9"/>
    <col width="9.140000000000001" customWidth="1" style="217" min="10" max="257"/>
  </cols>
  <sheetData>
    <row r="1" ht="19.5" customHeight="1" s="207">
      <c r="A1" s="253" t="inlineStr">
        <is>
          <t>Italy</t>
        </is>
      </c>
    </row>
    <row r="2" ht="27" customHeight="1" s="207">
      <c r="A2" s="219" t="inlineStr">
        <is>
          <t>Description</t>
        </is>
      </c>
      <c r="B2" s="221" t="inlineStr">
        <is>
          <t>Base Year Monthly Avg.</t>
        </is>
      </c>
      <c r="C2" s="221" t="inlineStr">
        <is>
          <t>Year 1 Monthly Avg.</t>
        </is>
      </c>
      <c r="D2" s="221" t="inlineStr">
        <is>
          <t>Year 2 Monthly Avg.</t>
        </is>
      </c>
      <c r="E2" s="221" t="inlineStr">
        <is>
          <t>Year 3 Monthly Avg.</t>
        </is>
      </c>
      <c r="F2" s="221" t="inlineStr">
        <is>
          <t>Year 4 Monthly Avg.</t>
        </is>
      </c>
      <c r="G2" s="221" t="inlineStr">
        <is>
          <t>Year 5 Monthly Avg.</t>
        </is>
      </c>
      <c r="H2" s="221" t="inlineStr">
        <is>
          <t>Year 6 Monthly Avg.</t>
        </is>
      </c>
      <c r="I2" s="221" t="inlineStr">
        <is>
          <t>Year 7 Monthly Avg.</t>
        </is>
      </c>
    </row>
    <row r="3" ht="16.5" customHeight="1" s="207">
      <c r="A3" s="275" t="inlineStr">
        <is>
          <t>Accounts Payable</t>
        </is>
      </c>
      <c r="B3" s="258" t="n"/>
      <c r="C3" s="258" t="n"/>
      <c r="D3" s="258" t="n"/>
      <c r="E3" s="258" t="n"/>
      <c r="F3" s="258" t="n"/>
      <c r="G3" s="258" t="n"/>
      <c r="H3" s="258" t="n"/>
      <c r="I3" s="259" t="n"/>
    </row>
    <row r="4" ht="12.75" customHeight="1" s="207">
      <c r="A4" s="260" t="inlineStr">
        <is>
          <t>Invoice Processing</t>
        </is>
      </c>
      <c r="B4" s="227" t="n"/>
      <c r="C4" s="227" t="n"/>
      <c r="D4" s="227" t="n"/>
      <c r="E4" s="227" t="n"/>
      <c r="F4" s="227" t="n"/>
      <c r="G4" s="227" t="n"/>
      <c r="H4" s="227" t="n"/>
      <c r="I4" s="227" t="n"/>
    </row>
    <row r="5" ht="12.75" customHeight="1" s="207">
      <c r="A5" s="276" t="inlineStr">
        <is>
          <t>Manual Invoices - Purchase Order</t>
        </is>
      </c>
      <c r="B5" s="277">
        <f>2450-601</f>
        <v/>
      </c>
      <c r="C5" s="277">
        <f>+B5*1.02</f>
        <v/>
      </c>
      <c r="D5" s="277">
        <f>+C5*1.02</f>
        <v/>
      </c>
      <c r="E5" s="277">
        <f>+D5*1.02</f>
        <v/>
      </c>
      <c r="F5" s="277">
        <f>+E5*1.02</f>
        <v/>
      </c>
      <c r="G5" s="277">
        <f>+F5*1.02</f>
        <v/>
      </c>
      <c r="H5" s="277">
        <f>+G5*1.02</f>
        <v/>
      </c>
      <c r="I5" s="277">
        <f>+H5*1.02</f>
        <v/>
      </c>
    </row>
    <row r="6" ht="12.75" customHeight="1" s="207">
      <c r="A6" s="276" t="inlineStr">
        <is>
          <t>Manual Invoices - Non-Purchase Order</t>
        </is>
      </c>
      <c r="B6" s="277" t="n">
        <v>601</v>
      </c>
      <c r="C6" s="277">
        <f>+B6*1.02</f>
        <v/>
      </c>
      <c r="D6" s="277">
        <f>+C6*1.02</f>
        <v/>
      </c>
      <c r="E6" s="277">
        <f>+D6*1.02</f>
        <v/>
      </c>
      <c r="F6" s="277">
        <f>+E6*1.02</f>
        <v/>
      </c>
      <c r="G6" s="277">
        <f>+F6*1.02</f>
        <v/>
      </c>
      <c r="H6" s="277">
        <f>+G6*1.02</f>
        <v/>
      </c>
      <c r="I6" s="277">
        <f>+H6*1.02</f>
        <v/>
      </c>
    </row>
    <row r="7" ht="12.75" customHeight="1" s="207">
      <c r="A7" s="276" t="inlineStr">
        <is>
          <t>Electronic Invoices - Purchase Order</t>
        </is>
      </c>
      <c r="B7" s="277" t="n">
        <v>3</v>
      </c>
      <c r="C7" s="277">
        <f>+B7</f>
        <v/>
      </c>
      <c r="D7" s="277">
        <f>+C7</f>
        <v/>
      </c>
      <c r="E7" s="277">
        <f>+D7</f>
        <v/>
      </c>
      <c r="F7" s="277">
        <f>+E7</f>
        <v/>
      </c>
      <c r="G7" s="277">
        <f>+F7</f>
        <v/>
      </c>
      <c r="H7" s="277">
        <f>+G7</f>
        <v/>
      </c>
      <c r="I7" s="277">
        <f>+H7</f>
        <v/>
      </c>
    </row>
    <row r="8" ht="12.75" customHeight="1" s="207">
      <c r="A8" s="276" t="inlineStr">
        <is>
          <t>Electronic Invoices - Non-Purchase Order</t>
        </is>
      </c>
      <c r="B8" s="277" t="n">
        <v>0</v>
      </c>
      <c r="C8" s="277">
        <f>+B8</f>
        <v/>
      </c>
      <c r="D8" s="277">
        <f>+C8</f>
        <v/>
      </c>
      <c r="E8" s="277">
        <f>+D8</f>
        <v/>
      </c>
      <c r="F8" s="277">
        <f>+E8</f>
        <v/>
      </c>
      <c r="G8" s="277">
        <f>+F8</f>
        <v/>
      </c>
      <c r="H8" s="277">
        <f>+G8</f>
        <v/>
      </c>
      <c r="I8" s="277">
        <f>+H8</f>
        <v/>
      </c>
    </row>
    <row r="9" ht="12.75" customHeight="1" s="207">
      <c r="A9" s="278" t="inlineStr">
        <is>
          <t>Consolidated Invoices</t>
        </is>
      </c>
      <c r="B9" s="277" t="n"/>
      <c r="C9" s="277" t="n"/>
      <c r="D9" s="277" t="n"/>
      <c r="E9" s="277" t="n"/>
      <c r="F9" s="277" t="n"/>
      <c r="G9" s="277" t="n"/>
      <c r="H9" s="277" t="n"/>
      <c r="I9" s="277" t="n"/>
    </row>
    <row r="10" ht="12.75" customHeight="1" s="207">
      <c r="A10" s="265" t="inlineStr">
        <is>
          <t>Payments (Check Printing and Disbursement)</t>
        </is>
      </c>
      <c r="B10" s="277" t="n"/>
      <c r="C10" s="277" t="n"/>
      <c r="D10" s="277" t="n"/>
      <c r="E10" s="277" t="n"/>
      <c r="F10" s="277" t="n"/>
      <c r="G10" s="277" t="n"/>
      <c r="H10" s="277" t="n"/>
      <c r="I10" s="277" t="n"/>
    </row>
    <row r="11" ht="12.75" customHeight="1" s="207">
      <c r="A11" s="276" t="inlineStr">
        <is>
          <t>Payments - Normal Handling</t>
        </is>
      </c>
      <c r="B11" s="277" t="n">
        <v>150</v>
      </c>
      <c r="C11" s="277">
        <f>+B11*1.02</f>
        <v/>
      </c>
      <c r="D11" s="277">
        <f>+C11*1.02</f>
        <v/>
      </c>
      <c r="E11" s="277">
        <f>+D11*1.02</f>
        <v/>
      </c>
      <c r="F11" s="277">
        <f>+E11*1.02</f>
        <v/>
      </c>
      <c r="G11" s="277">
        <f>+F11*1.02</f>
        <v/>
      </c>
      <c r="H11" s="277">
        <f>+G11*1.02</f>
        <v/>
      </c>
      <c r="I11" s="277">
        <f>+H11*1.02</f>
        <v/>
      </c>
    </row>
    <row r="12" ht="12.75" customHeight="1" s="207">
      <c r="A12" s="276" t="inlineStr">
        <is>
          <t>Payments - Checks Requiring Special Handling</t>
        </is>
      </c>
      <c r="B12" s="277" t="n">
        <v>0</v>
      </c>
      <c r="C12" s="277">
        <f>+B12</f>
        <v/>
      </c>
      <c r="D12" s="277">
        <f>+C12</f>
        <v/>
      </c>
      <c r="E12" s="277">
        <f>+D12</f>
        <v/>
      </c>
      <c r="F12" s="277">
        <f>+E12</f>
        <v/>
      </c>
      <c r="G12" s="277">
        <f>+F12</f>
        <v/>
      </c>
      <c r="H12" s="277">
        <f>+G12</f>
        <v/>
      </c>
      <c r="I12" s="277">
        <f>+H12</f>
        <v/>
      </c>
    </row>
    <row r="13" ht="12.75" customHeight="1" s="207">
      <c r="A13" s="276" t="inlineStr">
        <is>
          <t>Payments - Electronic Disbursement</t>
        </is>
      </c>
      <c r="B13" s="277" t="n">
        <v>1800</v>
      </c>
      <c r="C13" s="277">
        <f>+B13*1.02</f>
        <v/>
      </c>
      <c r="D13" s="277">
        <f>+C13*1.02</f>
        <v/>
      </c>
      <c r="E13" s="277">
        <f>+D13*1.02</f>
        <v/>
      </c>
      <c r="F13" s="277">
        <f>+E13*1.02</f>
        <v/>
      </c>
      <c r="G13" s="277">
        <f>+F13*1.02</f>
        <v/>
      </c>
      <c r="H13" s="277">
        <f>+G13*1.02</f>
        <v/>
      </c>
      <c r="I13" s="277">
        <f>+H13*1.02</f>
        <v/>
      </c>
    </row>
    <row r="14" ht="12.75" customHeight="1" s="207">
      <c r="A14" s="276" t="inlineStr">
        <is>
          <t>Payments - Wire Disbursement</t>
        </is>
      </c>
      <c r="B14" s="277" t="n">
        <v>0</v>
      </c>
      <c r="C14" s="277">
        <f>+B14</f>
        <v/>
      </c>
      <c r="D14" s="277">
        <f>+C14</f>
        <v/>
      </c>
      <c r="E14" s="277">
        <f>+D14</f>
        <v/>
      </c>
      <c r="F14" s="277">
        <f>+E14</f>
        <v/>
      </c>
      <c r="G14" s="277">
        <f>+F14</f>
        <v/>
      </c>
      <c r="H14" s="277">
        <f>+G14</f>
        <v/>
      </c>
      <c r="I14" s="277">
        <f>+H14</f>
        <v/>
      </c>
    </row>
    <row r="15" ht="12.75" customHeight="1" s="207">
      <c r="A15" s="265" t="inlineStr">
        <is>
          <t>Vendor Management</t>
        </is>
      </c>
      <c r="B15" s="235" t="n"/>
      <c r="C15" s="235" t="n"/>
      <c r="D15" s="235" t="n"/>
      <c r="E15" s="235" t="n"/>
      <c r="F15" s="235" t="n"/>
      <c r="G15" s="235" t="n"/>
      <c r="H15" s="235" t="n"/>
      <c r="I15" s="235" t="n"/>
    </row>
    <row r="16" ht="12.75" customHeight="1" s="207">
      <c r="A16" s="278" t="inlineStr">
        <is>
          <t>Vendor Set Up</t>
        </is>
      </c>
      <c r="B16" s="277">
        <f>+(1300+300)/12</f>
        <v/>
      </c>
      <c r="C16" s="277">
        <f>+(1300+300)/12</f>
        <v/>
      </c>
      <c r="D16" s="277">
        <f>+(1300+300)/12</f>
        <v/>
      </c>
      <c r="E16" s="277">
        <f>+(1300+300)/12</f>
        <v/>
      </c>
      <c r="F16" s="277">
        <f>+(1300+300)/12</f>
        <v/>
      </c>
      <c r="G16" s="277">
        <f>+(1300+300)/12</f>
        <v/>
      </c>
      <c r="H16" s="277">
        <f>+(1300+300)/12</f>
        <v/>
      </c>
      <c r="I16" s="277">
        <f>+(1300+300)/12</f>
        <v/>
      </c>
    </row>
    <row r="17" ht="12.75" customHeight="1" s="207">
      <c r="A17" s="278" t="inlineStr">
        <is>
          <t>Vendor Inquiry</t>
        </is>
      </c>
      <c r="B17" s="235" t="n">
        <v>400</v>
      </c>
      <c r="C17" s="235">
        <f>+B17</f>
        <v/>
      </c>
      <c r="D17" s="235">
        <f>+C17</f>
        <v/>
      </c>
      <c r="E17" s="235">
        <f>+D17</f>
        <v/>
      </c>
      <c r="F17" s="235">
        <f>+E17</f>
        <v/>
      </c>
      <c r="G17" s="235">
        <f>+F17</f>
        <v/>
      </c>
      <c r="H17" s="235">
        <f>+G17</f>
        <v/>
      </c>
      <c r="I17" s="235">
        <f>+H17</f>
        <v/>
      </c>
    </row>
    <row r="18" ht="16.5" customHeight="1" s="207">
      <c r="A18" s="279" t="inlineStr">
        <is>
          <t>Travel and Entertainment</t>
        </is>
      </c>
      <c r="B18" s="280" t="n"/>
      <c r="C18" s="280" t="n"/>
      <c r="D18" s="280" t="n"/>
      <c r="E18" s="280" t="n"/>
      <c r="F18" s="280" t="n"/>
      <c r="G18" s="280" t="n"/>
      <c r="H18" s="280" t="n"/>
      <c r="I18" s="281" t="n"/>
    </row>
    <row r="19" ht="12.75" customHeight="1" s="207">
      <c r="A19" s="282" t="inlineStr">
        <is>
          <t>Employee Expense Reports</t>
        </is>
      </c>
      <c r="B19" s="283" t="n"/>
      <c r="C19" s="283" t="n"/>
      <c r="D19" s="283" t="n"/>
      <c r="E19" s="283" t="n"/>
      <c r="F19" s="283" t="n"/>
      <c r="G19" s="283" t="n"/>
      <c r="H19" s="283" t="n"/>
      <c r="I19" s="283" t="n"/>
    </row>
    <row r="20" ht="12.75" customHeight="1" s="207">
      <c r="A20" s="278" t="inlineStr">
        <is>
          <t>Manual Employee Expense Reports</t>
        </is>
      </c>
      <c r="B20" s="277">
        <f>440/6</f>
        <v/>
      </c>
      <c r="C20" s="277">
        <f>+B20/2</f>
        <v/>
      </c>
      <c r="D20" s="277" t="n">
        <v>0</v>
      </c>
      <c r="E20" s="277">
        <f>+D20</f>
        <v/>
      </c>
      <c r="F20" s="277">
        <f>+E20</f>
        <v/>
      </c>
      <c r="G20" s="277">
        <f>+F20</f>
        <v/>
      </c>
      <c r="H20" s="277">
        <f>+G20</f>
        <v/>
      </c>
      <c r="I20" s="277">
        <f>+H20</f>
        <v/>
      </c>
    </row>
    <row r="21" ht="12.75" customHeight="1" s="207">
      <c r="A21" s="278" t="inlineStr">
        <is>
          <t>Electronic Employee Expense Reports</t>
        </is>
      </c>
      <c r="B21" s="277">
        <f>1550-B20</f>
        <v/>
      </c>
      <c r="C21" s="277">
        <f>1550-C20</f>
        <v/>
      </c>
      <c r="D21" s="277">
        <f>1550-D20</f>
        <v/>
      </c>
      <c r="E21" s="277">
        <f>1550-E20</f>
        <v/>
      </c>
      <c r="F21" s="277">
        <f>1550-F20</f>
        <v/>
      </c>
      <c r="G21" s="277">
        <f>1550-G20</f>
        <v/>
      </c>
      <c r="H21" s="277">
        <f>1550-H20</f>
        <v/>
      </c>
      <c r="I21" s="277">
        <f>1550-I20</f>
        <v/>
      </c>
    </row>
    <row r="22" ht="13.5" customHeight="1" s="207">
      <c r="A22" s="278" t="inlineStr">
        <is>
          <t>Employees Submitting Expense Reports</t>
        </is>
      </c>
      <c r="B22" s="235" t="n"/>
      <c r="C22" s="235" t="n"/>
      <c r="D22" s="235" t="n"/>
      <c r="E22" s="235" t="n"/>
      <c r="F22" s="235" t="n"/>
      <c r="G22" s="235" t="n"/>
      <c r="H22" s="235" t="n"/>
      <c r="I22" s="235" t="n"/>
    </row>
    <row r="23" ht="16.5" customHeight="1" s="207">
      <c r="A23" s="284" t="inlineStr">
        <is>
          <t>Order to Cash</t>
        </is>
      </c>
      <c r="B23" s="258" t="n"/>
      <c r="C23" s="258" t="n"/>
      <c r="D23" s="258" t="n"/>
      <c r="E23" s="258" t="n"/>
      <c r="F23" s="258" t="n"/>
      <c r="G23" s="258" t="n"/>
      <c r="H23" s="258" t="n"/>
      <c r="I23" s="258" t="n"/>
    </row>
    <row r="24" ht="12.75" customHeight="1" s="207">
      <c r="A24" s="260" t="inlineStr">
        <is>
          <t>Credit</t>
        </is>
      </c>
      <c r="B24" s="285" t="n"/>
      <c r="C24" s="285" t="n"/>
      <c r="D24" s="227" t="n"/>
      <c r="E24" s="227" t="n"/>
      <c r="F24" s="227" t="n"/>
      <c r="G24" s="227" t="n"/>
      <c r="H24" s="227" t="n"/>
      <c r="I24" s="227" t="n"/>
    </row>
    <row r="25" ht="12.75" customHeight="1" s="207">
      <c r="A25" s="276" t="inlineStr">
        <is>
          <t>Credit Applications Processed - Standard</t>
        </is>
      </c>
      <c r="B25" s="294">
        <f>+(532+389+391+2162+30204+1566+86+4127+789+1626+533+84+226+31+20+9+184+14+66+612+4+1+1+198+1+5+42+55)/12</f>
        <v/>
      </c>
      <c r="C25" s="294">
        <f>+B25</f>
        <v/>
      </c>
      <c r="D25" s="294">
        <f>+C25</f>
        <v/>
      </c>
      <c r="E25" s="294">
        <f>+D25</f>
        <v/>
      </c>
      <c r="F25" s="294">
        <f>+E25</f>
        <v/>
      </c>
      <c r="G25" s="294">
        <f>+F25</f>
        <v/>
      </c>
      <c r="H25" s="294">
        <f>+G25</f>
        <v/>
      </c>
      <c r="I25" s="294">
        <f>+H25</f>
        <v/>
      </c>
    </row>
    <row r="26" ht="12.75" customHeight="1" s="207">
      <c r="A26" s="276" t="inlineStr">
        <is>
          <t>Credit Review Processed</t>
        </is>
      </c>
      <c r="B26" s="294">
        <f>+(121+97+2+3+16)/12</f>
        <v/>
      </c>
      <c r="C26" s="294">
        <f>+B26</f>
        <v/>
      </c>
      <c r="D26" s="294">
        <f>+C26</f>
        <v/>
      </c>
      <c r="E26" s="294">
        <f>+D26</f>
        <v/>
      </c>
      <c r="F26" s="294">
        <f>+E26</f>
        <v/>
      </c>
      <c r="G26" s="294">
        <f>+F26</f>
        <v/>
      </c>
      <c r="H26" s="294">
        <f>+G26</f>
        <v/>
      </c>
      <c r="I26" s="294">
        <f>+H26</f>
        <v/>
      </c>
    </row>
    <row r="27" ht="12.75" customHeight="1" s="207">
      <c r="A27" s="268" t="inlineStr">
        <is>
          <t>Invoicing</t>
        </is>
      </c>
      <c r="B27" s="294" t="n"/>
      <c r="C27" s="244" t="n"/>
      <c r="D27" s="235" t="n"/>
      <c r="E27" s="235" t="n"/>
      <c r="F27" s="235" t="n"/>
      <c r="G27" s="235" t="n"/>
      <c r="H27" s="235" t="n"/>
      <c r="I27" s="235" t="n"/>
    </row>
    <row r="28" ht="12.75" customHeight="1" s="207">
      <c r="A28" s="276" t="inlineStr">
        <is>
          <t>Paper Invoices</t>
        </is>
      </c>
      <c r="B28" s="294">
        <f>7194+118</f>
        <v/>
      </c>
      <c r="C28" s="295">
        <f>7709-C29</f>
        <v/>
      </c>
      <c r="D28" s="295">
        <f>7709-D29</f>
        <v/>
      </c>
      <c r="E28" s="295">
        <f>7709-E29</f>
        <v/>
      </c>
      <c r="F28" s="295">
        <f>7709-F29</f>
        <v/>
      </c>
      <c r="G28" s="295">
        <f>7709-G29</f>
        <v/>
      </c>
      <c r="H28" s="295">
        <f>7709-H29</f>
        <v/>
      </c>
      <c r="I28" s="295">
        <f>7709-I29</f>
        <v/>
      </c>
    </row>
    <row r="29" ht="12.75" customHeight="1" s="207">
      <c r="A29" s="276" t="inlineStr">
        <is>
          <t>Electronic Invoices</t>
        </is>
      </c>
      <c r="B29" s="294" t="n">
        <v>397.416666666667</v>
      </c>
      <c r="C29" s="295">
        <f>+B29*1.1</f>
        <v/>
      </c>
      <c r="D29" s="295">
        <f>+C29*1.1</f>
        <v/>
      </c>
      <c r="E29" s="295">
        <f>+D29*1.1</f>
        <v/>
      </c>
      <c r="F29" s="295">
        <f>+E29*1.1</f>
        <v/>
      </c>
      <c r="G29" s="295">
        <f>+F29*1.1</f>
        <v/>
      </c>
      <c r="H29" s="295">
        <f>+G29*1.1</f>
        <v/>
      </c>
      <c r="I29" s="295">
        <f>+H29*1.1</f>
        <v/>
      </c>
    </row>
    <row r="30" ht="12.75" customHeight="1" s="207">
      <c r="A30" s="276" t="inlineStr">
        <is>
          <t>Customer Statements</t>
        </is>
      </c>
      <c r="B30" s="294">
        <f>(76592-26620-9240)/12+2574/12</f>
        <v/>
      </c>
      <c r="C30" s="294">
        <f>+B30</f>
        <v/>
      </c>
      <c r="D30" s="294">
        <f>+C30</f>
        <v/>
      </c>
      <c r="E30" s="294">
        <f>+D30</f>
        <v/>
      </c>
      <c r="F30" s="294">
        <f>+E30</f>
        <v/>
      </c>
      <c r="G30" s="294">
        <f>+F30</f>
        <v/>
      </c>
      <c r="H30" s="294">
        <f>+G30</f>
        <v/>
      </c>
      <c r="I30" s="294">
        <f>+H30</f>
        <v/>
      </c>
    </row>
    <row r="31" ht="12.75" customHeight="1" s="207">
      <c r="A31" s="268" t="inlineStr">
        <is>
          <t>Cash Applications</t>
        </is>
      </c>
      <c r="B31" s="294" t="n"/>
      <c r="C31" s="244" t="n"/>
      <c r="D31" s="235" t="n"/>
      <c r="E31" s="235" t="n"/>
      <c r="F31" s="235" t="n"/>
      <c r="G31" s="235" t="n"/>
      <c r="H31" s="235" t="n"/>
      <c r="I31" s="235" t="n"/>
    </row>
    <row r="32" ht="12.75" customHeight="1" s="207">
      <c r="A32" s="276" t="inlineStr">
        <is>
          <t>Electronic Payments</t>
        </is>
      </c>
      <c r="B32" s="294">
        <f>1854-18+1385</f>
        <v/>
      </c>
      <c r="C32" s="294">
        <f>+B32</f>
        <v/>
      </c>
      <c r="D32" s="294">
        <f>+C32</f>
        <v/>
      </c>
      <c r="E32" s="294">
        <f>+D32</f>
        <v/>
      </c>
      <c r="F32" s="294">
        <f>+E32</f>
        <v/>
      </c>
      <c r="G32" s="294">
        <f>+F32</f>
        <v/>
      </c>
      <c r="H32" s="294">
        <f>+G32</f>
        <v/>
      </c>
      <c r="I32" s="294">
        <f>+H32</f>
        <v/>
      </c>
    </row>
    <row r="33" ht="12.75" customHeight="1" s="207">
      <c r="A33" s="276" t="inlineStr">
        <is>
          <t>Lockbox Payments</t>
        </is>
      </c>
      <c r="B33" s="294" t="n"/>
      <c r="C33" s="244" t="n"/>
      <c r="D33" s="244" t="n"/>
      <c r="E33" s="244" t="n"/>
      <c r="F33" s="244" t="n"/>
      <c r="G33" s="244" t="n"/>
      <c r="H33" s="244" t="n"/>
      <c r="I33" s="244" t="n"/>
    </row>
    <row r="34" ht="12.75" customHeight="1" s="207">
      <c r="A34" s="276" t="inlineStr">
        <is>
          <t>Check Payments</t>
        </is>
      </c>
      <c r="B34" s="294">
        <f>+(197+6+7+1)/12</f>
        <v/>
      </c>
      <c r="C34" s="294">
        <f>+B34</f>
        <v/>
      </c>
      <c r="D34" s="294">
        <f>+C34</f>
        <v/>
      </c>
      <c r="E34" s="294">
        <f>+D34</f>
        <v/>
      </c>
      <c r="F34" s="294">
        <f>+E34</f>
        <v/>
      </c>
      <c r="G34" s="294">
        <f>+F34</f>
        <v/>
      </c>
      <c r="H34" s="294">
        <f>+G34</f>
        <v/>
      </c>
      <c r="I34" s="294">
        <f>+H34</f>
        <v/>
      </c>
    </row>
    <row r="35" ht="12.75" customHeight="1" s="207">
      <c r="A35" s="296" t="inlineStr">
        <is>
          <t>Collections</t>
        </is>
      </c>
      <c r="B35" s="294" t="n"/>
      <c r="C35" s="244" t="n"/>
      <c r="D35" s="235" t="n"/>
      <c r="E35" s="235" t="n"/>
      <c r="F35" s="235" t="n"/>
      <c r="G35" s="235" t="n"/>
      <c r="H35" s="235" t="n"/>
      <c r="I35" s="235" t="n"/>
    </row>
    <row r="36" ht="12.75" customHeight="1" s="207">
      <c r="A36" s="297" t="inlineStr">
        <is>
          <t>Actively Managed Accounts</t>
        </is>
      </c>
      <c r="B36" s="294">
        <f>1149+23</f>
        <v/>
      </c>
      <c r="C36" s="294">
        <f>+B36</f>
        <v/>
      </c>
      <c r="D36" s="294">
        <f>+C36</f>
        <v/>
      </c>
      <c r="E36" s="294">
        <f>+D36</f>
        <v/>
      </c>
      <c r="F36" s="294">
        <f>+E36</f>
        <v/>
      </c>
      <c r="G36" s="294">
        <f>+F36</f>
        <v/>
      </c>
      <c r="H36" s="294">
        <f>+G36</f>
        <v/>
      </c>
      <c r="I36" s="294">
        <f>+H36</f>
        <v/>
      </c>
    </row>
    <row r="37" ht="12.75" customHeight="1" s="207">
      <c r="A37" s="298" t="inlineStr">
        <is>
          <t>Inquiries</t>
        </is>
      </c>
      <c r="B37" s="294" t="n"/>
      <c r="C37" s="294" t="n"/>
      <c r="D37" s="294" t="n"/>
      <c r="E37" s="294" t="n"/>
      <c r="F37" s="294" t="n"/>
      <c r="G37" s="294" t="n"/>
      <c r="H37" s="294" t="n"/>
      <c r="I37" s="294" t="n"/>
    </row>
    <row r="38" ht="12.75" customHeight="1" s="207">
      <c r="A38" s="299" t="inlineStr">
        <is>
          <t>customer external inquiries</t>
        </is>
      </c>
      <c r="B38" s="235" t="n">
        <v>300</v>
      </c>
      <c r="C38" s="235" t="n"/>
      <c r="D38" s="294" t="n"/>
      <c r="E38" s="294" t="n"/>
      <c r="F38" s="294" t="n"/>
      <c r="G38" s="294" t="n"/>
      <c r="H38" s="294" t="n"/>
      <c r="I38" s="294" t="n"/>
    </row>
    <row r="39" ht="12.75" customHeight="1" s="207">
      <c r="A39" s="299" t="inlineStr">
        <is>
          <t>customer internal inquiries</t>
        </is>
      </c>
      <c r="B39" s="235" t="n">
        <v>1000</v>
      </c>
      <c r="C39" s="235" t="n"/>
      <c r="D39" s="294" t="n"/>
      <c r="E39" s="294" t="n"/>
      <c r="F39" s="294" t="n"/>
      <c r="G39" s="294" t="n"/>
      <c r="H39" s="294" t="n"/>
      <c r="I39" s="294" t="n"/>
    </row>
    <row r="40" ht="12.75" customHeight="1" s="207">
      <c r="A40" s="299" t="inlineStr">
        <is>
          <t>manual order processed</t>
        </is>
      </c>
      <c r="B40" s="235" t="n">
        <v>118</v>
      </c>
      <c r="C40" s="235" t="n"/>
      <c r="D40" s="294" t="n"/>
      <c r="E40" s="294" t="n"/>
      <c r="F40" s="294" t="n"/>
      <c r="G40" s="294" t="n"/>
      <c r="H40" s="294" t="n"/>
      <c r="I40" s="294" t="n"/>
    </row>
    <row r="41" ht="13.5" customHeight="1" s="207">
      <c r="A41" s="300" t="n"/>
      <c r="B41" s="294" t="n"/>
      <c r="C41" s="294" t="n"/>
      <c r="D41" s="294" t="n"/>
      <c r="E41" s="294" t="n"/>
      <c r="F41" s="294" t="n"/>
      <c r="G41" s="294" t="n"/>
      <c r="H41" s="294" t="n"/>
      <c r="I41" s="294" t="n"/>
    </row>
    <row r="42" ht="16.5" customHeight="1" s="207">
      <c r="A42" s="284" t="inlineStr">
        <is>
          <t>Fixed Assets</t>
        </is>
      </c>
      <c r="B42" s="258" t="n"/>
      <c r="C42" s="258" t="n"/>
      <c r="D42" s="258" t="n"/>
      <c r="E42" s="258" t="n"/>
      <c r="F42" s="258" t="n"/>
      <c r="G42" s="258" t="n"/>
      <c r="H42" s="258" t="n"/>
      <c r="I42" s="258" t="n"/>
    </row>
    <row r="43" ht="12.75" customHeight="1" s="207">
      <c r="A43" s="260" t="inlineStr">
        <is>
          <t>Fixed Assets</t>
        </is>
      </c>
      <c r="B43" s="227" t="n"/>
      <c r="C43" s="227" t="n"/>
      <c r="D43" s="227" t="n"/>
      <c r="E43" s="227" t="n"/>
      <c r="F43" s="227" t="n"/>
      <c r="G43" s="227" t="n"/>
      <c r="H43" s="227" t="n"/>
      <c r="I43" s="227" t="n"/>
    </row>
    <row r="44" ht="12.75" customHeight="1" s="207">
      <c r="A44" s="276" t="inlineStr">
        <is>
          <t>Active Assets</t>
        </is>
      </c>
      <c r="B44" s="235" t="n">
        <v>28851</v>
      </c>
      <c r="C44" s="235">
        <f>+B44+37*12-3*12</f>
        <v/>
      </c>
      <c r="D44" s="235">
        <f>+C44+37*12-3*12</f>
        <v/>
      </c>
      <c r="E44" s="235">
        <f>+D44+37*12-3*12</f>
        <v/>
      </c>
      <c r="F44" s="235">
        <f>+E44+37*12-3*12</f>
        <v/>
      </c>
      <c r="G44" s="235">
        <f>+F44+37*12-3*12</f>
        <v/>
      </c>
      <c r="H44" s="235">
        <f>+G44+37*12-3*12</f>
        <v/>
      </c>
      <c r="I44" s="235">
        <f>+H44+37*12-3*12</f>
        <v/>
      </c>
    </row>
    <row r="45" ht="13.5" customHeight="1" s="207">
      <c r="A45" s="276" t="inlineStr">
        <is>
          <t>Asset Record Changes</t>
        </is>
      </c>
      <c r="B45" s="235">
        <f>37+3+6</f>
        <v/>
      </c>
      <c r="C45" s="235">
        <f>+B45</f>
        <v/>
      </c>
      <c r="D45" s="235">
        <f>+C45</f>
        <v/>
      </c>
      <c r="E45" s="235">
        <f>+D45</f>
        <v/>
      </c>
      <c r="F45" s="235">
        <f>+E45</f>
        <v/>
      </c>
      <c r="G45" s="235">
        <f>+F45</f>
        <v/>
      </c>
      <c r="H45" s="235">
        <f>+G45</f>
        <v/>
      </c>
      <c r="I45" s="235">
        <f>+H45</f>
        <v/>
      </c>
    </row>
    <row r="46" ht="16.5" customHeight="1" s="207">
      <c r="A46" s="284" t="inlineStr">
        <is>
          <t>Account to Report</t>
        </is>
      </c>
      <c r="B46" s="258" t="n"/>
      <c r="C46" s="258" t="n"/>
      <c r="D46" s="258" t="n"/>
      <c r="E46" s="258" t="n"/>
      <c r="F46" s="258" t="n"/>
      <c r="G46" s="258" t="n"/>
      <c r="H46" s="258" t="n"/>
      <c r="I46" s="258" t="n"/>
    </row>
    <row r="47" ht="12.75" customHeight="1" s="207">
      <c r="A47" s="260" t="inlineStr">
        <is>
          <t>General Ledger Accounting</t>
        </is>
      </c>
      <c r="B47" s="227" t="n"/>
      <c r="C47" s="227" t="n"/>
      <c r="D47" s="227" t="n"/>
      <c r="E47" s="227" t="n"/>
      <c r="F47" s="227" t="n"/>
      <c r="G47" s="227" t="n"/>
      <c r="H47" s="227" t="n"/>
      <c r="I47" s="227" t="n"/>
    </row>
    <row r="48" ht="12.75" customHeight="1" s="207">
      <c r="A48" s="276" t="inlineStr">
        <is>
          <t>Journal Entries - Automated Posting</t>
        </is>
      </c>
      <c r="B48" s="235" t="n">
        <v>5</v>
      </c>
      <c r="C48" s="235">
        <f>+B48</f>
        <v/>
      </c>
      <c r="D48" s="235">
        <f>+C48</f>
        <v/>
      </c>
      <c r="E48" s="235">
        <f>+D48</f>
        <v/>
      </c>
      <c r="F48" s="235">
        <f>+E48</f>
        <v/>
      </c>
      <c r="G48" s="235">
        <f>+F48</f>
        <v/>
      </c>
      <c r="H48" s="235">
        <f>+G48</f>
        <v/>
      </c>
      <c r="I48" s="235">
        <f>+H48</f>
        <v/>
      </c>
    </row>
    <row r="49" ht="12.75" customHeight="1" s="207">
      <c r="A49" s="276" t="inlineStr">
        <is>
          <t>Journal Entries - Manual</t>
        </is>
      </c>
      <c r="B49" s="235" t="n">
        <v>495</v>
      </c>
      <c r="C49" s="235">
        <f>+B49</f>
        <v/>
      </c>
      <c r="D49" s="235">
        <f>+C49</f>
        <v/>
      </c>
      <c r="E49" s="235">
        <f>+D49</f>
        <v/>
      </c>
      <c r="F49" s="235">
        <f>+E49</f>
        <v/>
      </c>
      <c r="G49" s="235">
        <f>+F49</f>
        <v/>
      </c>
      <c r="H49" s="235">
        <f>+G49</f>
        <v/>
      </c>
      <c r="I49" s="235">
        <f>+H49</f>
        <v/>
      </c>
    </row>
    <row r="50" ht="12.75" customHeight="1" s="207">
      <c r="A50" s="286" t="inlineStr">
        <is>
          <t>Chart of Account Change</t>
        </is>
      </c>
      <c r="B50" s="235" t="n">
        <v>65</v>
      </c>
      <c r="C50" s="235">
        <f>+B50</f>
        <v/>
      </c>
      <c r="D50" s="235">
        <f>+C50</f>
        <v/>
      </c>
      <c r="E50" s="235">
        <f>+D50</f>
        <v/>
      </c>
      <c r="F50" s="235">
        <f>+E50</f>
        <v/>
      </c>
      <c r="G50" s="235">
        <f>+F50</f>
        <v/>
      </c>
      <c r="H50" s="235">
        <f>+G50</f>
        <v/>
      </c>
      <c r="I50" s="235">
        <f>+H50</f>
        <v/>
      </c>
    </row>
    <row r="51" ht="12.75" customHeight="1" s="207">
      <c r="A51" s="286" t="inlineStr">
        <is>
          <t>Legal Entity Change</t>
        </is>
      </c>
      <c r="B51" s="235" t="n">
        <v>0</v>
      </c>
      <c r="C51" s="235">
        <f>+B51</f>
        <v/>
      </c>
      <c r="D51" s="235">
        <f>+C51</f>
        <v/>
      </c>
      <c r="E51" s="235">
        <f>+D51</f>
        <v/>
      </c>
      <c r="F51" s="235">
        <f>+E51</f>
        <v/>
      </c>
      <c r="G51" s="235">
        <f>+F51</f>
        <v/>
      </c>
      <c r="H51" s="235">
        <f>+G51</f>
        <v/>
      </c>
      <c r="I51" s="235">
        <f>+H51</f>
        <v/>
      </c>
    </row>
    <row r="52" ht="12.75" customHeight="1" s="207">
      <c r="A52" s="286" t="inlineStr">
        <is>
          <t>Cost Center Change</t>
        </is>
      </c>
      <c r="B52" s="235" t="n">
        <v>5</v>
      </c>
      <c r="C52" s="235">
        <f>+B52</f>
        <v/>
      </c>
      <c r="D52" s="235">
        <f>+C52</f>
        <v/>
      </c>
      <c r="E52" s="235">
        <f>+D52</f>
        <v/>
      </c>
      <c r="F52" s="235">
        <f>+E52</f>
        <v/>
      </c>
      <c r="G52" s="235">
        <f>+F52</f>
        <v/>
      </c>
      <c r="H52" s="235">
        <f>+G52</f>
        <v/>
      </c>
      <c r="I52" s="235">
        <f>+H52</f>
        <v/>
      </c>
    </row>
    <row r="53" ht="12.75" customHeight="1" s="207">
      <c r="A53" s="276" t="inlineStr">
        <is>
          <t>Account Reconciliations</t>
        </is>
      </c>
      <c r="B53" s="235" t="n">
        <v>109</v>
      </c>
      <c r="C53" s="235" t="n">
        <v>109</v>
      </c>
      <c r="D53" s="235" t="n">
        <v>109</v>
      </c>
      <c r="E53" s="235" t="n">
        <v>109</v>
      </c>
      <c r="F53" s="235" t="n">
        <v>109</v>
      </c>
      <c r="G53" s="235" t="n">
        <v>109</v>
      </c>
      <c r="H53" s="235" t="n">
        <v>109</v>
      </c>
      <c r="I53" s="235" t="n">
        <v>109</v>
      </c>
    </row>
    <row r="54" ht="12.75" customHeight="1" s="207">
      <c r="A54" s="265" t="inlineStr">
        <is>
          <t>Financial Reporting</t>
        </is>
      </c>
      <c r="B54" s="235" t="n"/>
      <c r="C54" s="235" t="n"/>
      <c r="D54" s="235" t="n"/>
      <c r="E54" s="235" t="n"/>
      <c r="F54" s="235" t="n"/>
      <c r="G54" s="235" t="n"/>
      <c r="H54" s="235" t="n"/>
      <c r="I54" s="235" t="n"/>
    </row>
    <row r="55" ht="12.75" customHeight="1" s="207">
      <c r="A55" s="276" t="inlineStr">
        <is>
          <t>Reports (Automated)</t>
        </is>
      </c>
      <c r="B55" s="235" t="n">
        <v>9</v>
      </c>
      <c r="C55" s="277">
        <f>51*0.3</f>
        <v/>
      </c>
      <c r="D55" s="277">
        <f>51*0.3</f>
        <v/>
      </c>
      <c r="E55" s="277">
        <f>51*0.3</f>
        <v/>
      </c>
      <c r="F55" s="277">
        <f>51*0.3</f>
        <v/>
      </c>
      <c r="G55" s="277">
        <f>51*0.3</f>
        <v/>
      </c>
      <c r="H55" s="277">
        <f>51*0.3</f>
        <v/>
      </c>
      <c r="I55" s="277">
        <f>51*0.3</f>
        <v/>
      </c>
    </row>
    <row r="56" ht="12.75" customHeight="1" s="207">
      <c r="A56" s="276" t="inlineStr">
        <is>
          <t>Manual Scheduled Reports</t>
        </is>
      </c>
      <c r="B56" s="235" t="n">
        <v>42</v>
      </c>
      <c r="C56" s="277">
        <f>51-C55</f>
        <v/>
      </c>
      <c r="D56" s="277">
        <f>51-D55</f>
        <v/>
      </c>
      <c r="E56" s="277">
        <f>51-E55</f>
        <v/>
      </c>
      <c r="F56" s="277">
        <f>51-F55</f>
        <v/>
      </c>
      <c r="G56" s="277">
        <f>51-G55</f>
        <v/>
      </c>
      <c r="H56" s="277">
        <f>51-H55</f>
        <v/>
      </c>
      <c r="I56" s="277">
        <f>51-I55</f>
        <v/>
      </c>
    </row>
    <row r="57" ht="12.75" customHeight="1" s="207">
      <c r="A57" s="265" t="inlineStr">
        <is>
          <t>Financial Management Services</t>
        </is>
      </c>
      <c r="B57" s="235" t="n"/>
      <c r="C57" s="235" t="n"/>
      <c r="D57" s="235" t="n"/>
      <c r="E57" s="235" t="n"/>
      <c r="F57" s="235" t="n"/>
      <c r="G57" s="235" t="n"/>
      <c r="H57" s="235" t="n"/>
      <c r="I57" s="235" t="n"/>
    </row>
    <row r="58" ht="12.75" customHeight="1" s="207">
      <c r="A58" s="276" t="inlineStr">
        <is>
          <t>Bank Reconciliation - Type A</t>
        </is>
      </c>
      <c r="B58" s="235" t="n">
        <v>5</v>
      </c>
      <c r="C58" s="235" t="n">
        <v>5</v>
      </c>
      <c r="D58" s="235" t="n">
        <v>5</v>
      </c>
      <c r="E58" s="235" t="n">
        <v>5</v>
      </c>
      <c r="F58" s="235" t="n">
        <v>5</v>
      </c>
      <c r="G58" s="235" t="n">
        <v>5</v>
      </c>
      <c r="H58" s="235" t="n">
        <v>5</v>
      </c>
      <c r="I58" s="235" t="n">
        <v>5</v>
      </c>
    </row>
    <row r="59" ht="12.75" customHeight="1" s="207">
      <c r="A59" s="276" t="inlineStr">
        <is>
          <t>Bank Reconciliations - Type B</t>
        </is>
      </c>
      <c r="B59" s="235" t="n"/>
      <c r="C59" s="235" t="n"/>
      <c r="D59" s="235" t="n"/>
      <c r="E59" s="235" t="n"/>
      <c r="F59" s="235" t="n"/>
      <c r="G59" s="235" t="n"/>
      <c r="H59" s="235" t="n"/>
      <c r="I59" s="235" t="n"/>
    </row>
    <row r="60" ht="12.75" customHeight="1" s="207">
      <c r="A60" s="276" t="inlineStr">
        <is>
          <t>Budget &amp; Forecasting - Business Unit</t>
        </is>
      </c>
      <c r="B60" s="235" t="n">
        <v>8</v>
      </c>
      <c r="C60" s="235" t="n">
        <v>8</v>
      </c>
      <c r="D60" s="235" t="n">
        <v>8</v>
      </c>
      <c r="E60" s="235" t="n">
        <v>8</v>
      </c>
      <c r="F60" s="235" t="n">
        <v>8</v>
      </c>
      <c r="G60" s="235" t="n">
        <v>8</v>
      </c>
      <c r="H60" s="235" t="n">
        <v>8</v>
      </c>
      <c r="I60" s="235" t="n">
        <v>8</v>
      </c>
    </row>
    <row r="61" ht="12.75" customHeight="1" s="207">
      <c r="A61" s="265" t="inlineStr">
        <is>
          <t>Financial Analysis &amp; Support</t>
        </is>
      </c>
      <c r="B61" s="235" t="n"/>
      <c r="C61" s="235" t="n"/>
      <c r="D61" s="235" t="n"/>
      <c r="E61" s="235" t="n"/>
      <c r="F61" s="235" t="n"/>
      <c r="G61" s="235" t="n"/>
      <c r="H61" s="235" t="n"/>
      <c r="I61" s="235" t="n"/>
    </row>
    <row r="62" ht="12.75" customHeight="1" s="207">
      <c r="A62" s="276" t="inlineStr">
        <is>
          <t>Business Units</t>
        </is>
      </c>
      <c r="B62" s="235" t="n">
        <v>8</v>
      </c>
      <c r="C62" s="235">
        <f>+B62</f>
        <v/>
      </c>
      <c r="D62" s="235">
        <f>+C62</f>
        <v/>
      </c>
      <c r="E62" s="235">
        <f>+D62</f>
        <v/>
      </c>
      <c r="F62" s="235">
        <f>+E62</f>
        <v/>
      </c>
      <c r="G62" s="235">
        <f>+F62</f>
        <v/>
      </c>
      <c r="H62" s="235">
        <f>+G62</f>
        <v/>
      </c>
      <c r="I62" s="235">
        <f>+H62</f>
        <v/>
      </c>
    </row>
    <row r="63" ht="12.75" customHeight="1" s="207">
      <c r="A63" s="276" t="inlineStr">
        <is>
          <t>Legal Entities</t>
        </is>
      </c>
      <c r="B63" s="235" t="n">
        <v>2</v>
      </c>
      <c r="C63" s="235">
        <f>+B63</f>
        <v/>
      </c>
      <c r="D63" s="235">
        <f>+C63</f>
        <v/>
      </c>
      <c r="E63" s="235">
        <f>+D63</f>
        <v/>
      </c>
      <c r="F63" s="235">
        <f>+E63</f>
        <v/>
      </c>
      <c r="G63" s="235">
        <f>+F63</f>
        <v/>
      </c>
      <c r="H63" s="235">
        <f>+G63</f>
        <v/>
      </c>
      <c r="I63" s="235">
        <f>+H63</f>
        <v/>
      </c>
    </row>
  </sheetData>
  <mergeCells count="5">
    <mergeCell ref="A42:I42"/>
    <mergeCell ref="A46:I46"/>
    <mergeCell ref="A23:I23"/>
    <mergeCell ref="A18:I18"/>
    <mergeCell ref="A3:I3"/>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69"/>
  <sheetViews>
    <sheetView showFormulas="0" showGridLines="1" showRowColHeaders="1" showZeros="1" rightToLeft="0" tabSelected="0" showOutlineSymbols="1" defaultGridColor="1" view="normal" topLeftCell="A1" colorId="64" zoomScale="88" zoomScaleNormal="88" zoomScalePageLayoutView="100" workbookViewId="0">
      <selection pane="topLeft" activeCell="B5" activeCellId="0" sqref="B5:B8"/>
    </sheetView>
  </sheetViews>
  <sheetFormatPr baseColWidth="8" defaultColWidth="9.13671875" defaultRowHeight="12.75" customHeight="1" zeroHeight="0" outlineLevelRow="0"/>
  <cols>
    <col width="64.13" customWidth="1" style="217" min="1" max="1"/>
    <col width="13.7" customWidth="1" style="217" min="2" max="9"/>
    <col width="9.140000000000001" customWidth="1" style="217" min="10" max="257"/>
  </cols>
  <sheetData>
    <row r="1" ht="19.5" customHeight="1" s="207">
      <c r="A1" s="253" t="inlineStr">
        <is>
          <t>Spain</t>
        </is>
      </c>
    </row>
    <row r="2" ht="27" customHeight="1" s="207">
      <c r="A2" s="219" t="inlineStr">
        <is>
          <t>Description</t>
        </is>
      </c>
      <c r="B2" s="221" t="inlineStr">
        <is>
          <t>Base Year Monthly Avg.</t>
        </is>
      </c>
      <c r="C2" s="221" t="inlineStr">
        <is>
          <t>Year 1 Monthly Avg.</t>
        </is>
      </c>
      <c r="D2" s="221" t="inlineStr">
        <is>
          <t>Year 2 Monthly Avg.</t>
        </is>
      </c>
      <c r="E2" s="221" t="inlineStr">
        <is>
          <t>Year 3 Monthly Avg.</t>
        </is>
      </c>
      <c r="F2" s="221" t="inlineStr">
        <is>
          <t>Year 4 Monthly Avg.</t>
        </is>
      </c>
      <c r="G2" s="221" t="inlineStr">
        <is>
          <t>Year 5 Monthly Avg.</t>
        </is>
      </c>
      <c r="H2" s="221" t="inlineStr">
        <is>
          <t>Year 6 Monthly Avg.</t>
        </is>
      </c>
      <c r="I2" s="221" t="inlineStr">
        <is>
          <t>Year 7 Monthly Avg.</t>
        </is>
      </c>
    </row>
    <row r="3" ht="16.5" customHeight="1" s="207">
      <c r="A3" s="275" t="inlineStr">
        <is>
          <t>Accounts Payable</t>
        </is>
      </c>
      <c r="B3" s="258" t="n"/>
      <c r="C3" s="258" t="n"/>
      <c r="D3" s="258" t="n"/>
      <c r="E3" s="258" t="n"/>
      <c r="F3" s="258" t="n"/>
      <c r="G3" s="258" t="n"/>
      <c r="H3" s="258" t="n"/>
      <c r="I3" s="259" t="n"/>
    </row>
    <row r="4" ht="12.75" customHeight="1" s="207">
      <c r="A4" s="260" t="inlineStr">
        <is>
          <t>Invoice Processing</t>
        </is>
      </c>
      <c r="B4" s="227" t="n"/>
      <c r="C4" s="227" t="n"/>
      <c r="D4" s="227" t="n"/>
      <c r="E4" s="227" t="n"/>
      <c r="F4" s="227" t="n"/>
      <c r="G4" s="227" t="n"/>
      <c r="H4" s="227" t="n"/>
      <c r="I4" s="227" t="n"/>
    </row>
    <row r="5" ht="12.75" customHeight="1" s="207">
      <c r="A5" s="262" t="inlineStr">
        <is>
          <t>Manual Invoices - Purchase Order (RE)</t>
        </is>
      </c>
      <c r="B5" s="235" t="n">
        <v>1932</v>
      </c>
      <c r="C5" s="235" t="n">
        <v>1932</v>
      </c>
      <c r="D5" s="235" t="n">
        <v>1932</v>
      </c>
      <c r="E5" s="235" t="n">
        <v>1932</v>
      </c>
      <c r="F5" s="235" t="n">
        <v>1932</v>
      </c>
      <c r="G5" s="235" t="n">
        <v>1932</v>
      </c>
      <c r="H5" s="235" t="n">
        <v>1932</v>
      </c>
      <c r="I5" s="235" t="n">
        <v>1932</v>
      </c>
    </row>
    <row r="6" ht="12.75" customHeight="1" s="207">
      <c r="A6" s="262" t="inlineStr">
        <is>
          <t>Manual Invoices - Non-Purchase Order (KG/KR)</t>
        </is>
      </c>
      <c r="B6" s="235" t="n">
        <v>1246</v>
      </c>
      <c r="C6" s="235" t="n">
        <v>1246</v>
      </c>
      <c r="D6" s="235" t="n">
        <v>1246</v>
      </c>
      <c r="E6" s="235" t="n">
        <v>1246</v>
      </c>
      <c r="F6" s="235" t="n">
        <v>1246</v>
      </c>
      <c r="G6" s="235" t="n">
        <v>1246</v>
      </c>
      <c r="H6" s="235" t="n">
        <v>1246</v>
      </c>
      <c r="I6" s="235" t="n">
        <v>1246</v>
      </c>
    </row>
    <row r="7" ht="12.75" customHeight="1" s="207">
      <c r="A7" s="262" t="inlineStr">
        <is>
          <t>Electronic Invoices - Purchase Order (Autofacturas - RB)</t>
        </is>
      </c>
      <c r="B7" s="235" t="n">
        <v>131</v>
      </c>
      <c r="C7" s="235" t="n">
        <v>131</v>
      </c>
      <c r="D7" s="235" t="n">
        <v>131</v>
      </c>
      <c r="E7" s="235" t="n">
        <v>131</v>
      </c>
      <c r="F7" s="235" t="n">
        <v>131</v>
      </c>
      <c r="G7" s="235" t="n">
        <v>131</v>
      </c>
      <c r="H7" s="235" t="n">
        <v>131</v>
      </c>
      <c r="I7" s="235" t="n">
        <v>131</v>
      </c>
    </row>
    <row r="8" ht="12.75" customHeight="1" s="207">
      <c r="A8" s="262" t="inlineStr">
        <is>
          <t>Electronic Invoices - Purchase Order (Basilea - RN)</t>
        </is>
      </c>
      <c r="B8" s="235" t="n">
        <v>151</v>
      </c>
      <c r="C8" s="235" t="n">
        <v>151</v>
      </c>
      <c r="D8" s="235" t="n">
        <v>151</v>
      </c>
      <c r="E8" s="235" t="n">
        <v>151</v>
      </c>
      <c r="F8" s="235" t="n">
        <v>151</v>
      </c>
      <c r="G8" s="235" t="n">
        <v>151</v>
      </c>
      <c r="H8" s="235" t="n">
        <v>151</v>
      </c>
      <c r="I8" s="235" t="n">
        <v>151</v>
      </c>
    </row>
    <row r="9" ht="12.75" customHeight="1" s="207">
      <c r="A9" s="264" t="inlineStr">
        <is>
          <t>Consolidated Invoices</t>
        </is>
      </c>
      <c r="B9" s="235" t="n"/>
      <c r="C9" s="235" t="n"/>
      <c r="D9" s="235" t="n"/>
      <c r="E9" s="235" t="n"/>
      <c r="F9" s="235" t="n"/>
      <c r="G9" s="235" t="n"/>
      <c r="H9" s="235" t="n"/>
      <c r="I9" s="235" t="n"/>
    </row>
    <row r="10" ht="12.75" customHeight="1" s="207">
      <c r="A10" s="265" t="inlineStr">
        <is>
          <t>Payments (Check Printing and Disbursement)</t>
        </is>
      </c>
      <c r="B10" s="235" t="n"/>
      <c r="C10" s="235" t="n"/>
      <c r="D10" s="235" t="n"/>
      <c r="E10" s="235" t="n"/>
      <c r="F10" s="235" t="n"/>
      <c r="G10" s="235" t="n"/>
      <c r="H10" s="235" t="n"/>
      <c r="I10" s="235" t="n"/>
    </row>
    <row r="11" ht="12.75" customHeight="1" s="207">
      <c r="A11" s="262" t="inlineStr">
        <is>
          <t>Payments - Normal Handling (confirming)</t>
        </is>
      </c>
      <c r="B11" s="235" t="n">
        <v>998</v>
      </c>
      <c r="C11" s="235" t="n">
        <v>998</v>
      </c>
      <c r="D11" s="235" t="n">
        <v>998</v>
      </c>
      <c r="E11" s="235" t="n">
        <v>998</v>
      </c>
      <c r="F11" s="235" t="n">
        <v>998</v>
      </c>
      <c r="G11" s="235" t="n">
        <v>998</v>
      </c>
      <c r="H11" s="235" t="n">
        <v>998</v>
      </c>
      <c r="I11" s="235" t="n">
        <v>998</v>
      </c>
    </row>
    <row r="12" ht="12.75" customHeight="1" s="207">
      <c r="A12" s="262" t="inlineStr">
        <is>
          <t>Payments - Checks Requiring Special Handling</t>
        </is>
      </c>
      <c r="B12" s="235" t="n">
        <v>381</v>
      </c>
      <c r="C12" s="235" t="n">
        <v>381</v>
      </c>
      <c r="D12" s="235" t="n">
        <v>381</v>
      </c>
      <c r="E12" s="235" t="n">
        <v>381</v>
      </c>
      <c r="F12" s="235" t="n">
        <v>381</v>
      </c>
      <c r="G12" s="235" t="n">
        <v>381</v>
      </c>
      <c r="H12" s="235" t="n">
        <v>381</v>
      </c>
      <c r="I12" s="235" t="n">
        <v>381</v>
      </c>
    </row>
    <row r="13" ht="12.75" customHeight="1" s="207">
      <c r="A13" s="262" t="inlineStr">
        <is>
          <t>Payments - Electronic Disbursement</t>
        </is>
      </c>
      <c r="B13" s="235" t="n">
        <v>861</v>
      </c>
      <c r="C13" s="235" t="n">
        <v>861</v>
      </c>
      <c r="D13" s="235" t="n">
        <v>861</v>
      </c>
      <c r="E13" s="235" t="n">
        <v>861</v>
      </c>
      <c r="F13" s="235" t="n">
        <v>861</v>
      </c>
      <c r="G13" s="235" t="n">
        <v>861</v>
      </c>
      <c r="H13" s="235" t="n">
        <v>861</v>
      </c>
      <c r="I13" s="235" t="n">
        <v>861</v>
      </c>
    </row>
    <row r="14" ht="12.75" customHeight="1" s="207">
      <c r="A14" s="262" t="inlineStr">
        <is>
          <t>Payments - Wire Disbursement (Extranjero)</t>
        </is>
      </c>
      <c r="B14" s="235" t="n">
        <v>55</v>
      </c>
      <c r="C14" s="235" t="n">
        <v>55</v>
      </c>
      <c r="D14" s="235" t="n">
        <v>55</v>
      </c>
      <c r="E14" s="235" t="n">
        <v>55</v>
      </c>
      <c r="F14" s="235" t="n">
        <v>55</v>
      </c>
      <c r="G14" s="235" t="n">
        <v>55</v>
      </c>
      <c r="H14" s="235" t="n">
        <v>55</v>
      </c>
      <c r="I14" s="235" t="n">
        <v>55</v>
      </c>
    </row>
    <row r="15" ht="12.75" customHeight="1" s="207">
      <c r="A15" s="265" t="inlineStr">
        <is>
          <t>Vendor Management</t>
        </is>
      </c>
      <c r="B15" s="235" t="n"/>
      <c r="C15" s="235" t="n"/>
      <c r="D15" s="235" t="n"/>
      <c r="E15" s="235" t="n"/>
      <c r="F15" s="235" t="n"/>
      <c r="G15" s="235" t="n"/>
      <c r="H15" s="235" t="n"/>
      <c r="I15" s="235" t="n"/>
    </row>
    <row r="16" ht="12.75" customHeight="1" s="207">
      <c r="A16" s="264" t="inlineStr">
        <is>
          <t>Vendor Set Up (altas)</t>
        </is>
      </c>
      <c r="B16" s="235" t="n">
        <v>144</v>
      </c>
      <c r="C16" s="235" t="n">
        <v>144</v>
      </c>
      <c r="D16" s="235" t="n">
        <v>144</v>
      </c>
      <c r="E16" s="235" t="n">
        <v>120</v>
      </c>
      <c r="F16" s="235" t="n">
        <v>100</v>
      </c>
      <c r="G16" s="235" t="n">
        <v>80</v>
      </c>
      <c r="H16" s="235" t="n">
        <v>80</v>
      </c>
      <c r="I16" s="235" t="n">
        <v>80</v>
      </c>
    </row>
    <row r="17" ht="12.75" customHeight="1" s="207">
      <c r="A17" s="264" t="inlineStr">
        <is>
          <t>Vendor Inquiry (modificaciones)</t>
        </is>
      </c>
      <c r="B17" s="235" t="n">
        <v>114</v>
      </c>
      <c r="C17" s="235" t="n">
        <v>114</v>
      </c>
      <c r="D17" s="235" t="n">
        <v>114</v>
      </c>
      <c r="E17" s="235" t="n">
        <v>114</v>
      </c>
      <c r="F17" s="235" t="n">
        <v>114</v>
      </c>
      <c r="G17" s="235" t="n">
        <v>114</v>
      </c>
      <c r="H17" s="235" t="n">
        <v>114</v>
      </c>
      <c r="I17" s="235" t="n">
        <v>114</v>
      </c>
    </row>
    <row r="18" ht="12.75" customHeight="1" s="207">
      <c r="A18" s="264" t="inlineStr">
        <is>
          <t>Year End Vendor Tax Reporting</t>
        </is>
      </c>
      <c r="B18" s="235" t="n">
        <v>7200</v>
      </c>
      <c r="C18" s="235">
        <f>+B18+C16*12</f>
        <v/>
      </c>
      <c r="D18" s="235">
        <f>+C18+D16*12</f>
        <v/>
      </c>
      <c r="E18" s="235">
        <f>+D18+E16*12</f>
        <v/>
      </c>
      <c r="F18" s="235">
        <f>+E18+F16*12</f>
        <v/>
      </c>
      <c r="G18" s="235">
        <f>+F18+G16*12</f>
        <v/>
      </c>
      <c r="H18" s="235">
        <f>+G18+H16*12</f>
        <v/>
      </c>
      <c r="I18" s="235">
        <f>+H18+I16*12</f>
        <v/>
      </c>
    </row>
    <row r="19" ht="16.5" customHeight="1" s="207">
      <c r="A19" s="279" t="inlineStr">
        <is>
          <t>Travel and Entertainment</t>
        </is>
      </c>
      <c r="B19" s="280" t="n"/>
      <c r="C19" s="280" t="n"/>
      <c r="D19" s="280" t="n"/>
      <c r="E19" s="280" t="n"/>
      <c r="F19" s="280" t="n"/>
      <c r="G19" s="280" t="n"/>
      <c r="H19" s="280" t="n"/>
      <c r="I19" s="281" t="n"/>
    </row>
    <row r="20" ht="12.75" customHeight="1" s="207">
      <c r="A20" s="282" t="inlineStr">
        <is>
          <t>Employee Expense Reports</t>
        </is>
      </c>
      <c r="B20" s="283" t="n"/>
      <c r="C20" s="283" t="n"/>
      <c r="D20" s="283" t="n"/>
      <c r="E20" s="283" t="n"/>
      <c r="F20" s="283" t="n"/>
      <c r="G20" s="283" t="n"/>
      <c r="H20" s="283" t="n"/>
      <c r="I20" s="283" t="n"/>
    </row>
    <row r="21" ht="12.75" customHeight="1" s="207">
      <c r="A21" s="264" t="inlineStr">
        <is>
          <t>Manual Employee Expense Reports</t>
        </is>
      </c>
      <c r="B21" s="235" t="n">
        <v>622</v>
      </c>
      <c r="C21" s="235" t="n">
        <v>622</v>
      </c>
      <c r="D21" s="235" t="n">
        <v>622</v>
      </c>
      <c r="E21" s="235" t="n">
        <v>622</v>
      </c>
      <c r="F21" s="235" t="n">
        <v>622</v>
      </c>
      <c r="G21" s="235" t="n">
        <v>622</v>
      </c>
      <c r="H21" s="235" t="n">
        <v>622</v>
      </c>
      <c r="I21" s="235" t="n">
        <v>622</v>
      </c>
    </row>
    <row r="22" ht="12.75" customHeight="1" s="207">
      <c r="A22" s="264" t="inlineStr">
        <is>
          <t>Electronic Employee Expense Reports (Or)</t>
        </is>
      </c>
      <c r="B22" s="235" t="n"/>
      <c r="C22" s="235" t="n"/>
      <c r="D22" s="235" t="n"/>
      <c r="E22" s="235" t="n"/>
      <c r="F22" s="235" t="n"/>
      <c r="G22" s="235" t="n"/>
      <c r="H22" s="235" t="n"/>
      <c r="I22" s="235" t="n"/>
    </row>
    <row r="23" ht="12.75" customHeight="1" s="207">
      <c r="A23" s="264" t="inlineStr">
        <is>
          <t>Employees Submitting Expense Reports</t>
        </is>
      </c>
      <c r="B23" s="235" t="n">
        <v>1285</v>
      </c>
      <c r="C23" s="235" t="n">
        <v>1285</v>
      </c>
      <c r="D23" s="235" t="n">
        <v>1285</v>
      </c>
      <c r="E23" s="235" t="n">
        <v>1285</v>
      </c>
      <c r="F23" s="235" t="n">
        <v>1285</v>
      </c>
      <c r="G23" s="235" t="n">
        <v>1285</v>
      </c>
      <c r="H23" s="235" t="n">
        <v>1285</v>
      </c>
      <c r="I23" s="235" t="n">
        <v>1285</v>
      </c>
    </row>
    <row r="24" ht="16.5" customHeight="1" s="207">
      <c r="A24" s="279" t="inlineStr">
        <is>
          <t>Order to Cash</t>
        </is>
      </c>
      <c r="B24" s="280" t="n"/>
      <c r="C24" s="280" t="n"/>
      <c r="D24" s="280" t="n"/>
      <c r="E24" s="280" t="n"/>
      <c r="F24" s="280" t="n"/>
      <c r="G24" s="280" t="n"/>
      <c r="H24" s="280" t="n"/>
      <c r="I24" s="281" t="n"/>
    </row>
    <row r="25" ht="12.75" customHeight="1" s="207">
      <c r="A25" s="260" t="inlineStr">
        <is>
          <t>Credit</t>
        </is>
      </c>
      <c r="B25" s="285" t="n"/>
      <c r="C25" s="285" t="n"/>
      <c r="D25" s="227" t="n"/>
      <c r="E25" s="227" t="n"/>
      <c r="F25" s="227" t="n"/>
      <c r="G25" s="227" t="n"/>
      <c r="H25" s="227" t="n"/>
      <c r="I25" s="227" t="n"/>
    </row>
    <row r="26" ht="12.75" customHeight="1" s="207">
      <c r="A26" s="262" t="inlineStr">
        <is>
          <t>Credit Applications Processed - Standard</t>
        </is>
      </c>
      <c r="B26" s="244" t="n">
        <v>563</v>
      </c>
      <c r="C26" s="244" t="n">
        <v>563</v>
      </c>
      <c r="D26" s="244" t="n">
        <v>563</v>
      </c>
      <c r="E26" s="244" t="n">
        <v>563</v>
      </c>
      <c r="F26" s="244" t="n">
        <v>563</v>
      </c>
      <c r="G26" s="244" t="n">
        <v>563</v>
      </c>
      <c r="H26" s="244" t="n">
        <v>563</v>
      </c>
      <c r="I26" s="244" t="n">
        <v>563</v>
      </c>
    </row>
    <row r="27" ht="12.75" customHeight="1" s="207">
      <c r="A27" s="268" t="inlineStr">
        <is>
          <t>Order Entry</t>
        </is>
      </c>
      <c r="B27" s="244" t="n"/>
      <c r="C27" s="244" t="n"/>
      <c r="D27" s="244" t="n"/>
      <c r="E27" s="244" t="n"/>
      <c r="F27" s="244" t="n"/>
      <c r="G27" s="244" t="n"/>
      <c r="H27" s="244" t="n"/>
      <c r="I27" s="244" t="n"/>
    </row>
    <row r="28" ht="12.75" customHeight="1" s="207">
      <c r="A28" s="262" t="inlineStr">
        <is>
          <t>Manual Orders Processed (SIEBEL)</t>
        </is>
      </c>
      <c r="B28" s="244" t="n">
        <v>3936</v>
      </c>
      <c r="C28" s="244" t="n">
        <v>3936</v>
      </c>
      <c r="D28" s="244" t="n">
        <v>3936</v>
      </c>
      <c r="E28" s="244" t="n">
        <v>3936</v>
      </c>
      <c r="F28" s="244" t="n">
        <v>3936</v>
      </c>
      <c r="G28" s="244" t="n">
        <v>3936</v>
      </c>
      <c r="H28" s="244" t="n">
        <v>3936</v>
      </c>
      <c r="I28" s="244" t="n">
        <v>3936</v>
      </c>
    </row>
    <row r="29" ht="12.75" customHeight="1" s="207">
      <c r="A29" s="262" t="inlineStr">
        <is>
          <t>Electronic Orders Processed (SAP +EDI)</t>
        </is>
      </c>
      <c r="B29" s="244">
        <f>243+438</f>
        <v/>
      </c>
      <c r="C29" s="244">
        <f>243+438</f>
        <v/>
      </c>
      <c r="D29" s="244">
        <f>243+438</f>
        <v/>
      </c>
      <c r="E29" s="244">
        <f>243+438</f>
        <v/>
      </c>
      <c r="F29" s="244">
        <f>243+438</f>
        <v/>
      </c>
      <c r="G29" s="244">
        <f>243+438</f>
        <v/>
      </c>
      <c r="H29" s="244">
        <f>243+438</f>
        <v/>
      </c>
      <c r="I29" s="244">
        <f>243+438</f>
        <v/>
      </c>
    </row>
    <row r="30" ht="12.75" customHeight="1" s="207">
      <c r="A30" s="268" t="inlineStr">
        <is>
          <t>Customer Inquiries</t>
        </is>
      </c>
      <c r="B30" s="244" t="n"/>
      <c r="C30" s="244" t="n"/>
      <c r="D30" s="244" t="n"/>
      <c r="E30" s="244" t="n"/>
      <c r="F30" s="244" t="n"/>
      <c r="G30" s="244" t="n"/>
      <c r="H30" s="244" t="n"/>
      <c r="I30" s="244" t="n"/>
    </row>
    <row r="31" ht="12.75" customHeight="1" s="207">
      <c r="A31" s="262" t="inlineStr">
        <is>
          <t>Internal Inquiries</t>
        </is>
      </c>
      <c r="B31" s="244" t="n">
        <v>6</v>
      </c>
      <c r="C31" s="244" t="n">
        <v>6</v>
      </c>
      <c r="D31" s="244" t="n">
        <v>6</v>
      </c>
      <c r="E31" s="244" t="n">
        <v>6</v>
      </c>
      <c r="F31" s="244" t="n">
        <v>6</v>
      </c>
      <c r="G31" s="244" t="n">
        <v>6</v>
      </c>
      <c r="H31" s="244" t="n">
        <v>6</v>
      </c>
      <c r="I31" s="244" t="n">
        <v>6</v>
      </c>
    </row>
    <row r="32" ht="12.75" customHeight="1" s="207">
      <c r="A32" s="262" t="inlineStr">
        <is>
          <t>External Inquiries</t>
        </is>
      </c>
      <c r="B32" s="244" t="n">
        <v>1025</v>
      </c>
      <c r="C32" s="244" t="n">
        <v>1025</v>
      </c>
      <c r="D32" s="244" t="n">
        <v>1025</v>
      </c>
      <c r="E32" s="244" t="n">
        <v>1025</v>
      </c>
      <c r="F32" s="244" t="n">
        <v>1025</v>
      </c>
      <c r="G32" s="244" t="n">
        <v>1025</v>
      </c>
      <c r="H32" s="244" t="n">
        <v>1025</v>
      </c>
      <c r="I32" s="244" t="n">
        <v>1025</v>
      </c>
    </row>
    <row r="33" ht="12.75" customHeight="1" s="207">
      <c r="A33" s="268" t="inlineStr">
        <is>
          <t>Invoicing</t>
        </is>
      </c>
      <c r="B33" s="244" t="n"/>
      <c r="C33" s="244" t="n"/>
      <c r="D33" s="244" t="n"/>
      <c r="E33" s="244" t="n"/>
      <c r="F33" s="244" t="n"/>
      <c r="G33" s="244" t="n"/>
      <c r="H33" s="244" t="n"/>
      <c r="I33" s="244" t="n"/>
    </row>
    <row r="34" ht="12.75" customHeight="1" s="207">
      <c r="A34" s="262" t="inlineStr">
        <is>
          <t>Paper Invoices (SAP-SD)</t>
        </is>
      </c>
      <c r="B34" s="244" t="n">
        <v>5321</v>
      </c>
      <c r="C34" s="244" t="n">
        <v>5321</v>
      </c>
      <c r="D34" s="244" t="n">
        <v>5321</v>
      </c>
      <c r="E34" s="244" t="n">
        <v>5321</v>
      </c>
      <c r="F34" s="244" t="n">
        <v>5321</v>
      </c>
      <c r="G34" s="244" t="n">
        <v>5321</v>
      </c>
      <c r="H34" s="244" t="n">
        <v>5321</v>
      </c>
      <c r="I34" s="244" t="n">
        <v>5321</v>
      </c>
    </row>
    <row r="35" ht="12.75" customHeight="1" s="207">
      <c r="A35" s="262" t="inlineStr">
        <is>
          <t>Electronic Invoices (SAP-FI)</t>
        </is>
      </c>
      <c r="B35" s="244" t="n">
        <v>76</v>
      </c>
      <c r="C35" s="244" t="n">
        <v>76</v>
      </c>
      <c r="D35" s="244" t="n">
        <v>76</v>
      </c>
      <c r="E35" s="244" t="n">
        <v>76</v>
      </c>
      <c r="F35" s="244" t="n">
        <v>76</v>
      </c>
      <c r="G35" s="244" t="n">
        <v>76</v>
      </c>
      <c r="H35" s="244" t="n">
        <v>76</v>
      </c>
      <c r="I35" s="244" t="n">
        <v>76</v>
      </c>
    </row>
    <row r="36" ht="12.75" customHeight="1" s="207">
      <c r="A36" s="262" t="inlineStr">
        <is>
          <t>Customer Statements</t>
        </is>
      </c>
      <c r="B36" s="244" t="n">
        <v>15</v>
      </c>
      <c r="C36" s="244" t="n">
        <v>15</v>
      </c>
      <c r="D36" s="244" t="n">
        <v>15</v>
      </c>
      <c r="E36" s="244" t="n">
        <v>15</v>
      </c>
      <c r="F36" s="244" t="n">
        <v>15</v>
      </c>
      <c r="G36" s="244" t="n">
        <v>15</v>
      </c>
      <c r="H36" s="244" t="n">
        <v>15</v>
      </c>
      <c r="I36" s="244" t="n">
        <v>15</v>
      </c>
    </row>
    <row r="37" ht="12.75" customHeight="1" s="207">
      <c r="A37" s="268" t="inlineStr">
        <is>
          <t>Cash Applications</t>
        </is>
      </c>
      <c r="B37" s="244" t="n"/>
      <c r="C37" s="244" t="n"/>
      <c r="D37" s="244" t="n"/>
      <c r="E37" s="244" t="n"/>
      <c r="F37" s="244" t="n"/>
      <c r="G37" s="244" t="n"/>
      <c r="H37" s="244" t="n"/>
      <c r="I37" s="244" t="n"/>
    </row>
    <row r="38" ht="12.75" customHeight="1" s="207">
      <c r="A38" s="262" t="inlineStr">
        <is>
          <t>Electronic Payments</t>
        </is>
      </c>
      <c r="B38" s="244" t="n">
        <v>1166</v>
      </c>
      <c r="C38" s="244" t="n">
        <v>1166</v>
      </c>
      <c r="D38" s="244" t="n">
        <v>1166</v>
      </c>
      <c r="E38" s="244" t="n">
        <v>1166</v>
      </c>
      <c r="F38" s="244" t="n">
        <v>1166</v>
      </c>
      <c r="G38" s="244" t="n">
        <v>1166</v>
      </c>
      <c r="H38" s="244" t="n">
        <v>1166</v>
      </c>
      <c r="I38" s="244" t="n">
        <v>1166</v>
      </c>
    </row>
    <row r="39" ht="12.75" customHeight="1" s="207">
      <c r="A39" s="262" t="inlineStr">
        <is>
          <t>Lockbox Payments (Domiciliados)</t>
        </is>
      </c>
      <c r="B39" s="244" t="n">
        <v>2258</v>
      </c>
      <c r="C39" s="244" t="n">
        <v>2258</v>
      </c>
      <c r="D39" s="244" t="n">
        <v>2258</v>
      </c>
      <c r="E39" s="244" t="n">
        <v>2258</v>
      </c>
      <c r="F39" s="244" t="n">
        <v>2258</v>
      </c>
      <c r="G39" s="244" t="n">
        <v>2258</v>
      </c>
      <c r="H39" s="244" t="n">
        <v>2258</v>
      </c>
      <c r="I39" s="244" t="n">
        <v>2258</v>
      </c>
    </row>
    <row r="40" ht="12.75" customHeight="1" s="207">
      <c r="A40" s="262" t="inlineStr">
        <is>
          <t>Check Payments</t>
        </is>
      </c>
      <c r="B40" s="244" t="n">
        <v>42</v>
      </c>
      <c r="C40" s="244" t="n">
        <v>42</v>
      </c>
      <c r="D40" s="244" t="n">
        <v>42</v>
      </c>
      <c r="E40" s="244" t="n">
        <v>42</v>
      </c>
      <c r="F40" s="244" t="n">
        <v>42</v>
      </c>
      <c r="G40" s="244" t="n">
        <v>42</v>
      </c>
      <c r="H40" s="244" t="n">
        <v>42</v>
      </c>
      <c r="I40" s="244" t="n">
        <v>42</v>
      </c>
    </row>
    <row r="41" ht="16.5" customHeight="1" s="207">
      <c r="A41" s="279" t="inlineStr">
        <is>
          <t>Fixed Assets</t>
        </is>
      </c>
      <c r="B41" s="280" t="n"/>
      <c r="C41" s="280" t="n"/>
      <c r="D41" s="280" t="n"/>
      <c r="E41" s="280" t="n"/>
      <c r="F41" s="280" t="n"/>
      <c r="G41" s="280" t="n"/>
      <c r="H41" s="280" t="n"/>
      <c r="I41" s="281" t="n"/>
    </row>
    <row r="42" ht="12.75" customHeight="1" s="207">
      <c r="A42" s="260" t="inlineStr">
        <is>
          <t>Fixed Assets</t>
        </is>
      </c>
      <c r="B42" s="227" t="n"/>
      <c r="C42" s="227" t="n"/>
      <c r="D42" s="227" t="n"/>
      <c r="E42" s="227" t="n"/>
      <c r="F42" s="227" t="n"/>
      <c r="G42" s="227" t="n"/>
      <c r="H42" s="227" t="n"/>
      <c r="I42" s="227" t="n"/>
    </row>
    <row r="43" ht="12.75" customHeight="1" s="207">
      <c r="A43" s="262" t="inlineStr">
        <is>
          <t xml:space="preserve">Active Assets </t>
        </is>
      </c>
      <c r="B43" s="301" t="n">
        <v>13632</v>
      </c>
      <c r="C43" s="301">
        <f>+B43*1.02</f>
        <v/>
      </c>
      <c r="D43" s="301">
        <f>+C43*1.02</f>
        <v/>
      </c>
      <c r="E43" s="301">
        <f>+D43*1.02</f>
        <v/>
      </c>
      <c r="F43" s="301">
        <f>+E43*1.02</f>
        <v/>
      </c>
      <c r="G43" s="301">
        <f>+F43*1.02</f>
        <v/>
      </c>
      <c r="H43" s="301">
        <f>+G43*1.02</f>
        <v/>
      </c>
      <c r="I43" s="301">
        <f>+H43*1.02</f>
        <v/>
      </c>
    </row>
    <row r="44" ht="12.75" customHeight="1" s="207">
      <c r="A44" s="262" t="inlineStr">
        <is>
          <t>Asset Record Changes</t>
        </is>
      </c>
      <c r="B44" s="235">
        <f>37+31+26</f>
        <v/>
      </c>
      <c r="C44" s="235">
        <f>37+31+26</f>
        <v/>
      </c>
      <c r="D44" s="235">
        <f>37+31+26</f>
        <v/>
      </c>
      <c r="E44" s="235">
        <f>37+31+26</f>
        <v/>
      </c>
      <c r="F44" s="235">
        <f>37+31+26</f>
        <v/>
      </c>
      <c r="G44" s="235">
        <f>37+31+26</f>
        <v/>
      </c>
      <c r="H44" s="235">
        <f>37+31+26</f>
        <v/>
      </c>
      <c r="I44" s="235">
        <f>37+31+26</f>
        <v/>
      </c>
    </row>
    <row r="45" ht="16.5" customHeight="1" s="207">
      <c r="A45" s="279" t="inlineStr">
        <is>
          <t>Account to Report</t>
        </is>
      </c>
      <c r="B45" s="280" t="n"/>
      <c r="C45" s="280" t="n"/>
      <c r="D45" s="280" t="n"/>
      <c r="E45" s="280" t="n"/>
      <c r="F45" s="280" t="n"/>
      <c r="G45" s="280" t="n"/>
      <c r="H45" s="280" t="n"/>
      <c r="I45" s="281" t="n"/>
    </row>
    <row r="46" ht="12.75" customHeight="1" s="207">
      <c r="A46" s="260" t="inlineStr">
        <is>
          <t>General Ledger Accounting</t>
        </is>
      </c>
      <c r="B46" s="227" t="n"/>
      <c r="C46" s="227" t="n"/>
      <c r="D46" s="227" t="n"/>
      <c r="E46" s="227" t="n"/>
      <c r="F46" s="227" t="n"/>
      <c r="G46" s="227" t="n"/>
      <c r="H46" s="227" t="n"/>
      <c r="I46" s="227" t="n"/>
    </row>
    <row r="47" ht="12.75" customHeight="1" s="207">
      <c r="A47" s="262" t="inlineStr">
        <is>
          <t xml:space="preserve">Journal Entries - Recurring </t>
        </is>
      </c>
      <c r="B47" s="235" t="n">
        <v>24</v>
      </c>
      <c r="C47" s="235" t="n">
        <v>24</v>
      </c>
      <c r="D47" s="235" t="n">
        <v>24</v>
      </c>
      <c r="E47" s="235" t="n">
        <v>24</v>
      </c>
      <c r="F47" s="235" t="n">
        <v>24</v>
      </c>
      <c r="G47" s="235" t="n">
        <v>24</v>
      </c>
      <c r="H47" s="235" t="n">
        <v>24</v>
      </c>
      <c r="I47" s="235" t="n">
        <v>24</v>
      </c>
    </row>
    <row r="48" ht="12.75" customHeight="1" s="207">
      <c r="A48" s="262" t="inlineStr">
        <is>
          <t>Journal Entries - Automated Posting</t>
        </is>
      </c>
      <c r="B48" s="235" t="n">
        <v>64500</v>
      </c>
      <c r="C48" s="235" t="n">
        <v>64500</v>
      </c>
      <c r="D48" s="235" t="n">
        <v>64500</v>
      </c>
      <c r="E48" s="235" t="n">
        <v>64500</v>
      </c>
      <c r="F48" s="235" t="n">
        <v>64500</v>
      </c>
      <c r="G48" s="235" t="n">
        <v>64500</v>
      </c>
      <c r="H48" s="235" t="n">
        <v>64500</v>
      </c>
      <c r="I48" s="235" t="n">
        <v>64500</v>
      </c>
    </row>
    <row r="49" ht="12.75" customHeight="1" s="207">
      <c r="A49" s="262" t="inlineStr">
        <is>
          <t>Journal Entries - Manual</t>
        </is>
      </c>
      <c r="B49" s="235" t="n">
        <v>81</v>
      </c>
      <c r="C49" s="235" t="n">
        <v>81</v>
      </c>
      <c r="D49" s="235" t="n">
        <v>81</v>
      </c>
      <c r="E49" s="235" t="n">
        <v>81</v>
      </c>
      <c r="F49" s="235" t="n">
        <v>81</v>
      </c>
      <c r="G49" s="235" t="n">
        <v>81</v>
      </c>
      <c r="H49" s="235" t="n">
        <v>81</v>
      </c>
      <c r="I49" s="235" t="n">
        <v>81</v>
      </c>
    </row>
    <row r="50" ht="12.75" customHeight="1" s="207">
      <c r="A50" s="271" t="inlineStr">
        <is>
          <t>Chart of Account Change</t>
        </is>
      </c>
      <c r="B50" s="235" t="n">
        <v>16</v>
      </c>
      <c r="C50" s="235" t="n">
        <v>16</v>
      </c>
      <c r="D50" s="235" t="n">
        <v>16</v>
      </c>
      <c r="E50" s="235" t="n">
        <v>16</v>
      </c>
      <c r="F50" s="235" t="n">
        <v>16</v>
      </c>
      <c r="G50" s="235" t="n">
        <v>16</v>
      </c>
      <c r="H50" s="235" t="n">
        <v>16</v>
      </c>
      <c r="I50" s="235" t="n">
        <v>16</v>
      </c>
    </row>
    <row r="51" ht="12.75" customHeight="1" s="207">
      <c r="A51" s="271" t="inlineStr">
        <is>
          <t>Cost Center Change</t>
        </is>
      </c>
      <c r="B51" s="235">
        <f>4+417+4</f>
        <v/>
      </c>
      <c r="C51" s="235">
        <f>4+417+4</f>
        <v/>
      </c>
      <c r="D51" s="235">
        <f>4+417+4</f>
        <v/>
      </c>
      <c r="E51" s="235">
        <f>4+417+4</f>
        <v/>
      </c>
      <c r="F51" s="235">
        <f>4+417+4</f>
        <v/>
      </c>
      <c r="G51" s="235">
        <f>4+417+4</f>
        <v/>
      </c>
      <c r="H51" s="235">
        <f>4+417+4</f>
        <v/>
      </c>
      <c r="I51" s="235">
        <f>4+417+4</f>
        <v/>
      </c>
    </row>
    <row r="52" ht="12.75" customHeight="1" s="207">
      <c r="A52" s="262" t="inlineStr">
        <is>
          <t>Account Reconciliations</t>
        </is>
      </c>
      <c r="B52" s="235" t="n">
        <v>37</v>
      </c>
      <c r="C52" s="235" t="n">
        <v>37</v>
      </c>
      <c r="D52" s="235" t="n">
        <v>37</v>
      </c>
      <c r="E52" s="235" t="n">
        <v>37</v>
      </c>
      <c r="F52" s="235" t="n">
        <v>37</v>
      </c>
      <c r="G52" s="235" t="n">
        <v>37</v>
      </c>
      <c r="H52" s="235" t="n">
        <v>37</v>
      </c>
      <c r="I52" s="235" t="n">
        <v>37</v>
      </c>
    </row>
    <row r="53" ht="12.75" customHeight="1" s="207">
      <c r="A53" s="265" t="inlineStr">
        <is>
          <t>Financial Reporting</t>
        </is>
      </c>
      <c r="B53" s="235" t="n"/>
      <c r="C53" s="235" t="n"/>
      <c r="D53" s="235" t="n"/>
      <c r="E53" s="235" t="n"/>
      <c r="F53" s="235" t="n"/>
      <c r="G53" s="235" t="n"/>
      <c r="H53" s="235" t="n"/>
      <c r="I53" s="235" t="n"/>
    </row>
    <row r="54" ht="12.75" customHeight="1" s="207">
      <c r="A54" s="262" t="inlineStr">
        <is>
          <t>Reports (Automated)</t>
        </is>
      </c>
      <c r="B54" s="235" t="n">
        <v>20</v>
      </c>
      <c r="C54" s="235" t="n">
        <v>20</v>
      </c>
      <c r="D54" s="235" t="n">
        <v>20</v>
      </c>
      <c r="E54" s="235" t="n">
        <v>20</v>
      </c>
      <c r="F54" s="235" t="n">
        <v>20</v>
      </c>
      <c r="G54" s="235" t="n">
        <v>20</v>
      </c>
      <c r="H54" s="235" t="n">
        <v>20</v>
      </c>
      <c r="I54" s="235" t="n">
        <v>20</v>
      </c>
    </row>
    <row r="55" ht="12.75" customHeight="1" s="207">
      <c r="A55" s="262" t="inlineStr">
        <is>
          <t>Manual Regulatory Reports</t>
        </is>
      </c>
      <c r="B55" s="235" t="n">
        <v>45</v>
      </c>
      <c r="C55" s="235" t="n">
        <v>45</v>
      </c>
      <c r="D55" s="235" t="n">
        <v>45</v>
      </c>
      <c r="E55" s="235" t="n">
        <v>45</v>
      </c>
      <c r="F55" s="235" t="n">
        <v>45</v>
      </c>
      <c r="G55" s="235" t="n">
        <v>45</v>
      </c>
      <c r="H55" s="235" t="n">
        <v>45</v>
      </c>
      <c r="I55" s="235" t="n">
        <v>45</v>
      </c>
    </row>
    <row r="56" ht="12.75" customHeight="1" s="207">
      <c r="A56" s="262" t="inlineStr">
        <is>
          <t>Manual Scheduled Reports</t>
        </is>
      </c>
      <c r="B56" s="235" t="n">
        <v>30</v>
      </c>
      <c r="C56" s="235" t="n">
        <v>30</v>
      </c>
      <c r="D56" s="235" t="n">
        <v>30</v>
      </c>
      <c r="E56" s="235" t="n">
        <v>30</v>
      </c>
      <c r="F56" s="235" t="n">
        <v>30</v>
      </c>
      <c r="G56" s="235" t="n">
        <v>30</v>
      </c>
      <c r="H56" s="235" t="n">
        <v>30</v>
      </c>
      <c r="I56" s="235" t="n">
        <v>30</v>
      </c>
    </row>
    <row r="57" ht="12.75" customHeight="1" s="207">
      <c r="A57" s="265" t="inlineStr">
        <is>
          <t>Financial Management Services</t>
        </is>
      </c>
      <c r="B57" s="235" t="n"/>
      <c r="C57" s="235" t="n"/>
      <c r="D57" s="235" t="n"/>
      <c r="E57" s="235" t="n"/>
      <c r="F57" s="235" t="n"/>
      <c r="G57" s="235" t="n"/>
      <c r="H57" s="235" t="n"/>
      <c r="I57" s="235" t="n"/>
    </row>
    <row r="58" ht="12.75" customHeight="1" s="207">
      <c r="A58" s="262" t="inlineStr">
        <is>
          <t>Bank Reconciliation - Type A - Bank accounts</t>
        </is>
      </c>
      <c r="B58" s="235" t="n">
        <v>10</v>
      </c>
      <c r="C58" s="235" t="n">
        <v>10</v>
      </c>
      <c r="D58" s="235" t="n">
        <v>10</v>
      </c>
      <c r="E58" s="235" t="n">
        <v>10</v>
      </c>
      <c r="F58" s="235" t="n">
        <v>10</v>
      </c>
      <c r="G58" s="235" t="n">
        <v>10</v>
      </c>
      <c r="H58" s="235" t="n">
        <v>10</v>
      </c>
      <c r="I58" s="235" t="n">
        <v>10</v>
      </c>
    </row>
    <row r="59" ht="12.75" customHeight="1" s="207">
      <c r="A59" s="262" t="inlineStr">
        <is>
          <t>Bank Reconciliations - Type B - Transitory accounts</t>
        </is>
      </c>
      <c r="B59" s="235" t="n">
        <v>20</v>
      </c>
      <c r="C59" s="235" t="n">
        <v>20</v>
      </c>
      <c r="D59" s="235" t="n">
        <v>20</v>
      </c>
      <c r="E59" s="235" t="n">
        <v>20</v>
      </c>
      <c r="F59" s="235" t="n">
        <v>20</v>
      </c>
      <c r="G59" s="235" t="n">
        <v>20</v>
      </c>
      <c r="H59" s="235" t="n">
        <v>20</v>
      </c>
      <c r="I59" s="235" t="n">
        <v>20</v>
      </c>
    </row>
    <row r="60" ht="12.75" customHeight="1" s="207">
      <c r="A60" s="262" t="inlineStr">
        <is>
          <t>Budget &amp; Forecasting - Business Unit</t>
        </is>
      </c>
      <c r="B60" s="235" t="n"/>
      <c r="C60" s="235" t="n"/>
      <c r="D60" s="235" t="n"/>
      <c r="E60" s="235" t="n"/>
      <c r="F60" s="235" t="n"/>
      <c r="G60" s="235" t="n"/>
      <c r="H60" s="235" t="n"/>
      <c r="I60" s="235" t="n"/>
    </row>
    <row r="61" ht="12.75" customHeight="1" s="207">
      <c r="A61" s="265" t="inlineStr">
        <is>
          <t>Financial Analysis &amp; Support</t>
        </is>
      </c>
      <c r="B61" s="235" t="n"/>
      <c r="C61" s="235" t="n"/>
      <c r="D61" s="235" t="n"/>
      <c r="E61" s="235" t="n"/>
      <c r="F61" s="235" t="n"/>
      <c r="G61" s="235" t="n"/>
      <c r="H61" s="235" t="n"/>
      <c r="I61" s="235" t="n"/>
    </row>
    <row r="62" ht="12.75" customHeight="1" s="207">
      <c r="A62" s="262" t="inlineStr">
        <is>
          <t>Business Units</t>
        </is>
      </c>
      <c r="B62" s="235" t="n">
        <v>9</v>
      </c>
      <c r="C62" s="235" t="n">
        <v>9</v>
      </c>
      <c r="D62" s="235" t="n">
        <v>9</v>
      </c>
      <c r="E62" s="235" t="n">
        <v>9</v>
      </c>
      <c r="F62" s="235" t="n">
        <v>9</v>
      </c>
      <c r="G62" s="235" t="n">
        <v>9</v>
      </c>
      <c r="H62" s="235" t="n">
        <v>9</v>
      </c>
      <c r="I62" s="235" t="n">
        <v>9</v>
      </c>
    </row>
    <row r="63" ht="12.75" customHeight="1" s="207">
      <c r="A63" s="262" t="inlineStr">
        <is>
          <t>Legal Entities</t>
        </is>
      </c>
      <c r="B63" s="235" t="n">
        <v>9</v>
      </c>
      <c r="C63" s="235" t="n">
        <v>9</v>
      </c>
      <c r="D63" s="235" t="n">
        <v>9</v>
      </c>
      <c r="E63" s="235" t="n">
        <v>9</v>
      </c>
      <c r="F63" s="235" t="n">
        <v>9</v>
      </c>
      <c r="G63" s="235" t="n">
        <v>9</v>
      </c>
      <c r="H63" s="235" t="n">
        <v>9</v>
      </c>
      <c r="I63" s="235" t="n">
        <v>9</v>
      </c>
    </row>
    <row r="64" ht="16.5" customHeight="1" s="207">
      <c r="A64" s="279" t="inlineStr">
        <is>
          <t>Tax</t>
        </is>
      </c>
      <c r="B64" s="280" t="n"/>
      <c r="C64" s="280" t="n"/>
      <c r="D64" s="280" t="n"/>
      <c r="E64" s="280" t="n"/>
      <c r="F64" s="280" t="n"/>
      <c r="G64" s="280" t="n"/>
      <c r="H64" s="280" t="n"/>
      <c r="I64" s="281" t="n"/>
    </row>
    <row r="65" ht="12.75" customHeight="1" s="207">
      <c r="A65" s="265" t="inlineStr">
        <is>
          <t>Tax Consulting and Compliance</t>
        </is>
      </c>
      <c r="B65" s="287" t="n"/>
      <c r="C65" s="287" t="n"/>
      <c r="D65" s="287" t="n"/>
      <c r="E65" s="287" t="n"/>
      <c r="F65" s="287" t="n"/>
      <c r="G65" s="287" t="n"/>
      <c r="H65" s="287" t="n"/>
      <c r="I65" s="287" t="n"/>
    </row>
    <row r="66" ht="12.75" customHeight="1" s="207">
      <c r="A66" s="262" t="inlineStr">
        <is>
          <t>Tax Forms/Types Filed - Type A (IRPF)</t>
        </is>
      </c>
      <c r="B66" s="235" t="n">
        <v>44</v>
      </c>
      <c r="C66" s="235" t="n">
        <v>44</v>
      </c>
      <c r="D66" s="235" t="n">
        <v>44</v>
      </c>
      <c r="E66" s="235" t="n">
        <v>44</v>
      </c>
      <c r="F66" s="235" t="n">
        <v>44</v>
      </c>
      <c r="G66" s="235" t="n">
        <v>44</v>
      </c>
      <c r="H66" s="235" t="n">
        <v>44</v>
      </c>
      <c r="I66" s="235" t="n">
        <v>44</v>
      </c>
    </row>
    <row r="67" ht="12.75" customHeight="1" s="207">
      <c r="A67" s="262" t="inlineStr">
        <is>
          <t>Tax Forms/Types Filed - Type B (IVA)</t>
        </is>
      </c>
      <c r="B67" s="235" t="n">
        <v>8</v>
      </c>
      <c r="C67" s="235" t="n">
        <v>8</v>
      </c>
      <c r="D67" s="235" t="n">
        <v>8</v>
      </c>
      <c r="E67" s="235" t="n">
        <v>8</v>
      </c>
      <c r="F67" s="235" t="n">
        <v>8</v>
      </c>
      <c r="G67" s="235" t="n">
        <v>8</v>
      </c>
      <c r="H67" s="235" t="n">
        <v>8</v>
      </c>
      <c r="I67" s="235" t="n">
        <v>8</v>
      </c>
    </row>
    <row r="68" ht="12.75" customHeight="1" s="207">
      <c r="A68" s="262" t="inlineStr">
        <is>
          <t>Tax Forms/Types Filed - Type C (IS)</t>
        </is>
      </c>
      <c r="B68" s="235" t="n">
        <v>1</v>
      </c>
      <c r="C68" s="235" t="n">
        <v>1</v>
      </c>
      <c r="D68" s="235" t="n">
        <v>1</v>
      </c>
      <c r="E68" s="235" t="n">
        <v>1</v>
      </c>
      <c r="F68" s="235" t="n">
        <v>1</v>
      </c>
      <c r="G68" s="235" t="n">
        <v>1</v>
      </c>
      <c r="H68" s="235" t="n">
        <v>1</v>
      </c>
      <c r="I68" s="235" t="n">
        <v>1</v>
      </c>
    </row>
    <row r="69" ht="12.75" customHeight="1" s="207">
      <c r="A69" s="262" t="inlineStr">
        <is>
          <t>Tax Forms/Types Filed - Type D (Otros)</t>
        </is>
      </c>
      <c r="B69" s="235" t="n">
        <v>2</v>
      </c>
      <c r="C69" s="235" t="n">
        <v>2</v>
      </c>
      <c r="D69" s="235" t="n">
        <v>2</v>
      </c>
      <c r="E69" s="235" t="n">
        <v>2</v>
      </c>
      <c r="F69" s="235" t="n">
        <v>2</v>
      </c>
      <c r="G69" s="235" t="n">
        <v>2</v>
      </c>
      <c r="H69" s="235" t="n">
        <v>2</v>
      </c>
      <c r="I69" s="235" t="n">
        <v>2</v>
      </c>
    </row>
  </sheetData>
  <mergeCells count="6">
    <mergeCell ref="A64:I64"/>
    <mergeCell ref="A41:I41"/>
    <mergeCell ref="A19:I19"/>
    <mergeCell ref="A45:I45"/>
    <mergeCell ref="A3:I3"/>
    <mergeCell ref="A24:I2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80"/>
  <sheetViews>
    <sheetView showFormulas="0" showGridLines="1" showRowColHeaders="1" showZeros="1" rightToLeft="0" tabSelected="0" showOutlineSymbols="1" defaultGridColor="1" view="normal" topLeftCell="A1" colorId="64" zoomScale="100" zoomScaleNormal="100" zoomScalePageLayoutView="75" workbookViewId="0">
      <selection pane="topLeft" activeCell="B5" activeCellId="0" sqref="B5:B7"/>
    </sheetView>
  </sheetViews>
  <sheetFormatPr baseColWidth="8" defaultColWidth="9.13671875" defaultRowHeight="12.75" customHeight="1" zeroHeight="0" outlineLevelRow="0"/>
  <cols>
    <col width="64.13" customWidth="1" style="217" min="1" max="1"/>
    <col width="13.7" customWidth="1" style="217" min="2" max="9"/>
    <col width="9.140000000000001" customWidth="1" style="217" min="10" max="257"/>
  </cols>
  <sheetData>
    <row r="1" ht="19.5" customHeight="1" s="207">
      <c r="A1" s="253" t="inlineStr">
        <is>
          <t>United Kingdom</t>
        </is>
      </c>
    </row>
    <row r="2" ht="27" customHeight="1" s="207">
      <c r="A2" s="219" t="inlineStr">
        <is>
          <t>Description</t>
        </is>
      </c>
      <c r="B2" s="221" t="inlineStr">
        <is>
          <t>Base Year Monthly Avg.</t>
        </is>
      </c>
      <c r="C2" s="221" t="inlineStr">
        <is>
          <t>Year 1 Monthly Avg.</t>
        </is>
      </c>
      <c r="D2" s="221" t="inlineStr">
        <is>
          <t>Year 2 Monthly Avg.</t>
        </is>
      </c>
      <c r="E2" s="221" t="inlineStr">
        <is>
          <t>Year 3 Monthly Avg.</t>
        </is>
      </c>
      <c r="F2" s="221" t="inlineStr">
        <is>
          <t>Year 4 Monthly Avg.</t>
        </is>
      </c>
      <c r="G2" s="221" t="inlineStr">
        <is>
          <t>Year 5 Monthly Avg.</t>
        </is>
      </c>
      <c r="H2" s="221" t="inlineStr">
        <is>
          <t>Year 6 Monthly Avg.</t>
        </is>
      </c>
      <c r="I2" s="302" t="inlineStr">
        <is>
          <t>Year 7 Monthly Avg.</t>
        </is>
      </c>
    </row>
    <row r="3" ht="16.5" customHeight="1" s="207">
      <c r="A3" s="303" t="inlineStr">
        <is>
          <t>Accounts Payable</t>
        </is>
      </c>
      <c r="B3" s="258" t="n"/>
      <c r="C3" s="258" t="n"/>
      <c r="D3" s="258" t="n"/>
      <c r="E3" s="258" t="n"/>
      <c r="F3" s="258" t="n"/>
      <c r="G3" s="258" t="n"/>
      <c r="H3" s="258" t="n"/>
      <c r="I3" s="304" t="n"/>
    </row>
    <row r="4" ht="12.75" customHeight="1" s="207">
      <c r="A4" s="260" t="inlineStr">
        <is>
          <t>Invoice Processing</t>
        </is>
      </c>
      <c r="B4" s="227" t="n"/>
      <c r="C4" s="227" t="n"/>
      <c r="D4" s="227" t="n"/>
      <c r="E4" s="227" t="n"/>
      <c r="F4" s="227" t="n"/>
      <c r="G4" s="227" t="n"/>
      <c r="H4" s="227" t="n"/>
      <c r="I4" s="305" t="n"/>
    </row>
    <row r="5" ht="12.75" customHeight="1" s="207">
      <c r="A5" s="276" t="inlineStr">
        <is>
          <t>Manual Invoices - Purchase Order</t>
        </is>
      </c>
      <c r="B5" s="235" t="n">
        <v>1415</v>
      </c>
      <c r="C5" s="277" t="n">
        <v>1489.995</v>
      </c>
      <c r="D5" s="277" t="n">
        <v>1595.784645</v>
      </c>
      <c r="E5" s="277" t="n">
        <v>1624.50876861</v>
      </c>
      <c r="F5" s="277" t="n">
        <v>1635.88032999027</v>
      </c>
      <c r="G5" s="277" t="n">
        <v>1688.22850054996</v>
      </c>
      <c r="H5" s="277" t="n">
        <v>1742.25181256756</v>
      </c>
      <c r="I5" s="306" t="n">
        <v>1798.00387056972</v>
      </c>
    </row>
    <row r="6" ht="13.5" customHeight="1" s="207">
      <c r="A6" s="276" t="inlineStr">
        <is>
          <t xml:space="preserve">Manual Invoices - Non-Purchase Order </t>
        </is>
      </c>
      <c r="B6" s="235" t="n">
        <v>1415</v>
      </c>
      <c r="C6" s="277" t="n">
        <v>1489.995</v>
      </c>
      <c r="D6" s="277" t="n">
        <v>1595.784645</v>
      </c>
      <c r="E6" s="277" t="n">
        <v>1624.50876861</v>
      </c>
      <c r="F6" s="277" t="n">
        <v>1635.88032999027</v>
      </c>
      <c r="G6" s="277" t="n">
        <v>1688.22850054996</v>
      </c>
      <c r="H6" s="277" t="n">
        <v>1742.25181256756</v>
      </c>
      <c r="I6" s="306" t="n">
        <v>1798.00387056972</v>
      </c>
    </row>
    <row r="7" ht="12.75" customHeight="1" s="207">
      <c r="A7" s="278" t="inlineStr">
        <is>
          <t>Consolidated Invoices</t>
        </is>
      </c>
      <c r="B7" s="235" t="n">
        <v>8</v>
      </c>
      <c r="C7" s="277" t="n">
        <v>8.423999999999999</v>
      </c>
      <c r="D7" s="277" t="n">
        <v>9.022104000000001</v>
      </c>
      <c r="E7" s="277" t="n">
        <v>9.184501872</v>
      </c>
      <c r="F7" s="277" t="n">
        <v>9.248793385103999</v>
      </c>
      <c r="G7" s="277" t="n">
        <v>9.54475477342733</v>
      </c>
      <c r="H7" s="277" t="n">
        <v>9.850186926177001</v>
      </c>
      <c r="I7" s="306" t="n">
        <v>10.1653929078147</v>
      </c>
    </row>
    <row r="8" ht="12.75" customHeight="1" s="207">
      <c r="A8" s="265" t="inlineStr">
        <is>
          <t>Payments (Check Printing and Disbursement)</t>
        </is>
      </c>
      <c r="B8" s="235" t="n"/>
      <c r="C8" s="277" t="n"/>
      <c r="D8" s="277" t="n"/>
      <c r="E8" s="277" t="n"/>
      <c r="F8" s="277" t="n"/>
      <c r="G8" s="277" t="n"/>
      <c r="H8" s="277" t="n"/>
      <c r="I8" s="306" t="n"/>
    </row>
    <row r="9" ht="12.75" customHeight="1" s="207">
      <c r="A9" s="276" t="inlineStr">
        <is>
          <t>Payments - Normal Handling</t>
        </is>
      </c>
      <c r="B9" s="235" t="n">
        <v>350</v>
      </c>
      <c r="C9" s="277" t="n">
        <v>368.55</v>
      </c>
      <c r="D9" s="277" t="n">
        <v>394.71705</v>
      </c>
      <c r="E9" s="277" t="n">
        <v>401.8219569</v>
      </c>
      <c r="F9" s="277" t="n">
        <v>404.6347105983</v>
      </c>
      <c r="G9" s="277" t="n">
        <v>417.583021337446</v>
      </c>
      <c r="H9" s="277" t="n">
        <v>430.945678020244</v>
      </c>
      <c r="I9" s="306" t="n">
        <v>444.735939716892</v>
      </c>
    </row>
    <row r="10" ht="12.75" customHeight="1" s="207">
      <c r="A10" s="276" t="inlineStr">
        <is>
          <t>Payments - Electronic Disbursement</t>
        </is>
      </c>
      <c r="B10" s="235" t="n">
        <v>1356</v>
      </c>
      <c r="C10" s="277" t="n">
        <v>1427.868</v>
      </c>
      <c r="D10" s="277" t="n">
        <v>1529.246628</v>
      </c>
      <c r="E10" s="277" t="n">
        <v>1556.773067304</v>
      </c>
      <c r="F10" s="277" t="n">
        <v>1567.67047877513</v>
      </c>
      <c r="G10" s="277" t="n">
        <v>1617.83593409593</v>
      </c>
      <c r="H10" s="277" t="n">
        <v>1669.606683987</v>
      </c>
      <c r="I10" s="306" t="n">
        <v>1723.03409787459</v>
      </c>
    </row>
    <row r="11" ht="12.75" customHeight="1" s="207">
      <c r="A11" s="276" t="inlineStr">
        <is>
          <t>Payments - Wire Disbursement</t>
        </is>
      </c>
      <c r="B11" s="235" t="n">
        <v>60</v>
      </c>
      <c r="C11" s="277" t="n">
        <v>63.18</v>
      </c>
      <c r="D11" s="277" t="n">
        <v>67.66578</v>
      </c>
      <c r="E11" s="277" t="n">
        <v>68.88376404</v>
      </c>
      <c r="F11" s="277" t="n">
        <v>69.36595038828</v>
      </c>
      <c r="G11" s="277" t="n">
        <v>71.585660800705</v>
      </c>
      <c r="H11" s="277" t="n">
        <v>73.8764019463275</v>
      </c>
      <c r="I11" s="306" t="n">
        <v>76.24044680861</v>
      </c>
    </row>
    <row r="12" ht="12.75" customHeight="1" s="207">
      <c r="A12" s="265" t="inlineStr">
        <is>
          <t>Vendor Management</t>
        </is>
      </c>
      <c r="B12" s="235" t="n"/>
      <c r="C12" s="277" t="n"/>
      <c r="D12" s="277" t="n"/>
      <c r="E12" s="277" t="n"/>
      <c r="F12" s="277" t="n"/>
      <c r="G12" s="277" t="n"/>
      <c r="H12" s="277" t="n"/>
      <c r="I12" s="306" t="n"/>
    </row>
    <row r="13" ht="12.75" customHeight="1" s="207">
      <c r="A13" s="278" t="inlineStr">
        <is>
          <t>Vendor Set Up</t>
        </is>
      </c>
      <c r="B13" s="277">
        <f>(4+177+410+19)/12</f>
        <v/>
      </c>
      <c r="C13" s="277" t="n">
        <v>53.5275</v>
      </c>
      <c r="D13" s="277" t="n">
        <v>57.3279525</v>
      </c>
      <c r="E13" s="277" t="n">
        <v>58.359855645</v>
      </c>
      <c r="F13" s="277" t="n">
        <v>58.768374634515</v>
      </c>
      <c r="G13" s="277" t="n">
        <v>60.6489626228195</v>
      </c>
      <c r="H13" s="277" t="n">
        <v>62.5897294267497</v>
      </c>
      <c r="I13" s="306" t="n">
        <v>64.5926007684057</v>
      </c>
    </row>
    <row r="14" ht="12.75" customHeight="1" s="207">
      <c r="A14" s="278" t="inlineStr">
        <is>
          <t>Vendor changes for bank details (done by GA)</t>
        </is>
      </c>
      <c r="B14" s="235" t="n">
        <v>332</v>
      </c>
      <c r="C14" s="277" t="n">
        <v>349.596</v>
      </c>
      <c r="D14" s="277" t="n">
        <v>374.417316</v>
      </c>
      <c r="E14" s="277" t="n">
        <v>381.156827688</v>
      </c>
      <c r="F14" s="277" t="n">
        <v>383.824925481816</v>
      </c>
      <c r="G14" s="277" t="n">
        <v>396.107323097234</v>
      </c>
      <c r="H14" s="277" t="n">
        <v>408.782757436346</v>
      </c>
      <c r="I14" s="306" t="n">
        <v>421.863805674309</v>
      </c>
    </row>
    <row r="15" ht="12.75" customHeight="1" s="207">
      <c r="A15" s="278" t="inlineStr">
        <is>
          <t>Vendor Inquiry</t>
        </is>
      </c>
      <c r="B15" s="235">
        <f>150*260/12</f>
        <v/>
      </c>
      <c r="C15" s="277" t="n">
        <v>3422.25</v>
      </c>
      <c r="D15" s="277" t="n">
        <v>3665.22975</v>
      </c>
      <c r="E15" s="277" t="n">
        <v>3731.2038855</v>
      </c>
      <c r="F15" s="277" t="n">
        <v>3757.3223126985</v>
      </c>
      <c r="G15" s="277" t="n">
        <v>3877.55662670485</v>
      </c>
      <c r="H15" s="277" t="n">
        <v>4001.63843875941</v>
      </c>
      <c r="I15" s="306" t="n">
        <v>4129.69086879971</v>
      </c>
    </row>
    <row r="16" ht="16.5" customHeight="1" s="207">
      <c r="A16" s="307" t="inlineStr">
        <is>
          <t>Travel and Entertainment</t>
        </is>
      </c>
      <c r="B16" s="280" t="n"/>
      <c r="C16" s="280" t="n"/>
      <c r="D16" s="280" t="n"/>
      <c r="E16" s="280" t="n"/>
      <c r="F16" s="280" t="n"/>
      <c r="G16" s="280" t="n"/>
      <c r="H16" s="280" t="n"/>
      <c r="I16" s="308" t="n"/>
    </row>
    <row r="17" ht="12.75" customHeight="1" s="207">
      <c r="A17" s="282" t="inlineStr">
        <is>
          <t>Employee Expense Reports</t>
        </is>
      </c>
      <c r="B17" s="283" t="n"/>
      <c r="C17" s="283" t="n"/>
      <c r="D17" s="283" t="n"/>
      <c r="E17" s="283" t="n"/>
      <c r="F17" s="283" t="n"/>
      <c r="G17" s="283" t="n"/>
      <c r="H17" s="283" t="n"/>
      <c r="I17" s="309" t="n"/>
    </row>
    <row r="18" ht="12.75" customHeight="1" s="207">
      <c r="A18" s="278" t="inlineStr">
        <is>
          <t>Manual Employee Expense Reports (Including T&amp;E &amp; payroll adj's and P-cards)</t>
        </is>
      </c>
      <c r="B18" s="235" t="n">
        <v>49</v>
      </c>
      <c r="C18" s="277" t="n">
        <v>51.597</v>
      </c>
      <c r="D18" s="277" t="n">
        <v>55.260387</v>
      </c>
      <c r="E18" s="277" t="n">
        <v>56.255073966</v>
      </c>
      <c r="F18" s="277" t="n">
        <v>56.648859483762</v>
      </c>
      <c r="G18" s="277" t="n">
        <v>58.4616229872424</v>
      </c>
      <c r="H18" s="277" t="n">
        <v>60.3323949228341</v>
      </c>
      <c r="I18" s="306" t="n">
        <v>62.2630315603648</v>
      </c>
    </row>
    <row r="19" ht="12.75" customHeight="1" s="207">
      <c r="A19" s="278" t="inlineStr">
        <is>
          <t>Electronic Employee Expense Reports</t>
        </is>
      </c>
      <c r="B19" s="235" t="n">
        <v>690</v>
      </c>
      <c r="C19" s="277" t="n">
        <v>726.5700000000001</v>
      </c>
      <c r="D19" s="277" t="n">
        <v>778.15647</v>
      </c>
      <c r="E19" s="277" t="n">
        <v>792.16328646</v>
      </c>
      <c r="F19" s="277" t="n">
        <v>797.70842946522</v>
      </c>
      <c r="G19" s="277" t="n">
        <v>823.235099208107</v>
      </c>
      <c r="H19" s="277" t="n">
        <v>849.578622382766</v>
      </c>
      <c r="I19" s="306" t="n">
        <v>876.765138299015</v>
      </c>
    </row>
    <row r="20" ht="12.75" customHeight="1" s="207">
      <c r="A20" s="278" t="inlineStr">
        <is>
          <t>No. Credit Cards Administered</t>
        </is>
      </c>
      <c r="B20" s="235" t="n">
        <v>572</v>
      </c>
      <c r="C20" s="277" t="n">
        <v>602.316</v>
      </c>
      <c r="D20" s="277" t="n">
        <v>645.080436</v>
      </c>
      <c r="E20" s="277" t="n">
        <v>656.691883848</v>
      </c>
      <c r="F20" s="277" t="n">
        <v>661.288727034936</v>
      </c>
      <c r="G20" s="277" t="n">
        <v>682.449966300054</v>
      </c>
      <c r="H20" s="277" t="n">
        <v>704.288365221656</v>
      </c>
      <c r="I20" s="306" t="n">
        <v>726.8255929087489</v>
      </c>
    </row>
    <row r="21" ht="12.75" customHeight="1" s="207">
      <c r="A21" s="278" t="inlineStr">
        <is>
          <t>No. Purchasing Cards Administered</t>
        </is>
      </c>
      <c r="B21" s="235" t="n">
        <v>9</v>
      </c>
      <c r="C21" s="277" t="n">
        <v>9.477</v>
      </c>
      <c r="D21" s="277" t="n">
        <v>10.149867</v>
      </c>
      <c r="E21" s="277" t="n">
        <v>10.332564606</v>
      </c>
      <c r="F21" s="277" t="n">
        <v>10.404892558242</v>
      </c>
      <c r="G21" s="277" t="n">
        <v>10.7378491201057</v>
      </c>
      <c r="H21" s="277" t="n">
        <v>11.0814602919491</v>
      </c>
      <c r="I21" s="306" t="n">
        <v>11.4360670212915</v>
      </c>
    </row>
    <row r="22" ht="12.75" customHeight="1" s="207">
      <c r="A22" s="278" t="inlineStr">
        <is>
          <t>EmployeesWith active Boomerang (T&amp;E system) accounts</t>
        </is>
      </c>
      <c r="B22" s="235" t="n">
        <v>837</v>
      </c>
      <c r="C22" s="277" t="n">
        <v>881.361</v>
      </c>
      <c r="D22" s="277" t="n">
        <v>943.937631</v>
      </c>
      <c r="E22" s="277" t="n">
        <v>960.928508358</v>
      </c>
      <c r="F22" s="277" t="n">
        <v>967.655007916506</v>
      </c>
      <c r="G22" s="277" t="n">
        <v>998.619968169834</v>
      </c>
      <c r="H22" s="277" t="n">
        <v>1030.57580715127</v>
      </c>
      <c r="I22" s="306" t="n">
        <v>1063.55423298011</v>
      </c>
    </row>
    <row r="23" ht="12.75" customHeight="1" s="207">
      <c r="A23" s="278" t="n"/>
      <c r="B23" s="235" t="n"/>
      <c r="C23" s="277" t="n"/>
      <c r="D23" s="277" t="n"/>
      <c r="E23" s="277" t="n"/>
      <c r="F23" s="277" t="n"/>
      <c r="G23" s="277" t="n"/>
      <c r="H23" s="277" t="n"/>
      <c r="I23" s="306" t="n"/>
    </row>
    <row r="24" ht="12.75" customHeight="1" s="207">
      <c r="A24" s="310" t="inlineStr">
        <is>
          <t>Employee Expense Reports</t>
        </is>
      </c>
      <c r="B24" s="235" t="n"/>
      <c r="C24" s="235" t="n"/>
      <c r="D24" s="235" t="n"/>
      <c r="E24" s="235" t="n"/>
      <c r="F24" s="235" t="n"/>
      <c r="G24" s="235" t="n"/>
      <c r="H24" s="235" t="n"/>
      <c r="I24" s="311" t="n"/>
    </row>
    <row r="25" ht="12.75" customHeight="1" s="207">
      <c r="A25" s="278" t="inlineStr">
        <is>
          <t>Manual Employee Expense Reports (Including T&amp;E &amp; payroll adj's and P-cards)</t>
        </is>
      </c>
      <c r="B25" s="235" t="n"/>
      <c r="C25" s="312">
        <f>IF(B18=0,0,+C18/B18-1)</f>
        <v/>
      </c>
      <c r="D25" s="312">
        <f>IF(C18=0,0,+D18/C18-1)</f>
        <v/>
      </c>
      <c r="E25" s="312">
        <f>IF(D18=0,0,+E18/D18-1)</f>
        <v/>
      </c>
      <c r="F25" s="312">
        <f>IF(E18=0,0,+F18/E18-1)</f>
        <v/>
      </c>
      <c r="G25" s="312">
        <f>IF(F18=0,0,+G18/F18-1)</f>
        <v/>
      </c>
      <c r="H25" s="312">
        <f>IF(G18=0,0,+H18/G18-1)</f>
        <v/>
      </c>
      <c r="I25" s="313">
        <f>IF(H18=0,0,+I18/H18-1)</f>
        <v/>
      </c>
    </row>
    <row r="26" ht="12.75" customHeight="1" s="207">
      <c r="A26" s="278" t="inlineStr">
        <is>
          <t>Electronic Employee Expense Reports</t>
        </is>
      </c>
      <c r="B26" s="235" t="n"/>
      <c r="C26" s="312">
        <f>IF(B19=0,0,+C19/B19-1)</f>
        <v/>
      </c>
      <c r="D26" s="312">
        <f>IF(C19=0,0,+D19/C19-1)</f>
        <v/>
      </c>
      <c r="E26" s="312">
        <f>IF(D19=0,0,+E19/D19-1)</f>
        <v/>
      </c>
      <c r="F26" s="312">
        <f>IF(E19=0,0,+F19/E19-1)</f>
        <v/>
      </c>
      <c r="G26" s="312">
        <f>IF(F19=0,0,+G19/F19-1)</f>
        <v/>
      </c>
      <c r="H26" s="312">
        <f>IF(G19=0,0,+H19/G19-1)</f>
        <v/>
      </c>
      <c r="I26" s="313">
        <f>IF(H19=0,0,+I19/H19-1)</f>
        <v/>
      </c>
    </row>
    <row r="27" ht="12.75" customHeight="1" s="207">
      <c r="A27" s="278" t="inlineStr">
        <is>
          <t>No. Credit Cards Administered</t>
        </is>
      </c>
      <c r="B27" s="235" t="n"/>
      <c r="C27" s="312">
        <f>IF(B20=0,0,+C20/B20-1)</f>
        <v/>
      </c>
      <c r="D27" s="312">
        <f>IF(C20=0,0,+D20/C20-1)</f>
        <v/>
      </c>
      <c r="E27" s="312">
        <f>IF(D20=0,0,+E20/D20-1)</f>
        <v/>
      </c>
      <c r="F27" s="312">
        <f>IF(E20=0,0,+F20/E20-1)</f>
        <v/>
      </c>
      <c r="G27" s="312">
        <f>IF(F20=0,0,+G20/F20-1)</f>
        <v/>
      </c>
      <c r="H27" s="312">
        <f>IF(G20=0,0,+H20/G20-1)</f>
        <v/>
      </c>
      <c r="I27" s="313">
        <f>IF(H20=0,0,+I20/H20-1)</f>
        <v/>
      </c>
    </row>
    <row r="28" ht="12.75" customHeight="1" s="207">
      <c r="A28" s="278" t="inlineStr">
        <is>
          <t>No. Purchasing Cards Administered</t>
        </is>
      </c>
      <c r="B28" s="235" t="n"/>
      <c r="C28" s="312">
        <f>IF(B21=0,0,+C21/B21-1)</f>
        <v/>
      </c>
      <c r="D28" s="312">
        <f>IF(C21=0,0,+D21/C21-1)</f>
        <v/>
      </c>
      <c r="E28" s="312">
        <f>IF(D21=0,0,+E21/D21-1)</f>
        <v/>
      </c>
      <c r="F28" s="312">
        <f>IF(E21=0,0,+F21/E21-1)</f>
        <v/>
      </c>
      <c r="G28" s="312">
        <f>IF(F21=0,0,+G21/F21-1)</f>
        <v/>
      </c>
      <c r="H28" s="312">
        <f>IF(G21=0,0,+H21/G21-1)</f>
        <v/>
      </c>
      <c r="I28" s="313">
        <f>IF(H21=0,0,+I21/H21-1)</f>
        <v/>
      </c>
    </row>
    <row r="29" ht="13.5" customHeight="1" s="207">
      <c r="A29" s="278" t="inlineStr">
        <is>
          <t>EmployeesWith active Boomerang (T&amp;E system) accounts</t>
        </is>
      </c>
      <c r="B29" s="312" t="n"/>
      <c r="C29" s="312">
        <f>IF(B22=0,0,+C22/B22-1)</f>
        <v/>
      </c>
      <c r="D29" s="312">
        <f>IF(C22=0,0,+D22/C22-1)</f>
        <v/>
      </c>
      <c r="E29" s="312">
        <f>IF(D22=0,0,+E22/D22-1)</f>
        <v/>
      </c>
      <c r="F29" s="312">
        <f>IF(E22=0,0,+F22/E22-1)</f>
        <v/>
      </c>
      <c r="G29" s="312">
        <f>IF(F22=0,0,+G22/F22-1)</f>
        <v/>
      </c>
      <c r="H29" s="312">
        <f>IF(G22=0,0,+H22/G22-1)</f>
        <v/>
      </c>
      <c r="I29" s="313">
        <f>IF(H22=0,0,+I22/H22-1)</f>
        <v/>
      </c>
    </row>
    <row r="30" ht="16.5" customHeight="1" s="207">
      <c r="A30" s="303" t="inlineStr">
        <is>
          <t>Order to Cash</t>
        </is>
      </c>
      <c r="B30" s="258" t="n"/>
      <c r="C30" s="258" t="n"/>
      <c r="D30" s="258" t="n"/>
      <c r="E30" s="258" t="n"/>
      <c r="F30" s="258" t="n"/>
      <c r="G30" s="258" t="n"/>
      <c r="H30" s="258" t="n"/>
      <c r="I30" s="304" t="n"/>
    </row>
    <row r="31" ht="12.75" customHeight="1" s="207">
      <c r="A31" s="260" t="inlineStr">
        <is>
          <t>Credit</t>
        </is>
      </c>
      <c r="B31" s="285" t="n"/>
      <c r="C31" s="285" t="n"/>
      <c r="D31" s="227" t="n"/>
      <c r="E31" s="227" t="n"/>
      <c r="F31" s="227" t="n"/>
      <c r="G31" s="227" t="n"/>
      <c r="H31" s="227" t="n"/>
      <c r="I31" s="305" t="n"/>
    </row>
    <row r="32" ht="12.75" customHeight="1" s="207">
      <c r="A32" s="276" t="inlineStr">
        <is>
          <t>Credit Applications Processed - Standard</t>
        </is>
      </c>
      <c r="B32" s="244" t="n">
        <v>40</v>
      </c>
      <c r="C32" s="277" t="n">
        <v>39.28</v>
      </c>
      <c r="D32" s="277" t="n">
        <v>43.0116</v>
      </c>
      <c r="E32" s="277" t="n">
        <v>48.0869688</v>
      </c>
      <c r="F32" s="277" t="n">
        <v>51.5011435848</v>
      </c>
      <c r="G32" s="277" t="n">
        <v>56.0847453638472</v>
      </c>
      <c r="H32" s="277" t="n">
        <v>61.0762877012296</v>
      </c>
      <c r="I32" s="306" t="n">
        <v>66.512077306639</v>
      </c>
    </row>
    <row r="33" ht="12.75" customHeight="1" s="207">
      <c r="A33" s="276" t="inlineStr">
        <is>
          <t>Credit Application Processed - Special/Outside Policy</t>
        </is>
      </c>
      <c r="B33" s="244" t="n">
        <v>10</v>
      </c>
      <c r="C33" s="277" t="n">
        <v>9.82</v>
      </c>
      <c r="D33" s="277" t="n">
        <v>10.7529</v>
      </c>
      <c r="E33" s="277" t="n">
        <v>12.0217422</v>
      </c>
      <c r="F33" s="277" t="n">
        <v>12.8752858962</v>
      </c>
      <c r="G33" s="277" t="n">
        <v>14.0211863409618</v>
      </c>
      <c r="H33" s="277" t="n">
        <v>15.2690719253074</v>
      </c>
      <c r="I33" s="306" t="n">
        <v>16.6280193266598</v>
      </c>
    </row>
    <row r="34" ht="12.75" customHeight="1" s="207">
      <c r="A34" s="276" t="inlineStr">
        <is>
          <t>Credit Review Processed</t>
        </is>
      </c>
      <c r="B34" s="244" t="n">
        <v>291</v>
      </c>
      <c r="C34" s="277" t="n">
        <v>285.762</v>
      </c>
      <c r="D34" s="277" t="n">
        <v>312.90939</v>
      </c>
      <c r="E34" s="277" t="n">
        <v>349.83269802</v>
      </c>
      <c r="F34" s="277" t="n">
        <v>374.67081957942</v>
      </c>
      <c r="G34" s="277" t="n">
        <v>408.016522521988</v>
      </c>
      <c r="H34" s="277" t="n">
        <v>444.329993026445</v>
      </c>
      <c r="I34" s="306" t="n">
        <v>483.875362405799</v>
      </c>
    </row>
    <row r="35" ht="12.75" customHeight="1" s="207">
      <c r="A35" s="268" t="inlineStr">
        <is>
          <t>Order Entry</t>
        </is>
      </c>
      <c r="B35" s="244" t="n"/>
      <c r="C35" s="244" t="n"/>
      <c r="D35" s="244" t="n"/>
      <c r="E35" s="244" t="n"/>
      <c r="F35" s="244" t="n"/>
      <c r="G35" s="244" t="n"/>
      <c r="H35" s="244" t="n"/>
      <c r="I35" s="314" t="n"/>
    </row>
    <row r="36" ht="12.75" customHeight="1" s="207">
      <c r="A36" s="276" t="inlineStr">
        <is>
          <t>Manual Orders Processed</t>
        </is>
      </c>
      <c r="B36" s="244" t="n">
        <v>3687</v>
      </c>
      <c r="C36" s="277" t="n">
        <v>3620.634</v>
      </c>
      <c r="D36" s="277" t="n">
        <v>3964.59423</v>
      </c>
      <c r="E36" s="277" t="n">
        <v>4432.41634914</v>
      </c>
      <c r="F36" s="277" t="n">
        <v>4747.11790992894</v>
      </c>
      <c r="G36" s="277" t="n">
        <v>5169.61140391262</v>
      </c>
      <c r="H36" s="277" t="n">
        <v>5629.70681886084</v>
      </c>
      <c r="I36" s="306" t="n">
        <v>6130.75072573945</v>
      </c>
    </row>
    <row r="37" ht="12.75" customHeight="1" s="207">
      <c r="A37" s="276" t="inlineStr">
        <is>
          <t>Electronic Orders Processed</t>
        </is>
      </c>
      <c r="B37" s="244" t="n">
        <v>1028</v>
      </c>
      <c r="C37" s="277" t="n">
        <v>1009.496</v>
      </c>
      <c r="D37" s="277" t="n">
        <v>1105.39812</v>
      </c>
      <c r="E37" s="277" t="n">
        <v>1235.83509816</v>
      </c>
      <c r="F37" s="277" t="n">
        <v>1323.57939012936</v>
      </c>
      <c r="G37" s="277" t="n">
        <v>1441.37795585087</v>
      </c>
      <c r="H37" s="277" t="n">
        <v>1569.6605939216</v>
      </c>
      <c r="I37" s="306" t="n">
        <v>1709.36038678062</v>
      </c>
    </row>
    <row r="38" ht="12.75" customHeight="1" s="207">
      <c r="A38" s="268" t="inlineStr">
        <is>
          <t>Customer Inquiries</t>
        </is>
      </c>
      <c r="B38" s="244" t="n"/>
      <c r="C38" s="244" t="n"/>
      <c r="D38" s="244" t="n"/>
      <c r="E38" s="244" t="n"/>
      <c r="F38" s="244" t="n"/>
      <c r="G38" s="244" t="n"/>
      <c r="H38" s="244" t="n"/>
      <c r="I38" s="314" t="n"/>
    </row>
    <row r="39" ht="12.75" customHeight="1" s="207">
      <c r="A39" s="276" t="inlineStr">
        <is>
          <t>Internal Inquiries</t>
        </is>
      </c>
      <c r="B39" s="244" t="n">
        <v>1260</v>
      </c>
      <c r="C39" s="277" t="n">
        <v>1237.32</v>
      </c>
      <c r="D39" s="277" t="n">
        <v>1354.8654</v>
      </c>
      <c r="E39" s="277" t="n">
        <v>1514.7395172</v>
      </c>
      <c r="F39" s="277" t="n">
        <v>1622.2860229212</v>
      </c>
      <c r="G39" s="277" t="n">
        <v>1766.66947896119</v>
      </c>
      <c r="H39" s="277" t="n">
        <v>1923.90306258873</v>
      </c>
      <c r="I39" s="306" t="n">
        <v>2095.13043515913</v>
      </c>
    </row>
    <row r="40" ht="12.75" customHeight="1" s="207">
      <c r="A40" s="276" t="inlineStr">
        <is>
          <t>External Inquiries</t>
        </is>
      </c>
      <c r="B40" s="244" t="n">
        <v>126</v>
      </c>
      <c r="C40" s="277" t="n">
        <v>123.732</v>
      </c>
      <c r="D40" s="277" t="n">
        <v>135.48654</v>
      </c>
      <c r="E40" s="277" t="n">
        <v>151.47395172</v>
      </c>
      <c r="F40" s="277" t="n">
        <v>162.22860229212</v>
      </c>
      <c r="G40" s="277" t="n">
        <v>176.666947896119</v>
      </c>
      <c r="H40" s="277" t="n">
        <v>192.390306258873</v>
      </c>
      <c r="I40" s="306" t="n">
        <v>209.513043515913</v>
      </c>
    </row>
    <row r="41" ht="12.75" customHeight="1" s="207">
      <c r="A41" s="268" t="inlineStr">
        <is>
          <t>Invoicing</t>
        </is>
      </c>
      <c r="B41" s="244" t="n"/>
      <c r="C41" s="244" t="n"/>
      <c r="D41" s="244" t="n"/>
      <c r="E41" s="244" t="n"/>
      <c r="F41" s="244" t="n"/>
      <c r="G41" s="244" t="n"/>
      <c r="H41" s="244" t="n"/>
      <c r="I41" s="314" t="n"/>
    </row>
    <row r="42" ht="12.75" customHeight="1" s="207">
      <c r="A42" s="276" t="inlineStr">
        <is>
          <t>Paper Invoices</t>
        </is>
      </c>
      <c r="B42" s="244" t="n">
        <v>5001</v>
      </c>
      <c r="C42" s="277" t="n">
        <v>4910.982</v>
      </c>
      <c r="D42" s="277" t="n">
        <v>5377.52529</v>
      </c>
      <c r="E42" s="277" t="n">
        <v>6012.07327422</v>
      </c>
      <c r="F42" s="277" t="n">
        <v>6438.93047668962</v>
      </c>
      <c r="G42" s="277" t="n">
        <v>7011.995289115</v>
      </c>
      <c r="H42" s="277" t="n">
        <v>7636.06286984623</v>
      </c>
      <c r="I42" s="306" t="n">
        <v>8315.672465262551</v>
      </c>
    </row>
    <row r="43" ht="12.75" customHeight="1" s="207">
      <c r="A43" s="276" t="inlineStr">
        <is>
          <t>Electronic Invoices</t>
        </is>
      </c>
      <c r="B43" s="244" t="n">
        <v>556</v>
      </c>
      <c r="C43" s="277" t="n">
        <v>545.992</v>
      </c>
      <c r="D43" s="277" t="n">
        <v>597.86124</v>
      </c>
      <c r="E43" s="277" t="n">
        <v>668.40886632</v>
      </c>
      <c r="F43" s="277" t="n">
        <v>715.86589582872</v>
      </c>
      <c r="G43" s="277" t="n">
        <v>779.577960557476</v>
      </c>
      <c r="H43" s="277" t="n">
        <v>848.960399047091</v>
      </c>
      <c r="I43" s="306" t="n">
        <v>924.5178745622831</v>
      </c>
    </row>
    <row r="44" ht="12.75" customHeight="1" s="207">
      <c r="A44" s="276" t="inlineStr">
        <is>
          <t>Customer Statements</t>
        </is>
      </c>
      <c r="B44" s="244" t="n">
        <v>1700</v>
      </c>
      <c r="C44" s="277" t="n">
        <v>1669.4</v>
      </c>
      <c r="D44" s="277" t="n">
        <v>1827.993</v>
      </c>
      <c r="E44" s="277" t="n">
        <v>2043.696174</v>
      </c>
      <c r="F44" s="277" t="n">
        <v>2188.798602354</v>
      </c>
      <c r="G44" s="277" t="n">
        <v>2383.60167796351</v>
      </c>
      <c r="H44" s="277" t="n">
        <v>2595.74222730226</v>
      </c>
      <c r="I44" s="306" t="n">
        <v>2826.76328553216</v>
      </c>
    </row>
    <row r="45" ht="12.75" customHeight="1" s="207">
      <c r="A45" s="268" t="inlineStr">
        <is>
          <t>Cash Applications</t>
        </is>
      </c>
      <c r="B45" s="244" t="n"/>
      <c r="C45" s="244" t="n"/>
      <c r="D45" s="244" t="n"/>
      <c r="E45" s="244" t="n"/>
      <c r="F45" s="244" t="n"/>
      <c r="G45" s="244" t="n"/>
      <c r="H45" s="244" t="n"/>
      <c r="I45" s="314" t="n"/>
    </row>
    <row r="46" ht="12.75" customHeight="1" s="207">
      <c r="A46" s="276" t="inlineStr">
        <is>
          <t>Electronic Payments</t>
        </is>
      </c>
      <c r="B46" s="244" t="n">
        <v>460</v>
      </c>
      <c r="C46" s="277" t="n">
        <v>451.72</v>
      </c>
      <c r="D46" s="277" t="n">
        <v>494.6334</v>
      </c>
      <c r="E46" s="277" t="n">
        <v>553.0001412</v>
      </c>
      <c r="F46" s="277" t="n">
        <v>592.2631512252</v>
      </c>
      <c r="G46" s="277" t="n">
        <v>644.974571684243</v>
      </c>
      <c r="H46" s="277" t="n">
        <v>702.37730856414</v>
      </c>
      <c r="I46" s="306" t="n">
        <v>764.888889026349</v>
      </c>
    </row>
    <row r="47" ht="12.75" customHeight="1" s="207">
      <c r="A47" s="276" t="inlineStr">
        <is>
          <t>Lockbox Payments</t>
        </is>
      </c>
      <c r="B47" s="244" t="n">
        <v>0</v>
      </c>
      <c r="C47" s="277" t="n">
        <v>0</v>
      </c>
      <c r="D47" s="277" t="n">
        <v>0</v>
      </c>
      <c r="E47" s="277" t="n">
        <v>0</v>
      </c>
      <c r="F47" s="277" t="n">
        <v>0</v>
      </c>
      <c r="G47" s="277" t="n">
        <v>0</v>
      </c>
      <c r="H47" s="277" t="n">
        <v>0</v>
      </c>
      <c r="I47" s="306" t="n">
        <v>0</v>
      </c>
    </row>
    <row r="48" ht="12.75" customHeight="1" s="207">
      <c r="A48" s="276" t="inlineStr">
        <is>
          <t>Check Payments</t>
        </is>
      </c>
      <c r="B48" s="244" t="n">
        <v>560</v>
      </c>
      <c r="C48" s="277" t="n">
        <v>549.92</v>
      </c>
      <c r="D48" s="277" t="n">
        <v>602.1624</v>
      </c>
      <c r="E48" s="277" t="n">
        <v>673.2175632</v>
      </c>
      <c r="F48" s="277" t="n">
        <v>721.0160101872</v>
      </c>
      <c r="G48" s="277" t="n">
        <v>785.186435093861</v>
      </c>
      <c r="H48" s="277" t="n">
        <v>855.068027817214</v>
      </c>
      <c r="I48" s="306" t="n">
        <v>931.169082292946</v>
      </c>
    </row>
    <row r="49" ht="12.75" customHeight="1" s="207">
      <c r="A49" s="268" t="inlineStr">
        <is>
          <t>Collections</t>
        </is>
      </c>
      <c r="B49" s="244" t="n"/>
      <c r="C49" s="244" t="n"/>
      <c r="D49" s="244" t="n"/>
      <c r="E49" s="244" t="n"/>
      <c r="F49" s="244" t="n"/>
      <c r="G49" s="244" t="n"/>
      <c r="H49" s="244" t="n"/>
      <c r="I49" s="314" t="n"/>
    </row>
    <row r="50" ht="13.5" customHeight="1" s="207">
      <c r="A50" s="276" t="inlineStr">
        <is>
          <t>Actively Managed Accounts</t>
        </is>
      </c>
      <c r="B50" s="244" t="n">
        <v>704</v>
      </c>
      <c r="C50" s="277" t="n">
        <v>691.328</v>
      </c>
      <c r="D50" s="277" t="n">
        <v>757.00416</v>
      </c>
      <c r="E50" s="277" t="n">
        <v>846.33065088</v>
      </c>
      <c r="F50" s="277" t="n">
        <v>906.42012709248</v>
      </c>
      <c r="G50" s="277" t="n">
        <v>987.091518403711</v>
      </c>
      <c r="H50" s="277" t="n">
        <v>1074.94266354164</v>
      </c>
      <c r="I50" s="306" t="n">
        <v>1170.61256059685</v>
      </c>
    </row>
    <row r="51" ht="16.5" customHeight="1" s="207">
      <c r="A51" s="303" t="inlineStr">
        <is>
          <t>Fixed Assets</t>
        </is>
      </c>
      <c r="B51" s="258" t="n"/>
      <c r="C51" s="258" t="n"/>
      <c r="D51" s="258" t="n"/>
      <c r="E51" s="258" t="n"/>
      <c r="F51" s="258" t="n"/>
      <c r="G51" s="258" t="n"/>
      <c r="H51" s="258" t="n"/>
      <c r="I51" s="304" t="n"/>
    </row>
    <row r="52" ht="12.75" customHeight="1" s="207">
      <c r="A52" s="260" t="inlineStr">
        <is>
          <t>Fixed Assets</t>
        </is>
      </c>
      <c r="B52" s="227" t="n"/>
      <c r="C52" s="227" t="n"/>
      <c r="D52" s="227" t="n"/>
      <c r="E52" s="227" t="n"/>
      <c r="F52" s="227" t="n"/>
      <c r="G52" s="227" t="n"/>
      <c r="H52" s="227" t="n"/>
      <c r="I52" s="305" t="n"/>
    </row>
    <row r="53" ht="12.75" customHeight="1" s="207">
      <c r="A53" s="276" t="inlineStr">
        <is>
          <t>Active Assets</t>
        </is>
      </c>
      <c r="B53" s="235" t="n">
        <v>1049</v>
      </c>
      <c r="C53" s="277" t="n">
        <v>1104.597</v>
      </c>
      <c r="D53" s="277" t="n">
        <v>1183.023387</v>
      </c>
      <c r="E53" s="277" t="n">
        <v>1204.317807966</v>
      </c>
      <c r="F53" s="277" t="n">
        <v>1212.74803262176</v>
      </c>
      <c r="G53" s="277" t="n">
        <v>1251.55596966566</v>
      </c>
      <c r="H53" s="277" t="n">
        <v>1291.60576069496</v>
      </c>
      <c r="I53" s="306" t="n">
        <v>1332.9371450372</v>
      </c>
    </row>
    <row r="54" ht="13.5" customHeight="1" s="207">
      <c r="A54" s="276" t="inlineStr">
        <is>
          <t>Asset Record Changes</t>
        </is>
      </c>
      <c r="B54" s="235" t="n">
        <v>64</v>
      </c>
      <c r="C54" s="277" t="n">
        <v>67.392</v>
      </c>
      <c r="D54" s="277" t="n">
        <v>72.176832</v>
      </c>
      <c r="E54" s="277" t="n">
        <v>73.476014976</v>
      </c>
      <c r="F54" s="277" t="n">
        <v>73.990347080832</v>
      </c>
      <c r="G54" s="277" t="n">
        <v>76.3580381874186</v>
      </c>
      <c r="H54" s="277" t="n">
        <v>78.80149540941601</v>
      </c>
      <c r="I54" s="306" t="n">
        <v>81.32314326251731</v>
      </c>
    </row>
    <row r="55" ht="16.5" customHeight="1" s="207">
      <c r="A55" s="303" t="inlineStr">
        <is>
          <t>Account to Report</t>
        </is>
      </c>
      <c r="B55" s="258" t="n"/>
      <c r="C55" s="258" t="n"/>
      <c r="D55" s="258" t="n"/>
      <c r="E55" s="258" t="n"/>
      <c r="F55" s="258" t="n"/>
      <c r="G55" s="258" t="n"/>
      <c r="H55" s="258" t="n"/>
      <c r="I55" s="304" t="n"/>
    </row>
    <row r="56" ht="12.75" customHeight="1" s="207">
      <c r="A56" s="260" t="inlineStr">
        <is>
          <t>General Ledger Accounting</t>
        </is>
      </c>
      <c r="B56" s="227" t="n"/>
      <c r="C56" s="227" t="n"/>
      <c r="D56" s="227" t="n"/>
      <c r="E56" s="227" t="n"/>
      <c r="F56" s="227" t="n"/>
      <c r="G56" s="227" t="n"/>
      <c r="H56" s="227" t="n"/>
      <c r="I56" s="305" t="n"/>
    </row>
    <row r="57" ht="13.5" customHeight="1" s="207">
      <c r="A57" s="276" t="inlineStr">
        <is>
          <t>Journal Entries - Recurring (included in Manual below)</t>
        </is>
      </c>
      <c r="B57" s="249" t="n">
        <v>0</v>
      </c>
      <c r="C57" s="235" t="n">
        <v>0</v>
      </c>
      <c r="D57" s="235" t="n">
        <v>0</v>
      </c>
      <c r="E57" s="235" t="n">
        <v>0</v>
      </c>
      <c r="F57" s="235" t="n">
        <v>0</v>
      </c>
      <c r="G57" s="235" t="n">
        <v>0</v>
      </c>
      <c r="H57" s="235" t="n">
        <v>0</v>
      </c>
      <c r="I57" s="311" t="n">
        <v>0</v>
      </c>
    </row>
    <row r="58" ht="12.75" customHeight="1" s="207">
      <c r="A58" s="276" t="inlineStr">
        <is>
          <t>Journal Entries - Automated Posting</t>
        </is>
      </c>
      <c r="B58" s="277">
        <f>46000-B59</f>
        <v/>
      </c>
      <c r="C58" s="277" t="n">
        <v>46211.958</v>
      </c>
      <c r="D58" s="277" t="n">
        <v>49493.007018</v>
      </c>
      <c r="E58" s="277" t="n">
        <v>50383.881144324</v>
      </c>
      <c r="F58" s="277" t="n">
        <v>50736.5683123343</v>
      </c>
      <c r="G58" s="277" t="n">
        <v>52360.138498329</v>
      </c>
      <c r="H58" s="277" t="n">
        <v>54035.6629302755</v>
      </c>
      <c r="I58" s="306" t="n">
        <v>55764.8041440443</v>
      </c>
    </row>
    <row r="59" ht="12.75" customHeight="1" s="207">
      <c r="A59" s="276" t="inlineStr">
        <is>
          <t>Journal Entries - Manual</t>
        </is>
      </c>
      <c r="B59" s="277" t="n">
        <v>2114</v>
      </c>
      <c r="C59" s="277" t="n">
        <v>2226.042</v>
      </c>
      <c r="D59" s="277" t="n">
        <v>2384.090982</v>
      </c>
      <c r="E59" s="277" t="n">
        <v>2427.004619676</v>
      </c>
      <c r="F59" s="277" t="n">
        <v>2443.99365201373</v>
      </c>
      <c r="G59" s="277" t="n">
        <v>2522.20144887817</v>
      </c>
      <c r="H59" s="277" t="n">
        <v>2602.91189524227</v>
      </c>
      <c r="I59" s="306" t="n">
        <v>2686.20507589003</v>
      </c>
    </row>
    <row r="60" ht="12.75" customHeight="1" s="207">
      <c r="A60" s="276" t="inlineStr">
        <is>
          <t>Chart of Account Change</t>
        </is>
      </c>
      <c r="B60" s="315">
        <f>176/12</f>
        <v/>
      </c>
      <c r="C60" s="277" t="n">
        <v>15.444</v>
      </c>
      <c r="D60" s="277" t="n">
        <v>16.540524</v>
      </c>
      <c r="E60" s="277" t="n">
        <v>16.838253432</v>
      </c>
      <c r="F60" s="277" t="n">
        <v>16.956121206024</v>
      </c>
      <c r="G60" s="277" t="n">
        <v>17.4987170846168</v>
      </c>
      <c r="H60" s="277" t="n">
        <v>18.0586760313245</v>
      </c>
      <c r="I60" s="306" t="n">
        <v>18.6365536643269</v>
      </c>
    </row>
    <row r="61" ht="12.75" customHeight="1" s="207">
      <c r="A61" s="276" t="inlineStr">
        <is>
          <t>Legal Entity Change</t>
        </is>
      </c>
      <c r="B61" s="235" t="n">
        <v>0</v>
      </c>
      <c r="C61" s="235" t="n"/>
      <c r="D61" s="235" t="n"/>
      <c r="E61" s="235" t="n"/>
      <c r="F61" s="235" t="n"/>
      <c r="G61" s="235" t="n"/>
      <c r="H61" s="235" t="n"/>
      <c r="I61" s="311" t="n"/>
    </row>
    <row r="62" ht="12.75" customHeight="1" s="207">
      <c r="A62" s="276" t="inlineStr">
        <is>
          <t>Cost Center Change</t>
        </is>
      </c>
      <c r="B62" s="315">
        <f>80/12</f>
        <v/>
      </c>
      <c r="C62" s="277" t="n">
        <v>7.02</v>
      </c>
      <c r="D62" s="277" t="n">
        <v>7.51842</v>
      </c>
      <c r="E62" s="277" t="n">
        <v>7.65375156</v>
      </c>
      <c r="F62" s="277" t="n">
        <v>7.70732782092</v>
      </c>
      <c r="G62" s="277" t="n">
        <v>7.95396231118944</v>
      </c>
      <c r="H62" s="277" t="n">
        <v>8.2084891051475</v>
      </c>
      <c r="I62" s="306" t="n">
        <v>8.471160756512219</v>
      </c>
    </row>
    <row r="63" ht="12.75" customHeight="1" s="207">
      <c r="A63" s="276" t="inlineStr">
        <is>
          <t>Account Reconciliations</t>
        </is>
      </c>
      <c r="B63" s="277" t="n">
        <v>25</v>
      </c>
      <c r="C63" s="277" t="n">
        <v>26.325</v>
      </c>
      <c r="D63" s="277" t="n">
        <v>28.194075</v>
      </c>
      <c r="E63" s="277" t="n">
        <v>28.70156835</v>
      </c>
      <c r="F63" s="277" t="n">
        <v>28.90247932845</v>
      </c>
      <c r="G63" s="277" t="n">
        <v>29.8273586669604</v>
      </c>
      <c r="H63" s="277" t="n">
        <v>30.7818341443031</v>
      </c>
      <c r="I63" s="306" t="n">
        <v>31.7668528369208</v>
      </c>
    </row>
    <row r="64" ht="12.75" customHeight="1" s="207">
      <c r="A64" s="265" t="inlineStr">
        <is>
          <t>Financial Reporting</t>
        </is>
      </c>
      <c r="B64" s="277" t="n"/>
      <c r="C64" s="277" t="n"/>
      <c r="D64" s="277" t="n"/>
      <c r="E64" s="277" t="n"/>
      <c r="F64" s="277" t="n"/>
      <c r="G64" s="277" t="n"/>
      <c r="H64" s="277" t="n"/>
      <c r="I64" s="306" t="n"/>
    </row>
    <row r="65" ht="12.75" customHeight="1" s="207">
      <c r="A65" s="276" t="inlineStr">
        <is>
          <t>Reports (Automated)</t>
        </is>
      </c>
      <c r="B65" s="316" t="n">
        <v>470</v>
      </c>
      <c r="C65" s="277" t="n">
        <v>494.91</v>
      </c>
      <c r="D65" s="277" t="n">
        <v>530.0486100000001</v>
      </c>
      <c r="E65" s="277" t="n">
        <v>539.58948498</v>
      </c>
      <c r="F65" s="277" t="n">
        <v>543.36661137486</v>
      </c>
      <c r="G65" s="277" t="n">
        <v>560.754342938856</v>
      </c>
      <c r="H65" s="277" t="n">
        <v>578.698481912899</v>
      </c>
      <c r="I65" s="306" t="n">
        <v>597.216833334112</v>
      </c>
    </row>
    <row r="66" ht="12.75" customHeight="1" s="207">
      <c r="A66" s="276" t="inlineStr">
        <is>
          <t>Manual Regulatory Reports</t>
        </is>
      </c>
      <c r="B66" s="316" t="n">
        <v>1</v>
      </c>
      <c r="C66" s="277" t="n">
        <v>1.053</v>
      </c>
      <c r="D66" s="277" t="n">
        <v>1.127763</v>
      </c>
      <c r="E66" s="277" t="n">
        <v>1.148062734</v>
      </c>
      <c r="F66" s="277" t="n">
        <v>1.156099173138</v>
      </c>
      <c r="G66" s="277" t="n">
        <v>1.19309434667842</v>
      </c>
      <c r="H66" s="277" t="n">
        <v>1.23127336577213</v>
      </c>
      <c r="I66" s="306" t="n">
        <v>1.27067411347683</v>
      </c>
    </row>
    <row r="67" ht="12.75" customHeight="1" s="207">
      <c r="A67" s="276" t="inlineStr">
        <is>
          <t>Manual Scheduled Reports</t>
        </is>
      </c>
      <c r="B67" s="316" t="n">
        <v>7</v>
      </c>
      <c r="C67" s="277" t="n">
        <v>7.371</v>
      </c>
      <c r="D67" s="277" t="n">
        <v>7.894341</v>
      </c>
      <c r="E67" s="277" t="n">
        <v>8.036439138</v>
      </c>
      <c r="F67" s="277" t="n">
        <v>8.092694211966</v>
      </c>
      <c r="G67" s="277" t="n">
        <v>8.351660426748911</v>
      </c>
      <c r="H67" s="277" t="n">
        <v>8.618913560404881</v>
      </c>
      <c r="I67" s="306" t="n">
        <v>8.89471879433783</v>
      </c>
    </row>
    <row r="68" ht="12.75" customHeight="1" s="207">
      <c r="A68" s="265" t="inlineStr">
        <is>
          <t>Financial Management Services</t>
        </is>
      </c>
      <c r="B68" s="277" t="n"/>
      <c r="C68" s="277" t="n"/>
      <c r="D68" s="277" t="n"/>
      <c r="E68" s="277" t="n"/>
      <c r="F68" s="277" t="n"/>
      <c r="G68" s="277" t="n"/>
      <c r="H68" s="277" t="n"/>
      <c r="I68" s="306" t="n"/>
    </row>
    <row r="69" ht="12.75" customHeight="1" s="207">
      <c r="A69" s="276" t="inlineStr">
        <is>
          <t>Bank Reconciliation - Main GBP Account</t>
        </is>
      </c>
      <c r="B69" s="277" t="n">
        <v>2</v>
      </c>
      <c r="C69" s="277" t="n">
        <v>2.106</v>
      </c>
      <c r="D69" s="277" t="n">
        <v>2.255526</v>
      </c>
      <c r="E69" s="277" t="n">
        <v>2.296125468</v>
      </c>
      <c r="F69" s="277" t="n">
        <v>2.312198346276</v>
      </c>
      <c r="G69" s="277" t="n">
        <v>2.38618869335683</v>
      </c>
      <c r="H69" s="277" t="n">
        <v>2.46254673154425</v>
      </c>
      <c r="I69" s="306" t="n">
        <v>2.54134822695367</v>
      </c>
    </row>
    <row r="70" ht="12.75" customHeight="1" s="207">
      <c r="A70" s="276" t="inlineStr">
        <is>
          <t>Bank Reconciliations - Foreign curreny</t>
        </is>
      </c>
      <c r="B70" s="277" t="n">
        <v>4</v>
      </c>
      <c r="C70" s="277" t="n">
        <v>4.212</v>
      </c>
      <c r="D70" s="277" t="n">
        <v>4.511052</v>
      </c>
      <c r="E70" s="277" t="n">
        <v>4.592250936</v>
      </c>
      <c r="F70" s="277" t="n">
        <v>4.624396692552</v>
      </c>
      <c r="G70" s="277" t="n">
        <v>4.77237738671366</v>
      </c>
      <c r="H70" s="277" t="n">
        <v>4.9250934630885</v>
      </c>
      <c r="I70" s="306" t="n">
        <v>5.08269645390733</v>
      </c>
    </row>
    <row r="71" ht="12.75" customHeight="1" s="207">
      <c r="A71" s="265" t="inlineStr">
        <is>
          <t>Financial Analysis &amp; Support</t>
        </is>
      </c>
      <c r="B71" s="277" t="n"/>
      <c r="C71" s="277" t="n"/>
      <c r="D71" s="277" t="n"/>
      <c r="E71" s="277" t="n"/>
      <c r="F71" s="277" t="n"/>
      <c r="G71" s="277" t="n"/>
      <c r="H71" s="277" t="n"/>
      <c r="I71" s="306" t="n"/>
    </row>
    <row r="72" ht="12.75" customHeight="1" s="207">
      <c r="A72" s="276" t="inlineStr">
        <is>
          <t>Business Units</t>
        </is>
      </c>
      <c r="B72" s="277" t="n">
        <v>7</v>
      </c>
      <c r="C72" s="277" t="n">
        <v>7.371</v>
      </c>
      <c r="D72" s="277" t="n">
        <v>7.894341</v>
      </c>
      <c r="E72" s="277" t="n">
        <v>8.036439138</v>
      </c>
      <c r="F72" s="277" t="n">
        <v>8.092694211966</v>
      </c>
      <c r="G72" s="277" t="n">
        <v>8.351660426748911</v>
      </c>
      <c r="H72" s="277" t="n">
        <v>8.618913560404881</v>
      </c>
      <c r="I72" s="306" t="n">
        <v>8.89471879433783</v>
      </c>
    </row>
    <row r="73" ht="13.5" customHeight="1" s="207">
      <c r="A73" s="276" t="inlineStr">
        <is>
          <t>Legal Entities</t>
        </is>
      </c>
      <c r="B73" s="277" t="n">
        <v>1</v>
      </c>
      <c r="C73" s="277" t="n">
        <v>1.053</v>
      </c>
      <c r="D73" s="277" t="n">
        <v>1.127763</v>
      </c>
      <c r="E73" s="277" t="n">
        <v>1.148062734</v>
      </c>
      <c r="F73" s="277" t="n">
        <v>1.156099173138</v>
      </c>
      <c r="G73" s="277" t="n">
        <v>1.19309434667842</v>
      </c>
      <c r="H73" s="277" t="n">
        <v>1.23127336577213</v>
      </c>
      <c r="I73" s="306" t="n">
        <v>1.27067411347683</v>
      </c>
    </row>
    <row r="74" ht="13.5" customHeight="1" s="207">
      <c r="A74" s="317" t="inlineStr">
        <is>
          <t>Tax</t>
        </is>
      </c>
      <c r="B74" s="318" t="n"/>
      <c r="C74" s="318" t="n"/>
      <c r="D74" s="318" t="n"/>
      <c r="E74" s="318" t="n"/>
      <c r="F74" s="318" t="n"/>
      <c r="G74" s="318" t="n"/>
      <c r="H74" s="318" t="n"/>
      <c r="I74" s="319" t="n"/>
    </row>
    <row r="75" ht="12.75" customHeight="1" s="207">
      <c r="A75" s="265" t="inlineStr">
        <is>
          <t>Tax Consulting and Compliance</t>
        </is>
      </c>
      <c r="B75" s="287" t="n"/>
      <c r="C75" s="287" t="n"/>
      <c r="D75" s="287" t="n"/>
      <c r="E75" s="287" t="n"/>
      <c r="F75" s="287" t="n"/>
      <c r="G75" s="287" t="n"/>
      <c r="H75" s="287" t="n"/>
      <c r="I75" s="320" t="n"/>
    </row>
    <row r="76" ht="13.5" customHeight="1" s="207">
      <c r="A76" s="276" t="inlineStr">
        <is>
          <t>Tax Forms/Types Filed - Excel Tax Analysis</t>
        </is>
      </c>
      <c r="B76" s="235" t="n">
        <v>29</v>
      </c>
      <c r="C76" s="277" t="n">
        <v>30.537</v>
      </c>
      <c r="D76" s="277" t="n">
        <v>32.705127</v>
      </c>
      <c r="E76" s="277" t="n">
        <v>33.293819286</v>
      </c>
      <c r="F76" s="277" t="n">
        <v>33.526876021002</v>
      </c>
      <c r="G76" s="277" t="n">
        <v>34.5997360536741</v>
      </c>
      <c r="H76" s="277" t="n">
        <v>35.7069276073916</v>
      </c>
      <c r="I76" s="306" t="n">
        <v>36.8495492908282</v>
      </c>
    </row>
    <row r="77" ht="13.5" customHeight="1" s="207">
      <c r="A77" s="317" t="inlineStr">
        <is>
          <t>Projects</t>
        </is>
      </c>
      <c r="B77" s="318" t="n"/>
      <c r="C77" s="318" t="n"/>
      <c r="D77" s="318" t="n"/>
      <c r="E77" s="318" t="n"/>
      <c r="F77" s="318" t="n"/>
      <c r="G77" s="318" t="n"/>
      <c r="H77" s="318" t="n"/>
      <c r="I77" s="319" t="n"/>
    </row>
    <row r="78" ht="12.75" customHeight="1" s="207">
      <c r="A78" s="265" t="inlineStr">
        <is>
          <t>Project Support</t>
        </is>
      </c>
      <c r="B78" s="287" t="n"/>
      <c r="C78" s="287" t="n"/>
      <c r="D78" s="287" t="n"/>
      <c r="E78" s="287" t="n"/>
      <c r="F78" s="287" t="n"/>
      <c r="G78" s="287" t="n"/>
      <c r="H78" s="287" t="n"/>
      <c r="I78" s="320" t="n"/>
    </row>
    <row r="79" ht="12.75" customHeight="1" s="207">
      <c r="A79" s="276" t="inlineStr">
        <is>
          <t>Project FTE - UK Pharma IQP Champion</t>
        </is>
      </c>
      <c r="B79" s="235" t="n">
        <v>0.3</v>
      </c>
      <c r="C79" s="235" t="n">
        <v>0.3</v>
      </c>
      <c r="D79" s="235" t="n">
        <v>0.3</v>
      </c>
      <c r="E79" s="235" t="n">
        <v>0.3</v>
      </c>
      <c r="F79" s="235" t="n">
        <v>0.3</v>
      </c>
      <c r="G79" s="235" t="n">
        <v>0.3</v>
      </c>
      <c r="H79" s="235" t="n">
        <v>0.3</v>
      </c>
      <c r="I79" s="311" t="n">
        <v>0.3</v>
      </c>
    </row>
    <row r="80" ht="13.5" customHeight="1" s="207">
      <c r="A80" s="321" t="inlineStr">
        <is>
          <t>Project FTE - UK TOPS IQP Champion</t>
        </is>
      </c>
      <c r="B80" s="322" t="n">
        <v>0.2</v>
      </c>
      <c r="C80" s="322" t="n">
        <v>0.2</v>
      </c>
      <c r="D80" s="322" t="n">
        <v>0.2</v>
      </c>
      <c r="E80" s="322" t="n">
        <v>0.2</v>
      </c>
      <c r="F80" s="322" t="n">
        <v>0.2</v>
      </c>
      <c r="G80" s="322" t="n">
        <v>0.2</v>
      </c>
      <c r="H80" s="322" t="n">
        <v>0.2</v>
      </c>
      <c r="I80" s="323" t="n">
        <v>0.2</v>
      </c>
    </row>
  </sheetData>
  <mergeCells count="7">
    <mergeCell ref="A51:I51"/>
    <mergeCell ref="A77:I77"/>
    <mergeCell ref="A3:I3"/>
    <mergeCell ref="A74:I74"/>
    <mergeCell ref="A55:I55"/>
    <mergeCell ref="A30:I30"/>
    <mergeCell ref="A16:I16"/>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rowBreaks count="1" manualBreakCount="1">
    <brk id="50" min="0" max="16383" man="1"/>
  </rowBreaks>
</worksheet>
</file>

<file path=xl/worksheets/sheet9.xml><?xml version="1.0" encoding="utf-8"?>
<worksheet xmlns="http://schemas.openxmlformats.org/spreadsheetml/2006/main">
  <sheetPr filterMode="0">
    <outlinePr summaryBelow="1" summaryRight="1"/>
    <pageSetUpPr fitToPage="0"/>
  </sheetPr>
  <dimension ref="A1:M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L6" activeCellId="0" sqref="L6:M9"/>
    </sheetView>
  </sheetViews>
  <sheetFormatPr baseColWidth="8" defaultColWidth="9.13671875" defaultRowHeight="12.75" customHeight="1" zeroHeight="0" outlineLevelRow="0"/>
  <cols>
    <col width="58.71" customWidth="1" style="206" min="1" max="1"/>
    <col width="9.140000000000001" customWidth="1" style="324" min="3" max="3"/>
  </cols>
  <sheetData>
    <row r="1" ht="18.75" customHeight="1" s="207">
      <c r="A1" s="325" t="inlineStr">
        <is>
          <t>Key Procurement Transactional Data</t>
        </is>
      </c>
    </row>
    <row r="2" ht="12.75" customHeight="1" s="207">
      <c r="A2" s="326" t="inlineStr">
        <is>
          <t>Key Processes and Metrics</t>
        </is>
      </c>
      <c r="B2" s="327" t="inlineStr">
        <is>
          <t>Switzerland</t>
        </is>
      </c>
      <c r="C2" s="328" t="inlineStr">
        <is>
          <t>US</t>
        </is>
      </c>
      <c r="D2" s="329" t="inlineStr">
        <is>
          <t>Germany</t>
        </is>
      </c>
      <c r="E2" s="304" t="n"/>
      <c r="F2" s="329" t="inlineStr">
        <is>
          <t>UK</t>
        </is>
      </c>
      <c r="G2" s="304" t="n"/>
      <c r="H2" s="330" t="inlineStr">
        <is>
          <t xml:space="preserve">Italy </t>
        </is>
      </c>
      <c r="I2" s="304" t="n"/>
      <c r="J2" s="329" t="inlineStr">
        <is>
          <t>Spain</t>
        </is>
      </c>
      <c r="K2" s="304" t="n"/>
      <c r="L2" s="329" t="inlineStr">
        <is>
          <t>France</t>
        </is>
      </c>
      <c r="M2" s="304" t="n"/>
    </row>
    <row r="3" ht="13.5" customHeight="1" s="207">
      <c r="A3" s="331" t="n"/>
      <c r="B3" s="332" t="n"/>
      <c r="C3" s="332" t="n"/>
      <c r="D3" s="333" t="inlineStr">
        <is>
          <t>CPO</t>
        </is>
      </c>
      <c r="E3" s="334" t="inlineStr">
        <is>
          <t>TechOps</t>
        </is>
      </c>
      <c r="F3" s="333" t="inlineStr">
        <is>
          <t>CPO</t>
        </is>
      </c>
      <c r="G3" s="334" t="inlineStr">
        <is>
          <t>TechOps</t>
        </is>
      </c>
      <c r="H3" s="335" t="inlineStr">
        <is>
          <t>CPO</t>
        </is>
      </c>
      <c r="I3" s="334" t="inlineStr">
        <is>
          <t>TechOps</t>
        </is>
      </c>
      <c r="J3" s="333" t="inlineStr">
        <is>
          <t>CPO</t>
        </is>
      </c>
      <c r="K3" s="334" t="inlineStr">
        <is>
          <t>TechOps</t>
        </is>
      </c>
      <c r="L3" s="333" t="inlineStr">
        <is>
          <t>CPO</t>
        </is>
      </c>
      <c r="M3" s="334" t="inlineStr">
        <is>
          <t>TechOps</t>
        </is>
      </c>
    </row>
    <row r="4" ht="12.75" customHeight="1" s="207">
      <c r="A4" s="336" t="inlineStr">
        <is>
          <t>Requisitions and orders</t>
        </is>
      </c>
      <c r="B4" s="337" t="n"/>
      <c r="C4" s="338" t="n"/>
      <c r="D4" s="339" t="n"/>
      <c r="E4" s="340" t="n"/>
      <c r="F4" s="339" t="n"/>
      <c r="G4" s="340" t="n"/>
      <c r="H4" s="341" t="n"/>
      <c r="I4" s="340" t="n"/>
      <c r="J4" s="339" t="n"/>
      <c r="K4" s="340" t="n"/>
      <c r="L4" s="339" t="n"/>
      <c r="M4" s="340" t="n"/>
    </row>
    <row r="5" ht="12.75" customHeight="1" s="207">
      <c r="A5" s="342" t="inlineStr">
        <is>
          <t>Number of catalog PO's per year</t>
        </is>
      </c>
      <c r="B5" s="343" t="n">
        <v>130000</v>
      </c>
      <c r="C5" s="344" t="n">
        <v>85000</v>
      </c>
      <c r="D5" s="345" t="n">
        <v>4500</v>
      </c>
      <c r="E5" s="346" t="n">
        <v>500</v>
      </c>
      <c r="F5" s="345" t="n">
        <v>3000</v>
      </c>
      <c r="G5" s="346" t="n">
        <v>2000</v>
      </c>
      <c r="H5" s="206" t="n">
        <v>1000</v>
      </c>
      <c r="I5" s="346" t="n">
        <v>0</v>
      </c>
      <c r="J5" s="345" t="n">
        <v>2500</v>
      </c>
      <c r="K5" s="346" t="n">
        <v>400</v>
      </c>
      <c r="L5" s="345" t="inlineStr">
        <is>
          <t>no catalogs</t>
        </is>
      </c>
      <c r="M5" s="346" t="n"/>
    </row>
    <row r="6" ht="12.75" customHeight="1" s="207">
      <c r="A6" s="342" t="inlineStr">
        <is>
          <t>Number of non-catalog PO's per year</t>
        </is>
      </c>
      <c r="B6" s="343" t="n">
        <v>70000</v>
      </c>
      <c r="C6" s="344" t="n">
        <v>65000</v>
      </c>
      <c r="D6" s="345" t="n">
        <v>12600</v>
      </c>
      <c r="E6" s="346" t="n">
        <v>4700</v>
      </c>
      <c r="F6" s="345" t="n">
        <v>4000</v>
      </c>
      <c r="G6" s="346" t="n">
        <v>3000</v>
      </c>
      <c r="H6" s="206" t="n">
        <v>13000</v>
      </c>
      <c r="I6" s="346" t="n">
        <v>2300</v>
      </c>
      <c r="J6" s="345" t="n">
        <v>10500</v>
      </c>
      <c r="K6" s="346" t="n">
        <v>5000</v>
      </c>
      <c r="L6" s="345" t="n">
        <v>5600</v>
      </c>
      <c r="M6" s="346" t="n">
        <v>5300</v>
      </c>
    </row>
    <row r="7" ht="12.75" customHeight="1" s="207">
      <c r="A7" s="342" t="inlineStr">
        <is>
          <t>Number of catalog line items per year</t>
        </is>
      </c>
      <c r="B7" s="343" t="n">
        <v>200000</v>
      </c>
      <c r="C7" s="344" t="n">
        <v>250000</v>
      </c>
      <c r="D7" s="345" t="n">
        <v>12100</v>
      </c>
      <c r="E7" s="346" t="n">
        <v>1500</v>
      </c>
      <c r="F7" s="345" t="n">
        <v>15000</v>
      </c>
      <c r="G7" s="346" t="n">
        <v>12000</v>
      </c>
      <c r="H7" s="206" t="n">
        <v>2000</v>
      </c>
      <c r="I7" s="346" t="n">
        <v>0</v>
      </c>
      <c r="J7" s="345" t="n"/>
      <c r="K7" s="346" t="n">
        <v>600</v>
      </c>
      <c r="L7" s="345" t="inlineStr">
        <is>
          <t>no catalogs</t>
        </is>
      </c>
      <c r="M7" s="346" t="n"/>
    </row>
    <row r="8" ht="12.75" customHeight="1" s="207">
      <c r="A8" s="342" t="inlineStr">
        <is>
          <t>Number of non catalog line items per year</t>
        </is>
      </c>
      <c r="B8" s="343" t="n">
        <v>100000</v>
      </c>
      <c r="C8" s="344" t="n">
        <v>400000</v>
      </c>
      <c r="D8" s="345" t="n">
        <v>15700</v>
      </c>
      <c r="E8" s="346" t="n">
        <v>2400</v>
      </c>
      <c r="F8" s="345" t="n">
        <v>5000</v>
      </c>
      <c r="G8" s="346" t="n">
        <v>4000</v>
      </c>
      <c r="H8" s="206" t="n">
        <v>21000</v>
      </c>
      <c r="I8" s="346" t="n">
        <v>5500</v>
      </c>
      <c r="J8" s="345" t="n">
        <v>19500</v>
      </c>
      <c r="K8" s="346" t="n">
        <v>7500</v>
      </c>
      <c r="L8" s="345" t="n">
        <v>12200</v>
      </c>
      <c r="M8" s="346" t="n">
        <v>14600</v>
      </c>
    </row>
    <row r="9" ht="13.5" customHeight="1" s="207">
      <c r="A9" s="347" t="inlineStr">
        <is>
          <t>Number of orders to be manually transmitted (faxed, mailed)</t>
        </is>
      </c>
      <c r="B9" s="348" t="inlineStr">
        <is>
          <t>none</t>
        </is>
      </c>
      <c r="C9" s="349" t="inlineStr">
        <is>
          <t>30000*</t>
        </is>
      </c>
      <c r="D9" s="350" t="inlineStr">
        <is>
          <t>none</t>
        </is>
      </c>
      <c r="E9" s="351" t="n">
        <v>4700</v>
      </c>
      <c r="F9" s="350" t="inlineStr">
        <is>
          <t>none</t>
        </is>
      </c>
      <c r="G9" s="351" t="n">
        <v>1000</v>
      </c>
      <c r="H9" s="352" t="n">
        <v>400</v>
      </c>
      <c r="I9" s="351" t="n">
        <v>1000</v>
      </c>
      <c r="J9" s="350" t="inlineStr">
        <is>
          <t>none</t>
        </is>
      </c>
      <c r="K9" s="351" t="n">
        <v>6000</v>
      </c>
      <c r="L9" s="353" t="n">
        <v>5600</v>
      </c>
      <c r="M9" s="351" t="n">
        <v>5300</v>
      </c>
    </row>
    <row r="10" ht="12.75" customHeight="1" s="207">
      <c r="A10" s="336" t="inlineStr">
        <is>
          <t>Master Data Management</t>
        </is>
      </c>
      <c r="B10" s="354" t="n"/>
      <c r="C10" s="338" t="n"/>
      <c r="D10" s="339" t="n"/>
      <c r="E10" s="340" t="n"/>
      <c r="F10" s="355" t="n"/>
      <c r="G10" s="356" t="n"/>
      <c r="H10" s="341" t="n"/>
      <c r="I10" s="340" t="n"/>
      <c r="J10" s="339" t="n"/>
      <c r="K10" s="340" t="n"/>
      <c r="L10" s="339" t="n"/>
      <c r="M10" s="340" t="n"/>
    </row>
    <row r="11" ht="12.75" customHeight="1" s="207">
      <c r="A11" s="342" t="inlineStr">
        <is>
          <t>Number of active suppliers</t>
        </is>
      </c>
      <c r="B11" s="343" t="n">
        <v>10000</v>
      </c>
      <c r="C11" s="357" t="inlineStr">
        <is>
          <t>25000**</t>
        </is>
      </c>
      <c r="D11" s="345" t="n">
        <v>7800</v>
      </c>
      <c r="E11" s="346" t="n">
        <v>100</v>
      </c>
      <c r="F11" s="345" t="n">
        <v>3000</v>
      </c>
      <c r="G11" s="346" t="n">
        <v>2000</v>
      </c>
      <c r="H11" s="206" t="n">
        <v>10000</v>
      </c>
      <c r="I11" s="358" t="inlineStr">
        <is>
          <t>incl. in CPO</t>
        </is>
      </c>
      <c r="J11" s="345" t="n">
        <v>3500</v>
      </c>
      <c r="K11" s="346" t="n">
        <v>400</v>
      </c>
      <c r="L11" s="345" t="n">
        <v>13800</v>
      </c>
      <c r="M11" s="346" t="n">
        <v>700</v>
      </c>
    </row>
    <row r="12" ht="12.75" customHeight="1" s="207">
      <c r="A12" s="342" t="inlineStr">
        <is>
          <t>Number of new suppliers per year</t>
        </is>
      </c>
      <c r="B12" s="343" t="n">
        <v>4000</v>
      </c>
      <c r="C12" s="357" t="inlineStr">
        <is>
          <t>2500**</t>
        </is>
      </c>
      <c r="D12" s="345" t="n">
        <v>420</v>
      </c>
      <c r="E12" s="346" t="n">
        <v>120</v>
      </c>
      <c r="F12" s="345" t="n">
        <v>400</v>
      </c>
      <c r="G12" s="346" t="n">
        <v>200</v>
      </c>
      <c r="H12" s="206" t="n">
        <v>1000</v>
      </c>
      <c r="I12" s="358" t="inlineStr">
        <is>
          <t>incl. in CPO</t>
        </is>
      </c>
      <c r="J12" s="345" t="n">
        <v>1600</v>
      </c>
      <c r="K12" s="346" t="n">
        <v>40</v>
      </c>
      <c r="L12" s="359" t="n">
        <v>3000</v>
      </c>
      <c r="M12" s="360" t="n"/>
    </row>
    <row r="13" ht="13.5" customHeight="1" s="207">
      <c r="A13" s="347" t="inlineStr">
        <is>
          <t>Numbers of requests for DUNS number</t>
        </is>
      </c>
      <c r="B13" s="361" t="n">
        <v>4000</v>
      </c>
      <c r="C13" s="362" t="n"/>
      <c r="D13" s="353" t="inlineStr">
        <is>
          <t>no DUNS input yet</t>
        </is>
      </c>
      <c r="E13" s="363" t="n"/>
      <c r="F13" s="353" t="inlineStr">
        <is>
          <t>no DUNS input yet</t>
        </is>
      </c>
      <c r="G13" s="363" t="n"/>
      <c r="H13" s="352" t="inlineStr">
        <is>
          <t>no DUNS input yet</t>
        </is>
      </c>
      <c r="I13" s="364" t="n"/>
      <c r="J13" s="353" t="n">
        <v>1600</v>
      </c>
      <c r="K13" s="351" t="n">
        <v>40</v>
      </c>
      <c r="L13" s="353" t="inlineStr">
        <is>
          <t>no DUNS input yet</t>
        </is>
      </c>
      <c r="M13" s="363" t="n"/>
    </row>
    <row r="14" ht="12.75" customHeight="1" s="207">
      <c r="A14" s="336" t="inlineStr">
        <is>
          <t>Hotline and Helpdesk</t>
        </is>
      </c>
      <c r="B14" s="354" t="n"/>
      <c r="C14" s="338" t="n"/>
      <c r="D14" s="339" t="n"/>
      <c r="E14" s="340" t="n"/>
      <c r="F14" s="339" t="n"/>
      <c r="G14" s="340" t="n"/>
      <c r="H14" s="341" t="n"/>
      <c r="I14" s="340" t="n"/>
      <c r="J14" s="339" t="n"/>
      <c r="K14" s="340" t="n"/>
      <c r="L14" s="339" t="n"/>
      <c r="M14" s="340" t="n"/>
    </row>
    <row r="15" ht="12.75" customHeight="1" s="207">
      <c r="A15" s="342" t="inlineStr">
        <is>
          <t>number of daily 1st line and help desk support requests per mail</t>
        </is>
      </c>
      <c r="B15" s="343" t="n">
        <v>50</v>
      </c>
      <c r="C15" s="344" t="n">
        <v>50</v>
      </c>
      <c r="D15" s="365" t="inlineStr">
        <is>
          <t>10-30</t>
        </is>
      </c>
      <c r="E15" s="366" t="inlineStr">
        <is>
          <t>5</t>
        </is>
      </c>
      <c r="F15" s="367" t="inlineStr">
        <is>
          <t>10-20</t>
        </is>
      </c>
      <c r="G15" s="368" t="inlineStr">
        <is>
          <t>5-10</t>
        </is>
      </c>
      <c r="H15" s="206" t="n">
        <v>3</v>
      </c>
      <c r="I15" s="358" t="inlineStr">
        <is>
          <t>incl. in CPO</t>
        </is>
      </c>
      <c r="J15" s="345" t="n">
        <v>16</v>
      </c>
      <c r="K15" s="346" t="n"/>
      <c r="L15" s="345" t="n">
        <v>40</v>
      </c>
      <c r="M15" s="346" t="n">
        <v>20</v>
      </c>
    </row>
    <row r="16" ht="12.75" customHeight="1" s="207">
      <c r="A16" s="342" t="inlineStr">
        <is>
          <t>number of daily 1st line and help desk support requests per phone</t>
        </is>
      </c>
      <c r="B16" s="369" t="inlineStr">
        <is>
          <t>50-100</t>
        </is>
      </c>
      <c r="C16" s="357" t="inlineStr">
        <is>
          <t>50-100</t>
        </is>
      </c>
      <c r="D16" s="365" t="inlineStr">
        <is>
          <t>10-40</t>
        </is>
      </c>
      <c r="E16" s="366" t="inlineStr">
        <is>
          <t>10</t>
        </is>
      </c>
      <c r="F16" s="370" t="inlineStr">
        <is>
          <t>5-10</t>
        </is>
      </c>
      <c r="G16" s="368" t="inlineStr">
        <is>
          <t>5-10</t>
        </is>
      </c>
      <c r="H16" s="206" t="n">
        <v>5</v>
      </c>
      <c r="I16" s="358" t="inlineStr">
        <is>
          <t>incl. in CPO</t>
        </is>
      </c>
      <c r="J16" s="365" t="inlineStr">
        <is>
          <t>10-20</t>
        </is>
      </c>
      <c r="K16" s="346" t="n"/>
      <c r="L16" s="345" t="n">
        <v>40</v>
      </c>
      <c r="M16" s="346" t="n">
        <v>20</v>
      </c>
    </row>
    <row r="17" ht="12.75" customHeight="1" s="207">
      <c r="A17" s="342" t="inlineStr">
        <is>
          <t>Initiation, management and testing of system change requests per year</t>
        </is>
      </c>
      <c r="B17" s="343" t="n">
        <v>50</v>
      </c>
      <c r="C17" s="344" t="n">
        <v>50</v>
      </c>
      <c r="D17" s="365" t="inlineStr">
        <is>
          <t>5</t>
        </is>
      </c>
      <c r="E17" s="366" t="inlineStr">
        <is>
          <t>2</t>
        </is>
      </c>
      <c r="F17" s="345" t="n"/>
      <c r="G17" s="346" t="n"/>
      <c r="H17" s="206" t="n">
        <v>8</v>
      </c>
      <c r="I17" s="358" t="inlineStr">
        <is>
          <t>incl. in CPO</t>
        </is>
      </c>
      <c r="J17" s="345" t="n">
        <v>16</v>
      </c>
      <c r="K17" s="346" t="n"/>
      <c r="L17" s="345" t="n">
        <v>20</v>
      </c>
      <c r="M17" s="346" t="n">
        <v>14</v>
      </c>
    </row>
    <row r="18" ht="13.5" customHeight="1" s="207">
      <c r="A18" s="347" t="inlineStr">
        <is>
          <t>Time required to monitor system error messages and to follow up (in hrs per day)</t>
        </is>
      </c>
      <c r="B18" s="361" t="n">
        <v>4</v>
      </c>
      <c r="C18" s="362" t="n">
        <v>6</v>
      </c>
      <c r="D18" s="371" t="inlineStr">
        <is>
          <t>2</t>
        </is>
      </c>
      <c r="E18" s="372" t="inlineStr">
        <is>
          <t>1</t>
        </is>
      </c>
      <c r="F18" s="353" t="n">
        <v>3</v>
      </c>
      <c r="G18" s="351" t="n">
        <v>2</v>
      </c>
      <c r="H18" s="352" t="n">
        <v>1</v>
      </c>
      <c r="I18" s="364" t="inlineStr">
        <is>
          <t>incl. in CPO</t>
        </is>
      </c>
      <c r="J18" s="353" t="n">
        <v>1</v>
      </c>
      <c r="K18" s="351" t="n">
        <v>3</v>
      </c>
      <c r="L18" s="353" t="n">
        <v>1</v>
      </c>
      <c r="M18" s="351" t="n">
        <v>0</v>
      </c>
    </row>
    <row r="19" ht="12.75" customHeight="1" s="207">
      <c r="A19" s="336" t="inlineStr">
        <is>
          <t>CC5 - supplier onboarding process</t>
        </is>
      </c>
      <c r="B19" s="354" t="n"/>
      <c r="C19" s="338" t="n"/>
      <c r="D19" s="339" t="n"/>
      <c r="E19" s="340" t="n"/>
      <c r="F19" s="339" t="n"/>
      <c r="G19" s="340" t="n"/>
      <c r="H19" s="341" t="n"/>
      <c r="I19" s="340" t="n"/>
      <c r="J19" s="339" t="n"/>
      <c r="K19" s="340" t="n"/>
      <c r="L19" s="339" t="n"/>
      <c r="M19" s="340" t="n"/>
    </row>
    <row r="20" ht="13.5" customHeight="1" s="207">
      <c r="A20" s="347" t="inlineStr">
        <is>
          <t>Hours per quarter to drive the supplier onboarding process</t>
        </is>
      </c>
      <c r="B20" s="361" t="n">
        <v>50</v>
      </c>
      <c r="C20" s="362" t="n">
        <v>30</v>
      </c>
      <c r="D20" s="353" t="n">
        <v>35</v>
      </c>
      <c r="E20" s="351" t="n">
        <v>18</v>
      </c>
      <c r="F20" s="353" t="n">
        <v>60</v>
      </c>
      <c r="G20" s="351" t="n">
        <v>25</v>
      </c>
      <c r="H20" s="352" t="n">
        <v>8</v>
      </c>
      <c r="I20" s="351" t="n">
        <v>10</v>
      </c>
      <c r="J20" s="353" t="n">
        <v>6</v>
      </c>
      <c r="K20" s="351" t="n">
        <v>10</v>
      </c>
      <c r="L20" s="353" t="n">
        <v>50</v>
      </c>
      <c r="M20" s="351" t="n">
        <v>2</v>
      </c>
    </row>
    <row r="21" ht="12.75" customHeight="1" s="207">
      <c r="A21" s="336" t="inlineStr">
        <is>
          <t>Reporting</t>
        </is>
      </c>
      <c r="B21" s="354" t="n"/>
      <c r="C21" s="338" t="n"/>
      <c r="D21" s="339" t="n"/>
      <c r="E21" s="340" t="n"/>
      <c r="F21" s="339" t="n"/>
      <c r="G21" s="340" t="n"/>
      <c r="H21" s="341" t="n"/>
      <c r="I21" s="340" t="n"/>
      <c r="J21" s="339" t="n"/>
      <c r="K21" s="340" t="n"/>
      <c r="L21" s="339" t="n"/>
      <c r="M21" s="340" t="n"/>
    </row>
    <row r="22" ht="12.75" customHeight="1" s="207">
      <c r="A22" s="342" t="inlineStr">
        <is>
          <t>Number of adhoc reporting requests per month</t>
        </is>
      </c>
      <c r="B22" s="343" t="n">
        <v>30</v>
      </c>
      <c r="C22" s="344" t="n">
        <v>15</v>
      </c>
      <c r="D22" s="345" t="n">
        <v>5</v>
      </c>
      <c r="E22" s="346" t="n">
        <v>5</v>
      </c>
      <c r="F22" s="345" t="n">
        <v>4</v>
      </c>
      <c r="G22" s="346" t="n">
        <v>4</v>
      </c>
      <c r="H22" s="206" t="n">
        <v>10</v>
      </c>
      <c r="I22" s="346" t="n">
        <v>4</v>
      </c>
      <c r="J22" s="345" t="n">
        <v>15</v>
      </c>
      <c r="K22" s="346" t="n">
        <v>4</v>
      </c>
      <c r="L22" s="345" t="n">
        <v>20</v>
      </c>
      <c r="M22" s="346" t="n">
        <v>2</v>
      </c>
    </row>
    <row r="23" ht="13.5" customHeight="1" s="207">
      <c r="A23" s="347" t="inlineStr">
        <is>
          <t>Estimated time required to provide standard reporting (in hrs per month)</t>
        </is>
      </c>
      <c r="B23" s="361" t="n">
        <v>16</v>
      </c>
      <c r="C23" s="362" t="n">
        <v>5</v>
      </c>
      <c r="D23" s="353" t="n">
        <v>3</v>
      </c>
      <c r="E23" s="351" t="n">
        <v>3</v>
      </c>
      <c r="F23" s="353" t="n">
        <v>0</v>
      </c>
      <c r="G23" s="351" t="n">
        <v>0</v>
      </c>
      <c r="H23" s="352" t="n">
        <v>12</v>
      </c>
      <c r="I23" s="351" t="n">
        <v>8</v>
      </c>
      <c r="J23" s="353" t="n">
        <v>40</v>
      </c>
      <c r="K23" s="351" t="n">
        <v>24</v>
      </c>
      <c r="L23" s="353" t="n">
        <v>70</v>
      </c>
      <c r="M23" s="351" t="n">
        <v>20</v>
      </c>
    </row>
    <row r="24" ht="12.75" customHeight="1" s="207">
      <c r="A24" s="336" t="inlineStr">
        <is>
          <t xml:space="preserve">Goods Receipt </t>
        </is>
      </c>
      <c r="B24" s="354" t="n"/>
      <c r="C24" s="338" t="n"/>
      <c r="D24" s="339" t="n"/>
      <c r="E24" s="340" t="n"/>
      <c r="F24" s="339" t="n"/>
      <c r="G24" s="340" t="n"/>
      <c r="H24" s="341" t="n"/>
      <c r="I24" s="340" t="n"/>
      <c r="J24" s="339" t="n"/>
      <c r="K24" s="340" t="n"/>
      <c r="L24" s="339" t="n"/>
      <c r="M24" s="340" t="n"/>
    </row>
    <row r="25" ht="13.5" customHeight="1" s="207">
      <c r="A25" s="347" t="inlineStr">
        <is>
          <t>Number of line items for goods receipt booking per year</t>
        </is>
      </c>
      <c r="B25" s="373" t="inlineStr">
        <is>
          <t>out of scope</t>
        </is>
      </c>
      <c r="C25" s="374" t="inlineStr">
        <is>
          <t>out of scope</t>
        </is>
      </c>
      <c r="D25" s="375" t="n">
        <v>6000</v>
      </c>
      <c r="E25" s="376" t="n">
        <v>4800</v>
      </c>
      <c r="F25" s="375" t="inlineStr">
        <is>
          <t>out of scope</t>
        </is>
      </c>
      <c r="G25" s="376" t="inlineStr">
        <is>
          <t>out of scope</t>
        </is>
      </c>
      <c r="H25" s="377" t="inlineStr">
        <is>
          <t>out of scope</t>
        </is>
      </c>
      <c r="I25" s="376" t="inlineStr">
        <is>
          <t>out of scope</t>
        </is>
      </c>
      <c r="J25" s="375" t="n">
        <v>12800</v>
      </c>
      <c r="K25" s="376" t="n">
        <v>7500</v>
      </c>
      <c r="L25" s="375" t="n">
        <v>12200</v>
      </c>
      <c r="M25" s="376" t="n">
        <v>14600</v>
      </c>
    </row>
    <row r="26" ht="12.75" customHeight="1" s="207">
      <c r="A26" s="336" t="inlineStr">
        <is>
          <t>e-RFx</t>
        </is>
      </c>
      <c r="B26" s="378" t="n"/>
      <c r="C26" s="338" t="n"/>
      <c r="D26" s="339" t="n"/>
      <c r="E26" s="340" t="n"/>
      <c r="F26" s="339" t="n"/>
      <c r="G26" s="340" t="n"/>
      <c r="H26" s="341" t="n"/>
      <c r="I26" s="340" t="n"/>
      <c r="J26" s="339" t="n"/>
      <c r="K26" s="340" t="n"/>
      <c r="L26" s="339" t="n"/>
      <c r="M26" s="340" t="n"/>
    </row>
    <row r="27" ht="13.5" customHeight="1" s="207">
      <c r="A27" s="347" t="inlineStr">
        <is>
          <t>Number of e-RFx and e-bidding events per year</t>
        </is>
      </c>
      <c r="B27" s="361" t="n">
        <v>2000</v>
      </c>
      <c r="C27" s="362" t="n">
        <v>70</v>
      </c>
      <c r="D27" s="379" t="n">
        <v>7</v>
      </c>
      <c r="E27" s="380" t="n">
        <v>0</v>
      </c>
      <c r="F27" s="379" t="n">
        <v>15</v>
      </c>
      <c r="G27" s="380" t="n">
        <v>1</v>
      </c>
      <c r="H27" s="381" t="n">
        <v>60</v>
      </c>
      <c r="I27" s="380" t="n">
        <v>0</v>
      </c>
      <c r="J27" s="379" t="n">
        <v>380</v>
      </c>
      <c r="K27" s="380" t="n">
        <v>20</v>
      </c>
      <c r="L27" s="379" t="n">
        <v>40</v>
      </c>
      <c r="M27" s="380" t="n">
        <v>3</v>
      </c>
    </row>
    <row r="28" ht="12.75" customHeight="1" s="207">
      <c r="A28" s="382" t="inlineStr">
        <is>
          <t>Catalog Management</t>
        </is>
      </c>
      <c r="B28" s="383" t="n"/>
      <c r="C28" s="384" t="n"/>
      <c r="D28" s="385" t="n"/>
      <c r="E28" s="386" t="n"/>
      <c r="F28" s="339" t="n"/>
      <c r="G28" s="340" t="n"/>
      <c r="H28" s="387" t="n"/>
      <c r="I28" s="386" t="n"/>
      <c r="J28" s="385" t="n"/>
      <c r="K28" s="386" t="n"/>
      <c r="L28" s="339" t="n"/>
      <c r="M28" s="340" t="n"/>
    </row>
    <row r="29" ht="12.75" customHeight="1" s="207">
      <c r="A29" s="342" t="inlineStr">
        <is>
          <t>Uploading and inactivation of new/modified catalogs (no. of catalogs per year)</t>
        </is>
      </c>
      <c r="B29" s="343" t="n">
        <v>160</v>
      </c>
      <c r="C29" s="344" t="n">
        <v>15</v>
      </c>
      <c r="D29" s="345" t="n">
        <v>11</v>
      </c>
      <c r="E29" s="346" t="n">
        <v>2</v>
      </c>
      <c r="F29" s="345" t="n">
        <v>1</v>
      </c>
      <c r="G29" s="346" t="n">
        <v>1</v>
      </c>
      <c r="H29" s="206" t="n">
        <v>6</v>
      </c>
      <c r="I29" s="346" t="n">
        <v>0</v>
      </c>
      <c r="J29" s="345" t="n">
        <v>5</v>
      </c>
      <c r="K29" s="346" t="n">
        <v>0</v>
      </c>
      <c r="L29" s="345" t="inlineStr">
        <is>
          <t>no catalogs</t>
        </is>
      </c>
      <c r="M29" s="346" t="n"/>
    </row>
    <row r="30" ht="13.5" customHeight="1" s="207">
      <c r="A30" s="347" t="inlineStr">
        <is>
          <t>number of new punchout catalogs per year</t>
        </is>
      </c>
      <c r="B30" s="361" t="n">
        <v>2</v>
      </c>
      <c r="C30" s="349" t="inlineStr">
        <is>
          <t>1-2</t>
        </is>
      </c>
      <c r="D30" s="379" t="n">
        <v>2</v>
      </c>
      <c r="E30" s="380" t="n">
        <v>2</v>
      </c>
      <c r="F30" s="379" t="n">
        <v>1</v>
      </c>
      <c r="G30" s="380" t="n">
        <v>1</v>
      </c>
      <c r="H30" s="381" t="n">
        <v>1</v>
      </c>
      <c r="I30" s="380" t="n">
        <v>0</v>
      </c>
      <c r="J30" s="379" t="n">
        <v>2</v>
      </c>
      <c r="K30" s="380" t="n">
        <v>0</v>
      </c>
      <c r="L30" s="379" t="inlineStr">
        <is>
          <t>no catalogs</t>
        </is>
      </c>
      <c r="M30" s="380" t="n"/>
    </row>
    <row r="31" ht="12.75" customHeight="1" s="207">
      <c r="A31" s="336" t="inlineStr">
        <is>
          <t>Spend Information</t>
        </is>
      </c>
      <c r="B31" s="354" t="n"/>
      <c r="C31" s="338" t="n"/>
      <c r="D31" s="339" t="n"/>
      <c r="E31" s="340" t="n"/>
      <c r="F31" s="355" t="n"/>
      <c r="G31" s="356" t="n"/>
      <c r="H31" s="341" t="n"/>
      <c r="I31" s="340" t="n"/>
      <c r="J31" s="339" t="n"/>
      <c r="K31" s="340" t="n"/>
      <c r="L31" s="339" t="n"/>
      <c r="M31" s="340" t="n"/>
    </row>
    <row r="32" ht="12.75" customHeight="1" s="207">
      <c r="A32" s="342" t="inlineStr">
        <is>
          <t>Annual indirect spend with third partis in billion USD</t>
        </is>
      </c>
      <c r="B32" s="343" t="n">
        <v>1.5</v>
      </c>
      <c r="C32" s="388" t="n">
        <v>1.5</v>
      </c>
      <c r="D32" s="359" t="n">
        <v>0.11</v>
      </c>
      <c r="E32" s="360" t="n"/>
      <c r="F32" s="359" t="n">
        <v>0.08</v>
      </c>
      <c r="G32" s="360" t="n"/>
      <c r="H32" s="359" t="n">
        <v>0.09</v>
      </c>
      <c r="I32" s="360" t="n"/>
      <c r="J32" s="359" t="n">
        <v>0.07000000000000001</v>
      </c>
      <c r="K32" s="360" t="n"/>
      <c r="L32" s="359" t="n">
        <v>0.11</v>
      </c>
      <c r="M32" s="360" t="n"/>
    </row>
    <row r="33" ht="12.75" customHeight="1" s="207">
      <c r="A33" s="342" t="inlineStr">
        <is>
          <t>Estimated share of spend managed through contracts (e.g. frame agreements)</t>
        </is>
      </c>
      <c r="B33" s="389" t="n">
        <v>0.45</v>
      </c>
      <c r="C33" s="390" t="n">
        <v>0.85</v>
      </c>
      <c r="D33" s="391" t="n">
        <v>0.85</v>
      </c>
      <c r="E33" s="360" t="n"/>
      <c r="F33" s="391" t="n">
        <v>0.65</v>
      </c>
      <c r="G33" s="360" t="n"/>
      <c r="H33" s="391" t="n">
        <v>0.45</v>
      </c>
      <c r="I33" s="360" t="n"/>
      <c r="J33" s="391" t="n">
        <v>0.6</v>
      </c>
      <c r="K33" s="360" t="n"/>
      <c r="L33" s="359" t="n"/>
      <c r="M33" s="360" t="n"/>
    </row>
    <row r="34" ht="13.5" customHeight="1" s="207">
      <c r="A34" s="347" t="n"/>
      <c r="B34" s="361" t="n"/>
      <c r="C34" s="362" t="n"/>
      <c r="D34" s="353" t="n"/>
      <c r="E34" s="363" t="n"/>
      <c r="F34" s="353" t="n"/>
      <c r="G34" s="363" t="n"/>
      <c r="H34" s="352" t="n"/>
      <c r="I34" s="364" t="n"/>
      <c r="J34" s="353" t="n"/>
      <c r="K34" s="351" t="n"/>
      <c r="L34" s="353" t="n"/>
      <c r="M34" s="363" t="n"/>
    </row>
    <row r="35" ht="12.75" customHeight="1" s="207">
      <c r="A35" s="392" t="n"/>
      <c r="B35" s="206" t="n"/>
      <c r="C35" s="393" t="n"/>
      <c r="D35" s="206" t="n"/>
      <c r="E35" s="206" t="n"/>
      <c r="F35" s="206" t="n"/>
      <c r="G35" s="206" t="n"/>
      <c r="H35" s="206" t="n"/>
      <c r="I35" s="206" t="n"/>
      <c r="J35" s="206" t="n"/>
      <c r="K35" s="206" t="n"/>
      <c r="L35" s="206" t="n"/>
      <c r="M35" s="206" t="n"/>
    </row>
    <row r="36" ht="12.75" customHeight="1" s="207">
      <c r="F36" s="206" t="n"/>
      <c r="G36" s="206" t="n"/>
    </row>
    <row r="37" ht="12.75" customHeight="1" s="207">
      <c r="A37" s="206" t="inlineStr">
        <is>
          <t>* These order transmissions will be eliminated by the Fax Server project currently underway</t>
        </is>
      </c>
    </row>
    <row r="38" ht="12.75" customHeight="1" s="207">
      <c r="A38" s="206" t="inlineStr">
        <is>
          <t>** These include all active suppliers including Doctors (active supplier without doctors are 10-12 k, new suppliers 1-1.2 k every year)</t>
        </is>
      </c>
    </row>
  </sheetData>
  <mergeCells count="19">
    <mergeCell ref="L2:M2"/>
    <mergeCell ref="L32:M32"/>
    <mergeCell ref="B2:B3"/>
    <mergeCell ref="L12:M12"/>
    <mergeCell ref="D2:E2"/>
    <mergeCell ref="F33:G33"/>
    <mergeCell ref="L33:M33"/>
    <mergeCell ref="D32:E32"/>
    <mergeCell ref="A2:A3"/>
    <mergeCell ref="F32:G32"/>
    <mergeCell ref="C2:C3"/>
    <mergeCell ref="F2:G2"/>
    <mergeCell ref="H2:I2"/>
    <mergeCell ref="H32:I32"/>
    <mergeCell ref="J32:K32"/>
    <mergeCell ref="D33:E33"/>
    <mergeCell ref="J2:K2"/>
    <mergeCell ref="H33:I33"/>
    <mergeCell ref="J33:K33"/>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 </dc:title>
  <dc:language xmlns:dc="http://purl.org/dc/elements/1.1/">en-US</dc:language>
  <dcterms:created xmlns:dcterms="http://purl.org/dc/terms/" xmlns:xsi="http://www.w3.org/2001/XMLSchema-instance" xsi:type="dcterms:W3CDTF">1980-01-01T04:30:00Z</dcterms:created>
  <dcterms:modified xmlns:dcterms="http://purl.org/dc/terms/" xmlns:xsi="http://www.w3.org/2001/XMLSchema-instance" xsi:type="dcterms:W3CDTF">2026-02-11T03:52:20Z</dcterms:modified>
  <cp:lastModifiedBy>Steve Koutros</cp:lastModifiedBy>
  <cp:revision>0</cp:revision>
  <cp:lastPrinted>1980-01-01T04:30:00Z</cp:lastPrinted>
</cp:coreProperties>
</file>
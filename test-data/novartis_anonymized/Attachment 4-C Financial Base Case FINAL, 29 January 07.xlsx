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Title Sheet" sheetId="1" state="visible" r:id="rId1"/>
    <sheet xmlns:r="http://schemas.openxmlformats.org/officeDocument/2006/relationships" name="Consolidated " sheetId="2" state="visible" r:id="rId2"/>
    <sheet xmlns:r="http://schemas.openxmlformats.org/officeDocument/2006/relationships" name="UK" sheetId="3" state="visible" r:id="rId3"/>
    <sheet xmlns:r="http://schemas.openxmlformats.org/officeDocument/2006/relationships" name="US" sheetId="4" state="visible" r:id="rId4"/>
    <sheet xmlns:r="http://schemas.openxmlformats.org/officeDocument/2006/relationships" name="France" sheetId="5" state="visible" r:id="rId5"/>
    <sheet xmlns:r="http://schemas.openxmlformats.org/officeDocument/2006/relationships" name="Spain" sheetId="6" state="visible" r:id="rId6"/>
    <sheet xmlns:r="http://schemas.openxmlformats.org/officeDocument/2006/relationships" name="Italy" sheetId="7" state="visible" r:id="rId7"/>
    <sheet xmlns:r="http://schemas.openxmlformats.org/officeDocument/2006/relationships" name="Zurich" sheetId="8" state="visible" r:id="rId8"/>
    <sheet xmlns:r="http://schemas.openxmlformats.org/officeDocument/2006/relationships" name="Germany  Production" sheetId="9" state="visible" r:id="rId9"/>
    <sheet xmlns:r="http://schemas.openxmlformats.org/officeDocument/2006/relationships" name="Germany" sheetId="10" state="visible" r:id="rId10"/>
  </sheets>
  <externalReferences>
    <externalReference xmlns:r="http://schemas.openxmlformats.org/officeDocument/2006/relationships" r:id="rId11"/>
    <externalReference xmlns:r="http://schemas.openxmlformats.org/officeDocument/2006/relationships" r:id="rId12"/>
    <externalReference xmlns:r="http://schemas.openxmlformats.org/officeDocument/2006/relationships" r:id="rId13"/>
    <externalReference xmlns:r="http://schemas.openxmlformats.org/officeDocument/2006/relationships" r:id="rId14"/>
    <externalReference xmlns:r="http://schemas.openxmlformats.org/officeDocument/2006/relationships" r:id="rId15"/>
    <externalReference xmlns:r="http://schemas.openxmlformats.org/officeDocument/2006/relationships" r:id="rId16"/>
    <externalReference xmlns:r="http://schemas.openxmlformats.org/officeDocument/2006/relationships" r:id="rId17"/>
    <externalReference xmlns:r="http://schemas.openxmlformats.org/officeDocument/2006/relationships" r:id="rId18"/>
  </externalReferences>
  <definedNames/>
  <calcPr calcId="124519" fullCalcOnLoad="1" refMode="A1" iterate="0" iterateCount="100" iterateDelta="0.001"/>
</workbook>
</file>

<file path=xl/styles.xml><?xml version="1.0" encoding="utf-8"?>
<styleSheet xmlns="http://schemas.openxmlformats.org/spreadsheetml/2006/main">
  <numFmts count="5">
    <numFmt numFmtId="164" formatCode="[$-409]d\-mmm\-yy"/>
    <numFmt numFmtId="165" formatCode="0.0"/>
    <numFmt numFmtId="166" formatCode="#,##0;;\-"/>
    <numFmt numFmtId="167" formatCode="#,##0.0"/>
    <numFmt numFmtId="168" formatCode="_(* #,##0.00_);_(* \(#,##0.00\);_(* \-??_);_(@_)"/>
  </numFmts>
  <fonts count="15">
    <font>
      <name val="Arial"/>
      <family val="0"/>
      <sz val="10"/>
    </font>
    <font>
      <name val="Arial"/>
      <family val="0"/>
      <sz val="10"/>
    </font>
    <font>
      <name val="Arial"/>
      <family val="0"/>
      <sz val="10"/>
    </font>
    <font>
      <name val="Arial"/>
      <family val="0"/>
      <sz val="10"/>
    </font>
    <font>
      <name val="Times New Roman"/>
      <family val="1"/>
      <b val="1"/>
      <sz val="16"/>
    </font>
    <font>
      <name val="Times New Roman"/>
      <family val="1"/>
      <sz val="11"/>
    </font>
    <font>
      <name val="Arial"/>
      <family val="0"/>
      <color rgb="FF333399"/>
      <sz val="8"/>
    </font>
    <font>
      <name val="Arial"/>
      <family val="2"/>
      <i val="1"/>
      <color rgb="FFFF0000"/>
      <sz val="8"/>
    </font>
    <font>
      <name val="Arial"/>
      <family val="2"/>
      <b val="1"/>
      <sz val="14"/>
    </font>
    <font>
      <name val="Arial"/>
      <family val="2"/>
      <b val="1"/>
      <sz val="10"/>
    </font>
    <font>
      <name val="Arial"/>
      <family val="0"/>
      <b val="1"/>
      <color rgb="FF333399"/>
      <sz val="8"/>
    </font>
    <font>
      <name val="Arial"/>
      <family val="2"/>
      <sz val="10"/>
    </font>
    <font>
      <name val="Arial"/>
      <family val="0"/>
      <color rgb="FFFF0000"/>
      <sz val="10"/>
    </font>
    <font>
      <name val="Arial"/>
      <family val="0"/>
      <color rgb="FFFF0000"/>
      <sz val="8"/>
    </font>
    <font>
      <name val="Arial"/>
      <family val="2"/>
      <b val="1"/>
      <sz val="10"/>
      <u val="single"/>
    </font>
  </fonts>
  <fills count="7">
    <fill>
      <patternFill/>
    </fill>
    <fill>
      <patternFill patternType="gray125"/>
    </fill>
    <fill>
      <patternFill patternType="solid">
        <fgColor rgb="FFFFFF99"/>
        <bgColor rgb="FFFFFFCC"/>
      </patternFill>
    </fill>
    <fill>
      <patternFill patternType="solid">
        <fgColor rgb="FF99CCFF"/>
        <bgColor rgb="FFCCCCFF"/>
      </patternFill>
    </fill>
    <fill>
      <patternFill patternType="solid">
        <fgColor rgb="FFC0C0C0"/>
        <bgColor rgb="FFCCCCFF"/>
      </patternFill>
    </fill>
    <fill>
      <patternFill patternType="solid">
        <fgColor rgb="FFCCFFCC"/>
        <bgColor rgb="FFCCFFFF"/>
      </patternFill>
    </fill>
    <fill>
      <patternFill patternType="solid">
        <fgColor rgb="FFCCFFFF"/>
        <bgColor rgb="FFCCFFFF"/>
      </patternFill>
    </fill>
  </fills>
  <borders count="18">
    <border>
      <left/>
      <right/>
      <top/>
      <bottom/>
      <diagonal/>
    </border>
    <border>
      <left style="thin"/>
      <right style="thin"/>
      <top style="thin"/>
      <bottom/>
      <diagonal/>
    </border>
    <border>
      <left style="thin"/>
      <right style="thin"/>
      <top/>
      <bottom/>
      <diagonal/>
    </border>
    <border>
      <left style="thin"/>
      <right style="thin"/>
      <top/>
      <bottom style="thin"/>
      <diagonal/>
    </border>
    <border>
      <left style="medium"/>
      <right/>
      <top style="medium"/>
      <bottom style="medium"/>
      <diagonal/>
    </border>
    <border>
      <left style="medium"/>
      <right style="medium"/>
      <top style="medium"/>
      <bottom style="medium"/>
      <diagonal/>
    </border>
    <border>
      <left/>
      <right style="medium"/>
      <top style="medium"/>
      <bottom style="medium"/>
      <diagonal/>
    </border>
    <border>
      <left style="medium"/>
      <right style="thin"/>
      <top/>
      <bottom/>
      <diagonal/>
    </border>
    <border>
      <left/>
      <right style="medium"/>
      <top style="medium"/>
      <bottom/>
      <diagonal/>
    </border>
    <border>
      <left/>
      <right style="medium"/>
      <top/>
      <bottom/>
      <diagonal/>
    </border>
    <border>
      <left style="medium"/>
      <right style="medium"/>
      <top style="medium"/>
      <bottom/>
      <diagonal/>
    </border>
    <border>
      <left style="medium"/>
      <right style="medium"/>
      <top/>
      <bottom/>
      <diagonal/>
    </border>
    <border>
      <left style="medium"/>
      <right style="thin"/>
      <top style="thin"/>
      <bottom style="medium"/>
      <diagonal/>
    </border>
    <border>
      <left/>
      <right/>
      <top style="thin"/>
      <bottom style="medium"/>
      <diagonal/>
    </border>
    <border>
      <left/>
      <right style="medium"/>
      <top style="thin"/>
      <bottom style="medium"/>
      <diagonal/>
    </border>
    <border>
      <left style="medium"/>
      <right style="medium"/>
      <top style="thin"/>
      <bottom style="medium"/>
      <diagonal/>
    </border>
    <border>
      <left/>
      <right style="medium"/>
      <top/>
      <bottom style="thin"/>
      <diagonal/>
    </border>
    <border>
      <left style="medium"/>
      <right style="medium"/>
      <top/>
      <bottom style="thin"/>
      <diagonal/>
    </border>
  </borders>
  <cellStyleXfs count="9">
    <xf numFmtId="0" fontId="3"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applyAlignment="1">
      <alignment horizontal="general" vertical="bottom"/>
    </xf>
    <xf numFmtId="0" fontId="3" fillId="0" borderId="0" applyAlignment="1">
      <alignment horizontal="general" vertical="bottom"/>
    </xf>
    <xf numFmtId="168" fontId="3" fillId="0" borderId="0" applyAlignment="1">
      <alignment horizontal="general" vertical="bottom"/>
    </xf>
    <xf numFmtId="0" fontId="3" fillId="0" borderId="0" applyAlignment="1">
      <alignment horizontal="general" vertical="bottom"/>
    </xf>
  </cellStyleXfs>
  <cellXfs count="296">
    <xf numFmtId="0" fontId="0" fillId="0" borderId="0" applyAlignment="1" pivotButton="0" quotePrefix="0" xfId="0">
      <alignment horizontal="general" vertical="bottom"/>
    </xf>
    <xf numFmtId="0" fontId="4" fillId="0" borderId="0" applyAlignment="1" pivotButton="0" quotePrefix="0" xfId="0">
      <alignment horizontal="center" vertical="bottom"/>
    </xf>
    <xf numFmtId="0" fontId="4" fillId="0" borderId="0" applyAlignment="1" pivotButton="0" quotePrefix="0" xfId="22">
      <alignment horizontal="center" vertical="bottom"/>
    </xf>
    <xf numFmtId="164" fontId="4" fillId="0" borderId="0" applyAlignment="1" pivotButton="0" quotePrefix="0" xfId="0">
      <alignment horizontal="center" vertical="bottom"/>
    </xf>
    <xf numFmtId="0" fontId="5" fillId="0" borderId="1" applyAlignment="1" pivotButton="0" quotePrefix="0" xfId="0">
      <alignment horizontal="center" vertical="bottom" wrapText="1"/>
    </xf>
    <xf numFmtId="0" fontId="5" fillId="0" borderId="2" applyAlignment="1" pivotButton="0" quotePrefix="0" xfId="0">
      <alignment horizontal="center" vertical="bottom" wrapText="1"/>
    </xf>
    <xf numFmtId="0" fontId="5" fillId="0" borderId="3" applyAlignment="1" pivotButton="0" quotePrefix="0" xfId="0">
      <alignment horizontal="center" vertical="bottom" wrapText="1"/>
    </xf>
    <xf numFmtId="0" fontId="5" fillId="0" borderId="0" applyAlignment="1" pivotButton="0" quotePrefix="0" xfId="0">
      <alignment horizontal="general" vertical="bottom"/>
    </xf>
    <xf numFmtId="0" fontId="6" fillId="0" borderId="0" applyAlignment="1" pivotButton="0" quotePrefix="0" xfId="0">
      <alignment horizontal="general" vertical="bottom"/>
    </xf>
    <xf numFmtId="0" fontId="0" fillId="0" borderId="0" applyAlignment="1" pivotButton="0" quotePrefix="0" xfId="0">
      <alignment horizontal="general" vertical="bottom"/>
    </xf>
    <xf numFmtId="3" fontId="0" fillId="0" borderId="0" applyAlignment="1" pivotButton="0" quotePrefix="0" xfId="0">
      <alignment horizontal="general" vertical="bottom"/>
    </xf>
    <xf numFmtId="3" fontId="7" fillId="0" borderId="0" applyAlignment="1" pivotButton="0" quotePrefix="0" xfId="0">
      <alignment horizontal="general" vertical="bottom"/>
    </xf>
    <xf numFmtId="0" fontId="8" fillId="0" borderId="0" applyAlignment="1" pivotButton="0" quotePrefix="0" xfId="0">
      <alignment horizontal="general" vertical="bottom"/>
    </xf>
    <xf numFmtId="0" fontId="9" fillId="2" borderId="4" applyAlignment="1" pivotButton="0" quotePrefix="0" xfId="0">
      <alignment horizontal="general" vertical="bottom" wrapText="1"/>
    </xf>
    <xf numFmtId="0" fontId="9" fillId="2" borderId="5" applyAlignment="1" pivotButton="0" quotePrefix="0" xfId="0">
      <alignment horizontal="right" vertical="bottom" wrapText="1"/>
    </xf>
    <xf numFmtId="3" fontId="9" fillId="2" borderId="5" applyAlignment="1" pivotButton="0" quotePrefix="0" xfId="0">
      <alignment horizontal="right" vertical="bottom" wrapText="1"/>
    </xf>
    <xf numFmtId="3" fontId="7" fillId="0" borderId="0" applyAlignment="1" pivotButton="0" quotePrefix="0" xfId="0">
      <alignment horizontal="right" vertical="bottom" wrapText="1"/>
    </xf>
    <xf numFmtId="0" fontId="9" fillId="2" borderId="6" applyAlignment="1" pivotButton="0" quotePrefix="0" xfId="0">
      <alignment horizontal="right" vertical="bottom" wrapText="1"/>
    </xf>
    <xf numFmtId="0" fontId="6" fillId="0" borderId="0" applyAlignment="1" pivotButton="0" quotePrefix="0" xfId="0">
      <alignment horizontal="general" vertical="bottom"/>
    </xf>
    <xf numFmtId="0" fontId="0" fillId="2" borderId="7" applyAlignment="1" pivotButton="0" quotePrefix="0" xfId="0">
      <alignment horizontal="general" vertical="bottom"/>
    </xf>
    <xf numFmtId="165" fontId="0" fillId="2" borderId="0" applyAlignment="1" pivotButton="0" quotePrefix="0" xfId="21">
      <alignment horizontal="general" vertical="bottom"/>
    </xf>
    <xf numFmtId="165" fontId="0" fillId="2" borderId="8" applyAlignment="1" pivotButton="0" quotePrefix="0" xfId="21">
      <alignment horizontal="general" vertical="bottom"/>
    </xf>
    <xf numFmtId="165" fontId="9" fillId="2" borderId="9" applyAlignment="1" pivotButton="0" quotePrefix="0" xfId="21">
      <alignment horizontal="general" vertical="bottom"/>
    </xf>
    <xf numFmtId="165" fontId="7" fillId="0" borderId="0" applyAlignment="1" pivotButton="0" quotePrefix="0" xfId="21">
      <alignment horizontal="general" vertical="bottom"/>
    </xf>
    <xf numFmtId="165" fontId="0" fillId="2" borderId="10" applyAlignment="1" pivotButton="0" quotePrefix="0" xfId="21">
      <alignment horizontal="general" vertical="bottom"/>
    </xf>
    <xf numFmtId="166" fontId="9" fillId="2" borderId="11" applyAlignment="1" pivotButton="0" quotePrefix="0" xfId="21">
      <alignment horizontal="general" vertical="bottom"/>
    </xf>
    <xf numFmtId="165" fontId="0" fillId="2" borderId="9" applyAlignment="1" pivotButton="0" quotePrefix="0" xfId="21">
      <alignment horizontal="general" vertical="bottom"/>
    </xf>
    <xf numFmtId="165" fontId="0" fillId="2" borderId="11" applyAlignment="1" pivotButton="0" quotePrefix="0" xfId="21">
      <alignment horizontal="general" vertical="bottom"/>
    </xf>
    <xf numFmtId="0" fontId="10" fillId="0" borderId="0" applyAlignment="1" pivotButton="0" quotePrefix="0" xfId="0">
      <alignment horizontal="general" vertical="bottom"/>
    </xf>
    <xf numFmtId="0" fontId="9" fillId="2" borderId="12" applyAlignment="1" pivotButton="0" quotePrefix="0" xfId="0">
      <alignment horizontal="general" vertical="bottom"/>
    </xf>
    <xf numFmtId="165" fontId="9" fillId="2" borderId="13" applyAlignment="1" pivotButton="0" quotePrefix="0" xfId="21">
      <alignment horizontal="general" vertical="bottom"/>
    </xf>
    <xf numFmtId="165" fontId="9" fillId="2" borderId="14" applyAlignment="1" pivotButton="0" quotePrefix="0" xfId="21">
      <alignment horizontal="general" vertical="bottom"/>
    </xf>
    <xf numFmtId="165" fontId="9" fillId="2" borderId="15" applyAlignment="1" pivotButton="0" quotePrefix="0" xfId="21">
      <alignment horizontal="general" vertical="bottom"/>
    </xf>
    <xf numFmtId="166" fontId="9" fillId="2" borderId="15" applyAlignment="1" pivotButton="0" quotePrefix="0" xfId="21">
      <alignment horizontal="general" vertical="bottom"/>
    </xf>
    <xf numFmtId="166" fontId="0" fillId="2" borderId="0" applyAlignment="1" pivotButton="0" quotePrefix="0" xfId="21">
      <alignment horizontal="general" vertical="bottom"/>
    </xf>
    <xf numFmtId="166" fontId="0" fillId="2" borderId="9" applyAlignment="1" pivotButton="0" quotePrefix="0" xfId="21">
      <alignment horizontal="general" vertical="bottom"/>
    </xf>
    <xf numFmtId="3" fontId="9" fillId="2" borderId="8" applyAlignment="1" pivotButton="0" quotePrefix="0" xfId="21">
      <alignment horizontal="general" vertical="bottom"/>
    </xf>
    <xf numFmtId="3" fontId="7" fillId="0" borderId="0" applyAlignment="1" pivotButton="0" quotePrefix="0" xfId="21">
      <alignment horizontal="general" vertical="bottom"/>
    </xf>
    <xf numFmtId="166" fontId="0" fillId="2" borderId="11" applyAlignment="1" pivotButton="0" quotePrefix="0" xfId="21">
      <alignment horizontal="general" vertical="bottom"/>
    </xf>
    <xf numFmtId="166" fontId="0" fillId="2" borderId="16" applyAlignment="1" pivotButton="0" quotePrefix="0" xfId="21">
      <alignment horizontal="general" vertical="bottom"/>
    </xf>
    <xf numFmtId="166" fontId="9" fillId="2" borderId="13" applyAlignment="1" pivotButton="0" quotePrefix="0" xfId="21">
      <alignment horizontal="general" vertical="bottom"/>
    </xf>
    <xf numFmtId="166" fontId="9" fillId="2" borderId="14" applyAlignment="1" pivotButton="0" quotePrefix="0" xfId="21">
      <alignment horizontal="general" vertical="bottom"/>
    </xf>
    <xf numFmtId="166" fontId="11" fillId="2" borderId="11" applyAlignment="1" pivotButton="0" quotePrefix="0" xfId="21">
      <alignment horizontal="general" vertical="bottom"/>
    </xf>
    <xf numFmtId="3" fontId="11" fillId="2" borderId="9" applyAlignment="1" pivotButton="0" quotePrefix="0" xfId="21">
      <alignment horizontal="general" vertical="bottom"/>
    </xf>
    <xf numFmtId="3" fontId="11" fillId="2" borderId="11" applyAlignment="1" pivotButton="0" quotePrefix="0" xfId="21">
      <alignment horizontal="general" vertical="bottom"/>
    </xf>
    <xf numFmtId="166" fontId="9" fillId="2" borderId="0" applyAlignment="1" pivotButton="0" quotePrefix="0" xfId="0">
      <alignment horizontal="general" vertical="bottom"/>
    </xf>
    <xf numFmtId="166" fontId="0" fillId="0" borderId="0" applyAlignment="1" pivotButton="0" quotePrefix="0" xfId="0">
      <alignment horizontal="general" vertical="bottom"/>
    </xf>
    <xf numFmtId="3" fontId="12" fillId="2" borderId="0" applyAlignment="1" pivotButton="0" quotePrefix="0" xfId="0">
      <alignment horizontal="general" vertical="bottom"/>
    </xf>
    <xf numFmtId="166" fontId="12" fillId="0" borderId="0" applyAlignment="1" pivotButton="0" quotePrefix="0" xfId="0">
      <alignment horizontal="general" vertical="bottom"/>
    </xf>
    <xf numFmtId="0" fontId="9" fillId="3" borderId="4" applyAlignment="1" pivotButton="0" quotePrefix="0" xfId="0">
      <alignment horizontal="general" vertical="bottom" wrapText="1"/>
    </xf>
    <xf numFmtId="0" fontId="9" fillId="3" borderId="5" applyAlignment="1" pivotButton="0" quotePrefix="0" xfId="0">
      <alignment horizontal="right" vertical="bottom" wrapText="1"/>
    </xf>
    <xf numFmtId="0" fontId="9" fillId="3" borderId="4" applyAlignment="1" pivotButton="0" quotePrefix="0" xfId="0">
      <alignment horizontal="right" vertical="bottom" wrapText="1"/>
    </xf>
    <xf numFmtId="3" fontId="9" fillId="3" borderId="5" applyAlignment="1" pivotButton="0" quotePrefix="0" xfId="0">
      <alignment horizontal="right" vertical="bottom" wrapText="1"/>
    </xf>
    <xf numFmtId="0" fontId="9" fillId="3" borderId="6" applyAlignment="1" pivotButton="0" quotePrefix="0" xfId="0">
      <alignment horizontal="right" vertical="bottom" wrapText="1"/>
    </xf>
    <xf numFmtId="0" fontId="0" fillId="3" borderId="7" applyAlignment="1" pivotButton="0" quotePrefix="0" xfId="0">
      <alignment horizontal="general" vertical="bottom"/>
    </xf>
    <xf numFmtId="165" fontId="0" fillId="3" borderId="0" applyAlignment="1" pivotButton="0" quotePrefix="0" xfId="21">
      <alignment horizontal="general" vertical="bottom"/>
    </xf>
    <xf numFmtId="165" fontId="9" fillId="3" borderId="11" applyAlignment="1" pivotButton="0" quotePrefix="0" xfId="21">
      <alignment horizontal="general" vertical="bottom"/>
    </xf>
    <xf numFmtId="165" fontId="0" fillId="3" borderId="11" applyAlignment="1" pivotButton="0" quotePrefix="0" xfId="21">
      <alignment horizontal="general" vertical="bottom"/>
    </xf>
    <xf numFmtId="166" fontId="9" fillId="3" borderId="11" applyAlignment="1" pivotButton="0" quotePrefix="0" xfId="21">
      <alignment horizontal="general" vertical="bottom"/>
    </xf>
    <xf numFmtId="0" fontId="10" fillId="0" borderId="0" applyAlignment="1" pivotButton="0" quotePrefix="0" xfId="0">
      <alignment horizontal="general" vertical="bottom"/>
    </xf>
    <xf numFmtId="0" fontId="9" fillId="3" borderId="12" applyAlignment="1" pivotButton="0" quotePrefix="0" xfId="0">
      <alignment horizontal="general" vertical="bottom"/>
    </xf>
    <xf numFmtId="165" fontId="9" fillId="3" borderId="13" applyAlignment="1" pivotButton="0" quotePrefix="0" xfId="21">
      <alignment horizontal="general" vertical="bottom"/>
    </xf>
    <xf numFmtId="165" fontId="9" fillId="3" borderId="15" applyAlignment="1" pivotButton="0" quotePrefix="0" xfId="21">
      <alignment horizontal="general" vertical="bottom"/>
    </xf>
    <xf numFmtId="166" fontId="9" fillId="3" borderId="15" applyAlignment="1" pivotButton="0" quotePrefix="0" xfId="21">
      <alignment horizontal="general" vertical="bottom"/>
    </xf>
    <xf numFmtId="166" fontId="0" fillId="3" borderId="0" applyAlignment="1" pivotButton="0" quotePrefix="0" xfId="21">
      <alignment horizontal="general" vertical="bottom"/>
    </xf>
    <xf numFmtId="3" fontId="9" fillId="3" borderId="10" applyAlignment="1" pivotButton="0" quotePrefix="0" xfId="21">
      <alignment horizontal="general" vertical="bottom"/>
    </xf>
    <xf numFmtId="166" fontId="0" fillId="3" borderId="11" applyAlignment="1" pivotButton="0" quotePrefix="0" xfId="21">
      <alignment horizontal="general" vertical="bottom"/>
    </xf>
    <xf numFmtId="166" fontId="0" fillId="3" borderId="17" applyAlignment="1" pivotButton="0" quotePrefix="0" xfId="21">
      <alignment horizontal="general" vertical="bottom"/>
    </xf>
    <xf numFmtId="166" fontId="9" fillId="3" borderId="13" applyAlignment="1" pivotButton="0" quotePrefix="0" xfId="21">
      <alignment horizontal="general" vertical="bottom"/>
    </xf>
    <xf numFmtId="10" fontId="13" fillId="0" borderId="0" applyAlignment="1" pivotButton="0" quotePrefix="0" xfId="19">
      <alignment horizontal="general" vertical="bottom"/>
    </xf>
    <xf numFmtId="166" fontId="11" fillId="3" borderId="11" applyAlignment="1" pivotButton="0" quotePrefix="0" xfId="21">
      <alignment horizontal="general" vertical="bottom"/>
    </xf>
    <xf numFmtId="3" fontId="11" fillId="3" borderId="11" applyAlignment="1" pivotButton="0" quotePrefix="0" xfId="21">
      <alignment horizontal="general" vertical="bottom"/>
    </xf>
    <xf numFmtId="0" fontId="9" fillId="4" borderId="4" applyAlignment="1" pivotButton="0" quotePrefix="0" xfId="0">
      <alignment horizontal="general" vertical="bottom" wrapText="1"/>
    </xf>
    <xf numFmtId="0" fontId="9" fillId="4" borderId="5" applyAlignment="1" pivotButton="0" quotePrefix="0" xfId="0">
      <alignment horizontal="right" vertical="bottom" wrapText="1"/>
    </xf>
    <xf numFmtId="0" fontId="9" fillId="4" borderId="4" applyAlignment="1" pivotButton="0" quotePrefix="0" xfId="0">
      <alignment horizontal="right" vertical="bottom" wrapText="1"/>
    </xf>
    <xf numFmtId="3" fontId="9" fillId="4" borderId="5" applyAlignment="1" pivotButton="0" quotePrefix="0" xfId="0">
      <alignment horizontal="right" vertical="bottom" wrapText="1"/>
    </xf>
    <xf numFmtId="0" fontId="9" fillId="4" borderId="6" applyAlignment="1" pivotButton="0" quotePrefix="0" xfId="0">
      <alignment horizontal="right" vertical="bottom" wrapText="1"/>
    </xf>
    <xf numFmtId="0" fontId="0" fillId="4" borderId="7" applyAlignment="1" pivotButton="0" quotePrefix="0" xfId="0">
      <alignment horizontal="general" vertical="bottom"/>
    </xf>
    <xf numFmtId="165" fontId="0" fillId="4" borderId="0" applyAlignment="1" pivotButton="0" quotePrefix="0" xfId="21">
      <alignment horizontal="general" vertical="bottom"/>
    </xf>
    <xf numFmtId="165" fontId="9" fillId="4" borderId="11" applyAlignment="1" pivotButton="0" quotePrefix="0" xfId="21">
      <alignment horizontal="general" vertical="bottom"/>
    </xf>
    <xf numFmtId="165" fontId="0" fillId="4" borderId="11" applyAlignment="1" pivotButton="0" quotePrefix="0" xfId="21">
      <alignment horizontal="general" vertical="bottom"/>
    </xf>
    <xf numFmtId="0" fontId="9" fillId="4" borderId="12" applyAlignment="1" pivotButton="0" quotePrefix="0" xfId="0">
      <alignment horizontal="general" vertical="bottom"/>
    </xf>
    <xf numFmtId="165" fontId="9" fillId="4" borderId="13" applyAlignment="1" pivotButton="0" quotePrefix="0" xfId="21">
      <alignment horizontal="general" vertical="bottom"/>
    </xf>
    <xf numFmtId="165" fontId="9" fillId="4" borderId="15" applyAlignment="1" pivotButton="0" quotePrefix="0" xfId="21">
      <alignment horizontal="general" vertical="bottom"/>
    </xf>
    <xf numFmtId="166" fontId="0" fillId="4" borderId="0" applyAlignment="1" pivotButton="0" quotePrefix="0" xfId="21">
      <alignment horizontal="general" vertical="bottom"/>
    </xf>
    <xf numFmtId="3" fontId="9" fillId="4" borderId="11" applyAlignment="1" pivotButton="0" quotePrefix="0" xfId="21">
      <alignment horizontal="general" vertical="bottom"/>
    </xf>
    <xf numFmtId="166" fontId="0" fillId="4" borderId="11" applyAlignment="1" pivotButton="0" quotePrefix="0" xfId="21">
      <alignment horizontal="general" vertical="bottom"/>
    </xf>
    <xf numFmtId="166" fontId="9" fillId="4" borderId="11" applyAlignment="1" pivotButton="0" quotePrefix="0" xfId="21">
      <alignment horizontal="general" vertical="bottom"/>
    </xf>
    <xf numFmtId="166" fontId="0" fillId="4" borderId="17" applyAlignment="1" pivotButton="0" quotePrefix="0" xfId="21">
      <alignment horizontal="general" vertical="bottom"/>
    </xf>
    <xf numFmtId="166" fontId="9" fillId="4" borderId="13" applyAlignment="1" pivotButton="0" quotePrefix="0" xfId="21">
      <alignment horizontal="general" vertical="bottom"/>
    </xf>
    <xf numFmtId="166" fontId="9" fillId="4" borderId="15" applyAlignment="1" pivotButton="0" quotePrefix="0" xfId="21">
      <alignment horizontal="general" vertical="bottom"/>
    </xf>
    <xf numFmtId="166" fontId="11" fillId="4" borderId="11" applyAlignment="1" pivotButton="0" quotePrefix="0" xfId="21">
      <alignment horizontal="general" vertical="bottom"/>
    </xf>
    <xf numFmtId="3" fontId="11" fillId="4" borderId="11" applyAlignment="1" pivotButton="0" quotePrefix="0" xfId="21">
      <alignment horizontal="general" vertical="bottom"/>
    </xf>
    <xf numFmtId="0" fontId="9" fillId="5" borderId="4" applyAlignment="1" pivotButton="0" quotePrefix="0" xfId="0">
      <alignment horizontal="general" vertical="bottom" wrapText="1"/>
    </xf>
    <xf numFmtId="0" fontId="9" fillId="5" borderId="5" applyAlignment="1" pivotButton="0" quotePrefix="0" xfId="0">
      <alignment horizontal="right" vertical="bottom" wrapText="1"/>
    </xf>
    <xf numFmtId="0" fontId="9" fillId="5" borderId="4" applyAlignment="1" pivotButton="0" quotePrefix="0" xfId="0">
      <alignment horizontal="right" vertical="bottom" wrapText="1"/>
    </xf>
    <xf numFmtId="3" fontId="9" fillId="5" borderId="5" applyAlignment="1" pivotButton="0" quotePrefix="0" xfId="0">
      <alignment horizontal="right" vertical="bottom" wrapText="1"/>
    </xf>
    <xf numFmtId="0" fontId="9" fillId="5" borderId="6" applyAlignment="1" pivotButton="0" quotePrefix="0" xfId="0">
      <alignment horizontal="right" vertical="bottom" wrapText="1"/>
    </xf>
    <xf numFmtId="0" fontId="0" fillId="5" borderId="7" applyAlignment="1" pivotButton="0" quotePrefix="0" xfId="0">
      <alignment horizontal="general" vertical="bottom"/>
    </xf>
    <xf numFmtId="165" fontId="0" fillId="5" borderId="0" applyAlignment="1" pivotButton="0" quotePrefix="0" xfId="21">
      <alignment horizontal="general" vertical="bottom"/>
    </xf>
    <xf numFmtId="165" fontId="9" fillId="5" borderId="11" applyAlignment="1" pivotButton="0" quotePrefix="0" xfId="21">
      <alignment horizontal="general" vertical="bottom"/>
    </xf>
    <xf numFmtId="165" fontId="0" fillId="5" borderId="11" applyAlignment="1" pivotButton="0" quotePrefix="0" xfId="21">
      <alignment horizontal="general" vertical="bottom"/>
    </xf>
    <xf numFmtId="166" fontId="9" fillId="5" borderId="11" applyAlignment="1" pivotButton="0" quotePrefix="0" xfId="21">
      <alignment horizontal="general" vertical="bottom"/>
    </xf>
    <xf numFmtId="0" fontId="9" fillId="5" borderId="12" applyAlignment="1" pivotButton="0" quotePrefix="0" xfId="0">
      <alignment horizontal="general" vertical="bottom"/>
    </xf>
    <xf numFmtId="165" fontId="9" fillId="5" borderId="13" applyAlignment="1" pivotButton="0" quotePrefix="0" xfId="21">
      <alignment horizontal="general" vertical="bottom"/>
    </xf>
    <xf numFmtId="165" fontId="9" fillId="5" borderId="15" applyAlignment="1" pivotButton="0" quotePrefix="0" xfId="21">
      <alignment horizontal="general" vertical="bottom"/>
    </xf>
    <xf numFmtId="166" fontId="9" fillId="5" borderId="15" applyAlignment="1" pivotButton="0" quotePrefix="0" xfId="21">
      <alignment horizontal="general" vertical="bottom"/>
    </xf>
    <xf numFmtId="166" fontId="0" fillId="5" borderId="0" applyAlignment="1" pivotButton="0" quotePrefix="0" xfId="21">
      <alignment horizontal="general" vertical="bottom"/>
    </xf>
    <xf numFmtId="3" fontId="9" fillId="5" borderId="11" applyAlignment="1" pivotButton="0" quotePrefix="0" xfId="21">
      <alignment horizontal="general" vertical="bottom"/>
    </xf>
    <xf numFmtId="166" fontId="0" fillId="5" borderId="11" applyAlignment="1" pivotButton="0" quotePrefix="0" xfId="21">
      <alignment horizontal="general" vertical="bottom"/>
    </xf>
    <xf numFmtId="166" fontId="0" fillId="5" borderId="17" applyAlignment="1" pivotButton="0" quotePrefix="0" xfId="21">
      <alignment horizontal="general" vertical="bottom"/>
    </xf>
    <xf numFmtId="166" fontId="9" fillId="5" borderId="13" applyAlignment="1" pivotButton="0" quotePrefix="0" xfId="21">
      <alignment horizontal="general" vertical="bottom"/>
    </xf>
    <xf numFmtId="166" fontId="11" fillId="5" borderId="11" applyAlignment="1" pivotButton="0" quotePrefix="0" xfId="21">
      <alignment horizontal="general" vertical="bottom"/>
    </xf>
    <xf numFmtId="3" fontId="11" fillId="5" borderId="11" applyAlignment="1" pivotButton="0" quotePrefix="0" xfId="21">
      <alignment horizontal="general" vertical="bottom"/>
    </xf>
    <xf numFmtId="0" fontId="14" fillId="0" borderId="0" applyAlignment="1" pivotButton="0" quotePrefix="0" xfId="0">
      <alignment horizontal="general" vertical="bottom"/>
    </xf>
    <xf numFmtId="0" fontId="0" fillId="6" borderId="10" applyAlignment="1" pivotButton="0" quotePrefix="0" xfId="0">
      <alignment horizontal="general" vertical="bottom"/>
    </xf>
    <xf numFmtId="0" fontId="0" fillId="0" borderId="10" applyAlignment="1" pivotButton="0" quotePrefix="0" xfId="0">
      <alignment horizontal="general" vertical="bottom"/>
    </xf>
    <xf numFmtId="3" fontId="0" fillId="4" borderId="10" applyAlignment="1" pivotButton="0" quotePrefix="0" xfId="0">
      <alignment horizontal="general" vertical="bottom"/>
    </xf>
    <xf numFmtId="0" fontId="9" fillId="0" borderId="0" applyAlignment="1" pivotButton="0" quotePrefix="0" xfId="0">
      <alignment horizontal="general" vertical="bottom"/>
    </xf>
    <xf numFmtId="165" fontId="0" fillId="6" borderId="11" applyAlignment="1" pivotButton="0" quotePrefix="0" xfId="0">
      <alignment horizontal="general" vertical="bottom"/>
    </xf>
    <xf numFmtId="165" fontId="0" fillId="0" borderId="11" applyAlignment="1" pivotButton="0" quotePrefix="0" xfId="0">
      <alignment horizontal="general" vertical="bottom"/>
    </xf>
    <xf numFmtId="165" fontId="0" fillId="4" borderId="11" applyAlignment="1" pivotButton="0" quotePrefix="0" xfId="0">
      <alignment horizontal="general" vertical="bottom"/>
    </xf>
    <xf numFmtId="165" fontId="7" fillId="0" borderId="0" applyAlignment="1" pivotButton="0" quotePrefix="0" xfId="0">
      <alignment horizontal="general" vertical="bottom"/>
    </xf>
    <xf numFmtId="165" fontId="9" fillId="6" borderId="5" applyAlignment="1" pivotButton="0" quotePrefix="0" xfId="0">
      <alignment horizontal="general" vertical="bottom"/>
    </xf>
    <xf numFmtId="165" fontId="9" fillId="0" borderId="5" applyAlignment="1" pivotButton="0" quotePrefix="0" xfId="0">
      <alignment horizontal="general" vertical="bottom"/>
    </xf>
    <xf numFmtId="0" fontId="0" fillId="6" borderId="11" applyAlignment="1" pivotButton="0" quotePrefix="0" xfId="0">
      <alignment horizontal="general" vertical="bottom"/>
    </xf>
    <xf numFmtId="0" fontId="0" fillId="0" borderId="11" applyAlignment="1" pivotButton="0" quotePrefix="0" xfId="0">
      <alignment horizontal="general" vertical="bottom"/>
    </xf>
    <xf numFmtId="3" fontId="0" fillId="0" borderId="11" applyAlignment="1" pivotButton="0" quotePrefix="0" xfId="0">
      <alignment horizontal="general" vertical="bottom"/>
    </xf>
    <xf numFmtId="166" fontId="0" fillId="6" borderId="11" applyAlignment="1" pivotButton="0" quotePrefix="0" xfId="0">
      <alignment horizontal="general" vertical="bottom"/>
    </xf>
    <xf numFmtId="166" fontId="0" fillId="0" borderId="11" applyAlignment="1" pivotButton="0" quotePrefix="0" xfId="0">
      <alignment horizontal="general" vertical="bottom"/>
    </xf>
    <xf numFmtId="166" fontId="9" fillId="6" borderId="5" applyAlignment="1" pivotButton="0" quotePrefix="0" xfId="0">
      <alignment horizontal="general" vertical="bottom"/>
    </xf>
    <xf numFmtId="166" fontId="9" fillId="0" borderId="5" applyAlignment="1" pivotButton="0" quotePrefix="0" xfId="0">
      <alignment horizontal="general" vertical="bottom"/>
    </xf>
    <xf numFmtId="3" fontId="9" fillId="0" borderId="5" applyAlignment="1" pivotButton="0" quotePrefix="0" xfId="0">
      <alignment horizontal="general" vertical="bottom"/>
    </xf>
    <xf numFmtId="0" fontId="9" fillId="0" borderId="1" applyAlignment="1" pivotButton="0" quotePrefix="0" xfId="0">
      <alignment horizontal="general" vertical="bottom"/>
    </xf>
    <xf numFmtId="3" fontId="0" fillId="0" borderId="1" applyAlignment="1" pivotButton="0" quotePrefix="0" xfId="0">
      <alignment horizontal="general" vertical="bottom"/>
    </xf>
    <xf numFmtId="0" fontId="9" fillId="0" borderId="2" applyAlignment="1" pivotButton="0" quotePrefix="0" xfId="0">
      <alignment horizontal="general" vertical="bottom"/>
    </xf>
    <xf numFmtId="3" fontId="0" fillId="0" borderId="2" applyAlignment="1" pivotButton="0" quotePrefix="0" xfId="0">
      <alignment horizontal="general" vertical="bottom"/>
    </xf>
    <xf numFmtId="0" fontId="9" fillId="0" borderId="3" applyAlignment="1" pivotButton="0" quotePrefix="0" xfId="0">
      <alignment horizontal="general" vertical="bottom"/>
    </xf>
    <xf numFmtId="3" fontId="0" fillId="0" borderId="3" applyAlignment="1" pivotButton="0" quotePrefix="0" xfId="0">
      <alignment horizontal="general" vertical="bottom"/>
    </xf>
    <xf numFmtId="165" fontId="9" fillId="2" borderId="11" applyAlignment="1" pivotButton="0" quotePrefix="0" xfId="21">
      <alignment horizontal="general" vertical="bottom"/>
    </xf>
    <xf numFmtId="166" fontId="6" fillId="0" borderId="0" applyAlignment="1" pivotButton="0" quotePrefix="0" xfId="0">
      <alignment horizontal="general" vertical="bottom"/>
    </xf>
    <xf numFmtId="3" fontId="9" fillId="3" borderId="11" applyAlignment="1" pivotButton="0" quotePrefix="0" xfId="21">
      <alignment horizontal="general" vertical="bottom"/>
    </xf>
    <xf numFmtId="3" fontId="9" fillId="3" borderId="15" applyAlignment="1" pivotButton="0" quotePrefix="0" xfId="21">
      <alignment horizontal="general" vertical="bottom"/>
    </xf>
    <xf numFmtId="3" fontId="9" fillId="4" borderId="15" applyAlignment="1" pivotButton="0" quotePrefix="0" xfId="21">
      <alignment horizontal="general" vertical="bottom"/>
    </xf>
    <xf numFmtId="167" fontId="9" fillId="5" borderId="11" applyAlignment="1" pivotButton="0" quotePrefix="0" xfId="21">
      <alignment horizontal="general" vertical="bottom"/>
    </xf>
    <xf numFmtId="167" fontId="9" fillId="5" borderId="15" applyAlignment="1" pivotButton="0" quotePrefix="0" xfId="21">
      <alignment horizontal="general" vertical="bottom"/>
    </xf>
    <xf numFmtId="3" fontId="9" fillId="2" borderId="11" applyAlignment="1" pivotButton="0" quotePrefix="0" xfId="21">
      <alignment horizontal="general" vertical="bottom"/>
    </xf>
    <xf numFmtId="3" fontId="9" fillId="2" borderId="9" applyAlignment="1" pivotButton="0" quotePrefix="0" xfId="21">
      <alignment horizontal="general" vertical="bottom"/>
    </xf>
    <xf numFmtId="3" fontId="9" fillId="2" borderId="14" applyAlignment="1" pivotButton="0" quotePrefix="0" xfId="21">
      <alignment horizontal="general" vertical="bottom"/>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center" vertical="bottom"/>
    </xf>
    <xf numFmtId="0" fontId="4" fillId="0" borderId="0" applyAlignment="1" pivotButton="0" quotePrefix="0" xfId="22">
      <alignment horizontal="center" vertical="bottom"/>
    </xf>
    <xf numFmtId="164" fontId="4" fillId="0" borderId="0" applyAlignment="1" pivotButton="0" quotePrefix="0" xfId="0">
      <alignment horizontal="center" vertical="bottom"/>
    </xf>
    <xf numFmtId="0" fontId="5" fillId="0" borderId="1" applyAlignment="1" pivotButton="0" quotePrefix="0" xfId="0">
      <alignment horizontal="center" vertical="bottom" wrapText="1"/>
    </xf>
    <xf numFmtId="0" fontId="5" fillId="0" borderId="2" applyAlignment="1" pivotButton="0" quotePrefix="0" xfId="0">
      <alignment horizontal="center" vertical="bottom" wrapText="1"/>
    </xf>
    <xf numFmtId="0" fontId="5" fillId="0" borderId="3" applyAlignment="1" pivotButton="0" quotePrefix="0" xfId="0">
      <alignment horizontal="center" vertical="bottom" wrapText="1"/>
    </xf>
    <xf numFmtId="0" fontId="5" fillId="0" borderId="0" applyAlignment="1" pivotButton="0" quotePrefix="0" xfId="0">
      <alignment horizontal="general" vertical="bottom"/>
    </xf>
    <xf numFmtId="0" fontId="6" fillId="0" borderId="0" applyAlignment="1" pivotButton="0" quotePrefix="0" xfId="0">
      <alignment horizontal="general" vertical="bottom"/>
    </xf>
    <xf numFmtId="3" fontId="0" fillId="0" borderId="0" applyAlignment="1" pivotButton="0" quotePrefix="0" xfId="0">
      <alignment horizontal="general" vertical="bottom"/>
    </xf>
    <xf numFmtId="3" fontId="7" fillId="0" borderId="0" applyAlignment="1" pivotButton="0" quotePrefix="0" xfId="0">
      <alignment horizontal="general" vertical="bottom"/>
    </xf>
    <xf numFmtId="0" fontId="8" fillId="0" borderId="0" applyAlignment="1" pivotButton="0" quotePrefix="0" xfId="0">
      <alignment horizontal="general" vertical="bottom"/>
    </xf>
    <xf numFmtId="0" fontId="9" fillId="2" borderId="4" applyAlignment="1" pivotButton="0" quotePrefix="0" xfId="0">
      <alignment horizontal="general" vertical="bottom" wrapText="1"/>
    </xf>
    <xf numFmtId="0" fontId="9" fillId="2" borderId="5" applyAlignment="1" pivotButton="0" quotePrefix="0" xfId="0">
      <alignment horizontal="right" vertical="bottom" wrapText="1"/>
    </xf>
    <xf numFmtId="3" fontId="9" fillId="2" borderId="5" applyAlignment="1" pivotButton="0" quotePrefix="0" xfId="0">
      <alignment horizontal="right" vertical="bottom" wrapText="1"/>
    </xf>
    <xf numFmtId="3" fontId="7" fillId="0" borderId="0" applyAlignment="1" pivotButton="0" quotePrefix="0" xfId="0">
      <alignment horizontal="right" vertical="bottom" wrapText="1"/>
    </xf>
    <xf numFmtId="0" fontId="9" fillId="2" borderId="6" applyAlignment="1" pivotButton="0" quotePrefix="0" xfId="0">
      <alignment horizontal="right" vertical="bottom" wrapText="1"/>
    </xf>
    <xf numFmtId="0" fontId="0" fillId="2" borderId="7" applyAlignment="1" pivotButton="0" quotePrefix="0" xfId="0">
      <alignment horizontal="general" vertical="bottom"/>
    </xf>
    <xf numFmtId="165" fontId="0" fillId="2" borderId="0" applyAlignment="1" pivotButton="0" quotePrefix="0" xfId="21">
      <alignment horizontal="general" vertical="bottom"/>
    </xf>
    <xf numFmtId="165" fontId="0" fillId="2" borderId="8" applyAlignment="1" pivotButton="0" quotePrefix="0" xfId="21">
      <alignment horizontal="general" vertical="bottom"/>
    </xf>
    <xf numFmtId="165" fontId="9" fillId="2" borderId="9" applyAlignment="1" pivotButton="0" quotePrefix="0" xfId="21">
      <alignment horizontal="general" vertical="bottom"/>
    </xf>
    <xf numFmtId="165" fontId="7" fillId="0" borderId="0" applyAlignment="1" pivotButton="0" quotePrefix="0" xfId="21">
      <alignment horizontal="general" vertical="bottom"/>
    </xf>
    <xf numFmtId="165" fontId="0" fillId="2" borderId="10" applyAlignment="1" pivotButton="0" quotePrefix="0" xfId="21">
      <alignment horizontal="general" vertical="bottom"/>
    </xf>
    <xf numFmtId="166" fontId="9" fillId="2" borderId="11" applyAlignment="1" pivotButton="0" quotePrefix="0" xfId="21">
      <alignment horizontal="general" vertical="bottom"/>
    </xf>
    <xf numFmtId="165" fontId="0" fillId="2" borderId="9" applyAlignment="1" pivotButton="0" quotePrefix="0" xfId="21">
      <alignment horizontal="general" vertical="bottom"/>
    </xf>
    <xf numFmtId="165" fontId="0" fillId="2" borderId="11" applyAlignment="1" pivotButton="0" quotePrefix="0" xfId="21">
      <alignment horizontal="general" vertical="bottom"/>
    </xf>
    <xf numFmtId="0" fontId="10" fillId="0" borderId="0" applyAlignment="1" pivotButton="0" quotePrefix="0" xfId="0">
      <alignment horizontal="general" vertical="bottom"/>
    </xf>
    <xf numFmtId="0" fontId="9" fillId="2" borderId="12" applyAlignment="1" pivotButton="0" quotePrefix="0" xfId="0">
      <alignment horizontal="general" vertical="bottom"/>
    </xf>
    <xf numFmtId="165" fontId="9" fillId="2" borderId="13" applyAlignment="1" pivotButton="0" quotePrefix="0" xfId="21">
      <alignment horizontal="general" vertical="bottom"/>
    </xf>
    <xf numFmtId="165" fontId="9" fillId="2" borderId="14" applyAlignment="1" pivotButton="0" quotePrefix="0" xfId="21">
      <alignment horizontal="general" vertical="bottom"/>
    </xf>
    <xf numFmtId="165" fontId="9" fillId="2" borderId="15" applyAlignment="1" pivotButton="0" quotePrefix="0" xfId="21">
      <alignment horizontal="general" vertical="bottom"/>
    </xf>
    <xf numFmtId="166" fontId="9" fillId="2" borderId="15" applyAlignment="1" pivotButton="0" quotePrefix="0" xfId="21">
      <alignment horizontal="general" vertical="bottom"/>
    </xf>
    <xf numFmtId="166" fontId="0" fillId="2" borderId="0" applyAlignment="1" pivotButton="0" quotePrefix="0" xfId="21">
      <alignment horizontal="general" vertical="bottom"/>
    </xf>
    <xf numFmtId="166" fontId="0" fillId="2" borderId="9" applyAlignment="1" pivotButton="0" quotePrefix="0" xfId="21">
      <alignment horizontal="general" vertical="bottom"/>
    </xf>
    <xf numFmtId="3" fontId="9" fillId="2" borderId="8" applyAlignment="1" pivotButton="0" quotePrefix="0" xfId="21">
      <alignment horizontal="general" vertical="bottom"/>
    </xf>
    <xf numFmtId="3" fontId="7" fillId="0" borderId="0" applyAlignment="1" pivotButton="0" quotePrefix="0" xfId="21">
      <alignment horizontal="general" vertical="bottom"/>
    </xf>
    <xf numFmtId="166" fontId="0" fillId="2" borderId="11" applyAlignment="1" pivotButton="0" quotePrefix="0" xfId="21">
      <alignment horizontal="general" vertical="bottom"/>
    </xf>
    <xf numFmtId="166" fontId="0" fillId="2" borderId="16" applyAlignment="1" pivotButton="0" quotePrefix="0" xfId="21">
      <alignment horizontal="general" vertical="bottom"/>
    </xf>
    <xf numFmtId="166" fontId="9" fillId="2" borderId="13" applyAlignment="1" pivotButton="0" quotePrefix="0" xfId="21">
      <alignment horizontal="general" vertical="bottom"/>
    </xf>
    <xf numFmtId="166" fontId="9" fillId="2" borderId="14" applyAlignment="1" pivotButton="0" quotePrefix="0" xfId="21">
      <alignment horizontal="general" vertical="bottom"/>
    </xf>
    <xf numFmtId="166" fontId="11" fillId="2" borderId="11" applyAlignment="1" pivotButton="0" quotePrefix="0" xfId="21">
      <alignment horizontal="general" vertical="bottom"/>
    </xf>
    <xf numFmtId="3" fontId="11" fillId="2" borderId="9" applyAlignment="1" pivotButton="0" quotePrefix="0" xfId="21">
      <alignment horizontal="general" vertical="bottom"/>
    </xf>
    <xf numFmtId="3" fontId="11" fillId="2" borderId="11" applyAlignment="1" pivotButton="0" quotePrefix="0" xfId="21">
      <alignment horizontal="general" vertical="bottom"/>
    </xf>
    <xf numFmtId="166" fontId="9" fillId="2" borderId="0" applyAlignment="1" pivotButton="0" quotePrefix="0" xfId="0">
      <alignment horizontal="general" vertical="bottom"/>
    </xf>
    <xf numFmtId="166" fontId="0" fillId="0" borderId="0" applyAlignment="1" pivotButton="0" quotePrefix="0" xfId="0">
      <alignment horizontal="general" vertical="bottom"/>
    </xf>
    <xf numFmtId="3" fontId="12" fillId="2" borderId="0" applyAlignment="1" pivotButton="0" quotePrefix="0" xfId="0">
      <alignment horizontal="general" vertical="bottom"/>
    </xf>
    <xf numFmtId="166" fontId="12" fillId="0" borderId="0" applyAlignment="1" pivotButton="0" quotePrefix="0" xfId="0">
      <alignment horizontal="general" vertical="bottom"/>
    </xf>
    <xf numFmtId="0" fontId="9" fillId="3" borderId="4" applyAlignment="1" pivotButton="0" quotePrefix="0" xfId="0">
      <alignment horizontal="general" vertical="bottom" wrapText="1"/>
    </xf>
    <xf numFmtId="0" fontId="9" fillId="3" borderId="5" applyAlignment="1" pivotButton="0" quotePrefix="0" xfId="0">
      <alignment horizontal="right" vertical="bottom" wrapText="1"/>
    </xf>
    <xf numFmtId="0" fontId="9" fillId="3" borderId="4" applyAlignment="1" pivotButton="0" quotePrefix="0" xfId="0">
      <alignment horizontal="right" vertical="bottom" wrapText="1"/>
    </xf>
    <xf numFmtId="3" fontId="9" fillId="3" borderId="5" applyAlignment="1" pivotButton="0" quotePrefix="0" xfId="0">
      <alignment horizontal="right" vertical="bottom" wrapText="1"/>
    </xf>
    <xf numFmtId="0" fontId="9" fillId="3" borderId="6" applyAlignment="1" pivotButton="0" quotePrefix="0" xfId="0">
      <alignment horizontal="right" vertical="bottom" wrapText="1"/>
    </xf>
    <xf numFmtId="0" fontId="0" fillId="3" borderId="7" applyAlignment="1" pivotButton="0" quotePrefix="0" xfId="0">
      <alignment horizontal="general" vertical="bottom"/>
    </xf>
    <xf numFmtId="165" fontId="0" fillId="3" borderId="0" applyAlignment="1" pivotButton="0" quotePrefix="0" xfId="21">
      <alignment horizontal="general" vertical="bottom"/>
    </xf>
    <xf numFmtId="165" fontId="9" fillId="3" borderId="11" applyAlignment="1" pivotButton="0" quotePrefix="0" xfId="21">
      <alignment horizontal="general" vertical="bottom"/>
    </xf>
    <xf numFmtId="165" fontId="0" fillId="3" borderId="11" applyAlignment="1" pivotButton="0" quotePrefix="0" xfId="21">
      <alignment horizontal="general" vertical="bottom"/>
    </xf>
    <xf numFmtId="166" fontId="9" fillId="3" borderId="11" applyAlignment="1" pivotButton="0" quotePrefix="0" xfId="21">
      <alignment horizontal="general" vertical="bottom"/>
    </xf>
    <xf numFmtId="0" fontId="9" fillId="3" borderId="12" applyAlignment="1" pivotButton="0" quotePrefix="0" xfId="0">
      <alignment horizontal="general" vertical="bottom"/>
    </xf>
    <xf numFmtId="165" fontId="9" fillId="3" borderId="13" applyAlignment="1" pivotButton="0" quotePrefix="0" xfId="21">
      <alignment horizontal="general" vertical="bottom"/>
    </xf>
    <xf numFmtId="165" fontId="9" fillId="3" borderId="15" applyAlignment="1" pivotButton="0" quotePrefix="0" xfId="21">
      <alignment horizontal="general" vertical="bottom"/>
    </xf>
    <xf numFmtId="166" fontId="9" fillId="3" borderId="15" applyAlignment="1" pivotButton="0" quotePrefix="0" xfId="21">
      <alignment horizontal="general" vertical="bottom"/>
    </xf>
    <xf numFmtId="166" fontId="0" fillId="3" borderId="0" applyAlignment="1" pivotButton="0" quotePrefix="0" xfId="21">
      <alignment horizontal="general" vertical="bottom"/>
    </xf>
    <xf numFmtId="3" fontId="9" fillId="3" borderId="10" applyAlignment="1" pivotButton="0" quotePrefix="0" xfId="21">
      <alignment horizontal="general" vertical="bottom"/>
    </xf>
    <xf numFmtId="166" fontId="0" fillId="3" borderId="11" applyAlignment="1" pivotButton="0" quotePrefix="0" xfId="21">
      <alignment horizontal="general" vertical="bottom"/>
    </xf>
    <xf numFmtId="166" fontId="0" fillId="3" borderId="17" applyAlignment="1" pivotButton="0" quotePrefix="0" xfId="21">
      <alignment horizontal="general" vertical="bottom"/>
    </xf>
    <xf numFmtId="166" fontId="9" fillId="3" borderId="13" applyAlignment="1" pivotButton="0" quotePrefix="0" xfId="21">
      <alignment horizontal="general" vertical="bottom"/>
    </xf>
    <xf numFmtId="10" fontId="13" fillId="0" borderId="0" applyAlignment="1" pivotButton="0" quotePrefix="0" xfId="19">
      <alignment horizontal="general" vertical="bottom"/>
    </xf>
    <xf numFmtId="166" fontId="11" fillId="3" borderId="11" applyAlignment="1" pivotButton="0" quotePrefix="0" xfId="21">
      <alignment horizontal="general" vertical="bottom"/>
    </xf>
    <xf numFmtId="3" fontId="11" fillId="3" borderId="11" applyAlignment="1" pivotButton="0" quotePrefix="0" xfId="21">
      <alignment horizontal="general" vertical="bottom"/>
    </xf>
    <xf numFmtId="0" fontId="9" fillId="4" borderId="4" applyAlignment="1" pivotButton="0" quotePrefix="0" xfId="0">
      <alignment horizontal="general" vertical="bottom" wrapText="1"/>
    </xf>
    <xf numFmtId="0" fontId="9" fillId="4" borderId="5" applyAlignment="1" pivotButton="0" quotePrefix="0" xfId="0">
      <alignment horizontal="right" vertical="bottom" wrapText="1"/>
    </xf>
    <xf numFmtId="0" fontId="9" fillId="4" borderId="4" applyAlignment="1" pivotButton="0" quotePrefix="0" xfId="0">
      <alignment horizontal="right" vertical="bottom" wrapText="1"/>
    </xf>
    <xf numFmtId="3" fontId="9" fillId="4" borderId="5" applyAlignment="1" pivotButton="0" quotePrefix="0" xfId="0">
      <alignment horizontal="right" vertical="bottom" wrapText="1"/>
    </xf>
    <xf numFmtId="0" fontId="9" fillId="4" borderId="6" applyAlignment="1" pivotButton="0" quotePrefix="0" xfId="0">
      <alignment horizontal="right" vertical="bottom" wrapText="1"/>
    </xf>
    <xf numFmtId="0" fontId="0" fillId="4" borderId="7" applyAlignment="1" pivotButton="0" quotePrefix="0" xfId="0">
      <alignment horizontal="general" vertical="bottom"/>
    </xf>
    <xf numFmtId="165" fontId="0" fillId="4" borderId="0" applyAlignment="1" pivotButton="0" quotePrefix="0" xfId="21">
      <alignment horizontal="general" vertical="bottom"/>
    </xf>
    <xf numFmtId="165" fontId="9" fillId="4" borderId="11" applyAlignment="1" pivotButton="0" quotePrefix="0" xfId="21">
      <alignment horizontal="general" vertical="bottom"/>
    </xf>
    <xf numFmtId="165" fontId="0" fillId="4" borderId="11" applyAlignment="1" pivotButton="0" quotePrefix="0" xfId="21">
      <alignment horizontal="general" vertical="bottom"/>
    </xf>
    <xf numFmtId="0" fontId="9" fillId="4" borderId="12" applyAlignment="1" pivotButton="0" quotePrefix="0" xfId="0">
      <alignment horizontal="general" vertical="bottom"/>
    </xf>
    <xf numFmtId="165" fontId="9" fillId="4" borderId="13" applyAlignment="1" pivotButton="0" quotePrefix="0" xfId="21">
      <alignment horizontal="general" vertical="bottom"/>
    </xf>
    <xf numFmtId="165" fontId="9" fillId="4" borderId="15" applyAlignment="1" pivotButton="0" quotePrefix="0" xfId="21">
      <alignment horizontal="general" vertical="bottom"/>
    </xf>
    <xf numFmtId="166" fontId="0" fillId="4" borderId="0" applyAlignment="1" pivotButton="0" quotePrefix="0" xfId="21">
      <alignment horizontal="general" vertical="bottom"/>
    </xf>
    <xf numFmtId="3" fontId="9" fillId="4" borderId="11" applyAlignment="1" pivotButton="0" quotePrefix="0" xfId="21">
      <alignment horizontal="general" vertical="bottom"/>
    </xf>
    <xf numFmtId="166" fontId="0" fillId="4" borderId="11" applyAlignment="1" pivotButton="0" quotePrefix="0" xfId="21">
      <alignment horizontal="general" vertical="bottom"/>
    </xf>
    <xf numFmtId="166" fontId="9" fillId="4" borderId="11" applyAlignment="1" pivotButton="0" quotePrefix="0" xfId="21">
      <alignment horizontal="general" vertical="bottom"/>
    </xf>
    <xf numFmtId="166" fontId="0" fillId="4" borderId="17" applyAlignment="1" pivotButton="0" quotePrefix="0" xfId="21">
      <alignment horizontal="general" vertical="bottom"/>
    </xf>
    <xf numFmtId="166" fontId="9" fillId="4" borderId="13" applyAlignment="1" pivotButton="0" quotePrefix="0" xfId="21">
      <alignment horizontal="general" vertical="bottom"/>
    </xf>
    <xf numFmtId="166" fontId="9" fillId="4" borderId="15" applyAlignment="1" pivotButton="0" quotePrefix="0" xfId="21">
      <alignment horizontal="general" vertical="bottom"/>
    </xf>
    <xf numFmtId="166" fontId="11" fillId="4" borderId="11" applyAlignment="1" pivotButton="0" quotePrefix="0" xfId="21">
      <alignment horizontal="general" vertical="bottom"/>
    </xf>
    <xf numFmtId="3" fontId="11" fillId="4" borderId="11" applyAlignment="1" pivotButton="0" quotePrefix="0" xfId="21">
      <alignment horizontal="general" vertical="bottom"/>
    </xf>
    <xf numFmtId="0" fontId="9" fillId="5" borderId="4" applyAlignment="1" pivotButton="0" quotePrefix="0" xfId="0">
      <alignment horizontal="general" vertical="bottom" wrapText="1"/>
    </xf>
    <xf numFmtId="0" fontId="9" fillId="5" borderId="5" applyAlignment="1" pivotButton="0" quotePrefix="0" xfId="0">
      <alignment horizontal="right" vertical="bottom" wrapText="1"/>
    </xf>
    <xf numFmtId="0" fontId="9" fillId="5" borderId="4" applyAlignment="1" pivotButton="0" quotePrefix="0" xfId="0">
      <alignment horizontal="right" vertical="bottom" wrapText="1"/>
    </xf>
    <xf numFmtId="3" fontId="9" fillId="5" borderId="5" applyAlignment="1" pivotButton="0" quotePrefix="0" xfId="0">
      <alignment horizontal="right" vertical="bottom" wrapText="1"/>
    </xf>
    <xf numFmtId="0" fontId="9" fillId="5" borderId="6" applyAlignment="1" pivotButton="0" quotePrefix="0" xfId="0">
      <alignment horizontal="right" vertical="bottom" wrapText="1"/>
    </xf>
    <xf numFmtId="0" fontId="0" fillId="5" borderId="7" applyAlignment="1" pivotButton="0" quotePrefix="0" xfId="0">
      <alignment horizontal="general" vertical="bottom"/>
    </xf>
    <xf numFmtId="165" fontId="0" fillId="5" borderId="0" applyAlignment="1" pivotButton="0" quotePrefix="0" xfId="21">
      <alignment horizontal="general" vertical="bottom"/>
    </xf>
    <xf numFmtId="165" fontId="9" fillId="5" borderId="11" applyAlignment="1" pivotButton="0" quotePrefix="0" xfId="21">
      <alignment horizontal="general" vertical="bottom"/>
    </xf>
    <xf numFmtId="165" fontId="0" fillId="5" borderId="11" applyAlignment="1" pivotButton="0" quotePrefix="0" xfId="21">
      <alignment horizontal="general" vertical="bottom"/>
    </xf>
    <xf numFmtId="166" fontId="9" fillId="5" borderId="11" applyAlignment="1" pivotButton="0" quotePrefix="0" xfId="21">
      <alignment horizontal="general" vertical="bottom"/>
    </xf>
    <xf numFmtId="0" fontId="9" fillId="5" borderId="12" applyAlignment="1" pivotButton="0" quotePrefix="0" xfId="0">
      <alignment horizontal="general" vertical="bottom"/>
    </xf>
    <xf numFmtId="165" fontId="9" fillId="5" borderId="13" applyAlignment="1" pivotButton="0" quotePrefix="0" xfId="21">
      <alignment horizontal="general" vertical="bottom"/>
    </xf>
    <xf numFmtId="165" fontId="9" fillId="5" borderId="15" applyAlignment="1" pivotButton="0" quotePrefix="0" xfId="21">
      <alignment horizontal="general" vertical="bottom"/>
    </xf>
    <xf numFmtId="166" fontId="9" fillId="5" borderId="15" applyAlignment="1" pivotButton="0" quotePrefix="0" xfId="21">
      <alignment horizontal="general" vertical="bottom"/>
    </xf>
    <xf numFmtId="166" fontId="0" fillId="5" borderId="0" applyAlignment="1" pivotButton="0" quotePrefix="0" xfId="21">
      <alignment horizontal="general" vertical="bottom"/>
    </xf>
    <xf numFmtId="3" fontId="9" fillId="5" borderId="11" applyAlignment="1" pivotButton="0" quotePrefix="0" xfId="21">
      <alignment horizontal="general" vertical="bottom"/>
    </xf>
    <xf numFmtId="166" fontId="0" fillId="5" borderId="11" applyAlignment="1" pivotButton="0" quotePrefix="0" xfId="21">
      <alignment horizontal="general" vertical="bottom"/>
    </xf>
    <xf numFmtId="166" fontId="0" fillId="5" borderId="17" applyAlignment="1" pivotButton="0" quotePrefix="0" xfId="21">
      <alignment horizontal="general" vertical="bottom"/>
    </xf>
    <xf numFmtId="166" fontId="9" fillId="5" borderId="13" applyAlignment="1" pivotButton="0" quotePrefix="0" xfId="21">
      <alignment horizontal="general" vertical="bottom"/>
    </xf>
    <xf numFmtId="166" fontId="11" fillId="5" borderId="11" applyAlignment="1" pivotButton="0" quotePrefix="0" xfId="21">
      <alignment horizontal="general" vertical="bottom"/>
    </xf>
    <xf numFmtId="3" fontId="11" fillId="5" borderId="11" applyAlignment="1" pivotButton="0" quotePrefix="0" xfId="21">
      <alignment horizontal="general" vertical="bottom"/>
    </xf>
    <xf numFmtId="0" fontId="14" fillId="0" borderId="0" applyAlignment="1" pivotButton="0" quotePrefix="0" xfId="0">
      <alignment horizontal="general" vertical="bottom"/>
    </xf>
    <xf numFmtId="0" fontId="0" fillId="6" borderId="10" applyAlignment="1" pivotButton="0" quotePrefix="0" xfId="0">
      <alignment horizontal="general" vertical="bottom"/>
    </xf>
    <xf numFmtId="0" fontId="0" fillId="0" borderId="10" applyAlignment="1" pivotButton="0" quotePrefix="0" xfId="0">
      <alignment horizontal="general" vertical="bottom"/>
    </xf>
    <xf numFmtId="3" fontId="0" fillId="4" borderId="10" applyAlignment="1" pivotButton="0" quotePrefix="0" xfId="0">
      <alignment horizontal="general" vertical="bottom"/>
    </xf>
    <xf numFmtId="0" fontId="9" fillId="0" borderId="0" applyAlignment="1" pivotButton="0" quotePrefix="0" xfId="0">
      <alignment horizontal="general" vertical="bottom"/>
    </xf>
    <xf numFmtId="165" fontId="0" fillId="6" borderId="11" applyAlignment="1" pivotButton="0" quotePrefix="0" xfId="0">
      <alignment horizontal="general" vertical="bottom"/>
    </xf>
    <xf numFmtId="165" fontId="0" fillId="0" borderId="11" applyAlignment="1" pivotButton="0" quotePrefix="0" xfId="0">
      <alignment horizontal="general" vertical="bottom"/>
    </xf>
    <xf numFmtId="165" fontId="0" fillId="4" borderId="11" applyAlignment="1" pivotButton="0" quotePrefix="0" xfId="0">
      <alignment horizontal="general" vertical="bottom"/>
    </xf>
    <xf numFmtId="165" fontId="7" fillId="0" borderId="0" applyAlignment="1" pivotButton="0" quotePrefix="0" xfId="0">
      <alignment horizontal="general" vertical="bottom"/>
    </xf>
    <xf numFmtId="165" fontId="9" fillId="6" borderId="5" applyAlignment="1" pivotButton="0" quotePrefix="0" xfId="0">
      <alignment horizontal="general" vertical="bottom"/>
    </xf>
    <xf numFmtId="165" fontId="9" fillId="0" borderId="5" applyAlignment="1" pivotButton="0" quotePrefix="0" xfId="0">
      <alignment horizontal="general" vertical="bottom"/>
    </xf>
    <xf numFmtId="0" fontId="0" fillId="6" borderId="11" applyAlignment="1" pivotButton="0" quotePrefix="0" xfId="0">
      <alignment horizontal="general" vertical="bottom"/>
    </xf>
    <xf numFmtId="0" fontId="0" fillId="0" borderId="11" applyAlignment="1" pivotButton="0" quotePrefix="0" xfId="0">
      <alignment horizontal="general" vertical="bottom"/>
    </xf>
    <xf numFmtId="3" fontId="0" fillId="0" borderId="11" applyAlignment="1" pivotButton="0" quotePrefix="0" xfId="0">
      <alignment horizontal="general" vertical="bottom"/>
    </xf>
    <xf numFmtId="166" fontId="0" fillId="6" borderId="11" applyAlignment="1" pivotButton="0" quotePrefix="0" xfId="0">
      <alignment horizontal="general" vertical="bottom"/>
    </xf>
    <xf numFmtId="166" fontId="0" fillId="0" borderId="11" applyAlignment="1" pivotButton="0" quotePrefix="0" xfId="0">
      <alignment horizontal="general" vertical="bottom"/>
    </xf>
    <xf numFmtId="166" fontId="9" fillId="6" borderId="5" applyAlignment="1" pivotButton="0" quotePrefix="0" xfId="0">
      <alignment horizontal="general" vertical="bottom"/>
    </xf>
    <xf numFmtId="166" fontId="9" fillId="0" borderId="5" applyAlignment="1" pivotButton="0" quotePrefix="0" xfId="0">
      <alignment horizontal="general" vertical="bottom"/>
    </xf>
    <xf numFmtId="3" fontId="9" fillId="0" borderId="5" applyAlignment="1" pivotButton="0" quotePrefix="0" xfId="0">
      <alignment horizontal="general" vertical="bottom"/>
    </xf>
    <xf numFmtId="0" fontId="9" fillId="0" borderId="1" applyAlignment="1" pivotButton="0" quotePrefix="0" xfId="0">
      <alignment horizontal="general" vertical="bottom"/>
    </xf>
    <xf numFmtId="3" fontId="0" fillId="0" borderId="1" applyAlignment="1" pivotButton="0" quotePrefix="0" xfId="0">
      <alignment horizontal="general" vertical="bottom"/>
    </xf>
    <xf numFmtId="0" fontId="9" fillId="0" borderId="2" applyAlignment="1" pivotButton="0" quotePrefix="0" xfId="0">
      <alignment horizontal="general" vertical="bottom"/>
    </xf>
    <xf numFmtId="3" fontId="0" fillId="0" borderId="2" applyAlignment="1" pivotButton="0" quotePrefix="0" xfId="0">
      <alignment horizontal="general" vertical="bottom"/>
    </xf>
    <xf numFmtId="0" fontId="9" fillId="0" borderId="3" applyAlignment="1" pivotButton="0" quotePrefix="0" xfId="0">
      <alignment horizontal="general" vertical="bottom"/>
    </xf>
    <xf numFmtId="3" fontId="0" fillId="0" borderId="3" applyAlignment="1" pivotButton="0" quotePrefix="0" xfId="0">
      <alignment horizontal="general" vertical="bottom"/>
    </xf>
    <xf numFmtId="165" fontId="9" fillId="2" borderId="11" applyAlignment="1" pivotButton="0" quotePrefix="0" xfId="21">
      <alignment horizontal="general" vertical="bottom"/>
    </xf>
    <xf numFmtId="166" fontId="6" fillId="0" borderId="0" applyAlignment="1" pivotButton="0" quotePrefix="0" xfId="0">
      <alignment horizontal="general" vertical="bottom"/>
    </xf>
    <xf numFmtId="3" fontId="9" fillId="3" borderId="11" applyAlignment="1" pivotButton="0" quotePrefix="0" xfId="21">
      <alignment horizontal="general" vertical="bottom"/>
    </xf>
    <xf numFmtId="3" fontId="9" fillId="3" borderId="15" applyAlignment="1" pivotButton="0" quotePrefix="0" xfId="21">
      <alignment horizontal="general" vertical="bottom"/>
    </xf>
    <xf numFmtId="3" fontId="9" fillId="4" borderId="15" applyAlignment="1" pivotButton="0" quotePrefix="0" xfId="21">
      <alignment horizontal="general" vertical="bottom"/>
    </xf>
    <xf numFmtId="167" fontId="9" fillId="5" borderId="11" applyAlignment="1" pivotButton="0" quotePrefix="0" xfId="21">
      <alignment horizontal="general" vertical="bottom"/>
    </xf>
    <xf numFmtId="167" fontId="9" fillId="5" borderId="15" applyAlignment="1" pivotButton="0" quotePrefix="0" xfId="21">
      <alignment horizontal="general" vertical="bottom"/>
    </xf>
    <xf numFmtId="3" fontId="9" fillId="2" borderId="11" applyAlignment="1" pivotButton="0" quotePrefix="0" xfId="21">
      <alignment horizontal="general" vertical="bottom"/>
    </xf>
    <xf numFmtId="3" fontId="9" fillId="2" borderId="9" applyAlignment="1" pivotButton="0" quotePrefix="0" xfId="21">
      <alignment horizontal="general" vertical="bottom"/>
    </xf>
    <xf numFmtId="3" fontId="9" fillId="2" borderId="14" applyAlignment="1" pivotButton="0" quotePrefix="0" xfId="21">
      <alignment horizontal="general" vertical="bottom"/>
    </xf>
  </cellXfs>
  <cellStyles count="9">
    <cellStyle name="Normal" xfId="0" builtinId="0"/>
    <cellStyle name="Comma" xfId="1" builtinId="3"/>
    <cellStyle name="Comma [0]" xfId="2" builtinId="6"/>
    <cellStyle name="Currency" xfId="3" builtinId="4"/>
    <cellStyle name="Currency [0]" xfId="4" builtinId="7"/>
    <cellStyle name="Percent" xfId="5" builtinId="5"/>
    <cellStyle name="%??O%??P%??Q%??R%??S%??T%??U%??V%??W%??X%??Y%??Z%??[%??\%??]%??^%??_%??`%??a%?" xfId="6"/>
    <cellStyle name="Comma_20050503_KMK_Consolidated Baseline" xfId="7"/>
    <cellStyle name="Normal_RFP8 Attachment 4-A Supplier Pricing Forms" xfId="8"/>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externalLink" Target="/xl/externalLinks/externalLink1.xml" Id="rId11"/><Relationship Type="http://schemas.openxmlformats.org/officeDocument/2006/relationships/externalLink" Target="/xl/externalLinks/externalLink2.xml" Id="rId12"/><Relationship Type="http://schemas.openxmlformats.org/officeDocument/2006/relationships/externalLink" Target="/xl/externalLinks/externalLink3.xml" Id="rId13"/><Relationship Type="http://schemas.openxmlformats.org/officeDocument/2006/relationships/externalLink" Target="/xl/externalLinks/externalLink4.xml" Id="rId14"/><Relationship Type="http://schemas.openxmlformats.org/officeDocument/2006/relationships/externalLink" Target="/xl/externalLinks/externalLink5.xml" Id="rId15"/><Relationship Type="http://schemas.openxmlformats.org/officeDocument/2006/relationships/externalLink" Target="/xl/externalLinks/externalLink6.xml" Id="rId16"/><Relationship Type="http://schemas.openxmlformats.org/officeDocument/2006/relationships/externalLink" Target="/xl/externalLinks/externalLink7.xml" Id="rId17"/><Relationship Type="http://schemas.openxmlformats.org/officeDocument/2006/relationships/externalLink" Target="/xl/externalLinks/externalLink8.xml" Id="rId18"/><Relationship Type="http://schemas.openxmlformats.org/officeDocument/2006/relationships/styles" Target="styles.xml" Id="rId19"/><Relationship Type="http://schemas.openxmlformats.org/officeDocument/2006/relationships/theme" Target="theme/theme1.xml" Id="rId20"/></Relationships>
</file>

<file path=xl/externalLinks/_rels/externalLink1.xml.rels><Relationships xmlns="http://schemas.openxmlformats.org/package/2006/relationships"><Relationship Type="http://schemas.openxmlformats.org/officeDocument/2006/relationships/externalLinkPath" Target="file://BSSEFILE01/WinJur/Documents%20and%20Settings/koutross/My%20Documents/Data/01%20Novartis/75%20Contract/01%20PWT2%20RC/Maxima%20Basecase-UK.xls" TargetMode="External" Id="rId1"/></Relationships>
</file>

<file path=xl/externalLinks/_rels/externalLink2.xml.rels><Relationships xmlns="http://schemas.openxmlformats.org/package/2006/relationships"><Relationship Type="http://schemas.openxmlformats.org/officeDocument/2006/relationships/externalLinkPath" Target="file://BSSEFILE01/WinJur/Documents%20and%20Settings/koutross/My%20Documents/Data/01%20Novartis/75%20Contract/01%20PWT2%20RC/Maxima%20Basecase-US.xls" TargetMode="External" Id="rId1"/></Relationships>
</file>

<file path=xl/externalLinks/_rels/externalLink3.xml.rels><Relationships xmlns="http://schemas.openxmlformats.org/package/2006/relationships"><Relationship Type="http://schemas.openxmlformats.org/officeDocument/2006/relationships/externalLinkPath" Target="file://BSSEFILE01/WinJur/Documents%20and%20Settings/koutross/My%20Documents/Data/01%20Novartis/75%20Contract/01%20PWT2%20RC/Maxima%20Basecase-France.xls" TargetMode="External" Id="rId1"/></Relationships>
</file>

<file path=xl/externalLinks/_rels/externalLink4.xml.rels><Relationships xmlns="http://schemas.openxmlformats.org/package/2006/relationships"><Relationship Type="http://schemas.openxmlformats.org/officeDocument/2006/relationships/externalLinkPath" Target="file://BSSEFILE01/WinJur/Documents%20and%20Settings/koutross/My%20Documents/Data/01%20Novartis/75%20Contract/01%20PWT2%20RC/Maxima%20Basecase-Spain.xls" TargetMode="External" Id="rId1"/></Relationships>
</file>

<file path=xl/externalLinks/_rels/externalLink5.xml.rels><Relationships xmlns="http://schemas.openxmlformats.org/package/2006/relationships"><Relationship Type="http://schemas.openxmlformats.org/officeDocument/2006/relationships/externalLinkPath" Target="file://BSSEFILE01/WinJur/Documents%20and%20Settings/koutross/My%20Documents/Data/01%20Novartis/75%20Contract/01%20PWT2%20RC/Maxima%20Basecase-Italy.xls" TargetMode="External" Id="rId1"/></Relationships>
</file>

<file path=xl/externalLinks/_rels/externalLink6.xml.rels><Relationships xmlns="http://schemas.openxmlformats.org/package/2006/relationships"><Relationship Type="http://schemas.openxmlformats.org/officeDocument/2006/relationships/externalLinkPath" Target="file://BSSEFILE01/WinJur/Documents%20and%20Settings/koutross/My%20Documents/Data/01%20Novartis/75%20Contract/01%20PWT2%20RC/Maxima%20Basecase-Switzerland.xls" TargetMode="External" Id="rId1"/></Relationships>
</file>

<file path=xl/externalLinks/_rels/externalLink7.xml.rels><Relationships xmlns="http://schemas.openxmlformats.org/package/2006/relationships"><Relationship Type="http://schemas.openxmlformats.org/officeDocument/2006/relationships/externalLinkPath" Target="file://BSSEFILE01/WinJur/Documents%20and%20Settings/koutross/My%20Documents/Data/01%20Novartis/75%20Contract/01%20PWT2%20RC/Maxima%20Basecase-Germany%20Production.xls" TargetMode="External" Id="rId1"/></Relationships>
</file>

<file path=xl/externalLinks/_rels/externalLink8.xml.rels><Relationships xmlns="http://schemas.openxmlformats.org/package/2006/relationships"><Relationship Type="http://schemas.openxmlformats.org/officeDocument/2006/relationships/externalLinkPath" Target="file://BSSEFILE01/WinJur/Documents%20and%20Settings/koutross/My%20Documents/Data/01%20Novartis/75%20Contract/01%20PWT2%20RC/Maxima%20Basecase-Germany.xls"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Instructions"/>
      <sheetName val="Notes"/>
      <sheetName val="Consolidated"/>
      <sheetName val="GL"/>
      <sheetName val="Ext.Rpt."/>
      <sheetName val="RTP"/>
      <sheetName val="AP"/>
      <sheetName val="T&amp;E"/>
      <sheetName val="OTC"/>
      <sheetName val="SOX"/>
      <sheetName val="NA 1"/>
      <sheetName val="NA 2"/>
      <sheetName val="Other"/>
      <sheetName val="Mgt &amp; Coord"/>
      <sheetName val="Depreciation"/>
    </sheetNames>
    <sheetDataSet>
      <sheetData sheetId="0"/>
      <sheetData sheetId="1"/>
      <sheetData sheetId="2">
        <row r="3">
          <cell r="D3">
            <v>11.8</v>
          </cell>
          <cell r="E3">
            <v>11.8</v>
          </cell>
          <cell r="F3">
            <v>11.8</v>
          </cell>
          <cell r="G3">
            <v>11.8</v>
          </cell>
          <cell r="H3">
            <v>11.8</v>
          </cell>
          <cell r="I3">
            <v>11.8</v>
          </cell>
        </row>
        <row r="3">
          <cell r="L3">
            <v>11.8</v>
          </cell>
          <cell r="M3">
            <v>11.8</v>
          </cell>
        </row>
        <row r="4">
          <cell r="D4">
            <v>3.5</v>
          </cell>
          <cell r="E4">
            <v>3.5</v>
          </cell>
          <cell r="F4">
            <v>3.5</v>
          </cell>
          <cell r="G4">
            <v>3.5</v>
          </cell>
          <cell r="H4">
            <v>3.5</v>
          </cell>
          <cell r="I4">
            <v>3.5</v>
          </cell>
        </row>
        <row r="4">
          <cell r="L4">
            <v>3.5</v>
          </cell>
          <cell r="M4">
            <v>3.5</v>
          </cell>
        </row>
        <row r="5">
          <cell r="D5">
            <v>15.3</v>
          </cell>
          <cell r="E5">
            <v>15.3</v>
          </cell>
          <cell r="F5">
            <v>15.3</v>
          </cell>
          <cell r="G5">
            <v>15.3</v>
          </cell>
          <cell r="H5">
            <v>15.3</v>
          </cell>
          <cell r="I5">
            <v>15.3</v>
          </cell>
        </row>
        <row r="5">
          <cell r="L5">
            <v>15.3</v>
          </cell>
          <cell r="M5">
            <v>15.3</v>
          </cell>
        </row>
        <row r="7">
          <cell r="D7">
            <v>474</v>
          </cell>
          <cell r="E7">
            <v>474</v>
          </cell>
          <cell r="F7">
            <v>488.22</v>
          </cell>
          <cell r="G7">
            <v>502.8666</v>
          </cell>
          <cell r="H7">
            <v>517.952598</v>
          </cell>
          <cell r="I7">
            <v>533.49117594</v>
          </cell>
          <cell r="J7">
            <v>2516.53037394</v>
          </cell>
        </row>
        <row r="7">
          <cell r="L7">
            <v>549.4959112182</v>
          </cell>
          <cell r="M7">
            <v>565.980788554746</v>
          </cell>
          <cell r="N7">
            <v>3632.00707371295</v>
          </cell>
        </row>
        <row r="8">
          <cell r="D8">
            <v>49</v>
          </cell>
          <cell r="E8">
            <v>49</v>
          </cell>
          <cell r="F8">
            <v>50.47</v>
          </cell>
          <cell r="G8">
            <v>51.9841</v>
          </cell>
          <cell r="H8">
            <v>53.543623</v>
          </cell>
          <cell r="I8">
            <v>55.14993169</v>
          </cell>
          <cell r="J8">
            <v>260.14765469</v>
          </cell>
        </row>
        <row r="8">
          <cell r="L8">
            <v>56.8044296407</v>
          </cell>
          <cell r="M8">
            <v>58.508562529921</v>
          </cell>
          <cell r="N8">
            <v>375.460646860621</v>
          </cell>
        </row>
        <row r="9">
          <cell r="D9">
            <v>138</v>
          </cell>
          <cell r="E9">
            <v>138</v>
          </cell>
          <cell r="F9">
            <v>142.14</v>
          </cell>
          <cell r="G9">
            <v>146.4042</v>
          </cell>
          <cell r="H9">
            <v>150.796326</v>
          </cell>
          <cell r="I9">
            <v>155.32021578</v>
          </cell>
          <cell r="J9">
            <v>732.66074178</v>
          </cell>
        </row>
        <row r="9">
          <cell r="L9">
            <v>159.9798222534</v>
          </cell>
          <cell r="M9">
            <v>164.779216921002</v>
          </cell>
          <cell r="N9">
            <v>1057.4197809544</v>
          </cell>
        </row>
        <row r="10">
          <cell r="D10">
            <v>0</v>
          </cell>
          <cell r="E10">
            <v>0</v>
          </cell>
          <cell r="F10">
            <v>0</v>
          </cell>
          <cell r="G10">
            <v>0</v>
          </cell>
          <cell r="H10">
            <v>0</v>
          </cell>
          <cell r="I10">
            <v>0</v>
          </cell>
          <cell r="J10">
            <v>0</v>
          </cell>
        </row>
        <row r="10">
          <cell r="L10">
            <v>0</v>
          </cell>
          <cell r="M10">
            <v>0</v>
          </cell>
          <cell r="N10">
            <v>0</v>
          </cell>
        </row>
        <row r="11">
          <cell r="D11">
            <v>8</v>
          </cell>
          <cell r="E11">
            <v>8</v>
          </cell>
          <cell r="F11">
            <v>8.24</v>
          </cell>
          <cell r="G11">
            <v>8.4872</v>
          </cell>
          <cell r="H11">
            <v>8.741816</v>
          </cell>
          <cell r="I11">
            <v>9.00407048</v>
          </cell>
          <cell r="J11">
            <v>42.47308648</v>
          </cell>
        </row>
        <row r="11">
          <cell r="L11">
            <v>9.2741925944</v>
          </cell>
          <cell r="M11">
            <v>9.552418372232</v>
          </cell>
          <cell r="N11">
            <v>61.299697446632</v>
          </cell>
        </row>
        <row r="12">
          <cell r="D12">
            <v>158</v>
          </cell>
          <cell r="E12">
            <v>158</v>
          </cell>
          <cell r="F12">
            <v>162.74</v>
          </cell>
          <cell r="G12">
            <v>167.6222</v>
          </cell>
          <cell r="H12">
            <v>172.650866</v>
          </cell>
          <cell r="I12">
            <v>177.83039198</v>
          </cell>
          <cell r="J12">
            <v>838.84345798</v>
          </cell>
        </row>
        <row r="12">
          <cell r="L12">
            <v>183.1653037394</v>
          </cell>
          <cell r="M12">
            <v>188.660262851582</v>
          </cell>
          <cell r="N12">
            <v>1210.66902457098</v>
          </cell>
        </row>
        <row r="13">
          <cell r="D13">
            <v>827</v>
          </cell>
          <cell r="E13">
            <v>827</v>
          </cell>
          <cell r="F13">
            <v>851.81</v>
          </cell>
          <cell r="G13">
            <v>877.3643</v>
          </cell>
          <cell r="H13">
            <v>903.685229</v>
          </cell>
          <cell r="I13">
            <v>930.79578587</v>
          </cell>
          <cell r="J13">
            <v>4390.65531487</v>
          </cell>
        </row>
        <row r="13">
          <cell r="L13">
            <v>958.7196594461</v>
          </cell>
          <cell r="M13">
            <v>987.481249229483</v>
          </cell>
          <cell r="N13">
            <v>6336.85622354559</v>
          </cell>
        </row>
        <row r="14">
          <cell r="D14">
            <v>4</v>
          </cell>
          <cell r="E14">
            <v>4</v>
          </cell>
          <cell r="F14">
            <v>4.12</v>
          </cell>
          <cell r="G14">
            <v>4.2436</v>
          </cell>
          <cell r="H14">
            <v>4.370908</v>
          </cell>
          <cell r="I14">
            <v>4.50203524</v>
          </cell>
          <cell r="J14">
            <v>21.23654324</v>
          </cell>
        </row>
        <row r="14">
          <cell r="L14">
            <v>4.6370962972</v>
          </cell>
          <cell r="M14">
            <v>4.776209186116</v>
          </cell>
          <cell r="N14">
            <v>30.649848723316</v>
          </cell>
        </row>
        <row r="15">
          <cell r="D15">
            <v>0</v>
          </cell>
          <cell r="E15">
            <v>0</v>
          </cell>
          <cell r="F15">
            <v>0</v>
          </cell>
          <cell r="G15">
            <v>0</v>
          </cell>
          <cell r="H15">
            <v>0</v>
          </cell>
          <cell r="I15">
            <v>0</v>
          </cell>
          <cell r="J15">
            <v>0</v>
          </cell>
        </row>
        <row r="15">
          <cell r="L15">
            <v>0</v>
          </cell>
          <cell r="M15">
            <v>0</v>
          </cell>
          <cell r="N15">
            <v>0</v>
          </cell>
        </row>
        <row r="16">
          <cell r="D16">
            <v>6</v>
          </cell>
          <cell r="E16">
            <v>6</v>
          </cell>
          <cell r="F16">
            <v>6.18</v>
          </cell>
          <cell r="G16">
            <v>6.3654</v>
          </cell>
          <cell r="H16">
            <v>6.556362</v>
          </cell>
          <cell r="I16">
            <v>6.75305286</v>
          </cell>
          <cell r="J16">
            <v>31.85481486</v>
          </cell>
        </row>
        <row r="16">
          <cell r="L16">
            <v>6.9556444458</v>
          </cell>
          <cell r="M16">
            <v>7.164313779174</v>
          </cell>
          <cell r="N16">
            <v>45.974773084974</v>
          </cell>
        </row>
        <row r="17">
          <cell r="D17">
            <v>0</v>
          </cell>
          <cell r="E17">
            <v>0</v>
          </cell>
          <cell r="F17">
            <v>0</v>
          </cell>
          <cell r="G17">
            <v>0</v>
          </cell>
          <cell r="H17">
            <v>0</v>
          </cell>
          <cell r="I17">
            <v>0</v>
          </cell>
          <cell r="J17">
            <v>0</v>
          </cell>
        </row>
        <row r="17">
          <cell r="L17">
            <v>0</v>
          </cell>
          <cell r="M17">
            <v>0</v>
          </cell>
          <cell r="N17">
            <v>0</v>
          </cell>
        </row>
        <row r="18">
          <cell r="D18">
            <v>10</v>
          </cell>
          <cell r="E18">
            <v>10</v>
          </cell>
          <cell r="F18">
            <v>10.3</v>
          </cell>
          <cell r="G18">
            <v>10.609</v>
          </cell>
          <cell r="H18">
            <v>10.92727</v>
          </cell>
          <cell r="I18">
            <v>11.2550881</v>
          </cell>
          <cell r="J18">
            <v>53.0913581</v>
          </cell>
        </row>
        <row r="18">
          <cell r="L18">
            <v>11.592740743</v>
          </cell>
          <cell r="M18">
            <v>11.94052296529</v>
          </cell>
          <cell r="N18">
            <v>76.62462180829</v>
          </cell>
        </row>
        <row r="19">
          <cell r="D19">
            <v>1</v>
          </cell>
          <cell r="E19">
            <v>1</v>
          </cell>
          <cell r="F19">
            <v>1.03</v>
          </cell>
          <cell r="G19">
            <v>1.0609</v>
          </cell>
          <cell r="H19">
            <v>1.092727</v>
          </cell>
          <cell r="I19">
            <v>1.12550881</v>
          </cell>
          <cell r="J19">
            <v>5.30913581</v>
          </cell>
        </row>
        <row r="19">
          <cell r="L19">
            <v>1.1592740743</v>
          </cell>
          <cell r="M19">
            <v>1.194052296529</v>
          </cell>
          <cell r="N19">
            <v>7.662462180829</v>
          </cell>
        </row>
        <row r="20">
          <cell r="D20">
            <v>0</v>
          </cell>
          <cell r="E20">
            <v>0</v>
          </cell>
          <cell r="F20">
            <v>0</v>
          </cell>
          <cell r="G20">
            <v>0</v>
          </cell>
          <cell r="H20">
            <v>0</v>
          </cell>
          <cell r="I20">
            <v>0</v>
          </cell>
          <cell r="J20">
            <v>0</v>
          </cell>
        </row>
        <row r="20">
          <cell r="L20">
            <v>0</v>
          </cell>
          <cell r="M20">
            <v>0</v>
          </cell>
          <cell r="N20">
            <v>0</v>
          </cell>
        </row>
        <row r="21">
          <cell r="D21">
            <v>0</v>
          </cell>
          <cell r="E21">
            <v>0</v>
          </cell>
          <cell r="F21">
            <v>0</v>
          </cell>
          <cell r="G21">
            <v>0</v>
          </cell>
          <cell r="H21">
            <v>0</v>
          </cell>
          <cell r="I21">
            <v>0</v>
          </cell>
          <cell r="J21">
            <v>0</v>
          </cell>
        </row>
        <row r="21">
          <cell r="L21">
            <v>0</v>
          </cell>
          <cell r="M21">
            <v>0</v>
          </cell>
          <cell r="N21">
            <v>0</v>
          </cell>
        </row>
        <row r="22">
          <cell r="D22">
            <v>21</v>
          </cell>
          <cell r="E22">
            <v>21</v>
          </cell>
          <cell r="F22">
            <v>21.63</v>
          </cell>
          <cell r="G22">
            <v>22.2789</v>
          </cell>
          <cell r="H22">
            <v>22.947267</v>
          </cell>
          <cell r="I22">
            <v>23.63568501</v>
          </cell>
          <cell r="J22">
            <v>111.49185201</v>
          </cell>
        </row>
        <row r="22">
          <cell r="L22">
            <v>24.3447555603</v>
          </cell>
          <cell r="M22">
            <v>25.075098227109</v>
          </cell>
          <cell r="N22">
            <v>160.911705797409</v>
          </cell>
        </row>
        <row r="23">
          <cell r="D23">
            <v>6</v>
          </cell>
          <cell r="E23">
            <v>6</v>
          </cell>
          <cell r="F23">
            <v>6.18</v>
          </cell>
          <cell r="G23">
            <v>6.3654</v>
          </cell>
          <cell r="H23">
            <v>6.556362</v>
          </cell>
          <cell r="I23">
            <v>6.75305286</v>
          </cell>
          <cell r="J23">
            <v>31.85481486</v>
          </cell>
        </row>
        <row r="23">
          <cell r="L23">
            <v>6.9556444458</v>
          </cell>
          <cell r="M23">
            <v>7.164313779174</v>
          </cell>
          <cell r="N23">
            <v>45.974773084974</v>
          </cell>
        </row>
        <row r="24">
          <cell r="D24">
            <v>7</v>
          </cell>
          <cell r="E24">
            <v>7</v>
          </cell>
          <cell r="F24">
            <v>7.21</v>
          </cell>
          <cell r="G24">
            <v>7.4263</v>
          </cell>
          <cell r="H24">
            <v>7.649089</v>
          </cell>
          <cell r="I24">
            <v>7.87856167</v>
          </cell>
          <cell r="J24">
            <v>37.16395067</v>
          </cell>
        </row>
        <row r="24">
          <cell r="L24">
            <v>8.1149185201</v>
          </cell>
          <cell r="M24">
            <v>8.358366075703</v>
          </cell>
          <cell r="N24">
            <v>53.637235265803</v>
          </cell>
        </row>
        <row r="25">
          <cell r="D25">
            <v>0</v>
          </cell>
          <cell r="E25">
            <v>0</v>
          </cell>
          <cell r="F25">
            <v>0</v>
          </cell>
          <cell r="G25">
            <v>0</v>
          </cell>
          <cell r="H25">
            <v>0</v>
          </cell>
          <cell r="I25">
            <v>0</v>
          </cell>
          <cell r="J25">
            <v>0</v>
          </cell>
        </row>
        <row r="25">
          <cell r="L25">
            <v>0</v>
          </cell>
          <cell r="M25">
            <v>0</v>
          </cell>
          <cell r="N25">
            <v>0</v>
          </cell>
        </row>
        <row r="26">
          <cell r="D26">
            <v>1</v>
          </cell>
          <cell r="E26">
            <v>1</v>
          </cell>
          <cell r="F26">
            <v>1.03</v>
          </cell>
          <cell r="G26">
            <v>1.0609</v>
          </cell>
          <cell r="H26">
            <v>1.092727</v>
          </cell>
          <cell r="I26">
            <v>1.12550881</v>
          </cell>
          <cell r="J26">
            <v>5.30913581</v>
          </cell>
        </row>
        <row r="26">
          <cell r="L26">
            <v>1.1592740743</v>
          </cell>
          <cell r="M26">
            <v>1.194052296529</v>
          </cell>
          <cell r="N26">
            <v>7.662462180829</v>
          </cell>
        </row>
        <row r="27">
          <cell r="D27">
            <v>7</v>
          </cell>
          <cell r="E27">
            <v>7</v>
          </cell>
          <cell r="F27">
            <v>7.21</v>
          </cell>
          <cell r="G27">
            <v>7.4263</v>
          </cell>
          <cell r="H27">
            <v>7.649089</v>
          </cell>
          <cell r="I27">
            <v>7.87856167</v>
          </cell>
          <cell r="J27">
            <v>37.16395067</v>
          </cell>
        </row>
        <row r="27">
          <cell r="L27">
            <v>8.1149185201</v>
          </cell>
          <cell r="M27">
            <v>8.358366075703</v>
          </cell>
          <cell r="N27">
            <v>53.637235265803</v>
          </cell>
        </row>
        <row r="28">
          <cell r="D28">
            <v>431</v>
          </cell>
          <cell r="E28">
            <v>431</v>
          </cell>
          <cell r="F28">
            <v>443.93</v>
          </cell>
          <cell r="G28">
            <v>457.2479</v>
          </cell>
          <cell r="H28">
            <v>470.965337</v>
          </cell>
          <cell r="I28">
            <v>485.09429711</v>
          </cell>
          <cell r="J28">
            <v>2288.23753411</v>
          </cell>
        </row>
        <row r="28">
          <cell r="L28">
            <v>499.6471260233</v>
          </cell>
          <cell r="M28">
            <v>514.636539803999</v>
          </cell>
          <cell r="N28">
            <v>3302.5211999373</v>
          </cell>
        </row>
        <row r="29">
          <cell r="D29">
            <v>83</v>
          </cell>
          <cell r="E29">
            <v>83</v>
          </cell>
          <cell r="F29">
            <v>85.49</v>
          </cell>
          <cell r="G29">
            <v>88.0547</v>
          </cell>
          <cell r="H29">
            <v>90.696341</v>
          </cell>
          <cell r="I29">
            <v>93.41723123</v>
          </cell>
          <cell r="J29">
            <v>440.65827223</v>
          </cell>
        </row>
        <row r="29">
          <cell r="L29">
            <v>96.2197481669</v>
          </cell>
          <cell r="M29">
            <v>99.106340611907</v>
          </cell>
          <cell r="N29">
            <v>635.984361008807</v>
          </cell>
        </row>
        <row r="30">
          <cell r="D30">
            <v>-52</v>
          </cell>
          <cell r="E30">
            <v>-52</v>
          </cell>
          <cell r="F30">
            <v>-53.56</v>
          </cell>
          <cell r="G30">
            <v>-55.1668</v>
          </cell>
          <cell r="H30">
            <v>-56.821804</v>
          </cell>
          <cell r="I30">
            <v>-58.52645812</v>
          </cell>
          <cell r="J30">
            <v>-276.07506212</v>
          </cell>
        </row>
        <row r="30">
          <cell r="L30">
            <v>-60.2822518636</v>
          </cell>
          <cell r="M30">
            <v>-62.090719419508</v>
          </cell>
          <cell r="N30">
            <v>-398.448033403108</v>
          </cell>
        </row>
        <row r="31">
          <cell r="D31">
            <v>483</v>
          </cell>
          <cell r="E31">
            <v>483</v>
          </cell>
          <cell r="F31">
            <v>497.49</v>
          </cell>
          <cell r="G31">
            <v>512.4147</v>
          </cell>
          <cell r="H31">
            <v>527.787141</v>
          </cell>
          <cell r="I31">
            <v>543.62075523</v>
          </cell>
          <cell r="J31">
            <v>2564.31259623</v>
          </cell>
        </row>
        <row r="31">
          <cell r="L31">
            <v>559.9293778869</v>
          </cell>
          <cell r="M31">
            <v>576.727259223507</v>
          </cell>
          <cell r="N31">
            <v>3700.96923334041</v>
          </cell>
        </row>
        <row r="32">
          <cell r="D32">
            <v>1331</v>
          </cell>
          <cell r="E32">
            <v>1331</v>
          </cell>
          <cell r="F32">
            <v>1370.93</v>
          </cell>
          <cell r="G32">
            <v>1412.0579</v>
          </cell>
          <cell r="H32">
            <v>1454.419637</v>
          </cell>
          <cell r="I32">
            <v>1498.05222611</v>
          </cell>
          <cell r="J32">
            <v>7066.45976311</v>
          </cell>
        </row>
        <row r="32">
          <cell r="L32">
            <v>1542.9937928933</v>
          </cell>
          <cell r="M32">
            <v>1589.2836066801</v>
          </cell>
          <cell r="N32">
            <v>10198.7371626834</v>
          </cell>
        </row>
        <row r="33">
          <cell r="D33">
            <v>0</v>
          </cell>
          <cell r="E33">
            <v>0</v>
          </cell>
          <cell r="F33">
            <v>0</v>
          </cell>
          <cell r="G33">
            <v>0</v>
          </cell>
          <cell r="H33">
            <v>0</v>
          </cell>
          <cell r="I33">
            <v>0</v>
          </cell>
          <cell r="J33">
            <v>0</v>
          </cell>
        </row>
        <row r="33">
          <cell r="L33">
            <v>0</v>
          </cell>
          <cell r="M33">
            <v>0</v>
          </cell>
          <cell r="N33">
            <v>0</v>
          </cell>
        </row>
        <row r="34">
          <cell r="D34">
            <v>1331</v>
          </cell>
          <cell r="E34">
            <v>1331</v>
          </cell>
          <cell r="F34">
            <v>1370.93</v>
          </cell>
          <cell r="G34">
            <v>1412.0579</v>
          </cell>
          <cell r="H34">
            <v>1454.419637</v>
          </cell>
          <cell r="I34">
            <v>1498.05222611</v>
          </cell>
          <cell r="J34">
            <v>7066.45976311</v>
          </cell>
        </row>
        <row r="34">
          <cell r="L34">
            <v>1542.9937928933</v>
          </cell>
          <cell r="M34">
            <v>1589.2836066801</v>
          </cell>
          <cell r="N34">
            <v>10198.7371626834</v>
          </cell>
        </row>
        <row r="36">
          <cell r="D36">
            <v>10</v>
          </cell>
          <cell r="E36">
            <v>10</v>
          </cell>
          <cell r="F36">
            <v>10.3</v>
          </cell>
          <cell r="G36">
            <v>10.609</v>
          </cell>
          <cell r="H36">
            <v>10.92727</v>
          </cell>
          <cell r="I36">
            <v>11.2550881</v>
          </cell>
          <cell r="J36">
            <v>53.0913581</v>
          </cell>
        </row>
        <row r="36">
          <cell r="L36">
            <v>11.592740743</v>
          </cell>
          <cell r="M36">
            <v>11.94052296529</v>
          </cell>
          <cell r="N36">
            <v>76.62462180829</v>
          </cell>
        </row>
        <row r="37">
          <cell r="D37">
            <v>2</v>
          </cell>
          <cell r="E37">
            <v>2</v>
          </cell>
          <cell r="F37">
            <v>2.06</v>
          </cell>
          <cell r="G37">
            <v>2.1218</v>
          </cell>
          <cell r="H37">
            <v>2.185454</v>
          </cell>
          <cell r="I37">
            <v>2.25101762</v>
          </cell>
          <cell r="J37">
            <v>10.61827162</v>
          </cell>
        </row>
        <row r="37">
          <cell r="L37">
            <v>2.3185481486</v>
          </cell>
          <cell r="M37">
            <v>2.388104593058</v>
          </cell>
          <cell r="N37">
            <v>15.324924361658</v>
          </cell>
        </row>
        <row r="38">
          <cell r="D38">
            <v>380</v>
          </cell>
          <cell r="E38">
            <v>380</v>
          </cell>
          <cell r="F38">
            <v>391.4</v>
          </cell>
          <cell r="G38">
            <v>403.142</v>
          </cell>
          <cell r="H38">
            <v>415.23626</v>
          </cell>
          <cell r="I38">
            <v>427.6933478</v>
          </cell>
          <cell r="J38">
            <v>2017.4716078</v>
          </cell>
        </row>
        <row r="38">
          <cell r="L38">
            <v>440.524148234</v>
          </cell>
          <cell r="M38">
            <v>453.73987268102</v>
          </cell>
          <cell r="N38">
            <v>2911.73562871502</v>
          </cell>
        </row>
        <row r="39">
          <cell r="D39">
            <v>208</v>
          </cell>
          <cell r="E39">
            <v>208</v>
          </cell>
          <cell r="F39">
            <v>214.24</v>
          </cell>
          <cell r="G39">
            <v>220.6672</v>
          </cell>
          <cell r="H39">
            <v>227.287216</v>
          </cell>
          <cell r="I39">
            <v>234.10583248</v>
          </cell>
          <cell r="J39">
            <v>1104.30024848</v>
          </cell>
        </row>
        <row r="39">
          <cell r="L39">
            <v>241.1290074544</v>
          </cell>
          <cell r="M39">
            <v>248.362877678032</v>
          </cell>
          <cell r="N39">
            <v>1593.79213361243</v>
          </cell>
        </row>
        <row r="40">
          <cell r="D40">
            <v>600</v>
          </cell>
          <cell r="E40">
            <v>600</v>
          </cell>
          <cell r="F40">
            <v>618</v>
          </cell>
          <cell r="G40">
            <v>636.54</v>
          </cell>
          <cell r="H40">
            <v>655.6362</v>
          </cell>
          <cell r="I40">
            <v>675.305286</v>
          </cell>
          <cell r="J40">
            <v>3185.481486</v>
          </cell>
        </row>
        <row r="40">
          <cell r="L40">
            <v>695.56444458</v>
          </cell>
          <cell r="M40">
            <v>716.4313779174</v>
          </cell>
          <cell r="N40">
            <v>4597.4773084974</v>
          </cell>
        </row>
        <row r="42">
          <cell r="D42">
            <v>1931</v>
          </cell>
          <cell r="E42">
            <v>1931</v>
          </cell>
          <cell r="F42">
            <v>1988.93</v>
          </cell>
          <cell r="G42">
            <v>2048.5979</v>
          </cell>
          <cell r="H42">
            <v>2110.055837</v>
          </cell>
          <cell r="I42">
            <v>2173.35751211</v>
          </cell>
          <cell r="J42">
            <v>10251.94124911</v>
          </cell>
        </row>
        <row r="42">
          <cell r="L42">
            <v>2238.5582374733</v>
          </cell>
          <cell r="M42">
            <v>2305.7149845975</v>
          </cell>
          <cell r="N42">
            <v>14796.2144711808</v>
          </cell>
        </row>
        <row r="45">
          <cell r="D45" t="str">
            <v>BASE YEAR</v>
          </cell>
          <cell r="E45" t="str">
            <v>YEAR 1</v>
          </cell>
          <cell r="F45" t="str">
            <v>YEAR 2</v>
          </cell>
          <cell r="G45" t="str">
            <v>YEAR 3</v>
          </cell>
          <cell r="H45" t="str">
            <v>YEAR 4</v>
          </cell>
          <cell r="I45" t="str">
            <v xml:space="preserve">YEAR 5 </v>
          </cell>
          <cell r="J45" t="str">
            <v>5 Year Total</v>
          </cell>
        </row>
        <row r="45">
          <cell r="L45" t="str">
            <v>5 YEAR + 1</v>
          </cell>
          <cell r="M45" t="str">
            <v>5 YEAR + 2</v>
          </cell>
          <cell r="N45" t="str">
            <v>7 Year Total</v>
          </cell>
        </row>
        <row r="46">
          <cell r="D46">
            <v>9.2</v>
          </cell>
          <cell r="E46">
            <v>9.2</v>
          </cell>
          <cell r="F46">
            <v>9.2</v>
          </cell>
          <cell r="G46">
            <v>9.2</v>
          </cell>
          <cell r="H46">
            <v>9.2</v>
          </cell>
          <cell r="I46">
            <v>9.2</v>
          </cell>
        </row>
        <row r="46">
          <cell r="L46">
            <v>9.2</v>
          </cell>
          <cell r="M46">
            <v>9.2</v>
          </cell>
        </row>
        <row r="47">
          <cell r="D47">
            <v>3.5</v>
          </cell>
          <cell r="E47">
            <v>3.5</v>
          </cell>
          <cell r="F47">
            <v>3.5</v>
          </cell>
          <cell r="G47">
            <v>3.5</v>
          </cell>
          <cell r="H47">
            <v>3.5</v>
          </cell>
          <cell r="I47">
            <v>3.5</v>
          </cell>
        </row>
        <row r="47">
          <cell r="L47">
            <v>3.5</v>
          </cell>
          <cell r="M47">
            <v>3.5</v>
          </cell>
        </row>
        <row r="48">
          <cell r="D48">
            <v>12.7</v>
          </cell>
          <cell r="E48">
            <v>12.7</v>
          </cell>
          <cell r="F48">
            <v>12.7</v>
          </cell>
          <cell r="G48">
            <v>12.7</v>
          </cell>
          <cell r="H48">
            <v>12.7</v>
          </cell>
          <cell r="I48">
            <v>12.7</v>
          </cell>
        </row>
        <row r="48">
          <cell r="L48">
            <v>12.7</v>
          </cell>
          <cell r="M48">
            <v>12.7</v>
          </cell>
        </row>
        <row r="50">
          <cell r="D50">
            <v>340</v>
          </cell>
          <cell r="E50">
            <v>340</v>
          </cell>
          <cell r="F50">
            <v>350.2</v>
          </cell>
          <cell r="G50">
            <v>360.706</v>
          </cell>
          <cell r="H50">
            <v>371.52718</v>
          </cell>
          <cell r="I50">
            <v>382.6729954</v>
          </cell>
          <cell r="J50">
            <v>1805.1061754</v>
          </cell>
        </row>
        <row r="50">
          <cell r="L50">
            <v>394.153185262</v>
          </cell>
          <cell r="M50">
            <v>405.97778081986</v>
          </cell>
          <cell r="N50">
            <v>2605.23714148186</v>
          </cell>
        </row>
        <row r="51">
          <cell r="D51">
            <v>27</v>
          </cell>
          <cell r="E51">
            <v>27</v>
          </cell>
          <cell r="F51">
            <v>27.81</v>
          </cell>
          <cell r="G51">
            <v>28.6443</v>
          </cell>
          <cell r="H51">
            <v>29.503629</v>
          </cell>
          <cell r="I51">
            <v>30.38873787</v>
          </cell>
          <cell r="J51">
            <v>143.34666687</v>
          </cell>
        </row>
        <row r="51">
          <cell r="L51">
            <v>31.3004000061</v>
          </cell>
          <cell r="M51">
            <v>32.239412006283</v>
          </cell>
          <cell r="N51">
            <v>206.886478882383</v>
          </cell>
        </row>
        <row r="52">
          <cell r="D52">
            <v>138</v>
          </cell>
          <cell r="E52">
            <v>138</v>
          </cell>
          <cell r="F52">
            <v>142.14</v>
          </cell>
          <cell r="G52">
            <v>146.4042</v>
          </cell>
          <cell r="H52">
            <v>150.796326</v>
          </cell>
          <cell r="I52">
            <v>155.32021578</v>
          </cell>
          <cell r="J52">
            <v>732.66074178</v>
          </cell>
        </row>
        <row r="52">
          <cell r="L52">
            <v>159.9798222534</v>
          </cell>
          <cell r="M52">
            <v>164.779216921002</v>
          </cell>
          <cell r="N52">
            <v>1057.4197809544</v>
          </cell>
        </row>
        <row r="53">
          <cell r="D53">
            <v>0</v>
          </cell>
          <cell r="E53">
            <v>0</v>
          </cell>
          <cell r="F53">
            <v>0</v>
          </cell>
          <cell r="G53">
            <v>0</v>
          </cell>
          <cell r="H53">
            <v>0</v>
          </cell>
          <cell r="I53">
            <v>0</v>
          </cell>
          <cell r="J53">
            <v>0</v>
          </cell>
        </row>
        <row r="53">
          <cell r="L53">
            <v>0</v>
          </cell>
          <cell r="M53">
            <v>0</v>
          </cell>
          <cell r="N53">
            <v>0</v>
          </cell>
        </row>
        <row r="54">
          <cell r="D54">
            <v>6</v>
          </cell>
          <cell r="E54">
            <v>6</v>
          </cell>
          <cell r="F54">
            <v>6.18</v>
          </cell>
          <cell r="G54">
            <v>6.3654</v>
          </cell>
          <cell r="H54">
            <v>6.556362</v>
          </cell>
          <cell r="I54">
            <v>6.75305286</v>
          </cell>
          <cell r="J54">
            <v>31.85481486</v>
          </cell>
        </row>
        <row r="54">
          <cell r="L54">
            <v>6.9556444458</v>
          </cell>
          <cell r="M54">
            <v>7.164313779174</v>
          </cell>
          <cell r="N54">
            <v>45.974773084974</v>
          </cell>
        </row>
        <row r="55">
          <cell r="D55">
            <v>112</v>
          </cell>
          <cell r="E55">
            <v>112</v>
          </cell>
          <cell r="F55">
            <v>115.36</v>
          </cell>
          <cell r="G55">
            <v>118.8208</v>
          </cell>
          <cell r="H55">
            <v>122.385424</v>
          </cell>
          <cell r="I55">
            <v>126.05698672</v>
          </cell>
          <cell r="J55">
            <v>594.62321072</v>
          </cell>
        </row>
        <row r="55">
          <cell r="L55">
            <v>129.8386963216</v>
          </cell>
          <cell r="M55">
            <v>133.733857211248</v>
          </cell>
          <cell r="N55">
            <v>858.195764252848</v>
          </cell>
        </row>
        <row r="56">
          <cell r="D56">
            <v>623</v>
          </cell>
          <cell r="E56">
            <v>623</v>
          </cell>
          <cell r="F56">
            <v>641.69</v>
          </cell>
          <cell r="G56">
            <v>660.9407</v>
          </cell>
          <cell r="H56">
            <v>680.768921</v>
          </cell>
          <cell r="I56">
            <v>701.19198863</v>
          </cell>
          <cell r="J56">
            <v>3307.59160963</v>
          </cell>
        </row>
        <row r="56">
          <cell r="L56">
            <v>722.2277482889</v>
          </cell>
          <cell r="M56">
            <v>743.894580737567</v>
          </cell>
          <cell r="N56">
            <v>4773.71393865647</v>
          </cell>
        </row>
        <row r="57">
          <cell r="D57">
            <v>3</v>
          </cell>
          <cell r="E57">
            <v>3</v>
          </cell>
          <cell r="F57">
            <v>3.09</v>
          </cell>
          <cell r="G57">
            <v>3.1827</v>
          </cell>
          <cell r="H57">
            <v>3.278181</v>
          </cell>
          <cell r="I57">
            <v>3.37652643</v>
          </cell>
          <cell r="J57">
            <v>15.92740743</v>
          </cell>
        </row>
        <row r="57">
          <cell r="L57">
            <v>3.4778222229</v>
          </cell>
          <cell r="M57">
            <v>3.582156889587</v>
          </cell>
          <cell r="N57">
            <v>22.987386542487</v>
          </cell>
        </row>
        <row r="58">
          <cell r="D58">
            <v>0</v>
          </cell>
          <cell r="E58">
            <v>0</v>
          </cell>
          <cell r="F58">
            <v>0</v>
          </cell>
          <cell r="G58">
            <v>0</v>
          </cell>
          <cell r="H58">
            <v>0</v>
          </cell>
          <cell r="I58">
            <v>0</v>
          </cell>
          <cell r="J58">
            <v>0</v>
          </cell>
        </row>
        <row r="58">
          <cell r="L58">
            <v>0</v>
          </cell>
          <cell r="M58">
            <v>0</v>
          </cell>
          <cell r="N58">
            <v>0</v>
          </cell>
        </row>
        <row r="59">
          <cell r="D59">
            <v>6</v>
          </cell>
          <cell r="E59">
            <v>6</v>
          </cell>
          <cell r="F59">
            <v>6.18</v>
          </cell>
          <cell r="G59">
            <v>6.3654</v>
          </cell>
          <cell r="H59">
            <v>6.556362</v>
          </cell>
          <cell r="I59">
            <v>6.75305286</v>
          </cell>
          <cell r="J59">
            <v>31.85481486</v>
          </cell>
        </row>
        <row r="59">
          <cell r="L59">
            <v>6.9556444458</v>
          </cell>
          <cell r="M59">
            <v>7.164313779174</v>
          </cell>
          <cell r="N59">
            <v>45.974773084974</v>
          </cell>
        </row>
        <row r="60">
          <cell r="D60">
            <v>0</v>
          </cell>
          <cell r="E60">
            <v>0</v>
          </cell>
          <cell r="F60">
            <v>0</v>
          </cell>
          <cell r="G60">
            <v>0</v>
          </cell>
          <cell r="H60">
            <v>0</v>
          </cell>
          <cell r="I60">
            <v>0</v>
          </cell>
          <cell r="J60">
            <v>0</v>
          </cell>
        </row>
        <row r="60">
          <cell r="L60">
            <v>0</v>
          </cell>
          <cell r="M60">
            <v>0</v>
          </cell>
          <cell r="N60">
            <v>0</v>
          </cell>
        </row>
        <row r="61">
          <cell r="D61">
            <v>8</v>
          </cell>
          <cell r="E61">
            <v>8</v>
          </cell>
          <cell r="F61">
            <v>8.24</v>
          </cell>
          <cell r="G61">
            <v>8.4872</v>
          </cell>
          <cell r="H61">
            <v>8.741816</v>
          </cell>
          <cell r="I61">
            <v>9.00407048</v>
          </cell>
          <cell r="J61">
            <v>42.47308648</v>
          </cell>
        </row>
        <row r="61">
          <cell r="L61">
            <v>9.2741925944</v>
          </cell>
          <cell r="M61">
            <v>9.552418372232</v>
          </cell>
          <cell r="N61">
            <v>61.299697446632</v>
          </cell>
        </row>
        <row r="62">
          <cell r="D62">
            <v>0</v>
          </cell>
          <cell r="E62">
            <v>0</v>
          </cell>
          <cell r="F62">
            <v>0</v>
          </cell>
          <cell r="G62">
            <v>0</v>
          </cell>
          <cell r="H62">
            <v>0</v>
          </cell>
          <cell r="I62">
            <v>0</v>
          </cell>
          <cell r="J62">
            <v>0</v>
          </cell>
        </row>
        <row r="62">
          <cell r="L62">
            <v>0</v>
          </cell>
          <cell r="M62">
            <v>0</v>
          </cell>
          <cell r="N62">
            <v>0</v>
          </cell>
        </row>
        <row r="63">
          <cell r="D63">
            <v>0</v>
          </cell>
          <cell r="E63">
            <v>0</v>
          </cell>
          <cell r="F63">
            <v>0</v>
          </cell>
          <cell r="G63">
            <v>0</v>
          </cell>
          <cell r="H63">
            <v>0</v>
          </cell>
          <cell r="I63">
            <v>0</v>
          </cell>
          <cell r="J63">
            <v>0</v>
          </cell>
        </row>
        <row r="63">
          <cell r="L63">
            <v>0</v>
          </cell>
          <cell r="M63">
            <v>0</v>
          </cell>
          <cell r="N63">
            <v>0</v>
          </cell>
        </row>
        <row r="64">
          <cell r="D64">
            <v>0</v>
          </cell>
          <cell r="E64">
            <v>0</v>
          </cell>
          <cell r="F64">
            <v>0</v>
          </cell>
          <cell r="G64">
            <v>0</v>
          </cell>
          <cell r="H64">
            <v>0</v>
          </cell>
          <cell r="I64">
            <v>0</v>
          </cell>
          <cell r="J64">
            <v>0</v>
          </cell>
        </row>
        <row r="64">
          <cell r="L64">
            <v>0</v>
          </cell>
          <cell r="M64">
            <v>0</v>
          </cell>
          <cell r="N64">
            <v>0</v>
          </cell>
        </row>
        <row r="65">
          <cell r="D65">
            <v>17</v>
          </cell>
          <cell r="E65">
            <v>17</v>
          </cell>
          <cell r="F65">
            <v>17.51</v>
          </cell>
          <cell r="G65">
            <v>18.0353</v>
          </cell>
          <cell r="H65">
            <v>18.576359</v>
          </cell>
          <cell r="I65">
            <v>19.13364977</v>
          </cell>
          <cell r="J65">
            <v>90.25530877</v>
          </cell>
        </row>
        <row r="65">
          <cell r="L65">
            <v>19.7076592631</v>
          </cell>
          <cell r="M65">
            <v>20.298889040993</v>
          </cell>
          <cell r="N65">
            <v>130.261857074093</v>
          </cell>
        </row>
        <row r="66">
          <cell r="D66">
            <v>5</v>
          </cell>
          <cell r="E66">
            <v>5</v>
          </cell>
          <cell r="F66">
            <v>5.15</v>
          </cell>
          <cell r="G66">
            <v>5.3045</v>
          </cell>
          <cell r="H66">
            <v>5.463635</v>
          </cell>
          <cell r="I66">
            <v>5.62754405</v>
          </cell>
          <cell r="J66">
            <v>26.54567905</v>
          </cell>
        </row>
        <row r="66">
          <cell r="L66">
            <v>5.7963703715</v>
          </cell>
          <cell r="M66">
            <v>5.970261482645</v>
          </cell>
          <cell r="N66">
            <v>38.312310904145</v>
          </cell>
        </row>
        <row r="67">
          <cell r="D67">
            <v>6</v>
          </cell>
          <cell r="E67">
            <v>6</v>
          </cell>
          <cell r="F67">
            <v>6.18</v>
          </cell>
          <cell r="G67">
            <v>6.3654</v>
          </cell>
          <cell r="H67">
            <v>6.556362</v>
          </cell>
          <cell r="I67">
            <v>6.75305286</v>
          </cell>
          <cell r="J67">
            <v>31.85481486</v>
          </cell>
        </row>
        <row r="67">
          <cell r="L67">
            <v>6.9556444458</v>
          </cell>
          <cell r="M67">
            <v>7.164313779174</v>
          </cell>
          <cell r="N67">
            <v>45.974773084974</v>
          </cell>
        </row>
        <row r="68">
          <cell r="D68">
            <v>0</v>
          </cell>
          <cell r="E68">
            <v>0</v>
          </cell>
          <cell r="F68">
            <v>0</v>
          </cell>
          <cell r="G68">
            <v>0</v>
          </cell>
          <cell r="H68">
            <v>0</v>
          </cell>
          <cell r="I68">
            <v>0</v>
          </cell>
          <cell r="J68">
            <v>0</v>
          </cell>
        </row>
        <row r="68">
          <cell r="L68">
            <v>0</v>
          </cell>
          <cell r="M68">
            <v>0</v>
          </cell>
          <cell r="N68">
            <v>0</v>
          </cell>
        </row>
        <row r="69">
          <cell r="D69">
            <v>0</v>
          </cell>
          <cell r="E69">
            <v>0</v>
          </cell>
          <cell r="F69">
            <v>0</v>
          </cell>
          <cell r="G69">
            <v>0</v>
          </cell>
          <cell r="H69">
            <v>0</v>
          </cell>
          <cell r="I69">
            <v>0</v>
          </cell>
          <cell r="J69">
            <v>0</v>
          </cell>
        </row>
        <row r="69">
          <cell r="L69">
            <v>0</v>
          </cell>
          <cell r="M69">
            <v>0</v>
          </cell>
          <cell r="N69">
            <v>0</v>
          </cell>
        </row>
        <row r="70">
          <cell r="D70">
            <v>6</v>
          </cell>
          <cell r="E70">
            <v>6</v>
          </cell>
          <cell r="F70">
            <v>6.18</v>
          </cell>
          <cell r="G70">
            <v>6.3654</v>
          </cell>
          <cell r="H70">
            <v>6.556362</v>
          </cell>
          <cell r="I70">
            <v>6.75305286</v>
          </cell>
          <cell r="J70">
            <v>31.85481486</v>
          </cell>
        </row>
        <row r="70">
          <cell r="L70">
            <v>6.9556444458</v>
          </cell>
          <cell r="M70">
            <v>7.164313779174</v>
          </cell>
          <cell r="N70">
            <v>45.974773084974</v>
          </cell>
        </row>
        <row r="71">
          <cell r="D71">
            <v>0</v>
          </cell>
          <cell r="E71">
            <v>0</v>
          </cell>
          <cell r="F71">
            <v>0</v>
          </cell>
          <cell r="G71">
            <v>0</v>
          </cell>
          <cell r="H71">
            <v>0</v>
          </cell>
          <cell r="I71">
            <v>0</v>
          </cell>
          <cell r="J71">
            <v>0</v>
          </cell>
        </row>
        <row r="71">
          <cell r="L71">
            <v>0</v>
          </cell>
          <cell r="M71">
            <v>0</v>
          </cell>
          <cell r="N71">
            <v>0</v>
          </cell>
        </row>
        <row r="72">
          <cell r="D72">
            <v>2</v>
          </cell>
          <cell r="E72">
            <v>2</v>
          </cell>
          <cell r="F72">
            <v>2.06</v>
          </cell>
          <cell r="G72">
            <v>2.1218</v>
          </cell>
          <cell r="H72">
            <v>2.185454</v>
          </cell>
          <cell r="I72">
            <v>2.25101762</v>
          </cell>
          <cell r="J72">
            <v>10.61827162</v>
          </cell>
        </row>
        <row r="72">
          <cell r="L72">
            <v>2.3185481486</v>
          </cell>
          <cell r="M72">
            <v>2.388104593058</v>
          </cell>
          <cell r="N72">
            <v>15.324924361658</v>
          </cell>
        </row>
        <row r="73">
          <cell r="D73">
            <v>1</v>
          </cell>
          <cell r="E73">
            <v>1</v>
          </cell>
          <cell r="F73">
            <v>1.03</v>
          </cell>
          <cell r="G73">
            <v>1.0609</v>
          </cell>
          <cell r="H73">
            <v>1.092727</v>
          </cell>
          <cell r="I73">
            <v>1.12550881</v>
          </cell>
          <cell r="J73">
            <v>5.30913581</v>
          </cell>
        </row>
        <row r="73">
          <cell r="L73">
            <v>1.1592740743</v>
          </cell>
          <cell r="M73">
            <v>1.194052296529</v>
          </cell>
          <cell r="N73">
            <v>7.662462180829</v>
          </cell>
        </row>
        <row r="74">
          <cell r="D74">
            <v>20</v>
          </cell>
          <cell r="E74">
            <v>20</v>
          </cell>
          <cell r="F74">
            <v>20.6</v>
          </cell>
          <cell r="G74">
            <v>21.218</v>
          </cell>
          <cell r="H74">
            <v>21.85454</v>
          </cell>
          <cell r="I74">
            <v>22.5101762</v>
          </cell>
          <cell r="J74">
            <v>106.1827162</v>
          </cell>
        </row>
        <row r="74">
          <cell r="L74">
            <v>23.185481486</v>
          </cell>
          <cell r="M74">
            <v>23.88104593058</v>
          </cell>
          <cell r="N74">
            <v>153.24924361658</v>
          </cell>
        </row>
        <row r="75">
          <cell r="D75">
            <v>660</v>
          </cell>
          <cell r="E75">
            <v>660</v>
          </cell>
          <cell r="F75">
            <v>679.8</v>
          </cell>
          <cell r="G75">
            <v>700.194</v>
          </cell>
          <cell r="H75">
            <v>721.19982</v>
          </cell>
          <cell r="I75">
            <v>742.8358146</v>
          </cell>
          <cell r="J75">
            <v>3504.0296346</v>
          </cell>
        </row>
        <row r="75">
          <cell r="L75">
            <v>765.120889038</v>
          </cell>
          <cell r="M75">
            <v>788.07451570914</v>
          </cell>
          <cell r="N75">
            <v>5057.22503934714</v>
          </cell>
        </row>
        <row r="76">
          <cell r="D76">
            <v>0</v>
          </cell>
          <cell r="E76">
            <v>0</v>
          </cell>
          <cell r="F76">
            <v>0</v>
          </cell>
          <cell r="G76">
            <v>0</v>
          </cell>
          <cell r="H76">
            <v>0</v>
          </cell>
          <cell r="I76">
            <v>0</v>
          </cell>
          <cell r="J76">
            <v>0</v>
          </cell>
        </row>
        <row r="76">
          <cell r="L76">
            <v>0</v>
          </cell>
          <cell r="M76">
            <v>0</v>
          </cell>
          <cell r="N76">
            <v>0</v>
          </cell>
        </row>
        <row r="77">
          <cell r="D77">
            <v>660</v>
          </cell>
          <cell r="E77">
            <v>660</v>
          </cell>
          <cell r="F77">
            <v>679.8</v>
          </cell>
          <cell r="G77">
            <v>700.194</v>
          </cell>
          <cell r="H77">
            <v>721.19982</v>
          </cell>
          <cell r="I77">
            <v>742.8358146</v>
          </cell>
          <cell r="J77">
            <v>3504.0296346</v>
          </cell>
        </row>
        <row r="77">
          <cell r="L77">
            <v>765.120889038</v>
          </cell>
          <cell r="M77">
            <v>788.07451570914</v>
          </cell>
          <cell r="N77">
            <v>5057.22503934714</v>
          </cell>
        </row>
        <row r="79">
          <cell r="D79">
            <v>0</v>
          </cell>
          <cell r="E79">
            <v>0</v>
          </cell>
          <cell r="F79">
            <v>0</v>
          </cell>
          <cell r="G79">
            <v>0</v>
          </cell>
          <cell r="H79">
            <v>0</v>
          </cell>
          <cell r="I79">
            <v>0</v>
          </cell>
          <cell r="J79">
            <v>0</v>
          </cell>
        </row>
        <row r="79">
          <cell r="L79">
            <v>0</v>
          </cell>
          <cell r="M79">
            <v>0</v>
          </cell>
          <cell r="N79">
            <v>0</v>
          </cell>
        </row>
        <row r="80">
          <cell r="D80">
            <v>0</v>
          </cell>
          <cell r="E80">
            <v>0</v>
          </cell>
          <cell r="F80">
            <v>0</v>
          </cell>
          <cell r="G80">
            <v>0</v>
          </cell>
          <cell r="H80">
            <v>0</v>
          </cell>
          <cell r="I80">
            <v>0</v>
          </cell>
          <cell r="J80">
            <v>0</v>
          </cell>
        </row>
        <row r="80">
          <cell r="L80">
            <v>0</v>
          </cell>
          <cell r="M80">
            <v>0</v>
          </cell>
          <cell r="N80">
            <v>0</v>
          </cell>
        </row>
        <row r="81">
          <cell r="D81">
            <v>0</v>
          </cell>
          <cell r="E81">
            <v>0</v>
          </cell>
          <cell r="F81">
            <v>0</v>
          </cell>
          <cell r="G81">
            <v>0</v>
          </cell>
          <cell r="H81">
            <v>0</v>
          </cell>
          <cell r="I81">
            <v>0</v>
          </cell>
          <cell r="J81">
            <v>0</v>
          </cell>
        </row>
        <row r="81">
          <cell r="L81">
            <v>0</v>
          </cell>
          <cell r="M81">
            <v>0</v>
          </cell>
          <cell r="N81">
            <v>0</v>
          </cell>
        </row>
        <row r="82">
          <cell r="D82">
            <v>0</v>
          </cell>
          <cell r="E82">
            <v>0</v>
          </cell>
          <cell r="F82">
            <v>0</v>
          </cell>
          <cell r="G82">
            <v>0</v>
          </cell>
          <cell r="H82">
            <v>0</v>
          </cell>
          <cell r="I82">
            <v>0</v>
          </cell>
          <cell r="J82">
            <v>0</v>
          </cell>
        </row>
        <row r="82">
          <cell r="L82">
            <v>0</v>
          </cell>
          <cell r="M82">
            <v>0</v>
          </cell>
          <cell r="N82">
            <v>0</v>
          </cell>
        </row>
        <row r="83">
          <cell r="D83">
            <v>0</v>
          </cell>
          <cell r="E83">
            <v>0</v>
          </cell>
          <cell r="F83">
            <v>0</v>
          </cell>
          <cell r="G83">
            <v>0</v>
          </cell>
          <cell r="H83">
            <v>0</v>
          </cell>
          <cell r="I83">
            <v>0</v>
          </cell>
          <cell r="J83">
            <v>0</v>
          </cell>
        </row>
        <row r="83">
          <cell r="L83">
            <v>0</v>
          </cell>
          <cell r="M83">
            <v>0</v>
          </cell>
          <cell r="N83">
            <v>0</v>
          </cell>
        </row>
        <row r="85">
          <cell r="D85">
            <v>660</v>
          </cell>
          <cell r="E85">
            <v>660</v>
          </cell>
          <cell r="F85">
            <v>679.8</v>
          </cell>
          <cell r="G85">
            <v>700.194</v>
          </cell>
          <cell r="H85">
            <v>721.19982</v>
          </cell>
          <cell r="I85">
            <v>742.8358146</v>
          </cell>
          <cell r="J85">
            <v>3504.0296346</v>
          </cell>
        </row>
        <row r="85">
          <cell r="L85">
            <v>765.120889038</v>
          </cell>
          <cell r="M85">
            <v>788.07451570914</v>
          </cell>
          <cell r="N85">
            <v>5057.22503934714</v>
          </cell>
        </row>
        <row r="89">
          <cell r="D89" t="str">
            <v>BASE YEAR</v>
          </cell>
          <cell r="E89" t="str">
            <v>YEAR 1</v>
          </cell>
          <cell r="F89" t="str">
            <v>YEAR 2</v>
          </cell>
          <cell r="G89" t="str">
            <v>YEAR 3</v>
          </cell>
          <cell r="H89" t="str">
            <v>YEAR 4</v>
          </cell>
          <cell r="I89" t="str">
            <v xml:space="preserve">YEAR 5 </v>
          </cell>
          <cell r="J89" t="str">
            <v>5 Year Total</v>
          </cell>
        </row>
        <row r="89">
          <cell r="L89" t="str">
            <v>5 YEAR + 1</v>
          </cell>
          <cell r="M89" t="str">
            <v>5 YEAR + 2</v>
          </cell>
          <cell r="N89" t="str">
            <v>7 Year Total</v>
          </cell>
        </row>
        <row r="90">
          <cell r="D90">
            <v>0</v>
          </cell>
          <cell r="E90">
            <v>0</v>
          </cell>
          <cell r="F90">
            <v>0</v>
          </cell>
          <cell r="G90">
            <v>0</v>
          </cell>
          <cell r="H90">
            <v>0</v>
          </cell>
          <cell r="I90">
            <v>0</v>
          </cell>
        </row>
        <row r="90">
          <cell r="L90">
            <v>0</v>
          </cell>
          <cell r="M90">
            <v>0</v>
          </cell>
        </row>
        <row r="91">
          <cell r="D91">
            <v>0</v>
          </cell>
          <cell r="E91">
            <v>0</v>
          </cell>
          <cell r="F91">
            <v>0</v>
          </cell>
          <cell r="G91">
            <v>0</v>
          </cell>
          <cell r="H91">
            <v>0</v>
          </cell>
          <cell r="I91">
            <v>0</v>
          </cell>
        </row>
        <row r="91">
          <cell r="L91">
            <v>0</v>
          </cell>
          <cell r="M91">
            <v>0</v>
          </cell>
        </row>
        <row r="92">
          <cell r="D92">
            <v>0</v>
          </cell>
          <cell r="E92">
            <v>0</v>
          </cell>
          <cell r="F92">
            <v>0</v>
          </cell>
          <cell r="G92">
            <v>0</v>
          </cell>
          <cell r="H92">
            <v>0</v>
          </cell>
          <cell r="I92">
            <v>0</v>
          </cell>
        </row>
        <row r="92">
          <cell r="L92">
            <v>0</v>
          </cell>
          <cell r="M92">
            <v>0</v>
          </cell>
        </row>
        <row r="94">
          <cell r="D94">
            <v>0</v>
          </cell>
          <cell r="E94">
            <v>0</v>
          </cell>
          <cell r="F94">
            <v>0</v>
          </cell>
          <cell r="G94">
            <v>0</v>
          </cell>
          <cell r="H94">
            <v>0</v>
          </cell>
          <cell r="I94">
            <v>0</v>
          </cell>
          <cell r="J94">
            <v>0</v>
          </cell>
        </row>
        <row r="94">
          <cell r="L94">
            <v>0</v>
          </cell>
          <cell r="M94">
            <v>0</v>
          </cell>
          <cell r="N94">
            <v>0</v>
          </cell>
        </row>
        <row r="95">
          <cell r="D95">
            <v>0</v>
          </cell>
          <cell r="E95">
            <v>0</v>
          </cell>
          <cell r="F95">
            <v>0</v>
          </cell>
          <cell r="G95">
            <v>0</v>
          </cell>
          <cell r="H95">
            <v>0</v>
          </cell>
          <cell r="I95">
            <v>0</v>
          </cell>
          <cell r="J95">
            <v>0</v>
          </cell>
        </row>
        <row r="95">
          <cell r="L95">
            <v>0</v>
          </cell>
          <cell r="M95">
            <v>0</v>
          </cell>
          <cell r="N95">
            <v>0</v>
          </cell>
        </row>
        <row r="96">
          <cell r="D96">
            <v>0</v>
          </cell>
          <cell r="E96">
            <v>0</v>
          </cell>
          <cell r="F96">
            <v>0</v>
          </cell>
          <cell r="G96">
            <v>0</v>
          </cell>
          <cell r="H96">
            <v>0</v>
          </cell>
          <cell r="I96">
            <v>0</v>
          </cell>
          <cell r="J96">
            <v>0</v>
          </cell>
        </row>
        <row r="96">
          <cell r="L96">
            <v>0</v>
          </cell>
          <cell r="M96">
            <v>0</v>
          </cell>
          <cell r="N96">
            <v>0</v>
          </cell>
        </row>
        <row r="97">
          <cell r="D97">
            <v>0</v>
          </cell>
          <cell r="E97">
            <v>0</v>
          </cell>
          <cell r="F97">
            <v>0</v>
          </cell>
          <cell r="G97">
            <v>0</v>
          </cell>
          <cell r="H97">
            <v>0</v>
          </cell>
          <cell r="I97">
            <v>0</v>
          </cell>
          <cell r="J97">
            <v>0</v>
          </cell>
        </row>
        <row r="97">
          <cell r="L97">
            <v>0</v>
          </cell>
          <cell r="M97">
            <v>0</v>
          </cell>
          <cell r="N97">
            <v>0</v>
          </cell>
        </row>
        <row r="98">
          <cell r="D98">
            <v>0</v>
          </cell>
          <cell r="E98">
            <v>0</v>
          </cell>
          <cell r="F98">
            <v>0</v>
          </cell>
          <cell r="G98">
            <v>0</v>
          </cell>
          <cell r="H98">
            <v>0</v>
          </cell>
          <cell r="I98">
            <v>0</v>
          </cell>
          <cell r="J98">
            <v>0</v>
          </cell>
        </row>
        <row r="98">
          <cell r="L98">
            <v>0</v>
          </cell>
          <cell r="M98">
            <v>0</v>
          </cell>
          <cell r="N98">
            <v>0</v>
          </cell>
        </row>
        <row r="99">
          <cell r="D99">
            <v>0</v>
          </cell>
          <cell r="E99">
            <v>0</v>
          </cell>
          <cell r="F99">
            <v>0</v>
          </cell>
          <cell r="G99">
            <v>0</v>
          </cell>
          <cell r="H99">
            <v>0</v>
          </cell>
          <cell r="I99">
            <v>0</v>
          </cell>
          <cell r="J99">
            <v>0</v>
          </cell>
        </row>
        <row r="99">
          <cell r="L99">
            <v>0</v>
          </cell>
          <cell r="M99">
            <v>0</v>
          </cell>
          <cell r="N99">
            <v>0</v>
          </cell>
        </row>
        <row r="100">
          <cell r="D100">
            <v>0</v>
          </cell>
          <cell r="E100">
            <v>0</v>
          </cell>
          <cell r="F100">
            <v>0</v>
          </cell>
          <cell r="G100">
            <v>0</v>
          </cell>
          <cell r="H100">
            <v>0</v>
          </cell>
          <cell r="I100">
            <v>0</v>
          </cell>
          <cell r="J100">
            <v>0</v>
          </cell>
        </row>
        <row r="100">
          <cell r="L100">
            <v>0</v>
          </cell>
          <cell r="M100">
            <v>0</v>
          </cell>
          <cell r="N100">
            <v>0</v>
          </cell>
        </row>
        <row r="101">
          <cell r="D101">
            <v>0</v>
          </cell>
          <cell r="E101">
            <v>0</v>
          </cell>
          <cell r="F101">
            <v>0</v>
          </cell>
          <cell r="G101">
            <v>0</v>
          </cell>
          <cell r="H101">
            <v>0</v>
          </cell>
          <cell r="I101">
            <v>0</v>
          </cell>
          <cell r="J101">
            <v>0</v>
          </cell>
        </row>
        <row r="101">
          <cell r="L101">
            <v>0</v>
          </cell>
          <cell r="M101">
            <v>0</v>
          </cell>
          <cell r="N101">
            <v>0</v>
          </cell>
        </row>
        <row r="102">
          <cell r="D102">
            <v>0</v>
          </cell>
          <cell r="E102">
            <v>0</v>
          </cell>
          <cell r="F102">
            <v>0</v>
          </cell>
          <cell r="G102">
            <v>0</v>
          </cell>
          <cell r="H102">
            <v>0</v>
          </cell>
          <cell r="I102">
            <v>0</v>
          </cell>
          <cell r="J102">
            <v>0</v>
          </cell>
        </row>
        <row r="102">
          <cell r="L102">
            <v>0</v>
          </cell>
          <cell r="M102">
            <v>0</v>
          </cell>
          <cell r="N102">
            <v>0</v>
          </cell>
        </row>
        <row r="103">
          <cell r="D103">
            <v>0</v>
          </cell>
          <cell r="E103">
            <v>0</v>
          </cell>
          <cell r="F103">
            <v>0</v>
          </cell>
          <cell r="G103">
            <v>0</v>
          </cell>
          <cell r="H103">
            <v>0</v>
          </cell>
          <cell r="I103">
            <v>0</v>
          </cell>
          <cell r="J103">
            <v>0</v>
          </cell>
        </row>
        <row r="103">
          <cell r="L103">
            <v>0</v>
          </cell>
          <cell r="M103">
            <v>0</v>
          </cell>
          <cell r="N103">
            <v>0</v>
          </cell>
        </row>
        <row r="104">
          <cell r="D104">
            <v>0</v>
          </cell>
          <cell r="E104">
            <v>0</v>
          </cell>
          <cell r="F104">
            <v>0</v>
          </cell>
          <cell r="G104">
            <v>0</v>
          </cell>
          <cell r="H104">
            <v>0</v>
          </cell>
          <cell r="I104">
            <v>0</v>
          </cell>
          <cell r="J104">
            <v>0</v>
          </cell>
        </row>
        <row r="104">
          <cell r="L104">
            <v>0</v>
          </cell>
          <cell r="M104">
            <v>0</v>
          </cell>
          <cell r="N104">
            <v>0</v>
          </cell>
        </row>
        <row r="105">
          <cell r="D105">
            <v>0</v>
          </cell>
          <cell r="E105">
            <v>0</v>
          </cell>
          <cell r="F105">
            <v>0</v>
          </cell>
          <cell r="G105">
            <v>0</v>
          </cell>
          <cell r="H105">
            <v>0</v>
          </cell>
          <cell r="I105">
            <v>0</v>
          </cell>
          <cell r="J105">
            <v>0</v>
          </cell>
        </row>
        <row r="105">
          <cell r="L105">
            <v>0</v>
          </cell>
          <cell r="M105">
            <v>0</v>
          </cell>
          <cell r="N105">
            <v>0</v>
          </cell>
        </row>
        <row r="106">
          <cell r="D106">
            <v>0</v>
          </cell>
          <cell r="E106">
            <v>0</v>
          </cell>
          <cell r="F106">
            <v>0</v>
          </cell>
          <cell r="G106">
            <v>0</v>
          </cell>
          <cell r="H106">
            <v>0</v>
          </cell>
          <cell r="I106">
            <v>0</v>
          </cell>
          <cell r="J106">
            <v>0</v>
          </cell>
        </row>
        <row r="106">
          <cell r="L106">
            <v>0</v>
          </cell>
          <cell r="M106">
            <v>0</v>
          </cell>
          <cell r="N106">
            <v>0</v>
          </cell>
        </row>
        <row r="107">
          <cell r="D107">
            <v>0</v>
          </cell>
          <cell r="E107">
            <v>0</v>
          </cell>
          <cell r="F107">
            <v>0</v>
          </cell>
          <cell r="G107">
            <v>0</v>
          </cell>
          <cell r="H107">
            <v>0</v>
          </cell>
          <cell r="I107">
            <v>0</v>
          </cell>
          <cell r="J107">
            <v>0</v>
          </cell>
        </row>
        <row r="107">
          <cell r="L107">
            <v>0</v>
          </cell>
          <cell r="M107">
            <v>0</v>
          </cell>
          <cell r="N107">
            <v>0</v>
          </cell>
        </row>
        <row r="108">
          <cell r="D108">
            <v>0</v>
          </cell>
          <cell r="E108">
            <v>0</v>
          </cell>
          <cell r="F108">
            <v>0</v>
          </cell>
          <cell r="G108">
            <v>0</v>
          </cell>
          <cell r="H108">
            <v>0</v>
          </cell>
          <cell r="I108">
            <v>0</v>
          </cell>
          <cell r="J108">
            <v>0</v>
          </cell>
        </row>
        <row r="108">
          <cell r="L108">
            <v>0</v>
          </cell>
          <cell r="M108">
            <v>0</v>
          </cell>
          <cell r="N108">
            <v>0</v>
          </cell>
        </row>
        <row r="109">
          <cell r="D109">
            <v>0</v>
          </cell>
          <cell r="E109">
            <v>0</v>
          </cell>
          <cell r="F109">
            <v>0</v>
          </cell>
          <cell r="G109">
            <v>0</v>
          </cell>
          <cell r="H109">
            <v>0</v>
          </cell>
          <cell r="I109">
            <v>0</v>
          </cell>
          <cell r="J109">
            <v>0</v>
          </cell>
        </row>
        <row r="109">
          <cell r="L109">
            <v>0</v>
          </cell>
          <cell r="M109">
            <v>0</v>
          </cell>
          <cell r="N109">
            <v>0</v>
          </cell>
        </row>
        <row r="110">
          <cell r="D110">
            <v>0</v>
          </cell>
          <cell r="E110">
            <v>0</v>
          </cell>
          <cell r="F110">
            <v>0</v>
          </cell>
          <cell r="G110">
            <v>0</v>
          </cell>
          <cell r="H110">
            <v>0</v>
          </cell>
          <cell r="I110">
            <v>0</v>
          </cell>
          <cell r="J110">
            <v>0</v>
          </cell>
        </row>
        <row r="110">
          <cell r="L110">
            <v>0</v>
          </cell>
          <cell r="M110">
            <v>0</v>
          </cell>
          <cell r="N110">
            <v>0</v>
          </cell>
        </row>
        <row r="111">
          <cell r="D111">
            <v>0</v>
          </cell>
          <cell r="E111">
            <v>0</v>
          </cell>
          <cell r="F111">
            <v>0</v>
          </cell>
          <cell r="G111">
            <v>0</v>
          </cell>
          <cell r="H111">
            <v>0</v>
          </cell>
          <cell r="I111">
            <v>0</v>
          </cell>
          <cell r="J111">
            <v>0</v>
          </cell>
        </row>
        <row r="111">
          <cell r="L111">
            <v>0</v>
          </cell>
          <cell r="M111">
            <v>0</v>
          </cell>
          <cell r="N111">
            <v>0</v>
          </cell>
        </row>
        <row r="112">
          <cell r="D112">
            <v>0</v>
          </cell>
          <cell r="E112">
            <v>0</v>
          </cell>
          <cell r="F112">
            <v>0</v>
          </cell>
          <cell r="G112">
            <v>0</v>
          </cell>
          <cell r="H112">
            <v>0</v>
          </cell>
          <cell r="I112">
            <v>0</v>
          </cell>
          <cell r="J112">
            <v>0</v>
          </cell>
        </row>
        <row r="112">
          <cell r="L112">
            <v>0</v>
          </cell>
          <cell r="M112">
            <v>0</v>
          </cell>
          <cell r="N112">
            <v>0</v>
          </cell>
        </row>
        <row r="113">
          <cell r="D113">
            <v>0</v>
          </cell>
          <cell r="E113">
            <v>0</v>
          </cell>
          <cell r="F113">
            <v>0</v>
          </cell>
          <cell r="G113">
            <v>0</v>
          </cell>
          <cell r="H113">
            <v>0</v>
          </cell>
          <cell r="I113">
            <v>0</v>
          </cell>
          <cell r="J113">
            <v>0</v>
          </cell>
        </row>
        <row r="113">
          <cell r="L113">
            <v>0</v>
          </cell>
          <cell r="M113">
            <v>0</v>
          </cell>
          <cell r="N113">
            <v>0</v>
          </cell>
        </row>
        <row r="114">
          <cell r="D114">
            <v>0</v>
          </cell>
          <cell r="E114">
            <v>0</v>
          </cell>
          <cell r="F114">
            <v>0</v>
          </cell>
          <cell r="G114">
            <v>0</v>
          </cell>
          <cell r="H114">
            <v>0</v>
          </cell>
          <cell r="I114">
            <v>0</v>
          </cell>
          <cell r="J114">
            <v>0</v>
          </cell>
        </row>
        <row r="114">
          <cell r="L114">
            <v>0</v>
          </cell>
          <cell r="M114">
            <v>0</v>
          </cell>
          <cell r="N114">
            <v>0</v>
          </cell>
        </row>
        <row r="115">
          <cell r="D115">
            <v>48</v>
          </cell>
          <cell r="E115">
            <v>48</v>
          </cell>
          <cell r="F115">
            <v>49.44</v>
          </cell>
          <cell r="G115">
            <v>50.9232</v>
          </cell>
          <cell r="H115">
            <v>52.450896</v>
          </cell>
          <cell r="I115">
            <v>54.02442288</v>
          </cell>
          <cell r="J115">
            <v>254.83851888</v>
          </cell>
        </row>
        <row r="115">
          <cell r="L115">
            <v>55.6451555664</v>
          </cell>
          <cell r="M115">
            <v>57.314510233392</v>
          </cell>
          <cell r="N115">
            <v>367.798184679792</v>
          </cell>
        </row>
        <row r="116">
          <cell r="D116">
            <v>0</v>
          </cell>
          <cell r="E116">
            <v>0</v>
          </cell>
          <cell r="F116">
            <v>0</v>
          </cell>
          <cell r="G116">
            <v>0</v>
          </cell>
          <cell r="H116">
            <v>0</v>
          </cell>
          <cell r="I116">
            <v>0</v>
          </cell>
          <cell r="J116">
            <v>0</v>
          </cell>
        </row>
        <row r="116">
          <cell r="L116">
            <v>0</v>
          </cell>
          <cell r="M116">
            <v>0</v>
          </cell>
          <cell r="N116">
            <v>0</v>
          </cell>
        </row>
        <row r="117">
          <cell r="D117">
            <v>0</v>
          </cell>
          <cell r="E117">
            <v>0</v>
          </cell>
          <cell r="F117">
            <v>0</v>
          </cell>
          <cell r="G117">
            <v>0</v>
          </cell>
          <cell r="H117">
            <v>0</v>
          </cell>
          <cell r="I117">
            <v>0</v>
          </cell>
          <cell r="J117">
            <v>0</v>
          </cell>
        </row>
        <row r="117">
          <cell r="L117">
            <v>0</v>
          </cell>
          <cell r="M117">
            <v>0</v>
          </cell>
          <cell r="N117">
            <v>0</v>
          </cell>
        </row>
        <row r="118">
          <cell r="D118">
            <v>48</v>
          </cell>
          <cell r="E118">
            <v>48</v>
          </cell>
          <cell r="F118">
            <v>49.44</v>
          </cell>
          <cell r="G118">
            <v>50.9232</v>
          </cell>
          <cell r="H118">
            <v>52.450896</v>
          </cell>
          <cell r="I118">
            <v>54.02442288</v>
          </cell>
          <cell r="J118">
            <v>254.83851888</v>
          </cell>
        </row>
        <row r="118">
          <cell r="L118">
            <v>55.6451555664</v>
          </cell>
          <cell r="M118">
            <v>57.314510233392</v>
          </cell>
          <cell r="N118">
            <v>367.798184679792</v>
          </cell>
        </row>
        <row r="119">
          <cell r="D119">
            <v>48</v>
          </cell>
          <cell r="E119">
            <v>48</v>
          </cell>
          <cell r="F119">
            <v>49.44</v>
          </cell>
          <cell r="G119">
            <v>50.9232</v>
          </cell>
          <cell r="H119">
            <v>52.450896</v>
          </cell>
          <cell r="I119">
            <v>54.02442288</v>
          </cell>
          <cell r="J119">
            <v>254.83851888</v>
          </cell>
        </row>
        <row r="119">
          <cell r="L119">
            <v>55.6451555664</v>
          </cell>
          <cell r="M119">
            <v>57.314510233392</v>
          </cell>
          <cell r="N119">
            <v>367.798184679792</v>
          </cell>
        </row>
        <row r="120">
          <cell r="D120">
            <v>0</v>
          </cell>
          <cell r="E120">
            <v>0</v>
          </cell>
          <cell r="F120">
            <v>0</v>
          </cell>
          <cell r="G120">
            <v>0</v>
          </cell>
          <cell r="H120">
            <v>0</v>
          </cell>
          <cell r="I120">
            <v>0</v>
          </cell>
          <cell r="J120">
            <v>0</v>
          </cell>
        </row>
        <row r="120">
          <cell r="L120">
            <v>0</v>
          </cell>
          <cell r="M120">
            <v>0</v>
          </cell>
          <cell r="N120">
            <v>0</v>
          </cell>
        </row>
        <row r="121">
          <cell r="D121">
            <v>48</v>
          </cell>
          <cell r="E121">
            <v>48</v>
          </cell>
          <cell r="F121">
            <v>49.44</v>
          </cell>
          <cell r="G121">
            <v>50.9232</v>
          </cell>
          <cell r="H121">
            <v>52.450896</v>
          </cell>
          <cell r="I121">
            <v>54.02442288</v>
          </cell>
          <cell r="J121">
            <v>254.83851888</v>
          </cell>
        </row>
        <row r="121">
          <cell r="L121">
            <v>55.6451555664</v>
          </cell>
          <cell r="M121">
            <v>57.314510233392</v>
          </cell>
          <cell r="N121">
            <v>367.798184679792</v>
          </cell>
        </row>
        <row r="123">
          <cell r="D123">
            <v>0</v>
          </cell>
          <cell r="E123">
            <v>0</v>
          </cell>
          <cell r="F123">
            <v>0</v>
          </cell>
          <cell r="G123">
            <v>0</v>
          </cell>
          <cell r="H123">
            <v>0</v>
          </cell>
          <cell r="I123">
            <v>0</v>
          </cell>
          <cell r="J123">
            <v>0</v>
          </cell>
        </row>
        <row r="123">
          <cell r="L123">
            <v>0</v>
          </cell>
          <cell r="M123">
            <v>0</v>
          </cell>
          <cell r="N123">
            <v>0</v>
          </cell>
        </row>
        <row r="124">
          <cell r="D124">
            <v>0</v>
          </cell>
          <cell r="E124">
            <v>0</v>
          </cell>
          <cell r="F124">
            <v>0</v>
          </cell>
          <cell r="G124">
            <v>0</v>
          </cell>
          <cell r="H124">
            <v>0</v>
          </cell>
          <cell r="I124">
            <v>0</v>
          </cell>
          <cell r="J124">
            <v>0</v>
          </cell>
        </row>
        <row r="124">
          <cell r="L124">
            <v>0</v>
          </cell>
          <cell r="M124">
            <v>0</v>
          </cell>
          <cell r="N124">
            <v>0</v>
          </cell>
        </row>
        <row r="125">
          <cell r="D125">
            <v>0</v>
          </cell>
          <cell r="E125">
            <v>0</v>
          </cell>
          <cell r="F125">
            <v>0</v>
          </cell>
          <cell r="G125">
            <v>0</v>
          </cell>
          <cell r="H125">
            <v>0</v>
          </cell>
          <cell r="I125">
            <v>0</v>
          </cell>
          <cell r="J125">
            <v>0</v>
          </cell>
        </row>
        <row r="125">
          <cell r="L125">
            <v>0</v>
          </cell>
          <cell r="M125">
            <v>0</v>
          </cell>
          <cell r="N125">
            <v>0</v>
          </cell>
        </row>
        <row r="126">
          <cell r="D126">
            <v>0</v>
          </cell>
          <cell r="E126">
            <v>0</v>
          </cell>
          <cell r="F126">
            <v>0</v>
          </cell>
          <cell r="G126">
            <v>0</v>
          </cell>
          <cell r="H126">
            <v>0</v>
          </cell>
          <cell r="I126">
            <v>0</v>
          </cell>
          <cell r="J126">
            <v>0</v>
          </cell>
        </row>
        <row r="126">
          <cell r="L126">
            <v>0</v>
          </cell>
          <cell r="M126">
            <v>0</v>
          </cell>
          <cell r="N126">
            <v>0</v>
          </cell>
        </row>
        <row r="127">
          <cell r="D127">
            <v>0</v>
          </cell>
          <cell r="E127">
            <v>0</v>
          </cell>
          <cell r="F127">
            <v>0</v>
          </cell>
          <cell r="G127">
            <v>0</v>
          </cell>
          <cell r="H127">
            <v>0</v>
          </cell>
          <cell r="I127">
            <v>0</v>
          </cell>
          <cell r="J127">
            <v>0</v>
          </cell>
        </row>
        <row r="127">
          <cell r="L127">
            <v>0</v>
          </cell>
          <cell r="M127">
            <v>0</v>
          </cell>
          <cell r="N127">
            <v>0</v>
          </cell>
        </row>
        <row r="129">
          <cell r="D129">
            <v>48</v>
          </cell>
          <cell r="E129">
            <v>48</v>
          </cell>
          <cell r="F129">
            <v>49.44</v>
          </cell>
          <cell r="G129">
            <v>50.9232</v>
          </cell>
          <cell r="H129">
            <v>52.450896</v>
          </cell>
          <cell r="I129">
            <v>54.02442288</v>
          </cell>
          <cell r="J129">
            <v>254.83851888</v>
          </cell>
        </row>
        <row r="129">
          <cell r="L129">
            <v>55.6451555664</v>
          </cell>
          <cell r="M129">
            <v>57.314510233392</v>
          </cell>
          <cell r="N129">
            <v>367.798184679792</v>
          </cell>
        </row>
        <row r="132">
          <cell r="D132" t="str">
            <v>BASE YEAR</v>
          </cell>
          <cell r="E132" t="str">
            <v>YEAR 1</v>
          </cell>
          <cell r="F132" t="str">
            <v>YEAR 2</v>
          </cell>
          <cell r="G132" t="str">
            <v>YEAR 3</v>
          </cell>
          <cell r="H132" t="str">
            <v>YEAR 4</v>
          </cell>
          <cell r="I132" t="str">
            <v xml:space="preserve">YEAR 5 </v>
          </cell>
          <cell r="J132" t="str">
            <v>5 Year  Total</v>
          </cell>
        </row>
        <row r="132">
          <cell r="L132" t="str">
            <v>5 YEAR + 1</v>
          </cell>
          <cell r="M132" t="str">
            <v>5 YEAR + 2</v>
          </cell>
          <cell r="N132" t="str">
            <v>7 Year  Total</v>
          </cell>
        </row>
        <row r="133">
          <cell r="D133">
            <v>2.6</v>
          </cell>
          <cell r="E133">
            <v>2.6</v>
          </cell>
          <cell r="F133">
            <v>2.6</v>
          </cell>
          <cell r="G133">
            <v>2.6</v>
          </cell>
          <cell r="H133">
            <v>2.6</v>
          </cell>
          <cell r="I133">
            <v>2.6</v>
          </cell>
        </row>
        <row r="133">
          <cell r="L133">
            <v>2.6</v>
          </cell>
          <cell r="M133">
            <v>2.6</v>
          </cell>
        </row>
        <row r="134">
          <cell r="D134">
            <v>0</v>
          </cell>
          <cell r="E134">
            <v>0</v>
          </cell>
          <cell r="F134">
            <v>0</v>
          </cell>
          <cell r="G134">
            <v>0</v>
          </cell>
          <cell r="H134">
            <v>0</v>
          </cell>
          <cell r="I134">
            <v>0</v>
          </cell>
        </row>
        <row r="134">
          <cell r="L134">
            <v>0</v>
          </cell>
          <cell r="M134">
            <v>0</v>
          </cell>
        </row>
        <row r="135">
          <cell r="D135">
            <v>2.6</v>
          </cell>
          <cell r="E135">
            <v>2.6</v>
          </cell>
          <cell r="F135">
            <v>2.6</v>
          </cell>
          <cell r="G135">
            <v>2.6</v>
          </cell>
          <cell r="H135">
            <v>2.6</v>
          </cell>
          <cell r="I135">
            <v>2.6</v>
          </cell>
        </row>
        <row r="135">
          <cell r="L135">
            <v>2.6</v>
          </cell>
          <cell r="M135">
            <v>2.6</v>
          </cell>
        </row>
        <row r="137">
          <cell r="D137">
            <v>134</v>
          </cell>
          <cell r="E137">
            <v>134</v>
          </cell>
          <cell r="F137">
            <v>138.02</v>
          </cell>
          <cell r="G137">
            <v>142.1606</v>
          </cell>
          <cell r="H137">
            <v>146.425418</v>
          </cell>
          <cell r="I137">
            <v>150.81818054</v>
          </cell>
          <cell r="J137">
            <v>711.42419854</v>
          </cell>
        </row>
        <row r="137">
          <cell r="L137">
            <v>155.3427259562</v>
          </cell>
          <cell r="M137">
            <v>160.003007734886</v>
          </cell>
          <cell r="N137">
            <v>1026.76993223109</v>
          </cell>
        </row>
        <row r="138">
          <cell r="D138">
            <v>22</v>
          </cell>
          <cell r="E138">
            <v>22</v>
          </cell>
          <cell r="F138">
            <v>22.66</v>
          </cell>
          <cell r="G138">
            <v>23.3398</v>
          </cell>
          <cell r="H138">
            <v>24.039994</v>
          </cell>
          <cell r="I138">
            <v>24.76119382</v>
          </cell>
          <cell r="J138">
            <v>116.80098782</v>
          </cell>
        </row>
        <row r="138">
          <cell r="L138">
            <v>25.5040296346</v>
          </cell>
          <cell r="M138">
            <v>26.269150523638</v>
          </cell>
          <cell r="N138">
            <v>168.574167978238</v>
          </cell>
        </row>
        <row r="139">
          <cell r="D139">
            <v>0</v>
          </cell>
          <cell r="E139">
            <v>0</v>
          </cell>
          <cell r="F139">
            <v>0</v>
          </cell>
          <cell r="G139">
            <v>0</v>
          </cell>
          <cell r="H139">
            <v>0</v>
          </cell>
          <cell r="I139">
            <v>0</v>
          </cell>
          <cell r="J139">
            <v>0</v>
          </cell>
        </row>
        <row r="139">
          <cell r="L139">
            <v>0</v>
          </cell>
          <cell r="M139">
            <v>0</v>
          </cell>
          <cell r="N139">
            <v>0</v>
          </cell>
        </row>
        <row r="140">
          <cell r="D140">
            <v>0</v>
          </cell>
          <cell r="E140">
            <v>0</v>
          </cell>
          <cell r="F140">
            <v>0</v>
          </cell>
          <cell r="G140">
            <v>0</v>
          </cell>
          <cell r="H140">
            <v>0</v>
          </cell>
          <cell r="I140">
            <v>0</v>
          </cell>
          <cell r="J140">
            <v>0</v>
          </cell>
        </row>
        <row r="140">
          <cell r="L140">
            <v>0</v>
          </cell>
          <cell r="M140">
            <v>0</v>
          </cell>
          <cell r="N140">
            <v>0</v>
          </cell>
        </row>
        <row r="141">
          <cell r="D141">
            <v>2</v>
          </cell>
          <cell r="E141">
            <v>2</v>
          </cell>
          <cell r="F141">
            <v>2.06</v>
          </cell>
          <cell r="G141">
            <v>2.1218</v>
          </cell>
          <cell r="H141">
            <v>2.185454</v>
          </cell>
          <cell r="I141">
            <v>2.25101762</v>
          </cell>
          <cell r="J141">
            <v>10.61827162</v>
          </cell>
        </row>
        <row r="141">
          <cell r="L141">
            <v>2.3185481486</v>
          </cell>
          <cell r="M141">
            <v>2.388104593058</v>
          </cell>
          <cell r="N141">
            <v>15.324924361658</v>
          </cell>
        </row>
        <row r="142">
          <cell r="D142">
            <v>46</v>
          </cell>
          <cell r="E142">
            <v>46</v>
          </cell>
          <cell r="F142">
            <v>47.38</v>
          </cell>
          <cell r="G142">
            <v>48.8014</v>
          </cell>
          <cell r="H142">
            <v>50.265442</v>
          </cell>
          <cell r="I142">
            <v>51.77340526</v>
          </cell>
          <cell r="J142">
            <v>244.22024726</v>
          </cell>
        </row>
        <row r="142">
          <cell r="L142">
            <v>53.3266074178</v>
          </cell>
          <cell r="M142">
            <v>54.926405640334</v>
          </cell>
          <cell r="N142">
            <v>352.473260318134</v>
          </cell>
        </row>
        <row r="143">
          <cell r="D143">
            <v>204</v>
          </cell>
          <cell r="E143">
            <v>204</v>
          </cell>
          <cell r="F143">
            <v>210.12</v>
          </cell>
          <cell r="G143">
            <v>216.4236</v>
          </cell>
          <cell r="H143">
            <v>222.916308</v>
          </cell>
          <cell r="I143">
            <v>229.60379724</v>
          </cell>
          <cell r="J143">
            <v>1083.06370524</v>
          </cell>
        </row>
        <row r="143">
          <cell r="L143">
            <v>236.4919111572</v>
          </cell>
          <cell r="M143">
            <v>243.586668491916</v>
          </cell>
          <cell r="N143">
            <v>1563.14228488912</v>
          </cell>
        </row>
        <row r="144">
          <cell r="D144">
            <v>1</v>
          </cell>
          <cell r="E144">
            <v>1</v>
          </cell>
          <cell r="F144">
            <v>1.03</v>
          </cell>
          <cell r="G144">
            <v>1.0609</v>
          </cell>
          <cell r="H144">
            <v>1.092727</v>
          </cell>
          <cell r="I144">
            <v>1.12550881</v>
          </cell>
          <cell r="J144">
            <v>5.30913581</v>
          </cell>
        </row>
        <row r="144">
          <cell r="L144">
            <v>1.1592740743</v>
          </cell>
          <cell r="M144">
            <v>1.194052296529</v>
          </cell>
          <cell r="N144">
            <v>7.662462180829</v>
          </cell>
        </row>
        <row r="145">
          <cell r="D145">
            <v>0</v>
          </cell>
          <cell r="E145">
            <v>0</v>
          </cell>
          <cell r="F145">
            <v>0</v>
          </cell>
          <cell r="G145">
            <v>0</v>
          </cell>
          <cell r="H145">
            <v>0</v>
          </cell>
          <cell r="I145">
            <v>0</v>
          </cell>
          <cell r="J145">
            <v>0</v>
          </cell>
        </row>
        <row r="145">
          <cell r="L145">
            <v>0</v>
          </cell>
          <cell r="M145">
            <v>0</v>
          </cell>
          <cell r="N145">
            <v>0</v>
          </cell>
        </row>
        <row r="146">
          <cell r="D146">
            <v>0</v>
          </cell>
          <cell r="E146">
            <v>0</v>
          </cell>
          <cell r="F146">
            <v>0</v>
          </cell>
          <cell r="G146">
            <v>0</v>
          </cell>
          <cell r="H146">
            <v>0</v>
          </cell>
          <cell r="I146">
            <v>0</v>
          </cell>
          <cell r="J146">
            <v>0</v>
          </cell>
        </row>
        <row r="146">
          <cell r="L146">
            <v>0</v>
          </cell>
          <cell r="M146">
            <v>0</v>
          </cell>
          <cell r="N146">
            <v>0</v>
          </cell>
        </row>
        <row r="147">
          <cell r="D147">
            <v>0</v>
          </cell>
          <cell r="E147">
            <v>0</v>
          </cell>
          <cell r="F147">
            <v>0</v>
          </cell>
          <cell r="G147">
            <v>0</v>
          </cell>
          <cell r="H147">
            <v>0</v>
          </cell>
          <cell r="I147">
            <v>0</v>
          </cell>
          <cell r="J147">
            <v>0</v>
          </cell>
        </row>
        <row r="147">
          <cell r="L147">
            <v>0</v>
          </cell>
          <cell r="M147">
            <v>0</v>
          </cell>
          <cell r="N147">
            <v>0</v>
          </cell>
        </row>
        <row r="148">
          <cell r="D148">
            <v>2</v>
          </cell>
          <cell r="E148">
            <v>2</v>
          </cell>
          <cell r="F148">
            <v>2.06</v>
          </cell>
          <cell r="G148">
            <v>2.1218</v>
          </cell>
          <cell r="H148">
            <v>2.185454</v>
          </cell>
          <cell r="I148">
            <v>2.25101762</v>
          </cell>
          <cell r="J148">
            <v>10.61827162</v>
          </cell>
        </row>
        <row r="148">
          <cell r="L148">
            <v>2.3185481486</v>
          </cell>
          <cell r="M148">
            <v>2.388104593058</v>
          </cell>
          <cell r="N148">
            <v>15.324924361658</v>
          </cell>
        </row>
        <row r="149">
          <cell r="D149">
            <v>1</v>
          </cell>
          <cell r="E149">
            <v>1</v>
          </cell>
          <cell r="F149">
            <v>1.03</v>
          </cell>
          <cell r="G149">
            <v>1.0609</v>
          </cell>
          <cell r="H149">
            <v>1.092727</v>
          </cell>
          <cell r="I149">
            <v>1.12550881</v>
          </cell>
          <cell r="J149">
            <v>5.30913581</v>
          </cell>
        </row>
        <row r="149">
          <cell r="L149">
            <v>1.1592740743</v>
          </cell>
          <cell r="M149">
            <v>1.194052296529</v>
          </cell>
          <cell r="N149">
            <v>7.662462180829</v>
          </cell>
        </row>
        <row r="150">
          <cell r="D150">
            <v>0</v>
          </cell>
          <cell r="E150">
            <v>0</v>
          </cell>
          <cell r="F150">
            <v>0</v>
          </cell>
          <cell r="G150">
            <v>0</v>
          </cell>
          <cell r="H150">
            <v>0</v>
          </cell>
          <cell r="I150">
            <v>0</v>
          </cell>
          <cell r="J150">
            <v>0</v>
          </cell>
        </row>
        <row r="150">
          <cell r="L150">
            <v>0</v>
          </cell>
          <cell r="M150">
            <v>0</v>
          </cell>
          <cell r="N150">
            <v>0</v>
          </cell>
        </row>
        <row r="151">
          <cell r="D151">
            <v>0</v>
          </cell>
          <cell r="E151">
            <v>0</v>
          </cell>
          <cell r="F151">
            <v>0</v>
          </cell>
          <cell r="G151">
            <v>0</v>
          </cell>
          <cell r="H151">
            <v>0</v>
          </cell>
          <cell r="I151">
            <v>0</v>
          </cell>
          <cell r="J151">
            <v>0</v>
          </cell>
        </row>
        <row r="151">
          <cell r="L151">
            <v>0</v>
          </cell>
          <cell r="M151">
            <v>0</v>
          </cell>
          <cell r="N151">
            <v>0</v>
          </cell>
        </row>
        <row r="152">
          <cell r="D152">
            <v>4</v>
          </cell>
          <cell r="E152">
            <v>4</v>
          </cell>
          <cell r="F152">
            <v>4.12</v>
          </cell>
          <cell r="G152">
            <v>4.2436</v>
          </cell>
          <cell r="H152">
            <v>4.370908</v>
          </cell>
          <cell r="I152">
            <v>4.50203524</v>
          </cell>
          <cell r="J152">
            <v>21.23654324</v>
          </cell>
        </row>
        <row r="152">
          <cell r="L152">
            <v>4.6370962972</v>
          </cell>
          <cell r="M152">
            <v>4.776209186116</v>
          </cell>
          <cell r="N152">
            <v>30.649848723316</v>
          </cell>
        </row>
        <row r="153">
          <cell r="D153">
            <v>1</v>
          </cell>
          <cell r="E153">
            <v>1</v>
          </cell>
          <cell r="F153">
            <v>1.03</v>
          </cell>
          <cell r="G153">
            <v>1.0609</v>
          </cell>
          <cell r="H153">
            <v>1.092727</v>
          </cell>
          <cell r="I153">
            <v>1.12550881</v>
          </cell>
          <cell r="J153">
            <v>5.30913581</v>
          </cell>
        </row>
        <row r="153">
          <cell r="L153">
            <v>1.1592740743</v>
          </cell>
          <cell r="M153">
            <v>1.194052296529</v>
          </cell>
          <cell r="N153">
            <v>7.662462180829</v>
          </cell>
        </row>
        <row r="154">
          <cell r="D154">
            <v>1</v>
          </cell>
          <cell r="E154">
            <v>1</v>
          </cell>
          <cell r="F154">
            <v>1.03</v>
          </cell>
          <cell r="G154">
            <v>1.0609</v>
          </cell>
          <cell r="H154">
            <v>1.092727</v>
          </cell>
          <cell r="I154">
            <v>1.12550881</v>
          </cell>
          <cell r="J154">
            <v>5.30913581</v>
          </cell>
        </row>
        <row r="154">
          <cell r="L154">
            <v>1.1592740743</v>
          </cell>
          <cell r="M154">
            <v>1.194052296529</v>
          </cell>
          <cell r="N154">
            <v>7.662462180829</v>
          </cell>
        </row>
        <row r="155">
          <cell r="D155">
            <v>0</v>
          </cell>
          <cell r="E155">
            <v>0</v>
          </cell>
          <cell r="F155">
            <v>0</v>
          </cell>
          <cell r="G155">
            <v>0</v>
          </cell>
          <cell r="H155">
            <v>0</v>
          </cell>
          <cell r="I155">
            <v>0</v>
          </cell>
          <cell r="J155">
            <v>0</v>
          </cell>
        </row>
        <row r="155">
          <cell r="L155">
            <v>0</v>
          </cell>
          <cell r="M155">
            <v>0</v>
          </cell>
          <cell r="N155">
            <v>0</v>
          </cell>
        </row>
        <row r="156">
          <cell r="D156">
            <v>1</v>
          </cell>
          <cell r="E156">
            <v>1</v>
          </cell>
          <cell r="F156">
            <v>1.03</v>
          </cell>
          <cell r="G156">
            <v>1.0609</v>
          </cell>
          <cell r="H156">
            <v>1.092727</v>
          </cell>
          <cell r="I156">
            <v>1.12550881</v>
          </cell>
          <cell r="J156">
            <v>5.30913581</v>
          </cell>
        </row>
        <row r="156">
          <cell r="L156">
            <v>1.1592740743</v>
          </cell>
          <cell r="M156">
            <v>1.194052296529</v>
          </cell>
          <cell r="N156">
            <v>7.662462180829</v>
          </cell>
        </row>
        <row r="157">
          <cell r="D157">
            <v>1</v>
          </cell>
          <cell r="E157">
            <v>1</v>
          </cell>
          <cell r="F157">
            <v>1.03</v>
          </cell>
          <cell r="G157">
            <v>1.0609</v>
          </cell>
          <cell r="H157">
            <v>1.092727</v>
          </cell>
          <cell r="I157">
            <v>1.12550881</v>
          </cell>
          <cell r="J157">
            <v>5.30913581</v>
          </cell>
        </row>
        <row r="157">
          <cell r="L157">
            <v>1.1592740743</v>
          </cell>
          <cell r="M157">
            <v>1.194052296529</v>
          </cell>
          <cell r="N157">
            <v>7.662462180829</v>
          </cell>
        </row>
        <row r="158">
          <cell r="D158">
            <v>383</v>
          </cell>
          <cell r="E158">
            <v>383</v>
          </cell>
          <cell r="F158">
            <v>394.49</v>
          </cell>
          <cell r="G158">
            <v>406.3247</v>
          </cell>
          <cell r="H158">
            <v>418.514441</v>
          </cell>
          <cell r="I158">
            <v>431.06987423</v>
          </cell>
          <cell r="J158">
            <v>2033.39901523</v>
          </cell>
        </row>
        <row r="158">
          <cell r="L158">
            <v>444.0019704569</v>
          </cell>
          <cell r="M158">
            <v>457.322029570607</v>
          </cell>
          <cell r="N158">
            <v>2934.72301525751</v>
          </cell>
        </row>
        <row r="159">
          <cell r="D159">
            <v>81</v>
          </cell>
          <cell r="E159">
            <v>81</v>
          </cell>
          <cell r="F159">
            <v>83.43</v>
          </cell>
          <cell r="G159">
            <v>85.9329</v>
          </cell>
          <cell r="H159">
            <v>88.510887</v>
          </cell>
          <cell r="I159">
            <v>91.16621361</v>
          </cell>
          <cell r="J159">
            <v>430.04000061</v>
          </cell>
        </row>
        <row r="159">
          <cell r="L159">
            <v>93.9012000183</v>
          </cell>
          <cell r="M159">
            <v>96.718236018849</v>
          </cell>
          <cell r="N159">
            <v>620.659436647149</v>
          </cell>
        </row>
        <row r="160">
          <cell r="D160">
            <v>-53</v>
          </cell>
          <cell r="E160">
            <v>-53</v>
          </cell>
          <cell r="F160">
            <v>-54.59</v>
          </cell>
          <cell r="G160">
            <v>-56.2277</v>
          </cell>
          <cell r="H160">
            <v>-57.914531</v>
          </cell>
          <cell r="I160">
            <v>-59.65196693</v>
          </cell>
          <cell r="J160">
            <v>-281.38419793</v>
          </cell>
        </row>
        <row r="160">
          <cell r="L160">
            <v>-61.4415259379</v>
          </cell>
          <cell r="M160">
            <v>-63.284771716037</v>
          </cell>
          <cell r="N160">
            <v>-406.110495583937</v>
          </cell>
        </row>
        <row r="161">
          <cell r="D161">
            <v>415</v>
          </cell>
          <cell r="E161">
            <v>415</v>
          </cell>
          <cell r="F161">
            <v>427.45</v>
          </cell>
          <cell r="G161">
            <v>440.2735</v>
          </cell>
          <cell r="H161">
            <v>453.481705</v>
          </cell>
          <cell r="I161">
            <v>467.08615615</v>
          </cell>
          <cell r="J161">
            <v>2203.29136115</v>
          </cell>
        </row>
        <row r="161">
          <cell r="L161">
            <v>481.0987408345</v>
          </cell>
          <cell r="M161">
            <v>495.531703059535</v>
          </cell>
          <cell r="N161">
            <v>3179.92180504404</v>
          </cell>
        </row>
        <row r="162">
          <cell r="D162">
            <v>623</v>
          </cell>
          <cell r="E162">
            <v>623</v>
          </cell>
          <cell r="F162">
            <v>641.69</v>
          </cell>
          <cell r="G162">
            <v>660.9407</v>
          </cell>
          <cell r="H162">
            <v>680.768921</v>
          </cell>
          <cell r="I162">
            <v>701.19198863</v>
          </cell>
          <cell r="J162">
            <v>3307.59160963</v>
          </cell>
        </row>
        <row r="162">
          <cell r="L162">
            <v>722.2277482889</v>
          </cell>
          <cell r="M162">
            <v>743.894580737567</v>
          </cell>
          <cell r="N162">
            <v>4773.71393865647</v>
          </cell>
        </row>
        <row r="163">
          <cell r="D163">
            <v>0</v>
          </cell>
          <cell r="E163">
            <v>0</v>
          </cell>
          <cell r="F163">
            <v>0</v>
          </cell>
          <cell r="G163">
            <v>0</v>
          </cell>
          <cell r="H163">
            <v>0</v>
          </cell>
          <cell r="I163">
            <v>0</v>
          </cell>
          <cell r="J163">
            <v>0</v>
          </cell>
        </row>
        <row r="163">
          <cell r="L163">
            <v>0</v>
          </cell>
          <cell r="M163">
            <v>0</v>
          </cell>
          <cell r="N163">
            <v>0</v>
          </cell>
        </row>
        <row r="164">
          <cell r="D164">
            <v>623</v>
          </cell>
          <cell r="E164">
            <v>623</v>
          </cell>
          <cell r="F164">
            <v>641.69</v>
          </cell>
          <cell r="G164">
            <v>660.9407</v>
          </cell>
          <cell r="H164">
            <v>680.768921</v>
          </cell>
          <cell r="I164">
            <v>701.19198863</v>
          </cell>
          <cell r="J164">
            <v>3307.59160963</v>
          </cell>
        </row>
        <row r="164">
          <cell r="L164">
            <v>722.2277482889</v>
          </cell>
          <cell r="M164">
            <v>743.894580737567</v>
          </cell>
          <cell r="N164">
            <v>4773.71393865647</v>
          </cell>
        </row>
        <row r="166">
          <cell r="D166">
            <v>10</v>
          </cell>
          <cell r="E166">
            <v>10</v>
          </cell>
          <cell r="F166">
            <v>10.3</v>
          </cell>
          <cell r="G166">
            <v>10.609</v>
          </cell>
          <cell r="H166">
            <v>10.92727</v>
          </cell>
          <cell r="I166">
            <v>11.2550881</v>
          </cell>
          <cell r="J166">
            <v>53.0913581</v>
          </cell>
        </row>
        <row r="166">
          <cell r="L166">
            <v>11.592740743</v>
          </cell>
          <cell r="M166">
            <v>11.94052296529</v>
          </cell>
          <cell r="N166">
            <v>76.62462180829</v>
          </cell>
        </row>
        <row r="167">
          <cell r="D167">
            <v>2</v>
          </cell>
          <cell r="E167">
            <v>2</v>
          </cell>
          <cell r="F167">
            <v>2.06</v>
          </cell>
          <cell r="G167">
            <v>2.1218</v>
          </cell>
          <cell r="H167">
            <v>2.185454</v>
          </cell>
          <cell r="I167">
            <v>2.25101762</v>
          </cell>
          <cell r="J167">
            <v>10.61827162</v>
          </cell>
        </row>
        <row r="167">
          <cell r="L167">
            <v>2.3185481486</v>
          </cell>
          <cell r="M167">
            <v>2.388104593058</v>
          </cell>
          <cell r="N167">
            <v>15.324924361658</v>
          </cell>
        </row>
        <row r="168">
          <cell r="D168">
            <v>380</v>
          </cell>
          <cell r="E168">
            <v>380</v>
          </cell>
          <cell r="F168">
            <v>391.4</v>
          </cell>
          <cell r="G168">
            <v>403.142</v>
          </cell>
          <cell r="H168">
            <v>415.23626</v>
          </cell>
          <cell r="I168">
            <v>427.6933478</v>
          </cell>
          <cell r="J168">
            <v>2017.4716078</v>
          </cell>
        </row>
        <row r="168">
          <cell r="L168">
            <v>440.524148234</v>
          </cell>
          <cell r="M168">
            <v>453.73987268102</v>
          </cell>
          <cell r="N168">
            <v>2911.73562871502</v>
          </cell>
        </row>
        <row r="169">
          <cell r="D169">
            <v>208</v>
          </cell>
          <cell r="E169">
            <v>208</v>
          </cell>
          <cell r="F169">
            <v>214.24</v>
          </cell>
          <cell r="G169">
            <v>220.6672</v>
          </cell>
          <cell r="H169">
            <v>227.287216</v>
          </cell>
          <cell r="I169">
            <v>234.10583248</v>
          </cell>
          <cell r="J169">
            <v>1104.30024848</v>
          </cell>
        </row>
        <row r="169">
          <cell r="L169">
            <v>241.1290074544</v>
          </cell>
          <cell r="M169">
            <v>248.362877678032</v>
          </cell>
          <cell r="N169">
            <v>1593.79213361243</v>
          </cell>
        </row>
        <row r="170">
          <cell r="D170">
            <v>600</v>
          </cell>
          <cell r="E170">
            <v>600</v>
          </cell>
          <cell r="F170">
            <v>618</v>
          </cell>
          <cell r="G170">
            <v>636.54</v>
          </cell>
          <cell r="H170">
            <v>655.6362</v>
          </cell>
          <cell r="I170">
            <v>675.305286</v>
          </cell>
          <cell r="J170">
            <v>3185.481486</v>
          </cell>
        </row>
        <row r="170">
          <cell r="L170">
            <v>695.56444458</v>
          </cell>
          <cell r="M170">
            <v>716.4313779174</v>
          </cell>
          <cell r="N170">
            <v>4597.4773084974</v>
          </cell>
        </row>
        <row r="172">
          <cell r="D172">
            <v>1223</v>
          </cell>
          <cell r="E172">
            <v>1223</v>
          </cell>
          <cell r="F172">
            <v>1259.69</v>
          </cell>
          <cell r="G172">
            <v>1297.4807</v>
          </cell>
          <cell r="H172">
            <v>1336.405121</v>
          </cell>
          <cell r="I172">
            <v>1376.49727463</v>
          </cell>
          <cell r="J172">
            <v>6493.07309563</v>
          </cell>
        </row>
        <row r="172">
          <cell r="L172">
            <v>1417.7921928689</v>
          </cell>
          <cell r="M172">
            <v>1460.32595865497</v>
          </cell>
          <cell r="N172">
            <v>9371.19124715387</v>
          </cell>
        </row>
      </sheetData>
      <sheetData sheetId="3"/>
      <sheetData sheetId="4"/>
      <sheetData sheetId="5"/>
      <sheetData sheetId="6"/>
      <sheetData sheetId="7"/>
      <sheetData sheetId="8"/>
      <sheetData sheetId="9"/>
      <sheetData sheetId="10"/>
      <sheetData sheetId="11"/>
      <sheetData sheetId="12"/>
      <sheetData sheetId="13"/>
      <sheetData sheetId="14"/>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Notes"/>
      <sheetName val="Consolidated"/>
      <sheetName val="OTC"/>
      <sheetName val="AP"/>
      <sheetName val="GA"/>
      <sheetName val="Fin Rptg"/>
      <sheetName val="Fixed Assets"/>
      <sheetName val="RTP"/>
      <sheetName val="T&amp;E"/>
      <sheetName val="RevActg"/>
      <sheetName val="SOX"/>
      <sheetName val="Assumptions Employee Costs"/>
      <sheetName val="Assumptions Other Costs"/>
      <sheetName val="Depreciation"/>
    </sheetNames>
    <sheetDataSet>
      <sheetData sheetId="0"/>
      <sheetData sheetId="1">
        <row r="2">
          <cell r="D2" t="str">
            <v>BASE YEAR</v>
          </cell>
          <cell r="E2" t="str">
            <v>YEAR 1</v>
          </cell>
          <cell r="F2" t="str">
            <v>YEAR 2</v>
          </cell>
          <cell r="G2" t="str">
            <v>YEAR 3</v>
          </cell>
          <cell r="H2" t="str">
            <v>YEAR 4</v>
          </cell>
          <cell r="I2" t="str">
            <v xml:space="preserve">YEAR 5 </v>
          </cell>
          <cell r="J2" t="str">
            <v>5 Year Total</v>
          </cell>
        </row>
        <row r="2">
          <cell r="L2" t="str">
            <v>5 YEAR + 1</v>
          </cell>
          <cell r="M2" t="str">
            <v>5 YEAR + 2</v>
          </cell>
          <cell r="N2" t="str">
            <v>7 Year Total</v>
          </cell>
        </row>
        <row r="3">
          <cell r="D3">
            <v>58</v>
          </cell>
          <cell r="E3">
            <v>57.985</v>
          </cell>
          <cell r="F3">
            <v>58</v>
          </cell>
          <cell r="G3">
            <v>58</v>
          </cell>
          <cell r="H3">
            <v>58</v>
          </cell>
          <cell r="I3">
            <v>58</v>
          </cell>
        </row>
        <row r="3">
          <cell r="L3">
            <v>58</v>
          </cell>
          <cell r="M3">
            <v>58</v>
          </cell>
          <cell r="N3">
            <v>0</v>
          </cell>
        </row>
        <row r="4">
          <cell r="D4">
            <v>8</v>
          </cell>
          <cell r="E4">
            <v>7.97</v>
          </cell>
          <cell r="F4">
            <v>8</v>
          </cell>
          <cell r="G4">
            <v>8</v>
          </cell>
          <cell r="H4">
            <v>8</v>
          </cell>
          <cell r="I4">
            <v>8</v>
          </cell>
        </row>
        <row r="4">
          <cell r="L4">
            <v>8</v>
          </cell>
          <cell r="M4">
            <v>8</v>
          </cell>
          <cell r="N4">
            <v>0</v>
          </cell>
        </row>
        <row r="5">
          <cell r="D5">
            <v>66</v>
          </cell>
          <cell r="E5">
            <v>65.955</v>
          </cell>
          <cell r="F5">
            <v>66</v>
          </cell>
          <cell r="G5">
            <v>66</v>
          </cell>
          <cell r="H5">
            <v>66</v>
          </cell>
          <cell r="I5">
            <v>66</v>
          </cell>
        </row>
        <row r="5">
          <cell r="L5">
            <v>66</v>
          </cell>
          <cell r="M5">
            <v>66</v>
          </cell>
          <cell r="N5">
            <v>0</v>
          </cell>
        </row>
        <row r="7">
          <cell r="D7">
            <v>4917800</v>
          </cell>
          <cell r="E7">
            <v>4917800</v>
          </cell>
          <cell r="F7">
            <v>5065334</v>
          </cell>
          <cell r="G7">
            <v>5217294.02</v>
          </cell>
          <cell r="H7">
            <v>5373812.8406</v>
          </cell>
          <cell r="I7">
            <v>5535027.225818</v>
          </cell>
          <cell r="J7">
            <v>26109268.086418</v>
          </cell>
        </row>
        <row r="7">
          <cell r="L7">
            <v>5701078.04259254</v>
          </cell>
          <cell r="M7">
            <v>5872110.38387032</v>
          </cell>
          <cell r="N7">
            <v>37682456.5128809</v>
          </cell>
        </row>
        <row r="8">
          <cell r="D8">
            <v>0</v>
          </cell>
          <cell r="E8">
            <v>0</v>
          </cell>
          <cell r="F8">
            <v>0</v>
          </cell>
          <cell r="G8">
            <v>0</v>
          </cell>
          <cell r="H8">
            <v>0</v>
          </cell>
          <cell r="I8">
            <v>0</v>
          </cell>
          <cell r="J8">
            <v>0</v>
          </cell>
        </row>
        <row r="8">
          <cell r="L8">
            <v>0</v>
          </cell>
          <cell r="M8">
            <v>0</v>
          </cell>
          <cell r="N8">
            <v>0</v>
          </cell>
        </row>
        <row r="9">
          <cell r="D9">
            <v>475000</v>
          </cell>
          <cell r="E9">
            <v>475000</v>
          </cell>
          <cell r="F9">
            <v>489250</v>
          </cell>
          <cell r="G9">
            <v>503927.5</v>
          </cell>
          <cell r="H9">
            <v>519045.325</v>
          </cell>
          <cell r="I9">
            <v>534616.68475</v>
          </cell>
          <cell r="J9">
            <v>2521839.50975</v>
          </cell>
        </row>
        <row r="9">
          <cell r="L9">
            <v>550655.1852925</v>
          </cell>
          <cell r="M9">
            <v>567174.840851275</v>
          </cell>
          <cell r="N9">
            <v>3639669.53589378</v>
          </cell>
        </row>
        <row r="10">
          <cell r="D10">
            <v>0</v>
          </cell>
          <cell r="E10">
            <v>0</v>
          </cell>
          <cell r="F10">
            <v>0</v>
          </cell>
          <cell r="G10">
            <v>0</v>
          </cell>
          <cell r="H10">
            <v>0</v>
          </cell>
          <cell r="I10">
            <v>0</v>
          </cell>
          <cell r="J10">
            <v>0</v>
          </cell>
        </row>
        <row r="10">
          <cell r="L10">
            <v>0</v>
          </cell>
          <cell r="M10">
            <v>0</v>
          </cell>
          <cell r="N10">
            <v>0</v>
          </cell>
        </row>
        <row r="11">
          <cell r="D11">
            <v>0</v>
          </cell>
          <cell r="E11">
            <v>0</v>
          </cell>
          <cell r="F11">
            <v>0</v>
          </cell>
          <cell r="G11">
            <v>0</v>
          </cell>
          <cell r="H11">
            <v>0</v>
          </cell>
          <cell r="I11">
            <v>0</v>
          </cell>
          <cell r="J11">
            <v>0</v>
          </cell>
        </row>
        <row r="11">
          <cell r="L11">
            <v>0</v>
          </cell>
          <cell r="M11">
            <v>0</v>
          </cell>
          <cell r="N11">
            <v>0</v>
          </cell>
        </row>
        <row r="12">
          <cell r="D12">
            <v>1187420.1482715</v>
          </cell>
          <cell r="E12">
            <v>1187420.1482715</v>
          </cell>
          <cell r="F12">
            <v>1222904.00271964</v>
          </cell>
          <cell r="G12">
            <v>1259452.37280123</v>
          </cell>
          <cell r="H12">
            <v>1297097.19398527</v>
          </cell>
          <cell r="I12">
            <v>1335871.35980483</v>
          </cell>
          <cell r="J12">
            <v>6302745.07758248</v>
          </cell>
        </row>
        <row r="12">
          <cell r="L12">
            <v>1375808.75059897</v>
          </cell>
          <cell r="M12">
            <v>1416944.26311694</v>
          </cell>
          <cell r="N12">
            <v>9095498.0912984</v>
          </cell>
        </row>
        <row r="13">
          <cell r="D13">
            <v>6580220.1482715</v>
          </cell>
          <cell r="E13">
            <v>6580220.1482715</v>
          </cell>
          <cell r="F13">
            <v>6777488.00271964</v>
          </cell>
          <cell r="G13">
            <v>6980673.89280123</v>
          </cell>
          <cell r="H13">
            <v>7189955.35958527</v>
          </cell>
          <cell r="I13">
            <v>7405515.27037283</v>
          </cell>
          <cell r="J13">
            <v>34933852.6737505</v>
          </cell>
        </row>
        <row r="13">
          <cell r="L13">
            <v>7627541.97848402</v>
          </cell>
          <cell r="M13">
            <v>7856229.48783854</v>
          </cell>
          <cell r="N13">
            <v>50417624.140073</v>
          </cell>
        </row>
        <row r="14">
          <cell r="D14">
            <v>0</v>
          </cell>
          <cell r="E14">
            <v>0</v>
          </cell>
          <cell r="F14">
            <v>0</v>
          </cell>
          <cell r="G14">
            <v>0</v>
          </cell>
          <cell r="H14">
            <v>0</v>
          </cell>
          <cell r="I14">
            <v>0</v>
          </cell>
          <cell r="J14">
            <v>0</v>
          </cell>
        </row>
        <row r="14">
          <cell r="L14">
            <v>0</v>
          </cell>
          <cell r="M14">
            <v>0</v>
          </cell>
          <cell r="N14">
            <v>0</v>
          </cell>
        </row>
        <row r="15">
          <cell r="D15">
            <v>0</v>
          </cell>
          <cell r="E15">
            <v>0</v>
          </cell>
          <cell r="F15">
            <v>0</v>
          </cell>
          <cell r="G15">
            <v>0</v>
          </cell>
          <cell r="H15">
            <v>0</v>
          </cell>
          <cell r="I15">
            <v>0</v>
          </cell>
          <cell r="J15">
            <v>0</v>
          </cell>
        </row>
        <row r="15">
          <cell r="L15">
            <v>0</v>
          </cell>
          <cell r="M15">
            <v>0</v>
          </cell>
          <cell r="N15">
            <v>0</v>
          </cell>
        </row>
        <row r="16">
          <cell r="D16">
            <v>0</v>
          </cell>
          <cell r="E16">
            <v>0</v>
          </cell>
          <cell r="F16">
            <v>0</v>
          </cell>
          <cell r="G16">
            <v>0</v>
          </cell>
          <cell r="H16">
            <v>0</v>
          </cell>
          <cell r="I16">
            <v>0</v>
          </cell>
          <cell r="J16">
            <v>0</v>
          </cell>
        </row>
        <row r="16">
          <cell r="L16">
            <v>0</v>
          </cell>
          <cell r="M16">
            <v>0</v>
          </cell>
          <cell r="N16">
            <v>0</v>
          </cell>
        </row>
        <row r="17">
          <cell r="D17">
            <v>0</v>
          </cell>
          <cell r="E17">
            <v>0</v>
          </cell>
          <cell r="F17">
            <v>0</v>
          </cell>
          <cell r="G17">
            <v>0</v>
          </cell>
          <cell r="H17">
            <v>0</v>
          </cell>
          <cell r="I17">
            <v>0</v>
          </cell>
          <cell r="J17">
            <v>0</v>
          </cell>
        </row>
        <row r="17">
          <cell r="L17">
            <v>0</v>
          </cell>
          <cell r="M17">
            <v>0</v>
          </cell>
          <cell r="N17">
            <v>0</v>
          </cell>
        </row>
        <row r="18">
          <cell r="D18">
            <v>0</v>
          </cell>
          <cell r="E18">
            <v>0</v>
          </cell>
          <cell r="F18">
            <v>0</v>
          </cell>
          <cell r="G18">
            <v>0</v>
          </cell>
          <cell r="H18">
            <v>0</v>
          </cell>
          <cell r="I18">
            <v>0</v>
          </cell>
          <cell r="J18">
            <v>0</v>
          </cell>
        </row>
        <row r="18">
          <cell r="L18">
            <v>0</v>
          </cell>
          <cell r="M18">
            <v>0</v>
          </cell>
          <cell r="N18">
            <v>0</v>
          </cell>
        </row>
        <row r="19">
          <cell r="D19">
            <v>0</v>
          </cell>
          <cell r="E19">
            <v>0</v>
          </cell>
          <cell r="F19">
            <v>0</v>
          </cell>
          <cell r="G19">
            <v>0</v>
          </cell>
          <cell r="H19">
            <v>0</v>
          </cell>
          <cell r="I19">
            <v>0</v>
          </cell>
          <cell r="J19">
            <v>0</v>
          </cell>
        </row>
        <row r="19">
          <cell r="L19">
            <v>0</v>
          </cell>
          <cell r="M19">
            <v>0</v>
          </cell>
          <cell r="N19">
            <v>0</v>
          </cell>
        </row>
        <row r="20">
          <cell r="D20">
            <v>0</v>
          </cell>
          <cell r="E20">
            <v>0</v>
          </cell>
          <cell r="F20">
            <v>0</v>
          </cell>
          <cell r="G20">
            <v>0</v>
          </cell>
          <cell r="H20">
            <v>0</v>
          </cell>
          <cell r="I20">
            <v>0</v>
          </cell>
          <cell r="J20">
            <v>0</v>
          </cell>
        </row>
        <row r="20">
          <cell r="L20">
            <v>0</v>
          </cell>
          <cell r="M20">
            <v>0</v>
          </cell>
          <cell r="N20">
            <v>0</v>
          </cell>
        </row>
        <row r="21">
          <cell r="D21">
            <v>0</v>
          </cell>
          <cell r="E21">
            <v>0</v>
          </cell>
          <cell r="F21">
            <v>0</v>
          </cell>
          <cell r="G21">
            <v>0</v>
          </cell>
          <cell r="H21">
            <v>0</v>
          </cell>
          <cell r="I21">
            <v>0</v>
          </cell>
          <cell r="J21">
            <v>0</v>
          </cell>
        </row>
        <row r="21">
          <cell r="L21">
            <v>0</v>
          </cell>
          <cell r="M21">
            <v>0</v>
          </cell>
          <cell r="N21">
            <v>0</v>
          </cell>
        </row>
        <row r="22">
          <cell r="D22">
            <v>23000</v>
          </cell>
          <cell r="E22">
            <v>22977.5</v>
          </cell>
          <cell r="F22">
            <v>23690</v>
          </cell>
          <cell r="G22">
            <v>24400.7</v>
          </cell>
          <cell r="H22">
            <v>25132.721</v>
          </cell>
          <cell r="I22">
            <v>25886.70263</v>
          </cell>
          <cell r="J22">
            <v>122087.62363</v>
          </cell>
        </row>
        <row r="22">
          <cell r="L22">
            <v>26663.3037089</v>
          </cell>
          <cell r="M22">
            <v>27463.202820167</v>
          </cell>
          <cell r="N22">
            <v>176214.130159067</v>
          </cell>
        </row>
        <row r="23">
          <cell r="D23">
            <v>0</v>
          </cell>
          <cell r="E23">
            <v>0</v>
          </cell>
          <cell r="F23">
            <v>0</v>
          </cell>
          <cell r="G23">
            <v>0</v>
          </cell>
          <cell r="H23">
            <v>0</v>
          </cell>
          <cell r="I23">
            <v>0</v>
          </cell>
          <cell r="J23">
            <v>0</v>
          </cell>
        </row>
        <row r="23">
          <cell r="L23">
            <v>0</v>
          </cell>
          <cell r="M23">
            <v>0</v>
          </cell>
          <cell r="N23">
            <v>0</v>
          </cell>
        </row>
        <row r="24">
          <cell r="D24">
            <v>0</v>
          </cell>
          <cell r="E24">
            <v>0</v>
          </cell>
          <cell r="F24">
            <v>0</v>
          </cell>
          <cell r="G24">
            <v>0</v>
          </cell>
          <cell r="H24">
            <v>0</v>
          </cell>
          <cell r="I24">
            <v>0</v>
          </cell>
          <cell r="J24">
            <v>0</v>
          </cell>
        </row>
        <row r="24">
          <cell r="L24">
            <v>0</v>
          </cell>
          <cell r="M24">
            <v>0</v>
          </cell>
          <cell r="N24">
            <v>0</v>
          </cell>
        </row>
        <row r="25">
          <cell r="D25">
            <v>0</v>
          </cell>
          <cell r="E25">
            <v>0</v>
          </cell>
          <cell r="F25">
            <v>0</v>
          </cell>
          <cell r="G25">
            <v>0</v>
          </cell>
          <cell r="H25">
            <v>0</v>
          </cell>
          <cell r="I25">
            <v>0</v>
          </cell>
          <cell r="J25">
            <v>0</v>
          </cell>
        </row>
        <row r="25">
          <cell r="L25">
            <v>0</v>
          </cell>
          <cell r="M25">
            <v>0</v>
          </cell>
          <cell r="N25">
            <v>0</v>
          </cell>
        </row>
        <row r="26">
          <cell r="D26">
            <v>0</v>
          </cell>
          <cell r="E26">
            <v>0</v>
          </cell>
          <cell r="F26">
            <v>0</v>
          </cell>
          <cell r="G26">
            <v>0</v>
          </cell>
          <cell r="H26">
            <v>0</v>
          </cell>
          <cell r="I26">
            <v>0</v>
          </cell>
          <cell r="J26">
            <v>0</v>
          </cell>
        </row>
        <row r="26">
          <cell r="L26">
            <v>0</v>
          </cell>
          <cell r="M26">
            <v>0</v>
          </cell>
          <cell r="N26">
            <v>0</v>
          </cell>
        </row>
        <row r="27">
          <cell r="D27">
            <v>0</v>
          </cell>
          <cell r="E27">
            <v>0</v>
          </cell>
          <cell r="F27">
            <v>0</v>
          </cell>
          <cell r="G27">
            <v>0</v>
          </cell>
          <cell r="H27">
            <v>0</v>
          </cell>
          <cell r="I27">
            <v>0</v>
          </cell>
          <cell r="J27">
            <v>0</v>
          </cell>
        </row>
        <row r="27">
          <cell r="L27">
            <v>0</v>
          </cell>
          <cell r="M27">
            <v>0</v>
          </cell>
          <cell r="N27">
            <v>0</v>
          </cell>
        </row>
        <row r="28">
          <cell r="D28">
            <v>0</v>
          </cell>
          <cell r="E28">
            <v>0</v>
          </cell>
          <cell r="F28">
            <v>0</v>
          </cell>
          <cell r="G28">
            <v>0</v>
          </cell>
          <cell r="H28">
            <v>0</v>
          </cell>
          <cell r="I28">
            <v>0</v>
          </cell>
          <cell r="J28">
            <v>0</v>
          </cell>
        </row>
        <row r="28">
          <cell r="L28">
            <v>0</v>
          </cell>
          <cell r="M28">
            <v>0</v>
          </cell>
          <cell r="N28">
            <v>0</v>
          </cell>
        </row>
        <row r="29">
          <cell r="D29">
            <v>0</v>
          </cell>
          <cell r="E29">
            <v>0</v>
          </cell>
          <cell r="F29">
            <v>0</v>
          </cell>
          <cell r="G29">
            <v>0</v>
          </cell>
          <cell r="H29">
            <v>0</v>
          </cell>
          <cell r="I29">
            <v>0</v>
          </cell>
          <cell r="J29">
            <v>0</v>
          </cell>
        </row>
        <row r="29">
          <cell r="L29">
            <v>0</v>
          </cell>
          <cell r="M29">
            <v>0</v>
          </cell>
          <cell r="N29">
            <v>0</v>
          </cell>
        </row>
        <row r="30">
          <cell r="D30">
            <v>0</v>
          </cell>
          <cell r="E30">
            <v>0</v>
          </cell>
          <cell r="F30">
            <v>0</v>
          </cell>
          <cell r="G30">
            <v>0</v>
          </cell>
          <cell r="H30">
            <v>0</v>
          </cell>
          <cell r="I30">
            <v>0</v>
          </cell>
          <cell r="J30">
            <v>0</v>
          </cell>
        </row>
        <row r="30">
          <cell r="L30">
            <v>0</v>
          </cell>
          <cell r="M30">
            <v>0</v>
          </cell>
          <cell r="N30">
            <v>0</v>
          </cell>
        </row>
        <row r="31">
          <cell r="D31">
            <v>87400</v>
          </cell>
          <cell r="E31">
            <v>87314.5</v>
          </cell>
          <cell r="F31">
            <v>90022</v>
          </cell>
          <cell r="G31">
            <v>92722.66</v>
          </cell>
          <cell r="H31">
            <v>95504.3398</v>
          </cell>
          <cell r="I31">
            <v>98369.469994</v>
          </cell>
          <cell r="J31">
            <v>463932.969794</v>
          </cell>
        </row>
        <row r="31">
          <cell r="L31">
            <v>101320.55409382</v>
          </cell>
          <cell r="M31">
            <v>104360.170716635</v>
          </cell>
          <cell r="N31">
            <v>669613.694604455</v>
          </cell>
        </row>
        <row r="32">
          <cell r="D32">
            <v>6690620.1482715</v>
          </cell>
          <cell r="E32">
            <v>6690512.1482715</v>
          </cell>
          <cell r="F32">
            <v>6891200.00271964</v>
          </cell>
          <cell r="G32">
            <v>7097797.25280123</v>
          </cell>
          <cell r="H32">
            <v>7310592.42038527</v>
          </cell>
          <cell r="I32">
            <v>7529771.44299683</v>
          </cell>
          <cell r="J32">
            <v>35519873.2671745</v>
          </cell>
        </row>
        <row r="32">
          <cell r="L32">
            <v>7755525.83628673</v>
          </cell>
          <cell r="M32">
            <v>7988052.86137534</v>
          </cell>
          <cell r="N32">
            <v>51263451.9648366</v>
          </cell>
        </row>
        <row r="33">
          <cell r="D33">
            <v>0</v>
          </cell>
          <cell r="E33">
            <v>0</v>
          </cell>
          <cell r="F33">
            <v>0</v>
          </cell>
          <cell r="G33">
            <v>0</v>
          </cell>
          <cell r="H33">
            <v>0</v>
          </cell>
          <cell r="I33">
            <v>0</v>
          </cell>
          <cell r="J33">
            <v>0</v>
          </cell>
        </row>
        <row r="33">
          <cell r="L33">
            <v>0</v>
          </cell>
          <cell r="M33">
            <v>0</v>
          </cell>
          <cell r="N33">
            <v>0</v>
          </cell>
        </row>
        <row r="34">
          <cell r="D34">
            <v>6690620.1482715</v>
          </cell>
          <cell r="E34">
            <v>6690512.1482715</v>
          </cell>
          <cell r="F34">
            <v>6891200.00271964</v>
          </cell>
          <cell r="G34">
            <v>7097797.25280123</v>
          </cell>
          <cell r="H34">
            <v>7310592.42038527</v>
          </cell>
          <cell r="I34">
            <v>7529771.44299683</v>
          </cell>
          <cell r="J34">
            <v>35519873.2671745</v>
          </cell>
        </row>
        <row r="34">
          <cell r="L34">
            <v>7755525.83628673</v>
          </cell>
          <cell r="M34">
            <v>7988052.86137534</v>
          </cell>
          <cell r="N34">
            <v>51263451.9648366</v>
          </cell>
        </row>
        <row r="36">
          <cell r="D36">
            <v>0</v>
          </cell>
          <cell r="E36">
            <v>0</v>
          </cell>
          <cell r="F36">
            <v>0</v>
          </cell>
          <cell r="G36">
            <v>0</v>
          </cell>
          <cell r="H36">
            <v>0</v>
          </cell>
          <cell r="I36">
            <v>0</v>
          </cell>
          <cell r="J36">
            <v>0</v>
          </cell>
        </row>
        <row r="36">
          <cell r="L36">
            <v>0</v>
          </cell>
          <cell r="M36">
            <v>0</v>
          </cell>
          <cell r="N36">
            <v>0</v>
          </cell>
        </row>
        <row r="37">
          <cell r="D37">
            <v>0</v>
          </cell>
          <cell r="E37">
            <v>0</v>
          </cell>
          <cell r="F37">
            <v>0</v>
          </cell>
          <cell r="G37">
            <v>0</v>
          </cell>
          <cell r="H37">
            <v>0</v>
          </cell>
          <cell r="I37">
            <v>0</v>
          </cell>
          <cell r="J37">
            <v>0</v>
          </cell>
        </row>
        <row r="37">
          <cell r="L37">
            <v>0</v>
          </cell>
          <cell r="M37">
            <v>0</v>
          </cell>
          <cell r="N37">
            <v>0</v>
          </cell>
        </row>
        <row r="38">
          <cell r="D38">
            <v>0</v>
          </cell>
          <cell r="E38">
            <v>0</v>
          </cell>
          <cell r="F38">
            <v>0</v>
          </cell>
          <cell r="G38">
            <v>0</v>
          </cell>
          <cell r="H38">
            <v>0</v>
          </cell>
          <cell r="I38">
            <v>0</v>
          </cell>
          <cell r="J38">
            <v>0</v>
          </cell>
        </row>
        <row r="38">
          <cell r="L38">
            <v>0</v>
          </cell>
          <cell r="M38">
            <v>0</v>
          </cell>
          <cell r="N38">
            <v>0</v>
          </cell>
        </row>
        <row r="39">
          <cell r="D39">
            <v>0</v>
          </cell>
          <cell r="E39">
            <v>0</v>
          </cell>
          <cell r="F39">
            <v>0</v>
          </cell>
          <cell r="G39">
            <v>0</v>
          </cell>
          <cell r="H39">
            <v>0</v>
          </cell>
          <cell r="I39">
            <v>0</v>
          </cell>
          <cell r="J39">
            <v>0</v>
          </cell>
        </row>
        <row r="39">
          <cell r="L39">
            <v>0</v>
          </cell>
          <cell r="M39">
            <v>0</v>
          </cell>
          <cell r="N39">
            <v>0</v>
          </cell>
        </row>
        <row r="40">
          <cell r="D40">
            <v>0</v>
          </cell>
          <cell r="E40">
            <v>0</v>
          </cell>
          <cell r="F40">
            <v>0</v>
          </cell>
          <cell r="G40">
            <v>0</v>
          </cell>
          <cell r="H40">
            <v>0</v>
          </cell>
          <cell r="I40">
            <v>0</v>
          </cell>
          <cell r="J40">
            <v>0</v>
          </cell>
        </row>
        <row r="40">
          <cell r="L40">
            <v>0</v>
          </cell>
          <cell r="M40">
            <v>0</v>
          </cell>
          <cell r="N40">
            <v>0</v>
          </cell>
        </row>
        <row r="42">
          <cell r="D42">
            <v>6690620.1482715</v>
          </cell>
          <cell r="E42">
            <v>6690512.1482715</v>
          </cell>
          <cell r="F42">
            <v>6891200.00271964</v>
          </cell>
          <cell r="G42">
            <v>7097797.25280123</v>
          </cell>
          <cell r="H42">
            <v>7310592.42038527</v>
          </cell>
          <cell r="I42">
            <v>7529771.44299683</v>
          </cell>
          <cell r="J42">
            <v>35519873.2671745</v>
          </cell>
        </row>
        <row r="42">
          <cell r="L42">
            <v>7755525.83628673</v>
          </cell>
          <cell r="M42">
            <v>7988052.86137534</v>
          </cell>
          <cell r="N42">
            <v>51263451.9648366</v>
          </cell>
        </row>
        <row r="45">
          <cell r="D45" t="str">
            <v>BASE YEAR</v>
          </cell>
          <cell r="E45" t="str">
            <v>YEAR 1</v>
          </cell>
          <cell r="F45" t="str">
            <v>YEAR 2</v>
          </cell>
          <cell r="G45" t="str">
            <v>YEAR 3</v>
          </cell>
          <cell r="H45" t="str">
            <v>YEAR 4</v>
          </cell>
          <cell r="I45" t="str">
            <v xml:space="preserve">YEAR 5 </v>
          </cell>
          <cell r="J45" t="str">
            <v>5 Year Total</v>
          </cell>
        </row>
        <row r="45">
          <cell r="L45" t="str">
            <v>5 YEAR + 1</v>
          </cell>
          <cell r="M45" t="str">
            <v>5 YEAR +2</v>
          </cell>
          <cell r="N45" t="str">
            <v>7 Year Total</v>
          </cell>
        </row>
        <row r="46">
          <cell r="D46">
            <v>17.5</v>
          </cell>
          <cell r="E46">
            <v>17.485</v>
          </cell>
          <cell r="F46">
            <v>17.5</v>
          </cell>
          <cell r="G46">
            <v>17.5</v>
          </cell>
          <cell r="H46">
            <v>17.5</v>
          </cell>
          <cell r="I46">
            <v>17.5</v>
          </cell>
        </row>
        <row r="46">
          <cell r="L46">
            <v>17.5</v>
          </cell>
          <cell r="M46">
            <v>17.5</v>
          </cell>
        </row>
        <row r="47">
          <cell r="D47">
            <v>7</v>
          </cell>
          <cell r="E47">
            <v>6.97</v>
          </cell>
          <cell r="F47">
            <v>7</v>
          </cell>
          <cell r="G47">
            <v>7</v>
          </cell>
          <cell r="H47">
            <v>7</v>
          </cell>
          <cell r="I47">
            <v>7</v>
          </cell>
        </row>
        <row r="47">
          <cell r="L47">
            <v>7</v>
          </cell>
          <cell r="M47">
            <v>7</v>
          </cell>
        </row>
        <row r="48">
          <cell r="D48">
            <v>24.5</v>
          </cell>
          <cell r="E48">
            <v>24.455</v>
          </cell>
          <cell r="F48">
            <v>24.5</v>
          </cell>
          <cell r="G48">
            <v>24.5</v>
          </cell>
          <cell r="H48">
            <v>24.5</v>
          </cell>
          <cell r="I48">
            <v>24.5</v>
          </cell>
        </row>
        <row r="48">
          <cell r="L48">
            <v>24.5</v>
          </cell>
          <cell r="M48">
            <v>24.5</v>
          </cell>
        </row>
        <row r="50">
          <cell r="D50">
            <v>0</v>
          </cell>
          <cell r="E50">
            <v>0</v>
          </cell>
          <cell r="F50">
            <v>0</v>
          </cell>
          <cell r="G50">
            <v>0</v>
          </cell>
          <cell r="H50">
            <v>0</v>
          </cell>
          <cell r="I50">
            <v>0</v>
          </cell>
          <cell r="J50">
            <v>0</v>
          </cell>
        </row>
        <row r="50">
          <cell r="L50">
            <v>0</v>
          </cell>
          <cell r="M50">
            <v>0</v>
          </cell>
          <cell r="N50">
            <v>0</v>
          </cell>
        </row>
        <row r="51">
          <cell r="D51">
            <v>0</v>
          </cell>
          <cell r="E51">
            <v>0</v>
          </cell>
          <cell r="F51">
            <v>0</v>
          </cell>
          <cell r="G51">
            <v>0</v>
          </cell>
          <cell r="H51">
            <v>0</v>
          </cell>
          <cell r="I51">
            <v>0</v>
          </cell>
          <cell r="J51">
            <v>0</v>
          </cell>
        </row>
        <row r="51">
          <cell r="L51">
            <v>0</v>
          </cell>
          <cell r="M51">
            <v>0</v>
          </cell>
          <cell r="N51">
            <v>0</v>
          </cell>
        </row>
        <row r="52">
          <cell r="D52">
            <v>475000</v>
          </cell>
          <cell r="E52">
            <v>475000</v>
          </cell>
          <cell r="F52">
            <v>489250</v>
          </cell>
          <cell r="G52">
            <v>503927.5</v>
          </cell>
          <cell r="H52">
            <v>519045.325</v>
          </cell>
          <cell r="I52">
            <v>534616.68475</v>
          </cell>
          <cell r="J52">
            <v>2521839.50975</v>
          </cell>
        </row>
        <row r="52">
          <cell r="L52">
            <v>550655.1852925</v>
          </cell>
          <cell r="M52">
            <v>567174.840851275</v>
          </cell>
          <cell r="N52">
            <v>3639669.53589378</v>
          </cell>
        </row>
        <row r="53">
          <cell r="D53">
            <v>0</v>
          </cell>
          <cell r="E53">
            <v>0</v>
          </cell>
          <cell r="F53">
            <v>0</v>
          </cell>
          <cell r="G53">
            <v>0</v>
          </cell>
          <cell r="H53">
            <v>0</v>
          </cell>
          <cell r="I53">
            <v>0</v>
          </cell>
          <cell r="J53">
            <v>0</v>
          </cell>
        </row>
        <row r="53">
          <cell r="L53">
            <v>0</v>
          </cell>
          <cell r="M53">
            <v>0</v>
          </cell>
          <cell r="N53">
            <v>0</v>
          </cell>
        </row>
        <row r="54">
          <cell r="D54">
            <v>0</v>
          </cell>
          <cell r="E54">
            <v>0</v>
          </cell>
          <cell r="F54">
            <v>0</v>
          </cell>
          <cell r="G54">
            <v>0</v>
          </cell>
          <cell r="H54">
            <v>0</v>
          </cell>
          <cell r="I54">
            <v>0</v>
          </cell>
          <cell r="J54">
            <v>0</v>
          </cell>
        </row>
        <row r="54">
          <cell r="L54">
            <v>0</v>
          </cell>
          <cell r="M54">
            <v>0</v>
          </cell>
          <cell r="N54">
            <v>0</v>
          </cell>
        </row>
        <row r="55">
          <cell r="D55">
            <v>1187420.1482715</v>
          </cell>
          <cell r="E55">
            <v>1187420.1482715</v>
          </cell>
          <cell r="F55">
            <v>1222904.00271964</v>
          </cell>
          <cell r="G55">
            <v>1259452.37280123</v>
          </cell>
          <cell r="H55">
            <v>1297097.19398527</v>
          </cell>
          <cell r="I55">
            <v>1335871.35980483</v>
          </cell>
          <cell r="J55">
            <v>6302745.07758248</v>
          </cell>
        </row>
        <row r="55">
          <cell r="L55">
            <v>1375808.75059897</v>
          </cell>
          <cell r="M55">
            <v>1416944.26311694</v>
          </cell>
          <cell r="N55">
            <v>9095498.0912984</v>
          </cell>
        </row>
        <row r="56">
          <cell r="D56">
            <v>1662420.1482715</v>
          </cell>
          <cell r="E56">
            <v>1662420.1482715</v>
          </cell>
          <cell r="F56">
            <v>1712154.00271964</v>
          </cell>
          <cell r="G56">
            <v>1763379.87280123</v>
          </cell>
          <cell r="H56">
            <v>1816142.51898527</v>
          </cell>
          <cell r="I56">
            <v>1870488.04455483</v>
          </cell>
          <cell r="J56">
            <v>8824584.58733248</v>
          </cell>
        </row>
        <row r="56">
          <cell r="L56">
            <v>1926463.93589147</v>
          </cell>
          <cell r="M56">
            <v>1984119.10396822</v>
          </cell>
          <cell r="N56">
            <v>12735167.6271922</v>
          </cell>
        </row>
        <row r="57">
          <cell r="D57">
            <v>0</v>
          </cell>
          <cell r="E57">
            <v>0</v>
          </cell>
          <cell r="F57">
            <v>0</v>
          </cell>
          <cell r="G57">
            <v>0</v>
          </cell>
          <cell r="H57">
            <v>0</v>
          </cell>
          <cell r="I57">
            <v>0</v>
          </cell>
          <cell r="J57">
            <v>0</v>
          </cell>
        </row>
        <row r="57">
          <cell r="L57">
            <v>0</v>
          </cell>
          <cell r="M57">
            <v>0</v>
          </cell>
          <cell r="N57">
            <v>0</v>
          </cell>
        </row>
        <row r="58">
          <cell r="D58">
            <v>0</v>
          </cell>
          <cell r="E58">
            <v>0</v>
          </cell>
          <cell r="F58">
            <v>0</v>
          </cell>
          <cell r="G58">
            <v>0</v>
          </cell>
          <cell r="H58">
            <v>0</v>
          </cell>
          <cell r="I58">
            <v>0</v>
          </cell>
          <cell r="J58">
            <v>0</v>
          </cell>
        </row>
        <row r="58">
          <cell r="L58">
            <v>0</v>
          </cell>
          <cell r="M58">
            <v>0</v>
          </cell>
          <cell r="N58">
            <v>0</v>
          </cell>
        </row>
        <row r="59">
          <cell r="D59">
            <v>0</v>
          </cell>
          <cell r="E59">
            <v>0</v>
          </cell>
          <cell r="F59">
            <v>0</v>
          </cell>
          <cell r="G59">
            <v>0</v>
          </cell>
          <cell r="H59">
            <v>0</v>
          </cell>
          <cell r="I59">
            <v>0</v>
          </cell>
          <cell r="J59">
            <v>0</v>
          </cell>
        </row>
        <row r="59">
          <cell r="L59">
            <v>0</v>
          </cell>
          <cell r="M59">
            <v>0</v>
          </cell>
          <cell r="N59">
            <v>0</v>
          </cell>
        </row>
        <row r="60">
          <cell r="D60">
            <v>0</v>
          </cell>
          <cell r="E60">
            <v>0</v>
          </cell>
          <cell r="F60">
            <v>0</v>
          </cell>
          <cell r="G60">
            <v>0</v>
          </cell>
          <cell r="H60">
            <v>0</v>
          </cell>
          <cell r="I60">
            <v>0</v>
          </cell>
          <cell r="J60">
            <v>0</v>
          </cell>
        </row>
        <row r="60">
          <cell r="L60">
            <v>0</v>
          </cell>
          <cell r="M60">
            <v>0</v>
          </cell>
          <cell r="N60">
            <v>0</v>
          </cell>
        </row>
        <row r="61">
          <cell r="D61">
            <v>0</v>
          </cell>
          <cell r="E61">
            <v>0</v>
          </cell>
          <cell r="F61">
            <v>0</v>
          </cell>
          <cell r="G61">
            <v>0</v>
          </cell>
          <cell r="H61">
            <v>0</v>
          </cell>
          <cell r="I61">
            <v>0</v>
          </cell>
          <cell r="J61">
            <v>0</v>
          </cell>
        </row>
        <row r="61">
          <cell r="L61">
            <v>0</v>
          </cell>
          <cell r="M61">
            <v>0</v>
          </cell>
          <cell r="N61">
            <v>0</v>
          </cell>
        </row>
        <row r="62">
          <cell r="D62">
            <v>0</v>
          </cell>
          <cell r="E62">
            <v>0</v>
          </cell>
          <cell r="F62">
            <v>0</v>
          </cell>
          <cell r="G62">
            <v>0</v>
          </cell>
          <cell r="H62">
            <v>0</v>
          </cell>
          <cell r="I62">
            <v>0</v>
          </cell>
          <cell r="J62">
            <v>0</v>
          </cell>
        </row>
        <row r="62">
          <cell r="L62">
            <v>0</v>
          </cell>
          <cell r="M62">
            <v>0</v>
          </cell>
          <cell r="N62">
            <v>0</v>
          </cell>
        </row>
        <row r="63">
          <cell r="D63">
            <v>0</v>
          </cell>
          <cell r="E63">
            <v>0</v>
          </cell>
          <cell r="F63">
            <v>0</v>
          </cell>
          <cell r="G63">
            <v>0</v>
          </cell>
          <cell r="H63">
            <v>0</v>
          </cell>
          <cell r="I63">
            <v>0</v>
          </cell>
          <cell r="J63">
            <v>0</v>
          </cell>
        </row>
        <row r="63">
          <cell r="L63">
            <v>0</v>
          </cell>
          <cell r="M63">
            <v>0</v>
          </cell>
          <cell r="N63">
            <v>0</v>
          </cell>
        </row>
        <row r="65">
          <cell r="D65">
            <v>2750</v>
          </cell>
          <cell r="E65">
            <v>2727.5</v>
          </cell>
          <cell r="F65">
            <v>2832.5</v>
          </cell>
          <cell r="G65">
            <v>2917.475</v>
          </cell>
          <cell r="H65">
            <v>3004.99925</v>
          </cell>
          <cell r="I65">
            <v>3095.1492275</v>
          </cell>
          <cell r="J65">
            <v>14577.6234775</v>
          </cell>
        </row>
        <row r="65">
          <cell r="L65">
            <v>3188.003704325</v>
          </cell>
          <cell r="M65">
            <v>3283.64381545475</v>
          </cell>
          <cell r="N65">
            <v>21049.2709972798</v>
          </cell>
        </row>
        <row r="66">
          <cell r="D66">
            <v>0</v>
          </cell>
          <cell r="E66">
            <v>0</v>
          </cell>
          <cell r="F66">
            <v>0</v>
          </cell>
          <cell r="G66">
            <v>0</v>
          </cell>
          <cell r="H66">
            <v>0</v>
          </cell>
          <cell r="I66">
            <v>0</v>
          </cell>
          <cell r="J66">
            <v>0</v>
          </cell>
        </row>
        <row r="66">
          <cell r="L66">
            <v>0</v>
          </cell>
          <cell r="M66">
            <v>0</v>
          </cell>
          <cell r="N66">
            <v>0</v>
          </cell>
        </row>
        <row r="67">
          <cell r="D67">
            <v>0</v>
          </cell>
          <cell r="E67">
            <v>0</v>
          </cell>
          <cell r="F67">
            <v>0</v>
          </cell>
          <cell r="G67">
            <v>0</v>
          </cell>
          <cell r="H67">
            <v>0</v>
          </cell>
          <cell r="I67">
            <v>0</v>
          </cell>
          <cell r="J67">
            <v>0</v>
          </cell>
        </row>
        <row r="67">
          <cell r="L67">
            <v>0</v>
          </cell>
          <cell r="M67">
            <v>0</v>
          </cell>
          <cell r="N67">
            <v>0</v>
          </cell>
        </row>
        <row r="68">
          <cell r="D68">
            <v>0</v>
          </cell>
          <cell r="E68">
            <v>0</v>
          </cell>
          <cell r="F68">
            <v>0</v>
          </cell>
          <cell r="G68">
            <v>0</v>
          </cell>
          <cell r="H68">
            <v>0</v>
          </cell>
          <cell r="I68">
            <v>0</v>
          </cell>
          <cell r="J68">
            <v>0</v>
          </cell>
        </row>
        <row r="68">
          <cell r="L68">
            <v>0</v>
          </cell>
          <cell r="M68">
            <v>0</v>
          </cell>
          <cell r="N68">
            <v>0</v>
          </cell>
        </row>
        <row r="69">
          <cell r="D69">
            <v>0</v>
          </cell>
          <cell r="E69">
            <v>0</v>
          </cell>
          <cell r="F69">
            <v>0</v>
          </cell>
          <cell r="G69">
            <v>0</v>
          </cell>
          <cell r="H69">
            <v>0</v>
          </cell>
          <cell r="I69">
            <v>0</v>
          </cell>
          <cell r="J69">
            <v>0</v>
          </cell>
        </row>
        <row r="69">
          <cell r="L69">
            <v>0</v>
          </cell>
          <cell r="M69">
            <v>0</v>
          </cell>
          <cell r="N69">
            <v>0</v>
          </cell>
        </row>
        <row r="70">
          <cell r="D70">
            <v>0</v>
          </cell>
          <cell r="E70">
            <v>0</v>
          </cell>
          <cell r="F70">
            <v>0</v>
          </cell>
          <cell r="G70">
            <v>0</v>
          </cell>
          <cell r="H70">
            <v>0</v>
          </cell>
          <cell r="I70">
            <v>0</v>
          </cell>
          <cell r="J70">
            <v>0</v>
          </cell>
        </row>
        <row r="70">
          <cell r="L70">
            <v>0</v>
          </cell>
          <cell r="M70">
            <v>0</v>
          </cell>
          <cell r="N70">
            <v>0</v>
          </cell>
        </row>
        <row r="71">
          <cell r="D71">
            <v>0</v>
          </cell>
          <cell r="E71">
            <v>0</v>
          </cell>
          <cell r="F71">
            <v>0</v>
          </cell>
          <cell r="G71">
            <v>0</v>
          </cell>
          <cell r="H71">
            <v>0</v>
          </cell>
          <cell r="I71">
            <v>0</v>
          </cell>
          <cell r="J71">
            <v>0</v>
          </cell>
        </row>
        <row r="71">
          <cell r="L71">
            <v>0</v>
          </cell>
          <cell r="M71">
            <v>0</v>
          </cell>
          <cell r="N71">
            <v>0</v>
          </cell>
        </row>
        <row r="72">
          <cell r="D72">
            <v>0</v>
          </cell>
          <cell r="E72">
            <v>0</v>
          </cell>
          <cell r="F72">
            <v>0</v>
          </cell>
          <cell r="G72">
            <v>0</v>
          </cell>
          <cell r="H72">
            <v>0</v>
          </cell>
          <cell r="I72">
            <v>0</v>
          </cell>
          <cell r="J72">
            <v>0</v>
          </cell>
        </row>
        <row r="72">
          <cell r="L72">
            <v>0</v>
          </cell>
          <cell r="M72">
            <v>0</v>
          </cell>
          <cell r="N72">
            <v>0</v>
          </cell>
        </row>
        <row r="74">
          <cell r="D74">
            <v>10450</v>
          </cell>
          <cell r="E74">
            <v>10364.5</v>
          </cell>
          <cell r="F74">
            <v>10763.5</v>
          </cell>
          <cell r="G74">
            <v>11086.405</v>
          </cell>
          <cell r="H74">
            <v>11418.99715</v>
          </cell>
          <cell r="I74">
            <v>11761.5670645</v>
          </cell>
          <cell r="J74">
            <v>55394.9692145</v>
          </cell>
        </row>
        <row r="74">
          <cell r="L74">
            <v>12114.414076435</v>
          </cell>
          <cell r="M74">
            <v>12477.8464987281</v>
          </cell>
          <cell r="N74">
            <v>79987.2297896631</v>
          </cell>
        </row>
        <row r="75">
          <cell r="D75">
            <v>1675620.1482715</v>
          </cell>
          <cell r="E75">
            <v>1675512.1482715</v>
          </cell>
          <cell r="F75">
            <v>1725750.00271964</v>
          </cell>
          <cell r="G75">
            <v>1777383.75280123</v>
          </cell>
          <cell r="H75">
            <v>1830566.51538527</v>
          </cell>
          <cell r="I75">
            <v>1885344.76084683</v>
          </cell>
          <cell r="J75">
            <v>8894557.18002448</v>
          </cell>
        </row>
        <row r="75">
          <cell r="L75">
            <v>1941766.35367223</v>
          </cell>
          <cell r="M75">
            <v>1999880.5942824</v>
          </cell>
          <cell r="N75">
            <v>12836204.1279791</v>
          </cell>
        </row>
        <row r="76">
          <cell r="E76">
            <v>0</v>
          </cell>
          <cell r="F76">
            <v>0</v>
          </cell>
          <cell r="G76">
            <v>0</v>
          </cell>
          <cell r="H76">
            <v>0</v>
          </cell>
          <cell r="I76">
            <v>0</v>
          </cell>
          <cell r="J76">
            <v>0</v>
          </cell>
        </row>
        <row r="76">
          <cell r="L76">
            <v>0</v>
          </cell>
          <cell r="M76">
            <v>0</v>
          </cell>
          <cell r="N76">
            <v>0</v>
          </cell>
        </row>
        <row r="77">
          <cell r="D77">
            <v>1675620.1482715</v>
          </cell>
          <cell r="E77">
            <v>1675512.1482715</v>
          </cell>
          <cell r="F77">
            <v>1725750.00271964</v>
          </cell>
          <cell r="G77">
            <v>1777383.75280123</v>
          </cell>
          <cell r="H77">
            <v>1830566.51538527</v>
          </cell>
          <cell r="I77">
            <v>1885344.76084683</v>
          </cell>
          <cell r="J77">
            <v>8894557.18002448</v>
          </cell>
        </row>
        <row r="77">
          <cell r="L77">
            <v>1941766.35367223</v>
          </cell>
          <cell r="M77">
            <v>1999880.5942824</v>
          </cell>
          <cell r="N77">
            <v>12836204.1279791</v>
          </cell>
        </row>
        <row r="79">
          <cell r="E79">
            <v>0</v>
          </cell>
          <cell r="F79">
            <v>0</v>
          </cell>
          <cell r="G79">
            <v>0</v>
          </cell>
          <cell r="H79">
            <v>0</v>
          </cell>
          <cell r="I79">
            <v>0</v>
          </cell>
          <cell r="J79">
            <v>0</v>
          </cell>
        </row>
        <row r="79">
          <cell r="L79">
            <v>0</v>
          </cell>
          <cell r="M79">
            <v>0</v>
          </cell>
          <cell r="N79">
            <v>0</v>
          </cell>
        </row>
        <row r="80">
          <cell r="E80">
            <v>0</v>
          </cell>
          <cell r="F80">
            <v>0</v>
          </cell>
          <cell r="G80">
            <v>0</v>
          </cell>
          <cell r="H80">
            <v>0</v>
          </cell>
          <cell r="I80">
            <v>0</v>
          </cell>
          <cell r="J80">
            <v>0</v>
          </cell>
        </row>
        <row r="80">
          <cell r="L80">
            <v>0</v>
          </cell>
          <cell r="M80">
            <v>0</v>
          </cell>
          <cell r="N80">
            <v>0</v>
          </cell>
        </row>
        <row r="81">
          <cell r="E81">
            <v>0</v>
          </cell>
          <cell r="F81">
            <v>0</v>
          </cell>
          <cell r="G81">
            <v>0</v>
          </cell>
          <cell r="H81">
            <v>0</v>
          </cell>
          <cell r="I81">
            <v>0</v>
          </cell>
          <cell r="J81">
            <v>0</v>
          </cell>
        </row>
        <row r="81">
          <cell r="L81">
            <v>0</v>
          </cell>
          <cell r="M81">
            <v>0</v>
          </cell>
          <cell r="N81">
            <v>0</v>
          </cell>
        </row>
        <row r="82">
          <cell r="E82">
            <v>0</v>
          </cell>
          <cell r="F82">
            <v>0</v>
          </cell>
          <cell r="G82">
            <v>0</v>
          </cell>
          <cell r="H82">
            <v>0</v>
          </cell>
          <cell r="I82">
            <v>0</v>
          </cell>
          <cell r="J82">
            <v>0</v>
          </cell>
        </row>
        <row r="82">
          <cell r="L82">
            <v>0</v>
          </cell>
          <cell r="M82">
            <v>0</v>
          </cell>
          <cell r="N82">
            <v>0</v>
          </cell>
        </row>
        <row r="83">
          <cell r="E83">
            <v>0</v>
          </cell>
          <cell r="F83">
            <v>0</v>
          </cell>
          <cell r="G83">
            <v>0</v>
          </cell>
          <cell r="H83">
            <v>0</v>
          </cell>
          <cell r="I83">
            <v>0</v>
          </cell>
          <cell r="J83">
            <v>0</v>
          </cell>
        </row>
        <row r="83">
          <cell r="L83">
            <v>0</v>
          </cell>
          <cell r="M83">
            <v>0</v>
          </cell>
          <cell r="N83">
            <v>0</v>
          </cell>
        </row>
        <row r="85">
          <cell r="D85">
            <v>1675620.1482715</v>
          </cell>
          <cell r="E85">
            <v>1675512.1482715</v>
          </cell>
          <cell r="F85">
            <v>1725750.00271964</v>
          </cell>
          <cell r="G85">
            <v>1777383.75280123</v>
          </cell>
          <cell r="H85">
            <v>1830566.51538527</v>
          </cell>
          <cell r="I85">
            <v>1885344.76084683</v>
          </cell>
          <cell r="J85">
            <v>8894557.18002448</v>
          </cell>
        </row>
        <row r="85">
          <cell r="L85">
            <v>1941766.35367223</v>
          </cell>
          <cell r="M85">
            <v>1999880.5942824</v>
          </cell>
          <cell r="N85">
            <v>12836204.1279791</v>
          </cell>
        </row>
        <row r="89">
          <cell r="D89" t="str">
            <v>BASE YEAR</v>
          </cell>
          <cell r="E89" t="str">
            <v>YEAR 1</v>
          </cell>
          <cell r="F89" t="str">
            <v>YEAR 2</v>
          </cell>
          <cell r="G89" t="str">
            <v>YEAR 3</v>
          </cell>
          <cell r="H89" t="str">
            <v>YEAR 4</v>
          </cell>
          <cell r="I89" t="str">
            <v xml:space="preserve">YEAR 5 </v>
          </cell>
          <cell r="J89" t="str">
            <v>5 Year Total</v>
          </cell>
        </row>
        <row r="89">
          <cell r="L89" t="str">
            <v>5 YEAR + 1</v>
          </cell>
          <cell r="M89" t="str">
            <v>5 YEAR + 2</v>
          </cell>
          <cell r="N89" t="str">
            <v>7 Year Total</v>
          </cell>
        </row>
        <row r="90">
          <cell r="D90">
            <v>0</v>
          </cell>
          <cell r="E90">
            <v>0</v>
          </cell>
          <cell r="F90">
            <v>0</v>
          </cell>
          <cell r="G90">
            <v>0</v>
          </cell>
          <cell r="H90">
            <v>0</v>
          </cell>
          <cell r="I90">
            <v>0</v>
          </cell>
        </row>
        <row r="90">
          <cell r="L90">
            <v>0</v>
          </cell>
          <cell r="M90">
            <v>0</v>
          </cell>
        </row>
        <row r="91">
          <cell r="D91">
            <v>0</v>
          </cell>
          <cell r="E91">
            <v>0</v>
          </cell>
          <cell r="F91">
            <v>0</v>
          </cell>
          <cell r="G91">
            <v>0</v>
          </cell>
          <cell r="H91">
            <v>0</v>
          </cell>
          <cell r="I91">
            <v>0</v>
          </cell>
        </row>
        <row r="91">
          <cell r="L91">
            <v>0</v>
          </cell>
          <cell r="M91">
            <v>0</v>
          </cell>
        </row>
        <row r="92">
          <cell r="D92">
            <v>0</v>
          </cell>
          <cell r="E92">
            <v>0</v>
          </cell>
          <cell r="F92">
            <v>0</v>
          </cell>
          <cell r="G92">
            <v>0</v>
          </cell>
          <cell r="H92">
            <v>0</v>
          </cell>
          <cell r="I92">
            <v>0</v>
          </cell>
        </row>
        <row r="92">
          <cell r="L92">
            <v>0</v>
          </cell>
          <cell r="M92">
            <v>0</v>
          </cell>
        </row>
        <row r="94">
          <cell r="D94">
            <v>0</v>
          </cell>
          <cell r="E94">
            <v>0</v>
          </cell>
          <cell r="F94">
            <v>0</v>
          </cell>
          <cell r="G94">
            <v>0</v>
          </cell>
          <cell r="H94">
            <v>0</v>
          </cell>
          <cell r="I94">
            <v>0</v>
          </cell>
          <cell r="J94">
            <v>0</v>
          </cell>
        </row>
        <row r="94">
          <cell r="L94">
            <v>0</v>
          </cell>
          <cell r="M94">
            <v>0</v>
          </cell>
          <cell r="N94">
            <v>0</v>
          </cell>
        </row>
        <row r="95">
          <cell r="D95">
            <v>0</v>
          </cell>
          <cell r="E95">
            <v>0</v>
          </cell>
          <cell r="F95">
            <v>0</v>
          </cell>
          <cell r="G95">
            <v>0</v>
          </cell>
          <cell r="H95">
            <v>0</v>
          </cell>
          <cell r="I95">
            <v>0</v>
          </cell>
          <cell r="J95">
            <v>0</v>
          </cell>
        </row>
        <row r="95">
          <cell r="L95">
            <v>0</v>
          </cell>
          <cell r="M95">
            <v>0</v>
          </cell>
          <cell r="N95">
            <v>0</v>
          </cell>
        </row>
        <row r="96">
          <cell r="D96">
            <v>0</v>
          </cell>
          <cell r="E96">
            <v>0</v>
          </cell>
          <cell r="F96">
            <v>0</v>
          </cell>
          <cell r="G96">
            <v>0</v>
          </cell>
          <cell r="H96">
            <v>0</v>
          </cell>
          <cell r="I96">
            <v>0</v>
          </cell>
          <cell r="J96">
            <v>0</v>
          </cell>
        </row>
        <row r="96">
          <cell r="L96">
            <v>0</v>
          </cell>
          <cell r="M96">
            <v>0</v>
          </cell>
          <cell r="N96">
            <v>0</v>
          </cell>
        </row>
        <row r="97">
          <cell r="D97">
            <v>0</v>
          </cell>
          <cell r="E97">
            <v>0</v>
          </cell>
          <cell r="F97">
            <v>0</v>
          </cell>
          <cell r="G97">
            <v>0</v>
          </cell>
          <cell r="H97">
            <v>0</v>
          </cell>
          <cell r="I97">
            <v>0</v>
          </cell>
          <cell r="J97">
            <v>0</v>
          </cell>
        </row>
        <row r="97">
          <cell r="L97">
            <v>0</v>
          </cell>
          <cell r="M97">
            <v>0</v>
          </cell>
          <cell r="N97">
            <v>0</v>
          </cell>
        </row>
        <row r="98">
          <cell r="D98">
            <v>0</v>
          </cell>
          <cell r="E98">
            <v>0</v>
          </cell>
          <cell r="F98">
            <v>0</v>
          </cell>
          <cell r="G98">
            <v>0</v>
          </cell>
          <cell r="H98">
            <v>0</v>
          </cell>
          <cell r="I98">
            <v>0</v>
          </cell>
          <cell r="J98">
            <v>0</v>
          </cell>
        </row>
        <row r="98">
          <cell r="L98">
            <v>0</v>
          </cell>
          <cell r="M98">
            <v>0</v>
          </cell>
          <cell r="N98">
            <v>0</v>
          </cell>
        </row>
        <row r="99">
          <cell r="D99">
            <v>0</v>
          </cell>
          <cell r="E99">
            <v>0</v>
          </cell>
          <cell r="F99">
            <v>0</v>
          </cell>
          <cell r="G99">
            <v>0</v>
          </cell>
          <cell r="H99">
            <v>0</v>
          </cell>
          <cell r="I99">
            <v>0</v>
          </cell>
          <cell r="J99">
            <v>0</v>
          </cell>
        </row>
        <row r="99">
          <cell r="L99">
            <v>0</v>
          </cell>
          <cell r="M99">
            <v>0</v>
          </cell>
          <cell r="N99">
            <v>0</v>
          </cell>
        </row>
        <row r="100">
          <cell r="D100">
            <v>0</v>
          </cell>
          <cell r="E100">
            <v>0</v>
          </cell>
          <cell r="F100">
            <v>0</v>
          </cell>
          <cell r="G100">
            <v>0</v>
          </cell>
          <cell r="H100">
            <v>0</v>
          </cell>
          <cell r="I100">
            <v>0</v>
          </cell>
          <cell r="J100">
            <v>0</v>
          </cell>
        </row>
        <row r="100">
          <cell r="L100">
            <v>0</v>
          </cell>
          <cell r="M100">
            <v>0</v>
          </cell>
          <cell r="N100">
            <v>0</v>
          </cell>
        </row>
        <row r="101">
          <cell r="D101">
            <v>0</v>
          </cell>
          <cell r="E101">
            <v>0</v>
          </cell>
          <cell r="F101">
            <v>0</v>
          </cell>
          <cell r="G101">
            <v>0</v>
          </cell>
          <cell r="H101">
            <v>0</v>
          </cell>
          <cell r="I101">
            <v>0</v>
          </cell>
          <cell r="J101">
            <v>0</v>
          </cell>
        </row>
        <row r="101">
          <cell r="L101">
            <v>0</v>
          </cell>
          <cell r="M101">
            <v>0</v>
          </cell>
          <cell r="N101">
            <v>0</v>
          </cell>
        </row>
        <row r="102">
          <cell r="D102">
            <v>0</v>
          </cell>
          <cell r="E102">
            <v>0</v>
          </cell>
          <cell r="F102">
            <v>0</v>
          </cell>
          <cell r="G102">
            <v>0</v>
          </cell>
          <cell r="H102">
            <v>0</v>
          </cell>
          <cell r="I102">
            <v>0</v>
          </cell>
          <cell r="J102">
            <v>0</v>
          </cell>
        </row>
        <row r="102">
          <cell r="L102">
            <v>0</v>
          </cell>
          <cell r="M102">
            <v>0</v>
          </cell>
          <cell r="N102">
            <v>0</v>
          </cell>
        </row>
        <row r="103">
          <cell r="D103">
            <v>0</v>
          </cell>
          <cell r="E103">
            <v>0</v>
          </cell>
          <cell r="F103">
            <v>0</v>
          </cell>
          <cell r="G103">
            <v>0</v>
          </cell>
          <cell r="H103">
            <v>0</v>
          </cell>
          <cell r="I103">
            <v>0</v>
          </cell>
          <cell r="J103">
            <v>0</v>
          </cell>
        </row>
        <row r="103">
          <cell r="L103">
            <v>0</v>
          </cell>
          <cell r="M103">
            <v>0</v>
          </cell>
          <cell r="N103">
            <v>0</v>
          </cell>
        </row>
        <row r="104">
          <cell r="D104">
            <v>0</v>
          </cell>
          <cell r="E104">
            <v>0</v>
          </cell>
          <cell r="F104">
            <v>0</v>
          </cell>
          <cell r="G104">
            <v>0</v>
          </cell>
          <cell r="H104">
            <v>0</v>
          </cell>
          <cell r="I104">
            <v>0</v>
          </cell>
          <cell r="J104">
            <v>0</v>
          </cell>
        </row>
        <row r="104">
          <cell r="L104">
            <v>0</v>
          </cell>
          <cell r="M104">
            <v>0</v>
          </cell>
          <cell r="N104">
            <v>0</v>
          </cell>
        </row>
        <row r="105">
          <cell r="D105">
            <v>0</v>
          </cell>
          <cell r="E105">
            <v>0</v>
          </cell>
          <cell r="F105">
            <v>0</v>
          </cell>
          <cell r="G105">
            <v>0</v>
          </cell>
          <cell r="H105">
            <v>0</v>
          </cell>
          <cell r="I105">
            <v>0</v>
          </cell>
          <cell r="J105">
            <v>0</v>
          </cell>
        </row>
        <row r="105">
          <cell r="L105">
            <v>0</v>
          </cell>
          <cell r="M105">
            <v>0</v>
          </cell>
          <cell r="N105">
            <v>0</v>
          </cell>
        </row>
        <row r="106">
          <cell r="D106">
            <v>0</v>
          </cell>
          <cell r="E106">
            <v>0</v>
          </cell>
          <cell r="F106">
            <v>0</v>
          </cell>
          <cell r="G106">
            <v>0</v>
          </cell>
          <cell r="H106">
            <v>0</v>
          </cell>
          <cell r="I106">
            <v>0</v>
          </cell>
          <cell r="J106">
            <v>0</v>
          </cell>
        </row>
        <row r="106">
          <cell r="L106">
            <v>0</v>
          </cell>
          <cell r="M106">
            <v>0</v>
          </cell>
          <cell r="N106">
            <v>0</v>
          </cell>
        </row>
        <row r="107">
          <cell r="D107">
            <v>0</v>
          </cell>
          <cell r="E107">
            <v>0</v>
          </cell>
          <cell r="F107">
            <v>0</v>
          </cell>
          <cell r="G107">
            <v>0</v>
          </cell>
          <cell r="H107">
            <v>0</v>
          </cell>
          <cell r="I107">
            <v>0</v>
          </cell>
          <cell r="J107">
            <v>0</v>
          </cell>
        </row>
        <row r="107">
          <cell r="L107">
            <v>0</v>
          </cell>
          <cell r="M107">
            <v>0</v>
          </cell>
          <cell r="N107">
            <v>0</v>
          </cell>
        </row>
        <row r="108">
          <cell r="D108">
            <v>0</v>
          </cell>
          <cell r="E108">
            <v>0</v>
          </cell>
          <cell r="F108">
            <v>0</v>
          </cell>
          <cell r="G108">
            <v>0</v>
          </cell>
          <cell r="H108">
            <v>0</v>
          </cell>
          <cell r="I108">
            <v>0</v>
          </cell>
          <cell r="J108">
            <v>0</v>
          </cell>
        </row>
        <row r="108">
          <cell r="L108">
            <v>0</v>
          </cell>
          <cell r="M108">
            <v>0</v>
          </cell>
          <cell r="N108">
            <v>0</v>
          </cell>
        </row>
        <row r="109">
          <cell r="D109">
            <v>0</v>
          </cell>
          <cell r="E109">
            <v>0</v>
          </cell>
          <cell r="F109">
            <v>0</v>
          </cell>
          <cell r="G109">
            <v>0</v>
          </cell>
          <cell r="H109">
            <v>0</v>
          </cell>
          <cell r="I109">
            <v>0</v>
          </cell>
          <cell r="J109">
            <v>0</v>
          </cell>
        </row>
        <row r="109">
          <cell r="L109">
            <v>0</v>
          </cell>
          <cell r="M109">
            <v>0</v>
          </cell>
          <cell r="N109">
            <v>0</v>
          </cell>
        </row>
        <row r="110">
          <cell r="D110">
            <v>0</v>
          </cell>
          <cell r="E110">
            <v>0</v>
          </cell>
          <cell r="F110">
            <v>0</v>
          </cell>
          <cell r="G110">
            <v>0</v>
          </cell>
          <cell r="H110">
            <v>0</v>
          </cell>
          <cell r="I110">
            <v>0</v>
          </cell>
          <cell r="J110">
            <v>0</v>
          </cell>
        </row>
        <row r="110">
          <cell r="L110">
            <v>0</v>
          </cell>
          <cell r="M110">
            <v>0</v>
          </cell>
          <cell r="N110">
            <v>0</v>
          </cell>
        </row>
        <row r="111">
          <cell r="D111">
            <v>0</v>
          </cell>
          <cell r="E111">
            <v>0</v>
          </cell>
          <cell r="F111">
            <v>0</v>
          </cell>
          <cell r="G111">
            <v>0</v>
          </cell>
          <cell r="H111">
            <v>0</v>
          </cell>
          <cell r="I111">
            <v>0</v>
          </cell>
          <cell r="J111">
            <v>0</v>
          </cell>
        </row>
        <row r="111">
          <cell r="L111">
            <v>0</v>
          </cell>
          <cell r="M111">
            <v>0</v>
          </cell>
          <cell r="N111">
            <v>0</v>
          </cell>
        </row>
        <row r="112">
          <cell r="D112">
            <v>0</v>
          </cell>
          <cell r="E112">
            <v>0</v>
          </cell>
          <cell r="F112">
            <v>0</v>
          </cell>
          <cell r="G112">
            <v>0</v>
          </cell>
          <cell r="H112">
            <v>0</v>
          </cell>
          <cell r="I112">
            <v>0</v>
          </cell>
          <cell r="J112">
            <v>0</v>
          </cell>
        </row>
        <row r="112">
          <cell r="L112">
            <v>0</v>
          </cell>
          <cell r="M112">
            <v>0</v>
          </cell>
          <cell r="N112">
            <v>0</v>
          </cell>
        </row>
        <row r="113">
          <cell r="D113">
            <v>0</v>
          </cell>
          <cell r="E113">
            <v>0</v>
          </cell>
          <cell r="F113">
            <v>0</v>
          </cell>
          <cell r="G113">
            <v>0</v>
          </cell>
          <cell r="H113">
            <v>0</v>
          </cell>
          <cell r="I113">
            <v>0</v>
          </cell>
          <cell r="J113">
            <v>0</v>
          </cell>
        </row>
        <row r="113">
          <cell r="L113">
            <v>0</v>
          </cell>
          <cell r="M113">
            <v>0</v>
          </cell>
          <cell r="N113">
            <v>0</v>
          </cell>
        </row>
        <row r="114">
          <cell r="D114">
            <v>0</v>
          </cell>
          <cell r="E114">
            <v>0</v>
          </cell>
          <cell r="F114">
            <v>0</v>
          </cell>
          <cell r="G114">
            <v>0</v>
          </cell>
          <cell r="H114">
            <v>0</v>
          </cell>
          <cell r="I114">
            <v>0</v>
          </cell>
          <cell r="J114">
            <v>0</v>
          </cell>
        </row>
        <row r="114">
          <cell r="L114">
            <v>0</v>
          </cell>
          <cell r="M114">
            <v>0</v>
          </cell>
          <cell r="N114">
            <v>0</v>
          </cell>
        </row>
        <row r="115">
          <cell r="D115">
            <v>0</v>
          </cell>
          <cell r="E115">
            <v>0</v>
          </cell>
          <cell r="F115">
            <v>0</v>
          </cell>
          <cell r="G115">
            <v>0</v>
          </cell>
          <cell r="H115">
            <v>0</v>
          </cell>
          <cell r="I115">
            <v>0</v>
          </cell>
          <cell r="J115">
            <v>0</v>
          </cell>
        </row>
        <row r="115">
          <cell r="L115">
            <v>0</v>
          </cell>
          <cell r="M115">
            <v>0</v>
          </cell>
          <cell r="N115">
            <v>0</v>
          </cell>
        </row>
        <row r="116">
          <cell r="D116">
            <v>0</v>
          </cell>
          <cell r="E116">
            <v>0</v>
          </cell>
          <cell r="F116">
            <v>0</v>
          </cell>
          <cell r="G116">
            <v>0</v>
          </cell>
          <cell r="H116">
            <v>0</v>
          </cell>
          <cell r="I116">
            <v>0</v>
          </cell>
          <cell r="J116">
            <v>0</v>
          </cell>
        </row>
        <row r="116">
          <cell r="L116">
            <v>0</v>
          </cell>
          <cell r="M116">
            <v>0</v>
          </cell>
          <cell r="N116">
            <v>0</v>
          </cell>
        </row>
        <row r="117">
          <cell r="D117">
            <v>0</v>
          </cell>
          <cell r="E117">
            <v>0</v>
          </cell>
          <cell r="F117">
            <v>0</v>
          </cell>
          <cell r="G117">
            <v>0</v>
          </cell>
          <cell r="H117">
            <v>0</v>
          </cell>
          <cell r="I117">
            <v>0</v>
          </cell>
          <cell r="J117">
            <v>0</v>
          </cell>
        </row>
        <row r="117">
          <cell r="L117">
            <v>0</v>
          </cell>
          <cell r="M117">
            <v>0</v>
          </cell>
          <cell r="N117">
            <v>0</v>
          </cell>
        </row>
        <row r="118">
          <cell r="D118">
            <v>0</v>
          </cell>
          <cell r="E118">
            <v>0</v>
          </cell>
          <cell r="F118">
            <v>0</v>
          </cell>
          <cell r="G118">
            <v>0</v>
          </cell>
          <cell r="H118">
            <v>0</v>
          </cell>
          <cell r="I118">
            <v>0</v>
          </cell>
          <cell r="J118">
            <v>0</v>
          </cell>
        </row>
        <row r="118">
          <cell r="L118">
            <v>0</v>
          </cell>
          <cell r="M118">
            <v>0</v>
          </cell>
          <cell r="N118">
            <v>0</v>
          </cell>
        </row>
        <row r="119">
          <cell r="E119">
            <v>0</v>
          </cell>
          <cell r="F119">
            <v>0</v>
          </cell>
          <cell r="G119">
            <v>0</v>
          </cell>
          <cell r="H119">
            <v>0</v>
          </cell>
          <cell r="I119">
            <v>0</v>
          </cell>
          <cell r="J119">
            <v>0</v>
          </cell>
        </row>
        <row r="119">
          <cell r="L119">
            <v>0</v>
          </cell>
          <cell r="M119">
            <v>0</v>
          </cell>
          <cell r="N119">
            <v>0</v>
          </cell>
        </row>
        <row r="120">
          <cell r="E120">
            <v>0</v>
          </cell>
          <cell r="F120">
            <v>0</v>
          </cell>
          <cell r="G120">
            <v>0</v>
          </cell>
          <cell r="H120">
            <v>0</v>
          </cell>
          <cell r="I120">
            <v>0</v>
          </cell>
          <cell r="J120">
            <v>0</v>
          </cell>
        </row>
        <row r="120">
          <cell r="L120">
            <v>0</v>
          </cell>
          <cell r="M120">
            <v>0</v>
          </cell>
          <cell r="N120">
            <v>0</v>
          </cell>
        </row>
        <row r="121">
          <cell r="E121">
            <v>0</v>
          </cell>
          <cell r="F121">
            <v>0</v>
          </cell>
          <cell r="G121">
            <v>0</v>
          </cell>
          <cell r="H121">
            <v>0</v>
          </cell>
          <cell r="I121">
            <v>0</v>
          </cell>
          <cell r="J121">
            <v>0</v>
          </cell>
        </row>
        <row r="121">
          <cell r="L121">
            <v>0</v>
          </cell>
          <cell r="M121">
            <v>0</v>
          </cell>
          <cell r="N121">
            <v>0</v>
          </cell>
        </row>
        <row r="123">
          <cell r="E123">
            <v>0</v>
          </cell>
          <cell r="F123">
            <v>0</v>
          </cell>
          <cell r="G123">
            <v>0</v>
          </cell>
          <cell r="H123">
            <v>0</v>
          </cell>
          <cell r="I123">
            <v>0</v>
          </cell>
          <cell r="J123">
            <v>0</v>
          </cell>
        </row>
        <row r="123">
          <cell r="L123">
            <v>0</v>
          </cell>
          <cell r="M123">
            <v>0</v>
          </cell>
          <cell r="N123">
            <v>0</v>
          </cell>
        </row>
        <row r="124">
          <cell r="E124">
            <v>0</v>
          </cell>
          <cell r="F124">
            <v>0</v>
          </cell>
          <cell r="G124">
            <v>0</v>
          </cell>
          <cell r="H124">
            <v>0</v>
          </cell>
          <cell r="I124">
            <v>0</v>
          </cell>
          <cell r="J124">
            <v>0</v>
          </cell>
        </row>
        <row r="124">
          <cell r="L124">
            <v>0</v>
          </cell>
          <cell r="M124">
            <v>0</v>
          </cell>
          <cell r="N124">
            <v>0</v>
          </cell>
        </row>
        <row r="125">
          <cell r="E125">
            <v>0</v>
          </cell>
          <cell r="F125">
            <v>0</v>
          </cell>
          <cell r="G125">
            <v>0</v>
          </cell>
          <cell r="H125">
            <v>0</v>
          </cell>
          <cell r="I125">
            <v>0</v>
          </cell>
          <cell r="J125">
            <v>0</v>
          </cell>
        </row>
        <row r="125">
          <cell r="L125">
            <v>0</v>
          </cell>
          <cell r="M125">
            <v>0</v>
          </cell>
          <cell r="N125">
            <v>0</v>
          </cell>
        </row>
        <row r="126">
          <cell r="E126">
            <v>0</v>
          </cell>
          <cell r="F126">
            <v>0</v>
          </cell>
          <cell r="G126">
            <v>0</v>
          </cell>
          <cell r="H126">
            <v>0</v>
          </cell>
          <cell r="I126">
            <v>0</v>
          </cell>
          <cell r="J126">
            <v>0</v>
          </cell>
        </row>
        <row r="126">
          <cell r="L126">
            <v>0</v>
          </cell>
          <cell r="M126">
            <v>0</v>
          </cell>
          <cell r="N126">
            <v>0</v>
          </cell>
        </row>
        <row r="127">
          <cell r="E127">
            <v>0</v>
          </cell>
          <cell r="F127">
            <v>0</v>
          </cell>
          <cell r="G127">
            <v>0</v>
          </cell>
          <cell r="H127">
            <v>0</v>
          </cell>
          <cell r="I127">
            <v>0</v>
          </cell>
          <cell r="J127">
            <v>0</v>
          </cell>
        </row>
        <row r="127">
          <cell r="L127">
            <v>0</v>
          </cell>
          <cell r="M127">
            <v>0</v>
          </cell>
          <cell r="N127">
            <v>0</v>
          </cell>
        </row>
        <row r="129">
          <cell r="E129">
            <v>0</v>
          </cell>
          <cell r="F129">
            <v>0</v>
          </cell>
          <cell r="G129">
            <v>0</v>
          </cell>
          <cell r="H129">
            <v>0</v>
          </cell>
          <cell r="I129">
            <v>0</v>
          </cell>
          <cell r="J129">
            <v>0</v>
          </cell>
        </row>
        <row r="129">
          <cell r="L129">
            <v>0</v>
          </cell>
          <cell r="M129">
            <v>0</v>
          </cell>
          <cell r="N129">
            <v>0</v>
          </cell>
        </row>
        <row r="132">
          <cell r="D132" t="str">
            <v>BASE YEAR</v>
          </cell>
          <cell r="E132" t="str">
            <v>YEAR 1</v>
          </cell>
          <cell r="F132" t="str">
            <v>YEAR 2</v>
          </cell>
          <cell r="G132" t="str">
            <v>YEAR 3</v>
          </cell>
          <cell r="H132" t="str">
            <v>YEAR 4</v>
          </cell>
          <cell r="I132" t="str">
            <v xml:space="preserve">YEAR 5 </v>
          </cell>
          <cell r="J132" t="str">
            <v>5 Year  Total</v>
          </cell>
        </row>
        <row r="132">
          <cell r="L132" t="str">
            <v>5 YEAR + 1</v>
          </cell>
          <cell r="M132" t="str">
            <v>5 YEAR + 2</v>
          </cell>
          <cell r="N132" t="str">
            <v>7 Year  Total</v>
          </cell>
        </row>
        <row r="133">
          <cell r="D133">
            <v>40.5</v>
          </cell>
          <cell r="E133">
            <v>40.5</v>
          </cell>
          <cell r="F133">
            <v>40.5</v>
          </cell>
          <cell r="G133">
            <v>40.5</v>
          </cell>
          <cell r="H133">
            <v>40.5</v>
          </cell>
          <cell r="I133">
            <v>40.5</v>
          </cell>
        </row>
        <row r="133">
          <cell r="L133">
            <v>40.5</v>
          </cell>
          <cell r="M133">
            <v>40.5</v>
          </cell>
        </row>
        <row r="134">
          <cell r="D134">
            <v>1</v>
          </cell>
          <cell r="E134">
            <v>1</v>
          </cell>
          <cell r="F134">
            <v>1</v>
          </cell>
          <cell r="G134">
            <v>1</v>
          </cell>
          <cell r="H134">
            <v>1</v>
          </cell>
          <cell r="I134">
            <v>1</v>
          </cell>
        </row>
        <row r="134">
          <cell r="L134">
            <v>1</v>
          </cell>
          <cell r="M134">
            <v>1</v>
          </cell>
        </row>
        <row r="135">
          <cell r="D135">
            <v>41.5</v>
          </cell>
          <cell r="E135">
            <v>41.5</v>
          </cell>
          <cell r="F135">
            <v>41.5</v>
          </cell>
          <cell r="G135">
            <v>41.5</v>
          </cell>
          <cell r="H135">
            <v>41.5</v>
          </cell>
          <cell r="I135">
            <v>41.5</v>
          </cell>
        </row>
        <row r="135">
          <cell r="L135">
            <v>41.5</v>
          </cell>
          <cell r="M135">
            <v>41.5</v>
          </cell>
        </row>
        <row r="137">
          <cell r="D137">
            <v>4917800</v>
          </cell>
          <cell r="E137">
            <v>4917800</v>
          </cell>
          <cell r="F137">
            <v>5065334</v>
          </cell>
          <cell r="G137">
            <v>5217294.02</v>
          </cell>
          <cell r="H137">
            <v>5373812.8406</v>
          </cell>
          <cell r="I137">
            <v>5535027.225818</v>
          </cell>
          <cell r="J137">
            <v>26109268.086418</v>
          </cell>
        </row>
        <row r="137">
          <cell r="L137">
            <v>5701078.04259254</v>
          </cell>
          <cell r="M137">
            <v>5872110.38387032</v>
          </cell>
          <cell r="N137">
            <v>37682456.5128809</v>
          </cell>
        </row>
        <row r="138">
          <cell r="D138">
            <v>0</v>
          </cell>
          <cell r="E138">
            <v>0</v>
          </cell>
          <cell r="F138">
            <v>0</v>
          </cell>
          <cell r="G138">
            <v>0</v>
          </cell>
          <cell r="H138">
            <v>0</v>
          </cell>
          <cell r="I138">
            <v>0</v>
          </cell>
          <cell r="J138">
            <v>0</v>
          </cell>
        </row>
        <row r="138">
          <cell r="L138">
            <v>0</v>
          </cell>
          <cell r="M138">
            <v>0</v>
          </cell>
          <cell r="N138">
            <v>0</v>
          </cell>
        </row>
        <row r="139">
          <cell r="D139">
            <v>0</v>
          </cell>
          <cell r="E139">
            <v>0</v>
          </cell>
          <cell r="F139">
            <v>0</v>
          </cell>
          <cell r="G139">
            <v>0</v>
          </cell>
          <cell r="H139">
            <v>0</v>
          </cell>
          <cell r="I139">
            <v>0</v>
          </cell>
          <cell r="J139">
            <v>0</v>
          </cell>
        </row>
        <row r="139">
          <cell r="L139">
            <v>0</v>
          </cell>
          <cell r="M139">
            <v>0</v>
          </cell>
          <cell r="N139">
            <v>0</v>
          </cell>
        </row>
        <row r="140">
          <cell r="D140">
            <v>0</v>
          </cell>
          <cell r="E140">
            <v>0</v>
          </cell>
          <cell r="F140">
            <v>0</v>
          </cell>
          <cell r="G140">
            <v>0</v>
          </cell>
          <cell r="H140">
            <v>0</v>
          </cell>
          <cell r="I140">
            <v>0</v>
          </cell>
          <cell r="J140">
            <v>0</v>
          </cell>
        </row>
        <row r="140">
          <cell r="L140">
            <v>0</v>
          </cell>
          <cell r="M140">
            <v>0</v>
          </cell>
          <cell r="N140">
            <v>0</v>
          </cell>
        </row>
        <row r="141">
          <cell r="D141">
            <v>0</v>
          </cell>
          <cell r="E141">
            <v>0</v>
          </cell>
          <cell r="F141">
            <v>0</v>
          </cell>
          <cell r="G141">
            <v>0</v>
          </cell>
          <cell r="H141">
            <v>0</v>
          </cell>
          <cell r="I141">
            <v>0</v>
          </cell>
          <cell r="J141">
            <v>0</v>
          </cell>
        </row>
        <row r="141">
          <cell r="L141">
            <v>0</v>
          </cell>
          <cell r="M141">
            <v>0</v>
          </cell>
          <cell r="N141">
            <v>0</v>
          </cell>
        </row>
        <row r="142">
          <cell r="D142">
            <v>0</v>
          </cell>
          <cell r="E142">
            <v>0</v>
          </cell>
          <cell r="F142">
            <v>0</v>
          </cell>
          <cell r="G142">
            <v>0</v>
          </cell>
          <cell r="H142">
            <v>0</v>
          </cell>
          <cell r="I142">
            <v>0</v>
          </cell>
          <cell r="J142">
            <v>0</v>
          </cell>
        </row>
        <row r="142">
          <cell r="L142">
            <v>0</v>
          </cell>
          <cell r="M142">
            <v>0</v>
          </cell>
          <cell r="N142">
            <v>0</v>
          </cell>
        </row>
        <row r="143">
          <cell r="D143">
            <v>4917800</v>
          </cell>
          <cell r="E143">
            <v>4917800</v>
          </cell>
          <cell r="F143">
            <v>5065334</v>
          </cell>
          <cell r="G143">
            <v>5217294.02</v>
          </cell>
          <cell r="H143">
            <v>5373812.8406</v>
          </cell>
          <cell r="I143">
            <v>5535027.225818</v>
          </cell>
          <cell r="J143">
            <v>26109268.086418</v>
          </cell>
        </row>
        <row r="143">
          <cell r="L143">
            <v>5701078.04259254</v>
          </cell>
          <cell r="M143">
            <v>5872110.38387032</v>
          </cell>
          <cell r="N143">
            <v>37682456.5128809</v>
          </cell>
        </row>
        <row r="144">
          <cell r="D144">
            <v>0</v>
          </cell>
          <cell r="E144">
            <v>0</v>
          </cell>
          <cell r="F144">
            <v>0</v>
          </cell>
          <cell r="G144">
            <v>0</v>
          </cell>
          <cell r="H144">
            <v>0</v>
          </cell>
          <cell r="I144">
            <v>0</v>
          </cell>
          <cell r="J144">
            <v>0</v>
          </cell>
        </row>
        <row r="144">
          <cell r="L144">
            <v>0</v>
          </cell>
          <cell r="M144">
            <v>0</v>
          </cell>
          <cell r="N144">
            <v>0</v>
          </cell>
        </row>
        <row r="145">
          <cell r="D145">
            <v>0</v>
          </cell>
          <cell r="E145">
            <v>0</v>
          </cell>
          <cell r="F145">
            <v>0</v>
          </cell>
          <cell r="G145">
            <v>0</v>
          </cell>
          <cell r="H145">
            <v>0</v>
          </cell>
          <cell r="I145">
            <v>0</v>
          </cell>
          <cell r="J145">
            <v>0</v>
          </cell>
        </row>
        <row r="145">
          <cell r="L145">
            <v>0</v>
          </cell>
          <cell r="M145">
            <v>0</v>
          </cell>
          <cell r="N145">
            <v>0</v>
          </cell>
        </row>
        <row r="146">
          <cell r="D146">
            <v>0</v>
          </cell>
          <cell r="E146">
            <v>0</v>
          </cell>
          <cell r="F146">
            <v>0</v>
          </cell>
          <cell r="G146">
            <v>0</v>
          </cell>
          <cell r="H146">
            <v>0</v>
          </cell>
          <cell r="I146">
            <v>0</v>
          </cell>
          <cell r="J146">
            <v>0</v>
          </cell>
        </row>
        <row r="146">
          <cell r="L146">
            <v>0</v>
          </cell>
          <cell r="M146">
            <v>0</v>
          </cell>
          <cell r="N146">
            <v>0</v>
          </cell>
        </row>
        <row r="147">
          <cell r="D147">
            <v>0</v>
          </cell>
          <cell r="E147">
            <v>0</v>
          </cell>
          <cell r="F147">
            <v>0</v>
          </cell>
          <cell r="G147">
            <v>0</v>
          </cell>
          <cell r="H147">
            <v>0</v>
          </cell>
          <cell r="I147">
            <v>0</v>
          </cell>
          <cell r="J147">
            <v>0</v>
          </cell>
        </row>
        <row r="147">
          <cell r="L147">
            <v>0</v>
          </cell>
          <cell r="M147">
            <v>0</v>
          </cell>
          <cell r="N147">
            <v>0</v>
          </cell>
        </row>
        <row r="148">
          <cell r="D148">
            <v>0</v>
          </cell>
          <cell r="E148">
            <v>0</v>
          </cell>
          <cell r="F148">
            <v>0</v>
          </cell>
          <cell r="G148">
            <v>0</v>
          </cell>
          <cell r="H148">
            <v>0</v>
          </cell>
          <cell r="I148">
            <v>0</v>
          </cell>
          <cell r="J148">
            <v>0</v>
          </cell>
        </row>
        <row r="148">
          <cell r="L148">
            <v>0</v>
          </cell>
          <cell r="M148">
            <v>0</v>
          </cell>
          <cell r="N148">
            <v>0</v>
          </cell>
        </row>
        <row r="149">
          <cell r="D149">
            <v>0</v>
          </cell>
          <cell r="E149">
            <v>0</v>
          </cell>
          <cell r="F149">
            <v>0</v>
          </cell>
          <cell r="G149">
            <v>0</v>
          </cell>
          <cell r="H149">
            <v>0</v>
          </cell>
          <cell r="I149">
            <v>0</v>
          </cell>
          <cell r="J149">
            <v>0</v>
          </cell>
        </row>
        <row r="149">
          <cell r="L149">
            <v>0</v>
          </cell>
          <cell r="M149">
            <v>0</v>
          </cell>
          <cell r="N149">
            <v>0</v>
          </cell>
        </row>
        <row r="150">
          <cell r="D150">
            <v>0</v>
          </cell>
          <cell r="E150">
            <v>0</v>
          </cell>
          <cell r="F150">
            <v>0</v>
          </cell>
          <cell r="G150">
            <v>0</v>
          </cell>
          <cell r="H150">
            <v>0</v>
          </cell>
          <cell r="I150">
            <v>0</v>
          </cell>
          <cell r="J150">
            <v>0</v>
          </cell>
        </row>
        <row r="150">
          <cell r="L150">
            <v>0</v>
          </cell>
          <cell r="M150">
            <v>0</v>
          </cell>
          <cell r="N150">
            <v>0</v>
          </cell>
        </row>
        <row r="152">
          <cell r="D152">
            <v>20250</v>
          </cell>
          <cell r="E152">
            <v>20250</v>
          </cell>
          <cell r="F152">
            <v>20857.5</v>
          </cell>
          <cell r="G152">
            <v>21483.225</v>
          </cell>
          <cell r="H152">
            <v>22127.72175</v>
          </cell>
          <cell r="I152">
            <v>22791.5534025</v>
          </cell>
          <cell r="J152">
            <v>107510.0001525</v>
          </cell>
        </row>
        <row r="152">
          <cell r="L152">
            <v>23475.300004575</v>
          </cell>
          <cell r="M152">
            <v>24179.5590047123</v>
          </cell>
          <cell r="N152">
            <v>155164.859161787</v>
          </cell>
        </row>
        <row r="153">
          <cell r="D153">
            <v>0</v>
          </cell>
          <cell r="E153">
            <v>0</v>
          </cell>
          <cell r="F153">
            <v>0</v>
          </cell>
          <cell r="G153">
            <v>0</v>
          </cell>
          <cell r="H153">
            <v>0</v>
          </cell>
          <cell r="I153">
            <v>0</v>
          </cell>
          <cell r="J153">
            <v>0</v>
          </cell>
        </row>
        <row r="153">
          <cell r="L153">
            <v>0</v>
          </cell>
          <cell r="M153">
            <v>0</v>
          </cell>
          <cell r="N153">
            <v>0</v>
          </cell>
        </row>
        <row r="154">
          <cell r="D154">
            <v>0</v>
          </cell>
          <cell r="E154">
            <v>0</v>
          </cell>
          <cell r="F154">
            <v>0</v>
          </cell>
          <cell r="G154">
            <v>0</v>
          </cell>
          <cell r="H154">
            <v>0</v>
          </cell>
          <cell r="I154">
            <v>0</v>
          </cell>
          <cell r="J154">
            <v>0</v>
          </cell>
        </row>
        <row r="154">
          <cell r="L154">
            <v>0</v>
          </cell>
          <cell r="M154">
            <v>0</v>
          </cell>
          <cell r="N154">
            <v>0</v>
          </cell>
        </row>
        <row r="155">
          <cell r="D155">
            <v>0</v>
          </cell>
          <cell r="E155">
            <v>0</v>
          </cell>
          <cell r="F155">
            <v>0</v>
          </cell>
          <cell r="G155">
            <v>0</v>
          </cell>
          <cell r="H155">
            <v>0</v>
          </cell>
          <cell r="I155">
            <v>0</v>
          </cell>
          <cell r="J155">
            <v>0</v>
          </cell>
        </row>
        <row r="155">
          <cell r="L155">
            <v>0</v>
          </cell>
          <cell r="M155">
            <v>0</v>
          </cell>
          <cell r="N155">
            <v>0</v>
          </cell>
        </row>
        <row r="156">
          <cell r="D156">
            <v>0</v>
          </cell>
          <cell r="E156">
            <v>0</v>
          </cell>
          <cell r="F156">
            <v>0</v>
          </cell>
          <cell r="G156">
            <v>0</v>
          </cell>
          <cell r="H156">
            <v>0</v>
          </cell>
          <cell r="I156">
            <v>0</v>
          </cell>
          <cell r="J156">
            <v>0</v>
          </cell>
        </row>
        <row r="156">
          <cell r="L156">
            <v>0</v>
          </cell>
          <cell r="M156">
            <v>0</v>
          </cell>
          <cell r="N156">
            <v>0</v>
          </cell>
        </row>
        <row r="157">
          <cell r="D157">
            <v>0</v>
          </cell>
          <cell r="E157">
            <v>0</v>
          </cell>
          <cell r="F157">
            <v>0</v>
          </cell>
          <cell r="G157">
            <v>0</v>
          </cell>
          <cell r="H157">
            <v>0</v>
          </cell>
          <cell r="I157">
            <v>0</v>
          </cell>
          <cell r="J157">
            <v>0</v>
          </cell>
        </row>
        <row r="157">
          <cell r="L157">
            <v>0</v>
          </cell>
          <cell r="M157">
            <v>0</v>
          </cell>
          <cell r="N157">
            <v>0</v>
          </cell>
        </row>
        <row r="158">
          <cell r="D158">
            <v>0</v>
          </cell>
          <cell r="E158">
            <v>0</v>
          </cell>
          <cell r="F158">
            <v>0</v>
          </cell>
          <cell r="G158">
            <v>0</v>
          </cell>
          <cell r="H158">
            <v>0</v>
          </cell>
          <cell r="I158">
            <v>0</v>
          </cell>
          <cell r="J158">
            <v>0</v>
          </cell>
        </row>
        <row r="158">
          <cell r="L158">
            <v>0</v>
          </cell>
          <cell r="M158">
            <v>0</v>
          </cell>
          <cell r="N158">
            <v>0</v>
          </cell>
        </row>
        <row r="159">
          <cell r="D159">
            <v>0</v>
          </cell>
          <cell r="E159">
            <v>0</v>
          </cell>
          <cell r="F159">
            <v>0</v>
          </cell>
          <cell r="G159">
            <v>0</v>
          </cell>
          <cell r="H159">
            <v>0</v>
          </cell>
          <cell r="I159">
            <v>0</v>
          </cell>
          <cell r="J159">
            <v>0</v>
          </cell>
        </row>
        <row r="159">
          <cell r="L159">
            <v>0</v>
          </cell>
          <cell r="M159">
            <v>0</v>
          </cell>
          <cell r="N159">
            <v>0</v>
          </cell>
        </row>
        <row r="161">
          <cell r="D161">
            <v>76950</v>
          </cell>
          <cell r="E161">
            <v>76950</v>
          </cell>
          <cell r="F161">
            <v>79258.5</v>
          </cell>
          <cell r="G161">
            <v>81636.255</v>
          </cell>
          <cell r="H161">
            <v>84085.34265</v>
          </cell>
          <cell r="I161">
            <v>86607.9029295</v>
          </cell>
          <cell r="J161">
            <v>408538.0005795</v>
          </cell>
        </row>
        <row r="161">
          <cell r="L161">
            <v>89206.140017385</v>
          </cell>
          <cell r="M161">
            <v>91882.3242179066</v>
          </cell>
          <cell r="N161">
            <v>589626.464814792</v>
          </cell>
        </row>
        <row r="162">
          <cell r="D162">
            <v>5015000</v>
          </cell>
          <cell r="E162">
            <v>5015000</v>
          </cell>
          <cell r="F162">
            <v>5165450</v>
          </cell>
          <cell r="G162">
            <v>5320413.5</v>
          </cell>
          <cell r="H162">
            <v>5480025.905</v>
          </cell>
          <cell r="I162">
            <v>5644426.68215</v>
          </cell>
          <cell r="J162">
            <v>26625316.08715</v>
          </cell>
        </row>
        <row r="162">
          <cell r="L162">
            <v>5813759.4826145</v>
          </cell>
          <cell r="M162">
            <v>5988172.26709294</v>
          </cell>
          <cell r="N162">
            <v>38427247.8368574</v>
          </cell>
        </row>
        <row r="163">
          <cell r="D163">
            <v>0</v>
          </cell>
          <cell r="E163">
            <v>0</v>
          </cell>
          <cell r="F163">
            <v>0</v>
          </cell>
          <cell r="G163">
            <v>0</v>
          </cell>
          <cell r="H163">
            <v>0</v>
          </cell>
          <cell r="I163">
            <v>0</v>
          </cell>
          <cell r="J163">
            <v>0</v>
          </cell>
        </row>
        <row r="163">
          <cell r="L163">
            <v>0</v>
          </cell>
          <cell r="M163">
            <v>0</v>
          </cell>
          <cell r="N163">
            <v>0</v>
          </cell>
        </row>
        <row r="164">
          <cell r="D164">
            <v>5015000</v>
          </cell>
          <cell r="E164">
            <v>5015000</v>
          </cell>
          <cell r="F164">
            <v>5165450</v>
          </cell>
          <cell r="G164">
            <v>5320413.5</v>
          </cell>
          <cell r="H164">
            <v>5480025.905</v>
          </cell>
          <cell r="I164">
            <v>5644426.68215</v>
          </cell>
          <cell r="J164">
            <v>26625316.08715</v>
          </cell>
        </row>
        <row r="164">
          <cell r="L164">
            <v>5813759.4826145</v>
          </cell>
          <cell r="M164">
            <v>5988172.26709294</v>
          </cell>
          <cell r="N164">
            <v>38427247.8368574</v>
          </cell>
        </row>
        <row r="166">
          <cell r="D166">
            <v>0</v>
          </cell>
          <cell r="E166">
            <v>0</v>
          </cell>
          <cell r="F166">
            <v>0</v>
          </cell>
          <cell r="G166">
            <v>0</v>
          </cell>
          <cell r="H166">
            <v>0</v>
          </cell>
          <cell r="I166">
            <v>0</v>
          </cell>
          <cell r="J166">
            <v>0</v>
          </cell>
        </row>
        <row r="166">
          <cell r="L166">
            <v>0</v>
          </cell>
          <cell r="M166">
            <v>0</v>
          </cell>
          <cell r="N166">
            <v>0</v>
          </cell>
        </row>
        <row r="167">
          <cell r="D167">
            <v>0</v>
          </cell>
          <cell r="E167">
            <v>0</v>
          </cell>
          <cell r="F167">
            <v>0</v>
          </cell>
          <cell r="G167">
            <v>0</v>
          </cell>
          <cell r="H167">
            <v>0</v>
          </cell>
          <cell r="I167">
            <v>0</v>
          </cell>
          <cell r="J167">
            <v>0</v>
          </cell>
        </row>
        <row r="167">
          <cell r="L167">
            <v>0</v>
          </cell>
          <cell r="M167">
            <v>0</v>
          </cell>
          <cell r="N167">
            <v>0</v>
          </cell>
        </row>
        <row r="168">
          <cell r="D168">
            <v>0</v>
          </cell>
          <cell r="E168">
            <v>0</v>
          </cell>
          <cell r="F168">
            <v>0</v>
          </cell>
          <cell r="G168">
            <v>0</v>
          </cell>
          <cell r="H168">
            <v>0</v>
          </cell>
          <cell r="I168">
            <v>0</v>
          </cell>
          <cell r="J168">
            <v>0</v>
          </cell>
        </row>
        <row r="168">
          <cell r="L168">
            <v>0</v>
          </cell>
          <cell r="M168">
            <v>0</v>
          </cell>
          <cell r="N168">
            <v>0</v>
          </cell>
        </row>
        <row r="169">
          <cell r="D169">
            <v>0</v>
          </cell>
          <cell r="E169">
            <v>0</v>
          </cell>
          <cell r="F169">
            <v>0</v>
          </cell>
          <cell r="G169">
            <v>0</v>
          </cell>
          <cell r="H169">
            <v>0</v>
          </cell>
          <cell r="I169">
            <v>0</v>
          </cell>
          <cell r="J169">
            <v>0</v>
          </cell>
        </row>
        <row r="169">
          <cell r="L169">
            <v>0</v>
          </cell>
          <cell r="M169">
            <v>0</v>
          </cell>
          <cell r="N169">
            <v>0</v>
          </cell>
        </row>
        <row r="170">
          <cell r="D170">
            <v>0</v>
          </cell>
          <cell r="E170">
            <v>0</v>
          </cell>
          <cell r="F170">
            <v>0</v>
          </cell>
          <cell r="G170">
            <v>0</v>
          </cell>
          <cell r="H170">
            <v>0</v>
          </cell>
          <cell r="I170">
            <v>0</v>
          </cell>
          <cell r="J170">
            <v>0</v>
          </cell>
        </row>
        <row r="170">
          <cell r="L170">
            <v>0</v>
          </cell>
          <cell r="M170">
            <v>0</v>
          </cell>
          <cell r="N170">
            <v>0</v>
          </cell>
        </row>
        <row r="172">
          <cell r="D172">
            <v>5015000</v>
          </cell>
          <cell r="E172">
            <v>5015000</v>
          </cell>
          <cell r="F172">
            <v>5165450</v>
          </cell>
          <cell r="G172">
            <v>5320413.5</v>
          </cell>
          <cell r="H172">
            <v>5480025.905</v>
          </cell>
          <cell r="I172">
            <v>5644426.68215</v>
          </cell>
          <cell r="J172">
            <v>26625316.08715</v>
          </cell>
        </row>
        <row r="172">
          <cell r="L172">
            <v>5813759.4826145</v>
          </cell>
          <cell r="M172">
            <v>5988172.26709294</v>
          </cell>
          <cell r="N172">
            <v>38427247.8368574</v>
          </cell>
        </row>
      </sheetData>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Notes"/>
      <sheetName val="Consolidated"/>
      <sheetName val="GL"/>
      <sheetName val="Ext.Rpt."/>
      <sheetName val="RTP"/>
      <sheetName val="AP"/>
      <sheetName val="T&amp;E"/>
      <sheetName val="OTC"/>
      <sheetName val="SOX"/>
      <sheetName val="Mgt&amp;Coord"/>
      <sheetName val="Other"/>
      <sheetName val="Depreciation"/>
    </sheetNames>
    <sheetDataSet>
      <sheetData sheetId="0"/>
      <sheetData sheetId="1">
        <row r="2">
          <cell r="D2" t="str">
            <v>BASE YEAR</v>
          </cell>
          <cell r="E2" t="str">
            <v>YEAR 1</v>
          </cell>
          <cell r="F2" t="str">
            <v>YEAR 2</v>
          </cell>
          <cell r="G2" t="str">
            <v>YEAR 3</v>
          </cell>
          <cell r="H2" t="str">
            <v>YEAR 4</v>
          </cell>
          <cell r="I2" t="str">
            <v xml:space="preserve">YEAR 5 </v>
          </cell>
          <cell r="J2" t="str">
            <v>5 Year Total</v>
          </cell>
        </row>
        <row r="2">
          <cell r="L2" t="str">
            <v>5 YEAR + 1</v>
          </cell>
          <cell r="M2" t="str">
            <v>5 YEAR + 2</v>
          </cell>
          <cell r="N2" t="str">
            <v>7 Year Total</v>
          </cell>
        </row>
        <row r="3">
          <cell r="D3">
            <v>36</v>
          </cell>
          <cell r="E3">
            <v>36</v>
          </cell>
          <cell r="F3">
            <v>36</v>
          </cell>
          <cell r="G3">
            <v>36</v>
          </cell>
          <cell r="H3">
            <v>36</v>
          </cell>
          <cell r="I3">
            <v>36</v>
          </cell>
        </row>
        <row r="3">
          <cell r="L3">
            <v>36</v>
          </cell>
          <cell r="M3">
            <v>36</v>
          </cell>
        </row>
        <row r="4">
          <cell r="D4">
            <v>9</v>
          </cell>
          <cell r="E4">
            <v>9</v>
          </cell>
          <cell r="F4">
            <v>9</v>
          </cell>
          <cell r="G4">
            <v>9</v>
          </cell>
          <cell r="H4">
            <v>9</v>
          </cell>
          <cell r="I4">
            <v>9</v>
          </cell>
        </row>
        <row r="4">
          <cell r="L4">
            <v>9</v>
          </cell>
          <cell r="M4">
            <v>9</v>
          </cell>
        </row>
        <row r="5">
          <cell r="D5">
            <v>45</v>
          </cell>
          <cell r="E5">
            <v>45</v>
          </cell>
          <cell r="F5">
            <v>45</v>
          </cell>
          <cell r="G5">
            <v>45</v>
          </cell>
          <cell r="H5">
            <v>45</v>
          </cell>
          <cell r="I5">
            <v>45</v>
          </cell>
        </row>
        <row r="5">
          <cell r="L5">
            <v>45</v>
          </cell>
          <cell r="M5">
            <v>45</v>
          </cell>
        </row>
        <row r="7">
          <cell r="D7">
            <v>2556</v>
          </cell>
          <cell r="E7">
            <v>2632.68</v>
          </cell>
          <cell r="F7">
            <v>2711.6604</v>
          </cell>
          <cell r="G7">
            <v>2793.010212</v>
          </cell>
          <cell r="H7">
            <v>2876.80051836</v>
          </cell>
          <cell r="I7">
            <v>2963.1045339108</v>
          </cell>
          <cell r="J7">
            <v>13977.2556642708</v>
          </cell>
        </row>
        <row r="7">
          <cell r="L7">
            <v>3051.99766992812</v>
          </cell>
          <cell r="M7">
            <v>3143.55760002597</v>
          </cell>
          <cell r="N7">
            <v>20172.8109342249</v>
          </cell>
        </row>
        <row r="8">
          <cell r="D8">
            <v>778</v>
          </cell>
          <cell r="E8">
            <v>801.34</v>
          </cell>
          <cell r="F8">
            <v>825.3802</v>
          </cell>
          <cell r="G8">
            <v>850.141606</v>
          </cell>
          <cell r="H8">
            <v>875.64585418</v>
          </cell>
          <cell r="I8">
            <v>901.9152298054</v>
          </cell>
          <cell r="J8">
            <v>4254.4228899854</v>
          </cell>
        </row>
        <row r="8">
          <cell r="L8">
            <v>928.972686699562</v>
          </cell>
          <cell r="M8">
            <v>956.841867300549</v>
          </cell>
          <cell r="N8">
            <v>6140.23744398551</v>
          </cell>
        </row>
        <row r="9">
          <cell r="D9">
            <v>272</v>
          </cell>
          <cell r="E9">
            <v>280.16</v>
          </cell>
          <cell r="F9">
            <v>288.5648</v>
          </cell>
          <cell r="G9">
            <v>297.221744</v>
          </cell>
          <cell r="H9">
            <v>306.13839632</v>
          </cell>
          <cell r="I9">
            <v>315.3225482096</v>
          </cell>
          <cell r="J9">
            <v>1487.4074885296</v>
          </cell>
        </row>
        <row r="9">
          <cell r="L9">
            <v>324.782224655888</v>
          </cell>
          <cell r="M9">
            <v>334.525691395565</v>
          </cell>
          <cell r="N9">
            <v>2146.71540458105</v>
          </cell>
        </row>
        <row r="10">
          <cell r="D10">
            <v>38</v>
          </cell>
          <cell r="E10">
            <v>39.14</v>
          </cell>
          <cell r="F10">
            <v>40.3142</v>
          </cell>
          <cell r="G10">
            <v>41.523626</v>
          </cell>
          <cell r="H10">
            <v>42.76933478</v>
          </cell>
          <cell r="I10">
            <v>44.0524148234</v>
          </cell>
          <cell r="J10">
            <v>207.7995756034</v>
          </cell>
        </row>
        <row r="10">
          <cell r="L10">
            <v>45.373987268102</v>
          </cell>
          <cell r="M10">
            <v>46.7352068861451</v>
          </cell>
          <cell r="N10">
            <v>299.908769757647</v>
          </cell>
        </row>
        <row r="11">
          <cell r="D11">
            <v>20</v>
          </cell>
          <cell r="E11">
            <v>20.6</v>
          </cell>
          <cell r="F11">
            <v>21.218</v>
          </cell>
          <cell r="G11">
            <v>21.85454</v>
          </cell>
          <cell r="H11">
            <v>22.5101762</v>
          </cell>
          <cell r="I11">
            <v>23.185481486</v>
          </cell>
          <cell r="J11">
            <v>109.368197686</v>
          </cell>
        </row>
        <row r="11">
          <cell r="L11">
            <v>23.88104593058</v>
          </cell>
          <cell r="M11">
            <v>24.5974773084974</v>
          </cell>
          <cell r="N11">
            <v>157.846720925077</v>
          </cell>
        </row>
        <row r="12">
          <cell r="D12">
            <v>68</v>
          </cell>
          <cell r="E12">
            <v>70.04</v>
          </cell>
          <cell r="F12">
            <v>72.1412</v>
          </cell>
          <cell r="G12">
            <v>74.305436</v>
          </cell>
          <cell r="H12">
            <v>76.53459908</v>
          </cell>
          <cell r="I12">
            <v>78.8306370524</v>
          </cell>
          <cell r="J12">
            <v>371.8518721324</v>
          </cell>
        </row>
        <row r="12">
          <cell r="L12">
            <v>81.195556163972</v>
          </cell>
          <cell r="M12">
            <v>83.6314228488912</v>
          </cell>
          <cell r="N12">
            <v>536.678851145263</v>
          </cell>
        </row>
        <row r="13">
          <cell r="D13">
            <v>3732</v>
          </cell>
          <cell r="E13">
            <v>3843.96</v>
          </cell>
          <cell r="F13">
            <v>3959.2788</v>
          </cell>
          <cell r="G13">
            <v>4078.057164</v>
          </cell>
          <cell r="H13">
            <v>4200.39887892</v>
          </cell>
          <cell r="I13">
            <v>4326.4108452876</v>
          </cell>
          <cell r="J13">
            <v>20408.1056882076</v>
          </cell>
        </row>
        <row r="13">
          <cell r="L13">
            <v>4456.20317064623</v>
          </cell>
          <cell r="M13">
            <v>4589.88926576561</v>
          </cell>
          <cell r="N13">
            <v>29454.1981246194</v>
          </cell>
        </row>
        <row r="14">
          <cell r="D14">
            <v>0</v>
          </cell>
          <cell r="E14">
            <v>0</v>
          </cell>
          <cell r="F14">
            <v>0</v>
          </cell>
          <cell r="G14">
            <v>0</v>
          </cell>
          <cell r="H14">
            <v>0</v>
          </cell>
          <cell r="I14">
            <v>0</v>
          </cell>
          <cell r="J14">
            <v>0</v>
          </cell>
        </row>
        <row r="14">
          <cell r="L14">
            <v>0</v>
          </cell>
          <cell r="M14">
            <v>0</v>
          </cell>
          <cell r="N14">
            <v>0</v>
          </cell>
        </row>
        <row r="15">
          <cell r="D15">
            <v>0</v>
          </cell>
          <cell r="E15">
            <v>0</v>
          </cell>
          <cell r="F15">
            <v>0</v>
          </cell>
          <cell r="G15">
            <v>0</v>
          </cell>
          <cell r="H15">
            <v>0</v>
          </cell>
          <cell r="I15">
            <v>0</v>
          </cell>
          <cell r="J15">
            <v>0</v>
          </cell>
        </row>
        <row r="15">
          <cell r="L15">
            <v>0</v>
          </cell>
          <cell r="M15">
            <v>0</v>
          </cell>
          <cell r="N15">
            <v>0</v>
          </cell>
        </row>
        <row r="16">
          <cell r="D16">
            <v>0</v>
          </cell>
          <cell r="E16">
            <v>0</v>
          </cell>
          <cell r="F16">
            <v>0</v>
          </cell>
          <cell r="G16">
            <v>0</v>
          </cell>
          <cell r="H16">
            <v>0</v>
          </cell>
          <cell r="I16">
            <v>0</v>
          </cell>
          <cell r="J16">
            <v>0</v>
          </cell>
        </row>
        <row r="16">
          <cell r="L16">
            <v>0</v>
          </cell>
          <cell r="M16">
            <v>0</v>
          </cell>
          <cell r="N16">
            <v>0</v>
          </cell>
        </row>
        <row r="17">
          <cell r="D17">
            <v>12</v>
          </cell>
          <cell r="E17">
            <v>12.36</v>
          </cell>
          <cell r="F17">
            <v>12.7308</v>
          </cell>
          <cell r="G17">
            <v>13.112724</v>
          </cell>
          <cell r="H17">
            <v>13.50610572</v>
          </cell>
          <cell r="I17">
            <v>13.9112888916</v>
          </cell>
          <cell r="J17">
            <v>65.6209186116</v>
          </cell>
        </row>
        <row r="17">
          <cell r="L17">
            <v>14.328627558348</v>
          </cell>
          <cell r="M17">
            <v>14.7584863850984</v>
          </cell>
          <cell r="N17">
            <v>94.7080325550465</v>
          </cell>
        </row>
        <row r="18">
          <cell r="D18">
            <v>0</v>
          </cell>
          <cell r="E18">
            <v>0</v>
          </cell>
          <cell r="F18">
            <v>0</v>
          </cell>
          <cell r="G18">
            <v>0</v>
          </cell>
          <cell r="H18">
            <v>0</v>
          </cell>
          <cell r="I18">
            <v>0</v>
          </cell>
          <cell r="J18">
            <v>0</v>
          </cell>
        </row>
        <row r="18">
          <cell r="L18">
            <v>0</v>
          </cell>
          <cell r="M18">
            <v>0</v>
          </cell>
          <cell r="N18">
            <v>0</v>
          </cell>
        </row>
        <row r="19">
          <cell r="D19">
            <v>0</v>
          </cell>
          <cell r="E19">
            <v>0</v>
          </cell>
          <cell r="F19">
            <v>0</v>
          </cell>
          <cell r="G19">
            <v>0</v>
          </cell>
          <cell r="H19">
            <v>0</v>
          </cell>
          <cell r="I19">
            <v>0</v>
          </cell>
          <cell r="J19">
            <v>0</v>
          </cell>
        </row>
        <row r="19">
          <cell r="L19">
            <v>0</v>
          </cell>
          <cell r="M19">
            <v>0</v>
          </cell>
          <cell r="N19">
            <v>0</v>
          </cell>
        </row>
        <row r="20">
          <cell r="D20">
            <v>0</v>
          </cell>
          <cell r="E20">
            <v>0</v>
          </cell>
          <cell r="F20">
            <v>0</v>
          </cell>
          <cell r="G20">
            <v>0</v>
          </cell>
          <cell r="H20">
            <v>0</v>
          </cell>
          <cell r="I20">
            <v>0</v>
          </cell>
          <cell r="J20">
            <v>0</v>
          </cell>
        </row>
        <row r="20">
          <cell r="L20">
            <v>0</v>
          </cell>
          <cell r="M20">
            <v>0</v>
          </cell>
          <cell r="N20">
            <v>0</v>
          </cell>
        </row>
        <row r="21">
          <cell r="D21">
            <v>84</v>
          </cell>
          <cell r="E21">
            <v>86.52</v>
          </cell>
          <cell r="F21">
            <v>89.1156</v>
          </cell>
          <cell r="G21">
            <v>91.789068</v>
          </cell>
          <cell r="H21">
            <v>94.54274004</v>
          </cell>
          <cell r="I21">
            <v>97.3790222412</v>
          </cell>
          <cell r="J21">
            <v>459.3464302812</v>
          </cell>
        </row>
        <row r="21">
          <cell r="L21">
            <v>100.300392908436</v>
          </cell>
          <cell r="M21">
            <v>103.309404695689</v>
          </cell>
          <cell r="N21">
            <v>662.956227885325</v>
          </cell>
        </row>
        <row r="22">
          <cell r="D22">
            <v>96</v>
          </cell>
          <cell r="E22">
            <v>98.88</v>
          </cell>
          <cell r="F22">
            <v>101.8464</v>
          </cell>
          <cell r="G22">
            <v>104.901792</v>
          </cell>
          <cell r="H22">
            <v>108.04884576</v>
          </cell>
          <cell r="I22">
            <v>111.2903111328</v>
          </cell>
          <cell r="J22">
            <v>524.9673488928</v>
          </cell>
        </row>
        <row r="22">
          <cell r="L22">
            <v>114.629020466784</v>
          </cell>
          <cell r="M22">
            <v>118.067891080788</v>
          </cell>
          <cell r="N22">
            <v>757.664260440372</v>
          </cell>
        </row>
        <row r="23">
          <cell r="D23">
            <v>0</v>
          </cell>
          <cell r="E23">
            <v>0</v>
          </cell>
          <cell r="F23">
            <v>0</v>
          </cell>
          <cell r="G23">
            <v>0</v>
          </cell>
          <cell r="H23">
            <v>0</v>
          </cell>
          <cell r="I23">
            <v>0</v>
          </cell>
          <cell r="J23">
            <v>0</v>
          </cell>
        </row>
        <row r="23">
          <cell r="L23">
            <v>0</v>
          </cell>
          <cell r="M23">
            <v>0</v>
          </cell>
          <cell r="N23">
            <v>0</v>
          </cell>
        </row>
        <row r="24">
          <cell r="D24">
            <v>11</v>
          </cell>
          <cell r="E24">
            <v>11.33</v>
          </cell>
          <cell r="F24">
            <v>11.6699</v>
          </cell>
          <cell r="G24">
            <v>12.019997</v>
          </cell>
          <cell r="H24">
            <v>12.38059691</v>
          </cell>
          <cell r="I24">
            <v>12.7520148173</v>
          </cell>
          <cell r="J24">
            <v>60.1525087273</v>
          </cell>
        </row>
        <row r="24">
          <cell r="L24">
            <v>13.134575261819</v>
          </cell>
          <cell r="M24">
            <v>13.5286125196736</v>
          </cell>
          <cell r="N24">
            <v>86.8156965087926</v>
          </cell>
        </row>
        <row r="25">
          <cell r="D25">
            <v>0</v>
          </cell>
          <cell r="E25">
            <v>0</v>
          </cell>
          <cell r="F25">
            <v>0</v>
          </cell>
          <cell r="G25">
            <v>0</v>
          </cell>
          <cell r="H25">
            <v>0</v>
          </cell>
          <cell r="I25">
            <v>0</v>
          </cell>
          <cell r="J25">
            <v>0</v>
          </cell>
        </row>
        <row r="25">
          <cell r="L25">
            <v>0</v>
          </cell>
          <cell r="M25">
            <v>0</v>
          </cell>
          <cell r="N25">
            <v>0</v>
          </cell>
        </row>
        <row r="26">
          <cell r="D26">
            <v>27</v>
          </cell>
          <cell r="E26">
            <v>27.81</v>
          </cell>
          <cell r="F26">
            <v>28.6443</v>
          </cell>
          <cell r="G26">
            <v>29.503629</v>
          </cell>
          <cell r="H26">
            <v>30.38873787</v>
          </cell>
          <cell r="I26">
            <v>31.3004000061</v>
          </cell>
          <cell r="J26">
            <v>147.6470668761</v>
          </cell>
        </row>
        <row r="26">
          <cell r="L26">
            <v>32.239412006283</v>
          </cell>
          <cell r="M26">
            <v>33.2065943664715</v>
          </cell>
          <cell r="N26">
            <v>213.093073248855</v>
          </cell>
        </row>
        <row r="27">
          <cell r="D27">
            <v>1</v>
          </cell>
          <cell r="E27">
            <v>1.03</v>
          </cell>
          <cell r="F27">
            <v>1.0609</v>
          </cell>
          <cell r="G27">
            <v>1.092727</v>
          </cell>
          <cell r="H27">
            <v>1.12550881</v>
          </cell>
          <cell r="I27">
            <v>1.1592740743</v>
          </cell>
          <cell r="J27">
            <v>5.4684098843</v>
          </cell>
        </row>
        <row r="27">
          <cell r="L27">
            <v>1.194052296529</v>
          </cell>
          <cell r="M27">
            <v>1.22987386542487</v>
          </cell>
          <cell r="N27">
            <v>7.89233604625387</v>
          </cell>
        </row>
        <row r="28">
          <cell r="D28">
            <v>68</v>
          </cell>
          <cell r="E28">
            <v>70.04</v>
          </cell>
          <cell r="F28">
            <v>72.1412</v>
          </cell>
          <cell r="G28">
            <v>74.305436</v>
          </cell>
          <cell r="H28">
            <v>76.53459908</v>
          </cell>
          <cell r="I28">
            <v>78.8306370524</v>
          </cell>
          <cell r="J28">
            <v>371.8518721324</v>
          </cell>
        </row>
        <row r="28">
          <cell r="L28">
            <v>81.195556163972</v>
          </cell>
          <cell r="M28">
            <v>83.6314228488912</v>
          </cell>
          <cell r="N28">
            <v>536.678851145263</v>
          </cell>
        </row>
        <row r="29">
          <cell r="D29">
            <v>0</v>
          </cell>
          <cell r="E29">
            <v>0</v>
          </cell>
          <cell r="F29">
            <v>0</v>
          </cell>
          <cell r="G29">
            <v>0</v>
          </cell>
          <cell r="H29">
            <v>0</v>
          </cell>
          <cell r="I29">
            <v>0</v>
          </cell>
          <cell r="J29">
            <v>0</v>
          </cell>
        </row>
        <row r="29">
          <cell r="L29">
            <v>0</v>
          </cell>
          <cell r="M29">
            <v>0</v>
          </cell>
          <cell r="N29">
            <v>0</v>
          </cell>
        </row>
        <row r="30">
          <cell r="D30">
            <v>15</v>
          </cell>
          <cell r="E30">
            <v>15.45</v>
          </cell>
          <cell r="F30">
            <v>15.9135</v>
          </cell>
          <cell r="G30">
            <v>16.390905</v>
          </cell>
          <cell r="H30">
            <v>16.88263215</v>
          </cell>
          <cell r="I30">
            <v>17.3891111145</v>
          </cell>
          <cell r="J30">
            <v>82.0261482645</v>
          </cell>
        </row>
        <row r="30">
          <cell r="L30">
            <v>17.910784447935</v>
          </cell>
          <cell r="M30">
            <v>18.4481079813731</v>
          </cell>
          <cell r="N30">
            <v>118.385040693808</v>
          </cell>
        </row>
        <row r="31">
          <cell r="D31">
            <v>122</v>
          </cell>
          <cell r="E31">
            <v>125.66</v>
          </cell>
          <cell r="F31">
            <v>129.4298</v>
          </cell>
          <cell r="G31">
            <v>133.312694</v>
          </cell>
          <cell r="H31">
            <v>137.31207482</v>
          </cell>
          <cell r="I31">
            <v>141.4314370646</v>
          </cell>
          <cell r="J31">
            <v>667.1460058846</v>
          </cell>
        </row>
        <row r="31">
          <cell r="L31">
            <v>145.674380176538</v>
          </cell>
          <cell r="M31">
            <v>150.044611581834</v>
          </cell>
          <cell r="N31">
            <v>962.864997642972</v>
          </cell>
        </row>
        <row r="32">
          <cell r="D32">
            <v>3950</v>
          </cell>
          <cell r="E32">
            <v>4068.5</v>
          </cell>
          <cell r="F32">
            <v>4190.555</v>
          </cell>
          <cell r="G32">
            <v>4316.27165</v>
          </cell>
          <cell r="H32">
            <v>4445.7597995</v>
          </cell>
          <cell r="I32">
            <v>4579.132593485</v>
          </cell>
          <cell r="J32">
            <v>21600.219042985</v>
          </cell>
        </row>
        <row r="32">
          <cell r="L32">
            <v>4716.50657128955</v>
          </cell>
          <cell r="M32">
            <v>4858.00176842824</v>
          </cell>
          <cell r="N32">
            <v>31174.7273827028</v>
          </cell>
        </row>
        <row r="33">
          <cell r="D33">
            <v>0</v>
          </cell>
          <cell r="E33">
            <v>0</v>
          </cell>
          <cell r="F33">
            <v>0</v>
          </cell>
          <cell r="G33">
            <v>0</v>
          </cell>
          <cell r="H33">
            <v>0</v>
          </cell>
          <cell r="I33">
            <v>0</v>
          </cell>
          <cell r="J33">
            <v>0</v>
          </cell>
        </row>
        <row r="33">
          <cell r="L33">
            <v>0</v>
          </cell>
          <cell r="M33">
            <v>0</v>
          </cell>
          <cell r="N33">
            <v>0</v>
          </cell>
        </row>
        <row r="34">
          <cell r="D34">
            <v>3950</v>
          </cell>
          <cell r="E34">
            <v>4068.5</v>
          </cell>
          <cell r="F34">
            <v>4190.555</v>
          </cell>
          <cell r="G34">
            <v>4316.27165</v>
          </cell>
          <cell r="H34">
            <v>4445.7597995</v>
          </cell>
          <cell r="I34">
            <v>4579.132593485</v>
          </cell>
          <cell r="J34">
            <v>21600.219042985</v>
          </cell>
        </row>
        <row r="34">
          <cell r="L34">
            <v>4716.50657128955</v>
          </cell>
          <cell r="M34">
            <v>4858.00176842824</v>
          </cell>
          <cell r="N34">
            <v>31174.7273827028</v>
          </cell>
        </row>
        <row r="36">
          <cell r="D36">
            <v>0</v>
          </cell>
          <cell r="E36">
            <v>0</v>
          </cell>
          <cell r="F36">
            <v>0</v>
          </cell>
          <cell r="G36">
            <v>0</v>
          </cell>
          <cell r="H36">
            <v>0</v>
          </cell>
          <cell r="I36">
            <v>0</v>
          </cell>
          <cell r="J36">
            <v>0</v>
          </cell>
        </row>
        <row r="36">
          <cell r="L36">
            <v>0</v>
          </cell>
          <cell r="M36">
            <v>0</v>
          </cell>
          <cell r="N36">
            <v>0</v>
          </cell>
        </row>
        <row r="37">
          <cell r="D37">
            <v>0</v>
          </cell>
          <cell r="E37">
            <v>0</v>
          </cell>
          <cell r="F37">
            <v>0</v>
          </cell>
          <cell r="G37">
            <v>0</v>
          </cell>
          <cell r="H37">
            <v>0</v>
          </cell>
          <cell r="I37">
            <v>0</v>
          </cell>
          <cell r="J37">
            <v>0</v>
          </cell>
        </row>
        <row r="37">
          <cell r="L37">
            <v>0</v>
          </cell>
          <cell r="M37">
            <v>0</v>
          </cell>
          <cell r="N37">
            <v>0</v>
          </cell>
        </row>
        <row r="38">
          <cell r="D38">
            <v>0</v>
          </cell>
          <cell r="E38">
            <v>0</v>
          </cell>
          <cell r="F38">
            <v>0</v>
          </cell>
          <cell r="G38">
            <v>0</v>
          </cell>
          <cell r="H38">
            <v>0</v>
          </cell>
          <cell r="I38">
            <v>0</v>
          </cell>
          <cell r="J38">
            <v>0</v>
          </cell>
        </row>
        <row r="38">
          <cell r="L38">
            <v>0</v>
          </cell>
          <cell r="M38">
            <v>0</v>
          </cell>
          <cell r="N38">
            <v>0</v>
          </cell>
        </row>
        <row r="39">
          <cell r="D39">
            <v>150</v>
          </cell>
          <cell r="E39">
            <v>154.5</v>
          </cell>
          <cell r="F39">
            <v>159.135</v>
          </cell>
          <cell r="G39">
            <v>163.90905</v>
          </cell>
          <cell r="H39">
            <v>168.8263215</v>
          </cell>
          <cell r="I39">
            <v>173.891111145</v>
          </cell>
          <cell r="J39">
            <v>820.261482645</v>
          </cell>
        </row>
        <row r="39">
          <cell r="L39">
            <v>179.10784447935</v>
          </cell>
          <cell r="M39">
            <v>184.481079813731</v>
          </cell>
          <cell r="N39">
            <v>1183.85040693808</v>
          </cell>
        </row>
        <row r="40">
          <cell r="D40">
            <v>150</v>
          </cell>
          <cell r="E40">
            <v>154.5</v>
          </cell>
          <cell r="F40">
            <v>159.135</v>
          </cell>
          <cell r="G40">
            <v>163.90905</v>
          </cell>
          <cell r="H40">
            <v>168.8263215</v>
          </cell>
          <cell r="I40">
            <v>173.891111145</v>
          </cell>
          <cell r="J40">
            <v>820.261482645</v>
          </cell>
        </row>
        <row r="40">
          <cell r="L40">
            <v>179.10784447935</v>
          </cell>
          <cell r="M40">
            <v>184.481079813731</v>
          </cell>
          <cell r="N40">
            <v>1183.85040693808</v>
          </cell>
        </row>
        <row r="42">
          <cell r="D42">
            <v>4100</v>
          </cell>
          <cell r="E42">
            <v>4223</v>
          </cell>
          <cell r="F42">
            <v>4349.69</v>
          </cell>
          <cell r="G42">
            <v>4480.1807</v>
          </cell>
          <cell r="H42">
            <v>4614.586121</v>
          </cell>
          <cell r="I42">
            <v>4753.02370463</v>
          </cell>
          <cell r="J42">
            <v>22420.48052563</v>
          </cell>
        </row>
        <row r="42">
          <cell r="L42">
            <v>4895.6144157689</v>
          </cell>
          <cell r="M42">
            <v>5042.48284824197</v>
          </cell>
          <cell r="N42">
            <v>32358.5777896409</v>
          </cell>
        </row>
        <row r="45">
          <cell r="D45" t="str">
            <v>BASE YEAR</v>
          </cell>
          <cell r="E45" t="str">
            <v>YEAR 1</v>
          </cell>
          <cell r="F45" t="str">
            <v>YEAR 2</v>
          </cell>
          <cell r="G45" t="str">
            <v>YEAR 3</v>
          </cell>
          <cell r="H45" t="str">
            <v>YEAR 4</v>
          </cell>
          <cell r="I45" t="str">
            <v xml:space="preserve">YEAR 5 </v>
          </cell>
          <cell r="J45" t="str">
            <v>5 Year Total</v>
          </cell>
        </row>
        <row r="45">
          <cell r="L45" t="str">
            <v>5 YEAR + 1</v>
          </cell>
          <cell r="M45" t="str">
            <v>5 YEAR +2</v>
          </cell>
          <cell r="N45" t="str">
            <v>7 Year Total</v>
          </cell>
        </row>
        <row r="46">
          <cell r="D46">
            <v>17</v>
          </cell>
          <cell r="E46">
            <v>17</v>
          </cell>
          <cell r="F46">
            <v>17</v>
          </cell>
          <cell r="G46">
            <v>17</v>
          </cell>
          <cell r="H46">
            <v>17</v>
          </cell>
          <cell r="I46">
            <v>17</v>
          </cell>
        </row>
        <row r="46">
          <cell r="L46">
            <v>17</v>
          </cell>
          <cell r="M46">
            <v>17</v>
          </cell>
        </row>
        <row r="47">
          <cell r="D47">
            <v>7</v>
          </cell>
          <cell r="E47">
            <v>7</v>
          </cell>
          <cell r="F47">
            <v>7</v>
          </cell>
          <cell r="G47">
            <v>7</v>
          </cell>
          <cell r="H47">
            <v>7</v>
          </cell>
          <cell r="I47">
            <v>7</v>
          </cell>
        </row>
        <row r="47">
          <cell r="L47">
            <v>7</v>
          </cell>
          <cell r="M47">
            <v>7</v>
          </cell>
        </row>
        <row r="48">
          <cell r="D48">
            <v>24</v>
          </cell>
          <cell r="E48">
            <v>24</v>
          </cell>
          <cell r="F48">
            <v>24</v>
          </cell>
          <cell r="G48">
            <v>24</v>
          </cell>
          <cell r="H48">
            <v>24</v>
          </cell>
          <cell r="I48">
            <v>24</v>
          </cell>
        </row>
        <row r="48">
          <cell r="L48">
            <v>24</v>
          </cell>
          <cell r="M48">
            <v>24</v>
          </cell>
        </row>
        <row r="50">
          <cell r="D50">
            <v>1154.30555555556</v>
          </cell>
          <cell r="E50">
            <v>1188.93472222222</v>
          </cell>
          <cell r="F50">
            <v>1224.60276388889</v>
          </cell>
          <cell r="G50">
            <v>1261.34084680556</v>
          </cell>
          <cell r="H50">
            <v>1299.18107220972</v>
          </cell>
          <cell r="I50">
            <v>1338.15650437601</v>
          </cell>
          <cell r="J50">
            <v>6312.2159095024</v>
          </cell>
        </row>
        <row r="50">
          <cell r="L50">
            <v>1378.30119950729</v>
          </cell>
          <cell r="M50">
            <v>1419.65023549251</v>
          </cell>
          <cell r="N50">
            <v>9110.16734450221</v>
          </cell>
        </row>
        <row r="51">
          <cell r="D51">
            <v>313.166666666667</v>
          </cell>
          <cell r="E51">
            <v>322.561666666667</v>
          </cell>
          <cell r="F51">
            <v>332.238516666667</v>
          </cell>
          <cell r="G51">
            <v>342.205672166667</v>
          </cell>
          <cell r="H51">
            <v>352.471842331667</v>
          </cell>
          <cell r="I51">
            <v>363.045997601617</v>
          </cell>
          <cell r="J51">
            <v>1712.52369543328</v>
          </cell>
        </row>
        <row r="51">
          <cell r="L51">
            <v>373.937377529665</v>
          </cell>
          <cell r="M51">
            <v>385.155498855555</v>
          </cell>
          <cell r="N51">
            <v>2471.6165718185</v>
          </cell>
        </row>
        <row r="52">
          <cell r="D52">
            <v>93.1111111111111</v>
          </cell>
          <cell r="E52">
            <v>95.9044444444444</v>
          </cell>
          <cell r="F52">
            <v>98.7815777777778</v>
          </cell>
          <cell r="G52">
            <v>101.745025111111</v>
          </cell>
          <cell r="H52">
            <v>104.797375864444</v>
          </cell>
          <cell r="I52">
            <v>107.941297140378</v>
          </cell>
          <cell r="J52">
            <v>509.169720338155</v>
          </cell>
        </row>
        <row r="52">
          <cell r="L52">
            <v>111.179536054589</v>
          </cell>
          <cell r="M52">
            <v>114.514922136227</v>
          </cell>
          <cell r="N52">
            <v>734.864178528971</v>
          </cell>
        </row>
        <row r="53">
          <cell r="D53">
            <v>4.22222222222222</v>
          </cell>
          <cell r="E53">
            <v>4.34888888888889</v>
          </cell>
          <cell r="F53">
            <v>4.47935555555555</v>
          </cell>
          <cell r="G53">
            <v>4.61373622222222</v>
          </cell>
          <cell r="H53">
            <v>4.75214830888889</v>
          </cell>
          <cell r="I53">
            <v>4.89471275815555</v>
          </cell>
          <cell r="J53">
            <v>23.0888417337111</v>
          </cell>
        </row>
        <row r="53">
          <cell r="L53">
            <v>5.04155414090022</v>
          </cell>
          <cell r="M53">
            <v>5.19280076512723</v>
          </cell>
          <cell r="N53">
            <v>33.3231966397386</v>
          </cell>
        </row>
        <row r="54">
          <cell r="D54">
            <v>6.19444444444445</v>
          </cell>
          <cell r="E54">
            <v>6.38027777777778</v>
          </cell>
          <cell r="F54">
            <v>6.57168611111111</v>
          </cell>
          <cell r="G54">
            <v>6.76883669444444</v>
          </cell>
          <cell r="H54">
            <v>6.97190179527778</v>
          </cell>
          <cell r="I54">
            <v>7.18105884913611</v>
          </cell>
          <cell r="J54">
            <v>33.8737612277472</v>
          </cell>
        </row>
        <row r="54">
          <cell r="L54">
            <v>7.3964906146102</v>
          </cell>
          <cell r="M54">
            <v>7.6183853330485</v>
          </cell>
          <cell r="N54">
            <v>48.8886371754059</v>
          </cell>
        </row>
        <row r="55">
          <cell r="D55">
            <v>24.4166666666667</v>
          </cell>
          <cell r="E55">
            <v>25.1491666666667</v>
          </cell>
          <cell r="F55">
            <v>25.9036416666667</v>
          </cell>
          <cell r="G55">
            <v>26.6807509166667</v>
          </cell>
          <cell r="H55">
            <v>27.4811734441667</v>
          </cell>
          <cell r="I55">
            <v>28.3056086474917</v>
          </cell>
          <cell r="J55">
            <v>133.520341341658</v>
          </cell>
        </row>
        <row r="55">
          <cell r="L55">
            <v>29.1547769069164</v>
          </cell>
          <cell r="M55">
            <v>30.0294202141239</v>
          </cell>
          <cell r="N55">
            <v>192.704538462699</v>
          </cell>
        </row>
        <row r="56">
          <cell r="D56">
            <v>1595.41666666667</v>
          </cell>
          <cell r="E56">
            <v>1643.27916666667</v>
          </cell>
          <cell r="F56">
            <v>1692.57754166667</v>
          </cell>
          <cell r="G56">
            <v>1743.35486791667</v>
          </cell>
          <cell r="H56">
            <v>1795.65551395417</v>
          </cell>
          <cell r="I56">
            <v>1849.52517937279</v>
          </cell>
          <cell r="J56">
            <v>8724.39226957696</v>
          </cell>
        </row>
        <row r="56">
          <cell r="L56">
            <v>1905.01093475398</v>
          </cell>
          <cell r="M56">
            <v>1962.16126279659</v>
          </cell>
          <cell r="N56">
            <v>12591.5644671275</v>
          </cell>
        </row>
        <row r="57">
          <cell r="D57">
            <v>0</v>
          </cell>
          <cell r="E57">
            <v>0</v>
          </cell>
          <cell r="F57">
            <v>0</v>
          </cell>
          <cell r="G57">
            <v>0</v>
          </cell>
          <cell r="H57">
            <v>0</v>
          </cell>
          <cell r="I57">
            <v>0</v>
          </cell>
          <cell r="J57">
            <v>0</v>
          </cell>
        </row>
        <row r="57">
          <cell r="L57">
            <v>0</v>
          </cell>
          <cell r="M57">
            <v>0</v>
          </cell>
          <cell r="N57">
            <v>0</v>
          </cell>
        </row>
        <row r="58">
          <cell r="D58">
            <v>0</v>
          </cell>
          <cell r="E58">
            <v>0</v>
          </cell>
          <cell r="F58">
            <v>0</v>
          </cell>
          <cell r="G58">
            <v>0</v>
          </cell>
          <cell r="H58">
            <v>0</v>
          </cell>
          <cell r="I58">
            <v>0</v>
          </cell>
          <cell r="J58">
            <v>0</v>
          </cell>
        </row>
        <row r="58">
          <cell r="L58">
            <v>0</v>
          </cell>
          <cell r="M58">
            <v>0</v>
          </cell>
          <cell r="N58">
            <v>0</v>
          </cell>
        </row>
        <row r="59">
          <cell r="D59">
            <v>0</v>
          </cell>
          <cell r="E59">
            <v>0</v>
          </cell>
          <cell r="F59">
            <v>0</v>
          </cell>
          <cell r="G59">
            <v>0</v>
          </cell>
          <cell r="H59">
            <v>0</v>
          </cell>
          <cell r="I59">
            <v>0</v>
          </cell>
          <cell r="J59">
            <v>0</v>
          </cell>
        </row>
        <row r="59">
          <cell r="L59">
            <v>0</v>
          </cell>
          <cell r="M59">
            <v>0</v>
          </cell>
          <cell r="N59">
            <v>0</v>
          </cell>
        </row>
        <row r="60">
          <cell r="D60">
            <v>1.33333333333333</v>
          </cell>
          <cell r="E60">
            <v>1.37333333333333</v>
          </cell>
          <cell r="F60">
            <v>1.41453333333333</v>
          </cell>
          <cell r="G60">
            <v>1.45696933333333</v>
          </cell>
          <cell r="H60">
            <v>1.50067841333333</v>
          </cell>
          <cell r="I60">
            <v>1.54569876573333</v>
          </cell>
          <cell r="J60">
            <v>7.29121317906667</v>
          </cell>
        </row>
        <row r="60">
          <cell r="L60">
            <v>1.59206972870533</v>
          </cell>
          <cell r="M60">
            <v>1.63983182056649</v>
          </cell>
          <cell r="N60">
            <v>10.5231147283385</v>
          </cell>
        </row>
        <row r="61">
          <cell r="D61">
            <v>0</v>
          </cell>
          <cell r="E61">
            <v>0</v>
          </cell>
          <cell r="F61">
            <v>0</v>
          </cell>
          <cell r="G61">
            <v>0</v>
          </cell>
          <cell r="H61">
            <v>0</v>
          </cell>
          <cell r="I61">
            <v>0</v>
          </cell>
          <cell r="J61">
            <v>0</v>
          </cell>
        </row>
        <row r="61">
          <cell r="L61">
            <v>0</v>
          </cell>
          <cell r="M61">
            <v>0</v>
          </cell>
          <cell r="N61">
            <v>0</v>
          </cell>
        </row>
        <row r="62">
          <cell r="D62">
            <v>0</v>
          </cell>
          <cell r="E62">
            <v>0</v>
          </cell>
          <cell r="F62">
            <v>0</v>
          </cell>
          <cell r="G62">
            <v>0</v>
          </cell>
          <cell r="H62">
            <v>0</v>
          </cell>
          <cell r="I62">
            <v>0</v>
          </cell>
          <cell r="J62">
            <v>0</v>
          </cell>
        </row>
        <row r="62">
          <cell r="L62">
            <v>0</v>
          </cell>
          <cell r="M62">
            <v>0</v>
          </cell>
          <cell r="N62">
            <v>0</v>
          </cell>
        </row>
        <row r="63">
          <cell r="D63">
            <v>0</v>
          </cell>
          <cell r="E63">
            <v>0</v>
          </cell>
          <cell r="F63">
            <v>0</v>
          </cell>
          <cell r="G63">
            <v>0</v>
          </cell>
          <cell r="H63">
            <v>0</v>
          </cell>
          <cell r="I63">
            <v>0</v>
          </cell>
          <cell r="J63">
            <v>0</v>
          </cell>
        </row>
        <row r="63">
          <cell r="L63">
            <v>0</v>
          </cell>
          <cell r="M63">
            <v>0</v>
          </cell>
          <cell r="N63">
            <v>0</v>
          </cell>
        </row>
        <row r="64">
          <cell r="D64">
            <v>9.33333333333333</v>
          </cell>
          <cell r="E64">
            <v>9.61333333333332</v>
          </cell>
          <cell r="F64">
            <v>9.90173333333332</v>
          </cell>
          <cell r="G64">
            <v>10.1987853333333</v>
          </cell>
          <cell r="H64">
            <v>10.5047488933333</v>
          </cell>
          <cell r="I64">
            <v>10.8198913601333</v>
          </cell>
          <cell r="J64">
            <v>51.0384922534666</v>
          </cell>
        </row>
        <row r="64">
          <cell r="L64">
            <v>11.1444881009373</v>
          </cell>
          <cell r="M64">
            <v>11.4788227439654</v>
          </cell>
          <cell r="N64">
            <v>73.6618030983693</v>
          </cell>
        </row>
        <row r="65">
          <cell r="D65">
            <v>10.6666666666667</v>
          </cell>
          <cell r="E65">
            <v>10.9866666666666</v>
          </cell>
          <cell r="F65">
            <v>11.3162666666666</v>
          </cell>
          <cell r="G65">
            <v>11.6557546666666</v>
          </cell>
          <cell r="H65">
            <v>12.0054273066666</v>
          </cell>
          <cell r="I65">
            <v>12.3655901258666</v>
          </cell>
          <cell r="J65">
            <v>58.3297054325332</v>
          </cell>
        </row>
        <row r="65">
          <cell r="L65">
            <v>12.7365578296426</v>
          </cell>
          <cell r="M65">
            <v>13.1186545645319</v>
          </cell>
          <cell r="N65">
            <v>84.1849178267078</v>
          </cell>
        </row>
        <row r="66">
          <cell r="D66">
            <v>0</v>
          </cell>
          <cell r="E66">
            <v>0</v>
          </cell>
          <cell r="F66">
            <v>0</v>
          </cell>
          <cell r="G66">
            <v>0</v>
          </cell>
          <cell r="H66">
            <v>0</v>
          </cell>
          <cell r="I66">
            <v>0</v>
          </cell>
          <cell r="J66">
            <v>0</v>
          </cell>
        </row>
        <row r="66">
          <cell r="L66">
            <v>0</v>
          </cell>
          <cell r="M66">
            <v>0</v>
          </cell>
          <cell r="N66">
            <v>0</v>
          </cell>
        </row>
        <row r="67">
          <cell r="D67">
            <v>1.86111111111111</v>
          </cell>
          <cell r="E67">
            <v>1.91694444444444</v>
          </cell>
          <cell r="F67">
            <v>1.97445277777778</v>
          </cell>
          <cell r="G67">
            <v>2.03368636111111</v>
          </cell>
          <cell r="H67">
            <v>2.09469695194444</v>
          </cell>
          <cell r="I67">
            <v>2.15753786050278</v>
          </cell>
          <cell r="J67">
            <v>10.1773183957806</v>
          </cell>
        </row>
        <row r="67">
          <cell r="L67">
            <v>2.22226399631786</v>
          </cell>
          <cell r="M67">
            <v>2.2889319162074</v>
          </cell>
          <cell r="N67">
            <v>14.6885143083058</v>
          </cell>
        </row>
        <row r="68">
          <cell r="D68">
            <v>0</v>
          </cell>
          <cell r="E68">
            <v>0</v>
          </cell>
          <cell r="F68">
            <v>0</v>
          </cell>
          <cell r="G68">
            <v>0</v>
          </cell>
          <cell r="H68">
            <v>0</v>
          </cell>
          <cell r="I68">
            <v>0</v>
          </cell>
          <cell r="J68">
            <v>0</v>
          </cell>
        </row>
        <row r="68">
          <cell r="L68">
            <v>0</v>
          </cell>
          <cell r="M68">
            <v>0</v>
          </cell>
          <cell r="N68">
            <v>0</v>
          </cell>
        </row>
        <row r="69">
          <cell r="D69">
            <v>6.38888888888889</v>
          </cell>
          <cell r="E69">
            <v>6.58055555555556</v>
          </cell>
          <cell r="F69">
            <v>6.77797222222223</v>
          </cell>
          <cell r="G69">
            <v>6.98131138888889</v>
          </cell>
          <cell r="H69">
            <v>7.19075073055556</v>
          </cell>
          <cell r="I69">
            <v>7.40647325247223</v>
          </cell>
          <cell r="J69">
            <v>34.9370631496945</v>
          </cell>
        </row>
        <row r="69">
          <cell r="L69">
            <v>7.62866745004639</v>
          </cell>
          <cell r="M69">
            <v>7.85752747354778</v>
          </cell>
          <cell r="N69">
            <v>50.4232580732886</v>
          </cell>
        </row>
        <row r="70">
          <cell r="D70">
            <v>0.333333333333333</v>
          </cell>
          <cell r="E70">
            <v>0.343333333333333</v>
          </cell>
          <cell r="F70">
            <v>0.353633333333333</v>
          </cell>
          <cell r="G70">
            <v>0.364242333333333</v>
          </cell>
          <cell r="H70">
            <v>0.375169603333333</v>
          </cell>
          <cell r="I70">
            <v>0.386424691433333</v>
          </cell>
          <cell r="J70">
            <v>1.82280329476667</v>
          </cell>
        </row>
        <row r="70">
          <cell r="L70">
            <v>0.398017432176334</v>
          </cell>
          <cell r="M70">
            <v>0.409957955141624</v>
          </cell>
          <cell r="N70">
            <v>2.63077868208462</v>
          </cell>
        </row>
        <row r="71">
          <cell r="D71">
            <v>0</v>
          </cell>
          <cell r="E71">
            <v>0</v>
          </cell>
          <cell r="F71">
            <v>0</v>
          </cell>
          <cell r="G71">
            <v>0</v>
          </cell>
          <cell r="H71">
            <v>0</v>
          </cell>
          <cell r="I71">
            <v>0</v>
          </cell>
          <cell r="J71">
            <v>0</v>
          </cell>
        </row>
        <row r="71">
          <cell r="L71">
            <v>0</v>
          </cell>
          <cell r="M71">
            <v>0</v>
          </cell>
          <cell r="N71">
            <v>0</v>
          </cell>
        </row>
        <row r="72">
          <cell r="D72">
            <v>0</v>
          </cell>
          <cell r="E72">
            <v>0</v>
          </cell>
          <cell r="F72">
            <v>0</v>
          </cell>
          <cell r="G72">
            <v>0</v>
          </cell>
          <cell r="H72">
            <v>0</v>
          </cell>
          <cell r="I72">
            <v>0</v>
          </cell>
          <cell r="J72">
            <v>0</v>
          </cell>
        </row>
        <row r="72">
          <cell r="L72">
            <v>0</v>
          </cell>
          <cell r="M72">
            <v>0</v>
          </cell>
          <cell r="N72">
            <v>0</v>
          </cell>
        </row>
        <row r="73">
          <cell r="D73">
            <v>5.75</v>
          </cell>
          <cell r="E73">
            <v>5.9225</v>
          </cell>
          <cell r="F73">
            <v>6.100175</v>
          </cell>
          <cell r="G73">
            <v>6.28318025</v>
          </cell>
          <cell r="H73">
            <v>6.4716756575</v>
          </cell>
          <cell r="I73">
            <v>6.665825927225</v>
          </cell>
          <cell r="J73">
            <v>31.443356834725</v>
          </cell>
        </row>
        <row r="73">
          <cell r="L73">
            <v>6.86580070504175</v>
          </cell>
          <cell r="M73">
            <v>7.071774726193</v>
          </cell>
          <cell r="N73">
            <v>45.3809322659598</v>
          </cell>
        </row>
        <row r="74">
          <cell r="D74">
            <v>14.3333333333333</v>
          </cell>
          <cell r="E74">
            <v>14.7633333333333</v>
          </cell>
          <cell r="F74">
            <v>15.2062333333333</v>
          </cell>
          <cell r="G74">
            <v>15.6624203333333</v>
          </cell>
          <cell r="H74">
            <v>16.1322929433333</v>
          </cell>
          <cell r="I74">
            <v>16.6162617316333</v>
          </cell>
          <cell r="J74">
            <v>78.3805416749667</v>
          </cell>
        </row>
        <row r="74">
          <cell r="L74">
            <v>17.1147495835823</v>
          </cell>
          <cell r="M74">
            <v>17.6281920710898</v>
          </cell>
          <cell r="N74">
            <v>113.123483329639</v>
          </cell>
        </row>
        <row r="75">
          <cell r="D75">
            <v>1620.41666666667</v>
          </cell>
          <cell r="E75">
            <v>1669.02916666667</v>
          </cell>
          <cell r="F75">
            <v>1719.10004166667</v>
          </cell>
          <cell r="G75">
            <v>1770.67304291667</v>
          </cell>
          <cell r="H75">
            <v>1823.79323420417</v>
          </cell>
          <cell r="I75">
            <v>1878.50703123029</v>
          </cell>
          <cell r="J75">
            <v>8861.10251668446</v>
          </cell>
        </row>
        <row r="75">
          <cell r="L75">
            <v>1934.8622421672</v>
          </cell>
          <cell r="M75">
            <v>1992.90810943222</v>
          </cell>
          <cell r="N75">
            <v>12788.8728682839</v>
          </cell>
        </row>
        <row r="76">
          <cell r="D76">
            <v>0</v>
          </cell>
          <cell r="E76">
            <v>0</v>
          </cell>
          <cell r="F76">
            <v>0</v>
          </cell>
          <cell r="G76">
            <v>0</v>
          </cell>
          <cell r="H76">
            <v>0</v>
          </cell>
          <cell r="I76">
            <v>0</v>
          </cell>
          <cell r="J76">
            <v>0</v>
          </cell>
        </row>
        <row r="76">
          <cell r="L76">
            <v>0</v>
          </cell>
          <cell r="M76">
            <v>0</v>
          </cell>
          <cell r="N76">
            <v>0</v>
          </cell>
        </row>
        <row r="77">
          <cell r="D77">
            <v>1620.41666666667</v>
          </cell>
          <cell r="E77">
            <v>1669.02916666667</v>
          </cell>
          <cell r="F77">
            <v>1719.10004166667</v>
          </cell>
          <cell r="G77">
            <v>1770.67304291667</v>
          </cell>
          <cell r="H77">
            <v>1823.79323420417</v>
          </cell>
          <cell r="I77">
            <v>1878.50703123029</v>
          </cell>
          <cell r="J77">
            <v>8861.10251668446</v>
          </cell>
        </row>
        <row r="77">
          <cell r="L77">
            <v>1934.8622421672</v>
          </cell>
          <cell r="M77">
            <v>1992.90810943222</v>
          </cell>
          <cell r="N77">
            <v>12788.8728682839</v>
          </cell>
        </row>
        <row r="79">
          <cell r="D79">
            <v>0</v>
          </cell>
          <cell r="E79">
            <v>0</v>
          </cell>
          <cell r="F79">
            <v>0</v>
          </cell>
          <cell r="G79">
            <v>0</v>
          </cell>
          <cell r="H79">
            <v>0</v>
          </cell>
          <cell r="I79">
            <v>0</v>
          </cell>
          <cell r="J79">
            <v>0</v>
          </cell>
        </row>
        <row r="79">
          <cell r="L79">
            <v>0</v>
          </cell>
          <cell r="M79">
            <v>0</v>
          </cell>
          <cell r="N79">
            <v>0</v>
          </cell>
        </row>
        <row r="80">
          <cell r="D80">
            <v>0</v>
          </cell>
          <cell r="E80">
            <v>0</v>
          </cell>
          <cell r="F80">
            <v>0</v>
          </cell>
          <cell r="G80">
            <v>0</v>
          </cell>
          <cell r="H80">
            <v>0</v>
          </cell>
          <cell r="I80">
            <v>0</v>
          </cell>
          <cell r="J80">
            <v>0</v>
          </cell>
        </row>
        <row r="80">
          <cell r="L80">
            <v>0</v>
          </cell>
          <cell r="M80">
            <v>0</v>
          </cell>
          <cell r="N80">
            <v>0</v>
          </cell>
        </row>
        <row r="81">
          <cell r="D81">
            <v>0</v>
          </cell>
          <cell r="E81">
            <v>0</v>
          </cell>
          <cell r="F81">
            <v>0</v>
          </cell>
          <cell r="G81">
            <v>0</v>
          </cell>
          <cell r="H81">
            <v>0</v>
          </cell>
          <cell r="I81">
            <v>0</v>
          </cell>
          <cell r="J81">
            <v>0</v>
          </cell>
        </row>
        <row r="81">
          <cell r="L81">
            <v>0</v>
          </cell>
          <cell r="M81">
            <v>0</v>
          </cell>
          <cell r="N81">
            <v>0</v>
          </cell>
        </row>
        <row r="82">
          <cell r="D82">
            <v>16.6666666666667</v>
          </cell>
          <cell r="E82">
            <v>17.1666666666667</v>
          </cell>
          <cell r="F82">
            <v>17.6816666666667</v>
          </cell>
          <cell r="G82">
            <v>18.2121166666667</v>
          </cell>
          <cell r="H82">
            <v>18.7584801666667</v>
          </cell>
          <cell r="I82">
            <v>19.3212345716667</v>
          </cell>
          <cell r="J82">
            <v>91.1401647383333</v>
          </cell>
        </row>
        <row r="82">
          <cell r="L82">
            <v>19.9008716088167</v>
          </cell>
          <cell r="M82">
            <v>20.4978977570812</v>
          </cell>
          <cell r="N82">
            <v>131.538934104231</v>
          </cell>
        </row>
        <row r="83">
          <cell r="D83">
            <v>16.6666666666667</v>
          </cell>
          <cell r="E83">
            <v>17.1666666666667</v>
          </cell>
          <cell r="F83">
            <v>17.6816666666667</v>
          </cell>
          <cell r="G83">
            <v>18.2121166666667</v>
          </cell>
          <cell r="H83">
            <v>18.7584801666667</v>
          </cell>
          <cell r="I83">
            <v>19.3212345716667</v>
          </cell>
          <cell r="J83">
            <v>91.1401647383333</v>
          </cell>
        </row>
        <row r="83">
          <cell r="L83">
            <v>19.9008716088167</v>
          </cell>
          <cell r="M83">
            <v>20.4978977570812</v>
          </cell>
          <cell r="N83">
            <v>131.538934104231</v>
          </cell>
        </row>
        <row r="85">
          <cell r="D85">
            <v>1637.08333333333</v>
          </cell>
          <cell r="E85">
            <v>1686.19583333333</v>
          </cell>
          <cell r="F85">
            <v>1736.78170833333</v>
          </cell>
          <cell r="G85">
            <v>1788.88515958333</v>
          </cell>
          <cell r="H85">
            <v>1842.55171437083</v>
          </cell>
          <cell r="I85">
            <v>1897.82826580196</v>
          </cell>
          <cell r="J85">
            <v>8952.24268142279</v>
          </cell>
        </row>
        <row r="85">
          <cell r="L85">
            <v>1954.76311377602</v>
          </cell>
          <cell r="M85">
            <v>2013.4060071893</v>
          </cell>
          <cell r="N85">
            <v>12920.4118023881</v>
          </cell>
        </row>
        <row r="89">
          <cell r="D89" t="str">
            <v>BASE YEAR</v>
          </cell>
          <cell r="E89" t="str">
            <v>YEAR 1</v>
          </cell>
          <cell r="F89" t="str">
            <v>YEAR 2</v>
          </cell>
          <cell r="G89" t="str">
            <v>YEAR 3</v>
          </cell>
          <cell r="H89" t="str">
            <v>YEAR 4</v>
          </cell>
          <cell r="I89" t="str">
            <v xml:space="preserve">YEAR 5 </v>
          </cell>
          <cell r="J89" t="str">
            <v>5 Year Total</v>
          </cell>
        </row>
        <row r="89">
          <cell r="L89" t="str">
            <v>5 YEAR + 1</v>
          </cell>
          <cell r="M89" t="str">
            <v>5 YEAR + 2</v>
          </cell>
          <cell r="N89" t="str">
            <v>7 Year Total</v>
          </cell>
        </row>
        <row r="90">
          <cell r="D90">
            <v>0</v>
          </cell>
          <cell r="E90">
            <v>0</v>
          </cell>
          <cell r="F90">
            <v>0</v>
          </cell>
          <cell r="G90">
            <v>0</v>
          </cell>
          <cell r="H90">
            <v>0</v>
          </cell>
          <cell r="I90">
            <v>0</v>
          </cell>
        </row>
        <row r="90">
          <cell r="L90">
            <v>0</v>
          </cell>
          <cell r="M90">
            <v>0</v>
          </cell>
        </row>
        <row r="91">
          <cell r="D91">
            <v>2</v>
          </cell>
          <cell r="E91">
            <v>2</v>
          </cell>
          <cell r="F91">
            <v>2</v>
          </cell>
          <cell r="G91">
            <v>2</v>
          </cell>
          <cell r="H91">
            <v>2</v>
          </cell>
          <cell r="I91">
            <v>2</v>
          </cell>
        </row>
        <row r="91">
          <cell r="L91">
            <v>2</v>
          </cell>
          <cell r="M91">
            <v>2</v>
          </cell>
        </row>
        <row r="92">
          <cell r="D92">
            <v>2</v>
          </cell>
          <cell r="E92">
            <v>2</v>
          </cell>
          <cell r="F92">
            <v>2</v>
          </cell>
          <cell r="G92">
            <v>2</v>
          </cell>
          <cell r="H92">
            <v>2</v>
          </cell>
          <cell r="I92">
            <v>2</v>
          </cell>
        </row>
        <row r="92">
          <cell r="L92">
            <v>2</v>
          </cell>
          <cell r="M92">
            <v>2</v>
          </cell>
        </row>
        <row r="94">
          <cell r="D94">
            <v>0</v>
          </cell>
          <cell r="E94">
            <v>0</v>
          </cell>
          <cell r="F94">
            <v>0</v>
          </cell>
          <cell r="G94">
            <v>0</v>
          </cell>
          <cell r="H94">
            <v>0</v>
          </cell>
          <cell r="I94">
            <v>0</v>
          </cell>
          <cell r="J94">
            <v>0</v>
          </cell>
        </row>
        <row r="94">
          <cell r="L94">
            <v>0</v>
          </cell>
          <cell r="M94">
            <v>0</v>
          </cell>
          <cell r="N94">
            <v>0</v>
          </cell>
        </row>
        <row r="95">
          <cell r="D95">
            <v>0</v>
          </cell>
          <cell r="E95">
            <v>0</v>
          </cell>
          <cell r="F95">
            <v>0</v>
          </cell>
          <cell r="G95">
            <v>0</v>
          </cell>
          <cell r="H95">
            <v>0</v>
          </cell>
          <cell r="I95">
            <v>0</v>
          </cell>
          <cell r="J95">
            <v>0</v>
          </cell>
        </row>
        <row r="95">
          <cell r="L95">
            <v>0</v>
          </cell>
          <cell r="M95">
            <v>0</v>
          </cell>
          <cell r="N95">
            <v>0</v>
          </cell>
        </row>
        <row r="96">
          <cell r="D96">
            <v>126</v>
          </cell>
          <cell r="E96">
            <v>129.78</v>
          </cell>
          <cell r="F96">
            <v>133.6734</v>
          </cell>
          <cell r="G96">
            <v>137.683602</v>
          </cell>
          <cell r="H96">
            <v>141.81411006</v>
          </cell>
          <cell r="I96">
            <v>146.0685333618</v>
          </cell>
          <cell r="J96">
            <v>689.0196454218</v>
          </cell>
        </row>
        <row r="96">
          <cell r="L96">
            <v>150.450589362654</v>
          </cell>
          <cell r="M96">
            <v>154.964107043534</v>
          </cell>
          <cell r="N96">
            <v>994.434341827988</v>
          </cell>
        </row>
        <row r="97">
          <cell r="D97">
            <v>0</v>
          </cell>
          <cell r="E97">
            <v>0</v>
          </cell>
          <cell r="F97">
            <v>0</v>
          </cell>
          <cell r="G97">
            <v>0</v>
          </cell>
          <cell r="H97">
            <v>0</v>
          </cell>
          <cell r="I97">
            <v>0</v>
          </cell>
          <cell r="J97">
            <v>0</v>
          </cell>
        </row>
        <row r="97">
          <cell r="L97">
            <v>0</v>
          </cell>
          <cell r="M97">
            <v>0</v>
          </cell>
          <cell r="N97">
            <v>0</v>
          </cell>
        </row>
        <row r="98">
          <cell r="D98">
            <v>0</v>
          </cell>
          <cell r="E98">
            <v>0</v>
          </cell>
          <cell r="F98">
            <v>0</v>
          </cell>
          <cell r="G98">
            <v>0</v>
          </cell>
          <cell r="H98">
            <v>0</v>
          </cell>
          <cell r="I98">
            <v>0</v>
          </cell>
          <cell r="J98">
            <v>0</v>
          </cell>
        </row>
        <row r="98">
          <cell r="L98">
            <v>0</v>
          </cell>
          <cell r="M98">
            <v>0</v>
          </cell>
          <cell r="N98">
            <v>0</v>
          </cell>
        </row>
        <row r="99">
          <cell r="D99">
            <v>0</v>
          </cell>
          <cell r="E99">
            <v>0</v>
          </cell>
          <cell r="F99">
            <v>0</v>
          </cell>
          <cell r="G99">
            <v>0</v>
          </cell>
          <cell r="H99">
            <v>0</v>
          </cell>
          <cell r="I99">
            <v>0</v>
          </cell>
          <cell r="J99">
            <v>0</v>
          </cell>
        </row>
        <row r="99">
          <cell r="L99">
            <v>0</v>
          </cell>
          <cell r="M99">
            <v>0</v>
          </cell>
          <cell r="N99">
            <v>0</v>
          </cell>
        </row>
        <row r="100">
          <cell r="D100">
            <v>126</v>
          </cell>
          <cell r="E100">
            <v>129.78</v>
          </cell>
          <cell r="F100">
            <v>133.6734</v>
          </cell>
          <cell r="G100">
            <v>137.683602</v>
          </cell>
          <cell r="H100">
            <v>141.81411006</v>
          </cell>
          <cell r="I100">
            <v>146.0685333618</v>
          </cell>
          <cell r="J100">
            <v>689.0196454218</v>
          </cell>
        </row>
        <row r="100">
          <cell r="L100">
            <v>150.450589362654</v>
          </cell>
          <cell r="M100">
            <v>154.964107043534</v>
          </cell>
          <cell r="N100">
            <v>994.434341827988</v>
          </cell>
        </row>
        <row r="101">
          <cell r="D101">
            <v>0</v>
          </cell>
          <cell r="E101">
            <v>0</v>
          </cell>
          <cell r="F101">
            <v>0</v>
          </cell>
          <cell r="G101">
            <v>0</v>
          </cell>
          <cell r="H101">
            <v>0</v>
          </cell>
          <cell r="I101">
            <v>0</v>
          </cell>
          <cell r="J101">
            <v>0</v>
          </cell>
        </row>
        <row r="101">
          <cell r="L101">
            <v>0</v>
          </cell>
          <cell r="M101">
            <v>0</v>
          </cell>
          <cell r="N101">
            <v>0</v>
          </cell>
        </row>
        <row r="102">
          <cell r="D102">
            <v>0</v>
          </cell>
          <cell r="E102">
            <v>0</v>
          </cell>
          <cell r="F102">
            <v>0</v>
          </cell>
          <cell r="G102">
            <v>0</v>
          </cell>
          <cell r="H102">
            <v>0</v>
          </cell>
          <cell r="I102">
            <v>0</v>
          </cell>
          <cell r="J102">
            <v>0</v>
          </cell>
        </row>
        <row r="102">
          <cell r="L102">
            <v>0</v>
          </cell>
          <cell r="M102">
            <v>0</v>
          </cell>
          <cell r="N102">
            <v>0</v>
          </cell>
        </row>
        <row r="103">
          <cell r="D103">
            <v>0</v>
          </cell>
          <cell r="E103">
            <v>0</v>
          </cell>
          <cell r="F103">
            <v>0</v>
          </cell>
          <cell r="G103">
            <v>0</v>
          </cell>
          <cell r="H103">
            <v>0</v>
          </cell>
          <cell r="I103">
            <v>0</v>
          </cell>
          <cell r="J103">
            <v>0</v>
          </cell>
        </row>
        <row r="103">
          <cell r="L103">
            <v>0</v>
          </cell>
          <cell r="M103">
            <v>0</v>
          </cell>
          <cell r="N103">
            <v>0</v>
          </cell>
        </row>
        <row r="104">
          <cell r="D104">
            <v>0</v>
          </cell>
          <cell r="E104">
            <v>0</v>
          </cell>
          <cell r="F104">
            <v>0</v>
          </cell>
          <cell r="G104">
            <v>0</v>
          </cell>
          <cell r="H104">
            <v>0</v>
          </cell>
          <cell r="I104">
            <v>0</v>
          </cell>
          <cell r="J104">
            <v>0</v>
          </cell>
        </row>
        <row r="104">
          <cell r="L104">
            <v>0</v>
          </cell>
          <cell r="M104">
            <v>0</v>
          </cell>
          <cell r="N104">
            <v>0</v>
          </cell>
        </row>
        <row r="105">
          <cell r="D105">
            <v>0</v>
          </cell>
          <cell r="E105">
            <v>0</v>
          </cell>
          <cell r="F105">
            <v>0</v>
          </cell>
          <cell r="G105">
            <v>0</v>
          </cell>
          <cell r="H105">
            <v>0</v>
          </cell>
          <cell r="I105">
            <v>0</v>
          </cell>
          <cell r="J105">
            <v>0</v>
          </cell>
        </row>
        <row r="105">
          <cell r="L105">
            <v>0</v>
          </cell>
          <cell r="M105">
            <v>0</v>
          </cell>
          <cell r="N105">
            <v>0</v>
          </cell>
        </row>
        <row r="106">
          <cell r="D106">
            <v>0</v>
          </cell>
          <cell r="E106">
            <v>0</v>
          </cell>
          <cell r="F106">
            <v>0</v>
          </cell>
          <cell r="G106">
            <v>0</v>
          </cell>
          <cell r="H106">
            <v>0</v>
          </cell>
          <cell r="I106">
            <v>0</v>
          </cell>
          <cell r="J106">
            <v>0</v>
          </cell>
        </row>
        <row r="106">
          <cell r="L106">
            <v>0</v>
          </cell>
          <cell r="M106">
            <v>0</v>
          </cell>
          <cell r="N106">
            <v>0</v>
          </cell>
        </row>
        <row r="107">
          <cell r="D107">
            <v>0</v>
          </cell>
          <cell r="E107">
            <v>0</v>
          </cell>
          <cell r="F107">
            <v>0</v>
          </cell>
          <cell r="G107">
            <v>0</v>
          </cell>
          <cell r="H107">
            <v>0</v>
          </cell>
          <cell r="I107">
            <v>0</v>
          </cell>
          <cell r="J107">
            <v>0</v>
          </cell>
        </row>
        <row r="107">
          <cell r="L107">
            <v>0</v>
          </cell>
          <cell r="M107">
            <v>0</v>
          </cell>
          <cell r="N107">
            <v>0</v>
          </cell>
        </row>
        <row r="108">
          <cell r="D108">
            <v>0</v>
          </cell>
          <cell r="E108">
            <v>0</v>
          </cell>
          <cell r="F108">
            <v>0</v>
          </cell>
          <cell r="G108">
            <v>0</v>
          </cell>
          <cell r="H108">
            <v>0</v>
          </cell>
          <cell r="I108">
            <v>0</v>
          </cell>
          <cell r="J108">
            <v>0</v>
          </cell>
        </row>
        <row r="108">
          <cell r="L108">
            <v>0</v>
          </cell>
          <cell r="M108">
            <v>0</v>
          </cell>
          <cell r="N108">
            <v>0</v>
          </cell>
        </row>
        <row r="109">
          <cell r="D109">
            <v>0</v>
          </cell>
          <cell r="E109">
            <v>0</v>
          </cell>
          <cell r="F109">
            <v>0</v>
          </cell>
          <cell r="G109">
            <v>0</v>
          </cell>
          <cell r="H109">
            <v>0</v>
          </cell>
          <cell r="I109">
            <v>0</v>
          </cell>
          <cell r="J109">
            <v>0</v>
          </cell>
        </row>
        <row r="109">
          <cell r="L109">
            <v>0</v>
          </cell>
          <cell r="M109">
            <v>0</v>
          </cell>
          <cell r="N109">
            <v>0</v>
          </cell>
        </row>
        <row r="110">
          <cell r="D110">
            <v>0</v>
          </cell>
          <cell r="E110">
            <v>0</v>
          </cell>
          <cell r="F110">
            <v>0</v>
          </cell>
          <cell r="G110">
            <v>0</v>
          </cell>
          <cell r="H110">
            <v>0</v>
          </cell>
          <cell r="I110">
            <v>0</v>
          </cell>
          <cell r="J110">
            <v>0</v>
          </cell>
        </row>
        <row r="110">
          <cell r="L110">
            <v>0</v>
          </cell>
          <cell r="M110">
            <v>0</v>
          </cell>
          <cell r="N110">
            <v>0</v>
          </cell>
        </row>
        <row r="111">
          <cell r="D111">
            <v>0</v>
          </cell>
          <cell r="E111">
            <v>0</v>
          </cell>
          <cell r="F111">
            <v>0</v>
          </cell>
          <cell r="G111">
            <v>0</v>
          </cell>
          <cell r="H111">
            <v>0</v>
          </cell>
          <cell r="I111">
            <v>0</v>
          </cell>
          <cell r="J111">
            <v>0</v>
          </cell>
        </row>
        <row r="111">
          <cell r="L111">
            <v>0</v>
          </cell>
          <cell r="M111">
            <v>0</v>
          </cell>
          <cell r="N111">
            <v>0</v>
          </cell>
        </row>
        <row r="112">
          <cell r="D112">
            <v>0</v>
          </cell>
          <cell r="E112">
            <v>0</v>
          </cell>
          <cell r="F112">
            <v>0</v>
          </cell>
          <cell r="G112">
            <v>0</v>
          </cell>
          <cell r="H112">
            <v>0</v>
          </cell>
          <cell r="I112">
            <v>0</v>
          </cell>
          <cell r="J112">
            <v>0</v>
          </cell>
        </row>
        <row r="112">
          <cell r="L112">
            <v>0</v>
          </cell>
          <cell r="M112">
            <v>0</v>
          </cell>
          <cell r="N112">
            <v>0</v>
          </cell>
        </row>
        <row r="113">
          <cell r="D113">
            <v>0</v>
          </cell>
          <cell r="E113">
            <v>0</v>
          </cell>
          <cell r="F113">
            <v>0</v>
          </cell>
          <cell r="G113">
            <v>0</v>
          </cell>
          <cell r="H113">
            <v>0</v>
          </cell>
          <cell r="I113">
            <v>0</v>
          </cell>
          <cell r="J113">
            <v>0</v>
          </cell>
        </row>
        <row r="113">
          <cell r="L113">
            <v>0</v>
          </cell>
          <cell r="M113">
            <v>0</v>
          </cell>
          <cell r="N113">
            <v>0</v>
          </cell>
        </row>
        <row r="114">
          <cell r="D114">
            <v>0</v>
          </cell>
          <cell r="E114">
            <v>0</v>
          </cell>
          <cell r="F114">
            <v>0</v>
          </cell>
          <cell r="G114">
            <v>0</v>
          </cell>
          <cell r="H114">
            <v>0</v>
          </cell>
          <cell r="I114">
            <v>0</v>
          </cell>
          <cell r="J114">
            <v>0</v>
          </cell>
        </row>
        <row r="114">
          <cell r="L114">
            <v>0</v>
          </cell>
          <cell r="M114">
            <v>0</v>
          </cell>
          <cell r="N114">
            <v>0</v>
          </cell>
        </row>
        <row r="115">
          <cell r="D115">
            <v>0</v>
          </cell>
          <cell r="E115">
            <v>0</v>
          </cell>
          <cell r="F115">
            <v>0</v>
          </cell>
          <cell r="G115">
            <v>0</v>
          </cell>
          <cell r="H115">
            <v>0</v>
          </cell>
          <cell r="I115">
            <v>0</v>
          </cell>
          <cell r="J115">
            <v>0</v>
          </cell>
        </row>
        <row r="115">
          <cell r="L115">
            <v>0</v>
          </cell>
          <cell r="M115">
            <v>0</v>
          </cell>
          <cell r="N115">
            <v>0</v>
          </cell>
        </row>
        <row r="116">
          <cell r="D116">
            <v>0</v>
          </cell>
          <cell r="E116">
            <v>0</v>
          </cell>
          <cell r="F116">
            <v>0</v>
          </cell>
          <cell r="G116">
            <v>0</v>
          </cell>
          <cell r="H116">
            <v>0</v>
          </cell>
          <cell r="I116">
            <v>0</v>
          </cell>
          <cell r="J116">
            <v>0</v>
          </cell>
        </row>
        <row r="116">
          <cell r="L116">
            <v>0</v>
          </cell>
          <cell r="M116">
            <v>0</v>
          </cell>
          <cell r="N116">
            <v>0</v>
          </cell>
        </row>
        <row r="117">
          <cell r="D117">
            <v>0</v>
          </cell>
          <cell r="E117">
            <v>0</v>
          </cell>
          <cell r="F117">
            <v>0</v>
          </cell>
          <cell r="G117">
            <v>0</v>
          </cell>
          <cell r="H117">
            <v>0</v>
          </cell>
          <cell r="I117">
            <v>0</v>
          </cell>
          <cell r="J117">
            <v>0</v>
          </cell>
        </row>
        <row r="117">
          <cell r="L117">
            <v>0</v>
          </cell>
          <cell r="M117">
            <v>0</v>
          </cell>
          <cell r="N117">
            <v>0</v>
          </cell>
        </row>
        <row r="118">
          <cell r="D118">
            <v>0</v>
          </cell>
          <cell r="E118">
            <v>0</v>
          </cell>
          <cell r="F118">
            <v>0</v>
          </cell>
          <cell r="G118">
            <v>0</v>
          </cell>
          <cell r="H118">
            <v>0</v>
          </cell>
          <cell r="I118">
            <v>0</v>
          </cell>
          <cell r="J118">
            <v>0</v>
          </cell>
        </row>
        <row r="118">
          <cell r="L118">
            <v>0</v>
          </cell>
          <cell r="M118">
            <v>0</v>
          </cell>
          <cell r="N118">
            <v>0</v>
          </cell>
        </row>
        <row r="119">
          <cell r="D119">
            <v>126</v>
          </cell>
          <cell r="E119">
            <v>129.78</v>
          </cell>
          <cell r="F119">
            <v>133.6734</v>
          </cell>
          <cell r="G119">
            <v>137.683602</v>
          </cell>
          <cell r="H119">
            <v>141.81411006</v>
          </cell>
          <cell r="I119">
            <v>146.0685333618</v>
          </cell>
          <cell r="J119">
            <v>689.0196454218</v>
          </cell>
        </row>
        <row r="119">
          <cell r="L119">
            <v>150.450589362654</v>
          </cell>
          <cell r="M119">
            <v>154.964107043534</v>
          </cell>
          <cell r="N119">
            <v>994.434341827988</v>
          </cell>
        </row>
        <row r="120">
          <cell r="D120">
            <v>0</v>
          </cell>
          <cell r="E120">
            <v>0</v>
          </cell>
          <cell r="F120">
            <v>0</v>
          </cell>
          <cell r="G120">
            <v>0</v>
          </cell>
          <cell r="H120">
            <v>0</v>
          </cell>
          <cell r="I120">
            <v>0</v>
          </cell>
          <cell r="J120">
            <v>0</v>
          </cell>
        </row>
        <row r="120">
          <cell r="L120">
            <v>0</v>
          </cell>
          <cell r="M120">
            <v>0</v>
          </cell>
          <cell r="N120">
            <v>0</v>
          </cell>
        </row>
        <row r="121">
          <cell r="D121">
            <v>126</v>
          </cell>
          <cell r="E121">
            <v>129.78</v>
          </cell>
          <cell r="F121">
            <v>133.6734</v>
          </cell>
          <cell r="G121">
            <v>137.683602</v>
          </cell>
          <cell r="H121">
            <v>141.81411006</v>
          </cell>
          <cell r="I121">
            <v>146.0685333618</v>
          </cell>
          <cell r="J121">
            <v>689.0196454218</v>
          </cell>
        </row>
        <row r="121">
          <cell r="L121">
            <v>150.450589362654</v>
          </cell>
          <cell r="M121">
            <v>154.964107043534</v>
          </cell>
          <cell r="N121">
            <v>994.434341827988</v>
          </cell>
        </row>
        <row r="123">
          <cell r="D123">
            <v>0</v>
          </cell>
          <cell r="E123">
            <v>0</v>
          </cell>
          <cell r="F123">
            <v>0</v>
          </cell>
          <cell r="G123">
            <v>0</v>
          </cell>
          <cell r="H123">
            <v>0</v>
          </cell>
          <cell r="I123">
            <v>0</v>
          </cell>
          <cell r="J123">
            <v>0</v>
          </cell>
        </row>
        <row r="123">
          <cell r="L123">
            <v>0</v>
          </cell>
          <cell r="M123">
            <v>0</v>
          </cell>
          <cell r="N123">
            <v>0</v>
          </cell>
        </row>
        <row r="124">
          <cell r="D124">
            <v>0</v>
          </cell>
          <cell r="E124">
            <v>0</v>
          </cell>
          <cell r="F124">
            <v>0</v>
          </cell>
          <cell r="G124">
            <v>0</v>
          </cell>
          <cell r="H124">
            <v>0</v>
          </cell>
          <cell r="I124">
            <v>0</v>
          </cell>
          <cell r="J124">
            <v>0</v>
          </cell>
        </row>
        <row r="124">
          <cell r="L124">
            <v>0</v>
          </cell>
          <cell r="M124">
            <v>0</v>
          </cell>
          <cell r="N124">
            <v>0</v>
          </cell>
        </row>
        <row r="125">
          <cell r="D125">
            <v>0</v>
          </cell>
          <cell r="E125">
            <v>0</v>
          </cell>
          <cell r="F125">
            <v>0</v>
          </cell>
          <cell r="G125">
            <v>0</v>
          </cell>
          <cell r="H125">
            <v>0</v>
          </cell>
          <cell r="I125">
            <v>0</v>
          </cell>
          <cell r="J125">
            <v>0</v>
          </cell>
        </row>
        <row r="125">
          <cell r="L125">
            <v>0</v>
          </cell>
          <cell r="M125">
            <v>0</v>
          </cell>
          <cell r="N125">
            <v>0</v>
          </cell>
        </row>
        <row r="126">
          <cell r="D126">
            <v>0</v>
          </cell>
          <cell r="E126">
            <v>0</v>
          </cell>
          <cell r="F126">
            <v>0</v>
          </cell>
          <cell r="G126">
            <v>0</v>
          </cell>
          <cell r="H126">
            <v>0</v>
          </cell>
          <cell r="I126">
            <v>0</v>
          </cell>
          <cell r="J126">
            <v>0</v>
          </cell>
        </row>
        <row r="126">
          <cell r="L126">
            <v>0</v>
          </cell>
          <cell r="M126">
            <v>0</v>
          </cell>
          <cell r="N126">
            <v>0</v>
          </cell>
        </row>
        <row r="127">
          <cell r="D127">
            <v>0</v>
          </cell>
          <cell r="E127">
            <v>0</v>
          </cell>
          <cell r="F127">
            <v>0</v>
          </cell>
          <cell r="G127">
            <v>0</v>
          </cell>
          <cell r="H127">
            <v>0</v>
          </cell>
          <cell r="I127">
            <v>0</v>
          </cell>
          <cell r="J127">
            <v>0</v>
          </cell>
        </row>
        <row r="127">
          <cell r="L127">
            <v>0</v>
          </cell>
          <cell r="M127">
            <v>0</v>
          </cell>
          <cell r="N127">
            <v>0</v>
          </cell>
        </row>
        <row r="129">
          <cell r="D129">
            <v>126</v>
          </cell>
          <cell r="E129">
            <v>129.78</v>
          </cell>
          <cell r="F129">
            <v>133.6734</v>
          </cell>
          <cell r="G129">
            <v>137.683602</v>
          </cell>
          <cell r="H129">
            <v>141.81411006</v>
          </cell>
          <cell r="I129">
            <v>146.0685333618</v>
          </cell>
          <cell r="J129">
            <v>689.0196454218</v>
          </cell>
        </row>
        <row r="129">
          <cell r="L129">
            <v>150.450589362654</v>
          </cell>
          <cell r="M129">
            <v>154.964107043534</v>
          </cell>
          <cell r="N129">
            <v>994.434341827988</v>
          </cell>
        </row>
        <row r="132">
          <cell r="D132" t="str">
            <v>BASE YEAR</v>
          </cell>
          <cell r="E132" t="str">
            <v>YEAR 1</v>
          </cell>
          <cell r="F132" t="str">
            <v>YEAR 2</v>
          </cell>
          <cell r="G132" t="str">
            <v>YEAR 3</v>
          </cell>
          <cell r="H132" t="str">
            <v>YEAR 4</v>
          </cell>
          <cell r="I132" t="str">
            <v xml:space="preserve">YEAR 5 </v>
          </cell>
          <cell r="J132" t="str">
            <v>5 Year  Total</v>
          </cell>
        </row>
        <row r="132">
          <cell r="L132" t="str">
            <v>5 YEAR + 1</v>
          </cell>
          <cell r="M132" t="str">
            <v>5 YEAR + 2</v>
          </cell>
          <cell r="N132" t="str">
            <v>7 Year  Total</v>
          </cell>
        </row>
        <row r="133">
          <cell r="D133">
            <v>19</v>
          </cell>
          <cell r="E133">
            <v>19</v>
          </cell>
          <cell r="F133">
            <v>19</v>
          </cell>
          <cell r="G133">
            <v>19</v>
          </cell>
          <cell r="H133">
            <v>19</v>
          </cell>
          <cell r="I133">
            <v>19</v>
          </cell>
        </row>
        <row r="133">
          <cell r="L133">
            <v>19</v>
          </cell>
          <cell r="M133">
            <v>19</v>
          </cell>
        </row>
        <row r="134">
          <cell r="D134">
            <v>0</v>
          </cell>
          <cell r="E134">
            <v>0</v>
          </cell>
          <cell r="F134">
            <v>0</v>
          </cell>
          <cell r="G134">
            <v>0</v>
          </cell>
          <cell r="H134">
            <v>0</v>
          </cell>
          <cell r="I134">
            <v>0</v>
          </cell>
        </row>
        <row r="134">
          <cell r="L134">
            <v>0</v>
          </cell>
          <cell r="M134">
            <v>0</v>
          </cell>
        </row>
        <row r="135">
          <cell r="D135">
            <v>19</v>
          </cell>
          <cell r="E135">
            <v>19</v>
          </cell>
          <cell r="F135">
            <v>19</v>
          </cell>
          <cell r="G135">
            <v>19</v>
          </cell>
          <cell r="H135">
            <v>19</v>
          </cell>
          <cell r="I135">
            <v>19</v>
          </cell>
        </row>
        <row r="135">
          <cell r="L135">
            <v>19</v>
          </cell>
          <cell r="M135">
            <v>19</v>
          </cell>
        </row>
        <row r="137">
          <cell r="D137">
            <v>1401.69444444444</v>
          </cell>
          <cell r="E137">
            <v>1443.74527777778</v>
          </cell>
          <cell r="F137">
            <v>1487.05763611111</v>
          </cell>
          <cell r="G137">
            <v>1531.66936519444</v>
          </cell>
          <cell r="H137">
            <v>1577.61944615028</v>
          </cell>
          <cell r="I137">
            <v>1624.94802953479</v>
          </cell>
          <cell r="J137">
            <v>7665.0397547684</v>
          </cell>
        </row>
        <row r="137">
          <cell r="L137">
            <v>1673.69647042083</v>
          </cell>
          <cell r="M137">
            <v>1723.90736453346</v>
          </cell>
          <cell r="N137">
            <v>11062.6435897227</v>
          </cell>
        </row>
        <row r="138">
          <cell r="D138">
            <v>464.833333333333</v>
          </cell>
          <cell r="E138">
            <v>478.778333333333</v>
          </cell>
          <cell r="F138">
            <v>493.141683333333</v>
          </cell>
          <cell r="G138">
            <v>507.935933833333</v>
          </cell>
          <cell r="H138">
            <v>523.174011848333</v>
          </cell>
          <cell r="I138">
            <v>538.869232203783</v>
          </cell>
          <cell r="J138">
            <v>2541.89919455212</v>
          </cell>
        </row>
        <row r="138">
          <cell r="L138">
            <v>555.035309169897</v>
          </cell>
          <cell r="M138">
            <v>571.686368444994</v>
          </cell>
          <cell r="N138">
            <v>3668.62087216701</v>
          </cell>
        </row>
        <row r="139">
          <cell r="D139">
            <v>52.8888888888889</v>
          </cell>
          <cell r="E139">
            <v>54.4755555555556</v>
          </cell>
          <cell r="F139">
            <v>56.1098222222222</v>
          </cell>
          <cell r="G139">
            <v>57.7931168888889</v>
          </cell>
          <cell r="H139">
            <v>59.5269103955556</v>
          </cell>
          <cell r="I139">
            <v>61.3127177074222</v>
          </cell>
          <cell r="J139">
            <v>289.218122769645</v>
          </cell>
        </row>
        <row r="139">
          <cell r="L139">
            <v>63.1520992386449</v>
          </cell>
          <cell r="M139">
            <v>65.0466622158043</v>
          </cell>
          <cell r="N139">
            <v>417.416884224094</v>
          </cell>
        </row>
        <row r="140">
          <cell r="D140">
            <v>33.7777777777778</v>
          </cell>
          <cell r="E140">
            <v>34.7911111111111</v>
          </cell>
          <cell r="F140">
            <v>35.8348444444445</v>
          </cell>
          <cell r="G140">
            <v>36.9098897777778</v>
          </cell>
          <cell r="H140">
            <v>38.0171864711111</v>
          </cell>
          <cell r="I140">
            <v>39.1577020652445</v>
          </cell>
          <cell r="J140">
            <v>184.710733869689</v>
          </cell>
        </row>
        <row r="140">
          <cell r="L140">
            <v>40.3324331272018</v>
          </cell>
          <cell r="M140">
            <v>41.5424061210178</v>
          </cell>
          <cell r="N140">
            <v>266.585573117909</v>
          </cell>
        </row>
        <row r="141">
          <cell r="D141">
            <v>13.8055555555556</v>
          </cell>
          <cell r="E141">
            <v>14.2197222222222</v>
          </cell>
          <cell r="F141">
            <v>14.6463138888889</v>
          </cell>
          <cell r="G141">
            <v>15.0857033055556</v>
          </cell>
          <cell r="H141">
            <v>15.5382744047222</v>
          </cell>
          <cell r="I141">
            <v>16.0044226368639</v>
          </cell>
          <cell r="J141">
            <v>75.4944364582528</v>
          </cell>
        </row>
        <row r="141">
          <cell r="L141">
            <v>16.4845553159698</v>
          </cell>
          <cell r="M141">
            <v>16.9790919754489</v>
          </cell>
          <cell r="N141">
            <v>108.958083749671</v>
          </cell>
        </row>
        <row r="142">
          <cell r="D142">
            <v>43.5833333333333</v>
          </cell>
          <cell r="E142">
            <v>44.8908333333333</v>
          </cell>
          <cell r="F142">
            <v>46.2375583333333</v>
          </cell>
          <cell r="G142">
            <v>47.6246850833333</v>
          </cell>
          <cell r="H142">
            <v>49.0534256358333</v>
          </cell>
          <cell r="I142">
            <v>50.5250284049083</v>
          </cell>
          <cell r="J142">
            <v>238.331530790742</v>
          </cell>
        </row>
        <row r="142">
          <cell r="L142">
            <v>52.0407792570556</v>
          </cell>
          <cell r="M142">
            <v>53.6020026347673</v>
          </cell>
          <cell r="N142">
            <v>343.974312682564</v>
          </cell>
        </row>
        <row r="143">
          <cell r="D143">
            <v>2010.58333333333</v>
          </cell>
          <cell r="E143">
            <v>2070.90083333333</v>
          </cell>
          <cell r="F143">
            <v>2133.02785833333</v>
          </cell>
          <cell r="G143">
            <v>2197.01869408333</v>
          </cell>
          <cell r="H143">
            <v>2262.92925490583</v>
          </cell>
          <cell r="I143">
            <v>2330.81713255301</v>
          </cell>
          <cell r="J143">
            <v>10994.6937732088</v>
          </cell>
        </row>
        <row r="143">
          <cell r="L143">
            <v>2400.7416465296</v>
          </cell>
          <cell r="M143">
            <v>2472.76389592549</v>
          </cell>
          <cell r="N143">
            <v>15868.1993156639</v>
          </cell>
        </row>
        <row r="144">
          <cell r="D144">
            <v>0</v>
          </cell>
          <cell r="E144">
            <v>0</v>
          </cell>
          <cell r="F144">
            <v>0</v>
          </cell>
          <cell r="G144">
            <v>0</v>
          </cell>
          <cell r="H144">
            <v>0</v>
          </cell>
          <cell r="I144">
            <v>0</v>
          </cell>
          <cell r="J144">
            <v>0</v>
          </cell>
        </row>
        <row r="144">
          <cell r="L144">
            <v>0</v>
          </cell>
          <cell r="M144">
            <v>0</v>
          </cell>
          <cell r="N144">
            <v>0</v>
          </cell>
        </row>
        <row r="145">
          <cell r="D145">
            <v>0</v>
          </cell>
          <cell r="E145">
            <v>0</v>
          </cell>
          <cell r="F145">
            <v>0</v>
          </cell>
          <cell r="G145">
            <v>0</v>
          </cell>
          <cell r="H145">
            <v>0</v>
          </cell>
          <cell r="I145">
            <v>0</v>
          </cell>
          <cell r="J145">
            <v>0</v>
          </cell>
        </row>
        <row r="145">
          <cell r="L145">
            <v>0</v>
          </cell>
          <cell r="M145">
            <v>0</v>
          </cell>
          <cell r="N145">
            <v>0</v>
          </cell>
        </row>
        <row r="146">
          <cell r="D146">
            <v>0</v>
          </cell>
          <cell r="E146">
            <v>0</v>
          </cell>
          <cell r="F146">
            <v>0</v>
          </cell>
          <cell r="G146">
            <v>0</v>
          </cell>
          <cell r="H146">
            <v>0</v>
          </cell>
          <cell r="I146">
            <v>0</v>
          </cell>
          <cell r="J146">
            <v>0</v>
          </cell>
        </row>
        <row r="146">
          <cell r="L146">
            <v>0</v>
          </cell>
          <cell r="M146">
            <v>0</v>
          </cell>
          <cell r="N146">
            <v>0</v>
          </cell>
        </row>
        <row r="147">
          <cell r="D147">
            <v>10.6666666666667</v>
          </cell>
          <cell r="E147">
            <v>10.9866666666667</v>
          </cell>
          <cell r="F147">
            <v>11.3162666666667</v>
          </cell>
          <cell r="G147">
            <v>11.6557546666667</v>
          </cell>
          <cell r="H147">
            <v>12.0054273066667</v>
          </cell>
          <cell r="I147">
            <v>12.3655901258667</v>
          </cell>
          <cell r="J147">
            <v>58.3297054325333</v>
          </cell>
        </row>
        <row r="147">
          <cell r="L147">
            <v>12.7365578296427</v>
          </cell>
          <cell r="M147">
            <v>13.118654564532</v>
          </cell>
          <cell r="N147">
            <v>84.184917826708</v>
          </cell>
        </row>
        <row r="148">
          <cell r="D148">
            <v>0</v>
          </cell>
          <cell r="E148">
            <v>0</v>
          </cell>
          <cell r="F148">
            <v>0</v>
          </cell>
          <cell r="G148">
            <v>0</v>
          </cell>
          <cell r="H148">
            <v>0</v>
          </cell>
          <cell r="I148">
            <v>0</v>
          </cell>
          <cell r="J148">
            <v>0</v>
          </cell>
        </row>
        <row r="148">
          <cell r="L148">
            <v>0</v>
          </cell>
          <cell r="M148">
            <v>0</v>
          </cell>
          <cell r="N148">
            <v>0</v>
          </cell>
        </row>
        <row r="149">
          <cell r="D149">
            <v>0</v>
          </cell>
          <cell r="E149">
            <v>0</v>
          </cell>
          <cell r="F149">
            <v>0</v>
          </cell>
          <cell r="G149">
            <v>0</v>
          </cell>
          <cell r="H149">
            <v>0</v>
          </cell>
          <cell r="I149">
            <v>0</v>
          </cell>
          <cell r="J149">
            <v>0</v>
          </cell>
        </row>
        <row r="149">
          <cell r="L149">
            <v>0</v>
          </cell>
          <cell r="M149">
            <v>0</v>
          </cell>
          <cell r="N149">
            <v>0</v>
          </cell>
        </row>
        <row r="150">
          <cell r="D150">
            <v>0</v>
          </cell>
          <cell r="E150">
            <v>0</v>
          </cell>
          <cell r="F150">
            <v>0</v>
          </cell>
          <cell r="G150">
            <v>0</v>
          </cell>
          <cell r="H150">
            <v>0</v>
          </cell>
          <cell r="I150">
            <v>0</v>
          </cell>
          <cell r="J150">
            <v>0</v>
          </cell>
        </row>
        <row r="150">
          <cell r="L150">
            <v>0</v>
          </cell>
          <cell r="M150">
            <v>0</v>
          </cell>
          <cell r="N150">
            <v>0</v>
          </cell>
        </row>
        <row r="151">
          <cell r="D151">
            <v>74.6666666666667</v>
          </cell>
          <cell r="E151">
            <v>76.9066666666667</v>
          </cell>
          <cell r="F151">
            <v>79.2138666666667</v>
          </cell>
          <cell r="G151">
            <v>81.5902826666667</v>
          </cell>
          <cell r="H151">
            <v>84.0379911466667</v>
          </cell>
          <cell r="I151">
            <v>86.5591308810667</v>
          </cell>
          <cell r="J151">
            <v>408.307938027734</v>
          </cell>
        </row>
        <row r="151">
          <cell r="L151">
            <v>89.1559048074987</v>
          </cell>
          <cell r="M151">
            <v>91.8305819517237</v>
          </cell>
          <cell r="N151">
            <v>589.294424786956</v>
          </cell>
        </row>
        <row r="152">
          <cell r="D152">
            <v>85.3333333333333</v>
          </cell>
          <cell r="E152">
            <v>87.8933333333334</v>
          </cell>
          <cell r="F152">
            <v>90.5301333333334</v>
          </cell>
          <cell r="G152">
            <v>93.2460373333334</v>
          </cell>
          <cell r="H152">
            <v>96.0434184533334</v>
          </cell>
          <cell r="I152">
            <v>98.9247210069334</v>
          </cell>
          <cell r="J152">
            <v>466.637643460267</v>
          </cell>
        </row>
        <row r="152">
          <cell r="L152">
            <v>101.892462637141</v>
          </cell>
          <cell r="M152">
            <v>104.949236516256</v>
          </cell>
          <cell r="N152">
            <v>673.479342613664</v>
          </cell>
        </row>
        <row r="153">
          <cell r="D153">
            <v>0</v>
          </cell>
          <cell r="E153">
            <v>0</v>
          </cell>
          <cell r="F153">
            <v>0</v>
          </cell>
          <cell r="G153">
            <v>0</v>
          </cell>
          <cell r="H153">
            <v>0</v>
          </cell>
          <cell r="I153">
            <v>0</v>
          </cell>
          <cell r="J153">
            <v>0</v>
          </cell>
        </row>
        <row r="153">
          <cell r="L153">
            <v>0</v>
          </cell>
          <cell r="M153">
            <v>0</v>
          </cell>
          <cell r="N153">
            <v>0</v>
          </cell>
        </row>
        <row r="154">
          <cell r="D154">
            <v>9.13888888888889</v>
          </cell>
          <cell r="E154">
            <v>9.41305555555556</v>
          </cell>
          <cell r="F154">
            <v>9.69544722222222</v>
          </cell>
          <cell r="G154">
            <v>9.98631063888889</v>
          </cell>
          <cell r="H154">
            <v>10.2858999580556</v>
          </cell>
          <cell r="I154">
            <v>10.5944769567972</v>
          </cell>
          <cell r="J154">
            <v>49.9751903315195</v>
          </cell>
        </row>
        <row r="154">
          <cell r="L154">
            <v>10.9123112655011</v>
          </cell>
          <cell r="M154">
            <v>11.2396806034662</v>
          </cell>
          <cell r="N154">
            <v>72.1271822004868</v>
          </cell>
        </row>
        <row r="155">
          <cell r="D155">
            <v>0</v>
          </cell>
          <cell r="E155">
            <v>0</v>
          </cell>
          <cell r="F155">
            <v>0</v>
          </cell>
          <cell r="G155">
            <v>0</v>
          </cell>
          <cell r="H155">
            <v>0</v>
          </cell>
          <cell r="I155">
            <v>0</v>
          </cell>
          <cell r="J155">
            <v>0</v>
          </cell>
        </row>
        <row r="155">
          <cell r="L155">
            <v>0</v>
          </cell>
          <cell r="M155">
            <v>0</v>
          </cell>
          <cell r="N155">
            <v>0</v>
          </cell>
        </row>
        <row r="156">
          <cell r="D156">
            <v>20.6111111111111</v>
          </cell>
          <cell r="E156">
            <v>21.2294444444444</v>
          </cell>
          <cell r="F156">
            <v>21.8663277777778</v>
          </cell>
          <cell r="G156">
            <v>22.5223176111111</v>
          </cell>
          <cell r="H156">
            <v>23.1979871394444</v>
          </cell>
          <cell r="I156">
            <v>23.8939267536278</v>
          </cell>
          <cell r="J156">
            <v>112.710003726406</v>
          </cell>
        </row>
        <row r="156">
          <cell r="L156">
            <v>24.6107445562366</v>
          </cell>
          <cell r="M156">
            <v>25.3490668929237</v>
          </cell>
          <cell r="N156">
            <v>162.669815175566</v>
          </cell>
        </row>
        <row r="157">
          <cell r="D157">
            <v>0.666666666666667</v>
          </cell>
          <cell r="E157">
            <v>0.686666666666667</v>
          </cell>
          <cell r="F157">
            <v>0.707266666666667</v>
          </cell>
          <cell r="G157">
            <v>0.728484666666667</v>
          </cell>
          <cell r="H157">
            <v>0.750339206666667</v>
          </cell>
          <cell r="I157">
            <v>0.772849382866667</v>
          </cell>
          <cell r="J157">
            <v>3.64560658953333</v>
          </cell>
        </row>
        <row r="157">
          <cell r="L157">
            <v>0.796034864352667</v>
          </cell>
          <cell r="M157">
            <v>0.819915910283247</v>
          </cell>
          <cell r="N157">
            <v>5.26155736416925</v>
          </cell>
        </row>
        <row r="158">
          <cell r="D158">
            <v>68</v>
          </cell>
          <cell r="E158">
            <v>70.04</v>
          </cell>
          <cell r="F158">
            <v>72.1412</v>
          </cell>
          <cell r="G158">
            <v>74.305436</v>
          </cell>
          <cell r="H158">
            <v>76.53459908</v>
          </cell>
          <cell r="I158">
            <v>78.8306370524</v>
          </cell>
          <cell r="J158">
            <v>371.8518721324</v>
          </cell>
        </row>
        <row r="158">
          <cell r="L158">
            <v>81.195556163972</v>
          </cell>
          <cell r="M158">
            <v>83.6314228488912</v>
          </cell>
          <cell r="N158">
            <v>536.678851145263</v>
          </cell>
        </row>
        <row r="159">
          <cell r="D159">
            <v>0</v>
          </cell>
          <cell r="E159">
            <v>0</v>
          </cell>
          <cell r="F159">
            <v>0</v>
          </cell>
          <cell r="G159">
            <v>0</v>
          </cell>
          <cell r="H159">
            <v>0</v>
          </cell>
          <cell r="I159">
            <v>0</v>
          </cell>
          <cell r="J159">
            <v>0</v>
          </cell>
        </row>
        <row r="159">
          <cell r="L159">
            <v>0</v>
          </cell>
          <cell r="M159">
            <v>0</v>
          </cell>
          <cell r="N159">
            <v>0</v>
          </cell>
        </row>
        <row r="160">
          <cell r="D160">
            <v>9.25</v>
          </cell>
          <cell r="E160">
            <v>9.5275</v>
          </cell>
          <cell r="F160">
            <v>9.813325</v>
          </cell>
          <cell r="G160">
            <v>10.10772475</v>
          </cell>
          <cell r="H160">
            <v>10.4109564925</v>
          </cell>
          <cell r="I160">
            <v>10.723285187275</v>
          </cell>
          <cell r="J160">
            <v>50.582791429775</v>
          </cell>
        </row>
        <row r="160">
          <cell r="L160">
            <v>11.0449837428933</v>
          </cell>
          <cell r="M160">
            <v>11.3763332551801</v>
          </cell>
          <cell r="N160">
            <v>73.0041084278483</v>
          </cell>
        </row>
        <row r="161">
          <cell r="D161">
            <v>107.666666666667</v>
          </cell>
          <cell r="E161">
            <v>110.896666666667</v>
          </cell>
          <cell r="F161">
            <v>114.223566666667</v>
          </cell>
          <cell r="G161">
            <v>117.650273666667</v>
          </cell>
          <cell r="H161">
            <v>121.179781876667</v>
          </cell>
          <cell r="I161">
            <v>124.815175332967</v>
          </cell>
          <cell r="J161">
            <v>588.765464209634</v>
          </cell>
        </row>
        <row r="161">
          <cell r="L161">
            <v>128.559630592956</v>
          </cell>
          <cell r="M161">
            <v>132.416419510744</v>
          </cell>
          <cell r="N161">
            <v>849.741514313334</v>
          </cell>
        </row>
        <row r="162">
          <cell r="D162">
            <v>2203.58333333333</v>
          </cell>
          <cell r="E162">
            <v>2269.69083333333</v>
          </cell>
          <cell r="F162">
            <v>2337.78155833333</v>
          </cell>
          <cell r="G162">
            <v>2407.91500508333</v>
          </cell>
          <cell r="H162">
            <v>2480.15245523583</v>
          </cell>
          <cell r="I162">
            <v>2554.55702889291</v>
          </cell>
          <cell r="J162">
            <v>12050.0968808787</v>
          </cell>
        </row>
        <row r="162">
          <cell r="L162">
            <v>2631.1937397597</v>
          </cell>
          <cell r="M162">
            <v>2710.12955195249</v>
          </cell>
          <cell r="N162">
            <v>17391.4201725909</v>
          </cell>
        </row>
        <row r="163">
          <cell r="D163">
            <v>0</v>
          </cell>
          <cell r="E163">
            <v>0</v>
          </cell>
          <cell r="F163">
            <v>0</v>
          </cell>
          <cell r="G163">
            <v>0</v>
          </cell>
          <cell r="H163">
            <v>0</v>
          </cell>
          <cell r="I163">
            <v>0</v>
          </cell>
          <cell r="J163">
            <v>0</v>
          </cell>
        </row>
        <row r="163">
          <cell r="L163">
            <v>0</v>
          </cell>
          <cell r="M163">
            <v>0</v>
          </cell>
          <cell r="N163">
            <v>0</v>
          </cell>
        </row>
        <row r="164">
          <cell r="D164">
            <v>2203.58333333333</v>
          </cell>
          <cell r="E164">
            <v>2269.69083333333</v>
          </cell>
          <cell r="F164">
            <v>2337.78155833333</v>
          </cell>
          <cell r="G164">
            <v>2407.91500508333</v>
          </cell>
          <cell r="H164">
            <v>2480.15245523583</v>
          </cell>
          <cell r="I164">
            <v>2554.55702889291</v>
          </cell>
          <cell r="J164">
            <v>12050.0968808787</v>
          </cell>
        </row>
        <row r="164">
          <cell r="L164">
            <v>2631.1937397597</v>
          </cell>
          <cell r="M164">
            <v>2710.12955195249</v>
          </cell>
          <cell r="N164">
            <v>17391.4201725909</v>
          </cell>
        </row>
        <row r="166">
          <cell r="D166">
            <v>0</v>
          </cell>
          <cell r="E166">
            <v>0</v>
          </cell>
          <cell r="F166">
            <v>0</v>
          </cell>
          <cell r="G166">
            <v>0</v>
          </cell>
          <cell r="H166">
            <v>0</v>
          </cell>
          <cell r="I166">
            <v>0</v>
          </cell>
          <cell r="J166">
            <v>0</v>
          </cell>
        </row>
        <row r="166">
          <cell r="L166">
            <v>0</v>
          </cell>
          <cell r="M166">
            <v>0</v>
          </cell>
          <cell r="N166">
            <v>0</v>
          </cell>
        </row>
        <row r="167">
          <cell r="D167">
            <v>0</v>
          </cell>
          <cell r="E167">
            <v>0</v>
          </cell>
          <cell r="F167">
            <v>0</v>
          </cell>
          <cell r="G167">
            <v>0</v>
          </cell>
          <cell r="H167">
            <v>0</v>
          </cell>
          <cell r="I167">
            <v>0</v>
          </cell>
          <cell r="J167">
            <v>0</v>
          </cell>
        </row>
        <row r="167">
          <cell r="L167">
            <v>0</v>
          </cell>
          <cell r="M167">
            <v>0</v>
          </cell>
          <cell r="N167">
            <v>0</v>
          </cell>
        </row>
        <row r="168">
          <cell r="D168">
            <v>0</v>
          </cell>
          <cell r="E168">
            <v>0</v>
          </cell>
          <cell r="F168">
            <v>0</v>
          </cell>
          <cell r="G168">
            <v>0</v>
          </cell>
          <cell r="H168">
            <v>0</v>
          </cell>
          <cell r="I168">
            <v>0</v>
          </cell>
          <cell r="J168">
            <v>0</v>
          </cell>
        </row>
        <row r="168">
          <cell r="L168">
            <v>0</v>
          </cell>
          <cell r="M168">
            <v>0</v>
          </cell>
          <cell r="N168">
            <v>0</v>
          </cell>
        </row>
        <row r="169">
          <cell r="D169">
            <v>133.333333333333</v>
          </cell>
          <cell r="E169">
            <v>137.333333333333</v>
          </cell>
          <cell r="F169">
            <v>141.453333333333</v>
          </cell>
          <cell r="G169">
            <v>145.696933333333</v>
          </cell>
          <cell r="H169">
            <v>150.067841333333</v>
          </cell>
          <cell r="I169">
            <v>154.569876573333</v>
          </cell>
          <cell r="J169">
            <v>729.121317906667</v>
          </cell>
        </row>
        <row r="169">
          <cell r="L169">
            <v>159.206972870533</v>
          </cell>
          <cell r="M169">
            <v>163.983182056649</v>
          </cell>
          <cell r="N169">
            <v>1052.31147283385</v>
          </cell>
        </row>
        <row r="170">
          <cell r="D170">
            <v>133.333333333333</v>
          </cell>
          <cell r="E170">
            <v>137.333333333333</v>
          </cell>
          <cell r="F170">
            <v>141.453333333333</v>
          </cell>
          <cell r="G170">
            <v>145.696933333333</v>
          </cell>
          <cell r="H170">
            <v>150.067841333333</v>
          </cell>
          <cell r="I170">
            <v>154.569876573333</v>
          </cell>
          <cell r="J170">
            <v>729.121317906667</v>
          </cell>
        </row>
        <row r="170">
          <cell r="L170">
            <v>159.206972870533</v>
          </cell>
          <cell r="M170">
            <v>163.983182056649</v>
          </cell>
          <cell r="N170">
            <v>1052.31147283385</v>
          </cell>
        </row>
        <row r="172">
          <cell r="D172">
            <v>2336.91666666667</v>
          </cell>
          <cell r="E172">
            <v>2407.02416666667</v>
          </cell>
          <cell r="F172">
            <v>2479.23489166667</v>
          </cell>
          <cell r="G172">
            <v>2553.61193841667</v>
          </cell>
          <cell r="H172">
            <v>2630.22029656917</v>
          </cell>
          <cell r="I172">
            <v>2709.12690546624</v>
          </cell>
          <cell r="J172">
            <v>12779.2181987854</v>
          </cell>
        </row>
        <row r="172">
          <cell r="L172">
            <v>2790.40071263023</v>
          </cell>
          <cell r="M172">
            <v>2874.11273400914</v>
          </cell>
          <cell r="N172">
            <v>18443.7316454248</v>
          </cell>
        </row>
      </sheetData>
      <sheetData sheetId="2"/>
      <sheetData sheetId="3"/>
      <sheetData sheetId="4"/>
      <sheetData sheetId="5"/>
      <sheetData sheetId="6"/>
      <sheetData sheetId="7"/>
      <sheetData sheetId="8"/>
      <sheetData sheetId="9"/>
      <sheetData sheetId="10"/>
      <sheetData sheetId="11"/>
    </sheetDataSet>
  </externalBook>
</externalLink>
</file>

<file path=xl/externalLinks/externalLink4.xml><?xml version="1.0" encoding="utf-8"?>
<externalLink xmlns="http://schemas.openxmlformats.org/spreadsheetml/2006/main">
  <externalBook xmlns:r="http://schemas.openxmlformats.org/officeDocument/2006/relationships" r:id="rId1">
    <sheetNames>
      <sheetName val="Notes"/>
      <sheetName val="Consolidated"/>
      <sheetName val="GL"/>
      <sheetName val="Ext.Rpt."/>
      <sheetName val="RTP"/>
      <sheetName val="AP"/>
      <sheetName val="T&amp;E"/>
      <sheetName val="OTC"/>
      <sheetName val="SOX"/>
      <sheetName val="Management &amp; Co-ordination"/>
      <sheetName val="NA 1"/>
      <sheetName val="NA 2"/>
      <sheetName val="Other"/>
      <sheetName val="Depreciation"/>
    </sheetNames>
    <sheetDataSet>
      <sheetData sheetId="0"/>
      <sheetData sheetId="1">
        <row r="2">
          <cell r="D2" t="str">
            <v>BASE YEAR</v>
          </cell>
          <cell r="E2" t="str">
            <v>YEAR 1</v>
          </cell>
          <cell r="F2" t="str">
            <v>YEAR 2</v>
          </cell>
          <cell r="G2" t="str">
            <v>YEAR 3</v>
          </cell>
          <cell r="H2" t="str">
            <v>YEAR 4</v>
          </cell>
          <cell r="I2" t="str">
            <v xml:space="preserve">YEAR 5 </v>
          </cell>
          <cell r="J2" t="str">
            <v>5 Year Total</v>
          </cell>
        </row>
        <row r="2">
          <cell r="L2" t="str">
            <v>5 YEAR + 1</v>
          </cell>
          <cell r="M2" t="str">
            <v>5 YEAR + 2</v>
          </cell>
          <cell r="N2" t="str">
            <v>7 Year Total</v>
          </cell>
        </row>
        <row r="3">
          <cell r="D3">
            <v>18.9827586206897</v>
          </cell>
          <cell r="E3">
            <v>18.353275862069</v>
          </cell>
          <cell r="F3">
            <v>18.353275862069</v>
          </cell>
          <cell r="G3">
            <v>18.353275862069</v>
          </cell>
          <cell r="H3">
            <v>18.353275862069</v>
          </cell>
          <cell r="I3">
            <v>18.353275862069</v>
          </cell>
        </row>
        <row r="3">
          <cell r="L3">
            <v>18.353275862069</v>
          </cell>
          <cell r="M3">
            <v>18.353275862069</v>
          </cell>
        </row>
        <row r="4">
          <cell r="D4">
            <v>2</v>
          </cell>
          <cell r="E4">
            <v>1.94</v>
          </cell>
          <cell r="F4">
            <v>1.94</v>
          </cell>
          <cell r="G4">
            <v>1.94</v>
          </cell>
          <cell r="H4">
            <v>1.94</v>
          </cell>
          <cell r="I4">
            <v>1.94</v>
          </cell>
        </row>
        <row r="4">
          <cell r="L4">
            <v>1.94</v>
          </cell>
          <cell r="M4">
            <v>1.94</v>
          </cell>
        </row>
        <row r="5">
          <cell r="D5">
            <v>20.9827586206897</v>
          </cell>
          <cell r="E5">
            <v>20.293275862069</v>
          </cell>
          <cell r="F5">
            <v>20.293275862069</v>
          </cell>
          <cell r="G5">
            <v>20.293275862069</v>
          </cell>
          <cell r="H5">
            <v>20.293275862069</v>
          </cell>
          <cell r="I5">
            <v>20.293275862069</v>
          </cell>
        </row>
        <row r="5">
          <cell r="L5">
            <v>20.293275862069</v>
          </cell>
          <cell r="M5">
            <v>20.293275862069</v>
          </cell>
        </row>
        <row r="7">
          <cell r="D7">
            <v>926858.454438068</v>
          </cell>
          <cell r="E7">
            <v>899051.762303153</v>
          </cell>
          <cell r="F7">
            <v>926023.315172247</v>
          </cell>
          <cell r="G7">
            <v>953804.014627415</v>
          </cell>
          <cell r="H7">
            <v>982418.135066237</v>
          </cell>
          <cell r="I7">
            <v>1011890.67911822</v>
          </cell>
          <cell r="J7">
            <v>4773187.90628728</v>
          </cell>
        </row>
        <row r="7">
          <cell r="L7">
            <v>1042247.39949177</v>
          </cell>
          <cell r="M7">
            <v>1073514.82147652</v>
          </cell>
          <cell r="N7">
            <v>6888950.12725557</v>
          </cell>
        </row>
        <row r="8">
          <cell r="D8">
            <v>43173.1706962518</v>
          </cell>
          <cell r="E8">
            <v>41876.5855753643</v>
          </cell>
          <cell r="F8">
            <v>43132.8831426252</v>
          </cell>
          <cell r="G8">
            <v>44426.869636904</v>
          </cell>
          <cell r="H8">
            <v>45759.6757260111</v>
          </cell>
          <cell r="I8">
            <v>47132.4659977914</v>
          </cell>
          <cell r="J8">
            <v>222328.480078696</v>
          </cell>
        </row>
        <row r="8">
          <cell r="L8">
            <v>48546.4399777252</v>
          </cell>
          <cell r="M8">
            <v>50002.8331770569</v>
          </cell>
          <cell r="N8">
            <v>320877.753233478</v>
          </cell>
        </row>
        <row r="9">
          <cell r="D9">
            <v>60078.1585238095</v>
          </cell>
          <cell r="E9">
            <v>59441.3300434571</v>
          </cell>
          <cell r="F9">
            <v>61224.5699447608</v>
          </cell>
          <cell r="G9">
            <v>63061.3070431036</v>
          </cell>
          <cell r="H9">
            <v>64953.1462543968</v>
          </cell>
          <cell r="I9">
            <v>66901.7406420287</v>
          </cell>
          <cell r="J9">
            <v>315582.093927747</v>
          </cell>
        </row>
        <row r="9">
          <cell r="L9">
            <v>68908.7928612895</v>
          </cell>
          <cell r="M9">
            <v>70976.0566471282</v>
          </cell>
          <cell r="N9">
            <v>455466.943436165</v>
          </cell>
        </row>
        <row r="10">
          <cell r="D10">
            <v>0</v>
          </cell>
          <cell r="E10">
            <v>0</v>
          </cell>
          <cell r="F10">
            <v>0</v>
          </cell>
          <cell r="G10">
            <v>0</v>
          </cell>
          <cell r="H10">
            <v>0</v>
          </cell>
          <cell r="I10">
            <v>0</v>
          </cell>
          <cell r="J10">
            <v>0</v>
          </cell>
        </row>
        <row r="10">
          <cell r="L10">
            <v>0</v>
          </cell>
          <cell r="M10">
            <v>0</v>
          </cell>
          <cell r="N10">
            <v>0</v>
          </cell>
        </row>
        <row r="11">
          <cell r="D11">
            <v>0</v>
          </cell>
          <cell r="E11">
            <v>0</v>
          </cell>
          <cell r="F11">
            <v>0</v>
          </cell>
          <cell r="G11">
            <v>0</v>
          </cell>
          <cell r="H11">
            <v>0</v>
          </cell>
          <cell r="I11">
            <v>0</v>
          </cell>
          <cell r="J11">
            <v>0</v>
          </cell>
        </row>
        <row r="11">
          <cell r="L11">
            <v>0</v>
          </cell>
          <cell r="M11">
            <v>0</v>
          </cell>
          <cell r="N11">
            <v>0</v>
          </cell>
        </row>
        <row r="12">
          <cell r="D12">
            <v>23271.3588956376</v>
          </cell>
          <cell r="E12">
            <v>22572.6081287684</v>
          </cell>
          <cell r="F12">
            <v>23249.7863726315</v>
          </cell>
          <cell r="G12">
            <v>23947.2799638104</v>
          </cell>
          <cell r="H12">
            <v>24665.6983627248</v>
          </cell>
          <cell r="I12">
            <v>25405.6693136065</v>
          </cell>
          <cell r="J12">
            <v>119841.042141542</v>
          </cell>
        </row>
        <row r="12">
          <cell r="L12">
            <v>26167.8393930147</v>
          </cell>
          <cell r="M12">
            <v>26952.8745748051</v>
          </cell>
          <cell r="N12">
            <v>172961.756109361</v>
          </cell>
        </row>
        <row r="13">
          <cell r="D13">
            <v>1053381.14255377</v>
          </cell>
          <cell r="E13">
            <v>1022942.28605074</v>
          </cell>
          <cell r="F13">
            <v>1053630.55463226</v>
          </cell>
          <cell r="G13">
            <v>1085239.47127123</v>
          </cell>
          <cell r="H13">
            <v>1117796.65540937</v>
          </cell>
          <cell r="I13">
            <v>1151330.55507165</v>
          </cell>
          <cell r="J13">
            <v>5430939.52243526</v>
          </cell>
        </row>
        <row r="13">
          <cell r="L13">
            <v>1185870.4717238</v>
          </cell>
          <cell r="M13">
            <v>1221446.58587551</v>
          </cell>
          <cell r="N13">
            <v>7838256.58003458</v>
          </cell>
        </row>
        <row r="14">
          <cell r="D14">
            <v>0</v>
          </cell>
          <cell r="E14">
            <v>0</v>
          </cell>
          <cell r="F14">
            <v>0</v>
          </cell>
          <cell r="G14">
            <v>0</v>
          </cell>
          <cell r="H14">
            <v>0</v>
          </cell>
          <cell r="I14">
            <v>0</v>
          </cell>
          <cell r="J14">
            <v>0</v>
          </cell>
        </row>
        <row r="14">
          <cell r="L14">
            <v>0</v>
          </cell>
          <cell r="M14">
            <v>0</v>
          </cell>
          <cell r="N14">
            <v>0</v>
          </cell>
        </row>
        <row r="15">
          <cell r="D15">
            <v>0</v>
          </cell>
          <cell r="E15">
            <v>0</v>
          </cell>
          <cell r="F15">
            <v>0</v>
          </cell>
          <cell r="G15">
            <v>0</v>
          </cell>
          <cell r="H15">
            <v>0</v>
          </cell>
          <cell r="I15">
            <v>0</v>
          </cell>
          <cell r="J15">
            <v>0</v>
          </cell>
        </row>
        <row r="15">
          <cell r="L15">
            <v>0</v>
          </cell>
          <cell r="M15">
            <v>0</v>
          </cell>
          <cell r="N15">
            <v>0</v>
          </cell>
        </row>
        <row r="16">
          <cell r="D16">
            <v>0</v>
          </cell>
          <cell r="E16">
            <v>0</v>
          </cell>
          <cell r="F16">
            <v>0</v>
          </cell>
          <cell r="G16">
            <v>0</v>
          </cell>
          <cell r="H16">
            <v>0</v>
          </cell>
          <cell r="I16">
            <v>0</v>
          </cell>
          <cell r="J16">
            <v>0</v>
          </cell>
        </row>
        <row r="16">
          <cell r="L16">
            <v>0</v>
          </cell>
          <cell r="M16">
            <v>0</v>
          </cell>
          <cell r="N16">
            <v>0</v>
          </cell>
        </row>
        <row r="17">
          <cell r="D17">
            <v>0</v>
          </cell>
          <cell r="E17">
            <v>0</v>
          </cell>
          <cell r="F17">
            <v>0</v>
          </cell>
          <cell r="G17">
            <v>0</v>
          </cell>
          <cell r="H17">
            <v>0</v>
          </cell>
          <cell r="I17">
            <v>0</v>
          </cell>
          <cell r="J17">
            <v>0</v>
          </cell>
        </row>
        <row r="17">
          <cell r="L17">
            <v>0</v>
          </cell>
          <cell r="M17">
            <v>0</v>
          </cell>
          <cell r="N17">
            <v>0</v>
          </cell>
        </row>
        <row r="18">
          <cell r="D18">
            <v>0</v>
          </cell>
          <cell r="E18">
            <v>0</v>
          </cell>
          <cell r="F18">
            <v>0</v>
          </cell>
          <cell r="G18">
            <v>0</v>
          </cell>
          <cell r="H18">
            <v>0</v>
          </cell>
          <cell r="I18">
            <v>0</v>
          </cell>
          <cell r="J18">
            <v>0</v>
          </cell>
        </row>
        <row r="18">
          <cell r="L18">
            <v>0</v>
          </cell>
          <cell r="M18">
            <v>0</v>
          </cell>
          <cell r="N18">
            <v>0</v>
          </cell>
        </row>
        <row r="19">
          <cell r="D19">
            <v>0</v>
          </cell>
          <cell r="E19">
            <v>0</v>
          </cell>
          <cell r="F19">
            <v>0</v>
          </cell>
          <cell r="G19">
            <v>0</v>
          </cell>
          <cell r="H19">
            <v>0</v>
          </cell>
          <cell r="I19">
            <v>0</v>
          </cell>
          <cell r="J19">
            <v>0</v>
          </cell>
        </row>
        <row r="19">
          <cell r="L19">
            <v>0</v>
          </cell>
          <cell r="M19">
            <v>0</v>
          </cell>
          <cell r="N19">
            <v>0</v>
          </cell>
        </row>
        <row r="20">
          <cell r="D20">
            <v>0</v>
          </cell>
          <cell r="E20">
            <v>0</v>
          </cell>
          <cell r="F20">
            <v>0</v>
          </cell>
          <cell r="G20">
            <v>0</v>
          </cell>
          <cell r="H20">
            <v>0</v>
          </cell>
          <cell r="I20">
            <v>0</v>
          </cell>
          <cell r="J20">
            <v>0</v>
          </cell>
        </row>
        <row r="20">
          <cell r="L20">
            <v>0</v>
          </cell>
          <cell r="M20">
            <v>0</v>
          </cell>
          <cell r="N20">
            <v>0</v>
          </cell>
        </row>
        <row r="21">
          <cell r="D21">
            <v>62410.7885714286</v>
          </cell>
          <cell r="E21">
            <v>62410.7885714286</v>
          </cell>
          <cell r="F21">
            <v>64283.1122285714</v>
          </cell>
          <cell r="G21">
            <v>66211.6055954286</v>
          </cell>
          <cell r="H21">
            <v>68197.9537632914</v>
          </cell>
          <cell r="I21">
            <v>70243.8923761902</v>
          </cell>
          <cell r="J21">
            <v>331347.35253491</v>
          </cell>
        </row>
        <row r="21">
          <cell r="L21">
            <v>72351.2091474759</v>
          </cell>
          <cell r="M21">
            <v>74521.7454219002</v>
          </cell>
          <cell r="N21">
            <v>478220.307104286</v>
          </cell>
        </row>
        <row r="22">
          <cell r="D22">
            <v>62410.7885714286</v>
          </cell>
          <cell r="E22">
            <v>62410.7885714286</v>
          </cell>
          <cell r="F22">
            <v>64283.1122285714</v>
          </cell>
          <cell r="G22">
            <v>66211.6055954286</v>
          </cell>
          <cell r="H22">
            <v>68197.9537632914</v>
          </cell>
          <cell r="I22">
            <v>70243.8923761902</v>
          </cell>
          <cell r="J22">
            <v>331347.35253491</v>
          </cell>
        </row>
        <row r="22">
          <cell r="L22">
            <v>72351.2091474759</v>
          </cell>
          <cell r="M22">
            <v>74521.7454219002</v>
          </cell>
          <cell r="N22">
            <v>478220.307104286</v>
          </cell>
        </row>
        <row r="23">
          <cell r="D23">
            <v>0</v>
          </cell>
          <cell r="E23">
            <v>0</v>
          </cell>
          <cell r="F23">
            <v>0</v>
          </cell>
          <cell r="G23">
            <v>0</v>
          </cell>
          <cell r="H23">
            <v>0</v>
          </cell>
          <cell r="I23">
            <v>0</v>
          </cell>
          <cell r="J23">
            <v>0</v>
          </cell>
        </row>
        <row r="23">
          <cell r="L23">
            <v>0</v>
          </cell>
          <cell r="M23">
            <v>0</v>
          </cell>
          <cell r="N23">
            <v>0</v>
          </cell>
        </row>
        <row r="24">
          <cell r="D24">
            <v>16980.5714285714</v>
          </cell>
          <cell r="E24">
            <v>16980.5714285714</v>
          </cell>
          <cell r="F24">
            <v>17489.9885714286</v>
          </cell>
          <cell r="G24">
            <v>18014.6882285714</v>
          </cell>
          <cell r="H24">
            <v>18555.1288754286</v>
          </cell>
          <cell r="I24">
            <v>19111.7827416914</v>
          </cell>
          <cell r="J24">
            <v>90152.1598456914</v>
          </cell>
        </row>
        <row r="24">
          <cell r="L24">
            <v>19685.1362239422</v>
          </cell>
          <cell r="M24">
            <v>20275.6903106604</v>
          </cell>
          <cell r="N24">
            <v>130112.986380294</v>
          </cell>
        </row>
        <row r="25">
          <cell r="D25">
            <v>144776.177142857</v>
          </cell>
          <cell r="E25">
            <v>140432.891828571</v>
          </cell>
          <cell r="F25">
            <v>144645.878583429</v>
          </cell>
          <cell r="G25">
            <v>148985.254940931</v>
          </cell>
          <cell r="H25">
            <v>153454.812589159</v>
          </cell>
          <cell r="I25">
            <v>158058.456966834</v>
          </cell>
          <cell r="J25">
            <v>745577.294908925</v>
          </cell>
        </row>
        <row r="25">
          <cell r="L25">
            <v>162800.210675839</v>
          </cell>
          <cell r="M25">
            <v>167684.216996114</v>
          </cell>
          <cell r="N25">
            <v>1076061.72258088</v>
          </cell>
        </row>
        <row r="26">
          <cell r="D26">
            <v>57450.2857142857</v>
          </cell>
          <cell r="E26">
            <v>55726.7771428571</v>
          </cell>
          <cell r="F26">
            <v>57398.5804571429</v>
          </cell>
          <cell r="G26">
            <v>59120.5378708572</v>
          </cell>
          <cell r="H26">
            <v>60894.1540069829</v>
          </cell>
          <cell r="I26">
            <v>62720.9786271924</v>
          </cell>
          <cell r="J26">
            <v>295861.028105032</v>
          </cell>
        </row>
        <row r="26">
          <cell r="L26">
            <v>64602.6079860081</v>
          </cell>
          <cell r="M26">
            <v>66540.6862255884</v>
          </cell>
          <cell r="N26">
            <v>427004.322316629</v>
          </cell>
        </row>
        <row r="27">
          <cell r="D27">
            <v>0</v>
          </cell>
          <cell r="E27">
            <v>0</v>
          </cell>
          <cell r="F27">
            <v>0</v>
          </cell>
          <cell r="G27">
            <v>0</v>
          </cell>
          <cell r="H27">
            <v>0</v>
          </cell>
          <cell r="I27">
            <v>0</v>
          </cell>
          <cell r="J27">
            <v>0</v>
          </cell>
        </row>
        <row r="27">
          <cell r="L27">
            <v>0</v>
          </cell>
          <cell r="M27">
            <v>0</v>
          </cell>
          <cell r="N27">
            <v>0</v>
          </cell>
        </row>
        <row r="28">
          <cell r="D28">
            <v>188457.445761905</v>
          </cell>
          <cell r="E28">
            <v>188457.445761905</v>
          </cell>
          <cell r="F28">
            <v>194111.169134762</v>
          </cell>
          <cell r="G28">
            <v>199934.504208805</v>
          </cell>
          <cell r="H28">
            <v>205932.539335069</v>
          </cell>
          <cell r="I28">
            <v>212110.515515121</v>
          </cell>
          <cell r="J28">
            <v>1000546.17395566</v>
          </cell>
        </row>
        <row r="28">
          <cell r="L28">
            <v>218473.830980575</v>
          </cell>
          <cell r="M28">
            <v>225028.045909992</v>
          </cell>
          <cell r="N28">
            <v>1444048.05084623</v>
          </cell>
        </row>
        <row r="29">
          <cell r="D29">
            <v>0</v>
          </cell>
          <cell r="E29">
            <v>0</v>
          </cell>
          <cell r="F29">
            <v>0</v>
          </cell>
          <cell r="G29">
            <v>0</v>
          </cell>
          <cell r="H29">
            <v>0</v>
          </cell>
          <cell r="I29">
            <v>0</v>
          </cell>
          <cell r="J29">
            <v>0</v>
          </cell>
        </row>
        <row r="29">
          <cell r="L29">
            <v>0</v>
          </cell>
          <cell r="M29">
            <v>0</v>
          </cell>
          <cell r="N29">
            <v>0</v>
          </cell>
        </row>
        <row r="30">
          <cell r="D30">
            <v>0</v>
          </cell>
          <cell r="E30">
            <v>0</v>
          </cell>
          <cell r="F30">
            <v>0</v>
          </cell>
          <cell r="G30">
            <v>0</v>
          </cell>
          <cell r="H30">
            <v>0</v>
          </cell>
          <cell r="I30">
            <v>0</v>
          </cell>
          <cell r="J30">
            <v>0</v>
          </cell>
        </row>
        <row r="30">
          <cell r="L30">
            <v>0</v>
          </cell>
          <cell r="M30">
            <v>0</v>
          </cell>
          <cell r="N30">
            <v>0</v>
          </cell>
        </row>
        <row r="31">
          <cell r="D31">
            <v>407664.480047619</v>
          </cell>
          <cell r="E31">
            <v>401597.686161905</v>
          </cell>
          <cell r="F31">
            <v>413645.616746762</v>
          </cell>
          <cell r="G31">
            <v>426054.985249165</v>
          </cell>
          <cell r="H31">
            <v>438836.63480664</v>
          </cell>
          <cell r="I31">
            <v>452001.733850839</v>
          </cell>
          <cell r="J31">
            <v>2132136.65681531</v>
          </cell>
        </row>
        <row r="31">
          <cell r="L31">
            <v>465561.785866364</v>
          </cell>
          <cell r="M31">
            <v>479528.639442355</v>
          </cell>
          <cell r="N31">
            <v>3077227.08212403</v>
          </cell>
        </row>
        <row r="32">
          <cell r="D32">
            <v>1523456.41117281</v>
          </cell>
          <cell r="E32">
            <v>1486950.76078408</v>
          </cell>
          <cell r="F32">
            <v>1531559.2836076</v>
          </cell>
          <cell r="G32">
            <v>1577506.06211583</v>
          </cell>
          <cell r="H32">
            <v>1624831.2439793</v>
          </cell>
          <cell r="I32">
            <v>1673576.18129868</v>
          </cell>
          <cell r="J32">
            <v>7894423.53178548</v>
          </cell>
        </row>
        <row r="32">
          <cell r="L32">
            <v>1723783.46673764</v>
          </cell>
          <cell r="M32">
            <v>1775496.97073977</v>
          </cell>
          <cell r="N32">
            <v>11393703.9692629</v>
          </cell>
        </row>
        <row r="33">
          <cell r="D33">
            <v>0</v>
          </cell>
          <cell r="E33">
            <v>0</v>
          </cell>
          <cell r="F33">
            <v>0</v>
          </cell>
          <cell r="G33">
            <v>0</v>
          </cell>
          <cell r="H33">
            <v>0</v>
          </cell>
          <cell r="I33">
            <v>0</v>
          </cell>
          <cell r="J33">
            <v>0</v>
          </cell>
        </row>
        <row r="33">
          <cell r="L33">
            <v>0</v>
          </cell>
          <cell r="M33">
            <v>0</v>
          </cell>
          <cell r="N33">
            <v>0</v>
          </cell>
        </row>
        <row r="34">
          <cell r="D34">
            <v>1523456.41117281</v>
          </cell>
          <cell r="E34">
            <v>1486950.76078408</v>
          </cell>
          <cell r="F34">
            <v>1531559.2836076</v>
          </cell>
          <cell r="G34">
            <v>1577506.06211583</v>
          </cell>
          <cell r="H34">
            <v>1624831.2439793</v>
          </cell>
          <cell r="I34">
            <v>1673576.18129868</v>
          </cell>
          <cell r="J34">
            <v>7894423.53178548</v>
          </cell>
        </row>
        <row r="34">
          <cell r="L34">
            <v>1723783.46673764</v>
          </cell>
          <cell r="M34">
            <v>1775496.97073977</v>
          </cell>
          <cell r="N34">
            <v>11393703.9692629</v>
          </cell>
        </row>
        <row r="36">
          <cell r="D36">
            <v>0</v>
          </cell>
          <cell r="E36">
            <v>0</v>
          </cell>
          <cell r="F36">
            <v>0</v>
          </cell>
          <cell r="G36">
            <v>0</v>
          </cell>
          <cell r="H36">
            <v>0</v>
          </cell>
          <cell r="I36">
            <v>0</v>
          </cell>
          <cell r="J36">
            <v>0</v>
          </cell>
        </row>
        <row r="36">
          <cell r="L36">
            <v>0</v>
          </cell>
          <cell r="M36">
            <v>0</v>
          </cell>
          <cell r="N36">
            <v>0</v>
          </cell>
        </row>
        <row r="37">
          <cell r="D37">
            <v>0</v>
          </cell>
          <cell r="E37">
            <v>0</v>
          </cell>
          <cell r="F37">
            <v>0</v>
          </cell>
          <cell r="G37">
            <v>0</v>
          </cell>
          <cell r="H37">
            <v>0</v>
          </cell>
          <cell r="I37">
            <v>0</v>
          </cell>
          <cell r="J37">
            <v>0</v>
          </cell>
        </row>
        <row r="37">
          <cell r="L37">
            <v>0</v>
          </cell>
          <cell r="M37">
            <v>0</v>
          </cell>
          <cell r="N37">
            <v>0</v>
          </cell>
        </row>
        <row r="38">
          <cell r="D38">
            <v>0</v>
          </cell>
          <cell r="E38">
            <v>0</v>
          </cell>
          <cell r="F38">
            <v>0</v>
          </cell>
          <cell r="G38">
            <v>0</v>
          </cell>
          <cell r="H38">
            <v>0</v>
          </cell>
          <cell r="I38">
            <v>0</v>
          </cell>
          <cell r="J38">
            <v>0</v>
          </cell>
        </row>
        <row r="38">
          <cell r="L38">
            <v>0</v>
          </cell>
          <cell r="M38">
            <v>0</v>
          </cell>
          <cell r="N38">
            <v>0</v>
          </cell>
        </row>
        <row r="39">
          <cell r="D39">
            <v>0</v>
          </cell>
          <cell r="E39">
            <v>0</v>
          </cell>
          <cell r="F39">
            <v>0</v>
          </cell>
          <cell r="G39">
            <v>0</v>
          </cell>
          <cell r="H39">
            <v>0</v>
          </cell>
          <cell r="I39">
            <v>0</v>
          </cell>
          <cell r="J39">
            <v>0</v>
          </cell>
        </row>
        <row r="39">
          <cell r="L39">
            <v>0</v>
          </cell>
          <cell r="M39">
            <v>0</v>
          </cell>
          <cell r="N39">
            <v>0</v>
          </cell>
        </row>
        <row r="40">
          <cell r="D40">
            <v>0</v>
          </cell>
          <cell r="E40">
            <v>0</v>
          </cell>
          <cell r="F40">
            <v>0</v>
          </cell>
          <cell r="G40">
            <v>0</v>
          </cell>
          <cell r="H40">
            <v>0</v>
          </cell>
          <cell r="I40">
            <v>0</v>
          </cell>
          <cell r="J40">
            <v>0</v>
          </cell>
        </row>
        <row r="40">
          <cell r="L40">
            <v>0</v>
          </cell>
          <cell r="M40">
            <v>0</v>
          </cell>
          <cell r="N40">
            <v>0</v>
          </cell>
        </row>
        <row r="42">
          <cell r="D42">
            <v>1523456.41117281</v>
          </cell>
          <cell r="E42">
            <v>1486950.76078408</v>
          </cell>
          <cell r="F42">
            <v>1531559.2836076</v>
          </cell>
          <cell r="G42">
            <v>1577506.06211583</v>
          </cell>
          <cell r="H42">
            <v>1624831.2439793</v>
          </cell>
          <cell r="I42">
            <v>1673576.18129868</v>
          </cell>
          <cell r="J42">
            <v>7894423.53178548</v>
          </cell>
        </row>
        <row r="42">
          <cell r="L42">
            <v>1723783.46673764</v>
          </cell>
          <cell r="M42">
            <v>1775496.97073977</v>
          </cell>
          <cell r="N42">
            <v>11393703.9692629</v>
          </cell>
        </row>
        <row r="45">
          <cell r="D45" t="str">
            <v>BASE YEAR</v>
          </cell>
          <cell r="E45" t="str">
            <v>YEAR 1</v>
          </cell>
          <cell r="F45" t="str">
            <v>YEAR 2</v>
          </cell>
          <cell r="G45" t="str">
            <v>YEAR 3</v>
          </cell>
          <cell r="H45" t="str">
            <v>YEAR 4</v>
          </cell>
          <cell r="I45" t="str">
            <v xml:space="preserve">YEAR 5 </v>
          </cell>
          <cell r="J45" t="str">
            <v>5 Year Total</v>
          </cell>
        </row>
        <row r="45">
          <cell r="L45" t="str">
            <v>5 YEAR + 1</v>
          </cell>
          <cell r="M45" t="str">
            <v>5 YEAR +2</v>
          </cell>
          <cell r="N45" t="str">
            <v>7 Year Total</v>
          </cell>
        </row>
        <row r="46">
          <cell r="D46">
            <v>9.5</v>
          </cell>
          <cell r="E46">
            <v>9.235</v>
          </cell>
          <cell r="F46">
            <v>9.235</v>
          </cell>
          <cell r="G46">
            <v>9.235</v>
          </cell>
          <cell r="H46">
            <v>9.235</v>
          </cell>
          <cell r="I46">
            <v>9.235</v>
          </cell>
        </row>
        <row r="46">
          <cell r="L46">
            <v>9.235</v>
          </cell>
          <cell r="M46">
            <v>9.235</v>
          </cell>
        </row>
        <row r="47">
          <cell r="D47">
            <v>0</v>
          </cell>
          <cell r="E47">
            <v>0</v>
          </cell>
          <cell r="F47">
            <v>0</v>
          </cell>
          <cell r="G47">
            <v>0</v>
          </cell>
          <cell r="H47">
            <v>0</v>
          </cell>
          <cell r="I47">
            <v>0</v>
          </cell>
        </row>
        <row r="47">
          <cell r="L47">
            <v>0</v>
          </cell>
          <cell r="M47">
            <v>0</v>
          </cell>
        </row>
        <row r="48">
          <cell r="D48">
            <v>9.5</v>
          </cell>
          <cell r="E48">
            <v>9.235</v>
          </cell>
          <cell r="F48">
            <v>9.235</v>
          </cell>
          <cell r="G48">
            <v>9.235</v>
          </cell>
          <cell r="H48">
            <v>9.235</v>
          </cell>
          <cell r="I48">
            <v>9.235</v>
          </cell>
        </row>
        <row r="48">
          <cell r="L48">
            <v>9.235</v>
          </cell>
          <cell r="M48">
            <v>9.235</v>
          </cell>
        </row>
        <row r="50">
          <cell r="D50">
            <v>416532.129705539</v>
          </cell>
          <cell r="E50">
            <v>404035.855814373</v>
          </cell>
          <cell r="F50">
            <v>416156.931488804</v>
          </cell>
          <cell r="G50">
            <v>428641.639433468</v>
          </cell>
          <cell r="H50">
            <v>441500.888616473</v>
          </cell>
          <cell r="I50">
            <v>454745.915274967</v>
          </cell>
          <cell r="J50">
            <v>2145081.23062809</v>
          </cell>
        </row>
        <row r="50">
          <cell r="L50">
            <v>468388.292733216</v>
          </cell>
          <cell r="M50">
            <v>482439.941515212</v>
          </cell>
          <cell r="N50">
            <v>3095909.46487651</v>
          </cell>
        </row>
        <row r="51">
          <cell r="D51">
            <v>14442.4079973232</v>
          </cell>
          <cell r="E51">
            <v>14008.5357574035</v>
          </cell>
          <cell r="F51">
            <v>14428.7918301256</v>
          </cell>
          <cell r="G51">
            <v>14861.6555850293</v>
          </cell>
          <cell r="H51">
            <v>15307.5052525802</v>
          </cell>
          <cell r="I51">
            <v>15766.7304101576</v>
          </cell>
          <cell r="J51">
            <v>74373.2188352962</v>
          </cell>
        </row>
        <row r="51">
          <cell r="L51">
            <v>16239.7323224623</v>
          </cell>
          <cell r="M51">
            <v>16726.9242921362</v>
          </cell>
          <cell r="N51">
            <v>107339.875449895</v>
          </cell>
        </row>
        <row r="52">
          <cell r="D52">
            <v>16189.7961237087</v>
          </cell>
          <cell r="E52">
            <v>16018.1842847974</v>
          </cell>
          <cell r="F52">
            <v>16498.7298133414</v>
          </cell>
          <cell r="G52">
            <v>16993.6917077416</v>
          </cell>
          <cell r="H52">
            <v>17503.5024589738</v>
          </cell>
          <cell r="I52">
            <v>18028.6075327431</v>
          </cell>
          <cell r="J52">
            <v>85042.7157975973</v>
          </cell>
        </row>
        <row r="52">
          <cell r="L52">
            <v>18569.4657587254</v>
          </cell>
          <cell r="M52">
            <v>19126.5497314871</v>
          </cell>
          <cell r="N52">
            <v>122738.73128781</v>
          </cell>
        </row>
        <row r="53">
          <cell r="D53">
            <v>0</v>
          </cell>
          <cell r="E53">
            <v>0</v>
          </cell>
          <cell r="F53">
            <v>0</v>
          </cell>
          <cell r="G53">
            <v>0</v>
          </cell>
          <cell r="H53">
            <v>0</v>
          </cell>
          <cell r="I53">
            <v>0</v>
          </cell>
          <cell r="J53">
            <v>0</v>
          </cell>
        </row>
        <row r="53">
          <cell r="L53">
            <v>0</v>
          </cell>
          <cell r="M53">
            <v>0</v>
          </cell>
          <cell r="N53">
            <v>0</v>
          </cell>
        </row>
        <row r="54">
          <cell r="D54">
            <v>0</v>
          </cell>
          <cell r="E54">
            <v>0</v>
          </cell>
          <cell r="F54">
            <v>0</v>
          </cell>
          <cell r="G54">
            <v>0</v>
          </cell>
          <cell r="H54">
            <v>0</v>
          </cell>
          <cell r="I54">
            <v>0</v>
          </cell>
          <cell r="J54">
            <v>0</v>
          </cell>
        </row>
        <row r="54">
          <cell r="L54">
            <v>0</v>
          </cell>
          <cell r="M54">
            <v>0</v>
          </cell>
          <cell r="N54">
            <v>0</v>
          </cell>
        </row>
        <row r="55">
          <cell r="D55">
            <v>7784.85645316856</v>
          </cell>
          <cell r="E55">
            <v>7550.56075957351</v>
          </cell>
          <cell r="F55">
            <v>7777.07758236071</v>
          </cell>
          <cell r="G55">
            <v>8010.38990983153</v>
          </cell>
          <cell r="H55">
            <v>8250.70160712648</v>
          </cell>
          <cell r="I55">
            <v>8498.22265534027</v>
          </cell>
          <cell r="J55">
            <v>40086.9525142325</v>
          </cell>
        </row>
        <row r="55">
          <cell r="L55">
            <v>8753.16933500048</v>
          </cell>
          <cell r="M55">
            <v>9015.7644150505</v>
          </cell>
          <cell r="N55">
            <v>57855.8862642835</v>
          </cell>
        </row>
        <row r="56">
          <cell r="D56">
            <v>454949.19027974</v>
          </cell>
          <cell r="E56">
            <v>441613.136616148</v>
          </cell>
          <cell r="F56">
            <v>454861.530714632</v>
          </cell>
          <cell r="G56">
            <v>468507.376636071</v>
          </cell>
          <cell r="H56">
            <v>482562.597935153</v>
          </cell>
          <cell r="I56">
            <v>497039.475873208</v>
          </cell>
          <cell r="J56">
            <v>2344584.11777521</v>
          </cell>
        </row>
        <row r="56">
          <cell r="L56">
            <v>511950.660149404</v>
          </cell>
          <cell r="M56">
            <v>527309.179953886</v>
          </cell>
          <cell r="N56">
            <v>3383843.9578785</v>
          </cell>
        </row>
        <row r="57">
          <cell r="D57">
            <v>0</v>
          </cell>
          <cell r="E57">
            <v>0</v>
          </cell>
          <cell r="F57">
            <v>0</v>
          </cell>
          <cell r="G57">
            <v>0</v>
          </cell>
          <cell r="H57">
            <v>0</v>
          </cell>
          <cell r="I57">
            <v>0</v>
          </cell>
          <cell r="J57">
            <v>0</v>
          </cell>
        </row>
        <row r="57">
          <cell r="L57">
            <v>0</v>
          </cell>
          <cell r="M57">
            <v>0</v>
          </cell>
          <cell r="N57">
            <v>0</v>
          </cell>
        </row>
        <row r="58">
          <cell r="D58">
            <v>0</v>
          </cell>
          <cell r="E58">
            <v>0</v>
          </cell>
          <cell r="F58">
            <v>0</v>
          </cell>
          <cell r="G58">
            <v>0</v>
          </cell>
          <cell r="H58">
            <v>0</v>
          </cell>
          <cell r="I58">
            <v>0</v>
          </cell>
          <cell r="J58">
            <v>0</v>
          </cell>
        </row>
        <row r="58">
          <cell r="L58">
            <v>0</v>
          </cell>
          <cell r="M58">
            <v>0</v>
          </cell>
          <cell r="N58">
            <v>0</v>
          </cell>
        </row>
        <row r="59">
          <cell r="D59">
            <v>0</v>
          </cell>
          <cell r="E59">
            <v>0</v>
          </cell>
          <cell r="F59">
            <v>0</v>
          </cell>
          <cell r="G59">
            <v>0</v>
          </cell>
          <cell r="H59">
            <v>0</v>
          </cell>
          <cell r="I59">
            <v>0</v>
          </cell>
          <cell r="J59">
            <v>0</v>
          </cell>
        </row>
        <row r="59">
          <cell r="L59">
            <v>0</v>
          </cell>
          <cell r="M59">
            <v>0</v>
          </cell>
          <cell r="N59">
            <v>0</v>
          </cell>
        </row>
        <row r="60">
          <cell r="D60">
            <v>0</v>
          </cell>
          <cell r="E60">
            <v>0</v>
          </cell>
          <cell r="F60">
            <v>0</v>
          </cell>
          <cell r="G60">
            <v>0</v>
          </cell>
          <cell r="H60">
            <v>0</v>
          </cell>
          <cell r="I60">
            <v>0</v>
          </cell>
          <cell r="J60">
            <v>0</v>
          </cell>
        </row>
        <row r="60">
          <cell r="L60">
            <v>0</v>
          </cell>
          <cell r="M60">
            <v>0</v>
          </cell>
          <cell r="N60">
            <v>0</v>
          </cell>
        </row>
        <row r="61">
          <cell r="D61">
            <v>0</v>
          </cell>
          <cell r="E61">
            <v>0</v>
          </cell>
          <cell r="F61">
            <v>0</v>
          </cell>
          <cell r="G61">
            <v>0</v>
          </cell>
          <cell r="H61">
            <v>0</v>
          </cell>
          <cell r="I61">
            <v>0</v>
          </cell>
          <cell r="J61">
            <v>0</v>
          </cell>
        </row>
        <row r="61">
          <cell r="L61">
            <v>0</v>
          </cell>
          <cell r="M61">
            <v>0</v>
          </cell>
          <cell r="N61">
            <v>0</v>
          </cell>
        </row>
        <row r="62">
          <cell r="D62">
            <v>0</v>
          </cell>
          <cell r="E62">
            <v>0</v>
          </cell>
          <cell r="F62">
            <v>0</v>
          </cell>
          <cell r="G62">
            <v>0</v>
          </cell>
          <cell r="H62">
            <v>0</v>
          </cell>
          <cell r="I62">
            <v>0</v>
          </cell>
          <cell r="J62">
            <v>0</v>
          </cell>
        </row>
        <row r="62">
          <cell r="L62">
            <v>0</v>
          </cell>
          <cell r="M62">
            <v>0</v>
          </cell>
          <cell r="N62">
            <v>0</v>
          </cell>
        </row>
        <row r="63">
          <cell r="D63">
            <v>0</v>
          </cell>
          <cell r="E63">
            <v>0</v>
          </cell>
          <cell r="F63">
            <v>0</v>
          </cell>
          <cell r="G63">
            <v>0</v>
          </cell>
          <cell r="H63">
            <v>0</v>
          </cell>
          <cell r="I63">
            <v>0</v>
          </cell>
          <cell r="J63">
            <v>0</v>
          </cell>
        </row>
        <row r="63">
          <cell r="L63">
            <v>0</v>
          </cell>
          <cell r="M63">
            <v>0</v>
          </cell>
          <cell r="N63">
            <v>0</v>
          </cell>
        </row>
        <row r="64">
          <cell r="D64">
            <v>21376.7891398337</v>
          </cell>
          <cell r="E64">
            <v>21376.7891398337</v>
          </cell>
          <cell r="F64">
            <v>22018.0928140287</v>
          </cell>
          <cell r="G64">
            <v>22678.6355984496</v>
          </cell>
          <cell r="H64">
            <v>23358.9946664031</v>
          </cell>
          <cell r="I64">
            <v>24059.7645063952</v>
          </cell>
          <cell r="J64">
            <v>113492.27672511</v>
          </cell>
        </row>
        <row r="64">
          <cell r="L64">
            <v>24781.557441587</v>
          </cell>
          <cell r="M64">
            <v>25525.0041648346</v>
          </cell>
          <cell r="N64">
            <v>163798.838331532</v>
          </cell>
        </row>
        <row r="65">
          <cell r="D65">
            <v>21376.7891398337</v>
          </cell>
          <cell r="E65">
            <v>21376.7891398337</v>
          </cell>
          <cell r="F65">
            <v>22018.0928140287</v>
          </cell>
          <cell r="G65">
            <v>22678.6355984496</v>
          </cell>
          <cell r="H65">
            <v>23358.9946664031</v>
          </cell>
          <cell r="I65">
            <v>24059.7645063952</v>
          </cell>
          <cell r="J65">
            <v>113492.27672511</v>
          </cell>
        </row>
        <row r="65">
          <cell r="L65">
            <v>24781.557441587</v>
          </cell>
          <cell r="M65">
            <v>25525.0041648346</v>
          </cell>
          <cell r="N65">
            <v>163798.838331532</v>
          </cell>
        </row>
        <row r="66">
          <cell r="D66">
            <v>0</v>
          </cell>
          <cell r="E66">
            <v>0</v>
          </cell>
          <cell r="F66">
            <v>0</v>
          </cell>
          <cell r="G66">
            <v>0</v>
          </cell>
          <cell r="H66">
            <v>0</v>
          </cell>
          <cell r="I66">
            <v>0</v>
          </cell>
          <cell r="J66">
            <v>0</v>
          </cell>
        </row>
        <row r="66">
          <cell r="L66">
            <v>0</v>
          </cell>
          <cell r="M66">
            <v>0</v>
          </cell>
          <cell r="N66">
            <v>0</v>
          </cell>
        </row>
        <row r="67">
          <cell r="D67">
            <v>5816.14338179716</v>
          </cell>
          <cell r="E67">
            <v>5816.14338179716</v>
          </cell>
          <cell r="F67">
            <v>5990.62768325108</v>
          </cell>
          <cell r="G67">
            <v>6170.34651374861</v>
          </cell>
          <cell r="H67">
            <v>6355.45690916107</v>
          </cell>
          <cell r="I67">
            <v>6546.1206164359</v>
          </cell>
          <cell r="J67">
            <v>30878.6951043938</v>
          </cell>
        </row>
        <row r="67">
          <cell r="L67">
            <v>6742.50423492898</v>
          </cell>
          <cell r="M67">
            <v>6944.77936197685</v>
          </cell>
          <cell r="N67">
            <v>44565.9787012997</v>
          </cell>
        </row>
        <row r="68">
          <cell r="D68">
            <v>12461.372</v>
          </cell>
          <cell r="E68">
            <v>12087.53084</v>
          </cell>
          <cell r="F68">
            <v>12450.1567652</v>
          </cell>
          <cell r="G68">
            <v>12823.661468156</v>
          </cell>
          <cell r="H68">
            <v>13208.3713122007</v>
          </cell>
          <cell r="I68">
            <v>13604.6224515667</v>
          </cell>
          <cell r="J68">
            <v>64174.3428371234</v>
          </cell>
        </row>
        <row r="68">
          <cell r="L68">
            <v>14012.7611251137</v>
          </cell>
          <cell r="M68">
            <v>14433.1439588671</v>
          </cell>
          <cell r="N68">
            <v>92620.2479211042</v>
          </cell>
        </row>
        <row r="69">
          <cell r="D69">
            <v>19677.7299542039</v>
          </cell>
          <cell r="E69">
            <v>19087.3980555778</v>
          </cell>
          <cell r="F69">
            <v>19660.0199972451</v>
          </cell>
          <cell r="G69">
            <v>20249.8205971625</v>
          </cell>
          <cell r="H69">
            <v>20857.3152150774</v>
          </cell>
          <cell r="I69">
            <v>21483.0346715297</v>
          </cell>
          <cell r="J69">
            <v>101337.588536592</v>
          </cell>
        </row>
        <row r="69">
          <cell r="L69">
            <v>22127.5257116756</v>
          </cell>
          <cell r="M69">
            <v>22791.3514830258</v>
          </cell>
          <cell r="N69">
            <v>146256.465731294</v>
          </cell>
        </row>
        <row r="70">
          <cell r="D70">
            <v>0</v>
          </cell>
          <cell r="E70">
            <v>0</v>
          </cell>
          <cell r="F70">
            <v>0</v>
          </cell>
          <cell r="G70">
            <v>0</v>
          </cell>
          <cell r="H70">
            <v>0</v>
          </cell>
          <cell r="I70">
            <v>0</v>
          </cell>
          <cell r="J70">
            <v>0</v>
          </cell>
        </row>
        <row r="70">
          <cell r="L70">
            <v>0</v>
          </cell>
          <cell r="M70">
            <v>0</v>
          </cell>
          <cell r="N70">
            <v>0</v>
          </cell>
        </row>
        <row r="71">
          <cell r="D71">
            <v>3733.33333333333</v>
          </cell>
          <cell r="E71">
            <v>3733.33333333333</v>
          </cell>
          <cell r="F71">
            <v>3845.33333333333</v>
          </cell>
          <cell r="G71">
            <v>3960.69333333333</v>
          </cell>
          <cell r="H71">
            <v>4079.51413333333</v>
          </cell>
          <cell r="I71">
            <v>4201.89955733333</v>
          </cell>
          <cell r="J71">
            <v>19820.7736906667</v>
          </cell>
        </row>
        <row r="71">
          <cell r="L71">
            <v>4327.95654405333</v>
          </cell>
          <cell r="M71">
            <v>4457.79524037493</v>
          </cell>
          <cell r="N71">
            <v>28606.5254750949</v>
          </cell>
        </row>
        <row r="72">
          <cell r="D72">
            <v>0</v>
          </cell>
          <cell r="E72">
            <v>0</v>
          </cell>
          <cell r="F72">
            <v>0</v>
          </cell>
          <cell r="G72">
            <v>0</v>
          </cell>
          <cell r="H72">
            <v>0</v>
          </cell>
          <cell r="I72">
            <v>0</v>
          </cell>
          <cell r="J72">
            <v>0</v>
          </cell>
        </row>
        <row r="72">
          <cell r="L72">
            <v>0</v>
          </cell>
          <cell r="M72">
            <v>0</v>
          </cell>
          <cell r="N72">
            <v>0</v>
          </cell>
        </row>
        <row r="73">
          <cell r="D73">
            <v>0</v>
          </cell>
          <cell r="E73">
            <v>0</v>
          </cell>
          <cell r="F73">
            <v>0</v>
          </cell>
          <cell r="G73">
            <v>0</v>
          </cell>
          <cell r="H73">
            <v>0</v>
          </cell>
          <cell r="I73">
            <v>0</v>
          </cell>
          <cell r="J73">
            <v>0</v>
          </cell>
        </row>
        <row r="73">
          <cell r="L73">
            <v>0</v>
          </cell>
          <cell r="M73">
            <v>0</v>
          </cell>
          <cell r="N73">
            <v>0</v>
          </cell>
        </row>
        <row r="74">
          <cell r="D74">
            <v>41688.5786693344</v>
          </cell>
          <cell r="E74">
            <v>40724.4056107083</v>
          </cell>
          <cell r="F74">
            <v>41946.1377790295</v>
          </cell>
          <cell r="G74">
            <v>43204.5219124004</v>
          </cell>
          <cell r="H74">
            <v>44500.6575697724</v>
          </cell>
          <cell r="I74">
            <v>45835.6772968656</v>
          </cell>
          <cell r="J74">
            <v>216211.400168776</v>
          </cell>
        </row>
        <row r="74">
          <cell r="L74">
            <v>47210.7476157716</v>
          </cell>
          <cell r="M74">
            <v>48627.0700442447</v>
          </cell>
          <cell r="N74">
            <v>312049.217828793</v>
          </cell>
        </row>
        <row r="75">
          <cell r="D75">
            <v>518014.558088908</v>
          </cell>
          <cell r="E75">
            <v>503714.331366689</v>
          </cell>
          <cell r="F75">
            <v>518825.76130769</v>
          </cell>
          <cell r="G75">
            <v>534390.534146921</v>
          </cell>
          <cell r="H75">
            <v>550422.250171329</v>
          </cell>
          <cell r="I75">
            <v>566934.917676468</v>
          </cell>
          <cell r="J75">
            <v>2674287.7946691</v>
          </cell>
        </row>
        <row r="75">
          <cell r="L75">
            <v>583942.965206763</v>
          </cell>
          <cell r="M75">
            <v>601461.254162966</v>
          </cell>
          <cell r="N75">
            <v>3859692.01403883</v>
          </cell>
        </row>
        <row r="76">
          <cell r="D76">
            <v>0</v>
          </cell>
          <cell r="E76">
            <v>0</v>
          </cell>
          <cell r="F76">
            <v>0</v>
          </cell>
          <cell r="G76">
            <v>0</v>
          </cell>
          <cell r="H76">
            <v>0</v>
          </cell>
          <cell r="I76">
            <v>0</v>
          </cell>
          <cell r="J76">
            <v>0</v>
          </cell>
        </row>
        <row r="76">
          <cell r="L76">
            <v>0</v>
          </cell>
          <cell r="M76">
            <v>0</v>
          </cell>
          <cell r="N76">
            <v>0</v>
          </cell>
        </row>
        <row r="77">
          <cell r="D77">
            <v>518014.558088908</v>
          </cell>
          <cell r="E77">
            <v>503714.331366689</v>
          </cell>
          <cell r="F77">
            <v>518825.76130769</v>
          </cell>
          <cell r="G77">
            <v>534390.534146921</v>
          </cell>
          <cell r="H77">
            <v>550422.250171329</v>
          </cell>
          <cell r="I77">
            <v>566934.917676468</v>
          </cell>
          <cell r="J77">
            <v>2674287.7946691</v>
          </cell>
        </row>
        <row r="77">
          <cell r="L77">
            <v>583942.965206763</v>
          </cell>
          <cell r="M77">
            <v>601461.254162966</v>
          </cell>
          <cell r="N77">
            <v>3859692.01403883</v>
          </cell>
        </row>
        <row r="79">
          <cell r="D79">
            <v>0</v>
          </cell>
          <cell r="E79">
            <v>0</v>
          </cell>
          <cell r="F79">
            <v>0</v>
          </cell>
          <cell r="G79">
            <v>0</v>
          </cell>
          <cell r="H79">
            <v>0</v>
          </cell>
          <cell r="I79">
            <v>0</v>
          </cell>
          <cell r="J79">
            <v>0</v>
          </cell>
        </row>
        <row r="79">
          <cell r="L79">
            <v>0</v>
          </cell>
          <cell r="M79">
            <v>0</v>
          </cell>
          <cell r="N79">
            <v>0</v>
          </cell>
        </row>
        <row r="80">
          <cell r="D80">
            <v>0</v>
          </cell>
          <cell r="E80">
            <v>0</v>
          </cell>
          <cell r="F80">
            <v>0</v>
          </cell>
          <cell r="G80">
            <v>0</v>
          </cell>
          <cell r="H80">
            <v>0</v>
          </cell>
          <cell r="I80">
            <v>0</v>
          </cell>
          <cell r="J80">
            <v>0</v>
          </cell>
        </row>
        <row r="80">
          <cell r="L80">
            <v>0</v>
          </cell>
          <cell r="M80">
            <v>0</v>
          </cell>
          <cell r="N80">
            <v>0</v>
          </cell>
        </row>
        <row r="81">
          <cell r="D81">
            <v>0</v>
          </cell>
          <cell r="E81">
            <v>0</v>
          </cell>
          <cell r="F81">
            <v>0</v>
          </cell>
          <cell r="G81">
            <v>0</v>
          </cell>
          <cell r="H81">
            <v>0</v>
          </cell>
          <cell r="I81">
            <v>0</v>
          </cell>
          <cell r="J81">
            <v>0</v>
          </cell>
        </row>
        <row r="81">
          <cell r="L81">
            <v>0</v>
          </cell>
          <cell r="M81">
            <v>0</v>
          </cell>
          <cell r="N81">
            <v>0</v>
          </cell>
        </row>
        <row r="82">
          <cell r="D82">
            <v>0</v>
          </cell>
          <cell r="E82">
            <v>0</v>
          </cell>
          <cell r="F82">
            <v>0</v>
          </cell>
          <cell r="G82">
            <v>0</v>
          </cell>
          <cell r="H82">
            <v>0</v>
          </cell>
          <cell r="I82">
            <v>0</v>
          </cell>
          <cell r="J82">
            <v>0</v>
          </cell>
        </row>
        <row r="82">
          <cell r="L82">
            <v>0</v>
          </cell>
          <cell r="M82">
            <v>0</v>
          </cell>
          <cell r="N82">
            <v>0</v>
          </cell>
        </row>
        <row r="83">
          <cell r="D83">
            <v>0</v>
          </cell>
          <cell r="E83">
            <v>0</v>
          </cell>
          <cell r="F83">
            <v>0</v>
          </cell>
          <cell r="G83">
            <v>0</v>
          </cell>
          <cell r="H83">
            <v>0</v>
          </cell>
          <cell r="I83">
            <v>0</v>
          </cell>
          <cell r="J83">
            <v>0</v>
          </cell>
        </row>
        <row r="83">
          <cell r="L83">
            <v>0</v>
          </cell>
          <cell r="M83">
            <v>0</v>
          </cell>
          <cell r="N83">
            <v>0</v>
          </cell>
        </row>
        <row r="85">
          <cell r="D85">
            <v>518014.558088908</v>
          </cell>
          <cell r="E85">
            <v>503714.331366689</v>
          </cell>
          <cell r="F85">
            <v>518825.76130769</v>
          </cell>
          <cell r="G85">
            <v>534390.534146921</v>
          </cell>
          <cell r="H85">
            <v>550422.250171329</v>
          </cell>
          <cell r="I85">
            <v>566934.917676468</v>
          </cell>
          <cell r="J85">
            <v>2674287.7946691</v>
          </cell>
        </row>
        <row r="85">
          <cell r="L85">
            <v>583942.965206763</v>
          </cell>
          <cell r="M85">
            <v>601461.254162966</v>
          </cell>
          <cell r="N85">
            <v>3859692.01403883</v>
          </cell>
        </row>
        <row r="89">
          <cell r="D89" t="str">
            <v>BASE YEAR</v>
          </cell>
          <cell r="E89" t="str">
            <v>YEAR 1</v>
          </cell>
          <cell r="F89" t="str">
            <v>YEAR 2</v>
          </cell>
          <cell r="G89" t="str">
            <v>YEAR 3</v>
          </cell>
          <cell r="H89" t="str">
            <v>YEAR 4</v>
          </cell>
          <cell r="I89" t="str">
            <v xml:space="preserve">YEAR 5 </v>
          </cell>
          <cell r="J89" t="str">
            <v>5 Year Total</v>
          </cell>
        </row>
        <row r="89">
          <cell r="L89" t="str">
            <v>5 YEAR + 1</v>
          </cell>
          <cell r="M89" t="str">
            <v>5 YEAR + 2</v>
          </cell>
          <cell r="N89" t="str">
            <v>7 Year Total</v>
          </cell>
        </row>
        <row r="90">
          <cell r="D90">
            <v>0</v>
          </cell>
          <cell r="E90">
            <v>0</v>
          </cell>
          <cell r="F90">
            <v>0</v>
          </cell>
          <cell r="G90">
            <v>0</v>
          </cell>
          <cell r="H90">
            <v>0</v>
          </cell>
          <cell r="I90">
            <v>0</v>
          </cell>
        </row>
        <row r="90">
          <cell r="L90">
            <v>0</v>
          </cell>
          <cell r="M90">
            <v>0</v>
          </cell>
        </row>
        <row r="91">
          <cell r="D91">
            <v>2</v>
          </cell>
          <cell r="E91">
            <v>1.94</v>
          </cell>
          <cell r="F91">
            <v>1.94</v>
          </cell>
          <cell r="G91">
            <v>1.94</v>
          </cell>
          <cell r="H91">
            <v>1.94</v>
          </cell>
          <cell r="I91">
            <v>1.94</v>
          </cell>
        </row>
        <row r="91">
          <cell r="L91">
            <v>1.94</v>
          </cell>
          <cell r="M91">
            <v>1.94</v>
          </cell>
        </row>
        <row r="92">
          <cell r="D92">
            <v>2</v>
          </cell>
          <cell r="E92">
            <v>1.94</v>
          </cell>
          <cell r="F92">
            <v>1.94</v>
          </cell>
          <cell r="G92">
            <v>1.94</v>
          </cell>
          <cell r="H92">
            <v>1.94</v>
          </cell>
          <cell r="I92">
            <v>1.94</v>
          </cell>
        </row>
        <row r="92">
          <cell r="L92">
            <v>1.94</v>
          </cell>
          <cell r="M92">
            <v>1.94</v>
          </cell>
        </row>
        <row r="94">
          <cell r="D94">
            <v>0</v>
          </cell>
          <cell r="E94">
            <v>0</v>
          </cell>
          <cell r="F94">
            <v>0</v>
          </cell>
          <cell r="G94">
            <v>0</v>
          </cell>
          <cell r="H94">
            <v>0</v>
          </cell>
          <cell r="I94">
            <v>0</v>
          </cell>
          <cell r="J94">
            <v>0</v>
          </cell>
        </row>
        <row r="94">
          <cell r="L94">
            <v>0</v>
          </cell>
          <cell r="M94">
            <v>0</v>
          </cell>
          <cell r="N94">
            <v>0</v>
          </cell>
        </row>
        <row r="95">
          <cell r="D95">
            <v>0</v>
          </cell>
          <cell r="E95">
            <v>0</v>
          </cell>
          <cell r="F95">
            <v>0</v>
          </cell>
          <cell r="G95">
            <v>0</v>
          </cell>
          <cell r="H95">
            <v>0</v>
          </cell>
          <cell r="I95">
            <v>0</v>
          </cell>
          <cell r="J95">
            <v>0</v>
          </cell>
        </row>
        <row r="95">
          <cell r="L95">
            <v>0</v>
          </cell>
          <cell r="M95">
            <v>0</v>
          </cell>
          <cell r="N95">
            <v>0</v>
          </cell>
        </row>
        <row r="96">
          <cell r="D96">
            <v>39245.1583524817</v>
          </cell>
          <cell r="E96">
            <v>38829.1596739454</v>
          </cell>
          <cell r="F96">
            <v>39994.0344641638</v>
          </cell>
          <cell r="G96">
            <v>41193.8554980887</v>
          </cell>
          <cell r="H96">
            <v>42429.6711630313</v>
          </cell>
          <cell r="I96">
            <v>43702.5612979223</v>
          </cell>
          <cell r="J96">
            <v>206149.282097151</v>
          </cell>
        </row>
        <row r="96">
          <cell r="L96">
            <v>45013.6381368599</v>
          </cell>
          <cell r="M96">
            <v>46364.0472809657</v>
          </cell>
          <cell r="N96">
            <v>297526.967514977</v>
          </cell>
        </row>
        <row r="97">
          <cell r="D97">
            <v>0</v>
          </cell>
          <cell r="E97">
            <v>0</v>
          </cell>
          <cell r="F97">
            <v>0</v>
          </cell>
          <cell r="G97">
            <v>0</v>
          </cell>
          <cell r="H97">
            <v>0</v>
          </cell>
          <cell r="I97">
            <v>0</v>
          </cell>
          <cell r="J97">
            <v>0</v>
          </cell>
        </row>
        <row r="97">
          <cell r="L97">
            <v>0</v>
          </cell>
          <cell r="M97">
            <v>0</v>
          </cell>
          <cell r="N97">
            <v>0</v>
          </cell>
        </row>
        <row r="98">
          <cell r="D98">
            <v>0</v>
          </cell>
          <cell r="E98">
            <v>0</v>
          </cell>
          <cell r="F98">
            <v>0</v>
          </cell>
          <cell r="G98">
            <v>0</v>
          </cell>
          <cell r="H98">
            <v>0</v>
          </cell>
          <cell r="I98">
            <v>0</v>
          </cell>
          <cell r="J98">
            <v>0</v>
          </cell>
        </row>
        <row r="98">
          <cell r="L98">
            <v>0</v>
          </cell>
          <cell r="M98">
            <v>0</v>
          </cell>
          <cell r="N98">
            <v>0</v>
          </cell>
        </row>
        <row r="99">
          <cell r="D99">
            <v>0</v>
          </cell>
          <cell r="E99">
            <v>0</v>
          </cell>
          <cell r="F99">
            <v>0</v>
          </cell>
          <cell r="G99">
            <v>0</v>
          </cell>
          <cell r="H99">
            <v>0</v>
          </cell>
          <cell r="I99">
            <v>0</v>
          </cell>
          <cell r="J99">
            <v>0</v>
          </cell>
        </row>
        <row r="99">
          <cell r="L99">
            <v>0</v>
          </cell>
          <cell r="M99">
            <v>0</v>
          </cell>
          <cell r="N99">
            <v>0</v>
          </cell>
        </row>
        <row r="100">
          <cell r="D100">
            <v>39245.1583524817</v>
          </cell>
          <cell r="E100">
            <v>38829.1596739454</v>
          </cell>
          <cell r="F100">
            <v>39994.0344641638</v>
          </cell>
          <cell r="G100">
            <v>41193.8554980887</v>
          </cell>
          <cell r="H100">
            <v>42429.6711630313</v>
          </cell>
          <cell r="I100">
            <v>43702.5612979223</v>
          </cell>
          <cell r="J100">
            <v>206149.282097151</v>
          </cell>
        </row>
        <row r="100">
          <cell r="L100">
            <v>45013.6381368599</v>
          </cell>
          <cell r="M100">
            <v>46364.0472809657</v>
          </cell>
          <cell r="N100">
            <v>297526.967514977</v>
          </cell>
        </row>
        <row r="101">
          <cell r="D101">
            <v>0</v>
          </cell>
          <cell r="E101">
            <v>0</v>
          </cell>
          <cell r="F101">
            <v>0</v>
          </cell>
          <cell r="G101">
            <v>0</v>
          </cell>
          <cell r="H101">
            <v>0</v>
          </cell>
          <cell r="I101">
            <v>0</v>
          </cell>
          <cell r="J101">
            <v>0</v>
          </cell>
        </row>
        <row r="101">
          <cell r="L101">
            <v>0</v>
          </cell>
          <cell r="M101">
            <v>0</v>
          </cell>
          <cell r="N101">
            <v>0</v>
          </cell>
        </row>
        <row r="102">
          <cell r="D102">
            <v>0</v>
          </cell>
          <cell r="E102">
            <v>0</v>
          </cell>
          <cell r="F102">
            <v>0</v>
          </cell>
          <cell r="G102">
            <v>0</v>
          </cell>
          <cell r="H102">
            <v>0</v>
          </cell>
          <cell r="I102">
            <v>0</v>
          </cell>
          <cell r="J102">
            <v>0</v>
          </cell>
        </row>
        <row r="102">
          <cell r="L102">
            <v>0</v>
          </cell>
          <cell r="M102">
            <v>0</v>
          </cell>
          <cell r="N102">
            <v>0</v>
          </cell>
        </row>
        <row r="103">
          <cell r="D103">
            <v>0</v>
          </cell>
          <cell r="E103">
            <v>0</v>
          </cell>
          <cell r="F103">
            <v>0</v>
          </cell>
          <cell r="G103">
            <v>0</v>
          </cell>
          <cell r="H103">
            <v>0</v>
          </cell>
          <cell r="I103">
            <v>0</v>
          </cell>
          <cell r="J103">
            <v>0</v>
          </cell>
        </row>
        <row r="103">
          <cell r="L103">
            <v>0</v>
          </cell>
          <cell r="M103">
            <v>0</v>
          </cell>
          <cell r="N103">
            <v>0</v>
          </cell>
        </row>
        <row r="104">
          <cell r="D104">
            <v>0</v>
          </cell>
          <cell r="E104">
            <v>0</v>
          </cell>
          <cell r="F104">
            <v>0</v>
          </cell>
          <cell r="G104">
            <v>0</v>
          </cell>
          <cell r="H104">
            <v>0</v>
          </cell>
          <cell r="I104">
            <v>0</v>
          </cell>
          <cell r="J104">
            <v>0</v>
          </cell>
        </row>
        <row r="104">
          <cell r="L104">
            <v>0</v>
          </cell>
          <cell r="M104">
            <v>0</v>
          </cell>
          <cell r="N104">
            <v>0</v>
          </cell>
        </row>
        <row r="105">
          <cell r="D105">
            <v>0</v>
          </cell>
          <cell r="E105">
            <v>0</v>
          </cell>
          <cell r="F105">
            <v>0</v>
          </cell>
          <cell r="G105">
            <v>0</v>
          </cell>
          <cell r="H105">
            <v>0</v>
          </cell>
          <cell r="I105">
            <v>0</v>
          </cell>
          <cell r="J105">
            <v>0</v>
          </cell>
        </row>
        <row r="105">
          <cell r="L105">
            <v>0</v>
          </cell>
          <cell r="M105">
            <v>0</v>
          </cell>
          <cell r="N105">
            <v>0</v>
          </cell>
        </row>
        <row r="106">
          <cell r="D106">
            <v>0</v>
          </cell>
          <cell r="E106">
            <v>0</v>
          </cell>
          <cell r="F106">
            <v>0</v>
          </cell>
          <cell r="G106">
            <v>0</v>
          </cell>
          <cell r="H106">
            <v>0</v>
          </cell>
          <cell r="I106">
            <v>0</v>
          </cell>
          <cell r="J106">
            <v>0</v>
          </cell>
        </row>
        <row r="106">
          <cell r="L106">
            <v>0</v>
          </cell>
          <cell r="M106">
            <v>0</v>
          </cell>
          <cell r="N106">
            <v>0</v>
          </cell>
        </row>
        <row r="107">
          <cell r="D107">
            <v>0</v>
          </cell>
          <cell r="E107">
            <v>0</v>
          </cell>
          <cell r="F107">
            <v>0</v>
          </cell>
          <cell r="G107">
            <v>0</v>
          </cell>
          <cell r="H107">
            <v>0</v>
          </cell>
          <cell r="I107">
            <v>0</v>
          </cell>
          <cell r="J107">
            <v>0</v>
          </cell>
        </row>
        <row r="107">
          <cell r="L107">
            <v>0</v>
          </cell>
          <cell r="M107">
            <v>0</v>
          </cell>
          <cell r="N107">
            <v>0</v>
          </cell>
        </row>
        <row r="108">
          <cell r="D108">
            <v>0</v>
          </cell>
          <cell r="E108">
            <v>0</v>
          </cell>
          <cell r="F108">
            <v>0</v>
          </cell>
          <cell r="G108">
            <v>0</v>
          </cell>
          <cell r="H108">
            <v>0</v>
          </cell>
          <cell r="I108">
            <v>0</v>
          </cell>
          <cell r="J108">
            <v>0</v>
          </cell>
        </row>
        <row r="108">
          <cell r="L108">
            <v>0</v>
          </cell>
          <cell r="M108">
            <v>0</v>
          </cell>
          <cell r="N108">
            <v>0</v>
          </cell>
        </row>
        <row r="109">
          <cell r="D109">
            <v>0</v>
          </cell>
          <cell r="E109">
            <v>0</v>
          </cell>
          <cell r="F109">
            <v>0</v>
          </cell>
          <cell r="G109">
            <v>0</v>
          </cell>
          <cell r="H109">
            <v>0</v>
          </cell>
          <cell r="I109">
            <v>0</v>
          </cell>
          <cell r="J109">
            <v>0</v>
          </cell>
        </row>
        <row r="109">
          <cell r="L109">
            <v>0</v>
          </cell>
          <cell r="M109">
            <v>0</v>
          </cell>
          <cell r="N109">
            <v>0</v>
          </cell>
        </row>
        <row r="110">
          <cell r="D110">
            <v>0</v>
          </cell>
          <cell r="E110">
            <v>0</v>
          </cell>
          <cell r="F110">
            <v>0</v>
          </cell>
          <cell r="G110">
            <v>0</v>
          </cell>
          <cell r="H110">
            <v>0</v>
          </cell>
          <cell r="I110">
            <v>0</v>
          </cell>
          <cell r="J110">
            <v>0</v>
          </cell>
        </row>
        <row r="110">
          <cell r="L110">
            <v>0</v>
          </cell>
          <cell r="M110">
            <v>0</v>
          </cell>
          <cell r="N110">
            <v>0</v>
          </cell>
        </row>
        <row r="111">
          <cell r="D111">
            <v>0</v>
          </cell>
          <cell r="E111">
            <v>0</v>
          </cell>
          <cell r="F111">
            <v>0</v>
          </cell>
          <cell r="G111">
            <v>0</v>
          </cell>
          <cell r="H111">
            <v>0</v>
          </cell>
          <cell r="I111">
            <v>0</v>
          </cell>
          <cell r="J111">
            <v>0</v>
          </cell>
        </row>
        <row r="111">
          <cell r="L111">
            <v>0</v>
          </cell>
          <cell r="M111">
            <v>0</v>
          </cell>
          <cell r="N111">
            <v>0</v>
          </cell>
        </row>
        <row r="112">
          <cell r="D112">
            <v>0</v>
          </cell>
          <cell r="E112">
            <v>0</v>
          </cell>
          <cell r="F112">
            <v>0</v>
          </cell>
          <cell r="G112">
            <v>0</v>
          </cell>
          <cell r="H112">
            <v>0</v>
          </cell>
          <cell r="I112">
            <v>0</v>
          </cell>
          <cell r="J112">
            <v>0</v>
          </cell>
        </row>
        <row r="112">
          <cell r="L112">
            <v>0</v>
          </cell>
          <cell r="M112">
            <v>0</v>
          </cell>
          <cell r="N112">
            <v>0</v>
          </cell>
        </row>
        <row r="113">
          <cell r="D113">
            <v>0</v>
          </cell>
          <cell r="E113">
            <v>0</v>
          </cell>
          <cell r="F113">
            <v>0</v>
          </cell>
          <cell r="G113">
            <v>0</v>
          </cell>
          <cell r="H113">
            <v>0</v>
          </cell>
          <cell r="I113">
            <v>0</v>
          </cell>
          <cell r="J113">
            <v>0</v>
          </cell>
        </row>
        <row r="113">
          <cell r="L113">
            <v>0</v>
          </cell>
          <cell r="M113">
            <v>0</v>
          </cell>
          <cell r="N113">
            <v>0</v>
          </cell>
        </row>
        <row r="114">
          <cell r="D114">
            <v>0</v>
          </cell>
          <cell r="E114">
            <v>0</v>
          </cell>
          <cell r="F114">
            <v>0</v>
          </cell>
          <cell r="G114">
            <v>0</v>
          </cell>
          <cell r="H114">
            <v>0</v>
          </cell>
          <cell r="I114">
            <v>0</v>
          </cell>
          <cell r="J114">
            <v>0</v>
          </cell>
        </row>
        <row r="114">
          <cell r="L114">
            <v>0</v>
          </cell>
          <cell r="M114">
            <v>0</v>
          </cell>
          <cell r="N114">
            <v>0</v>
          </cell>
        </row>
        <row r="115">
          <cell r="D115">
            <v>106724.112428571</v>
          </cell>
          <cell r="E115">
            <v>106724.112428571</v>
          </cell>
          <cell r="F115">
            <v>109925.835801429</v>
          </cell>
          <cell r="G115">
            <v>113223.610875471</v>
          </cell>
          <cell r="H115">
            <v>116620.319201736</v>
          </cell>
          <cell r="I115">
            <v>120118.928777788</v>
          </cell>
          <cell r="J115">
            <v>566612.807084995</v>
          </cell>
        </row>
        <row r="115">
          <cell r="L115">
            <v>123722.496641121</v>
          </cell>
          <cell r="M115">
            <v>127434.171540355</v>
          </cell>
          <cell r="N115">
            <v>817769.475266471</v>
          </cell>
        </row>
        <row r="116">
          <cell r="D116">
            <v>0</v>
          </cell>
          <cell r="E116">
            <v>0</v>
          </cell>
          <cell r="F116">
            <v>0</v>
          </cell>
          <cell r="G116">
            <v>0</v>
          </cell>
          <cell r="H116">
            <v>0</v>
          </cell>
          <cell r="I116">
            <v>0</v>
          </cell>
          <cell r="J116">
            <v>0</v>
          </cell>
        </row>
        <row r="116">
          <cell r="L116">
            <v>0</v>
          </cell>
          <cell r="M116">
            <v>0</v>
          </cell>
          <cell r="N116">
            <v>0</v>
          </cell>
        </row>
        <row r="117">
          <cell r="D117">
            <v>0</v>
          </cell>
          <cell r="E117">
            <v>0</v>
          </cell>
          <cell r="F117">
            <v>0</v>
          </cell>
          <cell r="G117">
            <v>0</v>
          </cell>
          <cell r="H117">
            <v>0</v>
          </cell>
          <cell r="I117">
            <v>0</v>
          </cell>
          <cell r="J117">
            <v>0</v>
          </cell>
        </row>
        <row r="117">
          <cell r="L117">
            <v>0</v>
          </cell>
          <cell r="M117">
            <v>0</v>
          </cell>
          <cell r="N117">
            <v>0</v>
          </cell>
        </row>
        <row r="118">
          <cell r="D118">
            <v>106724.112428571</v>
          </cell>
          <cell r="E118">
            <v>106724.112428571</v>
          </cell>
          <cell r="F118">
            <v>109925.835801429</v>
          </cell>
          <cell r="G118">
            <v>113223.610875471</v>
          </cell>
          <cell r="H118">
            <v>116620.319201736</v>
          </cell>
          <cell r="I118">
            <v>120118.928777788</v>
          </cell>
          <cell r="J118">
            <v>566612.807084995</v>
          </cell>
        </row>
        <row r="118">
          <cell r="L118">
            <v>123722.496641121</v>
          </cell>
          <cell r="M118">
            <v>127434.171540355</v>
          </cell>
          <cell r="N118">
            <v>817769.475266471</v>
          </cell>
        </row>
        <row r="119">
          <cell r="D119">
            <v>145969.270781053</v>
          </cell>
          <cell r="E119">
            <v>145553.272102517</v>
          </cell>
          <cell r="F119">
            <v>149919.870265592</v>
          </cell>
          <cell r="G119">
            <v>154417.46637356</v>
          </cell>
          <cell r="H119">
            <v>159049.990364767</v>
          </cell>
          <cell r="I119">
            <v>163821.49007571</v>
          </cell>
          <cell r="J119">
            <v>772762.089182146</v>
          </cell>
        </row>
        <row r="119">
          <cell r="L119">
            <v>168736.134777981</v>
          </cell>
          <cell r="M119">
            <v>173798.218821321</v>
          </cell>
          <cell r="N119">
            <v>1115296.44278145</v>
          </cell>
        </row>
        <row r="120">
          <cell r="D120">
            <v>0</v>
          </cell>
          <cell r="E120">
            <v>0</v>
          </cell>
          <cell r="F120">
            <v>0</v>
          </cell>
          <cell r="G120">
            <v>0</v>
          </cell>
          <cell r="H120">
            <v>0</v>
          </cell>
          <cell r="I120">
            <v>0</v>
          </cell>
          <cell r="J120">
            <v>0</v>
          </cell>
        </row>
        <row r="120">
          <cell r="L120">
            <v>0</v>
          </cell>
          <cell r="M120">
            <v>0</v>
          </cell>
          <cell r="N120">
            <v>0</v>
          </cell>
        </row>
        <row r="121">
          <cell r="D121">
            <v>145969.270781053</v>
          </cell>
          <cell r="E121">
            <v>145553.272102517</v>
          </cell>
          <cell r="F121">
            <v>149919.870265592</v>
          </cell>
          <cell r="G121">
            <v>154417.46637356</v>
          </cell>
          <cell r="H121">
            <v>159049.990364767</v>
          </cell>
          <cell r="I121">
            <v>163821.49007571</v>
          </cell>
          <cell r="J121">
            <v>772762.089182146</v>
          </cell>
        </row>
        <row r="121">
          <cell r="L121">
            <v>168736.134777981</v>
          </cell>
          <cell r="M121">
            <v>173798.218821321</v>
          </cell>
          <cell r="N121">
            <v>1115296.44278145</v>
          </cell>
        </row>
        <row r="123">
          <cell r="D123">
            <v>0</v>
          </cell>
          <cell r="E123">
            <v>0</v>
          </cell>
          <cell r="F123">
            <v>0</v>
          </cell>
          <cell r="G123">
            <v>0</v>
          </cell>
          <cell r="H123">
            <v>0</v>
          </cell>
          <cell r="I123">
            <v>0</v>
          </cell>
          <cell r="J123">
            <v>0</v>
          </cell>
        </row>
        <row r="123">
          <cell r="L123">
            <v>0</v>
          </cell>
          <cell r="M123">
            <v>0</v>
          </cell>
          <cell r="N123">
            <v>0</v>
          </cell>
        </row>
        <row r="124">
          <cell r="D124">
            <v>0</v>
          </cell>
          <cell r="E124">
            <v>0</v>
          </cell>
          <cell r="F124">
            <v>0</v>
          </cell>
          <cell r="G124">
            <v>0</v>
          </cell>
          <cell r="H124">
            <v>0</v>
          </cell>
          <cell r="I124">
            <v>0</v>
          </cell>
          <cell r="J124">
            <v>0</v>
          </cell>
        </row>
        <row r="124">
          <cell r="L124">
            <v>0</v>
          </cell>
          <cell r="M124">
            <v>0</v>
          </cell>
          <cell r="N124">
            <v>0</v>
          </cell>
        </row>
        <row r="125">
          <cell r="D125">
            <v>0</v>
          </cell>
          <cell r="E125">
            <v>0</v>
          </cell>
          <cell r="F125">
            <v>0</v>
          </cell>
          <cell r="G125">
            <v>0</v>
          </cell>
          <cell r="H125">
            <v>0</v>
          </cell>
          <cell r="I125">
            <v>0</v>
          </cell>
          <cell r="J125">
            <v>0</v>
          </cell>
        </row>
        <row r="125">
          <cell r="L125">
            <v>0</v>
          </cell>
          <cell r="M125">
            <v>0</v>
          </cell>
          <cell r="N125">
            <v>0</v>
          </cell>
        </row>
        <row r="126">
          <cell r="D126">
            <v>0</v>
          </cell>
          <cell r="E126">
            <v>0</v>
          </cell>
          <cell r="F126">
            <v>0</v>
          </cell>
          <cell r="G126">
            <v>0</v>
          </cell>
          <cell r="H126">
            <v>0</v>
          </cell>
          <cell r="I126">
            <v>0</v>
          </cell>
          <cell r="J126">
            <v>0</v>
          </cell>
        </row>
        <row r="126">
          <cell r="L126">
            <v>0</v>
          </cell>
          <cell r="M126">
            <v>0</v>
          </cell>
          <cell r="N126">
            <v>0</v>
          </cell>
        </row>
        <row r="127">
          <cell r="D127">
            <v>0</v>
          </cell>
          <cell r="E127">
            <v>0</v>
          </cell>
          <cell r="F127">
            <v>0</v>
          </cell>
          <cell r="G127">
            <v>0</v>
          </cell>
          <cell r="H127">
            <v>0</v>
          </cell>
          <cell r="I127">
            <v>0</v>
          </cell>
          <cell r="J127">
            <v>0</v>
          </cell>
        </row>
        <row r="127">
          <cell r="L127">
            <v>0</v>
          </cell>
          <cell r="M127">
            <v>0</v>
          </cell>
          <cell r="N127">
            <v>0</v>
          </cell>
        </row>
        <row r="129">
          <cell r="D129">
            <v>145969.270781053</v>
          </cell>
          <cell r="E129">
            <v>145553.272102517</v>
          </cell>
          <cell r="F129">
            <v>149919.870265592</v>
          </cell>
          <cell r="G129">
            <v>154417.46637356</v>
          </cell>
          <cell r="H129">
            <v>159049.990364767</v>
          </cell>
          <cell r="I129">
            <v>163821.49007571</v>
          </cell>
          <cell r="J129">
            <v>772762.089182146</v>
          </cell>
        </row>
        <row r="129">
          <cell r="L129">
            <v>168736.134777981</v>
          </cell>
          <cell r="M129">
            <v>173798.218821321</v>
          </cell>
          <cell r="N129">
            <v>1115296.44278145</v>
          </cell>
        </row>
        <row r="132">
          <cell r="D132" t="str">
            <v>BASE YEAR</v>
          </cell>
          <cell r="E132" t="str">
            <v>YEAR 1</v>
          </cell>
          <cell r="F132" t="str">
            <v>YEAR 2</v>
          </cell>
          <cell r="G132" t="str">
            <v>YEAR 3</v>
          </cell>
          <cell r="H132" t="str">
            <v>YEAR 4</v>
          </cell>
          <cell r="I132" t="str">
            <v xml:space="preserve">YEAR 5 </v>
          </cell>
          <cell r="J132" t="str">
            <v>5 Year  Total</v>
          </cell>
        </row>
        <row r="132">
          <cell r="L132" t="str">
            <v>5 YEAR + 1</v>
          </cell>
          <cell r="M132" t="str">
            <v>5 YEAR + 2</v>
          </cell>
          <cell r="N132" t="str">
            <v>7 Year  Total</v>
          </cell>
        </row>
        <row r="133">
          <cell r="D133">
            <v>9.48275862068966</v>
          </cell>
          <cell r="E133">
            <v>9.11827586206897</v>
          </cell>
          <cell r="F133">
            <v>9.11827586206897</v>
          </cell>
          <cell r="G133">
            <v>9.11827586206897</v>
          </cell>
          <cell r="H133">
            <v>9.11827586206897</v>
          </cell>
          <cell r="I133">
            <v>9.11827586206897</v>
          </cell>
        </row>
        <row r="133">
          <cell r="L133">
            <v>9.11827586206897</v>
          </cell>
          <cell r="M133">
            <v>9.11827586206897</v>
          </cell>
        </row>
        <row r="134">
          <cell r="D134">
            <v>-7.04297731246584E-016</v>
          </cell>
          <cell r="E134">
            <v>-6.83481049534862E-016</v>
          </cell>
          <cell r="F134">
            <v>-6.83481049534862E-016</v>
          </cell>
          <cell r="G134">
            <v>-6.83481049534862E-016</v>
          </cell>
          <cell r="H134">
            <v>-6.83481049534862E-016</v>
          </cell>
          <cell r="I134">
            <v>-6.83481049534862E-016</v>
          </cell>
        </row>
        <row r="134">
          <cell r="L134">
            <v>-6.83481049534862E-016</v>
          </cell>
          <cell r="M134">
            <v>-6.83481049534862E-016</v>
          </cell>
        </row>
        <row r="135">
          <cell r="D135">
            <v>9.48275862068966</v>
          </cell>
          <cell r="E135">
            <v>9.11827586206897</v>
          </cell>
          <cell r="F135">
            <v>9.11827586206897</v>
          </cell>
          <cell r="G135">
            <v>9.11827586206897</v>
          </cell>
          <cell r="H135">
            <v>9.11827586206897</v>
          </cell>
          <cell r="I135">
            <v>9.11827586206897</v>
          </cell>
        </row>
        <row r="135">
          <cell r="L135">
            <v>9.11827586206897</v>
          </cell>
          <cell r="M135">
            <v>9.11827586206897</v>
          </cell>
        </row>
        <row r="137">
          <cell r="D137">
            <v>510326.324732529</v>
          </cell>
          <cell r="E137">
            <v>495015.906488779</v>
          </cell>
          <cell r="F137">
            <v>509866.383683443</v>
          </cell>
          <cell r="G137">
            <v>525162.375193946</v>
          </cell>
          <cell r="H137">
            <v>540917.246449765</v>
          </cell>
          <cell r="I137">
            <v>557144.763843257</v>
          </cell>
          <cell r="J137">
            <v>2628106.67565919</v>
          </cell>
        </row>
        <row r="137">
          <cell r="L137">
            <v>573859.106758555</v>
          </cell>
          <cell r="M137">
            <v>591074.879961312</v>
          </cell>
          <cell r="N137">
            <v>3793040.66237906</v>
          </cell>
        </row>
        <row r="138">
          <cell r="D138">
            <v>28730.7626989287</v>
          </cell>
          <cell r="E138">
            <v>27868.0498179608</v>
          </cell>
          <cell r="F138">
            <v>28704.0913124997</v>
          </cell>
          <cell r="G138">
            <v>29565.2140518746</v>
          </cell>
          <cell r="H138">
            <v>30452.1704734309</v>
          </cell>
          <cell r="I138">
            <v>31365.7355876338</v>
          </cell>
          <cell r="J138">
            <v>147955.2612434</v>
          </cell>
        </row>
        <row r="138">
          <cell r="L138">
            <v>32306.7076552628</v>
          </cell>
          <cell r="M138">
            <v>33275.9088849207</v>
          </cell>
          <cell r="N138">
            <v>213537.877783583</v>
          </cell>
        </row>
        <row r="139">
          <cell r="D139">
            <v>4643.20404761905</v>
          </cell>
          <cell r="E139">
            <v>4593.98608471429</v>
          </cell>
          <cell r="F139">
            <v>4731.80566725572</v>
          </cell>
          <cell r="G139">
            <v>4873.75983727339</v>
          </cell>
          <cell r="H139">
            <v>5019.97263239159</v>
          </cell>
          <cell r="I139">
            <v>5170.57181136334</v>
          </cell>
          <cell r="J139">
            <v>24390.0960329983</v>
          </cell>
        </row>
        <row r="139">
          <cell r="L139">
            <v>5325.68896570424</v>
          </cell>
          <cell r="M139">
            <v>5485.45963467537</v>
          </cell>
          <cell r="N139">
            <v>35201.2446333779</v>
          </cell>
        </row>
        <row r="140">
          <cell r="D140">
            <v>0</v>
          </cell>
          <cell r="E140">
            <v>0</v>
          </cell>
          <cell r="F140">
            <v>0</v>
          </cell>
          <cell r="G140">
            <v>0</v>
          </cell>
          <cell r="H140">
            <v>0</v>
          </cell>
          <cell r="I140">
            <v>0</v>
          </cell>
          <cell r="J140">
            <v>0</v>
          </cell>
        </row>
        <row r="140">
          <cell r="L140">
            <v>0</v>
          </cell>
          <cell r="M140">
            <v>0</v>
          </cell>
          <cell r="N140">
            <v>0</v>
          </cell>
        </row>
        <row r="141">
          <cell r="D141">
            <v>0</v>
          </cell>
          <cell r="E141">
            <v>0</v>
          </cell>
          <cell r="F141">
            <v>0</v>
          </cell>
          <cell r="G141">
            <v>0</v>
          </cell>
          <cell r="H141">
            <v>0</v>
          </cell>
          <cell r="I141">
            <v>0</v>
          </cell>
          <cell r="J141">
            <v>0</v>
          </cell>
        </row>
        <row r="141">
          <cell r="L141">
            <v>0</v>
          </cell>
          <cell r="M141">
            <v>0</v>
          </cell>
          <cell r="N141">
            <v>0</v>
          </cell>
        </row>
        <row r="142">
          <cell r="D142">
            <v>15486.502442469</v>
          </cell>
          <cell r="E142">
            <v>15022.0473691949</v>
          </cell>
          <cell r="F142">
            <v>15472.7087902708</v>
          </cell>
          <cell r="G142">
            <v>15936.8900539789</v>
          </cell>
          <cell r="H142">
            <v>16414.9967555983</v>
          </cell>
          <cell r="I142">
            <v>16907.4466582662</v>
          </cell>
          <cell r="J142">
            <v>79754.0896273091</v>
          </cell>
        </row>
        <row r="142">
          <cell r="L142">
            <v>17414.6700580142</v>
          </cell>
          <cell r="M142">
            <v>17937.1101597546</v>
          </cell>
          <cell r="N142">
            <v>115105.869845078</v>
          </cell>
        </row>
        <row r="143">
          <cell r="D143">
            <v>559186.793921546</v>
          </cell>
          <cell r="E143">
            <v>542499.98976065</v>
          </cell>
          <cell r="F143">
            <v>558774.989453469</v>
          </cell>
          <cell r="G143">
            <v>575538.239137073</v>
          </cell>
          <cell r="H143">
            <v>592804.386311185</v>
          </cell>
          <cell r="I143">
            <v>610588.517900521</v>
          </cell>
          <cell r="J143">
            <v>2880206.1225629</v>
          </cell>
        </row>
        <row r="143">
          <cell r="L143">
            <v>628906.173437537</v>
          </cell>
          <cell r="M143">
            <v>647773.358640663</v>
          </cell>
          <cell r="N143">
            <v>4156885.6546411</v>
          </cell>
        </row>
        <row r="144">
          <cell r="D144">
            <v>0</v>
          </cell>
          <cell r="E144">
            <v>0</v>
          </cell>
          <cell r="F144">
            <v>0</v>
          </cell>
          <cell r="G144">
            <v>0</v>
          </cell>
          <cell r="H144">
            <v>0</v>
          </cell>
          <cell r="I144">
            <v>0</v>
          </cell>
          <cell r="J144">
            <v>0</v>
          </cell>
        </row>
        <row r="144">
          <cell r="L144">
            <v>0</v>
          </cell>
          <cell r="M144">
            <v>0</v>
          </cell>
          <cell r="N144">
            <v>0</v>
          </cell>
        </row>
        <row r="145">
          <cell r="D145">
            <v>0</v>
          </cell>
          <cell r="E145">
            <v>0</v>
          </cell>
          <cell r="F145">
            <v>0</v>
          </cell>
          <cell r="G145">
            <v>0</v>
          </cell>
          <cell r="H145">
            <v>0</v>
          </cell>
          <cell r="I145">
            <v>0</v>
          </cell>
          <cell r="J145">
            <v>0</v>
          </cell>
        </row>
        <row r="145">
          <cell r="L145">
            <v>0</v>
          </cell>
          <cell r="M145">
            <v>0</v>
          </cell>
          <cell r="N145">
            <v>0</v>
          </cell>
        </row>
        <row r="146">
          <cell r="D146">
            <v>0</v>
          </cell>
          <cell r="E146">
            <v>0</v>
          </cell>
          <cell r="F146">
            <v>0</v>
          </cell>
          <cell r="G146">
            <v>0</v>
          </cell>
          <cell r="H146">
            <v>0</v>
          </cell>
          <cell r="I146">
            <v>0</v>
          </cell>
          <cell r="J146">
            <v>0</v>
          </cell>
        </row>
        <row r="146">
          <cell r="L146">
            <v>0</v>
          </cell>
          <cell r="M146">
            <v>0</v>
          </cell>
          <cell r="N146">
            <v>0</v>
          </cell>
        </row>
        <row r="147">
          <cell r="D147">
            <v>0</v>
          </cell>
          <cell r="E147">
            <v>0</v>
          </cell>
          <cell r="F147">
            <v>0</v>
          </cell>
          <cell r="G147">
            <v>0</v>
          </cell>
          <cell r="H147">
            <v>0</v>
          </cell>
          <cell r="I147">
            <v>0</v>
          </cell>
          <cell r="J147">
            <v>0</v>
          </cell>
        </row>
        <row r="147">
          <cell r="L147">
            <v>0</v>
          </cell>
          <cell r="M147">
            <v>0</v>
          </cell>
          <cell r="N147">
            <v>0</v>
          </cell>
        </row>
        <row r="148">
          <cell r="D148">
            <v>0</v>
          </cell>
          <cell r="E148">
            <v>0</v>
          </cell>
          <cell r="F148">
            <v>0</v>
          </cell>
          <cell r="G148">
            <v>0</v>
          </cell>
          <cell r="H148">
            <v>0</v>
          </cell>
          <cell r="I148">
            <v>0</v>
          </cell>
          <cell r="J148">
            <v>0</v>
          </cell>
        </row>
        <row r="148">
          <cell r="L148">
            <v>0</v>
          </cell>
          <cell r="M148">
            <v>0</v>
          </cell>
          <cell r="N148">
            <v>0</v>
          </cell>
        </row>
        <row r="149">
          <cell r="D149">
            <v>0</v>
          </cell>
          <cell r="E149">
            <v>0</v>
          </cell>
          <cell r="F149">
            <v>0</v>
          </cell>
          <cell r="G149">
            <v>0</v>
          </cell>
          <cell r="H149">
            <v>0</v>
          </cell>
          <cell r="I149">
            <v>0</v>
          </cell>
          <cell r="J149">
            <v>0</v>
          </cell>
        </row>
        <row r="149">
          <cell r="L149">
            <v>0</v>
          </cell>
          <cell r="M149">
            <v>0</v>
          </cell>
          <cell r="N149">
            <v>0</v>
          </cell>
        </row>
        <row r="150">
          <cell r="D150">
            <v>0</v>
          </cell>
          <cell r="E150">
            <v>0</v>
          </cell>
          <cell r="F150">
            <v>0</v>
          </cell>
          <cell r="G150">
            <v>0</v>
          </cell>
          <cell r="H150">
            <v>0</v>
          </cell>
          <cell r="I150">
            <v>0</v>
          </cell>
          <cell r="J150">
            <v>0</v>
          </cell>
        </row>
        <row r="150">
          <cell r="L150">
            <v>0</v>
          </cell>
          <cell r="M150">
            <v>0</v>
          </cell>
          <cell r="N150">
            <v>0</v>
          </cell>
        </row>
        <row r="151">
          <cell r="D151">
            <v>41033.9994315949</v>
          </cell>
          <cell r="E151">
            <v>41033.9994315949</v>
          </cell>
          <cell r="F151">
            <v>42265.0194145427</v>
          </cell>
          <cell r="G151">
            <v>43532.969996979</v>
          </cell>
          <cell r="H151">
            <v>44838.9590968884</v>
          </cell>
          <cell r="I151">
            <v>46184.127869795</v>
          </cell>
          <cell r="J151">
            <v>217855.0758098</v>
          </cell>
        </row>
        <row r="151">
          <cell r="L151">
            <v>47569.6517058889</v>
          </cell>
          <cell r="M151">
            <v>48996.7412570655</v>
          </cell>
          <cell r="N151">
            <v>314421.468772754</v>
          </cell>
        </row>
        <row r="152">
          <cell r="D152">
            <v>41033.9994315949</v>
          </cell>
          <cell r="E152">
            <v>41033.9994315949</v>
          </cell>
          <cell r="F152">
            <v>42265.0194145427</v>
          </cell>
          <cell r="G152">
            <v>43532.969996979</v>
          </cell>
          <cell r="H152">
            <v>44838.9590968884</v>
          </cell>
          <cell r="I152">
            <v>46184.127869795</v>
          </cell>
          <cell r="J152">
            <v>217855.0758098</v>
          </cell>
        </row>
        <row r="152">
          <cell r="L152">
            <v>47569.6517058889</v>
          </cell>
          <cell r="M152">
            <v>48996.7412570655</v>
          </cell>
          <cell r="N152">
            <v>314421.468772754</v>
          </cell>
        </row>
        <row r="153">
          <cell r="D153">
            <v>0</v>
          </cell>
          <cell r="E153">
            <v>0</v>
          </cell>
          <cell r="F153">
            <v>0</v>
          </cell>
          <cell r="G153">
            <v>0</v>
          </cell>
          <cell r="H153">
            <v>0</v>
          </cell>
          <cell r="I153">
            <v>0</v>
          </cell>
          <cell r="J153">
            <v>0</v>
          </cell>
        </row>
        <row r="153">
          <cell r="L153">
            <v>0</v>
          </cell>
          <cell r="M153">
            <v>0</v>
          </cell>
          <cell r="N153">
            <v>0</v>
          </cell>
        </row>
        <row r="154">
          <cell r="D154">
            <v>11164.4280467743</v>
          </cell>
          <cell r="E154">
            <v>11164.4280467743</v>
          </cell>
          <cell r="F154">
            <v>11499.3608881775</v>
          </cell>
          <cell r="G154">
            <v>11844.3417148228</v>
          </cell>
          <cell r="H154">
            <v>12199.6719662675</v>
          </cell>
          <cell r="I154">
            <v>12565.6621252555</v>
          </cell>
          <cell r="J154">
            <v>59273.4647412976</v>
          </cell>
        </row>
        <row r="154">
          <cell r="L154">
            <v>12942.6319890132</v>
          </cell>
          <cell r="M154">
            <v>13330.9109486836</v>
          </cell>
          <cell r="N154">
            <v>85547.0076789944</v>
          </cell>
        </row>
        <row r="155">
          <cell r="D155">
            <v>132314.805142857</v>
          </cell>
          <cell r="E155">
            <v>128345.360988571</v>
          </cell>
          <cell r="F155">
            <v>132195.721818229</v>
          </cell>
          <cell r="G155">
            <v>136161.593472775</v>
          </cell>
          <cell r="H155">
            <v>140246.441276959</v>
          </cell>
          <cell r="I155">
            <v>144453.834515268</v>
          </cell>
          <cell r="J155">
            <v>681402.952071802</v>
          </cell>
        </row>
        <row r="155">
          <cell r="L155">
            <v>148787.449550726</v>
          </cell>
          <cell r="M155">
            <v>153251.073037247</v>
          </cell>
          <cell r="N155">
            <v>983441.474659775</v>
          </cell>
        </row>
        <row r="156">
          <cell r="D156">
            <v>37772.5557600818</v>
          </cell>
          <cell r="E156">
            <v>36639.3790872794</v>
          </cell>
          <cell r="F156">
            <v>37738.5604598977</v>
          </cell>
          <cell r="G156">
            <v>38870.7172736947</v>
          </cell>
          <cell r="H156">
            <v>40036.8387919055</v>
          </cell>
          <cell r="I156">
            <v>41237.9439556627</v>
          </cell>
          <cell r="J156">
            <v>194523.43956844</v>
          </cell>
        </row>
        <row r="156">
          <cell r="L156">
            <v>42475.0822743326</v>
          </cell>
          <cell r="M156">
            <v>43749.3347425625</v>
          </cell>
          <cell r="N156">
            <v>280747.856585335</v>
          </cell>
        </row>
        <row r="157">
          <cell r="D157">
            <v>0</v>
          </cell>
          <cell r="E157">
            <v>0</v>
          </cell>
          <cell r="F157">
            <v>0</v>
          </cell>
          <cell r="G157">
            <v>0</v>
          </cell>
          <cell r="H157">
            <v>0</v>
          </cell>
          <cell r="I157">
            <v>0</v>
          </cell>
          <cell r="J157">
            <v>0</v>
          </cell>
        </row>
        <row r="157">
          <cell r="L157">
            <v>0</v>
          </cell>
          <cell r="M157">
            <v>0</v>
          </cell>
          <cell r="N157">
            <v>0</v>
          </cell>
        </row>
        <row r="158">
          <cell r="D158">
            <v>78000</v>
          </cell>
          <cell r="E158">
            <v>78000</v>
          </cell>
          <cell r="F158">
            <v>80340</v>
          </cell>
          <cell r="G158">
            <v>82750.2</v>
          </cell>
          <cell r="H158">
            <v>85232.706</v>
          </cell>
          <cell r="I158">
            <v>87789.68718</v>
          </cell>
          <cell r="J158">
            <v>414112.59318</v>
          </cell>
        </row>
        <row r="158">
          <cell r="L158">
            <v>90423.3777954</v>
          </cell>
          <cell r="M158">
            <v>93136.079129262</v>
          </cell>
          <cell r="N158">
            <v>597672.050104662</v>
          </cell>
        </row>
        <row r="159">
          <cell r="D159">
            <v>0</v>
          </cell>
          <cell r="E159">
            <v>0</v>
          </cell>
          <cell r="F159">
            <v>0</v>
          </cell>
          <cell r="G159">
            <v>0</v>
          </cell>
          <cell r="H159">
            <v>0</v>
          </cell>
          <cell r="I159">
            <v>0</v>
          </cell>
          <cell r="J159">
            <v>0</v>
          </cell>
        </row>
        <row r="159">
          <cell r="L159">
            <v>0</v>
          </cell>
          <cell r="M159">
            <v>0</v>
          </cell>
          <cell r="N159">
            <v>0</v>
          </cell>
        </row>
        <row r="160">
          <cell r="D160">
            <v>0</v>
          </cell>
          <cell r="E160">
            <v>0</v>
          </cell>
          <cell r="F160">
            <v>0</v>
          </cell>
          <cell r="G160">
            <v>0</v>
          </cell>
          <cell r="H160">
            <v>0</v>
          </cell>
          <cell r="I160">
            <v>0</v>
          </cell>
          <cell r="J160">
            <v>0</v>
          </cell>
        </row>
        <row r="160">
          <cell r="L160">
            <v>0</v>
          </cell>
          <cell r="M160">
            <v>0</v>
          </cell>
          <cell r="N160">
            <v>0</v>
          </cell>
        </row>
        <row r="161">
          <cell r="D161">
            <v>259251.788949713</v>
          </cell>
          <cell r="E161">
            <v>254149.168122625</v>
          </cell>
          <cell r="F161">
            <v>261773.643166304</v>
          </cell>
          <cell r="G161">
            <v>269626.852461293</v>
          </cell>
          <cell r="H161">
            <v>277715.658035132</v>
          </cell>
          <cell r="I161">
            <v>286047.127776186</v>
          </cell>
          <cell r="J161">
            <v>1349312.44956154</v>
          </cell>
        </row>
        <row r="161">
          <cell r="L161">
            <v>294628.541609471</v>
          </cell>
          <cell r="M161">
            <v>303467.397857755</v>
          </cell>
          <cell r="N161">
            <v>1947408.38902877</v>
          </cell>
        </row>
        <row r="162">
          <cell r="D162">
            <v>859472.582302854</v>
          </cell>
          <cell r="E162">
            <v>837683.157314869</v>
          </cell>
          <cell r="F162">
            <v>862813.652034315</v>
          </cell>
          <cell r="G162">
            <v>888698.061595345</v>
          </cell>
          <cell r="H162">
            <v>915359.003443205</v>
          </cell>
          <cell r="I162">
            <v>942819.773546502</v>
          </cell>
          <cell r="J162">
            <v>4447373.64793424</v>
          </cell>
        </row>
        <row r="162">
          <cell r="L162">
            <v>971104.366752897</v>
          </cell>
          <cell r="M162">
            <v>1000237.49775548</v>
          </cell>
          <cell r="N162">
            <v>6418715.51244262</v>
          </cell>
        </row>
        <row r="163">
          <cell r="D163">
            <v>0</v>
          </cell>
          <cell r="E163">
            <v>0</v>
          </cell>
          <cell r="F163">
            <v>0</v>
          </cell>
          <cell r="G163">
            <v>0</v>
          </cell>
          <cell r="H163">
            <v>0</v>
          </cell>
          <cell r="I163">
            <v>0</v>
          </cell>
          <cell r="J163">
            <v>0</v>
          </cell>
        </row>
        <row r="163">
          <cell r="L163">
            <v>0</v>
          </cell>
          <cell r="M163">
            <v>0</v>
          </cell>
          <cell r="N163">
            <v>0</v>
          </cell>
        </row>
        <row r="164">
          <cell r="D164">
            <v>859472.582302854</v>
          </cell>
          <cell r="E164">
            <v>837683.157314869</v>
          </cell>
          <cell r="F164">
            <v>862813.652034315</v>
          </cell>
          <cell r="G164">
            <v>888698.061595345</v>
          </cell>
          <cell r="H164">
            <v>915359.003443205</v>
          </cell>
          <cell r="I164">
            <v>942819.773546502</v>
          </cell>
          <cell r="J164">
            <v>4447373.64793424</v>
          </cell>
        </row>
        <row r="164">
          <cell r="L164">
            <v>971104.366752897</v>
          </cell>
          <cell r="M164">
            <v>1000237.49775548</v>
          </cell>
          <cell r="N164">
            <v>6418715.51244262</v>
          </cell>
        </row>
        <row r="166">
          <cell r="D166">
            <v>0</v>
          </cell>
          <cell r="E166">
            <v>0</v>
          </cell>
          <cell r="F166">
            <v>0</v>
          </cell>
          <cell r="G166">
            <v>0</v>
          </cell>
          <cell r="H166">
            <v>0</v>
          </cell>
          <cell r="I166">
            <v>0</v>
          </cell>
          <cell r="J166">
            <v>0</v>
          </cell>
        </row>
        <row r="166">
          <cell r="L166">
            <v>0</v>
          </cell>
          <cell r="M166">
            <v>0</v>
          </cell>
          <cell r="N166">
            <v>0</v>
          </cell>
        </row>
        <row r="167">
          <cell r="D167">
            <v>0</v>
          </cell>
          <cell r="E167">
            <v>0</v>
          </cell>
          <cell r="F167">
            <v>0</v>
          </cell>
          <cell r="G167">
            <v>0</v>
          </cell>
          <cell r="H167">
            <v>0</v>
          </cell>
          <cell r="I167">
            <v>0</v>
          </cell>
          <cell r="J167">
            <v>0</v>
          </cell>
        </row>
        <row r="167">
          <cell r="L167">
            <v>0</v>
          </cell>
          <cell r="M167">
            <v>0</v>
          </cell>
          <cell r="N167">
            <v>0</v>
          </cell>
        </row>
        <row r="168">
          <cell r="D168">
            <v>0</v>
          </cell>
          <cell r="E168">
            <v>0</v>
          </cell>
          <cell r="F168">
            <v>0</v>
          </cell>
          <cell r="G168">
            <v>0</v>
          </cell>
          <cell r="H168">
            <v>0</v>
          </cell>
          <cell r="I168">
            <v>0</v>
          </cell>
          <cell r="J168">
            <v>0</v>
          </cell>
        </row>
        <row r="168">
          <cell r="L168">
            <v>0</v>
          </cell>
          <cell r="M168">
            <v>0</v>
          </cell>
          <cell r="N168">
            <v>0</v>
          </cell>
        </row>
        <row r="169">
          <cell r="D169">
            <v>0</v>
          </cell>
          <cell r="E169">
            <v>0</v>
          </cell>
          <cell r="F169">
            <v>0</v>
          </cell>
          <cell r="G169">
            <v>0</v>
          </cell>
          <cell r="H169">
            <v>0</v>
          </cell>
          <cell r="I169">
            <v>0</v>
          </cell>
          <cell r="J169">
            <v>0</v>
          </cell>
        </row>
        <row r="169">
          <cell r="L169">
            <v>0</v>
          </cell>
          <cell r="M169">
            <v>0</v>
          </cell>
          <cell r="N169">
            <v>0</v>
          </cell>
        </row>
        <row r="170">
          <cell r="D170">
            <v>0</v>
          </cell>
          <cell r="E170">
            <v>0</v>
          </cell>
          <cell r="F170">
            <v>0</v>
          </cell>
          <cell r="G170">
            <v>0</v>
          </cell>
          <cell r="H170">
            <v>0</v>
          </cell>
          <cell r="I170">
            <v>0</v>
          </cell>
          <cell r="J170">
            <v>0</v>
          </cell>
        </row>
        <row r="170">
          <cell r="L170">
            <v>0</v>
          </cell>
          <cell r="M170">
            <v>0</v>
          </cell>
          <cell r="N170">
            <v>0</v>
          </cell>
        </row>
        <row r="172">
          <cell r="D172">
            <v>859472.582302854</v>
          </cell>
          <cell r="E172">
            <v>837683.157314869</v>
          </cell>
          <cell r="F172">
            <v>862813.652034315</v>
          </cell>
          <cell r="G172">
            <v>888698.061595345</v>
          </cell>
          <cell r="H172">
            <v>915359.003443205</v>
          </cell>
          <cell r="I172">
            <v>942819.773546502</v>
          </cell>
          <cell r="J172">
            <v>4447373.64793424</v>
          </cell>
        </row>
        <row r="172">
          <cell r="L172">
            <v>971104.366752897</v>
          </cell>
          <cell r="M172">
            <v>1000237.49775548</v>
          </cell>
          <cell r="N172">
            <v>6418715.51244262</v>
          </cell>
        </row>
      </sheetData>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5.xml><?xml version="1.0" encoding="utf-8"?>
<externalLink xmlns="http://schemas.openxmlformats.org/spreadsheetml/2006/main">
  <externalBook xmlns:r="http://schemas.openxmlformats.org/officeDocument/2006/relationships" r:id="rId1">
    <sheetNames>
      <sheetName val="Notes"/>
      <sheetName val="Consolidated"/>
      <sheetName val="GL"/>
      <sheetName val="Ext.Rpt."/>
      <sheetName val="RTP"/>
      <sheetName val="AP"/>
      <sheetName val="T&amp;E"/>
      <sheetName val="OTC"/>
      <sheetName val="Mngt &amp; Coord"/>
      <sheetName val="SOX"/>
      <sheetName val="NA 1"/>
      <sheetName val="NA 2"/>
      <sheetName val="Other"/>
      <sheetName val="Depreciation"/>
    </sheetNames>
    <sheetDataSet>
      <sheetData sheetId="0"/>
      <sheetData sheetId="1">
        <row r="2">
          <cell r="D2" t="str">
            <v>BASE YEAR</v>
          </cell>
          <cell r="E2" t="str">
            <v>YEAR 1</v>
          </cell>
          <cell r="F2" t="str">
            <v>YEAR 2</v>
          </cell>
          <cell r="G2" t="str">
            <v>YEAR 3</v>
          </cell>
          <cell r="H2" t="str">
            <v>YEAR 4</v>
          </cell>
          <cell r="I2" t="str">
            <v xml:space="preserve">YEAR 5 </v>
          </cell>
          <cell r="J2" t="str">
            <v>5 Year Total</v>
          </cell>
        </row>
        <row r="2">
          <cell r="L2" t="str">
            <v>5 YEAR + 1</v>
          </cell>
          <cell r="M2" t="str">
            <v>5 YEAR + 2</v>
          </cell>
          <cell r="N2" t="str">
            <v>7 Year Total</v>
          </cell>
        </row>
        <row r="3">
          <cell r="D3">
            <v>22.6</v>
          </cell>
          <cell r="E3">
            <v>21.922</v>
          </cell>
          <cell r="F3">
            <v>21.922</v>
          </cell>
          <cell r="G3">
            <v>21.922</v>
          </cell>
          <cell r="H3">
            <v>21.922</v>
          </cell>
          <cell r="I3">
            <v>21.922</v>
          </cell>
        </row>
        <row r="3">
          <cell r="L3">
            <v>21.943</v>
          </cell>
          <cell r="M3">
            <v>21.943</v>
          </cell>
        </row>
        <row r="4">
          <cell r="D4">
            <v>4</v>
          </cell>
          <cell r="E4">
            <v>3.88</v>
          </cell>
          <cell r="F4">
            <v>3.88</v>
          </cell>
          <cell r="G4">
            <v>3.88</v>
          </cell>
          <cell r="H4">
            <v>3.88</v>
          </cell>
          <cell r="I4">
            <v>3.88</v>
          </cell>
        </row>
        <row r="4">
          <cell r="L4">
            <v>3.88</v>
          </cell>
          <cell r="M4">
            <v>3.88</v>
          </cell>
        </row>
        <row r="5">
          <cell r="D5">
            <v>26.6</v>
          </cell>
          <cell r="E5">
            <v>25.802</v>
          </cell>
          <cell r="F5">
            <v>25.802</v>
          </cell>
          <cell r="G5">
            <v>25.802</v>
          </cell>
          <cell r="H5">
            <v>25.802</v>
          </cell>
          <cell r="I5">
            <v>25.802</v>
          </cell>
        </row>
        <row r="5">
          <cell r="L5">
            <v>25.823</v>
          </cell>
          <cell r="M5">
            <v>25.823</v>
          </cell>
        </row>
        <row r="7">
          <cell r="D7">
            <v>1201237.32135922</v>
          </cell>
          <cell r="E7">
            <v>1165100.20171845</v>
          </cell>
          <cell r="F7">
            <v>1200053.20777</v>
          </cell>
          <cell r="G7">
            <v>1236054.8040031</v>
          </cell>
          <cell r="H7">
            <v>1273136.44812319</v>
          </cell>
          <cell r="I7">
            <v>1311330.54156689</v>
          </cell>
          <cell r="J7">
            <v>6185675.20318163</v>
          </cell>
        </row>
        <row r="7">
          <cell r="L7">
            <v>1350670.4578139</v>
          </cell>
          <cell r="M7">
            <v>1391190.57154831</v>
          </cell>
          <cell r="N7">
            <v>8927536.23254384</v>
          </cell>
        </row>
        <row r="8">
          <cell r="D8">
            <v>0</v>
          </cell>
          <cell r="E8">
            <v>0</v>
          </cell>
          <cell r="F8">
            <v>0</v>
          </cell>
          <cell r="G8">
            <v>0</v>
          </cell>
          <cell r="H8">
            <v>0</v>
          </cell>
          <cell r="I8">
            <v>0</v>
          </cell>
          <cell r="J8">
            <v>0</v>
          </cell>
        </row>
        <row r="8">
          <cell r="L8">
            <v>0</v>
          </cell>
          <cell r="M8">
            <v>0</v>
          </cell>
          <cell r="N8">
            <v>0</v>
          </cell>
        </row>
        <row r="9">
          <cell r="D9">
            <v>164000</v>
          </cell>
          <cell r="E9">
            <v>162261.6</v>
          </cell>
          <cell r="F9">
            <v>167129.448</v>
          </cell>
          <cell r="G9">
            <v>172143.33144</v>
          </cell>
          <cell r="H9">
            <v>177307.6313832</v>
          </cell>
          <cell r="I9">
            <v>182626.860324696</v>
          </cell>
          <cell r="J9">
            <v>861468.871147896</v>
          </cell>
        </row>
        <row r="9">
          <cell r="L9">
            <v>188105.666134437</v>
          </cell>
          <cell r="M9">
            <v>193748.83611847</v>
          </cell>
          <cell r="N9">
            <v>1243323.3734008</v>
          </cell>
        </row>
        <row r="10">
          <cell r="D10">
            <v>0</v>
          </cell>
          <cell r="E10">
            <v>0</v>
          </cell>
          <cell r="F10">
            <v>0</v>
          </cell>
          <cell r="G10">
            <v>0</v>
          </cell>
          <cell r="H10">
            <v>0</v>
          </cell>
          <cell r="I10">
            <v>0</v>
          </cell>
          <cell r="J10">
            <v>0</v>
          </cell>
        </row>
        <row r="10">
          <cell r="L10">
            <v>0</v>
          </cell>
          <cell r="M10">
            <v>0</v>
          </cell>
          <cell r="N10">
            <v>0</v>
          </cell>
        </row>
        <row r="11">
          <cell r="D11">
            <v>6550</v>
          </cell>
          <cell r="E11">
            <v>6353.5</v>
          </cell>
          <cell r="F11">
            <v>6544.105</v>
          </cell>
          <cell r="G11">
            <v>6740.42815</v>
          </cell>
          <cell r="H11">
            <v>6942.6409945</v>
          </cell>
          <cell r="I11">
            <v>7150.920224335</v>
          </cell>
          <cell r="J11">
            <v>33731.594368835</v>
          </cell>
        </row>
        <row r="11">
          <cell r="L11">
            <v>7365.44783106505</v>
          </cell>
          <cell r="M11">
            <v>7586.411265997</v>
          </cell>
          <cell r="N11">
            <v>48683.4534658971</v>
          </cell>
        </row>
        <row r="12">
          <cell r="D12">
            <v>0</v>
          </cell>
          <cell r="E12">
            <v>0</v>
          </cell>
          <cell r="F12">
            <v>0</v>
          </cell>
          <cell r="G12">
            <v>0</v>
          </cell>
          <cell r="H12">
            <v>0</v>
          </cell>
          <cell r="I12">
            <v>0</v>
          </cell>
          <cell r="J12">
            <v>0</v>
          </cell>
        </row>
        <row r="12">
          <cell r="L12">
            <v>0</v>
          </cell>
          <cell r="M12">
            <v>0</v>
          </cell>
          <cell r="N12">
            <v>0</v>
          </cell>
        </row>
        <row r="13">
          <cell r="D13">
            <v>1371787.32135922</v>
          </cell>
          <cell r="E13">
            <v>1333715.30171845</v>
          </cell>
          <cell r="F13">
            <v>1373726.76077</v>
          </cell>
          <cell r="G13">
            <v>1414938.5635931</v>
          </cell>
          <cell r="H13">
            <v>1457386.72050089</v>
          </cell>
          <cell r="I13">
            <v>1501108.32211592</v>
          </cell>
          <cell r="J13">
            <v>7080875.66869836</v>
          </cell>
        </row>
        <row r="13">
          <cell r="L13">
            <v>1546141.5717794</v>
          </cell>
          <cell r="M13">
            <v>1592525.81893278</v>
          </cell>
          <cell r="N13">
            <v>10219543.0594105</v>
          </cell>
        </row>
        <row r="14">
          <cell r="D14">
            <v>9789.3</v>
          </cell>
          <cell r="E14">
            <v>9299.835</v>
          </cell>
          <cell r="F14">
            <v>9578.83005</v>
          </cell>
          <cell r="G14">
            <v>9866.1949515</v>
          </cell>
          <cell r="H14">
            <v>10162.180800045</v>
          </cell>
          <cell r="I14">
            <v>10467.0462240464</v>
          </cell>
          <cell r="J14">
            <v>49374.0870255914</v>
          </cell>
        </row>
        <row r="14">
          <cell r="L14">
            <v>10781.0576107677</v>
          </cell>
          <cell r="M14">
            <v>11104.4893390908</v>
          </cell>
          <cell r="N14">
            <v>71259.6339754499</v>
          </cell>
        </row>
        <row r="15">
          <cell r="D15">
            <v>0</v>
          </cell>
          <cell r="E15">
            <v>0</v>
          </cell>
          <cell r="F15">
            <v>0</v>
          </cell>
          <cell r="G15">
            <v>0</v>
          </cell>
          <cell r="H15">
            <v>0</v>
          </cell>
          <cell r="I15">
            <v>0</v>
          </cell>
          <cell r="J15">
            <v>0</v>
          </cell>
        </row>
        <row r="15">
          <cell r="L15">
            <v>0</v>
          </cell>
          <cell r="M15">
            <v>0</v>
          </cell>
          <cell r="N15">
            <v>0</v>
          </cell>
        </row>
        <row r="16">
          <cell r="D16">
            <v>0</v>
          </cell>
          <cell r="E16">
            <v>0</v>
          </cell>
          <cell r="F16">
            <v>0</v>
          </cell>
          <cell r="G16">
            <v>0</v>
          </cell>
          <cell r="H16">
            <v>0</v>
          </cell>
          <cell r="I16">
            <v>0</v>
          </cell>
          <cell r="J16">
            <v>0</v>
          </cell>
        </row>
        <row r="16">
          <cell r="L16">
            <v>0</v>
          </cell>
          <cell r="M16">
            <v>0</v>
          </cell>
          <cell r="N16">
            <v>0</v>
          </cell>
        </row>
        <row r="17">
          <cell r="D17">
            <v>24111.9</v>
          </cell>
          <cell r="E17">
            <v>24835.257</v>
          </cell>
          <cell r="F17">
            <v>25580.31471</v>
          </cell>
          <cell r="G17">
            <v>26347.7241513</v>
          </cell>
          <cell r="H17">
            <v>27138.155875839</v>
          </cell>
          <cell r="I17">
            <v>27952.3005521142</v>
          </cell>
          <cell r="J17">
            <v>131853.752289253</v>
          </cell>
        </row>
        <row r="17">
          <cell r="L17">
            <v>28790.8695686776</v>
          </cell>
          <cell r="M17">
            <v>29654.5956557379</v>
          </cell>
          <cell r="N17">
            <v>190299.217513669</v>
          </cell>
        </row>
        <row r="18">
          <cell r="D18">
            <v>0</v>
          </cell>
          <cell r="E18">
            <v>0</v>
          </cell>
          <cell r="F18">
            <v>0</v>
          </cell>
          <cell r="G18">
            <v>0</v>
          </cell>
          <cell r="H18">
            <v>0</v>
          </cell>
          <cell r="I18">
            <v>0</v>
          </cell>
          <cell r="J18">
            <v>0</v>
          </cell>
        </row>
        <row r="18">
          <cell r="L18">
            <v>0</v>
          </cell>
          <cell r="M18">
            <v>0</v>
          </cell>
          <cell r="N18">
            <v>0</v>
          </cell>
        </row>
        <row r="19">
          <cell r="D19">
            <v>0</v>
          </cell>
          <cell r="E19">
            <v>0</v>
          </cell>
          <cell r="F19">
            <v>0</v>
          </cell>
          <cell r="G19">
            <v>0</v>
          </cell>
          <cell r="H19">
            <v>0</v>
          </cell>
          <cell r="I19">
            <v>0</v>
          </cell>
          <cell r="J19">
            <v>0</v>
          </cell>
        </row>
        <row r="19">
          <cell r="L19">
            <v>0</v>
          </cell>
          <cell r="M19">
            <v>0</v>
          </cell>
          <cell r="N19">
            <v>0</v>
          </cell>
        </row>
        <row r="20">
          <cell r="D20">
            <v>0</v>
          </cell>
          <cell r="E20">
            <v>0</v>
          </cell>
          <cell r="F20">
            <v>0</v>
          </cell>
          <cell r="G20">
            <v>0</v>
          </cell>
          <cell r="H20">
            <v>0</v>
          </cell>
          <cell r="I20">
            <v>0</v>
          </cell>
          <cell r="J20">
            <v>0</v>
          </cell>
        </row>
        <row r="20">
          <cell r="L20">
            <v>0</v>
          </cell>
          <cell r="M20">
            <v>0</v>
          </cell>
          <cell r="N20">
            <v>0</v>
          </cell>
        </row>
        <row r="21">
          <cell r="D21">
            <v>9898.8</v>
          </cell>
          <cell r="E21">
            <v>9898.8</v>
          </cell>
          <cell r="F21">
            <v>10195.764</v>
          </cell>
          <cell r="G21">
            <v>10501.63692</v>
          </cell>
          <cell r="H21">
            <v>10816.6860276</v>
          </cell>
          <cell r="I21">
            <v>11141.186608428</v>
          </cell>
          <cell r="J21">
            <v>52554.073556028</v>
          </cell>
        </row>
        <row r="21">
          <cell r="L21">
            <v>11475.4222066808</v>
          </cell>
          <cell r="M21">
            <v>11819.6848728813</v>
          </cell>
          <cell r="N21">
            <v>75849.1806355901</v>
          </cell>
        </row>
        <row r="22">
          <cell r="D22">
            <v>43800</v>
          </cell>
          <cell r="E22">
            <v>44033.892</v>
          </cell>
          <cell r="F22">
            <v>45354.90876</v>
          </cell>
          <cell r="G22">
            <v>46715.5560228</v>
          </cell>
          <cell r="H22">
            <v>48117.022703484</v>
          </cell>
          <cell r="I22">
            <v>49560.5333845885</v>
          </cell>
          <cell r="J22">
            <v>233781.912870873</v>
          </cell>
        </row>
        <row r="22">
          <cell r="L22">
            <v>51047.3493861262</v>
          </cell>
          <cell r="M22">
            <v>52578.76986771</v>
          </cell>
          <cell r="N22">
            <v>337408.032124709</v>
          </cell>
        </row>
        <row r="23">
          <cell r="D23">
            <v>0</v>
          </cell>
          <cell r="E23">
            <v>0</v>
          </cell>
          <cell r="F23">
            <v>0</v>
          </cell>
          <cell r="G23">
            <v>0</v>
          </cell>
          <cell r="H23">
            <v>0</v>
          </cell>
          <cell r="I23">
            <v>0</v>
          </cell>
          <cell r="J23">
            <v>0</v>
          </cell>
        </row>
        <row r="23">
          <cell r="L23">
            <v>0</v>
          </cell>
          <cell r="M23">
            <v>0</v>
          </cell>
          <cell r="N23">
            <v>0</v>
          </cell>
        </row>
        <row r="24">
          <cell r="D24">
            <v>0</v>
          </cell>
          <cell r="E24">
            <v>0</v>
          </cell>
          <cell r="F24">
            <v>0</v>
          </cell>
          <cell r="G24">
            <v>0</v>
          </cell>
          <cell r="H24">
            <v>0</v>
          </cell>
          <cell r="I24">
            <v>0</v>
          </cell>
          <cell r="J24">
            <v>0</v>
          </cell>
        </row>
        <row r="24">
          <cell r="L24">
            <v>0</v>
          </cell>
          <cell r="M24">
            <v>0</v>
          </cell>
          <cell r="N24">
            <v>0</v>
          </cell>
        </row>
        <row r="25">
          <cell r="D25">
            <v>0</v>
          </cell>
          <cell r="E25">
            <v>0</v>
          </cell>
          <cell r="F25">
            <v>0</v>
          </cell>
          <cell r="G25">
            <v>0</v>
          </cell>
          <cell r="H25">
            <v>0</v>
          </cell>
          <cell r="I25">
            <v>0</v>
          </cell>
          <cell r="J25">
            <v>0</v>
          </cell>
        </row>
        <row r="25">
          <cell r="L25">
            <v>0</v>
          </cell>
          <cell r="M25">
            <v>0</v>
          </cell>
          <cell r="N25">
            <v>0</v>
          </cell>
        </row>
        <row r="26">
          <cell r="D26">
            <v>6550</v>
          </cell>
          <cell r="E26">
            <v>6353.5</v>
          </cell>
          <cell r="F26">
            <v>6544.105</v>
          </cell>
          <cell r="G26">
            <v>6740.42815</v>
          </cell>
          <cell r="H26">
            <v>6942.6409945</v>
          </cell>
          <cell r="I26">
            <v>7150.920224335</v>
          </cell>
          <cell r="J26">
            <v>33731.594368835</v>
          </cell>
        </row>
        <row r="26">
          <cell r="L26">
            <v>7365.44783106505</v>
          </cell>
          <cell r="M26">
            <v>7586.411265997</v>
          </cell>
          <cell r="N26">
            <v>48683.4534658971</v>
          </cell>
        </row>
        <row r="27">
          <cell r="D27">
            <v>0</v>
          </cell>
          <cell r="E27">
            <v>0</v>
          </cell>
          <cell r="F27">
            <v>0</v>
          </cell>
          <cell r="G27">
            <v>0</v>
          </cell>
          <cell r="H27">
            <v>0</v>
          </cell>
          <cell r="I27">
            <v>0</v>
          </cell>
          <cell r="J27">
            <v>0</v>
          </cell>
        </row>
        <row r="27">
          <cell r="L27">
            <v>0</v>
          </cell>
          <cell r="M27">
            <v>0</v>
          </cell>
          <cell r="N27">
            <v>0</v>
          </cell>
        </row>
        <row r="28">
          <cell r="D28">
            <v>0</v>
          </cell>
          <cell r="E28">
            <v>0</v>
          </cell>
          <cell r="F28">
            <v>0</v>
          </cell>
          <cell r="G28">
            <v>0</v>
          </cell>
          <cell r="H28">
            <v>0</v>
          </cell>
          <cell r="I28">
            <v>0</v>
          </cell>
          <cell r="J28">
            <v>0</v>
          </cell>
        </row>
        <row r="28">
          <cell r="L28">
            <v>0</v>
          </cell>
          <cell r="M28">
            <v>0</v>
          </cell>
          <cell r="N28">
            <v>0</v>
          </cell>
        </row>
        <row r="29">
          <cell r="D29">
            <v>0</v>
          </cell>
          <cell r="E29">
            <v>0</v>
          </cell>
          <cell r="F29">
            <v>0</v>
          </cell>
          <cell r="G29">
            <v>0</v>
          </cell>
          <cell r="H29">
            <v>0</v>
          </cell>
          <cell r="I29">
            <v>0</v>
          </cell>
          <cell r="J29">
            <v>0</v>
          </cell>
        </row>
        <row r="29">
          <cell r="L29">
            <v>0</v>
          </cell>
          <cell r="M29">
            <v>0</v>
          </cell>
          <cell r="N29">
            <v>0</v>
          </cell>
        </row>
        <row r="30">
          <cell r="D30">
            <v>21900</v>
          </cell>
          <cell r="E30">
            <v>21900</v>
          </cell>
          <cell r="F30">
            <v>22557</v>
          </cell>
          <cell r="G30">
            <v>23233.71</v>
          </cell>
          <cell r="H30">
            <v>23930.7213</v>
          </cell>
          <cell r="I30">
            <v>24648.642939</v>
          </cell>
          <cell r="J30">
            <v>116270.074239</v>
          </cell>
        </row>
        <row r="30">
          <cell r="L30">
            <v>25388.10222717</v>
          </cell>
          <cell r="M30">
            <v>26149.7452939851</v>
          </cell>
          <cell r="N30">
            <v>167807.921760155</v>
          </cell>
        </row>
        <row r="31">
          <cell r="D31">
            <v>28450</v>
          </cell>
          <cell r="E31">
            <v>28253.5</v>
          </cell>
          <cell r="F31">
            <v>29101.105</v>
          </cell>
          <cell r="G31">
            <v>29974.13815</v>
          </cell>
          <cell r="H31">
            <v>30873.3622945</v>
          </cell>
          <cell r="I31">
            <v>31799.563163335</v>
          </cell>
          <cell r="J31">
            <v>150001.668607835</v>
          </cell>
        </row>
        <row r="31">
          <cell r="L31">
            <v>32753.5500582351</v>
          </cell>
          <cell r="M31">
            <v>33736.1565599821</v>
          </cell>
          <cell r="N31">
            <v>216491.375226052</v>
          </cell>
        </row>
        <row r="32">
          <cell r="D32">
            <v>1444037.32135922</v>
          </cell>
          <cell r="E32">
            <v>1406002.69371845</v>
          </cell>
          <cell r="F32">
            <v>1448182.77453</v>
          </cell>
          <cell r="G32">
            <v>1491628.2577659</v>
          </cell>
          <cell r="H32">
            <v>1536377.10549888</v>
          </cell>
          <cell r="I32">
            <v>1582468.41866384</v>
          </cell>
          <cell r="J32">
            <v>7464659.25017707</v>
          </cell>
        </row>
        <row r="32">
          <cell r="L32">
            <v>1629942.47122376</v>
          </cell>
          <cell r="M32">
            <v>1678840.74536047</v>
          </cell>
          <cell r="N32">
            <v>10773442.4667613</v>
          </cell>
        </row>
        <row r="33">
          <cell r="D33">
            <v>0</v>
          </cell>
          <cell r="E33">
            <v>0</v>
          </cell>
          <cell r="F33">
            <v>0</v>
          </cell>
          <cell r="G33">
            <v>0</v>
          </cell>
          <cell r="H33">
            <v>0</v>
          </cell>
          <cell r="I33">
            <v>0</v>
          </cell>
          <cell r="J33">
            <v>0</v>
          </cell>
        </row>
        <row r="33">
          <cell r="L33">
            <v>0</v>
          </cell>
          <cell r="M33">
            <v>0</v>
          </cell>
          <cell r="N33">
            <v>0</v>
          </cell>
        </row>
        <row r="34">
          <cell r="D34">
            <v>1444037.32135922</v>
          </cell>
          <cell r="E34">
            <v>1406002.69371845</v>
          </cell>
          <cell r="F34">
            <v>1448182.77453</v>
          </cell>
          <cell r="G34">
            <v>1491628.2577659</v>
          </cell>
          <cell r="H34">
            <v>1536377.10549888</v>
          </cell>
          <cell r="I34">
            <v>1582468.41866384</v>
          </cell>
          <cell r="J34">
            <v>7464659.25017707</v>
          </cell>
        </row>
        <row r="34">
          <cell r="L34">
            <v>1629942.47122376</v>
          </cell>
          <cell r="M34">
            <v>1678840.74536047</v>
          </cell>
          <cell r="N34">
            <v>10773442.4667613</v>
          </cell>
        </row>
        <row r="36">
          <cell r="D36">
            <v>0</v>
          </cell>
          <cell r="E36">
            <v>0</v>
          </cell>
          <cell r="F36">
            <v>0</v>
          </cell>
          <cell r="G36">
            <v>0</v>
          </cell>
          <cell r="H36">
            <v>0</v>
          </cell>
          <cell r="I36">
            <v>0</v>
          </cell>
          <cell r="J36">
            <v>0</v>
          </cell>
        </row>
        <row r="36">
          <cell r="L36">
            <v>0</v>
          </cell>
          <cell r="M36">
            <v>0</v>
          </cell>
          <cell r="N36">
            <v>0</v>
          </cell>
        </row>
        <row r="37">
          <cell r="D37">
            <v>0</v>
          </cell>
          <cell r="E37">
            <v>0</v>
          </cell>
          <cell r="F37">
            <v>0</v>
          </cell>
          <cell r="G37">
            <v>0</v>
          </cell>
          <cell r="H37">
            <v>0</v>
          </cell>
          <cell r="I37">
            <v>0</v>
          </cell>
          <cell r="J37">
            <v>0</v>
          </cell>
        </row>
        <row r="37">
          <cell r="L37">
            <v>0</v>
          </cell>
          <cell r="M37">
            <v>0</v>
          </cell>
          <cell r="N37">
            <v>0</v>
          </cell>
        </row>
        <row r="38">
          <cell r="D38">
            <v>0</v>
          </cell>
          <cell r="E38">
            <v>0</v>
          </cell>
          <cell r="F38">
            <v>0</v>
          </cell>
          <cell r="G38">
            <v>0</v>
          </cell>
          <cell r="H38">
            <v>0</v>
          </cell>
          <cell r="I38">
            <v>0</v>
          </cell>
          <cell r="J38">
            <v>0</v>
          </cell>
        </row>
        <row r="38">
          <cell r="L38">
            <v>0</v>
          </cell>
          <cell r="M38">
            <v>0</v>
          </cell>
          <cell r="N38">
            <v>0</v>
          </cell>
        </row>
        <row r="39">
          <cell r="D39">
            <v>0</v>
          </cell>
          <cell r="E39">
            <v>0</v>
          </cell>
          <cell r="F39">
            <v>0</v>
          </cell>
          <cell r="G39">
            <v>0</v>
          </cell>
          <cell r="H39">
            <v>0</v>
          </cell>
          <cell r="I39">
            <v>0</v>
          </cell>
          <cell r="J39">
            <v>0</v>
          </cell>
        </row>
        <row r="39">
          <cell r="L39">
            <v>0</v>
          </cell>
          <cell r="M39">
            <v>0</v>
          </cell>
          <cell r="N39">
            <v>0</v>
          </cell>
        </row>
        <row r="40">
          <cell r="D40">
            <v>0</v>
          </cell>
          <cell r="E40">
            <v>0</v>
          </cell>
          <cell r="F40">
            <v>0</v>
          </cell>
          <cell r="G40">
            <v>0</v>
          </cell>
          <cell r="H40">
            <v>0</v>
          </cell>
          <cell r="I40">
            <v>0</v>
          </cell>
          <cell r="J40">
            <v>0</v>
          </cell>
        </row>
        <row r="40">
          <cell r="L40">
            <v>0</v>
          </cell>
          <cell r="M40">
            <v>0</v>
          </cell>
          <cell r="N40">
            <v>0</v>
          </cell>
        </row>
        <row r="42">
          <cell r="D42">
            <v>1444037.32135922</v>
          </cell>
          <cell r="E42">
            <v>1406002.69371845</v>
          </cell>
          <cell r="F42">
            <v>1448182.77453</v>
          </cell>
          <cell r="G42">
            <v>1491628.2577659</v>
          </cell>
          <cell r="H42">
            <v>1536377.10549888</v>
          </cell>
          <cell r="I42">
            <v>1582468.41866384</v>
          </cell>
          <cell r="J42">
            <v>7464659.25017707</v>
          </cell>
        </row>
        <row r="42">
          <cell r="L42">
            <v>1629942.47122376</v>
          </cell>
          <cell r="M42">
            <v>1678840.74536047</v>
          </cell>
          <cell r="N42">
            <v>10773442.4667613</v>
          </cell>
        </row>
        <row r="45">
          <cell r="D45" t="str">
            <v>BASE YEAR</v>
          </cell>
          <cell r="E45" t="str">
            <v>YEAR 1</v>
          </cell>
          <cell r="F45" t="str">
            <v>YEAR 2</v>
          </cell>
          <cell r="G45" t="str">
            <v>YEAR 3</v>
          </cell>
          <cell r="H45" t="str">
            <v>YEAR 4</v>
          </cell>
          <cell r="I45" t="str">
            <v xml:space="preserve">YEAR 5 </v>
          </cell>
          <cell r="J45" t="str">
            <v>5 Year Total</v>
          </cell>
        </row>
        <row r="45">
          <cell r="L45" t="str">
            <v>5 YEAR + 1</v>
          </cell>
          <cell r="M45" t="str">
            <v>5 YEAR +2</v>
          </cell>
          <cell r="N45" t="str">
            <v>7 Year Total</v>
          </cell>
        </row>
        <row r="46">
          <cell r="D46">
            <v>8.7</v>
          </cell>
          <cell r="E46">
            <v>8.439</v>
          </cell>
          <cell r="F46">
            <v>8.439</v>
          </cell>
          <cell r="G46">
            <v>8.439</v>
          </cell>
          <cell r="H46">
            <v>8.439</v>
          </cell>
          <cell r="I46">
            <v>8.439</v>
          </cell>
        </row>
        <row r="46">
          <cell r="L46">
            <v>8.46</v>
          </cell>
          <cell r="M46">
            <v>8.46</v>
          </cell>
        </row>
        <row r="47">
          <cell r="D47">
            <v>4</v>
          </cell>
          <cell r="E47">
            <v>3.88</v>
          </cell>
          <cell r="F47">
            <v>3.88</v>
          </cell>
          <cell r="G47">
            <v>3.88</v>
          </cell>
          <cell r="H47">
            <v>3.88</v>
          </cell>
          <cell r="I47">
            <v>3.88</v>
          </cell>
        </row>
        <row r="47">
          <cell r="L47">
            <v>3.88</v>
          </cell>
          <cell r="M47">
            <v>3.88</v>
          </cell>
        </row>
        <row r="48">
          <cell r="D48">
            <v>12.7</v>
          </cell>
          <cell r="E48">
            <v>12.319</v>
          </cell>
          <cell r="F48">
            <v>12.319</v>
          </cell>
          <cell r="G48">
            <v>12.319</v>
          </cell>
          <cell r="H48">
            <v>12.319</v>
          </cell>
          <cell r="I48">
            <v>12.319</v>
          </cell>
        </row>
        <row r="48">
          <cell r="L48">
            <v>12.34</v>
          </cell>
          <cell r="M48">
            <v>12.34</v>
          </cell>
        </row>
        <row r="50">
          <cell r="D50">
            <v>401234.758834951</v>
          </cell>
          <cell r="E50">
            <v>389097.716069903</v>
          </cell>
          <cell r="F50">
            <v>400770.647552</v>
          </cell>
          <cell r="G50">
            <v>412793.76697856</v>
          </cell>
          <cell r="H50">
            <v>425177.579987917</v>
          </cell>
          <cell r="I50">
            <v>437932.907387554</v>
          </cell>
          <cell r="J50">
            <v>2065772.61797593</v>
          </cell>
        </row>
        <row r="50">
          <cell r="L50">
            <v>451070.894609181</v>
          </cell>
          <cell r="M50">
            <v>464603.021447456</v>
          </cell>
          <cell r="N50">
            <v>2981446.53403257</v>
          </cell>
        </row>
        <row r="51">
          <cell r="D51">
            <v>0</v>
          </cell>
          <cell r="E51">
            <v>0</v>
          </cell>
          <cell r="F51">
            <v>0</v>
          </cell>
          <cell r="G51">
            <v>0</v>
          </cell>
          <cell r="H51">
            <v>0</v>
          </cell>
          <cell r="I51">
            <v>0</v>
          </cell>
          <cell r="J51">
            <v>0</v>
          </cell>
        </row>
        <row r="51">
          <cell r="L51">
            <v>0</v>
          </cell>
          <cell r="M51">
            <v>0</v>
          </cell>
          <cell r="N51">
            <v>0</v>
          </cell>
        </row>
        <row r="52">
          <cell r="D52">
            <v>164000</v>
          </cell>
          <cell r="E52">
            <v>162261.6</v>
          </cell>
          <cell r="F52">
            <v>167129.448</v>
          </cell>
          <cell r="G52">
            <v>172143.33144</v>
          </cell>
          <cell r="H52">
            <v>177307.6313832</v>
          </cell>
          <cell r="I52">
            <v>182626.860324696</v>
          </cell>
          <cell r="J52">
            <v>861468.871147896</v>
          </cell>
        </row>
        <row r="52">
          <cell r="L52">
            <v>188105.666134437</v>
          </cell>
          <cell r="M52">
            <v>193748.83611847</v>
          </cell>
          <cell r="N52">
            <v>1243323.3734008</v>
          </cell>
        </row>
        <row r="53">
          <cell r="D53">
            <v>0</v>
          </cell>
          <cell r="E53">
            <v>0</v>
          </cell>
          <cell r="F53">
            <v>0</v>
          </cell>
          <cell r="G53">
            <v>0</v>
          </cell>
          <cell r="H53">
            <v>0</v>
          </cell>
          <cell r="I53">
            <v>0</v>
          </cell>
          <cell r="J53">
            <v>0</v>
          </cell>
        </row>
        <row r="53">
          <cell r="L53">
            <v>0</v>
          </cell>
          <cell r="M53">
            <v>0</v>
          </cell>
          <cell r="N53">
            <v>0</v>
          </cell>
        </row>
        <row r="54">
          <cell r="D54">
            <v>0</v>
          </cell>
          <cell r="E54">
            <v>0</v>
          </cell>
          <cell r="F54">
            <v>0</v>
          </cell>
          <cell r="G54">
            <v>0</v>
          </cell>
          <cell r="H54">
            <v>0</v>
          </cell>
          <cell r="I54">
            <v>0</v>
          </cell>
          <cell r="J54">
            <v>0</v>
          </cell>
        </row>
        <row r="54">
          <cell r="L54">
            <v>0</v>
          </cell>
          <cell r="M54">
            <v>0</v>
          </cell>
          <cell r="N54">
            <v>0</v>
          </cell>
        </row>
        <row r="55">
          <cell r="D55">
            <v>0</v>
          </cell>
          <cell r="E55">
            <v>0</v>
          </cell>
          <cell r="F55">
            <v>0</v>
          </cell>
          <cell r="G55">
            <v>0</v>
          </cell>
          <cell r="H55">
            <v>0</v>
          </cell>
          <cell r="I55">
            <v>0</v>
          </cell>
          <cell r="J55">
            <v>0</v>
          </cell>
        </row>
        <row r="55">
          <cell r="L55">
            <v>0</v>
          </cell>
          <cell r="M55">
            <v>0</v>
          </cell>
          <cell r="N55">
            <v>0</v>
          </cell>
        </row>
        <row r="56">
          <cell r="D56">
            <v>565234.758834951</v>
          </cell>
          <cell r="E56">
            <v>551359.316069903</v>
          </cell>
          <cell r="F56">
            <v>567900.095552</v>
          </cell>
          <cell r="G56">
            <v>584937.09841856</v>
          </cell>
          <cell r="H56">
            <v>602485.211371117</v>
          </cell>
          <cell r="I56">
            <v>620559.76771225</v>
          </cell>
          <cell r="J56">
            <v>2927241.48912383</v>
          </cell>
        </row>
        <row r="56">
          <cell r="L56">
            <v>639176.560743618</v>
          </cell>
          <cell r="M56">
            <v>658351.857565926</v>
          </cell>
          <cell r="N56">
            <v>4224769.90743337</v>
          </cell>
        </row>
        <row r="57">
          <cell r="D57">
            <v>3576</v>
          </cell>
          <cell r="E57">
            <v>3397.2</v>
          </cell>
          <cell r="F57">
            <v>3499.116</v>
          </cell>
          <cell r="G57">
            <v>3604.08948</v>
          </cell>
          <cell r="H57">
            <v>3712.2121644</v>
          </cell>
          <cell r="I57">
            <v>3823.578529332</v>
          </cell>
          <cell r="J57">
            <v>18036.196173732</v>
          </cell>
        </row>
        <row r="57">
          <cell r="L57">
            <v>3938.28588521196</v>
          </cell>
          <cell r="M57">
            <v>4056.43446176832</v>
          </cell>
          <cell r="N57">
            <v>26030.9165207123</v>
          </cell>
        </row>
        <row r="58">
          <cell r="D58">
            <v>0</v>
          </cell>
          <cell r="E58">
            <v>0</v>
          </cell>
          <cell r="F58">
            <v>0</v>
          </cell>
          <cell r="G58">
            <v>0</v>
          </cell>
          <cell r="H58">
            <v>0</v>
          </cell>
          <cell r="I58">
            <v>0</v>
          </cell>
          <cell r="J58">
            <v>0</v>
          </cell>
        </row>
        <row r="58">
          <cell r="L58">
            <v>0</v>
          </cell>
          <cell r="M58">
            <v>0</v>
          </cell>
          <cell r="N58">
            <v>0</v>
          </cell>
        </row>
        <row r="59">
          <cell r="D59">
            <v>0</v>
          </cell>
          <cell r="E59">
            <v>0</v>
          </cell>
          <cell r="F59">
            <v>0</v>
          </cell>
          <cell r="G59">
            <v>0</v>
          </cell>
          <cell r="H59">
            <v>0</v>
          </cell>
          <cell r="I59">
            <v>0</v>
          </cell>
          <cell r="J59">
            <v>0</v>
          </cell>
        </row>
        <row r="59">
          <cell r="L59">
            <v>0</v>
          </cell>
          <cell r="M59">
            <v>0</v>
          </cell>
          <cell r="N59">
            <v>0</v>
          </cell>
        </row>
        <row r="60">
          <cell r="D60">
            <v>8808</v>
          </cell>
          <cell r="E60">
            <v>9072.24</v>
          </cell>
          <cell r="F60">
            <v>9344.4072</v>
          </cell>
          <cell r="G60">
            <v>9624.739416</v>
          </cell>
          <cell r="H60">
            <v>9913.48159848</v>
          </cell>
          <cell r="I60">
            <v>10210.8860464344</v>
          </cell>
          <cell r="J60">
            <v>48165.7542609144</v>
          </cell>
        </row>
        <row r="60">
          <cell r="L60">
            <v>10517.2126278274</v>
          </cell>
          <cell r="M60">
            <v>10832.7290066623</v>
          </cell>
          <cell r="N60">
            <v>69515.6958954041</v>
          </cell>
        </row>
        <row r="61">
          <cell r="D61">
            <v>0</v>
          </cell>
          <cell r="E61">
            <v>0</v>
          </cell>
          <cell r="F61">
            <v>0</v>
          </cell>
          <cell r="G61">
            <v>0</v>
          </cell>
          <cell r="H61">
            <v>0</v>
          </cell>
          <cell r="I61">
            <v>0</v>
          </cell>
          <cell r="J61">
            <v>0</v>
          </cell>
        </row>
        <row r="61">
          <cell r="L61">
            <v>0</v>
          </cell>
          <cell r="M61">
            <v>0</v>
          </cell>
          <cell r="N61">
            <v>0</v>
          </cell>
        </row>
        <row r="62">
          <cell r="D62">
            <v>0</v>
          </cell>
          <cell r="E62">
            <v>0</v>
          </cell>
          <cell r="F62">
            <v>0</v>
          </cell>
          <cell r="G62">
            <v>0</v>
          </cell>
          <cell r="H62">
            <v>0</v>
          </cell>
          <cell r="I62">
            <v>0</v>
          </cell>
          <cell r="J62">
            <v>0</v>
          </cell>
        </row>
        <row r="62">
          <cell r="L62">
            <v>0</v>
          </cell>
          <cell r="M62">
            <v>0</v>
          </cell>
          <cell r="N62">
            <v>0</v>
          </cell>
        </row>
        <row r="63">
          <cell r="D63">
            <v>0</v>
          </cell>
          <cell r="E63">
            <v>0</v>
          </cell>
          <cell r="F63">
            <v>0</v>
          </cell>
          <cell r="G63">
            <v>0</v>
          </cell>
          <cell r="H63">
            <v>0</v>
          </cell>
          <cell r="I63">
            <v>0</v>
          </cell>
          <cell r="J63">
            <v>0</v>
          </cell>
        </row>
        <row r="63">
          <cell r="L63">
            <v>0</v>
          </cell>
          <cell r="M63">
            <v>0</v>
          </cell>
          <cell r="N63">
            <v>0</v>
          </cell>
        </row>
        <row r="64">
          <cell r="D64">
            <v>3616</v>
          </cell>
          <cell r="E64">
            <v>3616</v>
          </cell>
          <cell r="F64">
            <v>3724.48</v>
          </cell>
          <cell r="G64">
            <v>3836.2144</v>
          </cell>
          <cell r="H64">
            <v>3951.300832</v>
          </cell>
          <cell r="I64">
            <v>4069.83985696</v>
          </cell>
          <cell r="J64">
            <v>19197.83508896</v>
          </cell>
        </row>
        <row r="64">
          <cell r="L64">
            <v>4191.9350526688</v>
          </cell>
          <cell r="M64">
            <v>4317.69310424887</v>
          </cell>
          <cell r="N64">
            <v>27707.4632458777</v>
          </cell>
        </row>
        <row r="65">
          <cell r="D65">
            <v>16000</v>
          </cell>
          <cell r="E65">
            <v>16085.44</v>
          </cell>
          <cell r="F65">
            <v>16568.0032</v>
          </cell>
          <cell r="G65">
            <v>17065.043296</v>
          </cell>
          <cell r="H65">
            <v>17576.99459488</v>
          </cell>
          <cell r="I65">
            <v>18104.3044327264</v>
          </cell>
          <cell r="J65">
            <v>85399.7855236064</v>
          </cell>
        </row>
        <row r="65">
          <cell r="L65">
            <v>18647.4335657082</v>
          </cell>
          <cell r="M65">
            <v>19206.8565726794</v>
          </cell>
          <cell r="N65">
            <v>123254.075661994</v>
          </cell>
        </row>
        <row r="66">
          <cell r="D66">
            <v>0</v>
          </cell>
          <cell r="E66">
            <v>0</v>
          </cell>
          <cell r="F66">
            <v>0</v>
          </cell>
          <cell r="G66">
            <v>0</v>
          </cell>
          <cell r="H66">
            <v>0</v>
          </cell>
          <cell r="I66">
            <v>0</v>
          </cell>
          <cell r="J66">
            <v>0</v>
          </cell>
        </row>
        <row r="66">
          <cell r="L66">
            <v>0</v>
          </cell>
          <cell r="M66">
            <v>0</v>
          </cell>
          <cell r="N66">
            <v>0</v>
          </cell>
        </row>
        <row r="67">
          <cell r="D67">
            <v>0</v>
          </cell>
          <cell r="E67">
            <v>0</v>
          </cell>
          <cell r="F67">
            <v>0</v>
          </cell>
          <cell r="G67">
            <v>0</v>
          </cell>
          <cell r="H67">
            <v>0</v>
          </cell>
          <cell r="I67">
            <v>0</v>
          </cell>
          <cell r="J67">
            <v>0</v>
          </cell>
        </row>
        <row r="67">
          <cell r="L67">
            <v>0</v>
          </cell>
          <cell r="M67">
            <v>0</v>
          </cell>
          <cell r="N67">
            <v>0</v>
          </cell>
        </row>
        <row r="68">
          <cell r="D68">
            <v>0</v>
          </cell>
          <cell r="E68">
            <v>0</v>
          </cell>
          <cell r="F68">
            <v>0</v>
          </cell>
          <cell r="G68">
            <v>0</v>
          </cell>
          <cell r="H68">
            <v>0</v>
          </cell>
          <cell r="I68">
            <v>0</v>
          </cell>
          <cell r="J68">
            <v>0</v>
          </cell>
        </row>
        <row r="68">
          <cell r="L68">
            <v>0</v>
          </cell>
          <cell r="M68">
            <v>0</v>
          </cell>
          <cell r="N68">
            <v>0</v>
          </cell>
        </row>
        <row r="69">
          <cell r="D69">
            <v>0</v>
          </cell>
          <cell r="E69">
            <v>0</v>
          </cell>
          <cell r="F69">
            <v>0</v>
          </cell>
          <cell r="G69">
            <v>0</v>
          </cell>
          <cell r="H69">
            <v>0</v>
          </cell>
          <cell r="I69">
            <v>0</v>
          </cell>
          <cell r="J69">
            <v>0</v>
          </cell>
        </row>
        <row r="69">
          <cell r="L69">
            <v>0</v>
          </cell>
          <cell r="M69">
            <v>0</v>
          </cell>
          <cell r="N69">
            <v>0</v>
          </cell>
        </row>
        <row r="70">
          <cell r="D70">
            <v>0</v>
          </cell>
          <cell r="E70">
            <v>0</v>
          </cell>
          <cell r="F70">
            <v>0</v>
          </cell>
          <cell r="G70">
            <v>0</v>
          </cell>
          <cell r="H70">
            <v>0</v>
          </cell>
          <cell r="I70">
            <v>0</v>
          </cell>
          <cell r="J70">
            <v>0</v>
          </cell>
        </row>
        <row r="70">
          <cell r="L70">
            <v>0</v>
          </cell>
          <cell r="M70">
            <v>0</v>
          </cell>
          <cell r="N70">
            <v>0</v>
          </cell>
        </row>
        <row r="71">
          <cell r="D71">
            <v>0</v>
          </cell>
          <cell r="E71">
            <v>0</v>
          </cell>
          <cell r="F71">
            <v>0</v>
          </cell>
          <cell r="G71">
            <v>0</v>
          </cell>
          <cell r="H71">
            <v>0</v>
          </cell>
          <cell r="I71">
            <v>0</v>
          </cell>
          <cell r="J71">
            <v>0</v>
          </cell>
        </row>
        <row r="71">
          <cell r="L71">
            <v>0</v>
          </cell>
          <cell r="M71">
            <v>0</v>
          </cell>
          <cell r="N71">
            <v>0</v>
          </cell>
        </row>
        <row r="72">
          <cell r="D72">
            <v>0</v>
          </cell>
          <cell r="E72">
            <v>0</v>
          </cell>
          <cell r="F72">
            <v>0</v>
          </cell>
          <cell r="G72">
            <v>0</v>
          </cell>
          <cell r="H72">
            <v>0</v>
          </cell>
          <cell r="I72">
            <v>0</v>
          </cell>
          <cell r="J72">
            <v>0</v>
          </cell>
        </row>
        <row r="72">
          <cell r="L72">
            <v>0</v>
          </cell>
          <cell r="M72">
            <v>0</v>
          </cell>
          <cell r="N72">
            <v>0</v>
          </cell>
        </row>
        <row r="73">
          <cell r="D73">
            <v>8000</v>
          </cell>
          <cell r="E73">
            <v>8000</v>
          </cell>
          <cell r="F73">
            <v>8240</v>
          </cell>
          <cell r="G73">
            <v>8487.2</v>
          </cell>
          <cell r="H73">
            <v>8741.816</v>
          </cell>
          <cell r="I73">
            <v>9004.07048</v>
          </cell>
          <cell r="J73">
            <v>42473.08648</v>
          </cell>
        </row>
        <row r="73">
          <cell r="L73">
            <v>9274.1925944</v>
          </cell>
          <cell r="M73">
            <v>9552.418372232</v>
          </cell>
          <cell r="N73">
            <v>61299.697446632</v>
          </cell>
        </row>
        <row r="74">
          <cell r="D74">
            <v>8000</v>
          </cell>
          <cell r="E74">
            <v>8000</v>
          </cell>
          <cell r="F74">
            <v>8240</v>
          </cell>
          <cell r="G74">
            <v>8487.2</v>
          </cell>
          <cell r="H74">
            <v>8741.816</v>
          </cell>
          <cell r="I74">
            <v>9004.07048</v>
          </cell>
          <cell r="J74">
            <v>42473.08648</v>
          </cell>
        </row>
        <row r="74">
          <cell r="L74">
            <v>9274.1925944</v>
          </cell>
          <cell r="M74">
            <v>9552.418372232</v>
          </cell>
          <cell r="N74">
            <v>61299.697446632</v>
          </cell>
        </row>
        <row r="75">
          <cell r="D75">
            <v>589234.758834951</v>
          </cell>
          <cell r="E75">
            <v>575444.756069903</v>
          </cell>
          <cell r="F75">
            <v>592708.098752</v>
          </cell>
          <cell r="G75">
            <v>610489.34171456</v>
          </cell>
          <cell r="H75">
            <v>628804.021965997</v>
          </cell>
          <cell r="I75">
            <v>647668.142624977</v>
          </cell>
          <cell r="J75">
            <v>3055114.36112744</v>
          </cell>
        </row>
        <row r="75">
          <cell r="L75">
            <v>667098.186903726</v>
          </cell>
          <cell r="M75">
            <v>687111.132510838</v>
          </cell>
          <cell r="N75">
            <v>4409323.680542</v>
          </cell>
        </row>
        <row r="76">
          <cell r="D76">
            <v>0</v>
          </cell>
          <cell r="E76">
            <v>0</v>
          </cell>
          <cell r="F76">
            <v>0</v>
          </cell>
          <cell r="G76">
            <v>0</v>
          </cell>
          <cell r="H76">
            <v>0</v>
          </cell>
          <cell r="I76">
            <v>0</v>
          </cell>
          <cell r="J76">
            <v>0</v>
          </cell>
        </row>
        <row r="76">
          <cell r="L76">
            <v>0</v>
          </cell>
          <cell r="M76">
            <v>0</v>
          </cell>
          <cell r="N76">
            <v>0</v>
          </cell>
        </row>
        <row r="77">
          <cell r="D77">
            <v>589234.758834951</v>
          </cell>
          <cell r="E77">
            <v>575444.756069903</v>
          </cell>
          <cell r="F77">
            <v>592708.098752</v>
          </cell>
          <cell r="G77">
            <v>610489.34171456</v>
          </cell>
          <cell r="H77">
            <v>628804.021965997</v>
          </cell>
          <cell r="I77">
            <v>647668.142624977</v>
          </cell>
          <cell r="J77">
            <v>3055114.36112744</v>
          </cell>
        </row>
        <row r="77">
          <cell r="L77">
            <v>667098.186903726</v>
          </cell>
          <cell r="M77">
            <v>687111.132510838</v>
          </cell>
          <cell r="N77">
            <v>4409323.680542</v>
          </cell>
        </row>
        <row r="79">
          <cell r="D79">
            <v>0</v>
          </cell>
          <cell r="E79">
            <v>0</v>
          </cell>
          <cell r="F79">
            <v>0</v>
          </cell>
          <cell r="G79">
            <v>0</v>
          </cell>
          <cell r="H79">
            <v>0</v>
          </cell>
          <cell r="I79">
            <v>0</v>
          </cell>
          <cell r="J79">
            <v>0</v>
          </cell>
        </row>
        <row r="79">
          <cell r="L79">
            <v>0</v>
          </cell>
          <cell r="M79">
            <v>0</v>
          </cell>
          <cell r="N79">
            <v>0</v>
          </cell>
        </row>
        <row r="80">
          <cell r="D80">
            <v>0</v>
          </cell>
          <cell r="E80">
            <v>0</v>
          </cell>
          <cell r="F80">
            <v>0</v>
          </cell>
          <cell r="G80">
            <v>0</v>
          </cell>
          <cell r="H80">
            <v>0</v>
          </cell>
          <cell r="I80">
            <v>0</v>
          </cell>
          <cell r="J80">
            <v>0</v>
          </cell>
        </row>
        <row r="80">
          <cell r="L80">
            <v>0</v>
          </cell>
          <cell r="M80">
            <v>0</v>
          </cell>
          <cell r="N80">
            <v>0</v>
          </cell>
        </row>
        <row r="81">
          <cell r="D81">
            <v>0</v>
          </cell>
          <cell r="E81">
            <v>0</v>
          </cell>
          <cell r="F81">
            <v>0</v>
          </cell>
          <cell r="G81">
            <v>0</v>
          </cell>
          <cell r="H81">
            <v>0</v>
          </cell>
          <cell r="I81">
            <v>0</v>
          </cell>
          <cell r="J81">
            <v>0</v>
          </cell>
        </row>
        <row r="81">
          <cell r="L81">
            <v>0</v>
          </cell>
          <cell r="M81">
            <v>0</v>
          </cell>
          <cell r="N81">
            <v>0</v>
          </cell>
        </row>
        <row r="82">
          <cell r="D82">
            <v>0</v>
          </cell>
          <cell r="E82">
            <v>0</v>
          </cell>
          <cell r="F82">
            <v>0</v>
          </cell>
          <cell r="G82">
            <v>0</v>
          </cell>
          <cell r="H82">
            <v>0</v>
          </cell>
          <cell r="I82">
            <v>0</v>
          </cell>
          <cell r="J82">
            <v>0</v>
          </cell>
        </row>
        <row r="82">
          <cell r="L82">
            <v>0</v>
          </cell>
          <cell r="M82">
            <v>0</v>
          </cell>
          <cell r="N82">
            <v>0</v>
          </cell>
        </row>
        <row r="83">
          <cell r="D83">
            <v>0</v>
          </cell>
          <cell r="E83">
            <v>0</v>
          </cell>
          <cell r="F83">
            <v>0</v>
          </cell>
          <cell r="G83">
            <v>0</v>
          </cell>
          <cell r="H83">
            <v>0</v>
          </cell>
          <cell r="I83">
            <v>0</v>
          </cell>
          <cell r="J83">
            <v>0</v>
          </cell>
        </row>
        <row r="83">
          <cell r="L83">
            <v>0</v>
          </cell>
          <cell r="M83">
            <v>0</v>
          </cell>
          <cell r="N83">
            <v>0</v>
          </cell>
        </row>
        <row r="85">
          <cell r="D85">
            <v>589234.758834951</v>
          </cell>
          <cell r="E85">
            <v>575444.756069903</v>
          </cell>
          <cell r="F85">
            <v>592708.098752</v>
          </cell>
          <cell r="G85">
            <v>610489.34171456</v>
          </cell>
          <cell r="H85">
            <v>628804.021965997</v>
          </cell>
          <cell r="I85">
            <v>647668.142624977</v>
          </cell>
          <cell r="J85">
            <v>3055114.36112744</v>
          </cell>
        </row>
        <row r="85">
          <cell r="L85">
            <v>667098.186903726</v>
          </cell>
          <cell r="M85">
            <v>687111.132510838</v>
          </cell>
          <cell r="N85">
            <v>4409323.680542</v>
          </cell>
        </row>
        <row r="89">
          <cell r="D89" t="str">
            <v>BASE YEAR</v>
          </cell>
          <cell r="E89" t="str">
            <v>YEAR 1</v>
          </cell>
          <cell r="F89" t="str">
            <v>YEAR 2</v>
          </cell>
          <cell r="G89" t="str">
            <v>YEAR 3</v>
          </cell>
          <cell r="H89" t="str">
            <v>YEAR 4</v>
          </cell>
          <cell r="I89" t="str">
            <v xml:space="preserve">YEAR 5 </v>
          </cell>
          <cell r="J89" t="str">
            <v>5 Year Total</v>
          </cell>
        </row>
        <row r="89">
          <cell r="L89" t="str">
            <v>5 YEAR + 1</v>
          </cell>
          <cell r="M89" t="str">
            <v>5 YEAR + 2</v>
          </cell>
          <cell r="N89" t="str">
            <v>7 Year Total</v>
          </cell>
        </row>
        <row r="90">
          <cell r="D90">
            <v>0</v>
          </cell>
          <cell r="E90">
            <v>0</v>
          </cell>
          <cell r="F90">
            <v>0</v>
          </cell>
          <cell r="G90">
            <v>0</v>
          </cell>
          <cell r="H90">
            <v>0</v>
          </cell>
          <cell r="I90">
            <v>0</v>
          </cell>
        </row>
        <row r="90">
          <cell r="L90">
            <v>0</v>
          </cell>
          <cell r="M90">
            <v>0</v>
          </cell>
        </row>
        <row r="91">
          <cell r="D91">
            <v>0</v>
          </cell>
          <cell r="E91">
            <v>0</v>
          </cell>
          <cell r="F91">
            <v>0</v>
          </cell>
          <cell r="G91">
            <v>0</v>
          </cell>
          <cell r="H91">
            <v>0</v>
          </cell>
          <cell r="I91">
            <v>0</v>
          </cell>
        </row>
        <row r="91">
          <cell r="L91">
            <v>0</v>
          </cell>
          <cell r="M91">
            <v>0</v>
          </cell>
        </row>
        <row r="92">
          <cell r="D92">
            <v>0</v>
          </cell>
          <cell r="E92">
            <v>0</v>
          </cell>
          <cell r="F92">
            <v>0</v>
          </cell>
          <cell r="G92">
            <v>0</v>
          </cell>
          <cell r="H92">
            <v>0</v>
          </cell>
          <cell r="I92">
            <v>0</v>
          </cell>
        </row>
        <row r="92">
          <cell r="L92">
            <v>0</v>
          </cell>
          <cell r="M92">
            <v>0</v>
          </cell>
        </row>
        <row r="94">
          <cell r="D94">
            <v>0</v>
          </cell>
          <cell r="E94">
            <v>0</v>
          </cell>
          <cell r="F94">
            <v>0</v>
          </cell>
          <cell r="G94">
            <v>0</v>
          </cell>
          <cell r="H94">
            <v>0</v>
          </cell>
          <cell r="I94">
            <v>0</v>
          </cell>
          <cell r="J94">
            <v>0</v>
          </cell>
        </row>
        <row r="94">
          <cell r="L94">
            <v>0</v>
          </cell>
          <cell r="M94">
            <v>0</v>
          </cell>
          <cell r="N94">
            <v>0</v>
          </cell>
        </row>
        <row r="95">
          <cell r="D95">
            <v>0</v>
          </cell>
          <cell r="E95">
            <v>0</v>
          </cell>
          <cell r="F95">
            <v>0</v>
          </cell>
          <cell r="G95">
            <v>0</v>
          </cell>
          <cell r="H95">
            <v>0</v>
          </cell>
          <cell r="I95">
            <v>0</v>
          </cell>
          <cell r="J95">
            <v>0</v>
          </cell>
        </row>
        <row r="95">
          <cell r="L95">
            <v>0</v>
          </cell>
          <cell r="M95">
            <v>0</v>
          </cell>
          <cell r="N95">
            <v>0</v>
          </cell>
        </row>
        <row r="96">
          <cell r="D96">
            <v>0</v>
          </cell>
          <cell r="E96">
            <v>0</v>
          </cell>
          <cell r="F96">
            <v>0</v>
          </cell>
          <cell r="G96">
            <v>0</v>
          </cell>
          <cell r="H96">
            <v>0</v>
          </cell>
          <cell r="I96">
            <v>0</v>
          </cell>
          <cell r="J96">
            <v>0</v>
          </cell>
        </row>
        <row r="96">
          <cell r="L96">
            <v>0</v>
          </cell>
          <cell r="M96">
            <v>0</v>
          </cell>
          <cell r="N96">
            <v>0</v>
          </cell>
        </row>
        <row r="97">
          <cell r="D97">
            <v>0</v>
          </cell>
          <cell r="E97">
            <v>0</v>
          </cell>
          <cell r="F97">
            <v>0</v>
          </cell>
          <cell r="G97">
            <v>0</v>
          </cell>
          <cell r="H97">
            <v>0</v>
          </cell>
          <cell r="I97">
            <v>0</v>
          </cell>
          <cell r="J97">
            <v>0</v>
          </cell>
        </row>
        <row r="97">
          <cell r="L97">
            <v>0</v>
          </cell>
          <cell r="M97">
            <v>0</v>
          </cell>
          <cell r="N97">
            <v>0</v>
          </cell>
        </row>
        <row r="98">
          <cell r="D98">
            <v>0</v>
          </cell>
          <cell r="E98">
            <v>0</v>
          </cell>
          <cell r="F98">
            <v>0</v>
          </cell>
          <cell r="G98">
            <v>0</v>
          </cell>
          <cell r="H98">
            <v>0</v>
          </cell>
          <cell r="I98">
            <v>0</v>
          </cell>
          <cell r="J98">
            <v>0</v>
          </cell>
        </row>
        <row r="98">
          <cell r="L98">
            <v>0</v>
          </cell>
          <cell r="M98">
            <v>0</v>
          </cell>
          <cell r="N98">
            <v>0</v>
          </cell>
        </row>
        <row r="99">
          <cell r="D99">
            <v>0</v>
          </cell>
          <cell r="E99">
            <v>0</v>
          </cell>
          <cell r="F99">
            <v>0</v>
          </cell>
          <cell r="G99">
            <v>0</v>
          </cell>
          <cell r="H99">
            <v>0</v>
          </cell>
          <cell r="I99">
            <v>0</v>
          </cell>
          <cell r="J99">
            <v>0</v>
          </cell>
        </row>
        <row r="99">
          <cell r="L99">
            <v>0</v>
          </cell>
          <cell r="M99">
            <v>0</v>
          </cell>
          <cell r="N99">
            <v>0</v>
          </cell>
        </row>
        <row r="100">
          <cell r="D100">
            <v>0</v>
          </cell>
          <cell r="E100">
            <v>0</v>
          </cell>
          <cell r="F100">
            <v>0</v>
          </cell>
          <cell r="G100">
            <v>0</v>
          </cell>
          <cell r="H100">
            <v>0</v>
          </cell>
          <cell r="I100">
            <v>0</v>
          </cell>
          <cell r="J100">
            <v>0</v>
          </cell>
        </row>
        <row r="100">
          <cell r="L100">
            <v>0</v>
          </cell>
          <cell r="M100">
            <v>0</v>
          </cell>
          <cell r="N100">
            <v>0</v>
          </cell>
        </row>
        <row r="101">
          <cell r="D101">
            <v>0</v>
          </cell>
          <cell r="E101">
            <v>0</v>
          </cell>
          <cell r="F101">
            <v>0</v>
          </cell>
          <cell r="G101">
            <v>0</v>
          </cell>
          <cell r="H101">
            <v>0</v>
          </cell>
          <cell r="I101">
            <v>0</v>
          </cell>
          <cell r="J101">
            <v>0</v>
          </cell>
        </row>
        <row r="101">
          <cell r="L101">
            <v>0</v>
          </cell>
          <cell r="M101">
            <v>0</v>
          </cell>
          <cell r="N101">
            <v>0</v>
          </cell>
        </row>
        <row r="102">
          <cell r="D102">
            <v>0</v>
          </cell>
          <cell r="E102">
            <v>0</v>
          </cell>
          <cell r="F102">
            <v>0</v>
          </cell>
          <cell r="G102">
            <v>0</v>
          </cell>
          <cell r="H102">
            <v>0</v>
          </cell>
          <cell r="I102">
            <v>0</v>
          </cell>
          <cell r="J102">
            <v>0</v>
          </cell>
        </row>
        <row r="102">
          <cell r="L102">
            <v>0</v>
          </cell>
          <cell r="M102">
            <v>0</v>
          </cell>
          <cell r="N102">
            <v>0</v>
          </cell>
        </row>
        <row r="103">
          <cell r="D103">
            <v>0</v>
          </cell>
          <cell r="E103">
            <v>0</v>
          </cell>
          <cell r="F103">
            <v>0</v>
          </cell>
          <cell r="G103">
            <v>0</v>
          </cell>
          <cell r="H103">
            <v>0</v>
          </cell>
          <cell r="I103">
            <v>0</v>
          </cell>
          <cell r="J103">
            <v>0</v>
          </cell>
        </row>
        <row r="103">
          <cell r="L103">
            <v>0</v>
          </cell>
          <cell r="M103">
            <v>0</v>
          </cell>
          <cell r="N103">
            <v>0</v>
          </cell>
        </row>
        <row r="104">
          <cell r="D104">
            <v>0</v>
          </cell>
          <cell r="E104">
            <v>0</v>
          </cell>
          <cell r="F104">
            <v>0</v>
          </cell>
          <cell r="G104">
            <v>0</v>
          </cell>
          <cell r="H104">
            <v>0</v>
          </cell>
          <cell r="I104">
            <v>0</v>
          </cell>
          <cell r="J104">
            <v>0</v>
          </cell>
        </row>
        <row r="104">
          <cell r="L104">
            <v>0</v>
          </cell>
          <cell r="M104">
            <v>0</v>
          </cell>
          <cell r="N104">
            <v>0</v>
          </cell>
        </row>
        <row r="105">
          <cell r="D105">
            <v>0</v>
          </cell>
          <cell r="E105">
            <v>0</v>
          </cell>
          <cell r="F105">
            <v>0</v>
          </cell>
          <cell r="G105">
            <v>0</v>
          </cell>
          <cell r="H105">
            <v>0</v>
          </cell>
          <cell r="I105">
            <v>0</v>
          </cell>
          <cell r="J105">
            <v>0</v>
          </cell>
        </row>
        <row r="105">
          <cell r="L105">
            <v>0</v>
          </cell>
          <cell r="M105">
            <v>0</v>
          </cell>
          <cell r="N105">
            <v>0</v>
          </cell>
        </row>
        <row r="106">
          <cell r="D106">
            <v>0</v>
          </cell>
          <cell r="E106">
            <v>0</v>
          </cell>
          <cell r="F106">
            <v>0</v>
          </cell>
          <cell r="G106">
            <v>0</v>
          </cell>
          <cell r="H106">
            <v>0</v>
          </cell>
          <cell r="I106">
            <v>0</v>
          </cell>
          <cell r="J106">
            <v>0</v>
          </cell>
        </row>
        <row r="106">
          <cell r="L106">
            <v>0</v>
          </cell>
          <cell r="M106">
            <v>0</v>
          </cell>
          <cell r="N106">
            <v>0</v>
          </cell>
        </row>
        <row r="107">
          <cell r="D107">
            <v>0</v>
          </cell>
          <cell r="E107">
            <v>0</v>
          </cell>
          <cell r="F107">
            <v>0</v>
          </cell>
          <cell r="G107">
            <v>0</v>
          </cell>
          <cell r="H107">
            <v>0</v>
          </cell>
          <cell r="I107">
            <v>0</v>
          </cell>
          <cell r="J107">
            <v>0</v>
          </cell>
        </row>
        <row r="107">
          <cell r="L107">
            <v>0</v>
          </cell>
          <cell r="M107">
            <v>0</v>
          </cell>
          <cell r="N107">
            <v>0</v>
          </cell>
        </row>
        <row r="108">
          <cell r="D108">
            <v>0</v>
          </cell>
          <cell r="E108">
            <v>0</v>
          </cell>
          <cell r="F108">
            <v>0</v>
          </cell>
          <cell r="G108">
            <v>0</v>
          </cell>
          <cell r="H108">
            <v>0</v>
          </cell>
          <cell r="I108">
            <v>0</v>
          </cell>
          <cell r="J108">
            <v>0</v>
          </cell>
        </row>
        <row r="108">
          <cell r="L108">
            <v>0</v>
          </cell>
          <cell r="M108">
            <v>0</v>
          </cell>
          <cell r="N108">
            <v>0</v>
          </cell>
        </row>
        <row r="109">
          <cell r="D109">
            <v>0</v>
          </cell>
          <cell r="E109">
            <v>0</v>
          </cell>
          <cell r="F109">
            <v>0</v>
          </cell>
          <cell r="G109">
            <v>0</v>
          </cell>
          <cell r="H109">
            <v>0</v>
          </cell>
          <cell r="I109">
            <v>0</v>
          </cell>
          <cell r="J109">
            <v>0</v>
          </cell>
        </row>
        <row r="109">
          <cell r="L109">
            <v>0</v>
          </cell>
          <cell r="M109">
            <v>0</v>
          </cell>
          <cell r="N109">
            <v>0</v>
          </cell>
        </row>
        <row r="110">
          <cell r="D110">
            <v>0</v>
          </cell>
          <cell r="E110">
            <v>0</v>
          </cell>
          <cell r="F110">
            <v>0</v>
          </cell>
          <cell r="G110">
            <v>0</v>
          </cell>
          <cell r="H110">
            <v>0</v>
          </cell>
          <cell r="I110">
            <v>0</v>
          </cell>
          <cell r="J110">
            <v>0</v>
          </cell>
        </row>
        <row r="110">
          <cell r="L110">
            <v>0</v>
          </cell>
          <cell r="M110">
            <v>0</v>
          </cell>
          <cell r="N110">
            <v>0</v>
          </cell>
        </row>
        <row r="111">
          <cell r="D111">
            <v>0</v>
          </cell>
          <cell r="E111">
            <v>0</v>
          </cell>
          <cell r="F111">
            <v>0</v>
          </cell>
          <cell r="G111">
            <v>0</v>
          </cell>
          <cell r="H111">
            <v>0</v>
          </cell>
          <cell r="I111">
            <v>0</v>
          </cell>
          <cell r="J111">
            <v>0</v>
          </cell>
        </row>
        <row r="111">
          <cell r="L111">
            <v>0</v>
          </cell>
          <cell r="M111">
            <v>0</v>
          </cell>
          <cell r="N111">
            <v>0</v>
          </cell>
        </row>
        <row r="112">
          <cell r="D112">
            <v>0</v>
          </cell>
          <cell r="E112">
            <v>0</v>
          </cell>
          <cell r="F112">
            <v>0</v>
          </cell>
          <cell r="G112">
            <v>0</v>
          </cell>
          <cell r="H112">
            <v>0</v>
          </cell>
          <cell r="I112">
            <v>0</v>
          </cell>
          <cell r="J112">
            <v>0</v>
          </cell>
        </row>
        <row r="112">
          <cell r="L112">
            <v>0</v>
          </cell>
          <cell r="M112">
            <v>0</v>
          </cell>
          <cell r="N112">
            <v>0</v>
          </cell>
        </row>
        <row r="113">
          <cell r="D113">
            <v>0</v>
          </cell>
          <cell r="E113">
            <v>0</v>
          </cell>
          <cell r="F113">
            <v>0</v>
          </cell>
          <cell r="G113">
            <v>0</v>
          </cell>
          <cell r="H113">
            <v>0</v>
          </cell>
          <cell r="I113">
            <v>0</v>
          </cell>
          <cell r="J113">
            <v>0</v>
          </cell>
        </row>
        <row r="113">
          <cell r="L113">
            <v>0</v>
          </cell>
          <cell r="M113">
            <v>0</v>
          </cell>
          <cell r="N113">
            <v>0</v>
          </cell>
        </row>
        <row r="114">
          <cell r="D114">
            <v>0</v>
          </cell>
          <cell r="E114">
            <v>0</v>
          </cell>
          <cell r="F114">
            <v>0</v>
          </cell>
          <cell r="G114">
            <v>0</v>
          </cell>
          <cell r="H114">
            <v>0</v>
          </cell>
          <cell r="I114">
            <v>0</v>
          </cell>
          <cell r="J114">
            <v>0</v>
          </cell>
        </row>
        <row r="114">
          <cell r="L114">
            <v>0</v>
          </cell>
          <cell r="M114">
            <v>0</v>
          </cell>
          <cell r="N114">
            <v>0</v>
          </cell>
        </row>
        <row r="115">
          <cell r="D115">
            <v>0</v>
          </cell>
          <cell r="E115">
            <v>0</v>
          </cell>
          <cell r="F115">
            <v>0</v>
          </cell>
          <cell r="G115">
            <v>0</v>
          </cell>
          <cell r="H115">
            <v>0</v>
          </cell>
          <cell r="I115">
            <v>0</v>
          </cell>
          <cell r="J115">
            <v>0</v>
          </cell>
        </row>
        <row r="115">
          <cell r="L115">
            <v>0</v>
          </cell>
          <cell r="M115">
            <v>0</v>
          </cell>
          <cell r="N115">
            <v>0</v>
          </cell>
        </row>
        <row r="116">
          <cell r="D116">
            <v>0</v>
          </cell>
          <cell r="E116">
            <v>0</v>
          </cell>
          <cell r="F116">
            <v>0</v>
          </cell>
          <cell r="G116">
            <v>0</v>
          </cell>
          <cell r="H116">
            <v>0</v>
          </cell>
          <cell r="I116">
            <v>0</v>
          </cell>
          <cell r="J116">
            <v>0</v>
          </cell>
        </row>
        <row r="116">
          <cell r="L116">
            <v>0</v>
          </cell>
          <cell r="M116">
            <v>0</v>
          </cell>
          <cell r="N116">
            <v>0</v>
          </cell>
        </row>
        <row r="117">
          <cell r="D117">
            <v>0</v>
          </cell>
          <cell r="E117">
            <v>0</v>
          </cell>
          <cell r="F117">
            <v>0</v>
          </cell>
          <cell r="G117">
            <v>0</v>
          </cell>
          <cell r="H117">
            <v>0</v>
          </cell>
          <cell r="I117">
            <v>0</v>
          </cell>
          <cell r="J117">
            <v>0</v>
          </cell>
        </row>
        <row r="117">
          <cell r="L117">
            <v>0</v>
          </cell>
          <cell r="M117">
            <v>0</v>
          </cell>
          <cell r="N117">
            <v>0</v>
          </cell>
        </row>
        <row r="118">
          <cell r="D118">
            <v>0</v>
          </cell>
          <cell r="E118">
            <v>0</v>
          </cell>
          <cell r="F118">
            <v>0</v>
          </cell>
          <cell r="G118">
            <v>0</v>
          </cell>
          <cell r="H118">
            <v>0</v>
          </cell>
          <cell r="I118">
            <v>0</v>
          </cell>
          <cell r="J118">
            <v>0</v>
          </cell>
        </row>
        <row r="118">
          <cell r="L118">
            <v>0</v>
          </cell>
          <cell r="M118">
            <v>0</v>
          </cell>
          <cell r="N118">
            <v>0</v>
          </cell>
        </row>
        <row r="119">
          <cell r="D119">
            <v>0</v>
          </cell>
          <cell r="E119">
            <v>0</v>
          </cell>
          <cell r="F119">
            <v>0</v>
          </cell>
          <cell r="G119">
            <v>0</v>
          </cell>
          <cell r="H119">
            <v>0</v>
          </cell>
          <cell r="I119">
            <v>0</v>
          </cell>
          <cell r="J119">
            <v>0</v>
          </cell>
        </row>
        <row r="119">
          <cell r="L119">
            <v>0</v>
          </cell>
          <cell r="M119">
            <v>0</v>
          </cell>
          <cell r="N119">
            <v>0</v>
          </cell>
        </row>
        <row r="120">
          <cell r="D120">
            <v>0</v>
          </cell>
          <cell r="E120">
            <v>0</v>
          </cell>
          <cell r="F120">
            <v>0</v>
          </cell>
          <cell r="G120">
            <v>0</v>
          </cell>
          <cell r="H120">
            <v>0</v>
          </cell>
          <cell r="I120">
            <v>0</v>
          </cell>
          <cell r="J120">
            <v>0</v>
          </cell>
        </row>
        <row r="120">
          <cell r="L120">
            <v>0</v>
          </cell>
          <cell r="M120">
            <v>0</v>
          </cell>
          <cell r="N120">
            <v>0</v>
          </cell>
        </row>
        <row r="121">
          <cell r="D121">
            <v>0</v>
          </cell>
          <cell r="E121">
            <v>0</v>
          </cell>
          <cell r="F121">
            <v>0</v>
          </cell>
          <cell r="G121">
            <v>0</v>
          </cell>
          <cell r="H121">
            <v>0</v>
          </cell>
          <cell r="I121">
            <v>0</v>
          </cell>
          <cell r="J121">
            <v>0</v>
          </cell>
        </row>
        <row r="121">
          <cell r="L121">
            <v>0</v>
          </cell>
          <cell r="M121">
            <v>0</v>
          </cell>
          <cell r="N121">
            <v>0</v>
          </cell>
        </row>
        <row r="123">
          <cell r="D123">
            <v>0</v>
          </cell>
          <cell r="E123">
            <v>0</v>
          </cell>
          <cell r="F123">
            <v>0</v>
          </cell>
          <cell r="G123">
            <v>0</v>
          </cell>
          <cell r="H123">
            <v>0</v>
          </cell>
          <cell r="I123">
            <v>0</v>
          </cell>
          <cell r="J123">
            <v>0</v>
          </cell>
        </row>
        <row r="123">
          <cell r="L123">
            <v>0</v>
          </cell>
          <cell r="M123">
            <v>0</v>
          </cell>
          <cell r="N123">
            <v>0</v>
          </cell>
        </row>
        <row r="124">
          <cell r="D124">
            <v>0</v>
          </cell>
          <cell r="E124">
            <v>0</v>
          </cell>
          <cell r="F124">
            <v>0</v>
          </cell>
          <cell r="G124">
            <v>0</v>
          </cell>
          <cell r="H124">
            <v>0</v>
          </cell>
          <cell r="I124">
            <v>0</v>
          </cell>
          <cell r="J124">
            <v>0</v>
          </cell>
        </row>
        <row r="124">
          <cell r="L124">
            <v>0</v>
          </cell>
          <cell r="M124">
            <v>0</v>
          </cell>
          <cell r="N124">
            <v>0</v>
          </cell>
        </row>
        <row r="125">
          <cell r="D125">
            <v>0</v>
          </cell>
          <cell r="E125">
            <v>0</v>
          </cell>
          <cell r="F125">
            <v>0</v>
          </cell>
          <cell r="G125">
            <v>0</v>
          </cell>
          <cell r="H125">
            <v>0</v>
          </cell>
          <cell r="I125">
            <v>0</v>
          </cell>
          <cell r="J125">
            <v>0</v>
          </cell>
        </row>
        <row r="125">
          <cell r="L125">
            <v>0</v>
          </cell>
          <cell r="M125">
            <v>0</v>
          </cell>
          <cell r="N125">
            <v>0</v>
          </cell>
        </row>
        <row r="126">
          <cell r="D126">
            <v>0</v>
          </cell>
          <cell r="E126">
            <v>0</v>
          </cell>
          <cell r="F126">
            <v>0</v>
          </cell>
          <cell r="G126">
            <v>0</v>
          </cell>
          <cell r="H126">
            <v>0</v>
          </cell>
          <cell r="I126">
            <v>0</v>
          </cell>
          <cell r="J126">
            <v>0</v>
          </cell>
        </row>
        <row r="126">
          <cell r="L126">
            <v>0</v>
          </cell>
          <cell r="M126">
            <v>0</v>
          </cell>
          <cell r="N126">
            <v>0</v>
          </cell>
        </row>
        <row r="127">
          <cell r="D127">
            <v>0</v>
          </cell>
          <cell r="E127">
            <v>0</v>
          </cell>
          <cell r="F127">
            <v>0</v>
          </cell>
          <cell r="G127">
            <v>0</v>
          </cell>
          <cell r="H127">
            <v>0</v>
          </cell>
          <cell r="I127">
            <v>0</v>
          </cell>
          <cell r="J127">
            <v>0</v>
          </cell>
        </row>
        <row r="127">
          <cell r="L127">
            <v>0</v>
          </cell>
          <cell r="M127">
            <v>0</v>
          </cell>
          <cell r="N127">
            <v>0</v>
          </cell>
        </row>
        <row r="129">
          <cell r="D129">
            <v>0</v>
          </cell>
          <cell r="E129">
            <v>0</v>
          </cell>
          <cell r="F129">
            <v>0</v>
          </cell>
          <cell r="G129">
            <v>0</v>
          </cell>
          <cell r="H129">
            <v>0</v>
          </cell>
          <cell r="I129">
            <v>0</v>
          </cell>
          <cell r="J129">
            <v>0</v>
          </cell>
        </row>
        <row r="129">
          <cell r="L129">
            <v>0</v>
          </cell>
          <cell r="M129">
            <v>0</v>
          </cell>
          <cell r="N129">
            <v>0</v>
          </cell>
        </row>
        <row r="132">
          <cell r="D132" t="str">
            <v>BASE YEAR</v>
          </cell>
          <cell r="E132" t="str">
            <v>YEAR 1</v>
          </cell>
          <cell r="F132" t="str">
            <v>YEAR 2</v>
          </cell>
          <cell r="G132" t="str">
            <v>YEAR 3</v>
          </cell>
          <cell r="H132" t="str">
            <v>YEAR 4</v>
          </cell>
          <cell r="I132" t="str">
            <v xml:space="preserve">YEAR 5 </v>
          </cell>
          <cell r="J132" t="str">
            <v>5 Year  Total</v>
          </cell>
        </row>
        <row r="132">
          <cell r="L132" t="str">
            <v>5 YEAR + 1</v>
          </cell>
          <cell r="M132" t="str">
            <v>5 YEAR + 2</v>
          </cell>
          <cell r="N132" t="str">
            <v>7 Year  Total</v>
          </cell>
        </row>
        <row r="133">
          <cell r="D133">
            <v>13.9</v>
          </cell>
          <cell r="E133">
            <v>13.483</v>
          </cell>
          <cell r="F133">
            <v>13.483</v>
          </cell>
          <cell r="G133">
            <v>13.483</v>
          </cell>
          <cell r="H133">
            <v>13.483</v>
          </cell>
          <cell r="I133">
            <v>13.483</v>
          </cell>
        </row>
        <row r="133">
          <cell r="L133">
            <v>13.483</v>
          </cell>
          <cell r="M133">
            <v>13.483</v>
          </cell>
        </row>
        <row r="134">
          <cell r="D134">
            <v>0</v>
          </cell>
          <cell r="E134">
            <v>0</v>
          </cell>
          <cell r="F134">
            <v>0</v>
          </cell>
          <cell r="G134">
            <v>0</v>
          </cell>
          <cell r="H134">
            <v>0</v>
          </cell>
          <cell r="I134">
            <v>0</v>
          </cell>
        </row>
        <row r="134">
          <cell r="L134">
            <v>0</v>
          </cell>
          <cell r="M134">
            <v>0</v>
          </cell>
        </row>
        <row r="135">
          <cell r="D135">
            <v>13.9</v>
          </cell>
          <cell r="E135">
            <v>13.483</v>
          </cell>
          <cell r="F135">
            <v>13.483</v>
          </cell>
          <cell r="G135">
            <v>13.483</v>
          </cell>
          <cell r="H135">
            <v>13.483</v>
          </cell>
          <cell r="I135">
            <v>13.483</v>
          </cell>
        </row>
        <row r="135">
          <cell r="L135">
            <v>13.483</v>
          </cell>
          <cell r="M135">
            <v>13.483</v>
          </cell>
        </row>
        <row r="137">
          <cell r="D137">
            <v>800002.562524272</v>
          </cell>
          <cell r="E137">
            <v>776002.485648544</v>
          </cell>
          <cell r="F137">
            <v>799282.560218</v>
          </cell>
          <cell r="G137">
            <v>823261.03702454</v>
          </cell>
          <cell r="H137">
            <v>847958.868135276</v>
          </cell>
          <cell r="I137">
            <v>873397.634179334</v>
          </cell>
          <cell r="J137">
            <v>4119902.58520569</v>
          </cell>
        </row>
        <row r="137">
          <cell r="L137">
            <v>899599.563204715</v>
          </cell>
          <cell r="M137">
            <v>926587.550100856</v>
          </cell>
          <cell r="N137">
            <v>5946089.69851126</v>
          </cell>
        </row>
        <row r="138">
          <cell r="D138">
            <v>0</v>
          </cell>
          <cell r="E138">
            <v>0</v>
          </cell>
          <cell r="F138">
            <v>0</v>
          </cell>
          <cell r="G138">
            <v>0</v>
          </cell>
          <cell r="H138">
            <v>0</v>
          </cell>
          <cell r="I138">
            <v>0</v>
          </cell>
          <cell r="J138">
            <v>0</v>
          </cell>
        </row>
        <row r="138">
          <cell r="L138">
            <v>0</v>
          </cell>
          <cell r="M138">
            <v>0</v>
          </cell>
          <cell r="N138">
            <v>0</v>
          </cell>
        </row>
        <row r="139">
          <cell r="D139">
            <v>0</v>
          </cell>
          <cell r="E139">
            <v>0</v>
          </cell>
          <cell r="F139">
            <v>0</v>
          </cell>
          <cell r="G139">
            <v>0</v>
          </cell>
          <cell r="H139">
            <v>0</v>
          </cell>
          <cell r="I139">
            <v>0</v>
          </cell>
          <cell r="J139">
            <v>0</v>
          </cell>
        </row>
        <row r="139">
          <cell r="L139">
            <v>0</v>
          </cell>
          <cell r="M139">
            <v>0</v>
          </cell>
          <cell r="N139">
            <v>0</v>
          </cell>
        </row>
        <row r="140">
          <cell r="D140">
            <v>0</v>
          </cell>
          <cell r="E140">
            <v>0</v>
          </cell>
          <cell r="F140">
            <v>0</v>
          </cell>
          <cell r="G140">
            <v>0</v>
          </cell>
          <cell r="H140">
            <v>0</v>
          </cell>
          <cell r="I140">
            <v>0</v>
          </cell>
          <cell r="J140">
            <v>0</v>
          </cell>
        </row>
        <row r="140">
          <cell r="L140">
            <v>0</v>
          </cell>
          <cell r="M140">
            <v>0</v>
          </cell>
          <cell r="N140">
            <v>0</v>
          </cell>
        </row>
        <row r="141">
          <cell r="D141">
            <v>6550</v>
          </cell>
          <cell r="E141">
            <v>6353.5</v>
          </cell>
          <cell r="F141">
            <v>6544.105</v>
          </cell>
          <cell r="G141">
            <v>6740.42815</v>
          </cell>
          <cell r="H141">
            <v>6942.6409945</v>
          </cell>
          <cell r="I141">
            <v>7150.920224335</v>
          </cell>
          <cell r="J141">
            <v>33731.594368835</v>
          </cell>
        </row>
        <row r="141">
          <cell r="L141">
            <v>7365.44783106505</v>
          </cell>
          <cell r="M141">
            <v>7586.411265997</v>
          </cell>
          <cell r="N141">
            <v>48683.4534658971</v>
          </cell>
        </row>
        <row r="142">
          <cell r="D142">
            <v>0</v>
          </cell>
          <cell r="E142">
            <v>0</v>
          </cell>
          <cell r="F142">
            <v>0</v>
          </cell>
          <cell r="G142">
            <v>0</v>
          </cell>
          <cell r="H142">
            <v>0</v>
          </cell>
          <cell r="I142">
            <v>0</v>
          </cell>
          <cell r="J142">
            <v>0</v>
          </cell>
        </row>
        <row r="142">
          <cell r="L142">
            <v>0</v>
          </cell>
          <cell r="M142">
            <v>0</v>
          </cell>
          <cell r="N142">
            <v>0</v>
          </cell>
        </row>
        <row r="143">
          <cell r="D143">
            <v>806552.562524272</v>
          </cell>
          <cell r="E143">
            <v>782355.985648544</v>
          </cell>
          <cell r="F143">
            <v>805826.665218</v>
          </cell>
          <cell r="G143">
            <v>830001.46517454</v>
          </cell>
          <cell r="H143">
            <v>854901.509129776</v>
          </cell>
          <cell r="I143">
            <v>880548.554403669</v>
          </cell>
          <cell r="J143">
            <v>4153634.17957453</v>
          </cell>
        </row>
        <row r="143">
          <cell r="L143">
            <v>906965.01103578</v>
          </cell>
          <cell r="M143">
            <v>934173.961366853</v>
          </cell>
          <cell r="N143">
            <v>5994773.15197716</v>
          </cell>
        </row>
        <row r="144">
          <cell r="D144">
            <v>6213.3</v>
          </cell>
          <cell r="E144">
            <v>5902.635</v>
          </cell>
          <cell r="F144">
            <v>6079.71405</v>
          </cell>
          <cell r="G144">
            <v>6262.1054715</v>
          </cell>
          <cell r="H144">
            <v>6449.968635645</v>
          </cell>
          <cell r="I144">
            <v>6643.46769471435</v>
          </cell>
          <cell r="J144">
            <v>31337.8908518594</v>
          </cell>
        </row>
        <row r="144">
          <cell r="L144">
            <v>6842.77172555578</v>
          </cell>
          <cell r="M144">
            <v>7048.05487732246</v>
          </cell>
          <cell r="N144">
            <v>45228.7174547376</v>
          </cell>
        </row>
        <row r="145">
          <cell r="D145">
            <v>0</v>
          </cell>
          <cell r="E145">
            <v>0</v>
          </cell>
          <cell r="F145">
            <v>0</v>
          </cell>
          <cell r="G145">
            <v>0</v>
          </cell>
          <cell r="H145">
            <v>0</v>
          </cell>
          <cell r="I145">
            <v>0</v>
          </cell>
          <cell r="J145">
            <v>0</v>
          </cell>
        </row>
        <row r="145">
          <cell r="L145">
            <v>0</v>
          </cell>
          <cell r="M145">
            <v>0</v>
          </cell>
          <cell r="N145">
            <v>0</v>
          </cell>
        </row>
        <row r="146">
          <cell r="D146">
            <v>0</v>
          </cell>
          <cell r="E146">
            <v>0</v>
          </cell>
          <cell r="F146">
            <v>0</v>
          </cell>
          <cell r="G146">
            <v>0</v>
          </cell>
          <cell r="H146">
            <v>0</v>
          </cell>
          <cell r="I146">
            <v>0</v>
          </cell>
          <cell r="J146">
            <v>0</v>
          </cell>
        </row>
        <row r="146">
          <cell r="L146">
            <v>0</v>
          </cell>
          <cell r="M146">
            <v>0</v>
          </cell>
          <cell r="N146">
            <v>0</v>
          </cell>
        </row>
        <row r="147">
          <cell r="D147">
            <v>15303.9</v>
          </cell>
          <cell r="E147">
            <v>15763.017</v>
          </cell>
          <cell r="F147">
            <v>16235.90751</v>
          </cell>
          <cell r="G147">
            <v>16722.9847353</v>
          </cell>
          <cell r="H147">
            <v>17224.674277359</v>
          </cell>
          <cell r="I147">
            <v>17741.4145056798</v>
          </cell>
          <cell r="J147">
            <v>83687.9980283388</v>
          </cell>
        </row>
        <row r="147">
          <cell r="L147">
            <v>18273.6569408502</v>
          </cell>
          <cell r="M147">
            <v>18821.8666490757</v>
          </cell>
          <cell r="N147">
            <v>120783.521618265</v>
          </cell>
        </row>
        <row r="148">
          <cell r="D148">
            <v>0</v>
          </cell>
          <cell r="E148">
            <v>0</v>
          </cell>
          <cell r="F148">
            <v>0</v>
          </cell>
          <cell r="G148">
            <v>0</v>
          </cell>
          <cell r="H148">
            <v>0</v>
          </cell>
          <cell r="I148">
            <v>0</v>
          </cell>
          <cell r="J148">
            <v>0</v>
          </cell>
        </row>
        <row r="148">
          <cell r="L148">
            <v>0</v>
          </cell>
          <cell r="M148">
            <v>0</v>
          </cell>
          <cell r="N148">
            <v>0</v>
          </cell>
        </row>
        <row r="149">
          <cell r="D149">
            <v>0</v>
          </cell>
          <cell r="E149">
            <v>0</v>
          </cell>
          <cell r="F149">
            <v>0</v>
          </cell>
          <cell r="G149">
            <v>0</v>
          </cell>
          <cell r="H149">
            <v>0</v>
          </cell>
          <cell r="I149">
            <v>0</v>
          </cell>
          <cell r="J149">
            <v>0</v>
          </cell>
        </row>
        <row r="149">
          <cell r="L149">
            <v>0</v>
          </cell>
          <cell r="M149">
            <v>0</v>
          </cell>
          <cell r="N149">
            <v>0</v>
          </cell>
        </row>
        <row r="150">
          <cell r="D150">
            <v>0</v>
          </cell>
          <cell r="E150">
            <v>0</v>
          </cell>
          <cell r="F150">
            <v>0</v>
          </cell>
          <cell r="G150">
            <v>0</v>
          </cell>
          <cell r="H150">
            <v>0</v>
          </cell>
          <cell r="I150">
            <v>0</v>
          </cell>
          <cell r="J150">
            <v>0</v>
          </cell>
        </row>
        <row r="150">
          <cell r="L150">
            <v>0</v>
          </cell>
          <cell r="M150">
            <v>0</v>
          </cell>
          <cell r="N150">
            <v>0</v>
          </cell>
        </row>
        <row r="151">
          <cell r="D151">
            <v>6282.8</v>
          </cell>
          <cell r="E151">
            <v>6282.8</v>
          </cell>
          <cell r="F151">
            <v>6471.284</v>
          </cell>
          <cell r="G151">
            <v>6665.42252</v>
          </cell>
          <cell r="H151">
            <v>6865.3851956</v>
          </cell>
          <cell r="I151">
            <v>7071.346751468</v>
          </cell>
          <cell r="J151">
            <v>33356.238467068</v>
          </cell>
        </row>
        <row r="151">
          <cell r="L151">
            <v>7283.48715401204</v>
          </cell>
          <cell r="M151">
            <v>7501.9917686324</v>
          </cell>
          <cell r="N151">
            <v>48141.7173897124</v>
          </cell>
        </row>
        <row r="152">
          <cell r="D152">
            <v>27800</v>
          </cell>
          <cell r="E152">
            <v>27948.452</v>
          </cell>
          <cell r="F152">
            <v>28786.90556</v>
          </cell>
          <cell r="G152">
            <v>29650.5127268</v>
          </cell>
          <cell r="H152">
            <v>30540.028108604</v>
          </cell>
          <cell r="I152">
            <v>31456.2289518621</v>
          </cell>
          <cell r="J152">
            <v>148382.127347266</v>
          </cell>
        </row>
        <row r="152">
          <cell r="L152">
            <v>32399.915820418</v>
          </cell>
          <cell r="M152">
            <v>33371.9132950305</v>
          </cell>
          <cell r="N152">
            <v>214153.956462715</v>
          </cell>
        </row>
        <row r="153">
          <cell r="D153">
            <v>0</v>
          </cell>
          <cell r="E153">
            <v>0</v>
          </cell>
          <cell r="F153">
            <v>0</v>
          </cell>
          <cell r="G153">
            <v>0</v>
          </cell>
          <cell r="H153">
            <v>0</v>
          </cell>
          <cell r="I153">
            <v>0</v>
          </cell>
          <cell r="J153">
            <v>0</v>
          </cell>
        </row>
        <row r="153">
          <cell r="L153">
            <v>0</v>
          </cell>
          <cell r="M153">
            <v>0</v>
          </cell>
          <cell r="N153">
            <v>0</v>
          </cell>
        </row>
        <row r="154">
          <cell r="D154">
            <v>0</v>
          </cell>
          <cell r="E154">
            <v>0</v>
          </cell>
          <cell r="F154">
            <v>0</v>
          </cell>
          <cell r="G154">
            <v>0</v>
          </cell>
          <cell r="H154">
            <v>0</v>
          </cell>
          <cell r="I154">
            <v>0</v>
          </cell>
          <cell r="J154">
            <v>0</v>
          </cell>
        </row>
        <row r="154">
          <cell r="L154">
            <v>0</v>
          </cell>
          <cell r="M154">
            <v>0</v>
          </cell>
          <cell r="N154">
            <v>0</v>
          </cell>
        </row>
        <row r="155">
          <cell r="D155">
            <v>0</v>
          </cell>
          <cell r="E155">
            <v>0</v>
          </cell>
          <cell r="F155">
            <v>0</v>
          </cell>
          <cell r="G155">
            <v>0</v>
          </cell>
          <cell r="H155">
            <v>0</v>
          </cell>
          <cell r="I155">
            <v>0</v>
          </cell>
          <cell r="J155">
            <v>0</v>
          </cell>
        </row>
        <row r="155">
          <cell r="L155">
            <v>0</v>
          </cell>
          <cell r="M155">
            <v>0</v>
          </cell>
          <cell r="N155">
            <v>0</v>
          </cell>
        </row>
        <row r="156">
          <cell r="D156">
            <v>6550</v>
          </cell>
          <cell r="E156">
            <v>6353.5</v>
          </cell>
          <cell r="F156">
            <v>6544.105</v>
          </cell>
          <cell r="G156">
            <v>6740.42815</v>
          </cell>
          <cell r="H156">
            <v>6942.6409945</v>
          </cell>
          <cell r="I156">
            <v>7150.920224335</v>
          </cell>
          <cell r="J156">
            <v>33731.594368835</v>
          </cell>
        </row>
        <row r="156">
          <cell r="L156">
            <v>7365.44783106505</v>
          </cell>
          <cell r="M156">
            <v>7586.411265997</v>
          </cell>
          <cell r="N156">
            <v>48683.4534658971</v>
          </cell>
        </row>
        <row r="157">
          <cell r="D157">
            <v>0</v>
          </cell>
          <cell r="E157">
            <v>0</v>
          </cell>
          <cell r="F157">
            <v>0</v>
          </cell>
          <cell r="G157">
            <v>0</v>
          </cell>
          <cell r="H157">
            <v>0</v>
          </cell>
          <cell r="I157">
            <v>0</v>
          </cell>
          <cell r="J157">
            <v>0</v>
          </cell>
        </row>
        <row r="157">
          <cell r="L157">
            <v>0</v>
          </cell>
          <cell r="M157">
            <v>0</v>
          </cell>
          <cell r="N157">
            <v>0</v>
          </cell>
        </row>
        <row r="158">
          <cell r="D158">
            <v>0</v>
          </cell>
          <cell r="E158">
            <v>0</v>
          </cell>
          <cell r="F158">
            <v>0</v>
          </cell>
          <cell r="G158">
            <v>0</v>
          </cell>
          <cell r="H158">
            <v>0</v>
          </cell>
          <cell r="I158">
            <v>0</v>
          </cell>
          <cell r="J158">
            <v>0</v>
          </cell>
        </row>
        <row r="158">
          <cell r="L158">
            <v>0</v>
          </cell>
          <cell r="M158">
            <v>0</v>
          </cell>
          <cell r="N158">
            <v>0</v>
          </cell>
        </row>
        <row r="159">
          <cell r="D159">
            <v>0</v>
          </cell>
          <cell r="E159">
            <v>0</v>
          </cell>
          <cell r="F159">
            <v>0</v>
          </cell>
          <cell r="G159">
            <v>0</v>
          </cell>
          <cell r="H159">
            <v>0</v>
          </cell>
          <cell r="I159">
            <v>0</v>
          </cell>
          <cell r="J159">
            <v>0</v>
          </cell>
        </row>
        <row r="159">
          <cell r="L159">
            <v>0</v>
          </cell>
          <cell r="M159">
            <v>0</v>
          </cell>
          <cell r="N159">
            <v>0</v>
          </cell>
        </row>
        <row r="160">
          <cell r="D160">
            <v>13900</v>
          </cell>
          <cell r="E160">
            <v>13900</v>
          </cell>
          <cell r="F160">
            <v>14317</v>
          </cell>
          <cell r="G160">
            <v>14746.51</v>
          </cell>
          <cell r="H160">
            <v>15188.9053</v>
          </cell>
          <cell r="I160">
            <v>15644.572459</v>
          </cell>
          <cell r="J160">
            <v>73796.987759</v>
          </cell>
        </row>
        <row r="160">
          <cell r="L160">
            <v>16113.90963277</v>
          </cell>
          <cell r="M160">
            <v>16597.3269217531</v>
          </cell>
          <cell r="N160">
            <v>106508.224313523</v>
          </cell>
        </row>
        <row r="161">
          <cell r="D161">
            <v>20450</v>
          </cell>
          <cell r="E161">
            <v>20253.5</v>
          </cell>
          <cell r="F161">
            <v>20861.105</v>
          </cell>
          <cell r="G161">
            <v>21486.93815</v>
          </cell>
          <cell r="H161">
            <v>22131.5462945</v>
          </cell>
          <cell r="I161">
            <v>22795.492683335</v>
          </cell>
          <cell r="J161">
            <v>107528.582127835</v>
          </cell>
        </row>
        <row r="161">
          <cell r="L161">
            <v>23479.3574638351</v>
          </cell>
          <cell r="M161">
            <v>24183.7381877501</v>
          </cell>
          <cell r="N161">
            <v>155191.67777942</v>
          </cell>
        </row>
        <row r="162">
          <cell r="D162">
            <v>854802.562524272</v>
          </cell>
          <cell r="E162">
            <v>830557.937648544</v>
          </cell>
          <cell r="F162">
            <v>855474.675778</v>
          </cell>
          <cell r="G162">
            <v>881138.91605134</v>
          </cell>
          <cell r="H162">
            <v>907573.08353288</v>
          </cell>
          <cell r="I162">
            <v>934800.276038867</v>
          </cell>
          <cell r="J162">
            <v>4409544.88904963</v>
          </cell>
        </row>
        <row r="162">
          <cell r="L162">
            <v>962844.284320033</v>
          </cell>
          <cell r="M162">
            <v>991729.612849634</v>
          </cell>
          <cell r="N162">
            <v>6364118.7862193</v>
          </cell>
        </row>
        <row r="163">
          <cell r="D163">
            <v>0</v>
          </cell>
          <cell r="E163">
            <v>0</v>
          </cell>
          <cell r="F163">
            <v>0</v>
          </cell>
          <cell r="G163">
            <v>0</v>
          </cell>
          <cell r="H163">
            <v>0</v>
          </cell>
          <cell r="I163">
            <v>0</v>
          </cell>
          <cell r="J163">
            <v>0</v>
          </cell>
        </row>
        <row r="163">
          <cell r="L163">
            <v>0</v>
          </cell>
          <cell r="M163">
            <v>0</v>
          </cell>
          <cell r="N163">
            <v>0</v>
          </cell>
        </row>
        <row r="164">
          <cell r="D164">
            <v>854802.562524272</v>
          </cell>
          <cell r="E164">
            <v>830557.937648544</v>
          </cell>
          <cell r="F164">
            <v>855474.675778</v>
          </cell>
          <cell r="G164">
            <v>881138.91605134</v>
          </cell>
          <cell r="H164">
            <v>907573.08353288</v>
          </cell>
          <cell r="I164">
            <v>934800.276038867</v>
          </cell>
          <cell r="J164">
            <v>4409544.88904963</v>
          </cell>
        </row>
        <row r="164">
          <cell r="L164">
            <v>962844.284320033</v>
          </cell>
          <cell r="M164">
            <v>991729.612849634</v>
          </cell>
          <cell r="N164">
            <v>6364118.7862193</v>
          </cell>
        </row>
        <row r="166">
          <cell r="D166">
            <v>0</v>
          </cell>
          <cell r="E166">
            <v>0</v>
          </cell>
          <cell r="F166">
            <v>0</v>
          </cell>
          <cell r="G166">
            <v>0</v>
          </cell>
          <cell r="H166">
            <v>0</v>
          </cell>
          <cell r="I166">
            <v>0</v>
          </cell>
          <cell r="J166">
            <v>0</v>
          </cell>
        </row>
        <row r="166">
          <cell r="L166">
            <v>0</v>
          </cell>
          <cell r="M166">
            <v>0</v>
          </cell>
          <cell r="N166">
            <v>0</v>
          </cell>
        </row>
        <row r="167">
          <cell r="D167">
            <v>0</v>
          </cell>
          <cell r="E167">
            <v>0</v>
          </cell>
          <cell r="F167">
            <v>0</v>
          </cell>
          <cell r="G167">
            <v>0</v>
          </cell>
          <cell r="H167">
            <v>0</v>
          </cell>
          <cell r="I167">
            <v>0</v>
          </cell>
          <cell r="J167">
            <v>0</v>
          </cell>
        </row>
        <row r="167">
          <cell r="L167">
            <v>0</v>
          </cell>
          <cell r="M167">
            <v>0</v>
          </cell>
          <cell r="N167">
            <v>0</v>
          </cell>
        </row>
        <row r="168">
          <cell r="D168">
            <v>0</v>
          </cell>
          <cell r="E168">
            <v>0</v>
          </cell>
          <cell r="F168">
            <v>0</v>
          </cell>
          <cell r="G168">
            <v>0</v>
          </cell>
          <cell r="H168">
            <v>0</v>
          </cell>
          <cell r="I168">
            <v>0</v>
          </cell>
          <cell r="J168">
            <v>0</v>
          </cell>
        </row>
        <row r="168">
          <cell r="L168">
            <v>0</v>
          </cell>
          <cell r="M168">
            <v>0</v>
          </cell>
          <cell r="N168">
            <v>0</v>
          </cell>
        </row>
        <row r="169">
          <cell r="D169">
            <v>0</v>
          </cell>
          <cell r="E169">
            <v>0</v>
          </cell>
          <cell r="F169">
            <v>0</v>
          </cell>
          <cell r="G169">
            <v>0</v>
          </cell>
          <cell r="H169">
            <v>0</v>
          </cell>
          <cell r="I169">
            <v>0</v>
          </cell>
          <cell r="J169">
            <v>0</v>
          </cell>
        </row>
        <row r="169">
          <cell r="L169">
            <v>0</v>
          </cell>
          <cell r="M169">
            <v>0</v>
          </cell>
          <cell r="N169">
            <v>0</v>
          </cell>
        </row>
        <row r="170">
          <cell r="D170">
            <v>0</v>
          </cell>
          <cell r="E170">
            <v>0</v>
          </cell>
          <cell r="F170">
            <v>0</v>
          </cell>
          <cell r="G170">
            <v>0</v>
          </cell>
          <cell r="H170">
            <v>0</v>
          </cell>
          <cell r="I170">
            <v>0</v>
          </cell>
          <cell r="J170">
            <v>0</v>
          </cell>
        </row>
        <row r="170">
          <cell r="L170">
            <v>0</v>
          </cell>
          <cell r="M170">
            <v>0</v>
          </cell>
          <cell r="N170">
            <v>0</v>
          </cell>
        </row>
        <row r="172">
          <cell r="D172">
            <v>854802.562524272</v>
          </cell>
          <cell r="E172">
            <v>830557.937648544</v>
          </cell>
          <cell r="F172">
            <v>855474.675778</v>
          </cell>
          <cell r="G172">
            <v>881138.91605134</v>
          </cell>
          <cell r="H172">
            <v>907573.08353288</v>
          </cell>
          <cell r="I172">
            <v>934800.276038867</v>
          </cell>
          <cell r="J172">
            <v>4409544.88904963</v>
          </cell>
        </row>
        <row r="172">
          <cell r="L172">
            <v>962844.284320033</v>
          </cell>
          <cell r="M172">
            <v>991729.612849634</v>
          </cell>
          <cell r="N172">
            <v>6364118.7862193</v>
          </cell>
        </row>
      </sheetData>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6.xml><?xml version="1.0" encoding="utf-8"?>
<externalLink xmlns="http://schemas.openxmlformats.org/spreadsheetml/2006/main">
  <externalBook xmlns:r="http://schemas.openxmlformats.org/officeDocument/2006/relationships" r:id="rId1">
    <sheetNames>
      <sheetName val="Notes"/>
      <sheetName val="Consolidated"/>
      <sheetName val="GL"/>
      <sheetName val="Ext.Rpt."/>
      <sheetName val="RTP"/>
      <sheetName val="AP"/>
      <sheetName val="T&amp;E"/>
      <sheetName val="OTC"/>
      <sheetName val="SOX"/>
      <sheetName val="Tax"/>
      <sheetName val="Mgtm Rep_Cost Acc"/>
      <sheetName val="Mgtm &amp; Coordination"/>
      <sheetName val="Depreciation"/>
    </sheetNames>
    <sheetDataSet>
      <sheetData sheetId="0"/>
      <sheetData sheetId="1">
        <row r="2">
          <cell r="D2" t="str">
            <v>BASE YEAR</v>
          </cell>
          <cell r="E2" t="str">
            <v>YEAR 1</v>
          </cell>
          <cell r="F2" t="str">
            <v>YEAR 2</v>
          </cell>
          <cell r="G2" t="str">
            <v>YEAR 3</v>
          </cell>
          <cell r="H2" t="str">
            <v>YEAR 4</v>
          </cell>
          <cell r="I2" t="str">
            <v xml:space="preserve">YEAR 5 </v>
          </cell>
          <cell r="J2" t="str">
            <v>5 Year Total</v>
          </cell>
        </row>
        <row r="2">
          <cell r="L2" t="str">
            <v>5 YEAR + 1</v>
          </cell>
          <cell r="M2" t="str">
            <v>5 YEAR + 2</v>
          </cell>
          <cell r="N2" t="str">
            <v>7 Year Total</v>
          </cell>
        </row>
        <row r="3">
          <cell r="D3">
            <v>30.7</v>
          </cell>
          <cell r="E3">
            <v>30.106</v>
          </cell>
          <cell r="F3">
            <v>30.106</v>
          </cell>
          <cell r="G3">
            <v>30.106</v>
          </cell>
          <cell r="H3">
            <v>30.106</v>
          </cell>
          <cell r="I3">
            <v>30.106</v>
          </cell>
        </row>
        <row r="3">
          <cell r="L3">
            <v>30.106</v>
          </cell>
          <cell r="M3">
            <v>30.106</v>
          </cell>
        </row>
        <row r="4">
          <cell r="D4">
            <v>3</v>
          </cell>
          <cell r="E4">
            <v>2.91</v>
          </cell>
          <cell r="F4">
            <v>2.91</v>
          </cell>
          <cell r="G4">
            <v>2.91</v>
          </cell>
          <cell r="H4">
            <v>2.91</v>
          </cell>
          <cell r="I4">
            <v>2.91</v>
          </cell>
        </row>
        <row r="4">
          <cell r="L4">
            <v>2.91</v>
          </cell>
          <cell r="M4">
            <v>2.91</v>
          </cell>
        </row>
        <row r="5">
          <cell r="D5">
            <v>33.7</v>
          </cell>
          <cell r="E5">
            <v>33.016</v>
          </cell>
          <cell r="F5">
            <v>33.016</v>
          </cell>
          <cell r="G5">
            <v>33.016</v>
          </cell>
          <cell r="H5">
            <v>33.016</v>
          </cell>
          <cell r="I5">
            <v>33.016</v>
          </cell>
        </row>
        <row r="5">
          <cell r="L5">
            <v>33.016</v>
          </cell>
          <cell r="M5">
            <v>33.016</v>
          </cell>
        </row>
        <row r="7">
          <cell r="D7">
            <v>2072480.6</v>
          </cell>
          <cell r="E7">
            <v>2010306.182</v>
          </cell>
          <cell r="F7">
            <v>2070615.36746</v>
          </cell>
          <cell r="G7">
            <v>2132733.8284838</v>
          </cell>
          <cell r="H7">
            <v>2196715.84333831</v>
          </cell>
          <cell r="I7">
            <v>2262617.31863846</v>
          </cell>
          <cell r="J7">
            <v>10672988.5399206</v>
          </cell>
        </row>
        <row r="7">
          <cell r="L7">
            <v>2330495.83819762</v>
          </cell>
          <cell r="M7">
            <v>2400410.71334355</v>
          </cell>
          <cell r="N7">
            <v>15403895.0914617</v>
          </cell>
        </row>
        <row r="8">
          <cell r="D8">
            <v>335380.9</v>
          </cell>
          <cell r="E8">
            <v>325319.473</v>
          </cell>
          <cell r="F8">
            <v>335079.05719</v>
          </cell>
          <cell r="G8">
            <v>345131.4289057</v>
          </cell>
          <cell r="H8">
            <v>355485.371772871</v>
          </cell>
          <cell r="I8">
            <v>366149.932926057</v>
          </cell>
          <cell r="J8">
            <v>1727165.26379463</v>
          </cell>
        </row>
        <row r="8">
          <cell r="L8">
            <v>377134.430913839</v>
          </cell>
          <cell r="M8">
            <v>388448.463841254</v>
          </cell>
          <cell r="N8">
            <v>2492748.15854972</v>
          </cell>
        </row>
        <row r="9">
          <cell r="D9">
            <v>252920</v>
          </cell>
          <cell r="E9">
            <v>250239.048</v>
          </cell>
          <cell r="F9">
            <v>257746.21944</v>
          </cell>
          <cell r="G9">
            <v>265478.6060232</v>
          </cell>
          <cell r="H9">
            <v>273442.964203896</v>
          </cell>
          <cell r="I9">
            <v>281646.253130013</v>
          </cell>
          <cell r="J9">
            <v>1328553.09079711</v>
          </cell>
        </row>
        <row r="9">
          <cell r="L9">
            <v>290095.640723913</v>
          </cell>
          <cell r="M9">
            <v>298798.509945631</v>
          </cell>
          <cell r="N9">
            <v>1917447.24146665</v>
          </cell>
        </row>
        <row r="10">
          <cell r="D10">
            <v>0</v>
          </cell>
          <cell r="E10">
            <v>0</v>
          </cell>
          <cell r="F10">
            <v>0</v>
          </cell>
          <cell r="G10">
            <v>0</v>
          </cell>
          <cell r="H10">
            <v>0</v>
          </cell>
          <cell r="I10">
            <v>0</v>
          </cell>
          <cell r="J10">
            <v>0</v>
          </cell>
        </row>
        <row r="10">
          <cell r="L10">
            <v>0</v>
          </cell>
          <cell r="M10">
            <v>0</v>
          </cell>
          <cell r="N10">
            <v>0</v>
          </cell>
        </row>
        <row r="11">
          <cell r="D11">
            <v>5850.4</v>
          </cell>
          <cell r="E11">
            <v>5674.888</v>
          </cell>
          <cell r="F11">
            <v>5845.13464</v>
          </cell>
          <cell r="G11">
            <v>6020.4886792</v>
          </cell>
          <cell r="H11">
            <v>6201.103339576</v>
          </cell>
          <cell r="I11">
            <v>6387.13643976328</v>
          </cell>
          <cell r="J11">
            <v>30128.7510985393</v>
          </cell>
        </row>
        <row r="11">
          <cell r="L11">
            <v>6578.75053295618</v>
          </cell>
          <cell r="M11">
            <v>6776.11304894486</v>
          </cell>
          <cell r="N11">
            <v>43483.6146804403</v>
          </cell>
        </row>
        <row r="12">
          <cell r="D12">
            <v>37305.7</v>
          </cell>
          <cell r="E12">
            <v>36186.529</v>
          </cell>
          <cell r="F12">
            <v>37272.12487</v>
          </cell>
          <cell r="G12">
            <v>38390.2886161</v>
          </cell>
          <cell r="H12">
            <v>39541.997274583</v>
          </cell>
          <cell r="I12">
            <v>40728.2571928205</v>
          </cell>
          <cell r="J12">
            <v>192119.196953503</v>
          </cell>
        </row>
        <row r="12">
          <cell r="L12">
            <v>41950.1049086051</v>
          </cell>
          <cell r="M12">
            <v>43208.6080558633</v>
          </cell>
          <cell r="N12">
            <v>277277.909917972</v>
          </cell>
        </row>
        <row r="13">
          <cell r="D13">
            <v>2703937.6</v>
          </cell>
          <cell r="E13">
            <v>2627726.12</v>
          </cell>
          <cell r="F13">
            <v>2706557.9036</v>
          </cell>
          <cell r="G13">
            <v>2787754.640708</v>
          </cell>
          <cell r="H13">
            <v>2871387.27992924</v>
          </cell>
          <cell r="I13">
            <v>2957528.89832712</v>
          </cell>
          <cell r="J13">
            <v>13950954.8425644</v>
          </cell>
        </row>
        <row r="13">
          <cell r="L13">
            <v>3046254.76527693</v>
          </cell>
          <cell r="M13">
            <v>3137642.40823524</v>
          </cell>
          <cell r="N13">
            <v>20134852.0160765</v>
          </cell>
        </row>
        <row r="14">
          <cell r="D14">
            <v>21330.3</v>
          </cell>
          <cell r="E14">
            <v>20516.0727</v>
          </cell>
          <cell r="F14">
            <v>21131.554881</v>
          </cell>
          <cell r="G14">
            <v>21765.50152743</v>
          </cell>
          <cell r="H14">
            <v>22418.4665732529</v>
          </cell>
          <cell r="I14">
            <v>23091.0205704505</v>
          </cell>
          <cell r="J14">
            <v>108922.616252133</v>
          </cell>
        </row>
        <row r="14">
          <cell r="L14">
            <v>23783.751187564</v>
          </cell>
          <cell r="M14">
            <v>24497.2637231909</v>
          </cell>
          <cell r="N14">
            <v>157203.631162888</v>
          </cell>
        </row>
        <row r="15">
          <cell r="D15">
            <v>0</v>
          </cell>
          <cell r="E15">
            <v>0</v>
          </cell>
          <cell r="F15">
            <v>0</v>
          </cell>
          <cell r="G15">
            <v>0</v>
          </cell>
          <cell r="H15">
            <v>0</v>
          </cell>
          <cell r="I15">
            <v>0</v>
          </cell>
          <cell r="J15">
            <v>0</v>
          </cell>
        </row>
        <row r="15">
          <cell r="L15">
            <v>0</v>
          </cell>
          <cell r="M15">
            <v>0</v>
          </cell>
          <cell r="N15">
            <v>0</v>
          </cell>
        </row>
        <row r="16">
          <cell r="D16">
            <v>8852.2</v>
          </cell>
          <cell r="E16">
            <v>9300.12132</v>
          </cell>
          <cell r="F16">
            <v>9579.1249596</v>
          </cell>
          <cell r="G16">
            <v>9866.498708388</v>
          </cell>
          <cell r="H16">
            <v>10162.4936696396</v>
          </cell>
          <cell r="I16">
            <v>10467.3684797288</v>
          </cell>
          <cell r="J16">
            <v>49375.6071373565</v>
          </cell>
        </row>
        <row r="16">
          <cell r="L16">
            <v>10781.3895341207</v>
          </cell>
          <cell r="M16">
            <v>11104.8312201443</v>
          </cell>
          <cell r="N16">
            <v>71261.8278916215</v>
          </cell>
        </row>
        <row r="17">
          <cell r="D17">
            <v>5313</v>
          </cell>
          <cell r="E17">
            <v>5472.39</v>
          </cell>
          <cell r="F17">
            <v>5636.5617</v>
          </cell>
          <cell r="G17">
            <v>5805.658551</v>
          </cell>
          <cell r="H17">
            <v>5979.82830753</v>
          </cell>
          <cell r="I17">
            <v>6159.2231567559</v>
          </cell>
          <cell r="J17">
            <v>29053.6617152859</v>
          </cell>
        </row>
        <row r="17">
          <cell r="L17">
            <v>6343.99985145858</v>
          </cell>
          <cell r="M17">
            <v>6534.31984700234</v>
          </cell>
          <cell r="N17">
            <v>41931.9814137468</v>
          </cell>
        </row>
        <row r="18">
          <cell r="D18">
            <v>0</v>
          </cell>
          <cell r="E18">
            <v>0</v>
          </cell>
          <cell r="F18">
            <v>0</v>
          </cell>
          <cell r="G18">
            <v>0</v>
          </cell>
          <cell r="H18">
            <v>0</v>
          </cell>
          <cell r="I18">
            <v>0</v>
          </cell>
          <cell r="J18">
            <v>0</v>
          </cell>
        </row>
        <row r="18">
          <cell r="L18">
            <v>0</v>
          </cell>
          <cell r="M18">
            <v>0</v>
          </cell>
          <cell r="N18">
            <v>0</v>
          </cell>
        </row>
        <row r="19">
          <cell r="D19">
            <v>0</v>
          </cell>
          <cell r="E19">
            <v>0</v>
          </cell>
          <cell r="F19">
            <v>0</v>
          </cell>
          <cell r="G19">
            <v>0</v>
          </cell>
          <cell r="H19">
            <v>0</v>
          </cell>
          <cell r="I19">
            <v>0</v>
          </cell>
          <cell r="J19">
            <v>0</v>
          </cell>
        </row>
        <row r="19">
          <cell r="L19">
            <v>0</v>
          </cell>
          <cell r="M19">
            <v>0</v>
          </cell>
          <cell r="N19">
            <v>0</v>
          </cell>
        </row>
        <row r="20">
          <cell r="D20">
            <v>0</v>
          </cell>
          <cell r="E20">
            <v>0</v>
          </cell>
          <cell r="F20">
            <v>0</v>
          </cell>
          <cell r="G20">
            <v>0</v>
          </cell>
          <cell r="H20">
            <v>0</v>
          </cell>
          <cell r="I20">
            <v>0</v>
          </cell>
          <cell r="J20">
            <v>0</v>
          </cell>
        </row>
        <row r="20">
          <cell r="L20">
            <v>0</v>
          </cell>
          <cell r="M20">
            <v>0</v>
          </cell>
          <cell r="N20">
            <v>0</v>
          </cell>
        </row>
        <row r="21">
          <cell r="D21">
            <v>62254.5</v>
          </cell>
          <cell r="E21">
            <v>62254.5</v>
          </cell>
          <cell r="F21">
            <v>64122.135</v>
          </cell>
          <cell r="G21">
            <v>66045.79905</v>
          </cell>
          <cell r="H21">
            <v>68027.1730215</v>
          </cell>
          <cell r="I21">
            <v>70067.988212145</v>
          </cell>
          <cell r="J21">
            <v>330517.595283645</v>
          </cell>
        </row>
        <row r="21">
          <cell r="L21">
            <v>72170.0278585094</v>
          </cell>
          <cell r="M21">
            <v>74335.1286942647</v>
          </cell>
          <cell r="N21">
            <v>477022.751836419</v>
          </cell>
        </row>
        <row r="22">
          <cell r="D22">
            <v>97750</v>
          </cell>
          <cell r="E22">
            <v>97543.08402</v>
          </cell>
          <cell r="F22">
            <v>100469.3765406</v>
          </cell>
          <cell r="G22">
            <v>103483.457836818</v>
          </cell>
          <cell r="H22">
            <v>106587.961571923</v>
          </cell>
          <cell r="I22">
            <v>109785.60041908</v>
          </cell>
          <cell r="J22">
            <v>517869.480388421</v>
          </cell>
        </row>
        <row r="22">
          <cell r="L22">
            <v>113079.168431653</v>
          </cell>
          <cell r="M22">
            <v>116471.543484602</v>
          </cell>
          <cell r="N22">
            <v>747420.192304676</v>
          </cell>
        </row>
        <row r="23">
          <cell r="D23">
            <v>22369.8</v>
          </cell>
          <cell r="E23">
            <v>21027.612</v>
          </cell>
          <cell r="F23">
            <v>21658.44036</v>
          </cell>
          <cell r="G23">
            <v>22308.1935708</v>
          </cell>
          <cell r="H23">
            <v>22977.439377924</v>
          </cell>
          <cell r="I23">
            <v>23666.7625592617</v>
          </cell>
          <cell r="J23">
            <v>111638.447867986</v>
          </cell>
        </row>
        <row r="23">
          <cell r="L23">
            <v>24376.7654360396</v>
          </cell>
          <cell r="M23">
            <v>25108.0683991208</v>
          </cell>
          <cell r="N23">
            <v>161123.281703146</v>
          </cell>
        </row>
        <row r="24">
          <cell r="D24">
            <v>16623.7</v>
          </cell>
          <cell r="E24">
            <v>16623.7</v>
          </cell>
          <cell r="F24">
            <v>17122.411</v>
          </cell>
          <cell r="G24">
            <v>17636.08333</v>
          </cell>
          <cell r="H24">
            <v>18165.1658299</v>
          </cell>
          <cell r="I24">
            <v>18710.120804797</v>
          </cell>
          <cell r="J24">
            <v>88257.480964697</v>
          </cell>
        </row>
        <row r="24">
          <cell r="L24">
            <v>19271.4244289409</v>
          </cell>
          <cell r="M24">
            <v>19849.5671618091</v>
          </cell>
          <cell r="N24">
            <v>127378.472555447</v>
          </cell>
        </row>
        <row r="25">
          <cell r="D25">
            <v>69135</v>
          </cell>
          <cell r="E25">
            <v>67060.95</v>
          </cell>
          <cell r="F25">
            <v>69072.7785</v>
          </cell>
          <cell r="G25">
            <v>71144.961855</v>
          </cell>
          <cell r="H25">
            <v>73279.31071065</v>
          </cell>
          <cell r="I25">
            <v>75477.6900319695</v>
          </cell>
          <cell r="J25">
            <v>356035.69109762</v>
          </cell>
        </row>
        <row r="25">
          <cell r="L25">
            <v>77742.0207329286</v>
          </cell>
          <cell r="M25">
            <v>80074.2813549165</v>
          </cell>
          <cell r="N25">
            <v>513851.993185465</v>
          </cell>
        </row>
        <row r="26">
          <cell r="D26">
            <v>0</v>
          </cell>
          <cell r="E26">
            <v>0</v>
          </cell>
          <cell r="F26">
            <v>0</v>
          </cell>
          <cell r="G26">
            <v>0</v>
          </cell>
          <cell r="H26">
            <v>0</v>
          </cell>
          <cell r="I26">
            <v>0</v>
          </cell>
          <cell r="J26">
            <v>0</v>
          </cell>
        </row>
        <row r="26">
          <cell r="L26">
            <v>0</v>
          </cell>
          <cell r="M26">
            <v>0</v>
          </cell>
          <cell r="N26">
            <v>0</v>
          </cell>
        </row>
        <row r="27">
          <cell r="D27">
            <v>1798.5</v>
          </cell>
          <cell r="E27">
            <v>1798.5</v>
          </cell>
          <cell r="F27">
            <v>1852.455</v>
          </cell>
          <cell r="G27">
            <v>1908.02865</v>
          </cell>
          <cell r="H27">
            <v>1965.2695095</v>
          </cell>
          <cell r="I27">
            <v>2024.227594785</v>
          </cell>
          <cell r="J27">
            <v>9548.480754285</v>
          </cell>
        </row>
        <row r="27">
          <cell r="L27">
            <v>2084.95442262855</v>
          </cell>
          <cell r="M27">
            <v>2147.50305530741</v>
          </cell>
          <cell r="N27">
            <v>13780.938232221</v>
          </cell>
        </row>
        <row r="28">
          <cell r="D28">
            <v>0</v>
          </cell>
          <cell r="E28">
            <v>0</v>
          </cell>
          <cell r="F28">
            <v>0</v>
          </cell>
          <cell r="G28">
            <v>0</v>
          </cell>
          <cell r="H28">
            <v>0</v>
          </cell>
          <cell r="I28">
            <v>0</v>
          </cell>
          <cell r="J28">
            <v>0</v>
          </cell>
        </row>
        <row r="28">
          <cell r="L28">
            <v>0</v>
          </cell>
          <cell r="M28">
            <v>0</v>
          </cell>
          <cell r="N28">
            <v>0</v>
          </cell>
        </row>
        <row r="29">
          <cell r="D29">
            <v>0</v>
          </cell>
          <cell r="E29">
            <v>0</v>
          </cell>
          <cell r="F29">
            <v>0</v>
          </cell>
          <cell r="G29">
            <v>0</v>
          </cell>
          <cell r="H29">
            <v>0</v>
          </cell>
          <cell r="I29">
            <v>0</v>
          </cell>
          <cell r="J29">
            <v>0</v>
          </cell>
        </row>
        <row r="29">
          <cell r="L29">
            <v>0</v>
          </cell>
          <cell r="M29">
            <v>0</v>
          </cell>
          <cell r="N29">
            <v>0</v>
          </cell>
        </row>
        <row r="30">
          <cell r="D30">
            <v>1485</v>
          </cell>
          <cell r="E30">
            <v>1485</v>
          </cell>
          <cell r="F30">
            <v>1529.55</v>
          </cell>
          <cell r="G30">
            <v>1575.4365</v>
          </cell>
          <cell r="H30">
            <v>1622.699595</v>
          </cell>
          <cell r="I30">
            <v>1671.38058285</v>
          </cell>
          <cell r="J30">
            <v>7884.06667785</v>
          </cell>
        </row>
        <row r="30">
          <cell r="L30">
            <v>1721.5220003355</v>
          </cell>
          <cell r="M30">
            <v>1773.16766034557</v>
          </cell>
          <cell r="N30">
            <v>11378.7563385311</v>
          </cell>
        </row>
        <row r="31">
          <cell r="D31">
            <v>111412</v>
          </cell>
          <cell r="E31">
            <v>107995.762</v>
          </cell>
          <cell r="F31">
            <v>111235.63486</v>
          </cell>
          <cell r="G31">
            <v>114572.7039058</v>
          </cell>
          <cell r="H31">
            <v>118009.885022974</v>
          </cell>
          <cell r="I31">
            <v>121550.181573663</v>
          </cell>
          <cell r="J31">
            <v>573364.167362437</v>
          </cell>
        </row>
        <row r="31">
          <cell r="L31">
            <v>125196.687020873</v>
          </cell>
          <cell r="M31">
            <v>128952.587631499</v>
          </cell>
          <cell r="N31">
            <v>827513.44201481</v>
          </cell>
        </row>
        <row r="32">
          <cell r="D32">
            <v>2913099.6</v>
          </cell>
          <cell r="E32">
            <v>2833264.96602</v>
          </cell>
          <cell r="F32">
            <v>2918262.9150006</v>
          </cell>
          <cell r="G32">
            <v>3005810.80245062</v>
          </cell>
          <cell r="H32">
            <v>3095985.12652414</v>
          </cell>
          <cell r="I32">
            <v>3188864.68031986</v>
          </cell>
          <cell r="J32">
            <v>15042188.4903152</v>
          </cell>
        </row>
        <row r="32">
          <cell r="L32">
            <v>3284530.62072946</v>
          </cell>
          <cell r="M32">
            <v>3383066.53935134</v>
          </cell>
          <cell r="N32">
            <v>21709785.650396</v>
          </cell>
        </row>
        <row r="33">
          <cell r="D33">
            <v>0</v>
          </cell>
          <cell r="E33">
            <v>0</v>
          </cell>
          <cell r="F33">
            <v>0</v>
          </cell>
          <cell r="G33">
            <v>0</v>
          </cell>
          <cell r="H33">
            <v>0</v>
          </cell>
          <cell r="I33">
            <v>0</v>
          </cell>
          <cell r="J33">
            <v>0</v>
          </cell>
        </row>
        <row r="33">
          <cell r="L33">
            <v>0</v>
          </cell>
          <cell r="M33">
            <v>0</v>
          </cell>
          <cell r="N33">
            <v>0</v>
          </cell>
        </row>
        <row r="34">
          <cell r="D34">
            <v>2913099.6</v>
          </cell>
          <cell r="E34">
            <v>2833264.96602</v>
          </cell>
          <cell r="F34">
            <v>2918262.9150006</v>
          </cell>
          <cell r="G34">
            <v>3005810.80245062</v>
          </cell>
          <cell r="H34">
            <v>3095985.12652414</v>
          </cell>
          <cell r="I34">
            <v>3188864.68031986</v>
          </cell>
          <cell r="J34">
            <v>15042188.4903152</v>
          </cell>
        </row>
        <row r="34">
          <cell r="L34">
            <v>3284530.62072946</v>
          </cell>
          <cell r="M34">
            <v>3383066.53935134</v>
          </cell>
          <cell r="N34">
            <v>21709785.650396</v>
          </cell>
        </row>
        <row r="36">
          <cell r="D36">
            <v>33528</v>
          </cell>
          <cell r="E36">
            <v>33528</v>
          </cell>
          <cell r="F36">
            <v>34533.84</v>
          </cell>
          <cell r="G36">
            <v>35569.8552</v>
          </cell>
          <cell r="H36">
            <v>36636.950856</v>
          </cell>
          <cell r="I36">
            <v>37736.05938168</v>
          </cell>
          <cell r="J36">
            <v>178004.70543768</v>
          </cell>
        </row>
        <row r="36">
          <cell r="L36">
            <v>38868.1411631304</v>
          </cell>
          <cell r="M36">
            <v>40034.1853980243</v>
          </cell>
          <cell r="N36">
            <v>256907.031998835</v>
          </cell>
        </row>
        <row r="37">
          <cell r="D37">
            <v>0</v>
          </cell>
          <cell r="E37">
            <v>0</v>
          </cell>
          <cell r="F37">
            <v>0</v>
          </cell>
          <cell r="G37">
            <v>0</v>
          </cell>
          <cell r="H37">
            <v>0</v>
          </cell>
          <cell r="I37">
            <v>0</v>
          </cell>
          <cell r="J37">
            <v>0</v>
          </cell>
        </row>
        <row r="37">
          <cell r="L37">
            <v>0</v>
          </cell>
          <cell r="M37">
            <v>0</v>
          </cell>
          <cell r="N37">
            <v>0</v>
          </cell>
        </row>
        <row r="38">
          <cell r="D38">
            <v>0</v>
          </cell>
          <cell r="E38">
            <v>0</v>
          </cell>
          <cell r="F38">
            <v>0</v>
          </cell>
          <cell r="G38">
            <v>0</v>
          </cell>
          <cell r="H38">
            <v>0</v>
          </cell>
          <cell r="I38">
            <v>0</v>
          </cell>
          <cell r="J38">
            <v>0</v>
          </cell>
        </row>
        <row r="38">
          <cell r="L38">
            <v>0</v>
          </cell>
          <cell r="M38">
            <v>0</v>
          </cell>
          <cell r="N38">
            <v>0</v>
          </cell>
        </row>
        <row r="39">
          <cell r="D39">
            <v>36580.5</v>
          </cell>
          <cell r="E39">
            <v>36580.5</v>
          </cell>
          <cell r="F39">
            <v>37677.915</v>
          </cell>
          <cell r="G39">
            <v>38808.25245</v>
          </cell>
          <cell r="H39">
            <v>39972.5000235</v>
          </cell>
          <cell r="I39">
            <v>41171.675024205</v>
          </cell>
          <cell r="J39">
            <v>194210.842497705</v>
          </cell>
        </row>
        <row r="39">
          <cell r="L39">
            <v>42406.8252749312</v>
          </cell>
          <cell r="M39">
            <v>43679.0300331791</v>
          </cell>
          <cell r="N39">
            <v>280296.697805815</v>
          </cell>
        </row>
        <row r="40">
          <cell r="D40">
            <v>70108.5</v>
          </cell>
          <cell r="E40">
            <v>70108.5</v>
          </cell>
          <cell r="F40">
            <v>72211.755</v>
          </cell>
          <cell r="G40">
            <v>74378.10765</v>
          </cell>
          <cell r="H40">
            <v>76609.4508795</v>
          </cell>
          <cell r="I40">
            <v>78907.734405885</v>
          </cell>
          <cell r="J40">
            <v>372215.547935385</v>
          </cell>
        </row>
        <row r="40">
          <cell r="L40">
            <v>81274.9664380616</v>
          </cell>
          <cell r="M40">
            <v>83713.2154312034</v>
          </cell>
          <cell r="N40">
            <v>537203.72980465</v>
          </cell>
        </row>
        <row r="42">
          <cell r="D42">
            <v>2983208.1</v>
          </cell>
          <cell r="E42">
            <v>2903373.46602</v>
          </cell>
          <cell r="F42">
            <v>2990474.6700006</v>
          </cell>
          <cell r="G42">
            <v>3080188.91010062</v>
          </cell>
          <cell r="H42">
            <v>3172594.57740364</v>
          </cell>
          <cell r="I42">
            <v>3267772.41472575</v>
          </cell>
          <cell r="J42">
            <v>15414404.0382506</v>
          </cell>
        </row>
        <row r="42">
          <cell r="L42">
            <v>3365805.58716752</v>
          </cell>
          <cell r="M42">
            <v>3466779.75478254</v>
          </cell>
          <cell r="N42">
            <v>22246989.3802007</v>
          </cell>
        </row>
        <row r="45">
          <cell r="D45" t="str">
            <v>BASE YEAR</v>
          </cell>
          <cell r="E45" t="str">
            <v>YEAR 1</v>
          </cell>
          <cell r="F45" t="str">
            <v>YEAR 2</v>
          </cell>
          <cell r="G45" t="str">
            <v>YEAR 3</v>
          </cell>
          <cell r="H45" t="str">
            <v>YEAR 4</v>
          </cell>
          <cell r="I45" t="str">
            <v xml:space="preserve">YEAR 5 </v>
          </cell>
          <cell r="J45" t="str">
            <v>5 Year Total</v>
          </cell>
        </row>
        <row r="45">
          <cell r="L45" t="str">
            <v>5 YEAR + 1</v>
          </cell>
          <cell r="M45" t="str">
            <v>5 YEAR +2</v>
          </cell>
          <cell r="N45" t="str">
            <v>7 Year Total</v>
          </cell>
        </row>
        <row r="46">
          <cell r="D46">
            <v>16.5</v>
          </cell>
          <cell r="E46">
            <v>16.005</v>
          </cell>
          <cell r="F46">
            <v>16.005</v>
          </cell>
          <cell r="G46">
            <v>16.005</v>
          </cell>
          <cell r="H46">
            <v>16.005</v>
          </cell>
          <cell r="I46">
            <v>16.005</v>
          </cell>
        </row>
        <row r="46">
          <cell r="L46">
            <v>16.005</v>
          </cell>
          <cell r="M46">
            <v>16.005</v>
          </cell>
        </row>
        <row r="47">
          <cell r="D47">
            <v>0</v>
          </cell>
          <cell r="E47">
            <v>0</v>
          </cell>
          <cell r="F47">
            <v>0</v>
          </cell>
          <cell r="G47">
            <v>0</v>
          </cell>
          <cell r="H47">
            <v>0</v>
          </cell>
          <cell r="I47">
            <v>0</v>
          </cell>
        </row>
        <row r="47">
          <cell r="L47">
            <v>0</v>
          </cell>
          <cell r="M47">
            <v>0</v>
          </cell>
        </row>
        <row r="48">
          <cell r="D48">
            <v>16.5</v>
          </cell>
          <cell r="E48">
            <v>16.005</v>
          </cell>
          <cell r="F48">
            <v>16.005</v>
          </cell>
          <cell r="G48">
            <v>16.005</v>
          </cell>
          <cell r="H48">
            <v>16.005</v>
          </cell>
          <cell r="I48">
            <v>16.005</v>
          </cell>
        </row>
        <row r="48">
          <cell r="L48">
            <v>16.005</v>
          </cell>
          <cell r="M48">
            <v>16.005</v>
          </cell>
        </row>
        <row r="50">
          <cell r="D50">
            <v>1041067.5</v>
          </cell>
          <cell r="E50">
            <v>1009835.475</v>
          </cell>
          <cell r="F50">
            <v>1040130.53925</v>
          </cell>
          <cell r="G50">
            <v>1071334.4554275</v>
          </cell>
          <cell r="H50">
            <v>1103474.48909033</v>
          </cell>
          <cell r="I50">
            <v>1136578.72376304</v>
          </cell>
          <cell r="J50">
            <v>5361353.68253086</v>
          </cell>
        </row>
        <row r="50">
          <cell r="L50">
            <v>1170676.08547593</v>
          </cell>
          <cell r="M50">
            <v>1205796.3680402</v>
          </cell>
          <cell r="N50">
            <v>7737826.13604699</v>
          </cell>
        </row>
        <row r="51">
          <cell r="D51">
            <v>173712</v>
          </cell>
          <cell r="E51">
            <v>168500.64</v>
          </cell>
          <cell r="F51">
            <v>173555.6592</v>
          </cell>
          <cell r="G51">
            <v>178762.328976</v>
          </cell>
          <cell r="H51">
            <v>184125.19884528</v>
          </cell>
          <cell r="I51">
            <v>189648.954810638</v>
          </cell>
          <cell r="J51">
            <v>894592.781831919</v>
          </cell>
        </row>
        <row r="51">
          <cell r="L51">
            <v>195338.423454958</v>
          </cell>
          <cell r="M51">
            <v>201198.576158606</v>
          </cell>
          <cell r="N51">
            <v>1291129.78144548</v>
          </cell>
        </row>
        <row r="52">
          <cell r="D52">
            <v>0</v>
          </cell>
          <cell r="E52">
            <v>0</v>
          </cell>
          <cell r="F52">
            <v>0</v>
          </cell>
          <cell r="G52">
            <v>0</v>
          </cell>
          <cell r="H52">
            <v>0</v>
          </cell>
          <cell r="I52">
            <v>0</v>
          </cell>
          <cell r="J52">
            <v>0</v>
          </cell>
        </row>
        <row r="52">
          <cell r="L52">
            <v>0</v>
          </cell>
          <cell r="M52">
            <v>0</v>
          </cell>
          <cell r="N52">
            <v>0</v>
          </cell>
        </row>
        <row r="53">
          <cell r="D53">
            <v>0</v>
          </cell>
          <cell r="E53">
            <v>0</v>
          </cell>
          <cell r="F53">
            <v>0</v>
          </cell>
          <cell r="G53">
            <v>0</v>
          </cell>
          <cell r="H53">
            <v>0</v>
          </cell>
          <cell r="I53">
            <v>0</v>
          </cell>
          <cell r="J53">
            <v>0</v>
          </cell>
        </row>
        <row r="53">
          <cell r="L53">
            <v>0</v>
          </cell>
          <cell r="M53">
            <v>0</v>
          </cell>
          <cell r="N53">
            <v>0</v>
          </cell>
        </row>
        <row r="54">
          <cell r="D54">
            <v>792</v>
          </cell>
          <cell r="E54">
            <v>768.24</v>
          </cell>
          <cell r="F54">
            <v>791.2872</v>
          </cell>
          <cell r="G54">
            <v>815.025816</v>
          </cell>
          <cell r="H54">
            <v>839.47659048</v>
          </cell>
          <cell r="I54">
            <v>864.6608881944</v>
          </cell>
          <cell r="J54">
            <v>4078.6904946744</v>
          </cell>
        </row>
        <row r="54">
          <cell r="L54">
            <v>890.600714840232</v>
          </cell>
          <cell r="M54">
            <v>917.318736285439</v>
          </cell>
          <cell r="N54">
            <v>5886.60994580007</v>
          </cell>
        </row>
        <row r="55">
          <cell r="D55">
            <v>0</v>
          </cell>
          <cell r="E55">
            <v>0</v>
          </cell>
          <cell r="F55">
            <v>0</v>
          </cell>
          <cell r="G55">
            <v>0</v>
          </cell>
          <cell r="H55">
            <v>0</v>
          </cell>
          <cell r="I55">
            <v>0</v>
          </cell>
          <cell r="J55">
            <v>0</v>
          </cell>
        </row>
        <row r="55">
          <cell r="L55">
            <v>0</v>
          </cell>
          <cell r="M55">
            <v>0</v>
          </cell>
          <cell r="N55">
            <v>0</v>
          </cell>
        </row>
        <row r="56">
          <cell r="D56">
            <v>1215571.5</v>
          </cell>
          <cell r="E56">
            <v>1179104.355</v>
          </cell>
          <cell r="F56">
            <v>1214477.48565</v>
          </cell>
          <cell r="G56">
            <v>1250911.8102195</v>
          </cell>
          <cell r="H56">
            <v>1288439.16452609</v>
          </cell>
          <cell r="I56">
            <v>1327092.33946187</v>
          </cell>
          <cell r="J56">
            <v>6260025.15485745</v>
          </cell>
        </row>
        <row r="56">
          <cell r="L56">
            <v>1366905.10964572</v>
          </cell>
          <cell r="M56">
            <v>1407912.2629351</v>
          </cell>
          <cell r="N56">
            <v>9034842.52743827</v>
          </cell>
        </row>
        <row r="57">
          <cell r="D57">
            <v>8052</v>
          </cell>
          <cell r="E57">
            <v>7649.4</v>
          </cell>
          <cell r="F57">
            <v>7878.882</v>
          </cell>
          <cell r="G57">
            <v>8115.24846</v>
          </cell>
          <cell r="H57">
            <v>8358.7059138</v>
          </cell>
          <cell r="I57">
            <v>8609.467091214</v>
          </cell>
          <cell r="J57">
            <v>40611.703465014</v>
          </cell>
        </row>
        <row r="57">
          <cell r="L57">
            <v>8867.75110395042</v>
          </cell>
          <cell r="M57">
            <v>9133.78363706893</v>
          </cell>
          <cell r="N57">
            <v>58613.2382060334</v>
          </cell>
        </row>
        <row r="58">
          <cell r="D58">
            <v>0</v>
          </cell>
          <cell r="E58">
            <v>0</v>
          </cell>
          <cell r="F58">
            <v>0</v>
          </cell>
          <cell r="G58">
            <v>0</v>
          </cell>
          <cell r="H58">
            <v>0</v>
          </cell>
          <cell r="I58">
            <v>0</v>
          </cell>
          <cell r="J58">
            <v>0</v>
          </cell>
        </row>
        <row r="58">
          <cell r="L58">
            <v>0</v>
          </cell>
          <cell r="M58">
            <v>0</v>
          </cell>
          <cell r="N58">
            <v>0</v>
          </cell>
        </row>
        <row r="59">
          <cell r="D59">
            <v>0</v>
          </cell>
          <cell r="E59">
            <v>0</v>
          </cell>
          <cell r="F59">
            <v>0</v>
          </cell>
          <cell r="G59">
            <v>0</v>
          </cell>
          <cell r="H59">
            <v>0</v>
          </cell>
          <cell r="I59">
            <v>0</v>
          </cell>
          <cell r="J59">
            <v>0</v>
          </cell>
        </row>
        <row r="59">
          <cell r="L59">
            <v>0</v>
          </cell>
          <cell r="M59">
            <v>0</v>
          </cell>
          <cell r="N59">
            <v>0</v>
          </cell>
        </row>
        <row r="60">
          <cell r="D60">
            <v>5313</v>
          </cell>
          <cell r="E60">
            <v>5472.39</v>
          </cell>
          <cell r="F60">
            <v>5636.5617</v>
          </cell>
          <cell r="G60">
            <v>5805.658551</v>
          </cell>
          <cell r="H60">
            <v>5979.82830753</v>
          </cell>
          <cell r="I60">
            <v>6159.2231567559</v>
          </cell>
          <cell r="J60">
            <v>29053.6617152859</v>
          </cell>
        </row>
        <row r="60">
          <cell r="L60">
            <v>6343.99985145858</v>
          </cell>
          <cell r="M60">
            <v>6534.31984700234</v>
          </cell>
          <cell r="N60">
            <v>41931.9814137468</v>
          </cell>
        </row>
        <row r="61">
          <cell r="D61">
            <v>0</v>
          </cell>
          <cell r="E61">
            <v>0</v>
          </cell>
          <cell r="F61">
            <v>0</v>
          </cell>
          <cell r="G61">
            <v>0</v>
          </cell>
          <cell r="H61">
            <v>0</v>
          </cell>
          <cell r="I61">
            <v>0</v>
          </cell>
          <cell r="J61">
            <v>0</v>
          </cell>
        </row>
        <row r="61">
          <cell r="L61">
            <v>0</v>
          </cell>
          <cell r="M61">
            <v>0</v>
          </cell>
          <cell r="N61">
            <v>0</v>
          </cell>
        </row>
        <row r="62">
          <cell r="D62">
            <v>0</v>
          </cell>
          <cell r="E62">
            <v>0</v>
          </cell>
          <cell r="F62">
            <v>0</v>
          </cell>
          <cell r="G62">
            <v>0</v>
          </cell>
          <cell r="H62">
            <v>0</v>
          </cell>
          <cell r="I62">
            <v>0</v>
          </cell>
          <cell r="J62">
            <v>0</v>
          </cell>
        </row>
        <row r="62">
          <cell r="L62">
            <v>0</v>
          </cell>
          <cell r="M62">
            <v>0</v>
          </cell>
          <cell r="N62">
            <v>0</v>
          </cell>
        </row>
        <row r="63">
          <cell r="D63">
            <v>0</v>
          </cell>
          <cell r="E63">
            <v>0</v>
          </cell>
          <cell r="F63">
            <v>0</v>
          </cell>
          <cell r="G63">
            <v>0</v>
          </cell>
          <cell r="H63">
            <v>0</v>
          </cell>
          <cell r="I63">
            <v>0</v>
          </cell>
          <cell r="J63">
            <v>0</v>
          </cell>
        </row>
        <row r="63">
          <cell r="L63">
            <v>0</v>
          </cell>
          <cell r="M63">
            <v>0</v>
          </cell>
          <cell r="N63">
            <v>0</v>
          </cell>
        </row>
        <row r="64">
          <cell r="D64">
            <v>62254.5</v>
          </cell>
          <cell r="E64">
            <v>62254.5</v>
          </cell>
          <cell r="F64">
            <v>64122.135</v>
          </cell>
          <cell r="G64">
            <v>66045.79905</v>
          </cell>
          <cell r="H64">
            <v>68027.1730215</v>
          </cell>
          <cell r="I64">
            <v>70067.988212145</v>
          </cell>
          <cell r="J64">
            <v>330517.595283645</v>
          </cell>
        </row>
        <row r="64">
          <cell r="L64">
            <v>72170.0278585094</v>
          </cell>
          <cell r="M64">
            <v>74335.1286942647</v>
          </cell>
          <cell r="N64">
            <v>477022.751836419</v>
          </cell>
        </row>
        <row r="65">
          <cell r="D65">
            <v>75619.5</v>
          </cell>
          <cell r="E65">
            <v>75376.29</v>
          </cell>
          <cell r="F65">
            <v>77637.5787</v>
          </cell>
          <cell r="G65">
            <v>79966.706061</v>
          </cell>
          <cell r="H65">
            <v>82365.70724283</v>
          </cell>
          <cell r="I65">
            <v>84836.6784601149</v>
          </cell>
          <cell r="J65">
            <v>400182.960463945</v>
          </cell>
        </row>
        <row r="65">
          <cell r="L65">
            <v>87381.7788139184</v>
          </cell>
          <cell r="M65">
            <v>90003.2321783359</v>
          </cell>
          <cell r="N65">
            <v>577567.971456199</v>
          </cell>
        </row>
        <row r="66">
          <cell r="D66">
            <v>9091.5</v>
          </cell>
          <cell r="E66">
            <v>8546.01</v>
          </cell>
          <cell r="F66">
            <v>8802.3903</v>
          </cell>
          <cell r="G66">
            <v>9066.462009</v>
          </cell>
          <cell r="H66">
            <v>9338.45586927</v>
          </cell>
          <cell r="I66">
            <v>9618.6095453481</v>
          </cell>
          <cell r="J66">
            <v>45371.9277236181</v>
          </cell>
        </row>
        <row r="66">
          <cell r="L66">
            <v>9907.16783170854</v>
          </cell>
          <cell r="M66">
            <v>10204.3828666598</v>
          </cell>
          <cell r="N66">
            <v>65483.4784219864</v>
          </cell>
        </row>
        <row r="67">
          <cell r="D67">
            <v>7771.5</v>
          </cell>
          <cell r="E67">
            <v>7771.5</v>
          </cell>
          <cell r="F67">
            <v>8004.645</v>
          </cell>
          <cell r="G67">
            <v>8244.78435</v>
          </cell>
          <cell r="H67">
            <v>8492.1278805</v>
          </cell>
          <cell r="I67">
            <v>8746.891716915</v>
          </cell>
          <cell r="J67">
            <v>41259.948947415</v>
          </cell>
        </row>
        <row r="67">
          <cell r="L67">
            <v>9009.29846842245</v>
          </cell>
          <cell r="M67">
            <v>9279.57742247512</v>
          </cell>
          <cell r="N67">
            <v>59548.8248383126</v>
          </cell>
        </row>
        <row r="68">
          <cell r="D68">
            <v>69135</v>
          </cell>
          <cell r="E68">
            <v>67060.95</v>
          </cell>
          <cell r="F68">
            <v>69072.7785</v>
          </cell>
          <cell r="G68">
            <v>71144.961855</v>
          </cell>
          <cell r="H68">
            <v>73279.31071065</v>
          </cell>
          <cell r="I68">
            <v>75477.6900319695</v>
          </cell>
          <cell r="J68">
            <v>356035.69109762</v>
          </cell>
        </row>
        <row r="68">
          <cell r="L68">
            <v>77742.0207329286</v>
          </cell>
          <cell r="M68">
            <v>80074.2813549165</v>
          </cell>
          <cell r="N68">
            <v>513851.993185465</v>
          </cell>
        </row>
        <row r="69">
          <cell r="D69">
            <v>0</v>
          </cell>
          <cell r="E69">
            <v>0</v>
          </cell>
          <cell r="F69">
            <v>0</v>
          </cell>
          <cell r="G69">
            <v>0</v>
          </cell>
          <cell r="H69">
            <v>0</v>
          </cell>
          <cell r="I69">
            <v>0</v>
          </cell>
          <cell r="J69">
            <v>0</v>
          </cell>
        </row>
        <row r="69">
          <cell r="L69">
            <v>0</v>
          </cell>
          <cell r="M69">
            <v>0</v>
          </cell>
          <cell r="N69">
            <v>0</v>
          </cell>
        </row>
        <row r="70">
          <cell r="D70">
            <v>1798.5</v>
          </cell>
          <cell r="E70">
            <v>1798.5</v>
          </cell>
          <cell r="F70">
            <v>1852.455</v>
          </cell>
          <cell r="G70">
            <v>1908.02865</v>
          </cell>
          <cell r="H70">
            <v>1965.2695095</v>
          </cell>
          <cell r="I70">
            <v>2024.227594785</v>
          </cell>
          <cell r="J70">
            <v>9548.480754285</v>
          </cell>
        </row>
        <row r="70">
          <cell r="L70">
            <v>2084.95442262855</v>
          </cell>
          <cell r="M70">
            <v>2147.50305530741</v>
          </cell>
          <cell r="N70">
            <v>13780.938232221</v>
          </cell>
        </row>
        <row r="71">
          <cell r="D71">
            <v>0</v>
          </cell>
          <cell r="E71">
            <v>0</v>
          </cell>
          <cell r="F71">
            <v>0</v>
          </cell>
          <cell r="G71">
            <v>0</v>
          </cell>
          <cell r="H71">
            <v>0</v>
          </cell>
          <cell r="I71">
            <v>0</v>
          </cell>
          <cell r="J71">
            <v>0</v>
          </cell>
        </row>
        <row r="71">
          <cell r="L71">
            <v>0</v>
          </cell>
          <cell r="M71">
            <v>0</v>
          </cell>
          <cell r="N71">
            <v>0</v>
          </cell>
        </row>
        <row r="72">
          <cell r="D72">
            <v>0</v>
          </cell>
          <cell r="E72">
            <v>0</v>
          </cell>
          <cell r="F72">
            <v>0</v>
          </cell>
          <cell r="G72">
            <v>0</v>
          </cell>
          <cell r="H72">
            <v>0</v>
          </cell>
          <cell r="I72">
            <v>0</v>
          </cell>
          <cell r="J72">
            <v>0</v>
          </cell>
        </row>
        <row r="72">
          <cell r="L72">
            <v>0</v>
          </cell>
          <cell r="M72">
            <v>0</v>
          </cell>
          <cell r="N72">
            <v>0</v>
          </cell>
        </row>
        <row r="73">
          <cell r="D73">
            <v>1485</v>
          </cell>
          <cell r="E73">
            <v>1485</v>
          </cell>
          <cell r="F73">
            <v>1529.55</v>
          </cell>
          <cell r="G73">
            <v>1575.4365</v>
          </cell>
          <cell r="H73">
            <v>1622.699595</v>
          </cell>
          <cell r="I73">
            <v>1671.38058285</v>
          </cell>
          <cell r="J73">
            <v>7884.06667785</v>
          </cell>
        </row>
        <row r="73">
          <cell r="L73">
            <v>1721.5220003355</v>
          </cell>
          <cell r="M73">
            <v>1773.16766034557</v>
          </cell>
          <cell r="N73">
            <v>11378.7563385311</v>
          </cell>
        </row>
        <row r="74">
          <cell r="D74">
            <v>89281.5</v>
          </cell>
          <cell r="E74">
            <v>86661.96</v>
          </cell>
          <cell r="F74">
            <v>89261.8188</v>
          </cell>
          <cell r="G74">
            <v>91939.673364</v>
          </cell>
          <cell r="H74">
            <v>94697.86356492</v>
          </cell>
          <cell r="I74">
            <v>97538.7994718676</v>
          </cell>
          <cell r="J74">
            <v>460100.115200788</v>
          </cell>
        </row>
        <row r="74">
          <cell r="L74">
            <v>100464.963456024</v>
          </cell>
          <cell r="M74">
            <v>103478.912359704</v>
          </cell>
          <cell r="N74">
            <v>664043.991016516</v>
          </cell>
        </row>
        <row r="75">
          <cell r="D75">
            <v>1380472.5</v>
          </cell>
          <cell r="E75">
            <v>1341142.605</v>
          </cell>
          <cell r="F75">
            <v>1381376.88315</v>
          </cell>
          <cell r="G75">
            <v>1422818.1896445</v>
          </cell>
          <cell r="H75">
            <v>1465502.73533384</v>
          </cell>
          <cell r="I75">
            <v>1509467.81739385</v>
          </cell>
          <cell r="J75">
            <v>7120308.23052219</v>
          </cell>
        </row>
        <row r="75">
          <cell r="L75">
            <v>1554751.85191567</v>
          </cell>
          <cell r="M75">
            <v>1601394.40747314</v>
          </cell>
          <cell r="N75">
            <v>10276454.489911</v>
          </cell>
        </row>
        <row r="76">
          <cell r="D76">
            <v>0</v>
          </cell>
          <cell r="E76">
            <v>0</v>
          </cell>
          <cell r="F76">
            <v>0</v>
          </cell>
          <cell r="G76">
            <v>0</v>
          </cell>
          <cell r="H76">
            <v>0</v>
          </cell>
          <cell r="I76">
            <v>0</v>
          </cell>
          <cell r="J76">
            <v>0</v>
          </cell>
        </row>
        <row r="76">
          <cell r="L76">
            <v>0</v>
          </cell>
          <cell r="M76">
            <v>0</v>
          </cell>
          <cell r="N76">
            <v>0</v>
          </cell>
        </row>
        <row r="77">
          <cell r="D77">
            <v>1380472.5</v>
          </cell>
          <cell r="E77">
            <v>1341142.605</v>
          </cell>
          <cell r="F77">
            <v>1381376.88315</v>
          </cell>
          <cell r="G77">
            <v>1422818.1896445</v>
          </cell>
          <cell r="H77">
            <v>1465502.73533384</v>
          </cell>
          <cell r="I77">
            <v>1509467.81739385</v>
          </cell>
          <cell r="J77">
            <v>7120308.23052219</v>
          </cell>
        </row>
        <row r="77">
          <cell r="L77">
            <v>1554751.85191567</v>
          </cell>
          <cell r="M77">
            <v>1601394.40747314</v>
          </cell>
          <cell r="N77">
            <v>10276454.489911</v>
          </cell>
        </row>
        <row r="79">
          <cell r="D79">
            <v>33528</v>
          </cell>
          <cell r="E79">
            <v>33528</v>
          </cell>
          <cell r="F79">
            <v>34533.84</v>
          </cell>
          <cell r="G79">
            <v>35569.8552</v>
          </cell>
          <cell r="H79">
            <v>36636.950856</v>
          </cell>
          <cell r="I79">
            <v>37736.05938168</v>
          </cell>
          <cell r="J79">
            <v>178004.70543768</v>
          </cell>
        </row>
        <row r="79">
          <cell r="L79">
            <v>38868.1411631304</v>
          </cell>
          <cell r="M79">
            <v>40034.1853980243</v>
          </cell>
          <cell r="N79">
            <v>256907.031998835</v>
          </cell>
        </row>
        <row r="80">
          <cell r="D80">
            <v>0</v>
          </cell>
          <cell r="E80">
            <v>0</v>
          </cell>
          <cell r="F80">
            <v>0</v>
          </cell>
          <cell r="G80">
            <v>0</v>
          </cell>
          <cell r="H80">
            <v>0</v>
          </cell>
          <cell r="I80">
            <v>0</v>
          </cell>
          <cell r="J80">
            <v>0</v>
          </cell>
        </row>
        <row r="80">
          <cell r="L80">
            <v>0</v>
          </cell>
          <cell r="M80">
            <v>0</v>
          </cell>
          <cell r="N80">
            <v>0</v>
          </cell>
        </row>
        <row r="81">
          <cell r="D81">
            <v>0</v>
          </cell>
          <cell r="E81">
            <v>0</v>
          </cell>
          <cell r="F81">
            <v>0</v>
          </cell>
          <cell r="G81">
            <v>0</v>
          </cell>
          <cell r="H81">
            <v>0</v>
          </cell>
          <cell r="I81">
            <v>0</v>
          </cell>
          <cell r="J81">
            <v>0</v>
          </cell>
        </row>
        <row r="81">
          <cell r="L81">
            <v>0</v>
          </cell>
          <cell r="M81">
            <v>0</v>
          </cell>
          <cell r="N81">
            <v>0</v>
          </cell>
        </row>
        <row r="82">
          <cell r="D82">
            <v>36580.5</v>
          </cell>
          <cell r="E82">
            <v>36580.5</v>
          </cell>
          <cell r="F82">
            <v>37677.915</v>
          </cell>
          <cell r="G82">
            <v>38808.25245</v>
          </cell>
          <cell r="H82">
            <v>39972.5000235</v>
          </cell>
          <cell r="I82">
            <v>41171.675024205</v>
          </cell>
          <cell r="J82">
            <v>194210.842497705</v>
          </cell>
        </row>
        <row r="82">
          <cell r="L82">
            <v>42406.8252749312</v>
          </cell>
          <cell r="M82">
            <v>43679.0300331791</v>
          </cell>
          <cell r="N82">
            <v>280296.697805815</v>
          </cell>
        </row>
        <row r="83">
          <cell r="D83">
            <v>70108.5</v>
          </cell>
          <cell r="E83">
            <v>70108.5</v>
          </cell>
          <cell r="F83">
            <v>72211.755</v>
          </cell>
          <cell r="G83">
            <v>74378.10765</v>
          </cell>
          <cell r="H83">
            <v>76609.4508795</v>
          </cell>
          <cell r="I83">
            <v>78907.734405885</v>
          </cell>
          <cell r="J83">
            <v>372215.547935385</v>
          </cell>
        </row>
        <row r="83">
          <cell r="L83">
            <v>81274.9664380616</v>
          </cell>
          <cell r="M83">
            <v>83713.2154312034</v>
          </cell>
          <cell r="N83">
            <v>537203.72980465</v>
          </cell>
        </row>
        <row r="85">
          <cell r="D85">
            <v>1450581</v>
          </cell>
          <cell r="E85">
            <v>1411251.105</v>
          </cell>
          <cell r="F85">
            <v>1453588.63815</v>
          </cell>
          <cell r="G85">
            <v>1497196.2972945</v>
          </cell>
          <cell r="H85">
            <v>1542112.18621334</v>
          </cell>
          <cell r="I85">
            <v>1588375.55179974</v>
          </cell>
          <cell r="J85">
            <v>7492523.77845757</v>
          </cell>
        </row>
        <row r="85">
          <cell r="L85">
            <v>1636026.81835373</v>
          </cell>
          <cell r="M85">
            <v>1685107.62290434</v>
          </cell>
          <cell r="N85">
            <v>10813658.2197156</v>
          </cell>
        </row>
        <row r="89">
          <cell r="D89" t="str">
            <v>BASE YEAR</v>
          </cell>
          <cell r="E89" t="str">
            <v>YEAR 1</v>
          </cell>
          <cell r="F89" t="str">
            <v>YEAR 2</v>
          </cell>
          <cell r="G89" t="str">
            <v>YEAR 3</v>
          </cell>
          <cell r="H89" t="str">
            <v>YEAR 4</v>
          </cell>
          <cell r="I89" t="str">
            <v xml:space="preserve">YEAR 5 </v>
          </cell>
          <cell r="J89" t="str">
            <v>5 Year Total</v>
          </cell>
        </row>
        <row r="89">
          <cell r="L89" t="str">
            <v>5 YEAR + 1</v>
          </cell>
          <cell r="M89" t="str">
            <v>5 YEAR + 2</v>
          </cell>
          <cell r="N89" t="str">
            <v>7 Year Total</v>
          </cell>
        </row>
        <row r="90">
          <cell r="D90">
            <v>3.3</v>
          </cell>
          <cell r="E90">
            <v>3.201</v>
          </cell>
          <cell r="F90">
            <v>3.201</v>
          </cell>
          <cell r="G90">
            <v>3.201</v>
          </cell>
          <cell r="H90">
            <v>3.201</v>
          </cell>
          <cell r="I90">
            <v>3.201</v>
          </cell>
        </row>
        <row r="90">
          <cell r="L90">
            <v>3.201</v>
          </cell>
          <cell r="M90">
            <v>3.201</v>
          </cell>
        </row>
        <row r="91">
          <cell r="D91">
            <v>3</v>
          </cell>
          <cell r="E91">
            <v>2.91</v>
          </cell>
          <cell r="F91">
            <v>2.91</v>
          </cell>
          <cell r="G91">
            <v>2.91</v>
          </cell>
          <cell r="H91">
            <v>2.91</v>
          </cell>
          <cell r="I91">
            <v>2.91</v>
          </cell>
        </row>
        <row r="91">
          <cell r="L91">
            <v>2.91</v>
          </cell>
          <cell r="M91">
            <v>2.91</v>
          </cell>
        </row>
        <row r="92">
          <cell r="D92">
            <v>6.3</v>
          </cell>
          <cell r="E92">
            <v>6.111</v>
          </cell>
          <cell r="F92">
            <v>6.111</v>
          </cell>
          <cell r="G92">
            <v>6.111</v>
          </cell>
          <cell r="H92">
            <v>6.111</v>
          </cell>
          <cell r="I92">
            <v>6.111</v>
          </cell>
        </row>
        <row r="92">
          <cell r="L92">
            <v>6.111</v>
          </cell>
          <cell r="M92">
            <v>6.111</v>
          </cell>
        </row>
        <row r="94">
          <cell r="D94">
            <v>187793.1</v>
          </cell>
          <cell r="E94">
            <v>182159.307</v>
          </cell>
          <cell r="F94">
            <v>187624.08621</v>
          </cell>
          <cell r="G94">
            <v>193252.8087963</v>
          </cell>
          <cell r="H94">
            <v>199050.393060189</v>
          </cell>
          <cell r="I94">
            <v>205021.904851995</v>
          </cell>
          <cell r="J94">
            <v>967108.499918484</v>
          </cell>
        </row>
        <row r="94">
          <cell r="L94">
            <v>211172.561997555</v>
          </cell>
          <cell r="M94">
            <v>217507.738857481</v>
          </cell>
          <cell r="N94">
            <v>1395788.80077352</v>
          </cell>
        </row>
        <row r="95">
          <cell r="D95">
            <v>27188.9</v>
          </cell>
          <cell r="E95">
            <v>26373.233</v>
          </cell>
          <cell r="F95">
            <v>27164.42999</v>
          </cell>
          <cell r="G95">
            <v>27979.3628897</v>
          </cell>
          <cell r="H95">
            <v>28818.743776391</v>
          </cell>
          <cell r="I95">
            <v>29683.3060896827</v>
          </cell>
          <cell r="J95">
            <v>140019.075745774</v>
          </cell>
        </row>
        <row r="95">
          <cell r="L95">
            <v>30573.8052723732</v>
          </cell>
          <cell r="M95">
            <v>31491.0194305444</v>
          </cell>
          <cell r="N95">
            <v>202083.900448691</v>
          </cell>
        </row>
        <row r="96">
          <cell r="D96">
            <v>252920</v>
          </cell>
          <cell r="E96">
            <v>250239.048</v>
          </cell>
          <cell r="F96">
            <v>257746.21944</v>
          </cell>
          <cell r="G96">
            <v>265478.6060232</v>
          </cell>
          <cell r="H96">
            <v>273442.964203896</v>
          </cell>
          <cell r="I96">
            <v>281646.253130013</v>
          </cell>
          <cell r="J96">
            <v>1328553.09079711</v>
          </cell>
        </row>
        <row r="96">
          <cell r="L96">
            <v>290095.640723913</v>
          </cell>
          <cell r="M96">
            <v>298798.509945631</v>
          </cell>
          <cell r="N96">
            <v>1917447.24146665</v>
          </cell>
        </row>
        <row r="97">
          <cell r="D97">
            <v>0</v>
          </cell>
          <cell r="E97">
            <v>0</v>
          </cell>
          <cell r="F97">
            <v>0</v>
          </cell>
          <cell r="G97">
            <v>0</v>
          </cell>
          <cell r="H97">
            <v>0</v>
          </cell>
          <cell r="I97">
            <v>0</v>
          </cell>
          <cell r="J97">
            <v>0</v>
          </cell>
        </row>
        <row r="97">
          <cell r="L97">
            <v>0</v>
          </cell>
          <cell r="M97">
            <v>0</v>
          </cell>
          <cell r="N97">
            <v>0</v>
          </cell>
        </row>
        <row r="98">
          <cell r="D98">
            <v>5058.4</v>
          </cell>
          <cell r="E98">
            <v>4906.648</v>
          </cell>
          <cell r="F98">
            <v>5053.84744</v>
          </cell>
          <cell r="G98">
            <v>5205.4628632</v>
          </cell>
          <cell r="H98">
            <v>5361.626749096</v>
          </cell>
          <cell r="I98">
            <v>5522.47555156888</v>
          </cell>
          <cell r="J98">
            <v>26050.0606038649</v>
          </cell>
        </row>
        <row r="98">
          <cell r="L98">
            <v>5688.14981811595</v>
          </cell>
          <cell r="M98">
            <v>5858.79431265943</v>
          </cell>
          <cell r="N98">
            <v>37597.0047346403</v>
          </cell>
        </row>
        <row r="99">
          <cell r="D99">
            <v>37305.7</v>
          </cell>
          <cell r="E99">
            <v>36186.529</v>
          </cell>
          <cell r="F99">
            <v>37272.12487</v>
          </cell>
          <cell r="G99">
            <v>38390.2886161</v>
          </cell>
          <cell r="H99">
            <v>39541.997274583</v>
          </cell>
          <cell r="I99">
            <v>40728.2571928205</v>
          </cell>
          <cell r="J99">
            <v>192119.196953503</v>
          </cell>
        </row>
        <row r="99">
          <cell r="L99">
            <v>41950.1049086051</v>
          </cell>
          <cell r="M99">
            <v>43208.6080558633</v>
          </cell>
          <cell r="N99">
            <v>277277.909917972</v>
          </cell>
        </row>
        <row r="100">
          <cell r="D100">
            <v>510266.1</v>
          </cell>
          <cell r="E100">
            <v>499864.765</v>
          </cell>
          <cell r="F100">
            <v>514860.70795</v>
          </cell>
          <cell r="G100">
            <v>530306.5291885</v>
          </cell>
          <cell r="H100">
            <v>546215.725064155</v>
          </cell>
          <cell r="I100">
            <v>562602.19681608</v>
          </cell>
          <cell r="J100">
            <v>2653849.92401873</v>
          </cell>
        </row>
        <row r="100">
          <cell r="L100">
            <v>579480.262720562</v>
          </cell>
          <cell r="M100">
            <v>596864.670602179</v>
          </cell>
          <cell r="N100">
            <v>3830194.85734148</v>
          </cell>
        </row>
        <row r="101">
          <cell r="D101">
            <v>13278.3</v>
          </cell>
          <cell r="E101">
            <v>12866.6727</v>
          </cell>
          <cell r="F101">
            <v>13252.672881</v>
          </cell>
          <cell r="G101">
            <v>13650.25306743</v>
          </cell>
          <cell r="H101">
            <v>14059.7606594529</v>
          </cell>
          <cell r="I101">
            <v>14481.5534792365</v>
          </cell>
          <cell r="J101">
            <v>68310.9127871194</v>
          </cell>
        </row>
        <row r="101">
          <cell r="L101">
            <v>14916.0000836136</v>
          </cell>
          <cell r="M101">
            <v>15363.480086122</v>
          </cell>
          <cell r="N101">
            <v>98590.392956855</v>
          </cell>
        </row>
        <row r="102">
          <cell r="D102">
            <v>0</v>
          </cell>
          <cell r="E102">
            <v>0</v>
          </cell>
          <cell r="F102">
            <v>0</v>
          </cell>
          <cell r="G102">
            <v>0</v>
          </cell>
          <cell r="H102">
            <v>0</v>
          </cell>
          <cell r="I102">
            <v>0</v>
          </cell>
          <cell r="J102">
            <v>0</v>
          </cell>
        </row>
        <row r="102">
          <cell r="L102">
            <v>0</v>
          </cell>
          <cell r="M102">
            <v>0</v>
          </cell>
          <cell r="N102">
            <v>0</v>
          </cell>
        </row>
        <row r="103">
          <cell r="D103">
            <v>8852.2</v>
          </cell>
          <cell r="E103">
            <v>9300.12132</v>
          </cell>
          <cell r="F103">
            <v>9579.1249596</v>
          </cell>
          <cell r="G103">
            <v>9866.498708388</v>
          </cell>
          <cell r="H103">
            <v>10162.4936696396</v>
          </cell>
          <cell r="I103">
            <v>10467.3684797288</v>
          </cell>
          <cell r="J103">
            <v>49375.6071373565</v>
          </cell>
        </row>
        <row r="103">
          <cell r="L103">
            <v>10781.3895341207</v>
          </cell>
          <cell r="M103">
            <v>11104.8312201443</v>
          </cell>
          <cell r="N103">
            <v>71261.8278916215</v>
          </cell>
        </row>
        <row r="104">
          <cell r="D104">
            <v>0</v>
          </cell>
          <cell r="E104">
            <v>0</v>
          </cell>
          <cell r="F104">
            <v>0</v>
          </cell>
          <cell r="G104">
            <v>0</v>
          </cell>
          <cell r="H104">
            <v>0</v>
          </cell>
          <cell r="I104">
            <v>0</v>
          </cell>
          <cell r="J104">
            <v>0</v>
          </cell>
        </row>
        <row r="104">
          <cell r="L104">
            <v>0</v>
          </cell>
          <cell r="M104">
            <v>0</v>
          </cell>
          <cell r="N104">
            <v>0</v>
          </cell>
        </row>
        <row r="105">
          <cell r="D105">
            <v>0</v>
          </cell>
          <cell r="E105">
            <v>0</v>
          </cell>
          <cell r="F105">
            <v>0</v>
          </cell>
          <cell r="G105">
            <v>0</v>
          </cell>
          <cell r="H105">
            <v>0</v>
          </cell>
          <cell r="I105">
            <v>0</v>
          </cell>
          <cell r="J105">
            <v>0</v>
          </cell>
        </row>
        <row r="105">
          <cell r="L105">
            <v>0</v>
          </cell>
          <cell r="M105">
            <v>0</v>
          </cell>
          <cell r="N105">
            <v>0</v>
          </cell>
        </row>
        <row r="106">
          <cell r="D106">
            <v>0</v>
          </cell>
          <cell r="E106">
            <v>0</v>
          </cell>
          <cell r="F106">
            <v>0</v>
          </cell>
          <cell r="G106">
            <v>0</v>
          </cell>
          <cell r="H106">
            <v>0</v>
          </cell>
          <cell r="I106">
            <v>0</v>
          </cell>
          <cell r="J106">
            <v>0</v>
          </cell>
        </row>
        <row r="106">
          <cell r="L106">
            <v>0</v>
          </cell>
          <cell r="M106">
            <v>0</v>
          </cell>
          <cell r="N106">
            <v>0</v>
          </cell>
        </row>
        <row r="107">
          <cell r="D107">
            <v>0</v>
          </cell>
          <cell r="E107">
            <v>0</v>
          </cell>
          <cell r="F107">
            <v>0</v>
          </cell>
          <cell r="G107">
            <v>0</v>
          </cell>
          <cell r="H107">
            <v>0</v>
          </cell>
          <cell r="I107">
            <v>0</v>
          </cell>
          <cell r="J107">
            <v>0</v>
          </cell>
        </row>
        <row r="107">
          <cell r="L107">
            <v>0</v>
          </cell>
          <cell r="M107">
            <v>0</v>
          </cell>
          <cell r="N107">
            <v>0</v>
          </cell>
        </row>
        <row r="108">
          <cell r="D108">
            <v>0</v>
          </cell>
          <cell r="E108">
            <v>0</v>
          </cell>
          <cell r="F108">
            <v>0</v>
          </cell>
          <cell r="G108">
            <v>0</v>
          </cell>
          <cell r="H108">
            <v>0</v>
          </cell>
          <cell r="I108">
            <v>0</v>
          </cell>
          <cell r="J108">
            <v>0</v>
          </cell>
        </row>
        <row r="108">
          <cell r="L108">
            <v>0</v>
          </cell>
          <cell r="M108">
            <v>0</v>
          </cell>
          <cell r="N108">
            <v>0</v>
          </cell>
        </row>
        <row r="109">
          <cell r="D109">
            <v>22130.5</v>
          </cell>
          <cell r="E109">
            <v>22166.79402</v>
          </cell>
          <cell r="F109">
            <v>22831.7978406</v>
          </cell>
          <cell r="G109">
            <v>23516.751775818</v>
          </cell>
          <cell r="H109">
            <v>24222.2543290925</v>
          </cell>
          <cell r="I109">
            <v>24948.9219589653</v>
          </cell>
          <cell r="J109">
            <v>117686.519924476</v>
          </cell>
        </row>
        <row r="109">
          <cell r="L109">
            <v>25697.3896177343</v>
          </cell>
          <cell r="M109">
            <v>26468.3113062663</v>
          </cell>
          <cell r="N109">
            <v>169852.220848476</v>
          </cell>
        </row>
        <row r="110">
          <cell r="D110">
            <v>13278.3</v>
          </cell>
          <cell r="E110">
            <v>12481.602</v>
          </cell>
          <cell r="F110">
            <v>12856.05006</v>
          </cell>
          <cell r="G110">
            <v>13241.7315618</v>
          </cell>
          <cell r="H110">
            <v>13638.983508654</v>
          </cell>
          <cell r="I110">
            <v>14048.1530139136</v>
          </cell>
          <cell r="J110">
            <v>66266.5201443676</v>
          </cell>
        </row>
        <row r="110">
          <cell r="L110">
            <v>14469.597604331</v>
          </cell>
          <cell r="M110">
            <v>14903.685532461</v>
          </cell>
          <cell r="N110">
            <v>95639.8032811596</v>
          </cell>
        </row>
        <row r="111">
          <cell r="D111">
            <v>8852.2</v>
          </cell>
          <cell r="E111">
            <v>8852.2</v>
          </cell>
          <cell r="F111">
            <v>9117.766</v>
          </cell>
          <cell r="G111">
            <v>9391.29898</v>
          </cell>
          <cell r="H111">
            <v>9673.0379494</v>
          </cell>
          <cell r="I111">
            <v>9963.229087882</v>
          </cell>
          <cell r="J111">
            <v>46997.532017282</v>
          </cell>
        </row>
        <row r="111">
          <cell r="L111">
            <v>10262.1259605185</v>
          </cell>
          <cell r="M111">
            <v>10569.989739334</v>
          </cell>
          <cell r="N111">
            <v>67829.6477171345</v>
          </cell>
        </row>
        <row r="112">
          <cell r="D112">
            <v>0</v>
          </cell>
          <cell r="E112">
            <v>0</v>
          </cell>
          <cell r="F112">
            <v>0</v>
          </cell>
          <cell r="G112">
            <v>0</v>
          </cell>
          <cell r="H112">
            <v>0</v>
          </cell>
          <cell r="I112">
            <v>0</v>
          </cell>
          <cell r="J112">
            <v>0</v>
          </cell>
        </row>
        <row r="112">
          <cell r="L112">
            <v>0</v>
          </cell>
          <cell r="M112">
            <v>0</v>
          </cell>
          <cell r="N112">
            <v>0</v>
          </cell>
        </row>
        <row r="113">
          <cell r="D113">
            <v>0</v>
          </cell>
          <cell r="E113">
            <v>0</v>
          </cell>
          <cell r="F113">
            <v>0</v>
          </cell>
          <cell r="G113">
            <v>0</v>
          </cell>
          <cell r="H113">
            <v>0</v>
          </cell>
          <cell r="I113">
            <v>0</v>
          </cell>
          <cell r="J113">
            <v>0</v>
          </cell>
        </row>
        <row r="113">
          <cell r="L113">
            <v>0</v>
          </cell>
          <cell r="M113">
            <v>0</v>
          </cell>
          <cell r="N113">
            <v>0</v>
          </cell>
        </row>
        <row r="114">
          <cell r="D114">
            <v>0</v>
          </cell>
          <cell r="E114">
            <v>0</v>
          </cell>
          <cell r="F114">
            <v>0</v>
          </cell>
          <cell r="G114">
            <v>0</v>
          </cell>
          <cell r="H114">
            <v>0</v>
          </cell>
          <cell r="I114">
            <v>0</v>
          </cell>
          <cell r="J114">
            <v>0</v>
          </cell>
        </row>
        <row r="114">
          <cell r="L114">
            <v>0</v>
          </cell>
          <cell r="M114">
            <v>0</v>
          </cell>
          <cell r="N114">
            <v>0</v>
          </cell>
        </row>
        <row r="115">
          <cell r="D115">
            <v>0</v>
          </cell>
          <cell r="E115">
            <v>0</v>
          </cell>
          <cell r="F115">
            <v>0</v>
          </cell>
          <cell r="G115">
            <v>0</v>
          </cell>
          <cell r="H115">
            <v>0</v>
          </cell>
          <cell r="I115">
            <v>0</v>
          </cell>
          <cell r="J115">
            <v>0</v>
          </cell>
        </row>
        <row r="115">
          <cell r="L115">
            <v>0</v>
          </cell>
          <cell r="M115">
            <v>0</v>
          </cell>
          <cell r="N115">
            <v>0</v>
          </cell>
        </row>
        <row r="116">
          <cell r="D116">
            <v>0</v>
          </cell>
          <cell r="E116">
            <v>0</v>
          </cell>
          <cell r="F116">
            <v>0</v>
          </cell>
          <cell r="G116">
            <v>0</v>
          </cell>
          <cell r="H116">
            <v>0</v>
          </cell>
          <cell r="I116">
            <v>0</v>
          </cell>
          <cell r="J116">
            <v>0</v>
          </cell>
        </row>
        <row r="116">
          <cell r="L116">
            <v>0</v>
          </cell>
          <cell r="M116">
            <v>0</v>
          </cell>
          <cell r="N116">
            <v>0</v>
          </cell>
        </row>
        <row r="117">
          <cell r="D117">
            <v>0</v>
          </cell>
          <cell r="E117">
            <v>0</v>
          </cell>
          <cell r="F117">
            <v>0</v>
          </cell>
          <cell r="G117">
            <v>0</v>
          </cell>
          <cell r="H117">
            <v>0</v>
          </cell>
          <cell r="I117">
            <v>0</v>
          </cell>
          <cell r="J117">
            <v>0</v>
          </cell>
        </row>
        <row r="117">
          <cell r="L117">
            <v>0</v>
          </cell>
          <cell r="M117">
            <v>0</v>
          </cell>
          <cell r="N117">
            <v>0</v>
          </cell>
        </row>
        <row r="118">
          <cell r="D118">
            <v>22130.5</v>
          </cell>
          <cell r="E118">
            <v>21333.802</v>
          </cell>
          <cell r="F118">
            <v>21973.81606</v>
          </cell>
          <cell r="G118">
            <v>22633.0305418</v>
          </cell>
          <cell r="H118">
            <v>23312.021458054</v>
          </cell>
          <cell r="I118">
            <v>24011.3821017956</v>
          </cell>
          <cell r="J118">
            <v>113264.05216165</v>
          </cell>
        </row>
        <row r="118">
          <cell r="L118">
            <v>24731.7235648495</v>
          </cell>
          <cell r="M118">
            <v>25473.675271795</v>
          </cell>
          <cell r="N118">
            <v>163469.450998294</v>
          </cell>
        </row>
        <row r="119">
          <cell r="D119">
            <v>554527.1</v>
          </cell>
          <cell r="E119">
            <v>543365.36102</v>
          </cell>
          <cell r="F119">
            <v>559666.3218506</v>
          </cell>
          <cell r="G119">
            <v>576456.311506118</v>
          </cell>
          <cell r="H119">
            <v>593750.000851302</v>
          </cell>
          <cell r="I119">
            <v>611562.500876841</v>
          </cell>
          <cell r="J119">
            <v>2884800.49610486</v>
          </cell>
        </row>
        <row r="119">
          <cell r="L119">
            <v>629909.375903146</v>
          </cell>
          <cell r="M119">
            <v>648806.65718024</v>
          </cell>
          <cell r="N119">
            <v>4163516.52918825</v>
          </cell>
        </row>
        <row r="120">
          <cell r="D120">
            <v>0</v>
          </cell>
          <cell r="E120">
            <v>0</v>
          </cell>
          <cell r="F120">
            <v>0</v>
          </cell>
          <cell r="G120">
            <v>0</v>
          </cell>
          <cell r="H120">
            <v>0</v>
          </cell>
          <cell r="I120">
            <v>0</v>
          </cell>
          <cell r="J120">
            <v>0</v>
          </cell>
        </row>
        <row r="120">
          <cell r="L120">
            <v>0</v>
          </cell>
          <cell r="M120">
            <v>0</v>
          </cell>
          <cell r="N120">
            <v>0</v>
          </cell>
        </row>
        <row r="121">
          <cell r="D121">
            <v>554527.1</v>
          </cell>
          <cell r="E121">
            <v>543365.36102</v>
          </cell>
          <cell r="F121">
            <v>559666.3218506</v>
          </cell>
          <cell r="G121">
            <v>576456.311506118</v>
          </cell>
          <cell r="H121">
            <v>593750.000851302</v>
          </cell>
          <cell r="I121">
            <v>611562.500876841</v>
          </cell>
          <cell r="J121">
            <v>2884800.49610486</v>
          </cell>
        </row>
        <row r="121">
          <cell r="L121">
            <v>629909.375903146</v>
          </cell>
          <cell r="M121">
            <v>648806.65718024</v>
          </cell>
          <cell r="N121">
            <v>4163516.52918825</v>
          </cell>
        </row>
        <row r="123">
          <cell r="D123">
            <v>0</v>
          </cell>
          <cell r="E123">
            <v>0</v>
          </cell>
          <cell r="F123">
            <v>0</v>
          </cell>
          <cell r="G123">
            <v>0</v>
          </cell>
          <cell r="H123">
            <v>0</v>
          </cell>
          <cell r="I123">
            <v>0</v>
          </cell>
          <cell r="J123">
            <v>0</v>
          </cell>
        </row>
        <row r="123">
          <cell r="L123">
            <v>0</v>
          </cell>
          <cell r="M123">
            <v>0</v>
          </cell>
          <cell r="N123">
            <v>0</v>
          </cell>
        </row>
        <row r="124">
          <cell r="D124">
            <v>0</v>
          </cell>
          <cell r="E124">
            <v>0</v>
          </cell>
          <cell r="F124">
            <v>0</v>
          </cell>
          <cell r="G124">
            <v>0</v>
          </cell>
          <cell r="H124">
            <v>0</v>
          </cell>
          <cell r="I124">
            <v>0</v>
          </cell>
          <cell r="J124">
            <v>0</v>
          </cell>
        </row>
        <row r="124">
          <cell r="L124">
            <v>0</v>
          </cell>
          <cell r="M124">
            <v>0</v>
          </cell>
          <cell r="N124">
            <v>0</v>
          </cell>
        </row>
        <row r="125">
          <cell r="D125">
            <v>0</v>
          </cell>
          <cell r="E125">
            <v>0</v>
          </cell>
          <cell r="F125">
            <v>0</v>
          </cell>
          <cell r="G125">
            <v>0</v>
          </cell>
          <cell r="H125">
            <v>0</v>
          </cell>
          <cell r="I125">
            <v>0</v>
          </cell>
          <cell r="J125">
            <v>0</v>
          </cell>
        </row>
        <row r="125">
          <cell r="L125">
            <v>0</v>
          </cell>
          <cell r="M125">
            <v>0</v>
          </cell>
          <cell r="N125">
            <v>0</v>
          </cell>
        </row>
        <row r="126">
          <cell r="D126">
            <v>0</v>
          </cell>
          <cell r="E126">
            <v>0</v>
          </cell>
          <cell r="F126">
            <v>0</v>
          </cell>
          <cell r="G126">
            <v>0</v>
          </cell>
          <cell r="H126">
            <v>0</v>
          </cell>
          <cell r="I126">
            <v>0</v>
          </cell>
          <cell r="J126">
            <v>0</v>
          </cell>
        </row>
        <row r="126">
          <cell r="L126">
            <v>0</v>
          </cell>
          <cell r="M126">
            <v>0</v>
          </cell>
          <cell r="N126">
            <v>0</v>
          </cell>
        </row>
        <row r="127">
          <cell r="D127">
            <v>0</v>
          </cell>
          <cell r="E127">
            <v>0</v>
          </cell>
          <cell r="F127">
            <v>0</v>
          </cell>
          <cell r="G127">
            <v>0</v>
          </cell>
          <cell r="H127">
            <v>0</v>
          </cell>
          <cell r="I127">
            <v>0</v>
          </cell>
          <cell r="J127">
            <v>0</v>
          </cell>
        </row>
        <row r="127">
          <cell r="L127">
            <v>0</v>
          </cell>
          <cell r="M127">
            <v>0</v>
          </cell>
          <cell r="N127">
            <v>0</v>
          </cell>
        </row>
        <row r="129">
          <cell r="D129">
            <v>554527.1</v>
          </cell>
          <cell r="E129">
            <v>543365.36102</v>
          </cell>
          <cell r="F129">
            <v>559666.3218506</v>
          </cell>
          <cell r="G129">
            <v>576456.311506118</v>
          </cell>
          <cell r="H129">
            <v>593750.000851302</v>
          </cell>
          <cell r="I129">
            <v>611562.500876841</v>
          </cell>
          <cell r="J129">
            <v>2884800.49610486</v>
          </cell>
        </row>
        <row r="129">
          <cell r="L129">
            <v>629909.375903146</v>
          </cell>
          <cell r="M129">
            <v>648806.65718024</v>
          </cell>
          <cell r="N129">
            <v>4163516.52918825</v>
          </cell>
        </row>
        <row r="132">
          <cell r="D132" t="str">
            <v>BASE YEAR</v>
          </cell>
          <cell r="E132" t="str">
            <v>YEAR 1</v>
          </cell>
          <cell r="F132" t="str">
            <v>YEAR 2</v>
          </cell>
          <cell r="G132" t="str">
            <v>YEAR 3</v>
          </cell>
          <cell r="H132" t="str">
            <v>YEAR 4</v>
          </cell>
          <cell r="I132" t="str">
            <v xml:space="preserve">YEAR 5 </v>
          </cell>
          <cell r="J132" t="str">
            <v>5 Year  Total</v>
          </cell>
        </row>
        <row r="132">
          <cell r="L132" t="str">
            <v>5 YEAR + 1</v>
          </cell>
          <cell r="M132" t="str">
            <v>5 YEAR + 2</v>
          </cell>
          <cell r="N132" t="str">
            <v>7 Year  Total</v>
          </cell>
        </row>
        <row r="133">
          <cell r="D133">
            <v>10.9</v>
          </cell>
          <cell r="E133">
            <v>10.9</v>
          </cell>
          <cell r="F133">
            <v>10.9</v>
          </cell>
          <cell r="G133">
            <v>10.9</v>
          </cell>
          <cell r="H133">
            <v>10.9</v>
          </cell>
          <cell r="I133">
            <v>10.9</v>
          </cell>
        </row>
        <row r="133">
          <cell r="L133">
            <v>10.9</v>
          </cell>
          <cell r="M133">
            <v>10.9</v>
          </cell>
        </row>
        <row r="134">
          <cell r="D134">
            <v>0</v>
          </cell>
          <cell r="E134">
            <v>0</v>
          </cell>
          <cell r="F134">
            <v>0</v>
          </cell>
          <cell r="G134">
            <v>0</v>
          </cell>
          <cell r="H134">
            <v>0</v>
          </cell>
          <cell r="I134">
            <v>0</v>
          </cell>
        </row>
        <row r="134">
          <cell r="L134">
            <v>0</v>
          </cell>
          <cell r="M134">
            <v>0</v>
          </cell>
        </row>
        <row r="135">
          <cell r="D135">
            <v>10.9</v>
          </cell>
          <cell r="E135">
            <v>10.9</v>
          </cell>
          <cell r="F135">
            <v>10.9</v>
          </cell>
          <cell r="G135">
            <v>10.9</v>
          </cell>
          <cell r="H135">
            <v>10.9</v>
          </cell>
          <cell r="I135">
            <v>10.9</v>
          </cell>
        </row>
        <row r="135">
          <cell r="L135">
            <v>10.9</v>
          </cell>
          <cell r="M135">
            <v>10.9</v>
          </cell>
        </row>
        <row r="137">
          <cell r="D137">
            <v>843620</v>
          </cell>
          <cell r="E137">
            <v>818311.4</v>
          </cell>
          <cell r="F137">
            <v>842860.742</v>
          </cell>
          <cell r="G137">
            <v>868146.56426</v>
          </cell>
          <cell r="H137">
            <v>894190.9611878</v>
          </cell>
          <cell r="I137">
            <v>921016.690023434</v>
          </cell>
          <cell r="J137">
            <v>4344526.35747123</v>
          </cell>
        </row>
        <row r="137">
          <cell r="L137">
            <v>948647.190724137</v>
          </cell>
          <cell r="M137">
            <v>977106.606445861</v>
          </cell>
          <cell r="N137">
            <v>6270280.15464123</v>
          </cell>
        </row>
        <row r="138">
          <cell r="D138">
            <v>134480</v>
          </cell>
          <cell r="E138">
            <v>130445.6</v>
          </cell>
          <cell r="F138">
            <v>134358.968</v>
          </cell>
          <cell r="G138">
            <v>138389.73704</v>
          </cell>
          <cell r="H138">
            <v>142541.4291512</v>
          </cell>
          <cell r="I138">
            <v>146817.672025736</v>
          </cell>
          <cell r="J138">
            <v>692553.406216936</v>
          </cell>
        </row>
        <row r="138">
          <cell r="L138">
            <v>151222.202186508</v>
          </cell>
          <cell r="M138">
            <v>155758.868252103</v>
          </cell>
          <cell r="N138">
            <v>999534.476655547</v>
          </cell>
        </row>
        <row r="139">
          <cell r="D139">
            <v>0</v>
          </cell>
          <cell r="E139">
            <v>0</v>
          </cell>
          <cell r="F139">
            <v>0</v>
          </cell>
          <cell r="G139">
            <v>0</v>
          </cell>
          <cell r="H139">
            <v>0</v>
          </cell>
          <cell r="I139">
            <v>0</v>
          </cell>
          <cell r="J139">
            <v>0</v>
          </cell>
        </row>
        <row r="139">
          <cell r="L139">
            <v>0</v>
          </cell>
          <cell r="M139">
            <v>0</v>
          </cell>
          <cell r="N139">
            <v>0</v>
          </cell>
        </row>
        <row r="140">
          <cell r="D140">
            <v>0</v>
          </cell>
          <cell r="E140">
            <v>0</v>
          </cell>
          <cell r="F140">
            <v>0</v>
          </cell>
          <cell r="G140">
            <v>0</v>
          </cell>
          <cell r="H140">
            <v>0</v>
          </cell>
          <cell r="I140">
            <v>0</v>
          </cell>
          <cell r="J140">
            <v>0</v>
          </cell>
        </row>
        <row r="140">
          <cell r="L140">
            <v>0</v>
          </cell>
          <cell r="M140">
            <v>0</v>
          </cell>
          <cell r="N140">
            <v>0</v>
          </cell>
        </row>
        <row r="141">
          <cell r="D141">
            <v>0</v>
          </cell>
          <cell r="E141">
            <v>0</v>
          </cell>
          <cell r="F141">
            <v>0</v>
          </cell>
          <cell r="G141">
            <v>0</v>
          </cell>
          <cell r="H141">
            <v>0</v>
          </cell>
          <cell r="I141">
            <v>0</v>
          </cell>
          <cell r="J141">
            <v>0</v>
          </cell>
        </row>
        <row r="141">
          <cell r="L141">
            <v>0</v>
          </cell>
          <cell r="M141">
            <v>0</v>
          </cell>
          <cell r="N141">
            <v>0</v>
          </cell>
        </row>
        <row r="142">
          <cell r="D142">
            <v>0</v>
          </cell>
          <cell r="E142">
            <v>0</v>
          </cell>
          <cell r="F142">
            <v>0</v>
          </cell>
          <cell r="G142">
            <v>0</v>
          </cell>
          <cell r="H142">
            <v>0</v>
          </cell>
          <cell r="I142">
            <v>0</v>
          </cell>
          <cell r="J142">
            <v>0</v>
          </cell>
        </row>
        <row r="142">
          <cell r="L142">
            <v>0</v>
          </cell>
          <cell r="M142">
            <v>0</v>
          </cell>
          <cell r="N142">
            <v>0</v>
          </cell>
        </row>
        <row r="143">
          <cell r="D143">
            <v>978100</v>
          </cell>
          <cell r="E143">
            <v>948757</v>
          </cell>
          <cell r="F143">
            <v>977219.71</v>
          </cell>
          <cell r="G143">
            <v>1006536.3013</v>
          </cell>
          <cell r="H143">
            <v>1036732.390339</v>
          </cell>
          <cell r="I143">
            <v>1067834.36204917</v>
          </cell>
          <cell r="J143">
            <v>5037079.76368817</v>
          </cell>
        </row>
        <row r="143">
          <cell r="L143">
            <v>1099869.39291065</v>
          </cell>
          <cell r="M143">
            <v>1132865.47469796</v>
          </cell>
          <cell r="N143">
            <v>7269814.63129678</v>
          </cell>
        </row>
        <row r="144">
          <cell r="D144">
            <v>0</v>
          </cell>
          <cell r="E144">
            <v>0</v>
          </cell>
          <cell r="F144">
            <v>0</v>
          </cell>
          <cell r="G144">
            <v>0</v>
          </cell>
          <cell r="H144">
            <v>0</v>
          </cell>
          <cell r="I144">
            <v>0</v>
          </cell>
          <cell r="J144">
            <v>0</v>
          </cell>
        </row>
        <row r="144">
          <cell r="L144">
            <v>0</v>
          </cell>
          <cell r="M144">
            <v>0</v>
          </cell>
          <cell r="N144">
            <v>0</v>
          </cell>
        </row>
        <row r="145">
          <cell r="D145">
            <v>0</v>
          </cell>
          <cell r="E145">
            <v>0</v>
          </cell>
          <cell r="F145">
            <v>0</v>
          </cell>
          <cell r="G145">
            <v>0</v>
          </cell>
          <cell r="H145">
            <v>0</v>
          </cell>
          <cell r="I145">
            <v>0</v>
          </cell>
          <cell r="J145">
            <v>0</v>
          </cell>
        </row>
        <row r="145">
          <cell r="L145">
            <v>0</v>
          </cell>
          <cell r="M145">
            <v>0</v>
          </cell>
          <cell r="N145">
            <v>0</v>
          </cell>
        </row>
        <row r="146">
          <cell r="D146">
            <v>0</v>
          </cell>
          <cell r="E146">
            <v>0</v>
          </cell>
          <cell r="F146">
            <v>0</v>
          </cell>
          <cell r="G146">
            <v>0</v>
          </cell>
          <cell r="H146">
            <v>0</v>
          </cell>
          <cell r="I146">
            <v>0</v>
          </cell>
          <cell r="J146">
            <v>0</v>
          </cell>
        </row>
        <row r="146">
          <cell r="L146">
            <v>0</v>
          </cell>
          <cell r="M146">
            <v>0</v>
          </cell>
          <cell r="N146">
            <v>0</v>
          </cell>
        </row>
        <row r="147">
          <cell r="D147">
            <v>0</v>
          </cell>
          <cell r="E147">
            <v>0</v>
          </cell>
          <cell r="F147">
            <v>0</v>
          </cell>
          <cell r="G147">
            <v>0</v>
          </cell>
          <cell r="H147">
            <v>0</v>
          </cell>
          <cell r="I147">
            <v>0</v>
          </cell>
          <cell r="J147">
            <v>0</v>
          </cell>
        </row>
        <row r="147">
          <cell r="L147">
            <v>0</v>
          </cell>
          <cell r="M147">
            <v>0</v>
          </cell>
          <cell r="N147">
            <v>0</v>
          </cell>
        </row>
        <row r="148">
          <cell r="D148">
            <v>0</v>
          </cell>
          <cell r="E148">
            <v>0</v>
          </cell>
          <cell r="F148">
            <v>0</v>
          </cell>
          <cell r="G148">
            <v>0</v>
          </cell>
          <cell r="H148">
            <v>0</v>
          </cell>
          <cell r="I148">
            <v>0</v>
          </cell>
          <cell r="J148">
            <v>0</v>
          </cell>
        </row>
        <row r="148">
          <cell r="L148">
            <v>0</v>
          </cell>
          <cell r="M148">
            <v>0</v>
          </cell>
          <cell r="N148">
            <v>0</v>
          </cell>
        </row>
        <row r="149">
          <cell r="D149">
            <v>0</v>
          </cell>
          <cell r="E149">
            <v>0</v>
          </cell>
          <cell r="F149">
            <v>0</v>
          </cell>
          <cell r="G149">
            <v>0</v>
          </cell>
          <cell r="H149">
            <v>0</v>
          </cell>
          <cell r="I149">
            <v>0</v>
          </cell>
          <cell r="J149">
            <v>0</v>
          </cell>
        </row>
        <row r="149">
          <cell r="L149">
            <v>0</v>
          </cell>
          <cell r="M149">
            <v>0</v>
          </cell>
          <cell r="N149">
            <v>0</v>
          </cell>
        </row>
        <row r="150">
          <cell r="D150">
            <v>0</v>
          </cell>
          <cell r="E150">
            <v>0</v>
          </cell>
          <cell r="F150">
            <v>0</v>
          </cell>
          <cell r="G150">
            <v>0</v>
          </cell>
          <cell r="H150">
            <v>0</v>
          </cell>
          <cell r="I150">
            <v>0</v>
          </cell>
          <cell r="J150">
            <v>0</v>
          </cell>
        </row>
        <row r="150">
          <cell r="L150">
            <v>0</v>
          </cell>
          <cell r="M150">
            <v>0</v>
          </cell>
          <cell r="N150">
            <v>0</v>
          </cell>
        </row>
        <row r="151">
          <cell r="D151">
            <v>0</v>
          </cell>
          <cell r="E151">
            <v>0</v>
          </cell>
          <cell r="F151">
            <v>0</v>
          </cell>
          <cell r="G151">
            <v>0</v>
          </cell>
          <cell r="H151">
            <v>0</v>
          </cell>
          <cell r="I151">
            <v>0</v>
          </cell>
          <cell r="J151">
            <v>0</v>
          </cell>
        </row>
        <row r="151">
          <cell r="L151">
            <v>0</v>
          </cell>
          <cell r="M151">
            <v>0</v>
          </cell>
          <cell r="N151">
            <v>0</v>
          </cell>
        </row>
        <row r="152">
          <cell r="D152">
            <v>0</v>
          </cell>
          <cell r="E152">
            <v>0</v>
          </cell>
          <cell r="F152">
            <v>0</v>
          </cell>
          <cell r="G152">
            <v>0</v>
          </cell>
          <cell r="H152">
            <v>0</v>
          </cell>
          <cell r="I152">
            <v>0</v>
          </cell>
          <cell r="J152">
            <v>0</v>
          </cell>
        </row>
        <row r="152">
          <cell r="L152">
            <v>0</v>
          </cell>
          <cell r="M152">
            <v>0</v>
          </cell>
          <cell r="N152">
            <v>0</v>
          </cell>
        </row>
        <row r="153">
          <cell r="D153">
            <v>0</v>
          </cell>
          <cell r="E153">
            <v>0</v>
          </cell>
          <cell r="F153">
            <v>0</v>
          </cell>
          <cell r="G153">
            <v>0</v>
          </cell>
          <cell r="H153">
            <v>0</v>
          </cell>
          <cell r="I153">
            <v>0</v>
          </cell>
          <cell r="J153">
            <v>0</v>
          </cell>
        </row>
        <row r="153">
          <cell r="L153">
            <v>0</v>
          </cell>
          <cell r="M153">
            <v>0</v>
          </cell>
          <cell r="N153">
            <v>0</v>
          </cell>
        </row>
        <row r="154">
          <cell r="D154">
            <v>0</v>
          </cell>
          <cell r="E154">
            <v>0</v>
          </cell>
          <cell r="F154">
            <v>0</v>
          </cell>
          <cell r="G154">
            <v>0</v>
          </cell>
          <cell r="H154">
            <v>0</v>
          </cell>
          <cell r="I154">
            <v>0</v>
          </cell>
          <cell r="J154">
            <v>0</v>
          </cell>
        </row>
        <row r="154">
          <cell r="L154">
            <v>0</v>
          </cell>
          <cell r="M154">
            <v>0</v>
          </cell>
          <cell r="N154">
            <v>0</v>
          </cell>
        </row>
        <row r="155">
          <cell r="D155">
            <v>0</v>
          </cell>
          <cell r="E155">
            <v>0</v>
          </cell>
          <cell r="F155">
            <v>0</v>
          </cell>
          <cell r="G155">
            <v>0</v>
          </cell>
          <cell r="H155">
            <v>0</v>
          </cell>
          <cell r="I155">
            <v>0</v>
          </cell>
          <cell r="J155">
            <v>0</v>
          </cell>
        </row>
        <row r="155">
          <cell r="L155">
            <v>0</v>
          </cell>
          <cell r="M155">
            <v>0</v>
          </cell>
          <cell r="N155">
            <v>0</v>
          </cell>
        </row>
        <row r="156">
          <cell r="D156">
            <v>0</v>
          </cell>
          <cell r="E156">
            <v>0</v>
          </cell>
          <cell r="F156">
            <v>0</v>
          </cell>
          <cell r="G156">
            <v>0</v>
          </cell>
          <cell r="H156">
            <v>0</v>
          </cell>
          <cell r="I156">
            <v>0</v>
          </cell>
          <cell r="J156">
            <v>0</v>
          </cell>
        </row>
        <row r="156">
          <cell r="L156">
            <v>0</v>
          </cell>
          <cell r="M156">
            <v>0</v>
          </cell>
          <cell r="N156">
            <v>0</v>
          </cell>
        </row>
        <row r="157">
          <cell r="D157">
            <v>0</v>
          </cell>
          <cell r="E157">
            <v>0</v>
          </cell>
          <cell r="F157">
            <v>0</v>
          </cell>
          <cell r="G157">
            <v>0</v>
          </cell>
          <cell r="H157">
            <v>0</v>
          </cell>
          <cell r="I157">
            <v>0</v>
          </cell>
          <cell r="J157">
            <v>0</v>
          </cell>
        </row>
        <row r="157">
          <cell r="L157">
            <v>0</v>
          </cell>
          <cell r="M157">
            <v>0</v>
          </cell>
          <cell r="N157">
            <v>0</v>
          </cell>
        </row>
        <row r="158">
          <cell r="D158">
            <v>0</v>
          </cell>
          <cell r="E158">
            <v>0</v>
          </cell>
          <cell r="F158">
            <v>0</v>
          </cell>
          <cell r="G158">
            <v>0</v>
          </cell>
          <cell r="H158">
            <v>0</v>
          </cell>
          <cell r="I158">
            <v>0</v>
          </cell>
          <cell r="J158">
            <v>0</v>
          </cell>
        </row>
        <row r="158">
          <cell r="L158">
            <v>0</v>
          </cell>
          <cell r="M158">
            <v>0</v>
          </cell>
          <cell r="N158">
            <v>0</v>
          </cell>
        </row>
        <row r="159">
          <cell r="D159">
            <v>0</v>
          </cell>
          <cell r="E159">
            <v>0</v>
          </cell>
          <cell r="F159">
            <v>0</v>
          </cell>
          <cell r="G159">
            <v>0</v>
          </cell>
          <cell r="H159">
            <v>0</v>
          </cell>
          <cell r="I159">
            <v>0</v>
          </cell>
          <cell r="J159">
            <v>0</v>
          </cell>
        </row>
        <row r="159">
          <cell r="L159">
            <v>0</v>
          </cell>
          <cell r="M159">
            <v>0</v>
          </cell>
          <cell r="N159">
            <v>0</v>
          </cell>
        </row>
        <row r="160">
          <cell r="D160">
            <v>0</v>
          </cell>
          <cell r="E160">
            <v>0</v>
          </cell>
          <cell r="F160">
            <v>0</v>
          </cell>
          <cell r="G160">
            <v>0</v>
          </cell>
          <cell r="H160">
            <v>0</v>
          </cell>
          <cell r="I160">
            <v>0</v>
          </cell>
          <cell r="J160">
            <v>0</v>
          </cell>
        </row>
        <row r="160">
          <cell r="L160">
            <v>0</v>
          </cell>
          <cell r="M160">
            <v>0</v>
          </cell>
          <cell r="N160">
            <v>0</v>
          </cell>
        </row>
        <row r="161">
          <cell r="D161">
            <v>0</v>
          </cell>
          <cell r="E161">
            <v>0</v>
          </cell>
          <cell r="F161">
            <v>0</v>
          </cell>
          <cell r="G161">
            <v>0</v>
          </cell>
          <cell r="H161">
            <v>0</v>
          </cell>
          <cell r="I161">
            <v>0</v>
          </cell>
          <cell r="J161">
            <v>0</v>
          </cell>
        </row>
        <row r="161">
          <cell r="L161">
            <v>0</v>
          </cell>
          <cell r="M161">
            <v>0</v>
          </cell>
          <cell r="N161">
            <v>0</v>
          </cell>
        </row>
        <row r="162">
          <cell r="D162">
            <v>978100</v>
          </cell>
          <cell r="E162">
            <v>948757</v>
          </cell>
          <cell r="F162">
            <v>977219.71</v>
          </cell>
          <cell r="G162">
            <v>1006536.3013</v>
          </cell>
          <cell r="H162">
            <v>1036732.390339</v>
          </cell>
          <cell r="I162">
            <v>1067834.36204917</v>
          </cell>
          <cell r="J162">
            <v>5037079.76368817</v>
          </cell>
        </row>
        <row r="162">
          <cell r="L162">
            <v>1099869.39291065</v>
          </cell>
          <cell r="M162">
            <v>1132865.47469796</v>
          </cell>
          <cell r="N162">
            <v>7269814.63129678</v>
          </cell>
        </row>
        <row r="163">
          <cell r="D163">
            <v>0</v>
          </cell>
          <cell r="E163">
            <v>0</v>
          </cell>
          <cell r="F163">
            <v>0</v>
          </cell>
          <cell r="G163">
            <v>0</v>
          </cell>
          <cell r="H163">
            <v>0</v>
          </cell>
          <cell r="I163">
            <v>0</v>
          </cell>
          <cell r="J163">
            <v>0</v>
          </cell>
        </row>
        <row r="163">
          <cell r="L163">
            <v>0</v>
          </cell>
          <cell r="M163">
            <v>0</v>
          </cell>
          <cell r="N163">
            <v>0</v>
          </cell>
        </row>
        <row r="164">
          <cell r="D164">
            <v>978100</v>
          </cell>
          <cell r="E164">
            <v>948757</v>
          </cell>
          <cell r="F164">
            <v>977219.71</v>
          </cell>
          <cell r="G164">
            <v>1006536.3013</v>
          </cell>
          <cell r="H164">
            <v>1036732.390339</v>
          </cell>
          <cell r="I164">
            <v>1067834.36204917</v>
          </cell>
          <cell r="J164">
            <v>5037079.76368817</v>
          </cell>
        </row>
        <row r="164">
          <cell r="L164">
            <v>1099869.39291065</v>
          </cell>
          <cell r="M164">
            <v>1132865.47469796</v>
          </cell>
          <cell r="N164">
            <v>7269814.63129678</v>
          </cell>
        </row>
        <row r="166">
          <cell r="D166">
            <v>0</v>
          </cell>
          <cell r="E166">
            <v>0</v>
          </cell>
          <cell r="F166">
            <v>0</v>
          </cell>
          <cell r="G166">
            <v>0</v>
          </cell>
          <cell r="H166">
            <v>0</v>
          </cell>
          <cell r="I166">
            <v>0</v>
          </cell>
          <cell r="J166">
            <v>0</v>
          </cell>
        </row>
        <row r="166">
          <cell r="L166">
            <v>0</v>
          </cell>
          <cell r="M166">
            <v>0</v>
          </cell>
          <cell r="N166">
            <v>0</v>
          </cell>
        </row>
        <row r="167">
          <cell r="D167">
            <v>0</v>
          </cell>
          <cell r="E167">
            <v>0</v>
          </cell>
          <cell r="F167">
            <v>0</v>
          </cell>
          <cell r="G167">
            <v>0</v>
          </cell>
          <cell r="H167">
            <v>0</v>
          </cell>
          <cell r="I167">
            <v>0</v>
          </cell>
          <cell r="J167">
            <v>0</v>
          </cell>
        </row>
        <row r="167">
          <cell r="L167">
            <v>0</v>
          </cell>
          <cell r="M167">
            <v>0</v>
          </cell>
          <cell r="N167">
            <v>0</v>
          </cell>
        </row>
        <row r="168">
          <cell r="D168">
            <v>0</v>
          </cell>
          <cell r="E168">
            <v>0</v>
          </cell>
          <cell r="F168">
            <v>0</v>
          </cell>
          <cell r="G168">
            <v>0</v>
          </cell>
          <cell r="H168">
            <v>0</v>
          </cell>
          <cell r="I168">
            <v>0</v>
          </cell>
          <cell r="J168">
            <v>0</v>
          </cell>
        </row>
        <row r="168">
          <cell r="L168">
            <v>0</v>
          </cell>
          <cell r="M168">
            <v>0</v>
          </cell>
          <cell r="N168">
            <v>0</v>
          </cell>
        </row>
        <row r="169">
          <cell r="D169">
            <v>0</v>
          </cell>
          <cell r="E169">
            <v>0</v>
          </cell>
          <cell r="F169">
            <v>0</v>
          </cell>
          <cell r="G169">
            <v>0</v>
          </cell>
          <cell r="H169">
            <v>0</v>
          </cell>
          <cell r="I169">
            <v>0</v>
          </cell>
          <cell r="J169">
            <v>0</v>
          </cell>
        </row>
        <row r="169">
          <cell r="L169">
            <v>0</v>
          </cell>
          <cell r="M169">
            <v>0</v>
          </cell>
          <cell r="N169">
            <v>0</v>
          </cell>
        </row>
        <row r="170">
          <cell r="D170">
            <v>0</v>
          </cell>
          <cell r="E170">
            <v>0</v>
          </cell>
          <cell r="F170">
            <v>0</v>
          </cell>
          <cell r="G170">
            <v>0</v>
          </cell>
          <cell r="H170">
            <v>0</v>
          </cell>
          <cell r="I170">
            <v>0</v>
          </cell>
          <cell r="J170">
            <v>0</v>
          </cell>
        </row>
        <row r="170">
          <cell r="L170">
            <v>0</v>
          </cell>
          <cell r="M170">
            <v>0</v>
          </cell>
          <cell r="N170">
            <v>0</v>
          </cell>
        </row>
        <row r="172">
          <cell r="D172">
            <v>978100</v>
          </cell>
          <cell r="E172">
            <v>948757</v>
          </cell>
          <cell r="F172">
            <v>977219.71</v>
          </cell>
          <cell r="G172">
            <v>1006536.3013</v>
          </cell>
          <cell r="H172">
            <v>1036732.390339</v>
          </cell>
          <cell r="I172">
            <v>1067834.36204917</v>
          </cell>
          <cell r="J172">
            <v>5037079.76368817</v>
          </cell>
        </row>
        <row r="172">
          <cell r="L172">
            <v>1099869.39291065</v>
          </cell>
          <cell r="M172">
            <v>1132865.47469796</v>
          </cell>
          <cell r="N172">
            <v>7269814.63129678</v>
          </cell>
        </row>
      </sheetData>
      <sheetData sheetId="2"/>
      <sheetData sheetId="3"/>
      <sheetData sheetId="4"/>
      <sheetData sheetId="5"/>
      <sheetData sheetId="6"/>
      <sheetData sheetId="7"/>
      <sheetData sheetId="8"/>
      <sheetData sheetId="9"/>
      <sheetData sheetId="10"/>
      <sheetData sheetId="11"/>
      <sheetData sheetId="12"/>
    </sheetDataSet>
  </externalBook>
</externalLink>
</file>

<file path=xl/externalLinks/externalLink7.xml><?xml version="1.0" encoding="utf-8"?>
<externalLink xmlns="http://schemas.openxmlformats.org/spreadsheetml/2006/main">
  <externalBook xmlns:r="http://schemas.openxmlformats.org/officeDocument/2006/relationships" r:id="rId1">
    <sheetNames>
      <sheetName val="Notes"/>
      <sheetName val="Consolidated"/>
      <sheetName val="GL"/>
      <sheetName val="Ext.Rpt."/>
      <sheetName val="RTP"/>
      <sheetName val="AP"/>
      <sheetName val="T&amp;E"/>
      <sheetName val="OTC"/>
      <sheetName val="SOX"/>
      <sheetName val="NA 1"/>
      <sheetName val="NA 2"/>
      <sheetName val="Other"/>
      <sheetName val="Depreciation"/>
    </sheetNames>
    <sheetDataSet>
      <sheetData sheetId="0"/>
      <sheetData sheetId="1">
        <row r="2">
          <cell r="D2" t="str">
            <v>BASE YEAR</v>
          </cell>
          <cell r="E2" t="str">
            <v>YEAR 1</v>
          </cell>
          <cell r="F2" t="str">
            <v>YEAR 2</v>
          </cell>
          <cell r="G2" t="str">
            <v>YEAR 3</v>
          </cell>
          <cell r="H2" t="str">
            <v>YEAR 4</v>
          </cell>
          <cell r="I2" t="str">
            <v xml:space="preserve">YEAR 5 </v>
          </cell>
          <cell r="J2" t="str">
            <v>5 Year Total</v>
          </cell>
        </row>
        <row r="2">
          <cell r="L2" t="str">
            <v>5 YEAR + 1</v>
          </cell>
          <cell r="M2" t="str">
            <v>5 YEAR + 2</v>
          </cell>
          <cell r="N2" t="str">
            <v>7 Year Total</v>
          </cell>
        </row>
        <row r="3">
          <cell r="D3">
            <v>4.4</v>
          </cell>
          <cell r="E3">
            <v>4.37</v>
          </cell>
          <cell r="F3">
            <v>4.37</v>
          </cell>
          <cell r="G3">
            <v>4.37</v>
          </cell>
          <cell r="H3">
            <v>4.37</v>
          </cell>
          <cell r="I3">
            <v>4.37</v>
          </cell>
        </row>
        <row r="3">
          <cell r="L3">
            <v>4.37</v>
          </cell>
          <cell r="M3">
            <v>4.37</v>
          </cell>
        </row>
        <row r="4">
          <cell r="D4">
            <v>0</v>
          </cell>
          <cell r="E4">
            <v>0</v>
          </cell>
          <cell r="F4">
            <v>0</v>
          </cell>
          <cell r="G4">
            <v>0</v>
          </cell>
          <cell r="H4">
            <v>0</v>
          </cell>
          <cell r="I4">
            <v>0</v>
          </cell>
        </row>
        <row r="4">
          <cell r="L4">
            <v>0</v>
          </cell>
          <cell r="M4">
            <v>0</v>
          </cell>
        </row>
        <row r="5">
          <cell r="D5">
            <v>4.4</v>
          </cell>
          <cell r="E5">
            <v>4.37</v>
          </cell>
          <cell r="F5">
            <v>4.37</v>
          </cell>
          <cell r="G5">
            <v>4.37</v>
          </cell>
          <cell r="H5">
            <v>4.37</v>
          </cell>
          <cell r="I5">
            <v>4.37</v>
          </cell>
        </row>
        <row r="5">
          <cell r="L5">
            <v>4.37</v>
          </cell>
          <cell r="M5">
            <v>4.37</v>
          </cell>
        </row>
        <row r="7">
          <cell r="D7">
            <v>207.208</v>
          </cell>
          <cell r="E7">
            <v>206.208</v>
          </cell>
          <cell r="F7">
            <v>212.39424</v>
          </cell>
          <cell r="G7">
            <v>218.7660672</v>
          </cell>
          <cell r="H7">
            <v>225.329049216</v>
          </cell>
          <cell r="I7">
            <v>232.08892069248</v>
          </cell>
          <cell r="J7">
            <v>1094.78627710848</v>
          </cell>
        </row>
        <row r="7">
          <cell r="L7">
            <v>239.051588313254</v>
          </cell>
          <cell r="M7">
            <v>246.223135962652</v>
          </cell>
          <cell r="N7">
            <v>1580.06100138439</v>
          </cell>
        </row>
        <row r="8">
          <cell r="D8">
            <v>9.7</v>
          </cell>
          <cell r="E8">
            <v>9.7</v>
          </cell>
          <cell r="F8">
            <v>9.991</v>
          </cell>
          <cell r="G8">
            <v>10.29073</v>
          </cell>
          <cell r="H8">
            <v>10.5994519</v>
          </cell>
          <cell r="I8">
            <v>10.917435457</v>
          </cell>
          <cell r="J8">
            <v>51.498617357</v>
          </cell>
        </row>
        <row r="8">
          <cell r="L8">
            <v>11.24495852071</v>
          </cell>
          <cell r="M8">
            <v>11.5823072763313</v>
          </cell>
          <cell r="N8">
            <v>74.3258831540413</v>
          </cell>
        </row>
        <row r="9">
          <cell r="D9">
            <v>0</v>
          </cell>
          <cell r="E9">
            <v>0</v>
          </cell>
          <cell r="F9">
            <v>0</v>
          </cell>
          <cell r="G9">
            <v>0</v>
          </cell>
          <cell r="H9">
            <v>0</v>
          </cell>
          <cell r="I9">
            <v>0</v>
          </cell>
          <cell r="J9">
            <v>0</v>
          </cell>
        </row>
        <row r="9">
          <cell r="L9">
            <v>0</v>
          </cell>
          <cell r="M9">
            <v>0</v>
          </cell>
          <cell r="N9">
            <v>0</v>
          </cell>
        </row>
        <row r="10">
          <cell r="D10">
            <v>5</v>
          </cell>
          <cell r="E10">
            <v>5</v>
          </cell>
          <cell r="F10">
            <v>5.15</v>
          </cell>
          <cell r="G10">
            <v>5.3045</v>
          </cell>
          <cell r="H10">
            <v>5.463635</v>
          </cell>
          <cell r="I10">
            <v>5.62754405</v>
          </cell>
          <cell r="J10">
            <v>26.54567905</v>
          </cell>
        </row>
        <row r="10">
          <cell r="L10">
            <v>5.7963703715</v>
          </cell>
          <cell r="M10">
            <v>5.970261482645</v>
          </cell>
          <cell r="N10">
            <v>38.312310904145</v>
          </cell>
        </row>
        <row r="11">
          <cell r="D11">
            <v>12</v>
          </cell>
          <cell r="E11">
            <v>12</v>
          </cell>
          <cell r="F11">
            <v>12.36</v>
          </cell>
          <cell r="G11">
            <v>12.7308</v>
          </cell>
          <cell r="H11">
            <v>13.112724</v>
          </cell>
          <cell r="I11">
            <v>13.50610572</v>
          </cell>
          <cell r="J11">
            <v>63.70962972</v>
          </cell>
        </row>
        <row r="11">
          <cell r="L11">
            <v>13.9112888916</v>
          </cell>
          <cell r="M11">
            <v>14.328627558348</v>
          </cell>
          <cell r="N11">
            <v>91.949546169948</v>
          </cell>
        </row>
        <row r="12">
          <cell r="D12">
            <v>9</v>
          </cell>
          <cell r="E12">
            <v>9</v>
          </cell>
          <cell r="F12">
            <v>9.27</v>
          </cell>
          <cell r="G12">
            <v>9.5481</v>
          </cell>
          <cell r="H12">
            <v>9.834543</v>
          </cell>
          <cell r="I12">
            <v>10.12957929</v>
          </cell>
          <cell r="J12">
            <v>47.78222229</v>
          </cell>
        </row>
        <row r="12">
          <cell r="L12">
            <v>10.4334666687</v>
          </cell>
          <cell r="M12">
            <v>10.746470668761</v>
          </cell>
          <cell r="N12">
            <v>68.962159627461</v>
          </cell>
        </row>
        <row r="13">
          <cell r="D13">
            <v>242.908</v>
          </cell>
          <cell r="E13">
            <v>241.908</v>
          </cell>
          <cell r="F13">
            <v>249.16524</v>
          </cell>
          <cell r="G13">
            <v>256.6401972</v>
          </cell>
          <cell r="H13">
            <v>264.339403116</v>
          </cell>
          <cell r="I13">
            <v>272.26958520948</v>
          </cell>
          <cell r="J13">
            <v>1284.32242552548</v>
          </cell>
        </row>
        <row r="13">
          <cell r="L13">
            <v>280.437672765765</v>
          </cell>
          <cell r="M13">
            <v>288.850802948737</v>
          </cell>
          <cell r="N13">
            <v>1853.61090123998</v>
          </cell>
        </row>
        <row r="14">
          <cell r="D14">
            <v>0</v>
          </cell>
          <cell r="E14">
            <v>0</v>
          </cell>
          <cell r="F14">
            <v>0</v>
          </cell>
          <cell r="G14">
            <v>0</v>
          </cell>
          <cell r="H14">
            <v>0</v>
          </cell>
          <cell r="I14">
            <v>0</v>
          </cell>
          <cell r="J14">
            <v>0</v>
          </cell>
        </row>
        <row r="14">
          <cell r="L14">
            <v>0</v>
          </cell>
          <cell r="M14">
            <v>0</v>
          </cell>
          <cell r="N14">
            <v>0</v>
          </cell>
        </row>
        <row r="15">
          <cell r="D15">
            <v>5</v>
          </cell>
          <cell r="E15">
            <v>5</v>
          </cell>
          <cell r="F15">
            <v>5.15</v>
          </cell>
          <cell r="G15">
            <v>5.3045</v>
          </cell>
          <cell r="H15">
            <v>5.463635</v>
          </cell>
          <cell r="I15">
            <v>5.62754405</v>
          </cell>
          <cell r="J15">
            <v>26.54567905</v>
          </cell>
        </row>
        <row r="15">
          <cell r="L15">
            <v>5.7963703715</v>
          </cell>
          <cell r="M15">
            <v>5.970261482645</v>
          </cell>
          <cell r="N15">
            <v>38.312310904145</v>
          </cell>
        </row>
        <row r="16">
          <cell r="D16">
            <v>1</v>
          </cell>
          <cell r="E16">
            <v>1</v>
          </cell>
          <cell r="F16">
            <v>1.03</v>
          </cell>
          <cell r="G16">
            <v>1.0609</v>
          </cell>
          <cell r="H16">
            <v>1.092727</v>
          </cell>
          <cell r="I16">
            <v>1.12550881</v>
          </cell>
          <cell r="J16">
            <v>5.30913581</v>
          </cell>
        </row>
        <row r="16">
          <cell r="L16">
            <v>1.1592740743</v>
          </cell>
          <cell r="M16">
            <v>1.194052296529</v>
          </cell>
          <cell r="N16">
            <v>7.662462180829</v>
          </cell>
        </row>
        <row r="17">
          <cell r="D17">
            <v>4</v>
          </cell>
          <cell r="E17">
            <v>4</v>
          </cell>
          <cell r="F17">
            <v>4.12</v>
          </cell>
          <cell r="G17">
            <v>4.2436</v>
          </cell>
          <cell r="H17">
            <v>4.370908</v>
          </cell>
          <cell r="I17">
            <v>4.50203524</v>
          </cell>
          <cell r="J17">
            <v>21.23654324</v>
          </cell>
        </row>
        <row r="17">
          <cell r="L17">
            <v>4.6370962972</v>
          </cell>
          <cell r="M17">
            <v>4.776209186116</v>
          </cell>
          <cell r="N17">
            <v>30.649848723316</v>
          </cell>
        </row>
        <row r="18">
          <cell r="D18">
            <v>0</v>
          </cell>
          <cell r="E18">
            <v>0</v>
          </cell>
          <cell r="F18">
            <v>0</v>
          </cell>
          <cell r="G18">
            <v>0</v>
          </cell>
          <cell r="H18">
            <v>0</v>
          </cell>
          <cell r="I18">
            <v>0</v>
          </cell>
          <cell r="J18">
            <v>0</v>
          </cell>
        </row>
        <row r="18">
          <cell r="L18">
            <v>0</v>
          </cell>
          <cell r="M18">
            <v>0</v>
          </cell>
          <cell r="N18">
            <v>0</v>
          </cell>
        </row>
        <row r="19">
          <cell r="D19">
            <v>0</v>
          </cell>
          <cell r="E19">
            <v>0</v>
          </cell>
          <cell r="F19">
            <v>0</v>
          </cell>
          <cell r="G19">
            <v>0</v>
          </cell>
          <cell r="H19">
            <v>0</v>
          </cell>
          <cell r="I19">
            <v>0</v>
          </cell>
          <cell r="J19">
            <v>0</v>
          </cell>
        </row>
        <row r="19">
          <cell r="L19">
            <v>0</v>
          </cell>
          <cell r="M19">
            <v>0</v>
          </cell>
          <cell r="N19">
            <v>0</v>
          </cell>
        </row>
        <row r="20">
          <cell r="D20">
            <v>0</v>
          </cell>
          <cell r="E20">
            <v>0</v>
          </cell>
          <cell r="F20">
            <v>0</v>
          </cell>
          <cell r="G20">
            <v>0</v>
          </cell>
          <cell r="H20">
            <v>0</v>
          </cell>
          <cell r="I20">
            <v>0</v>
          </cell>
          <cell r="J20">
            <v>0</v>
          </cell>
        </row>
        <row r="20">
          <cell r="L20">
            <v>0</v>
          </cell>
          <cell r="M20">
            <v>0</v>
          </cell>
          <cell r="N20">
            <v>0</v>
          </cell>
        </row>
        <row r="21">
          <cell r="D21">
            <v>0</v>
          </cell>
          <cell r="E21">
            <v>0</v>
          </cell>
          <cell r="F21">
            <v>0</v>
          </cell>
          <cell r="G21">
            <v>0</v>
          </cell>
          <cell r="H21">
            <v>0</v>
          </cell>
          <cell r="I21">
            <v>0</v>
          </cell>
          <cell r="J21">
            <v>0</v>
          </cell>
        </row>
        <row r="21">
          <cell r="L21">
            <v>0</v>
          </cell>
          <cell r="M21">
            <v>0</v>
          </cell>
          <cell r="N21">
            <v>0</v>
          </cell>
        </row>
        <row r="22">
          <cell r="D22">
            <v>10</v>
          </cell>
          <cell r="E22">
            <v>10</v>
          </cell>
          <cell r="F22">
            <v>10.3</v>
          </cell>
          <cell r="G22">
            <v>10.609</v>
          </cell>
          <cell r="H22">
            <v>10.92727</v>
          </cell>
          <cell r="I22">
            <v>11.2550881</v>
          </cell>
          <cell r="J22">
            <v>53.0913581</v>
          </cell>
        </row>
        <row r="22">
          <cell r="L22">
            <v>11.592740743</v>
          </cell>
          <cell r="M22">
            <v>11.94052296529</v>
          </cell>
          <cell r="N22">
            <v>76.62462180829</v>
          </cell>
        </row>
        <row r="23">
          <cell r="D23">
            <v>2</v>
          </cell>
          <cell r="E23">
            <v>2</v>
          </cell>
          <cell r="F23">
            <v>2.06</v>
          </cell>
          <cell r="G23">
            <v>2.1218</v>
          </cell>
          <cell r="H23">
            <v>2.185454</v>
          </cell>
          <cell r="I23">
            <v>2.25101762</v>
          </cell>
          <cell r="J23">
            <v>10.61827162</v>
          </cell>
        </row>
        <row r="23">
          <cell r="L23">
            <v>2.3185481486</v>
          </cell>
          <cell r="M23">
            <v>2.388104593058</v>
          </cell>
          <cell r="N23">
            <v>15.324924361658</v>
          </cell>
        </row>
        <row r="24">
          <cell r="D24">
            <v>0.6</v>
          </cell>
          <cell r="E24">
            <v>0.6</v>
          </cell>
          <cell r="F24">
            <v>0.618</v>
          </cell>
          <cell r="G24">
            <v>0.63654</v>
          </cell>
          <cell r="H24">
            <v>0.6556362</v>
          </cell>
          <cell r="I24">
            <v>0.675305286</v>
          </cell>
          <cell r="J24">
            <v>3.185481486</v>
          </cell>
        </row>
        <row r="24">
          <cell r="L24">
            <v>0.69556444458</v>
          </cell>
          <cell r="M24">
            <v>0.7164313779174</v>
          </cell>
          <cell r="N24">
            <v>4.5974773084974</v>
          </cell>
        </row>
        <row r="25">
          <cell r="D25">
            <v>0</v>
          </cell>
          <cell r="E25">
            <v>0</v>
          </cell>
          <cell r="F25">
            <v>0</v>
          </cell>
          <cell r="G25">
            <v>0</v>
          </cell>
          <cell r="H25">
            <v>0</v>
          </cell>
          <cell r="I25">
            <v>0</v>
          </cell>
          <cell r="J25">
            <v>0</v>
          </cell>
        </row>
        <row r="25">
          <cell r="L25">
            <v>0</v>
          </cell>
          <cell r="M25">
            <v>0</v>
          </cell>
          <cell r="N25">
            <v>0</v>
          </cell>
        </row>
        <row r="26">
          <cell r="D26">
            <v>4</v>
          </cell>
          <cell r="E26">
            <v>4</v>
          </cell>
          <cell r="F26">
            <v>4.12</v>
          </cell>
          <cell r="G26">
            <v>4.2436</v>
          </cell>
          <cell r="H26">
            <v>4.370908</v>
          </cell>
          <cell r="I26">
            <v>4.50203524</v>
          </cell>
          <cell r="J26">
            <v>21.23654324</v>
          </cell>
        </row>
        <row r="26">
          <cell r="L26">
            <v>4.6370962972</v>
          </cell>
          <cell r="M26">
            <v>4.776209186116</v>
          </cell>
          <cell r="N26">
            <v>30.649848723316</v>
          </cell>
        </row>
        <row r="27">
          <cell r="D27">
            <v>0.4</v>
          </cell>
          <cell r="E27">
            <v>0.4</v>
          </cell>
          <cell r="F27">
            <v>0.412</v>
          </cell>
          <cell r="G27">
            <v>0.42436</v>
          </cell>
          <cell r="H27">
            <v>0.4370908</v>
          </cell>
          <cell r="I27">
            <v>0.450203524</v>
          </cell>
          <cell r="J27">
            <v>2.123654324</v>
          </cell>
        </row>
        <row r="27">
          <cell r="L27">
            <v>0.46370962972</v>
          </cell>
          <cell r="M27">
            <v>0.4776209186116</v>
          </cell>
          <cell r="N27">
            <v>3.0649848723316</v>
          </cell>
        </row>
        <row r="28">
          <cell r="D28">
            <v>0</v>
          </cell>
          <cell r="E28">
            <v>0</v>
          </cell>
          <cell r="F28">
            <v>0</v>
          </cell>
          <cell r="G28">
            <v>0</v>
          </cell>
          <cell r="H28">
            <v>0</v>
          </cell>
          <cell r="I28">
            <v>0</v>
          </cell>
          <cell r="J28">
            <v>0</v>
          </cell>
        </row>
        <row r="28">
          <cell r="L28">
            <v>0</v>
          </cell>
          <cell r="M28">
            <v>0</v>
          </cell>
          <cell r="N28">
            <v>0</v>
          </cell>
        </row>
        <row r="29">
          <cell r="D29">
            <v>1</v>
          </cell>
          <cell r="E29">
            <v>1</v>
          </cell>
          <cell r="F29">
            <v>1.03</v>
          </cell>
          <cell r="G29">
            <v>1.0609</v>
          </cell>
          <cell r="H29">
            <v>1.092727</v>
          </cell>
          <cell r="I29">
            <v>1.12550881</v>
          </cell>
          <cell r="J29">
            <v>5.30913581</v>
          </cell>
        </row>
        <row r="29">
          <cell r="L29">
            <v>1.1592740743</v>
          </cell>
          <cell r="M29">
            <v>1.194052296529</v>
          </cell>
          <cell r="N29">
            <v>7.662462180829</v>
          </cell>
        </row>
        <row r="30">
          <cell r="D30">
            <v>3</v>
          </cell>
          <cell r="E30">
            <v>3</v>
          </cell>
          <cell r="F30">
            <v>3.09</v>
          </cell>
          <cell r="G30">
            <v>3.1827</v>
          </cell>
          <cell r="H30">
            <v>3.278181</v>
          </cell>
          <cell r="I30">
            <v>3.37652643</v>
          </cell>
          <cell r="J30">
            <v>15.92740743</v>
          </cell>
        </row>
        <row r="30">
          <cell r="L30">
            <v>3.4778222229</v>
          </cell>
          <cell r="M30">
            <v>3.582156889587</v>
          </cell>
          <cell r="N30">
            <v>22.987386542487</v>
          </cell>
        </row>
        <row r="31">
          <cell r="D31">
            <v>11</v>
          </cell>
          <cell r="E31">
            <v>11</v>
          </cell>
          <cell r="F31">
            <v>11.33</v>
          </cell>
          <cell r="G31">
            <v>11.6699</v>
          </cell>
          <cell r="H31">
            <v>12.019997</v>
          </cell>
          <cell r="I31">
            <v>12.38059691</v>
          </cell>
          <cell r="J31">
            <v>58.40049391</v>
          </cell>
        </row>
        <row r="31">
          <cell r="L31">
            <v>12.7520148173</v>
          </cell>
          <cell r="M31">
            <v>13.134575261819</v>
          </cell>
          <cell r="N31">
            <v>84.287083989119</v>
          </cell>
        </row>
        <row r="32">
          <cell r="D32">
            <v>263.908</v>
          </cell>
          <cell r="E32">
            <v>262.908</v>
          </cell>
          <cell r="F32">
            <v>270.79524</v>
          </cell>
          <cell r="G32">
            <v>278.9190972</v>
          </cell>
          <cell r="H32">
            <v>287.286670116</v>
          </cell>
          <cell r="I32">
            <v>295.90527021948</v>
          </cell>
          <cell r="J32">
            <v>1395.81427753548</v>
          </cell>
        </row>
        <row r="32">
          <cell r="L32">
            <v>304.782428326065</v>
          </cell>
          <cell r="M32">
            <v>313.925901175846</v>
          </cell>
          <cell r="N32">
            <v>2014.52260703739</v>
          </cell>
        </row>
        <row r="33">
          <cell r="D33">
            <v>0</v>
          </cell>
          <cell r="E33">
            <v>0</v>
          </cell>
          <cell r="F33">
            <v>0</v>
          </cell>
          <cell r="G33">
            <v>0</v>
          </cell>
          <cell r="H33">
            <v>0</v>
          </cell>
          <cell r="I33">
            <v>0</v>
          </cell>
          <cell r="J33">
            <v>0</v>
          </cell>
        </row>
        <row r="33">
          <cell r="L33">
            <v>0</v>
          </cell>
          <cell r="M33">
            <v>0</v>
          </cell>
          <cell r="N33">
            <v>0</v>
          </cell>
        </row>
        <row r="34">
          <cell r="D34">
            <v>263.908</v>
          </cell>
          <cell r="E34">
            <v>262.908</v>
          </cell>
          <cell r="F34">
            <v>270.79524</v>
          </cell>
          <cell r="G34">
            <v>278.9190972</v>
          </cell>
          <cell r="H34">
            <v>287.286670116</v>
          </cell>
          <cell r="I34">
            <v>295.90527021948</v>
          </cell>
          <cell r="J34">
            <v>1395.81427753548</v>
          </cell>
        </row>
        <row r="34">
          <cell r="L34">
            <v>304.782428326065</v>
          </cell>
          <cell r="M34">
            <v>313.925901175846</v>
          </cell>
          <cell r="N34">
            <v>2014.52260703739</v>
          </cell>
        </row>
        <row r="36">
          <cell r="D36">
            <v>0</v>
          </cell>
          <cell r="E36">
            <v>0</v>
          </cell>
          <cell r="F36">
            <v>0</v>
          </cell>
          <cell r="G36">
            <v>0</v>
          </cell>
          <cell r="H36">
            <v>0</v>
          </cell>
          <cell r="I36">
            <v>0</v>
          </cell>
          <cell r="J36">
            <v>0</v>
          </cell>
        </row>
        <row r="36">
          <cell r="L36">
            <v>0</v>
          </cell>
          <cell r="M36">
            <v>0</v>
          </cell>
          <cell r="N36">
            <v>0</v>
          </cell>
        </row>
        <row r="37">
          <cell r="D37">
            <v>0</v>
          </cell>
          <cell r="E37">
            <v>0</v>
          </cell>
          <cell r="F37">
            <v>0</v>
          </cell>
          <cell r="G37">
            <v>0</v>
          </cell>
          <cell r="H37">
            <v>0</v>
          </cell>
          <cell r="I37">
            <v>0</v>
          </cell>
          <cell r="J37">
            <v>0</v>
          </cell>
        </row>
        <row r="37">
          <cell r="L37">
            <v>0</v>
          </cell>
          <cell r="M37">
            <v>0</v>
          </cell>
          <cell r="N37">
            <v>0</v>
          </cell>
        </row>
        <row r="38">
          <cell r="D38">
            <v>0</v>
          </cell>
          <cell r="E38">
            <v>0</v>
          </cell>
          <cell r="F38">
            <v>0</v>
          </cell>
          <cell r="G38">
            <v>0</v>
          </cell>
          <cell r="H38">
            <v>0</v>
          </cell>
          <cell r="I38">
            <v>0</v>
          </cell>
          <cell r="J38">
            <v>0</v>
          </cell>
        </row>
        <row r="38">
          <cell r="L38">
            <v>0</v>
          </cell>
          <cell r="M38">
            <v>0</v>
          </cell>
          <cell r="N38">
            <v>0</v>
          </cell>
        </row>
        <row r="39">
          <cell r="D39">
            <v>0</v>
          </cell>
          <cell r="E39">
            <v>0</v>
          </cell>
          <cell r="F39">
            <v>0</v>
          </cell>
          <cell r="G39">
            <v>0</v>
          </cell>
          <cell r="H39">
            <v>0</v>
          </cell>
          <cell r="I39">
            <v>0</v>
          </cell>
          <cell r="J39">
            <v>0</v>
          </cell>
        </row>
        <row r="39">
          <cell r="L39">
            <v>0</v>
          </cell>
          <cell r="M39">
            <v>0</v>
          </cell>
          <cell r="N39">
            <v>0</v>
          </cell>
        </row>
        <row r="40">
          <cell r="D40">
            <v>0</v>
          </cell>
          <cell r="E40">
            <v>0</v>
          </cell>
          <cell r="F40">
            <v>0</v>
          </cell>
          <cell r="G40">
            <v>0</v>
          </cell>
          <cell r="H40">
            <v>0</v>
          </cell>
          <cell r="I40">
            <v>0</v>
          </cell>
          <cell r="J40">
            <v>0</v>
          </cell>
        </row>
        <row r="40">
          <cell r="L40">
            <v>0</v>
          </cell>
          <cell r="M40">
            <v>0</v>
          </cell>
          <cell r="N40">
            <v>0</v>
          </cell>
        </row>
        <row r="42">
          <cell r="D42">
            <v>263.908</v>
          </cell>
          <cell r="E42">
            <v>262.908</v>
          </cell>
          <cell r="F42">
            <v>270.79524</v>
          </cell>
          <cell r="G42">
            <v>278.9190972</v>
          </cell>
          <cell r="H42">
            <v>287.286670116</v>
          </cell>
          <cell r="I42">
            <v>295.90527021948</v>
          </cell>
          <cell r="J42">
            <v>1395.81427753548</v>
          </cell>
        </row>
        <row r="42">
          <cell r="L42">
            <v>304.782428326065</v>
          </cell>
          <cell r="M42">
            <v>313.925901175846</v>
          </cell>
          <cell r="N42">
            <v>2014.52260703739</v>
          </cell>
        </row>
        <row r="45">
          <cell r="D45" t="str">
            <v>BASE YEAR</v>
          </cell>
          <cell r="E45" t="str">
            <v>YEAR 1</v>
          </cell>
          <cell r="F45" t="str">
            <v>YEAR 2</v>
          </cell>
          <cell r="G45" t="str">
            <v>YEAR 3</v>
          </cell>
          <cell r="H45" t="str">
            <v>YEAR 4</v>
          </cell>
          <cell r="I45" t="str">
            <v xml:space="preserve">YEAR 5 </v>
          </cell>
          <cell r="J45" t="str">
            <v>5 Year Total</v>
          </cell>
        </row>
        <row r="45">
          <cell r="L45" t="str">
            <v>5 YEAR + 1</v>
          </cell>
          <cell r="M45" t="str">
            <v>5 YEAR +2</v>
          </cell>
          <cell r="N45" t="str">
            <v>7 Year Total</v>
          </cell>
        </row>
        <row r="46">
          <cell r="D46">
            <v>3.4</v>
          </cell>
          <cell r="E46">
            <v>3.37</v>
          </cell>
          <cell r="F46">
            <v>3.37</v>
          </cell>
          <cell r="G46">
            <v>3.37</v>
          </cell>
          <cell r="H46">
            <v>3.37</v>
          </cell>
          <cell r="I46">
            <v>3.37</v>
          </cell>
        </row>
        <row r="46">
          <cell r="L46">
            <v>3.37</v>
          </cell>
          <cell r="M46">
            <v>3.37</v>
          </cell>
        </row>
        <row r="47">
          <cell r="D47">
            <v>0</v>
          </cell>
          <cell r="E47">
            <v>0</v>
          </cell>
          <cell r="F47">
            <v>0</v>
          </cell>
          <cell r="G47">
            <v>0</v>
          </cell>
          <cell r="H47">
            <v>0</v>
          </cell>
          <cell r="I47">
            <v>0</v>
          </cell>
        </row>
        <row r="47">
          <cell r="L47">
            <v>0</v>
          </cell>
          <cell r="M47">
            <v>0</v>
          </cell>
        </row>
        <row r="48">
          <cell r="D48">
            <v>3.4</v>
          </cell>
          <cell r="E48">
            <v>3.37</v>
          </cell>
          <cell r="F48">
            <v>3.37</v>
          </cell>
          <cell r="G48">
            <v>3.37</v>
          </cell>
          <cell r="H48">
            <v>3.37</v>
          </cell>
          <cell r="I48">
            <v>3.37</v>
          </cell>
        </row>
        <row r="48">
          <cell r="L48">
            <v>3.37</v>
          </cell>
          <cell r="M48">
            <v>3.37</v>
          </cell>
        </row>
        <row r="50">
          <cell r="D50">
            <v>161.708</v>
          </cell>
          <cell r="E50">
            <v>160.708</v>
          </cell>
          <cell r="F50">
            <v>165.52924</v>
          </cell>
          <cell r="G50">
            <v>170.4951172</v>
          </cell>
          <cell r="H50">
            <v>175.609970716</v>
          </cell>
          <cell r="I50">
            <v>180.87826983748</v>
          </cell>
          <cell r="J50">
            <v>853.22059775348</v>
          </cell>
        </row>
        <row r="50">
          <cell r="L50">
            <v>186.304617932604</v>
          </cell>
          <cell r="M50">
            <v>191.893756470583</v>
          </cell>
          <cell r="N50">
            <v>1231.41897215667</v>
          </cell>
        </row>
        <row r="51">
          <cell r="D51">
            <v>6.7</v>
          </cell>
          <cell r="E51">
            <v>6.7</v>
          </cell>
          <cell r="F51">
            <v>6.901</v>
          </cell>
          <cell r="G51">
            <v>7.10803</v>
          </cell>
          <cell r="H51">
            <v>7.3212709</v>
          </cell>
          <cell r="I51">
            <v>7.540909027</v>
          </cell>
          <cell r="J51">
            <v>35.571209927</v>
          </cell>
        </row>
        <row r="51">
          <cell r="L51">
            <v>7.76713629781</v>
          </cell>
          <cell r="M51">
            <v>8.0001503867443</v>
          </cell>
          <cell r="N51">
            <v>51.3384966115543</v>
          </cell>
        </row>
        <row r="52">
          <cell r="D52">
            <v>0</v>
          </cell>
          <cell r="E52">
            <v>0</v>
          </cell>
          <cell r="F52">
            <v>0</v>
          </cell>
          <cell r="G52">
            <v>0</v>
          </cell>
          <cell r="H52">
            <v>0</v>
          </cell>
          <cell r="I52">
            <v>0</v>
          </cell>
          <cell r="J52">
            <v>0</v>
          </cell>
        </row>
        <row r="52">
          <cell r="L52">
            <v>0</v>
          </cell>
          <cell r="M52">
            <v>0</v>
          </cell>
          <cell r="N52">
            <v>0</v>
          </cell>
        </row>
        <row r="53">
          <cell r="D53">
            <v>5</v>
          </cell>
          <cell r="E53">
            <v>5</v>
          </cell>
          <cell r="F53">
            <v>5.15</v>
          </cell>
          <cell r="G53">
            <v>5.3045</v>
          </cell>
          <cell r="H53">
            <v>5.463635</v>
          </cell>
          <cell r="I53">
            <v>5.62754405</v>
          </cell>
          <cell r="J53">
            <v>26.54567905</v>
          </cell>
        </row>
        <row r="53">
          <cell r="L53">
            <v>5.7963703715</v>
          </cell>
          <cell r="M53">
            <v>5.970261482645</v>
          </cell>
          <cell r="N53">
            <v>38.312310904145</v>
          </cell>
        </row>
        <row r="54">
          <cell r="D54">
            <v>10</v>
          </cell>
          <cell r="E54">
            <v>10</v>
          </cell>
          <cell r="F54">
            <v>10.3</v>
          </cell>
          <cell r="G54">
            <v>10.609</v>
          </cell>
          <cell r="H54">
            <v>10.92727</v>
          </cell>
          <cell r="I54">
            <v>11.2550881</v>
          </cell>
          <cell r="J54">
            <v>53.0913581</v>
          </cell>
        </row>
        <row r="54">
          <cell r="L54">
            <v>11.592740743</v>
          </cell>
          <cell r="M54">
            <v>11.94052296529</v>
          </cell>
          <cell r="N54">
            <v>76.62462180829</v>
          </cell>
        </row>
        <row r="55">
          <cell r="D55">
            <v>7</v>
          </cell>
          <cell r="E55">
            <v>7</v>
          </cell>
          <cell r="F55">
            <v>7.21</v>
          </cell>
          <cell r="G55">
            <v>7.4263</v>
          </cell>
          <cell r="H55">
            <v>7.649089</v>
          </cell>
          <cell r="I55">
            <v>7.87856167</v>
          </cell>
          <cell r="J55">
            <v>37.16395067</v>
          </cell>
        </row>
        <row r="55">
          <cell r="L55">
            <v>8.1149185201</v>
          </cell>
          <cell r="M55">
            <v>8.358366075703</v>
          </cell>
          <cell r="N55">
            <v>53.637235265803</v>
          </cell>
        </row>
        <row r="56">
          <cell r="D56">
            <v>190.408</v>
          </cell>
          <cell r="E56">
            <v>189.408</v>
          </cell>
          <cell r="F56">
            <v>195.09024</v>
          </cell>
          <cell r="G56">
            <v>200.9429472</v>
          </cell>
          <cell r="H56">
            <v>206.971235616</v>
          </cell>
          <cell r="I56">
            <v>213.18037268448</v>
          </cell>
          <cell r="J56">
            <v>1005.59279550048</v>
          </cell>
        </row>
        <row r="56">
          <cell r="L56">
            <v>219.575783865014</v>
          </cell>
          <cell r="M56">
            <v>226.163057380965</v>
          </cell>
          <cell r="N56">
            <v>1451.33163674646</v>
          </cell>
        </row>
        <row r="57">
          <cell r="D57">
            <v>0</v>
          </cell>
          <cell r="E57">
            <v>0</v>
          </cell>
          <cell r="F57">
            <v>0</v>
          </cell>
          <cell r="G57">
            <v>0</v>
          </cell>
          <cell r="H57">
            <v>0</v>
          </cell>
          <cell r="I57">
            <v>0</v>
          </cell>
          <cell r="J57">
            <v>0</v>
          </cell>
        </row>
        <row r="57">
          <cell r="L57">
            <v>0</v>
          </cell>
          <cell r="M57">
            <v>0</v>
          </cell>
          <cell r="N57">
            <v>0</v>
          </cell>
        </row>
        <row r="58">
          <cell r="D58">
            <v>4</v>
          </cell>
          <cell r="E58">
            <v>4</v>
          </cell>
          <cell r="F58">
            <v>4.12</v>
          </cell>
          <cell r="G58">
            <v>4.2436</v>
          </cell>
          <cell r="H58">
            <v>4.370908</v>
          </cell>
          <cell r="I58">
            <v>4.50203524</v>
          </cell>
          <cell r="J58">
            <v>21.23654324</v>
          </cell>
        </row>
        <row r="58">
          <cell r="L58">
            <v>4.6370962972</v>
          </cell>
          <cell r="M58">
            <v>4.776209186116</v>
          </cell>
          <cell r="N58">
            <v>30.649848723316</v>
          </cell>
        </row>
        <row r="59">
          <cell r="D59">
            <v>1</v>
          </cell>
          <cell r="E59">
            <v>1</v>
          </cell>
          <cell r="F59">
            <v>1.03</v>
          </cell>
          <cell r="G59">
            <v>1.0609</v>
          </cell>
          <cell r="H59">
            <v>1.092727</v>
          </cell>
          <cell r="I59">
            <v>1.12550881</v>
          </cell>
          <cell r="J59">
            <v>5.30913581</v>
          </cell>
        </row>
        <row r="59">
          <cell r="L59">
            <v>1.1592740743</v>
          </cell>
          <cell r="M59">
            <v>1.194052296529</v>
          </cell>
          <cell r="N59">
            <v>7.662462180829</v>
          </cell>
        </row>
        <row r="60">
          <cell r="D60">
            <v>3</v>
          </cell>
          <cell r="E60">
            <v>3</v>
          </cell>
          <cell r="F60">
            <v>3.09</v>
          </cell>
          <cell r="G60">
            <v>3.1827</v>
          </cell>
          <cell r="H60">
            <v>3.278181</v>
          </cell>
          <cell r="I60">
            <v>3.37652643</v>
          </cell>
          <cell r="J60">
            <v>15.92740743</v>
          </cell>
        </row>
        <row r="60">
          <cell r="L60">
            <v>3.4778222229</v>
          </cell>
          <cell r="M60">
            <v>3.582156889587</v>
          </cell>
          <cell r="N60">
            <v>22.987386542487</v>
          </cell>
        </row>
        <row r="61">
          <cell r="D61">
            <v>0</v>
          </cell>
          <cell r="E61">
            <v>0</v>
          </cell>
          <cell r="F61">
            <v>0</v>
          </cell>
          <cell r="G61">
            <v>0</v>
          </cell>
          <cell r="H61">
            <v>0</v>
          </cell>
          <cell r="I61">
            <v>0</v>
          </cell>
          <cell r="J61">
            <v>0</v>
          </cell>
        </row>
        <row r="61">
          <cell r="L61">
            <v>0</v>
          </cell>
          <cell r="M61">
            <v>0</v>
          </cell>
          <cell r="N61">
            <v>0</v>
          </cell>
        </row>
        <row r="62">
          <cell r="D62">
            <v>0</v>
          </cell>
          <cell r="E62">
            <v>0</v>
          </cell>
          <cell r="F62">
            <v>0</v>
          </cell>
          <cell r="G62">
            <v>0</v>
          </cell>
          <cell r="H62">
            <v>0</v>
          </cell>
          <cell r="I62">
            <v>0</v>
          </cell>
          <cell r="J62">
            <v>0</v>
          </cell>
        </row>
        <row r="62">
          <cell r="L62">
            <v>0</v>
          </cell>
          <cell r="M62">
            <v>0</v>
          </cell>
          <cell r="N62">
            <v>0</v>
          </cell>
        </row>
        <row r="63">
          <cell r="D63">
            <v>0</v>
          </cell>
          <cell r="E63">
            <v>0</v>
          </cell>
          <cell r="F63">
            <v>0</v>
          </cell>
          <cell r="G63">
            <v>0</v>
          </cell>
          <cell r="H63">
            <v>0</v>
          </cell>
          <cell r="I63">
            <v>0</v>
          </cell>
          <cell r="J63">
            <v>0</v>
          </cell>
        </row>
        <row r="63">
          <cell r="L63">
            <v>0</v>
          </cell>
          <cell r="M63">
            <v>0</v>
          </cell>
          <cell r="N63">
            <v>0</v>
          </cell>
        </row>
        <row r="64">
          <cell r="D64">
            <v>0</v>
          </cell>
          <cell r="E64">
            <v>0</v>
          </cell>
          <cell r="F64">
            <v>0</v>
          </cell>
          <cell r="G64">
            <v>0</v>
          </cell>
          <cell r="H64">
            <v>0</v>
          </cell>
          <cell r="I64">
            <v>0</v>
          </cell>
          <cell r="J64">
            <v>0</v>
          </cell>
        </row>
        <row r="64">
          <cell r="L64">
            <v>0</v>
          </cell>
          <cell r="M64">
            <v>0</v>
          </cell>
          <cell r="N64">
            <v>0</v>
          </cell>
        </row>
        <row r="65">
          <cell r="D65">
            <v>8</v>
          </cell>
          <cell r="E65">
            <v>8</v>
          </cell>
          <cell r="F65">
            <v>8.24</v>
          </cell>
          <cell r="G65">
            <v>8.4872</v>
          </cell>
          <cell r="H65">
            <v>8.741816</v>
          </cell>
          <cell r="I65">
            <v>9.00407048</v>
          </cell>
          <cell r="J65">
            <v>42.47308648</v>
          </cell>
        </row>
        <row r="65">
          <cell r="L65">
            <v>9.2741925944</v>
          </cell>
          <cell r="M65">
            <v>9.552418372232</v>
          </cell>
          <cell r="N65">
            <v>61.299697446632</v>
          </cell>
        </row>
        <row r="66">
          <cell r="D66">
            <v>1.5</v>
          </cell>
          <cell r="E66">
            <v>1.5</v>
          </cell>
          <cell r="F66">
            <v>1.545</v>
          </cell>
          <cell r="G66">
            <v>1.59135</v>
          </cell>
          <cell r="H66">
            <v>1.6390905</v>
          </cell>
          <cell r="I66">
            <v>1.688263215</v>
          </cell>
          <cell r="J66">
            <v>7.963703715</v>
          </cell>
        </row>
        <row r="66">
          <cell r="L66">
            <v>1.73891111145</v>
          </cell>
          <cell r="M66">
            <v>1.7910784447935</v>
          </cell>
          <cell r="N66">
            <v>11.4936932712435</v>
          </cell>
        </row>
        <row r="67">
          <cell r="D67">
            <v>0.6</v>
          </cell>
          <cell r="E67">
            <v>0.6</v>
          </cell>
          <cell r="F67">
            <v>0.618</v>
          </cell>
          <cell r="G67">
            <v>0.63654</v>
          </cell>
          <cell r="H67">
            <v>0.6556362</v>
          </cell>
          <cell r="I67">
            <v>0.675305286</v>
          </cell>
          <cell r="J67">
            <v>3.185481486</v>
          </cell>
        </row>
        <row r="67">
          <cell r="L67">
            <v>0.69556444458</v>
          </cell>
          <cell r="M67">
            <v>0.7164313779174</v>
          </cell>
          <cell r="N67">
            <v>4.5974773084974</v>
          </cell>
        </row>
        <row r="68">
          <cell r="D68">
            <v>0</v>
          </cell>
          <cell r="E68">
            <v>0</v>
          </cell>
          <cell r="F68">
            <v>0</v>
          </cell>
          <cell r="G68">
            <v>0</v>
          </cell>
          <cell r="H68">
            <v>0</v>
          </cell>
          <cell r="I68">
            <v>0</v>
          </cell>
          <cell r="J68">
            <v>0</v>
          </cell>
        </row>
        <row r="68">
          <cell r="L68">
            <v>0</v>
          </cell>
          <cell r="M68">
            <v>0</v>
          </cell>
          <cell r="N68">
            <v>0</v>
          </cell>
        </row>
        <row r="69">
          <cell r="D69">
            <v>3</v>
          </cell>
          <cell r="E69">
            <v>3</v>
          </cell>
          <cell r="F69">
            <v>3.09</v>
          </cell>
          <cell r="G69">
            <v>3.1827</v>
          </cell>
          <cell r="H69">
            <v>3.278181</v>
          </cell>
          <cell r="I69">
            <v>3.37652643</v>
          </cell>
          <cell r="J69">
            <v>15.92740743</v>
          </cell>
        </row>
        <row r="69">
          <cell r="L69">
            <v>3.4778222229</v>
          </cell>
          <cell r="M69">
            <v>3.582156889587</v>
          </cell>
          <cell r="N69">
            <v>22.987386542487</v>
          </cell>
        </row>
        <row r="70">
          <cell r="D70">
            <v>0.4</v>
          </cell>
          <cell r="E70">
            <v>0.4</v>
          </cell>
          <cell r="F70">
            <v>0.412</v>
          </cell>
          <cell r="G70">
            <v>0.42436</v>
          </cell>
          <cell r="H70">
            <v>0.4370908</v>
          </cell>
          <cell r="I70">
            <v>0.450203524</v>
          </cell>
          <cell r="J70">
            <v>2.123654324</v>
          </cell>
        </row>
        <row r="70">
          <cell r="L70">
            <v>0.46370962972</v>
          </cell>
          <cell r="M70">
            <v>0.4776209186116</v>
          </cell>
          <cell r="N70">
            <v>3.0649848723316</v>
          </cell>
        </row>
        <row r="71">
          <cell r="D71">
            <v>0</v>
          </cell>
          <cell r="E71">
            <v>0</v>
          </cell>
          <cell r="F71">
            <v>0</v>
          </cell>
          <cell r="G71">
            <v>0</v>
          </cell>
          <cell r="H71">
            <v>0</v>
          </cell>
          <cell r="I71">
            <v>0</v>
          </cell>
          <cell r="J71">
            <v>0</v>
          </cell>
        </row>
        <row r="71">
          <cell r="L71">
            <v>0</v>
          </cell>
          <cell r="M71">
            <v>0</v>
          </cell>
          <cell r="N71">
            <v>0</v>
          </cell>
        </row>
        <row r="72">
          <cell r="D72">
            <v>1</v>
          </cell>
          <cell r="E72">
            <v>1</v>
          </cell>
          <cell r="F72">
            <v>1.03</v>
          </cell>
          <cell r="G72">
            <v>1.0609</v>
          </cell>
          <cell r="H72">
            <v>1.092727</v>
          </cell>
          <cell r="I72">
            <v>1.12550881</v>
          </cell>
          <cell r="J72">
            <v>5.30913581</v>
          </cell>
        </row>
        <row r="72">
          <cell r="L72">
            <v>1.1592740743</v>
          </cell>
          <cell r="M72">
            <v>1.194052296529</v>
          </cell>
          <cell r="N72">
            <v>7.662462180829</v>
          </cell>
        </row>
        <row r="73">
          <cell r="D73">
            <v>2</v>
          </cell>
          <cell r="E73">
            <v>2</v>
          </cell>
          <cell r="F73">
            <v>2.06</v>
          </cell>
          <cell r="G73">
            <v>2.1218</v>
          </cell>
          <cell r="H73">
            <v>2.185454</v>
          </cell>
          <cell r="I73">
            <v>2.25101762</v>
          </cell>
          <cell r="J73">
            <v>10.61827162</v>
          </cell>
        </row>
        <row r="73">
          <cell r="L73">
            <v>2.3185481486</v>
          </cell>
          <cell r="M73">
            <v>2.388104593058</v>
          </cell>
          <cell r="N73">
            <v>15.324924361658</v>
          </cell>
        </row>
        <row r="74">
          <cell r="D74">
            <v>8.5</v>
          </cell>
          <cell r="E74">
            <v>8.5</v>
          </cell>
          <cell r="F74">
            <v>8.755</v>
          </cell>
          <cell r="G74">
            <v>9.01765</v>
          </cell>
          <cell r="H74">
            <v>9.2881795</v>
          </cell>
          <cell r="I74">
            <v>9.566824885</v>
          </cell>
          <cell r="J74">
            <v>45.127654385</v>
          </cell>
        </row>
        <row r="74">
          <cell r="L74">
            <v>9.85382963155</v>
          </cell>
          <cell r="M74">
            <v>10.1494445204965</v>
          </cell>
          <cell r="N74">
            <v>65.1309285370465</v>
          </cell>
        </row>
        <row r="75">
          <cell r="D75">
            <v>206.908</v>
          </cell>
          <cell r="E75">
            <v>205.908</v>
          </cell>
          <cell r="F75">
            <v>212.08524</v>
          </cell>
          <cell r="G75">
            <v>218.4477972</v>
          </cell>
          <cell r="H75">
            <v>225.001231116</v>
          </cell>
          <cell r="I75">
            <v>231.75126804948</v>
          </cell>
          <cell r="J75">
            <v>1093.19353636548</v>
          </cell>
        </row>
        <row r="75">
          <cell r="L75">
            <v>238.703806090964</v>
          </cell>
          <cell r="M75">
            <v>245.864920273693</v>
          </cell>
          <cell r="N75">
            <v>1577.76226273014</v>
          </cell>
        </row>
        <row r="76">
          <cell r="D76">
            <v>0</v>
          </cell>
          <cell r="E76">
            <v>0</v>
          </cell>
          <cell r="F76">
            <v>0</v>
          </cell>
          <cell r="G76">
            <v>0</v>
          </cell>
          <cell r="H76">
            <v>0</v>
          </cell>
          <cell r="I76">
            <v>0</v>
          </cell>
          <cell r="J76">
            <v>0</v>
          </cell>
        </row>
        <row r="76">
          <cell r="L76">
            <v>0</v>
          </cell>
          <cell r="M76">
            <v>0</v>
          </cell>
          <cell r="N76">
            <v>0</v>
          </cell>
        </row>
        <row r="77">
          <cell r="D77">
            <v>206.908</v>
          </cell>
          <cell r="E77">
            <v>205.908</v>
          </cell>
          <cell r="F77">
            <v>212.08524</v>
          </cell>
          <cell r="G77">
            <v>218.4477972</v>
          </cell>
          <cell r="H77">
            <v>225.001231116</v>
          </cell>
          <cell r="I77">
            <v>231.75126804948</v>
          </cell>
          <cell r="J77">
            <v>1093.19353636548</v>
          </cell>
        </row>
        <row r="77">
          <cell r="L77">
            <v>238.703806090964</v>
          </cell>
          <cell r="M77">
            <v>245.864920273693</v>
          </cell>
          <cell r="N77">
            <v>1577.76226273014</v>
          </cell>
        </row>
        <row r="79">
          <cell r="D79">
            <v>0</v>
          </cell>
          <cell r="E79">
            <v>0</v>
          </cell>
          <cell r="F79">
            <v>0</v>
          </cell>
          <cell r="G79">
            <v>0</v>
          </cell>
          <cell r="H79">
            <v>0</v>
          </cell>
          <cell r="I79">
            <v>0</v>
          </cell>
          <cell r="J79">
            <v>0</v>
          </cell>
        </row>
        <row r="79">
          <cell r="L79">
            <v>0</v>
          </cell>
          <cell r="M79">
            <v>0</v>
          </cell>
          <cell r="N79">
            <v>0</v>
          </cell>
        </row>
        <row r="80">
          <cell r="D80">
            <v>0</v>
          </cell>
          <cell r="E80">
            <v>0</v>
          </cell>
          <cell r="F80">
            <v>0</v>
          </cell>
          <cell r="G80">
            <v>0</v>
          </cell>
          <cell r="H80">
            <v>0</v>
          </cell>
          <cell r="I80">
            <v>0</v>
          </cell>
          <cell r="J80">
            <v>0</v>
          </cell>
        </row>
        <row r="80">
          <cell r="L80">
            <v>0</v>
          </cell>
          <cell r="M80">
            <v>0</v>
          </cell>
          <cell r="N80">
            <v>0</v>
          </cell>
        </row>
        <row r="81">
          <cell r="D81">
            <v>0</v>
          </cell>
          <cell r="E81">
            <v>0</v>
          </cell>
          <cell r="F81">
            <v>0</v>
          </cell>
          <cell r="G81">
            <v>0</v>
          </cell>
          <cell r="H81">
            <v>0</v>
          </cell>
          <cell r="I81">
            <v>0</v>
          </cell>
          <cell r="J81">
            <v>0</v>
          </cell>
        </row>
        <row r="81">
          <cell r="L81">
            <v>0</v>
          </cell>
          <cell r="M81">
            <v>0</v>
          </cell>
          <cell r="N81">
            <v>0</v>
          </cell>
        </row>
        <row r="82">
          <cell r="D82">
            <v>0</v>
          </cell>
          <cell r="E82">
            <v>0</v>
          </cell>
          <cell r="F82">
            <v>0</v>
          </cell>
          <cell r="G82">
            <v>0</v>
          </cell>
          <cell r="H82">
            <v>0</v>
          </cell>
          <cell r="I82">
            <v>0</v>
          </cell>
          <cell r="J82">
            <v>0</v>
          </cell>
        </row>
        <row r="82">
          <cell r="L82">
            <v>0</v>
          </cell>
          <cell r="M82">
            <v>0</v>
          </cell>
          <cell r="N82">
            <v>0</v>
          </cell>
        </row>
        <row r="83">
          <cell r="D83">
            <v>0</v>
          </cell>
          <cell r="E83">
            <v>0</v>
          </cell>
          <cell r="F83">
            <v>0</v>
          </cell>
          <cell r="G83">
            <v>0</v>
          </cell>
          <cell r="H83">
            <v>0</v>
          </cell>
          <cell r="I83">
            <v>0</v>
          </cell>
          <cell r="J83">
            <v>0</v>
          </cell>
        </row>
        <row r="83">
          <cell r="L83">
            <v>0</v>
          </cell>
          <cell r="M83">
            <v>0</v>
          </cell>
          <cell r="N83">
            <v>0</v>
          </cell>
        </row>
        <row r="85">
          <cell r="D85">
            <v>206.908</v>
          </cell>
          <cell r="E85">
            <v>205.908</v>
          </cell>
          <cell r="F85">
            <v>212.08524</v>
          </cell>
          <cell r="G85">
            <v>218.4477972</v>
          </cell>
          <cell r="H85">
            <v>225.001231116</v>
          </cell>
          <cell r="I85">
            <v>231.75126804948</v>
          </cell>
          <cell r="J85">
            <v>1093.19353636548</v>
          </cell>
        </row>
        <row r="85">
          <cell r="L85">
            <v>238.703806090964</v>
          </cell>
          <cell r="M85">
            <v>245.864920273693</v>
          </cell>
          <cell r="N85">
            <v>1577.76226273014</v>
          </cell>
        </row>
        <row r="89">
          <cell r="D89" t="str">
            <v>BASE YEAR</v>
          </cell>
          <cell r="E89" t="str">
            <v>YEAR 1</v>
          </cell>
          <cell r="F89" t="str">
            <v>YEAR 2</v>
          </cell>
          <cell r="G89" t="str">
            <v>YEAR 3</v>
          </cell>
          <cell r="H89" t="str">
            <v>YEAR 4</v>
          </cell>
          <cell r="I89" t="str">
            <v xml:space="preserve">YEAR 5 </v>
          </cell>
          <cell r="J89" t="str">
            <v>5 Year Total</v>
          </cell>
        </row>
        <row r="89">
          <cell r="L89" t="str">
            <v>5 YEAR + 1</v>
          </cell>
          <cell r="M89" t="str">
            <v>5 YEAR + 2</v>
          </cell>
          <cell r="N89" t="str">
            <v>7 Year Total</v>
          </cell>
        </row>
        <row r="90">
          <cell r="D90">
            <v>0</v>
          </cell>
          <cell r="E90">
            <v>0</v>
          </cell>
          <cell r="F90">
            <v>0</v>
          </cell>
          <cell r="G90">
            <v>0</v>
          </cell>
          <cell r="H90">
            <v>0</v>
          </cell>
          <cell r="I90">
            <v>0</v>
          </cell>
        </row>
        <row r="90">
          <cell r="L90">
            <v>0</v>
          </cell>
          <cell r="M90">
            <v>0</v>
          </cell>
        </row>
        <row r="91">
          <cell r="D91">
            <v>0</v>
          </cell>
          <cell r="E91">
            <v>0</v>
          </cell>
          <cell r="F91">
            <v>0</v>
          </cell>
          <cell r="G91">
            <v>0</v>
          </cell>
          <cell r="H91">
            <v>0</v>
          </cell>
          <cell r="I91">
            <v>0</v>
          </cell>
        </row>
        <row r="91">
          <cell r="L91">
            <v>0</v>
          </cell>
          <cell r="M91">
            <v>0</v>
          </cell>
        </row>
        <row r="92">
          <cell r="D92">
            <v>0</v>
          </cell>
          <cell r="E92">
            <v>0</v>
          </cell>
          <cell r="F92">
            <v>0</v>
          </cell>
          <cell r="G92">
            <v>0</v>
          </cell>
          <cell r="H92">
            <v>0</v>
          </cell>
          <cell r="I92">
            <v>0</v>
          </cell>
        </row>
        <row r="92">
          <cell r="L92">
            <v>0</v>
          </cell>
          <cell r="M92">
            <v>0</v>
          </cell>
        </row>
        <row r="94">
          <cell r="D94">
            <v>0</v>
          </cell>
          <cell r="E94">
            <v>0</v>
          </cell>
          <cell r="F94">
            <v>0</v>
          </cell>
          <cell r="G94">
            <v>0</v>
          </cell>
          <cell r="H94">
            <v>0</v>
          </cell>
          <cell r="I94">
            <v>0</v>
          </cell>
          <cell r="J94">
            <v>0</v>
          </cell>
        </row>
        <row r="94">
          <cell r="L94">
            <v>0</v>
          </cell>
          <cell r="M94">
            <v>0</v>
          </cell>
          <cell r="N94">
            <v>0</v>
          </cell>
        </row>
        <row r="95">
          <cell r="D95">
            <v>0</v>
          </cell>
          <cell r="E95">
            <v>0</v>
          </cell>
          <cell r="F95">
            <v>0</v>
          </cell>
          <cell r="G95">
            <v>0</v>
          </cell>
          <cell r="H95">
            <v>0</v>
          </cell>
          <cell r="I95">
            <v>0</v>
          </cell>
          <cell r="J95">
            <v>0</v>
          </cell>
        </row>
        <row r="95">
          <cell r="L95">
            <v>0</v>
          </cell>
          <cell r="M95">
            <v>0</v>
          </cell>
          <cell r="N95">
            <v>0</v>
          </cell>
        </row>
        <row r="96">
          <cell r="D96">
            <v>0</v>
          </cell>
          <cell r="E96">
            <v>0</v>
          </cell>
          <cell r="F96">
            <v>0</v>
          </cell>
          <cell r="G96">
            <v>0</v>
          </cell>
          <cell r="H96">
            <v>0</v>
          </cell>
          <cell r="I96">
            <v>0</v>
          </cell>
          <cell r="J96">
            <v>0</v>
          </cell>
        </row>
        <row r="96">
          <cell r="L96">
            <v>0</v>
          </cell>
          <cell r="M96">
            <v>0</v>
          </cell>
          <cell r="N96">
            <v>0</v>
          </cell>
        </row>
        <row r="97">
          <cell r="D97">
            <v>0</v>
          </cell>
          <cell r="E97">
            <v>0</v>
          </cell>
          <cell r="F97">
            <v>0</v>
          </cell>
          <cell r="G97">
            <v>0</v>
          </cell>
          <cell r="H97">
            <v>0</v>
          </cell>
          <cell r="I97">
            <v>0</v>
          </cell>
          <cell r="J97">
            <v>0</v>
          </cell>
        </row>
        <row r="97">
          <cell r="L97">
            <v>0</v>
          </cell>
          <cell r="M97">
            <v>0</v>
          </cell>
          <cell r="N97">
            <v>0</v>
          </cell>
        </row>
        <row r="98">
          <cell r="D98">
            <v>0</v>
          </cell>
          <cell r="E98">
            <v>0</v>
          </cell>
          <cell r="F98">
            <v>0</v>
          </cell>
          <cell r="G98">
            <v>0</v>
          </cell>
          <cell r="H98">
            <v>0</v>
          </cell>
          <cell r="I98">
            <v>0</v>
          </cell>
          <cell r="J98">
            <v>0</v>
          </cell>
        </row>
        <row r="98">
          <cell r="L98">
            <v>0</v>
          </cell>
          <cell r="M98">
            <v>0</v>
          </cell>
          <cell r="N98">
            <v>0</v>
          </cell>
        </row>
        <row r="99">
          <cell r="D99">
            <v>0</v>
          </cell>
          <cell r="E99">
            <v>0</v>
          </cell>
          <cell r="F99">
            <v>0</v>
          </cell>
          <cell r="G99">
            <v>0</v>
          </cell>
          <cell r="H99">
            <v>0</v>
          </cell>
          <cell r="I99">
            <v>0</v>
          </cell>
          <cell r="J99">
            <v>0</v>
          </cell>
        </row>
        <row r="99">
          <cell r="L99">
            <v>0</v>
          </cell>
          <cell r="M99">
            <v>0</v>
          </cell>
          <cell r="N99">
            <v>0</v>
          </cell>
        </row>
        <row r="100">
          <cell r="D100">
            <v>0</v>
          </cell>
          <cell r="E100">
            <v>0</v>
          </cell>
          <cell r="F100">
            <v>0</v>
          </cell>
          <cell r="G100">
            <v>0</v>
          </cell>
          <cell r="H100">
            <v>0</v>
          </cell>
          <cell r="I100">
            <v>0</v>
          </cell>
          <cell r="J100">
            <v>0</v>
          </cell>
        </row>
        <row r="100">
          <cell r="L100">
            <v>0</v>
          </cell>
          <cell r="M100">
            <v>0</v>
          </cell>
          <cell r="N100">
            <v>0</v>
          </cell>
        </row>
        <row r="101">
          <cell r="D101">
            <v>0</v>
          </cell>
          <cell r="E101">
            <v>0</v>
          </cell>
          <cell r="F101">
            <v>0</v>
          </cell>
          <cell r="G101">
            <v>0</v>
          </cell>
          <cell r="H101">
            <v>0</v>
          </cell>
          <cell r="I101">
            <v>0</v>
          </cell>
          <cell r="J101">
            <v>0</v>
          </cell>
        </row>
        <row r="101">
          <cell r="L101">
            <v>0</v>
          </cell>
          <cell r="M101">
            <v>0</v>
          </cell>
          <cell r="N101">
            <v>0</v>
          </cell>
        </row>
        <row r="102">
          <cell r="D102">
            <v>0</v>
          </cell>
          <cell r="E102">
            <v>0</v>
          </cell>
          <cell r="F102">
            <v>0</v>
          </cell>
          <cell r="G102">
            <v>0</v>
          </cell>
          <cell r="H102">
            <v>0</v>
          </cell>
          <cell r="I102">
            <v>0</v>
          </cell>
          <cell r="J102">
            <v>0</v>
          </cell>
        </row>
        <row r="102">
          <cell r="L102">
            <v>0</v>
          </cell>
          <cell r="M102">
            <v>0</v>
          </cell>
          <cell r="N102">
            <v>0</v>
          </cell>
        </row>
        <row r="103">
          <cell r="D103">
            <v>0</v>
          </cell>
          <cell r="E103">
            <v>0</v>
          </cell>
          <cell r="F103">
            <v>0</v>
          </cell>
          <cell r="G103">
            <v>0</v>
          </cell>
          <cell r="H103">
            <v>0</v>
          </cell>
          <cell r="I103">
            <v>0</v>
          </cell>
          <cell r="J103">
            <v>0</v>
          </cell>
        </row>
        <row r="103">
          <cell r="L103">
            <v>0</v>
          </cell>
          <cell r="M103">
            <v>0</v>
          </cell>
          <cell r="N103">
            <v>0</v>
          </cell>
        </row>
        <row r="104">
          <cell r="D104">
            <v>0</v>
          </cell>
          <cell r="E104">
            <v>0</v>
          </cell>
          <cell r="F104">
            <v>0</v>
          </cell>
          <cell r="G104">
            <v>0</v>
          </cell>
          <cell r="H104">
            <v>0</v>
          </cell>
          <cell r="I104">
            <v>0</v>
          </cell>
          <cell r="J104">
            <v>0</v>
          </cell>
        </row>
        <row r="104">
          <cell r="L104">
            <v>0</v>
          </cell>
          <cell r="M104">
            <v>0</v>
          </cell>
          <cell r="N104">
            <v>0</v>
          </cell>
        </row>
        <row r="105">
          <cell r="D105">
            <v>0</v>
          </cell>
          <cell r="E105">
            <v>0</v>
          </cell>
          <cell r="F105">
            <v>0</v>
          </cell>
          <cell r="G105">
            <v>0</v>
          </cell>
          <cell r="H105">
            <v>0</v>
          </cell>
          <cell r="I105">
            <v>0</v>
          </cell>
          <cell r="J105">
            <v>0</v>
          </cell>
        </row>
        <row r="105">
          <cell r="L105">
            <v>0</v>
          </cell>
          <cell r="M105">
            <v>0</v>
          </cell>
          <cell r="N105">
            <v>0</v>
          </cell>
        </row>
        <row r="106">
          <cell r="D106">
            <v>0</v>
          </cell>
          <cell r="E106">
            <v>0</v>
          </cell>
          <cell r="F106">
            <v>0</v>
          </cell>
          <cell r="G106">
            <v>0</v>
          </cell>
          <cell r="H106">
            <v>0</v>
          </cell>
          <cell r="I106">
            <v>0</v>
          </cell>
          <cell r="J106">
            <v>0</v>
          </cell>
        </row>
        <row r="106">
          <cell r="L106">
            <v>0</v>
          </cell>
          <cell r="M106">
            <v>0</v>
          </cell>
          <cell r="N106">
            <v>0</v>
          </cell>
        </row>
        <row r="107">
          <cell r="D107">
            <v>0</v>
          </cell>
          <cell r="E107">
            <v>0</v>
          </cell>
          <cell r="F107">
            <v>0</v>
          </cell>
          <cell r="G107">
            <v>0</v>
          </cell>
          <cell r="H107">
            <v>0</v>
          </cell>
          <cell r="I107">
            <v>0</v>
          </cell>
          <cell r="J107">
            <v>0</v>
          </cell>
        </row>
        <row r="107">
          <cell r="L107">
            <v>0</v>
          </cell>
          <cell r="M107">
            <v>0</v>
          </cell>
          <cell r="N107">
            <v>0</v>
          </cell>
        </row>
        <row r="108">
          <cell r="D108">
            <v>0</v>
          </cell>
          <cell r="E108">
            <v>0</v>
          </cell>
          <cell r="F108">
            <v>0</v>
          </cell>
          <cell r="G108">
            <v>0</v>
          </cell>
          <cell r="H108">
            <v>0</v>
          </cell>
          <cell r="I108">
            <v>0</v>
          </cell>
          <cell r="J108">
            <v>0</v>
          </cell>
        </row>
        <row r="108">
          <cell r="L108">
            <v>0</v>
          </cell>
          <cell r="M108">
            <v>0</v>
          </cell>
          <cell r="N108">
            <v>0</v>
          </cell>
        </row>
        <row r="109">
          <cell r="D109">
            <v>0</v>
          </cell>
          <cell r="E109">
            <v>0</v>
          </cell>
          <cell r="F109">
            <v>0</v>
          </cell>
          <cell r="G109">
            <v>0</v>
          </cell>
          <cell r="H109">
            <v>0</v>
          </cell>
          <cell r="I109">
            <v>0</v>
          </cell>
          <cell r="J109">
            <v>0</v>
          </cell>
        </row>
        <row r="109">
          <cell r="L109">
            <v>0</v>
          </cell>
          <cell r="M109">
            <v>0</v>
          </cell>
          <cell r="N109">
            <v>0</v>
          </cell>
        </row>
        <row r="110">
          <cell r="D110">
            <v>0</v>
          </cell>
          <cell r="E110">
            <v>0</v>
          </cell>
          <cell r="F110">
            <v>0</v>
          </cell>
          <cell r="G110">
            <v>0</v>
          </cell>
          <cell r="H110">
            <v>0</v>
          </cell>
          <cell r="I110">
            <v>0</v>
          </cell>
          <cell r="J110">
            <v>0</v>
          </cell>
        </row>
        <row r="110">
          <cell r="L110">
            <v>0</v>
          </cell>
          <cell r="M110">
            <v>0</v>
          </cell>
          <cell r="N110">
            <v>0</v>
          </cell>
        </row>
        <row r="111">
          <cell r="D111">
            <v>0</v>
          </cell>
          <cell r="E111">
            <v>0</v>
          </cell>
          <cell r="F111">
            <v>0</v>
          </cell>
          <cell r="G111">
            <v>0</v>
          </cell>
          <cell r="H111">
            <v>0</v>
          </cell>
          <cell r="I111">
            <v>0</v>
          </cell>
          <cell r="J111">
            <v>0</v>
          </cell>
        </row>
        <row r="111">
          <cell r="L111">
            <v>0</v>
          </cell>
          <cell r="M111">
            <v>0</v>
          </cell>
          <cell r="N111">
            <v>0</v>
          </cell>
        </row>
        <row r="112">
          <cell r="D112">
            <v>0</v>
          </cell>
          <cell r="E112">
            <v>0</v>
          </cell>
          <cell r="F112">
            <v>0</v>
          </cell>
          <cell r="G112">
            <v>0</v>
          </cell>
          <cell r="H112">
            <v>0</v>
          </cell>
          <cell r="I112">
            <v>0</v>
          </cell>
          <cell r="J112">
            <v>0</v>
          </cell>
        </row>
        <row r="112">
          <cell r="L112">
            <v>0</v>
          </cell>
          <cell r="M112">
            <v>0</v>
          </cell>
          <cell r="N112">
            <v>0</v>
          </cell>
        </row>
        <row r="113">
          <cell r="D113">
            <v>0</v>
          </cell>
          <cell r="E113">
            <v>0</v>
          </cell>
          <cell r="F113">
            <v>0</v>
          </cell>
          <cell r="G113">
            <v>0</v>
          </cell>
          <cell r="H113">
            <v>0</v>
          </cell>
          <cell r="I113">
            <v>0</v>
          </cell>
          <cell r="J113">
            <v>0</v>
          </cell>
        </row>
        <row r="113">
          <cell r="L113">
            <v>0</v>
          </cell>
          <cell r="M113">
            <v>0</v>
          </cell>
          <cell r="N113">
            <v>0</v>
          </cell>
        </row>
        <row r="114">
          <cell r="D114">
            <v>0</v>
          </cell>
          <cell r="E114">
            <v>0</v>
          </cell>
          <cell r="F114">
            <v>0</v>
          </cell>
          <cell r="G114">
            <v>0</v>
          </cell>
          <cell r="H114">
            <v>0</v>
          </cell>
          <cell r="I114">
            <v>0</v>
          </cell>
          <cell r="J114">
            <v>0</v>
          </cell>
        </row>
        <row r="114">
          <cell r="L114">
            <v>0</v>
          </cell>
          <cell r="M114">
            <v>0</v>
          </cell>
          <cell r="N114">
            <v>0</v>
          </cell>
        </row>
        <row r="115">
          <cell r="D115">
            <v>0</v>
          </cell>
          <cell r="E115">
            <v>0</v>
          </cell>
          <cell r="F115">
            <v>0</v>
          </cell>
          <cell r="G115">
            <v>0</v>
          </cell>
          <cell r="H115">
            <v>0</v>
          </cell>
          <cell r="I115">
            <v>0</v>
          </cell>
          <cell r="J115">
            <v>0</v>
          </cell>
        </row>
        <row r="115">
          <cell r="L115">
            <v>0</v>
          </cell>
          <cell r="M115">
            <v>0</v>
          </cell>
          <cell r="N115">
            <v>0</v>
          </cell>
        </row>
        <row r="116">
          <cell r="D116">
            <v>0</v>
          </cell>
          <cell r="E116">
            <v>0</v>
          </cell>
          <cell r="F116">
            <v>0</v>
          </cell>
          <cell r="G116">
            <v>0</v>
          </cell>
          <cell r="H116">
            <v>0</v>
          </cell>
          <cell r="I116">
            <v>0</v>
          </cell>
          <cell r="J116">
            <v>0</v>
          </cell>
        </row>
        <row r="116">
          <cell r="L116">
            <v>0</v>
          </cell>
          <cell r="M116">
            <v>0</v>
          </cell>
          <cell r="N116">
            <v>0</v>
          </cell>
        </row>
        <row r="117">
          <cell r="D117">
            <v>0</v>
          </cell>
          <cell r="E117">
            <v>0</v>
          </cell>
          <cell r="F117">
            <v>0</v>
          </cell>
          <cell r="G117">
            <v>0</v>
          </cell>
          <cell r="H117">
            <v>0</v>
          </cell>
          <cell r="I117">
            <v>0</v>
          </cell>
          <cell r="J117">
            <v>0</v>
          </cell>
        </row>
        <row r="117">
          <cell r="L117">
            <v>0</v>
          </cell>
          <cell r="M117">
            <v>0</v>
          </cell>
          <cell r="N117">
            <v>0</v>
          </cell>
        </row>
        <row r="118">
          <cell r="D118">
            <v>0</v>
          </cell>
          <cell r="E118">
            <v>0</v>
          </cell>
          <cell r="F118">
            <v>0</v>
          </cell>
          <cell r="G118">
            <v>0</v>
          </cell>
          <cell r="H118">
            <v>0</v>
          </cell>
          <cell r="I118">
            <v>0</v>
          </cell>
          <cell r="J118">
            <v>0</v>
          </cell>
        </row>
        <row r="118">
          <cell r="L118">
            <v>0</v>
          </cell>
          <cell r="M118">
            <v>0</v>
          </cell>
          <cell r="N118">
            <v>0</v>
          </cell>
        </row>
        <row r="119">
          <cell r="D119">
            <v>0</v>
          </cell>
          <cell r="E119">
            <v>0</v>
          </cell>
          <cell r="F119">
            <v>0</v>
          </cell>
          <cell r="G119">
            <v>0</v>
          </cell>
          <cell r="H119">
            <v>0</v>
          </cell>
          <cell r="I119">
            <v>0</v>
          </cell>
          <cell r="J119">
            <v>0</v>
          </cell>
        </row>
        <row r="119">
          <cell r="L119">
            <v>0</v>
          </cell>
          <cell r="M119">
            <v>0</v>
          </cell>
          <cell r="N119">
            <v>0</v>
          </cell>
        </row>
        <row r="120">
          <cell r="D120">
            <v>0</v>
          </cell>
          <cell r="E120">
            <v>0</v>
          </cell>
          <cell r="F120">
            <v>0</v>
          </cell>
          <cell r="G120">
            <v>0</v>
          </cell>
          <cell r="H120">
            <v>0</v>
          </cell>
          <cell r="I120">
            <v>0</v>
          </cell>
          <cell r="J120">
            <v>0</v>
          </cell>
        </row>
        <row r="120">
          <cell r="L120">
            <v>0</v>
          </cell>
          <cell r="M120">
            <v>0</v>
          </cell>
          <cell r="N120">
            <v>0</v>
          </cell>
        </row>
        <row r="121">
          <cell r="D121">
            <v>0</v>
          </cell>
          <cell r="E121">
            <v>0</v>
          </cell>
          <cell r="F121">
            <v>0</v>
          </cell>
          <cell r="G121">
            <v>0</v>
          </cell>
          <cell r="H121">
            <v>0</v>
          </cell>
          <cell r="I121">
            <v>0</v>
          </cell>
          <cell r="J121">
            <v>0</v>
          </cell>
        </row>
        <row r="121">
          <cell r="L121">
            <v>0</v>
          </cell>
          <cell r="M121">
            <v>0</v>
          </cell>
          <cell r="N121">
            <v>0</v>
          </cell>
        </row>
        <row r="123">
          <cell r="D123">
            <v>0</v>
          </cell>
          <cell r="E123">
            <v>0</v>
          </cell>
          <cell r="F123">
            <v>0</v>
          </cell>
          <cell r="G123">
            <v>0</v>
          </cell>
          <cell r="H123">
            <v>0</v>
          </cell>
          <cell r="I123">
            <v>0</v>
          </cell>
          <cell r="J123">
            <v>0</v>
          </cell>
        </row>
        <row r="123">
          <cell r="L123">
            <v>0</v>
          </cell>
          <cell r="M123">
            <v>0</v>
          </cell>
          <cell r="N123">
            <v>0</v>
          </cell>
        </row>
        <row r="124">
          <cell r="D124">
            <v>0</v>
          </cell>
          <cell r="E124">
            <v>0</v>
          </cell>
          <cell r="F124">
            <v>0</v>
          </cell>
          <cell r="G124">
            <v>0</v>
          </cell>
          <cell r="H124">
            <v>0</v>
          </cell>
          <cell r="I124">
            <v>0</v>
          </cell>
          <cell r="J124">
            <v>0</v>
          </cell>
        </row>
        <row r="124">
          <cell r="L124">
            <v>0</v>
          </cell>
          <cell r="M124">
            <v>0</v>
          </cell>
          <cell r="N124">
            <v>0</v>
          </cell>
        </row>
        <row r="125">
          <cell r="D125">
            <v>0</v>
          </cell>
          <cell r="E125">
            <v>0</v>
          </cell>
          <cell r="F125">
            <v>0</v>
          </cell>
          <cell r="G125">
            <v>0</v>
          </cell>
          <cell r="H125">
            <v>0</v>
          </cell>
          <cell r="I125">
            <v>0</v>
          </cell>
          <cell r="J125">
            <v>0</v>
          </cell>
        </row>
        <row r="125">
          <cell r="L125">
            <v>0</v>
          </cell>
          <cell r="M125">
            <v>0</v>
          </cell>
          <cell r="N125">
            <v>0</v>
          </cell>
        </row>
        <row r="126">
          <cell r="D126">
            <v>0</v>
          </cell>
          <cell r="E126">
            <v>0</v>
          </cell>
          <cell r="F126">
            <v>0</v>
          </cell>
          <cell r="G126">
            <v>0</v>
          </cell>
          <cell r="H126">
            <v>0</v>
          </cell>
          <cell r="I126">
            <v>0</v>
          </cell>
          <cell r="J126">
            <v>0</v>
          </cell>
        </row>
        <row r="126">
          <cell r="L126">
            <v>0</v>
          </cell>
          <cell r="M126">
            <v>0</v>
          </cell>
          <cell r="N126">
            <v>0</v>
          </cell>
        </row>
        <row r="127">
          <cell r="D127">
            <v>0</v>
          </cell>
          <cell r="E127">
            <v>0</v>
          </cell>
          <cell r="F127">
            <v>0</v>
          </cell>
          <cell r="G127">
            <v>0</v>
          </cell>
          <cell r="H127">
            <v>0</v>
          </cell>
          <cell r="I127">
            <v>0</v>
          </cell>
          <cell r="J127">
            <v>0</v>
          </cell>
        </row>
        <row r="127">
          <cell r="L127">
            <v>0</v>
          </cell>
          <cell r="M127">
            <v>0</v>
          </cell>
          <cell r="N127">
            <v>0</v>
          </cell>
        </row>
        <row r="129">
          <cell r="D129">
            <v>0</v>
          </cell>
          <cell r="E129">
            <v>0</v>
          </cell>
          <cell r="F129">
            <v>0</v>
          </cell>
          <cell r="G129">
            <v>0</v>
          </cell>
          <cell r="H129">
            <v>0</v>
          </cell>
          <cell r="I129">
            <v>0</v>
          </cell>
          <cell r="J129">
            <v>0</v>
          </cell>
        </row>
        <row r="129">
          <cell r="L129">
            <v>0</v>
          </cell>
          <cell r="M129">
            <v>0</v>
          </cell>
          <cell r="N129">
            <v>0</v>
          </cell>
        </row>
        <row r="132">
          <cell r="D132" t="str">
            <v>BASE YEAR</v>
          </cell>
          <cell r="E132" t="str">
            <v>YEAR 1</v>
          </cell>
          <cell r="F132" t="str">
            <v>YEAR 2</v>
          </cell>
          <cell r="G132" t="str">
            <v>YEAR 3</v>
          </cell>
          <cell r="H132" t="str">
            <v>YEAR 4</v>
          </cell>
          <cell r="I132" t="str">
            <v xml:space="preserve">YEAR 5 </v>
          </cell>
          <cell r="J132" t="str">
            <v>5 Year  Total</v>
          </cell>
        </row>
        <row r="132">
          <cell r="L132" t="str">
            <v>5 YEAR + 1</v>
          </cell>
          <cell r="M132" t="str">
            <v>5 YEAR + 2</v>
          </cell>
          <cell r="N132" t="str">
            <v>7 Year  Total</v>
          </cell>
        </row>
        <row r="133">
          <cell r="D133">
            <v>1</v>
          </cell>
          <cell r="E133">
            <v>1</v>
          </cell>
          <cell r="F133">
            <v>1</v>
          </cell>
          <cell r="G133">
            <v>1</v>
          </cell>
          <cell r="H133">
            <v>1</v>
          </cell>
          <cell r="I133">
            <v>1</v>
          </cell>
        </row>
        <row r="133">
          <cell r="L133">
            <v>1</v>
          </cell>
          <cell r="M133">
            <v>1</v>
          </cell>
        </row>
        <row r="134">
          <cell r="D134">
            <v>0</v>
          </cell>
          <cell r="E134">
            <v>0</v>
          </cell>
          <cell r="F134">
            <v>0</v>
          </cell>
          <cell r="G134">
            <v>0</v>
          </cell>
          <cell r="H134">
            <v>0</v>
          </cell>
          <cell r="I134">
            <v>0</v>
          </cell>
        </row>
        <row r="134">
          <cell r="L134">
            <v>0</v>
          </cell>
          <cell r="M134">
            <v>0</v>
          </cell>
        </row>
        <row r="135">
          <cell r="D135">
            <v>1</v>
          </cell>
          <cell r="E135">
            <v>1</v>
          </cell>
          <cell r="F135">
            <v>1</v>
          </cell>
          <cell r="G135">
            <v>1</v>
          </cell>
          <cell r="H135">
            <v>1</v>
          </cell>
          <cell r="I135">
            <v>1</v>
          </cell>
        </row>
        <row r="135">
          <cell r="L135">
            <v>1</v>
          </cell>
          <cell r="M135">
            <v>1</v>
          </cell>
        </row>
        <row r="137">
          <cell r="D137">
            <v>45.5</v>
          </cell>
          <cell r="E137">
            <v>45.5</v>
          </cell>
          <cell r="F137">
            <v>46.865</v>
          </cell>
          <cell r="G137">
            <v>48.27095</v>
          </cell>
          <cell r="H137">
            <v>49.7190785</v>
          </cell>
          <cell r="I137">
            <v>51.210650855</v>
          </cell>
          <cell r="J137">
            <v>241.565679355</v>
          </cell>
        </row>
        <row r="137">
          <cell r="L137">
            <v>52.74697038065</v>
          </cell>
          <cell r="M137">
            <v>54.3293794920695</v>
          </cell>
          <cell r="N137">
            <v>348.64202922772</v>
          </cell>
        </row>
        <row r="138">
          <cell r="D138">
            <v>3</v>
          </cell>
          <cell r="E138">
            <v>3</v>
          </cell>
          <cell r="F138">
            <v>3.09</v>
          </cell>
          <cell r="G138">
            <v>3.1827</v>
          </cell>
          <cell r="H138">
            <v>3.278181</v>
          </cell>
          <cell r="I138">
            <v>3.37652643</v>
          </cell>
          <cell r="J138">
            <v>15.92740743</v>
          </cell>
        </row>
        <row r="138">
          <cell r="L138">
            <v>3.4778222229</v>
          </cell>
          <cell r="M138">
            <v>3.582156889587</v>
          </cell>
          <cell r="N138">
            <v>22.987386542487</v>
          </cell>
        </row>
        <row r="139">
          <cell r="D139">
            <v>0</v>
          </cell>
          <cell r="E139">
            <v>0</v>
          </cell>
          <cell r="F139">
            <v>0</v>
          </cell>
          <cell r="G139">
            <v>0</v>
          </cell>
          <cell r="H139">
            <v>0</v>
          </cell>
          <cell r="I139">
            <v>0</v>
          </cell>
          <cell r="J139">
            <v>0</v>
          </cell>
        </row>
        <row r="139">
          <cell r="L139">
            <v>0</v>
          </cell>
          <cell r="M139">
            <v>0</v>
          </cell>
          <cell r="N139">
            <v>0</v>
          </cell>
        </row>
        <row r="140">
          <cell r="D140">
            <v>0</v>
          </cell>
          <cell r="E140">
            <v>0</v>
          </cell>
          <cell r="F140">
            <v>0</v>
          </cell>
          <cell r="G140">
            <v>0</v>
          </cell>
          <cell r="H140">
            <v>0</v>
          </cell>
          <cell r="I140">
            <v>0</v>
          </cell>
          <cell r="J140">
            <v>0</v>
          </cell>
        </row>
        <row r="140">
          <cell r="L140">
            <v>0</v>
          </cell>
          <cell r="M140">
            <v>0</v>
          </cell>
          <cell r="N140">
            <v>0</v>
          </cell>
        </row>
        <row r="141">
          <cell r="D141">
            <v>2</v>
          </cell>
          <cell r="E141">
            <v>2</v>
          </cell>
          <cell r="F141">
            <v>2.06</v>
          </cell>
          <cell r="G141">
            <v>2.1218</v>
          </cell>
          <cell r="H141">
            <v>2.185454</v>
          </cell>
          <cell r="I141">
            <v>2.25101762</v>
          </cell>
          <cell r="J141">
            <v>10.61827162</v>
          </cell>
        </row>
        <row r="141">
          <cell r="L141">
            <v>2.3185481486</v>
          </cell>
          <cell r="M141">
            <v>2.388104593058</v>
          </cell>
          <cell r="N141">
            <v>15.324924361658</v>
          </cell>
        </row>
        <row r="142">
          <cell r="D142">
            <v>2</v>
          </cell>
          <cell r="E142">
            <v>2</v>
          </cell>
          <cell r="F142">
            <v>2.06</v>
          </cell>
          <cell r="G142">
            <v>2.1218</v>
          </cell>
          <cell r="H142">
            <v>2.185454</v>
          </cell>
          <cell r="I142">
            <v>2.25101762</v>
          </cell>
          <cell r="J142">
            <v>10.61827162</v>
          </cell>
        </row>
        <row r="142">
          <cell r="L142">
            <v>2.3185481486</v>
          </cell>
          <cell r="M142">
            <v>2.388104593058</v>
          </cell>
          <cell r="N142">
            <v>15.324924361658</v>
          </cell>
        </row>
        <row r="143">
          <cell r="D143">
            <v>52.5</v>
          </cell>
          <cell r="E143">
            <v>52.5</v>
          </cell>
          <cell r="F143">
            <v>54.075</v>
          </cell>
          <cell r="G143">
            <v>55.69725</v>
          </cell>
          <cell r="H143">
            <v>57.3681675</v>
          </cell>
          <cell r="I143">
            <v>59.089212525</v>
          </cell>
          <cell r="J143">
            <v>278.729630025</v>
          </cell>
        </row>
        <row r="143">
          <cell r="L143">
            <v>60.86188890075</v>
          </cell>
          <cell r="M143">
            <v>62.6877455677725</v>
          </cell>
          <cell r="N143">
            <v>402.279264493523</v>
          </cell>
        </row>
        <row r="144">
          <cell r="D144">
            <v>0</v>
          </cell>
          <cell r="E144">
            <v>0</v>
          </cell>
          <cell r="F144">
            <v>0</v>
          </cell>
          <cell r="G144">
            <v>0</v>
          </cell>
          <cell r="H144">
            <v>0</v>
          </cell>
          <cell r="I144">
            <v>0</v>
          </cell>
          <cell r="J144">
            <v>0</v>
          </cell>
        </row>
        <row r="144">
          <cell r="L144">
            <v>0</v>
          </cell>
          <cell r="M144">
            <v>0</v>
          </cell>
          <cell r="N144">
            <v>0</v>
          </cell>
        </row>
        <row r="145">
          <cell r="D145">
            <v>1</v>
          </cell>
          <cell r="E145">
            <v>1</v>
          </cell>
          <cell r="F145">
            <v>1.03</v>
          </cell>
          <cell r="G145">
            <v>1.0609</v>
          </cell>
          <cell r="H145">
            <v>1.092727</v>
          </cell>
          <cell r="I145">
            <v>1.12550881</v>
          </cell>
          <cell r="J145">
            <v>5.30913581</v>
          </cell>
        </row>
        <row r="145">
          <cell r="L145">
            <v>1.1592740743</v>
          </cell>
          <cell r="M145">
            <v>1.194052296529</v>
          </cell>
          <cell r="N145">
            <v>7.662462180829</v>
          </cell>
        </row>
        <row r="146">
          <cell r="D146">
            <v>0</v>
          </cell>
          <cell r="E146">
            <v>0</v>
          </cell>
          <cell r="F146">
            <v>0</v>
          </cell>
          <cell r="G146">
            <v>0</v>
          </cell>
          <cell r="H146">
            <v>0</v>
          </cell>
          <cell r="I146">
            <v>0</v>
          </cell>
          <cell r="J146">
            <v>0</v>
          </cell>
        </row>
        <row r="146">
          <cell r="L146">
            <v>0</v>
          </cell>
          <cell r="M146">
            <v>0</v>
          </cell>
          <cell r="N146">
            <v>0</v>
          </cell>
        </row>
        <row r="147">
          <cell r="D147">
            <v>1</v>
          </cell>
          <cell r="E147">
            <v>1</v>
          </cell>
          <cell r="F147">
            <v>1.03</v>
          </cell>
          <cell r="G147">
            <v>1.0609</v>
          </cell>
          <cell r="H147">
            <v>1.092727</v>
          </cell>
          <cell r="I147">
            <v>1.12550881</v>
          </cell>
          <cell r="J147">
            <v>5.30913581</v>
          </cell>
        </row>
        <row r="147">
          <cell r="L147">
            <v>1.1592740743</v>
          </cell>
          <cell r="M147">
            <v>1.194052296529</v>
          </cell>
          <cell r="N147">
            <v>7.662462180829</v>
          </cell>
        </row>
        <row r="148">
          <cell r="D148">
            <v>0</v>
          </cell>
          <cell r="E148">
            <v>0</v>
          </cell>
          <cell r="F148">
            <v>0</v>
          </cell>
          <cell r="G148">
            <v>0</v>
          </cell>
          <cell r="H148">
            <v>0</v>
          </cell>
          <cell r="I148">
            <v>0</v>
          </cell>
          <cell r="J148">
            <v>0</v>
          </cell>
        </row>
        <row r="148">
          <cell r="L148">
            <v>0</v>
          </cell>
          <cell r="M148">
            <v>0</v>
          </cell>
          <cell r="N148">
            <v>0</v>
          </cell>
        </row>
        <row r="149">
          <cell r="D149">
            <v>0</v>
          </cell>
          <cell r="E149">
            <v>0</v>
          </cell>
          <cell r="F149">
            <v>0</v>
          </cell>
          <cell r="G149">
            <v>0</v>
          </cell>
          <cell r="H149">
            <v>0</v>
          </cell>
          <cell r="I149">
            <v>0</v>
          </cell>
          <cell r="J149">
            <v>0</v>
          </cell>
        </row>
        <row r="149">
          <cell r="L149">
            <v>0</v>
          </cell>
          <cell r="M149">
            <v>0</v>
          </cell>
          <cell r="N149">
            <v>0</v>
          </cell>
        </row>
        <row r="150">
          <cell r="D150">
            <v>0</v>
          </cell>
          <cell r="E150">
            <v>0</v>
          </cell>
          <cell r="F150">
            <v>0</v>
          </cell>
          <cell r="G150">
            <v>0</v>
          </cell>
          <cell r="H150">
            <v>0</v>
          </cell>
          <cell r="I150">
            <v>0</v>
          </cell>
          <cell r="J150">
            <v>0</v>
          </cell>
        </row>
        <row r="150">
          <cell r="L150">
            <v>0</v>
          </cell>
          <cell r="M150">
            <v>0</v>
          </cell>
          <cell r="N150">
            <v>0</v>
          </cell>
        </row>
        <row r="151">
          <cell r="D151">
            <v>0</v>
          </cell>
          <cell r="E151">
            <v>0</v>
          </cell>
          <cell r="F151">
            <v>0</v>
          </cell>
          <cell r="G151">
            <v>0</v>
          </cell>
          <cell r="H151">
            <v>0</v>
          </cell>
          <cell r="I151">
            <v>0</v>
          </cell>
          <cell r="J151">
            <v>0</v>
          </cell>
        </row>
        <row r="151">
          <cell r="L151">
            <v>0</v>
          </cell>
          <cell r="M151">
            <v>0</v>
          </cell>
          <cell r="N151">
            <v>0</v>
          </cell>
        </row>
        <row r="152">
          <cell r="D152">
            <v>2</v>
          </cell>
          <cell r="E152">
            <v>2</v>
          </cell>
          <cell r="F152">
            <v>2.06</v>
          </cell>
          <cell r="G152">
            <v>2.1218</v>
          </cell>
          <cell r="H152">
            <v>2.185454</v>
          </cell>
          <cell r="I152">
            <v>2.25101762</v>
          </cell>
          <cell r="J152">
            <v>10.61827162</v>
          </cell>
        </row>
        <row r="152">
          <cell r="L152">
            <v>2.3185481486</v>
          </cell>
          <cell r="M152">
            <v>2.388104593058</v>
          </cell>
          <cell r="N152">
            <v>15.324924361658</v>
          </cell>
        </row>
        <row r="153">
          <cell r="D153">
            <v>0.5</v>
          </cell>
          <cell r="E153">
            <v>0.5</v>
          </cell>
          <cell r="F153">
            <v>0.515</v>
          </cell>
          <cell r="G153">
            <v>0.53045</v>
          </cell>
          <cell r="H153">
            <v>0.5463635</v>
          </cell>
          <cell r="I153">
            <v>0.562754405</v>
          </cell>
          <cell r="J153">
            <v>2.654567905</v>
          </cell>
        </row>
        <row r="153">
          <cell r="L153">
            <v>0.57963703715</v>
          </cell>
          <cell r="M153">
            <v>0.5970261482645</v>
          </cell>
          <cell r="N153">
            <v>3.8312310904145</v>
          </cell>
        </row>
        <row r="154">
          <cell r="D154">
            <v>0</v>
          </cell>
          <cell r="E154">
            <v>0</v>
          </cell>
          <cell r="F154">
            <v>0</v>
          </cell>
          <cell r="G154">
            <v>0</v>
          </cell>
          <cell r="H154">
            <v>0</v>
          </cell>
          <cell r="I154">
            <v>0</v>
          </cell>
          <cell r="J154">
            <v>0</v>
          </cell>
        </row>
        <row r="154">
          <cell r="L154">
            <v>0</v>
          </cell>
          <cell r="M154">
            <v>0</v>
          </cell>
          <cell r="N154">
            <v>0</v>
          </cell>
        </row>
        <row r="155">
          <cell r="D155">
            <v>0</v>
          </cell>
          <cell r="E155">
            <v>0</v>
          </cell>
          <cell r="F155">
            <v>0</v>
          </cell>
          <cell r="G155">
            <v>0</v>
          </cell>
          <cell r="H155">
            <v>0</v>
          </cell>
          <cell r="I155">
            <v>0</v>
          </cell>
          <cell r="J155">
            <v>0</v>
          </cell>
        </row>
        <row r="155">
          <cell r="L155">
            <v>0</v>
          </cell>
          <cell r="M155">
            <v>0</v>
          </cell>
          <cell r="N155">
            <v>0</v>
          </cell>
        </row>
        <row r="156">
          <cell r="D156">
            <v>1</v>
          </cell>
          <cell r="E156">
            <v>1</v>
          </cell>
          <cell r="F156">
            <v>1.03</v>
          </cell>
          <cell r="G156">
            <v>1.0609</v>
          </cell>
          <cell r="H156">
            <v>1.092727</v>
          </cell>
          <cell r="I156">
            <v>1.12550881</v>
          </cell>
          <cell r="J156">
            <v>5.30913581</v>
          </cell>
        </row>
        <row r="156">
          <cell r="L156">
            <v>1.1592740743</v>
          </cell>
          <cell r="M156">
            <v>1.194052296529</v>
          </cell>
          <cell r="N156">
            <v>7.662462180829</v>
          </cell>
        </row>
        <row r="157">
          <cell r="D157">
            <v>0</v>
          </cell>
          <cell r="E157">
            <v>0</v>
          </cell>
          <cell r="F157">
            <v>0</v>
          </cell>
          <cell r="G157">
            <v>0</v>
          </cell>
          <cell r="H157">
            <v>0</v>
          </cell>
          <cell r="I157">
            <v>0</v>
          </cell>
          <cell r="J157">
            <v>0</v>
          </cell>
        </row>
        <row r="157">
          <cell r="L157">
            <v>0</v>
          </cell>
          <cell r="M157">
            <v>0</v>
          </cell>
          <cell r="N157">
            <v>0</v>
          </cell>
        </row>
        <row r="158">
          <cell r="D158">
            <v>0</v>
          </cell>
          <cell r="E158">
            <v>0</v>
          </cell>
          <cell r="F158">
            <v>0</v>
          </cell>
          <cell r="G158">
            <v>0</v>
          </cell>
          <cell r="H158">
            <v>0</v>
          </cell>
          <cell r="I158">
            <v>0</v>
          </cell>
          <cell r="J158">
            <v>0</v>
          </cell>
        </row>
        <row r="158">
          <cell r="L158">
            <v>0</v>
          </cell>
          <cell r="M158">
            <v>0</v>
          </cell>
          <cell r="N158">
            <v>0</v>
          </cell>
        </row>
        <row r="159">
          <cell r="D159">
            <v>0</v>
          </cell>
          <cell r="E159">
            <v>0</v>
          </cell>
          <cell r="F159">
            <v>0</v>
          </cell>
          <cell r="G159">
            <v>0</v>
          </cell>
          <cell r="H159">
            <v>0</v>
          </cell>
          <cell r="I159">
            <v>0</v>
          </cell>
          <cell r="J159">
            <v>0</v>
          </cell>
        </row>
        <row r="159">
          <cell r="L159">
            <v>0</v>
          </cell>
          <cell r="M159">
            <v>0</v>
          </cell>
          <cell r="N159">
            <v>0</v>
          </cell>
        </row>
        <row r="160">
          <cell r="D160">
            <v>1</v>
          </cell>
          <cell r="E160">
            <v>1</v>
          </cell>
          <cell r="F160">
            <v>1.03</v>
          </cell>
          <cell r="G160">
            <v>1.0609</v>
          </cell>
          <cell r="H160">
            <v>1.092727</v>
          </cell>
          <cell r="I160">
            <v>1.12550881</v>
          </cell>
          <cell r="J160">
            <v>5.30913581</v>
          </cell>
        </row>
        <row r="160">
          <cell r="L160">
            <v>1.1592740743</v>
          </cell>
          <cell r="M160">
            <v>1.194052296529</v>
          </cell>
          <cell r="N160">
            <v>7.662462180829</v>
          </cell>
        </row>
        <row r="161">
          <cell r="D161">
            <v>2.5</v>
          </cell>
          <cell r="E161">
            <v>2.5</v>
          </cell>
          <cell r="F161">
            <v>2.575</v>
          </cell>
          <cell r="G161">
            <v>2.65225</v>
          </cell>
          <cell r="H161">
            <v>2.7318175</v>
          </cell>
          <cell r="I161">
            <v>2.813772025</v>
          </cell>
          <cell r="J161">
            <v>13.272839525</v>
          </cell>
        </row>
        <row r="161">
          <cell r="L161">
            <v>2.89818518575</v>
          </cell>
          <cell r="M161">
            <v>2.9851307413225</v>
          </cell>
          <cell r="N161">
            <v>19.1561554520725</v>
          </cell>
        </row>
        <row r="162">
          <cell r="D162">
            <v>57</v>
          </cell>
          <cell r="E162">
            <v>57</v>
          </cell>
          <cell r="F162">
            <v>58.71</v>
          </cell>
          <cell r="G162">
            <v>60.4713</v>
          </cell>
          <cell r="H162">
            <v>62.285439</v>
          </cell>
          <cell r="I162">
            <v>64.15400217</v>
          </cell>
          <cell r="J162">
            <v>302.62074117</v>
          </cell>
        </row>
        <row r="162">
          <cell r="L162">
            <v>66.0786222351</v>
          </cell>
          <cell r="M162">
            <v>68.060980902153</v>
          </cell>
          <cell r="N162">
            <v>436.760344307253</v>
          </cell>
        </row>
        <row r="163">
          <cell r="D163">
            <v>0</v>
          </cell>
          <cell r="E163">
            <v>0</v>
          </cell>
          <cell r="F163">
            <v>0</v>
          </cell>
          <cell r="G163">
            <v>0</v>
          </cell>
          <cell r="H163">
            <v>0</v>
          </cell>
          <cell r="I163">
            <v>0</v>
          </cell>
          <cell r="J163">
            <v>0</v>
          </cell>
        </row>
        <row r="163">
          <cell r="L163">
            <v>0</v>
          </cell>
          <cell r="M163">
            <v>0</v>
          </cell>
          <cell r="N163">
            <v>0</v>
          </cell>
        </row>
        <row r="164">
          <cell r="D164">
            <v>57</v>
          </cell>
          <cell r="E164">
            <v>57</v>
          </cell>
          <cell r="F164">
            <v>58.71</v>
          </cell>
          <cell r="G164">
            <v>60.4713</v>
          </cell>
          <cell r="H164">
            <v>62.285439</v>
          </cell>
          <cell r="I164">
            <v>64.15400217</v>
          </cell>
          <cell r="J164">
            <v>302.62074117</v>
          </cell>
        </row>
        <row r="164">
          <cell r="L164">
            <v>66.0786222351</v>
          </cell>
          <cell r="M164">
            <v>68.060980902153</v>
          </cell>
          <cell r="N164">
            <v>436.760344307253</v>
          </cell>
        </row>
        <row r="166">
          <cell r="D166">
            <v>0</v>
          </cell>
          <cell r="E166">
            <v>0</v>
          </cell>
          <cell r="F166">
            <v>0</v>
          </cell>
          <cell r="G166">
            <v>0</v>
          </cell>
          <cell r="H166">
            <v>0</v>
          </cell>
          <cell r="I166">
            <v>0</v>
          </cell>
          <cell r="J166">
            <v>0</v>
          </cell>
        </row>
        <row r="166">
          <cell r="L166">
            <v>0</v>
          </cell>
          <cell r="M166">
            <v>0</v>
          </cell>
          <cell r="N166">
            <v>0</v>
          </cell>
        </row>
        <row r="167">
          <cell r="D167">
            <v>0</v>
          </cell>
          <cell r="E167">
            <v>0</v>
          </cell>
          <cell r="F167">
            <v>0</v>
          </cell>
          <cell r="G167">
            <v>0</v>
          </cell>
          <cell r="H167">
            <v>0</v>
          </cell>
          <cell r="I167">
            <v>0</v>
          </cell>
          <cell r="J167">
            <v>0</v>
          </cell>
        </row>
        <row r="167">
          <cell r="L167">
            <v>0</v>
          </cell>
          <cell r="M167">
            <v>0</v>
          </cell>
          <cell r="N167">
            <v>0</v>
          </cell>
        </row>
        <row r="168">
          <cell r="D168">
            <v>0</v>
          </cell>
          <cell r="E168">
            <v>0</v>
          </cell>
          <cell r="F168">
            <v>0</v>
          </cell>
          <cell r="G168">
            <v>0</v>
          </cell>
          <cell r="H168">
            <v>0</v>
          </cell>
          <cell r="I168">
            <v>0</v>
          </cell>
          <cell r="J168">
            <v>0</v>
          </cell>
        </row>
        <row r="168">
          <cell r="L168">
            <v>0</v>
          </cell>
          <cell r="M168">
            <v>0</v>
          </cell>
          <cell r="N168">
            <v>0</v>
          </cell>
        </row>
        <row r="169">
          <cell r="D169">
            <v>0</v>
          </cell>
          <cell r="E169">
            <v>0</v>
          </cell>
          <cell r="F169">
            <v>0</v>
          </cell>
          <cell r="G169">
            <v>0</v>
          </cell>
          <cell r="H169">
            <v>0</v>
          </cell>
          <cell r="I169">
            <v>0</v>
          </cell>
          <cell r="J169">
            <v>0</v>
          </cell>
        </row>
        <row r="169">
          <cell r="L169">
            <v>0</v>
          </cell>
          <cell r="M169">
            <v>0</v>
          </cell>
          <cell r="N169">
            <v>0</v>
          </cell>
        </row>
        <row r="170">
          <cell r="D170">
            <v>0</v>
          </cell>
          <cell r="E170">
            <v>0</v>
          </cell>
          <cell r="F170">
            <v>0</v>
          </cell>
          <cell r="G170">
            <v>0</v>
          </cell>
          <cell r="H170">
            <v>0</v>
          </cell>
          <cell r="I170">
            <v>0</v>
          </cell>
          <cell r="J170">
            <v>0</v>
          </cell>
        </row>
        <row r="170">
          <cell r="L170">
            <v>0</v>
          </cell>
          <cell r="M170">
            <v>0</v>
          </cell>
          <cell r="N170">
            <v>0</v>
          </cell>
        </row>
        <row r="172">
          <cell r="D172">
            <v>57</v>
          </cell>
          <cell r="E172">
            <v>57</v>
          </cell>
          <cell r="F172">
            <v>58.71</v>
          </cell>
          <cell r="G172">
            <v>60.4713</v>
          </cell>
          <cell r="H172">
            <v>62.285439</v>
          </cell>
          <cell r="I172">
            <v>64.15400217</v>
          </cell>
          <cell r="J172">
            <v>302.62074117</v>
          </cell>
        </row>
        <row r="172">
          <cell r="L172">
            <v>66.0786222351</v>
          </cell>
          <cell r="M172">
            <v>68.060980902153</v>
          </cell>
          <cell r="N172">
            <v>436.760344307253</v>
          </cell>
        </row>
      </sheetData>
      <sheetData sheetId="2"/>
      <sheetData sheetId="3"/>
      <sheetData sheetId="4"/>
      <sheetData sheetId="5"/>
      <sheetData sheetId="6"/>
      <sheetData sheetId="7"/>
      <sheetData sheetId="8"/>
      <sheetData sheetId="9"/>
      <sheetData sheetId="10"/>
      <sheetData sheetId="11"/>
      <sheetData sheetId="12"/>
    </sheetDataSet>
  </externalBook>
</externalLink>
</file>

<file path=xl/externalLinks/externalLink8.xml><?xml version="1.0" encoding="utf-8"?>
<externalLink xmlns="http://schemas.openxmlformats.org/spreadsheetml/2006/main">
  <externalBook xmlns:r="http://schemas.openxmlformats.org/officeDocument/2006/relationships" r:id="rId1">
    <sheetNames>
      <sheetName val="Notes"/>
      <sheetName val="Consolidated"/>
      <sheetName val="GL"/>
      <sheetName val="Ext.Rpt."/>
      <sheetName val="RTP"/>
      <sheetName val="AP"/>
      <sheetName val="T&amp;E"/>
      <sheetName val="Fixed Assets"/>
      <sheetName val="Cash&amp;Bank"/>
      <sheetName val="OTC"/>
      <sheetName val="Other"/>
      <sheetName val="SOX"/>
      <sheetName val="Depreciation"/>
    </sheetNames>
    <sheetDataSet>
      <sheetData sheetId="0"/>
      <sheetData sheetId="1">
        <row r="2">
          <cell r="D2" t="str">
            <v>BASE YEAR</v>
          </cell>
          <cell r="E2" t="str">
            <v>YEAR 1</v>
          </cell>
          <cell r="F2" t="str">
            <v>YEAR 2</v>
          </cell>
          <cell r="G2" t="str">
            <v>YEAR 3</v>
          </cell>
          <cell r="H2" t="str">
            <v>YEAR 4</v>
          </cell>
          <cell r="I2" t="str">
            <v xml:space="preserve">YEAR 5 </v>
          </cell>
          <cell r="J2" t="str">
            <v>5 Year Total</v>
          </cell>
        </row>
        <row r="2">
          <cell r="L2" t="str">
            <v>5 YEAR + 1</v>
          </cell>
          <cell r="M2" t="str">
            <v>5 YEAR + 2</v>
          </cell>
          <cell r="N2" t="str">
            <v>7 Year Total</v>
          </cell>
        </row>
        <row r="3">
          <cell r="D3">
            <v>19.6</v>
          </cell>
          <cell r="E3">
            <v>19.054</v>
          </cell>
          <cell r="F3">
            <v>19.054</v>
          </cell>
          <cell r="G3">
            <v>19.054</v>
          </cell>
          <cell r="H3">
            <v>19.054</v>
          </cell>
          <cell r="I3">
            <v>19.054</v>
          </cell>
        </row>
        <row r="3">
          <cell r="L3">
            <v>19.054</v>
          </cell>
          <cell r="M3">
            <v>19.054</v>
          </cell>
        </row>
        <row r="4">
          <cell r="D4">
            <v>1.6</v>
          </cell>
          <cell r="E4">
            <v>1.552</v>
          </cell>
          <cell r="F4">
            <v>1.552</v>
          </cell>
          <cell r="G4">
            <v>1.552</v>
          </cell>
          <cell r="H4">
            <v>1.552</v>
          </cell>
          <cell r="I4">
            <v>1.552</v>
          </cell>
        </row>
        <row r="4">
          <cell r="L4">
            <v>1.552</v>
          </cell>
          <cell r="M4">
            <v>1.552</v>
          </cell>
        </row>
        <row r="5">
          <cell r="D5">
            <v>21.2</v>
          </cell>
          <cell r="E5">
            <v>20.606</v>
          </cell>
          <cell r="F5">
            <v>20.606</v>
          </cell>
          <cell r="G5">
            <v>20.606</v>
          </cell>
          <cell r="H5">
            <v>20.606</v>
          </cell>
          <cell r="I5">
            <v>20.606</v>
          </cell>
        </row>
        <row r="5">
          <cell r="L5">
            <v>20.606</v>
          </cell>
          <cell r="M5">
            <v>20.606</v>
          </cell>
        </row>
        <row r="7">
          <cell r="D7">
            <v>1005030</v>
          </cell>
          <cell r="E7">
            <v>974879.1</v>
          </cell>
          <cell r="F7">
            <v>1004125.473</v>
          </cell>
          <cell r="G7">
            <v>1034249.23719</v>
          </cell>
          <cell r="H7">
            <v>1065276.7143057</v>
          </cell>
          <cell r="I7">
            <v>1097235.01573487</v>
          </cell>
          <cell r="J7">
            <v>5175765.54023057</v>
          </cell>
        </row>
        <row r="7">
          <cell r="L7">
            <v>1130152.06620692</v>
          </cell>
          <cell r="M7">
            <v>1164056.62819313</v>
          </cell>
          <cell r="N7">
            <v>7469974.23463061</v>
          </cell>
        </row>
        <row r="8">
          <cell r="D8">
            <v>53470</v>
          </cell>
          <cell r="E8">
            <v>51865.9</v>
          </cell>
          <cell r="F8">
            <v>53421.877</v>
          </cell>
          <cell r="G8">
            <v>55024.53331</v>
          </cell>
          <cell r="H8">
            <v>56675.2693093</v>
          </cell>
          <cell r="I8">
            <v>58375.527388579</v>
          </cell>
          <cell r="J8">
            <v>275363.107007879</v>
          </cell>
        </row>
        <row r="8">
          <cell r="L8">
            <v>60126.7932102364</v>
          </cell>
          <cell r="M8">
            <v>61930.5970065435</v>
          </cell>
          <cell r="N8">
            <v>397420.497224659</v>
          </cell>
        </row>
        <row r="9">
          <cell r="D9">
            <v>76208</v>
          </cell>
          <cell r="E9">
            <v>75400.1952</v>
          </cell>
          <cell r="F9">
            <v>77662.201056</v>
          </cell>
          <cell r="G9">
            <v>79992.06708768</v>
          </cell>
          <cell r="H9">
            <v>82391.8291003104</v>
          </cell>
          <cell r="I9">
            <v>84863.5839733197</v>
          </cell>
          <cell r="J9">
            <v>400309.87641731</v>
          </cell>
        </row>
        <row r="9">
          <cell r="L9">
            <v>87409.4914925193</v>
          </cell>
          <cell r="M9">
            <v>90031.7762372949</v>
          </cell>
          <cell r="N9">
            <v>577751.144147124</v>
          </cell>
        </row>
        <row r="10">
          <cell r="D10">
            <v>0</v>
          </cell>
          <cell r="E10">
            <v>0</v>
          </cell>
          <cell r="F10">
            <v>0</v>
          </cell>
          <cell r="G10">
            <v>0</v>
          </cell>
          <cell r="H10">
            <v>0</v>
          </cell>
          <cell r="I10">
            <v>0</v>
          </cell>
          <cell r="J10">
            <v>0</v>
          </cell>
        </row>
        <row r="10">
          <cell r="L10">
            <v>0</v>
          </cell>
          <cell r="M10">
            <v>0</v>
          </cell>
          <cell r="N10">
            <v>0</v>
          </cell>
        </row>
        <row r="11">
          <cell r="D11">
            <v>1000</v>
          </cell>
          <cell r="E11">
            <v>970</v>
          </cell>
          <cell r="F11">
            <v>999.1</v>
          </cell>
          <cell r="G11">
            <v>1029.073</v>
          </cell>
          <cell r="H11">
            <v>1059.94519</v>
          </cell>
          <cell r="I11">
            <v>1091.7435457</v>
          </cell>
          <cell r="J11">
            <v>5149.8617357</v>
          </cell>
        </row>
        <row r="11">
          <cell r="L11">
            <v>1124.495852071</v>
          </cell>
          <cell r="M11">
            <v>1158.23072763313</v>
          </cell>
          <cell r="N11">
            <v>7432.58831540413</v>
          </cell>
        </row>
        <row r="12">
          <cell r="D12">
            <v>0</v>
          </cell>
          <cell r="E12">
            <v>0</v>
          </cell>
          <cell r="F12">
            <v>0</v>
          </cell>
          <cell r="G12">
            <v>0</v>
          </cell>
          <cell r="H12">
            <v>0</v>
          </cell>
          <cell r="I12">
            <v>0</v>
          </cell>
          <cell r="J12">
            <v>0</v>
          </cell>
        </row>
        <row r="12">
          <cell r="L12">
            <v>0</v>
          </cell>
          <cell r="M12">
            <v>0</v>
          </cell>
          <cell r="N12">
            <v>0</v>
          </cell>
        </row>
        <row r="13">
          <cell r="D13">
            <v>1135708</v>
          </cell>
          <cell r="E13">
            <v>1103115.1952</v>
          </cell>
          <cell r="F13">
            <v>1136208.651056</v>
          </cell>
          <cell r="G13">
            <v>1170294.91058768</v>
          </cell>
          <cell r="H13">
            <v>1205403.75790531</v>
          </cell>
          <cell r="I13">
            <v>1241565.87064247</v>
          </cell>
          <cell r="J13">
            <v>5856588.38539146</v>
          </cell>
        </row>
        <row r="13">
          <cell r="L13">
            <v>1278812.84676174</v>
          </cell>
          <cell r="M13">
            <v>1317177.2321646</v>
          </cell>
          <cell r="N13">
            <v>8452578.4643178</v>
          </cell>
        </row>
        <row r="14">
          <cell r="D14">
            <v>0</v>
          </cell>
          <cell r="E14">
            <v>0</v>
          </cell>
          <cell r="F14">
            <v>0</v>
          </cell>
          <cell r="G14">
            <v>0</v>
          </cell>
          <cell r="H14">
            <v>0</v>
          </cell>
          <cell r="I14">
            <v>0</v>
          </cell>
          <cell r="J14">
            <v>0</v>
          </cell>
        </row>
        <row r="14">
          <cell r="L14">
            <v>0</v>
          </cell>
          <cell r="M14">
            <v>0</v>
          </cell>
          <cell r="N14">
            <v>0</v>
          </cell>
        </row>
        <row r="15">
          <cell r="D15">
            <v>0</v>
          </cell>
          <cell r="E15">
            <v>0</v>
          </cell>
          <cell r="F15">
            <v>0</v>
          </cell>
          <cell r="G15">
            <v>0</v>
          </cell>
          <cell r="H15">
            <v>0</v>
          </cell>
          <cell r="I15">
            <v>0</v>
          </cell>
          <cell r="J15">
            <v>0</v>
          </cell>
        </row>
        <row r="15">
          <cell r="L15">
            <v>0</v>
          </cell>
          <cell r="M15">
            <v>0</v>
          </cell>
          <cell r="N15">
            <v>0</v>
          </cell>
        </row>
        <row r="16">
          <cell r="D16">
            <v>0</v>
          </cell>
          <cell r="E16">
            <v>0</v>
          </cell>
          <cell r="F16">
            <v>0</v>
          </cell>
          <cell r="G16">
            <v>0</v>
          </cell>
          <cell r="H16">
            <v>0</v>
          </cell>
          <cell r="I16">
            <v>0</v>
          </cell>
          <cell r="J16">
            <v>0</v>
          </cell>
        </row>
        <row r="16">
          <cell r="L16">
            <v>0</v>
          </cell>
          <cell r="M16">
            <v>0</v>
          </cell>
          <cell r="N16">
            <v>0</v>
          </cell>
        </row>
        <row r="17">
          <cell r="D17">
            <v>0</v>
          </cell>
          <cell r="E17">
            <v>0</v>
          </cell>
          <cell r="F17">
            <v>0</v>
          </cell>
          <cell r="G17">
            <v>0</v>
          </cell>
          <cell r="H17">
            <v>0</v>
          </cell>
          <cell r="I17">
            <v>0</v>
          </cell>
          <cell r="J17">
            <v>0</v>
          </cell>
        </row>
        <row r="17">
          <cell r="L17">
            <v>0</v>
          </cell>
          <cell r="M17">
            <v>0</v>
          </cell>
          <cell r="N17">
            <v>0</v>
          </cell>
        </row>
        <row r="18">
          <cell r="D18">
            <v>8828</v>
          </cell>
          <cell r="E18">
            <v>8386.6</v>
          </cell>
          <cell r="F18">
            <v>8638.198</v>
          </cell>
          <cell r="G18">
            <v>8897.34394</v>
          </cell>
          <cell r="H18">
            <v>9164.2642582</v>
          </cell>
          <cell r="I18">
            <v>9439.192185946</v>
          </cell>
          <cell r="J18">
            <v>44525.598384146</v>
          </cell>
        </row>
        <row r="18">
          <cell r="L18">
            <v>9722.36795152438</v>
          </cell>
          <cell r="M18">
            <v>10014.0389900701</v>
          </cell>
          <cell r="N18">
            <v>64262.0053257405</v>
          </cell>
        </row>
        <row r="19">
          <cell r="D19">
            <v>243</v>
          </cell>
          <cell r="E19">
            <v>250.29</v>
          </cell>
          <cell r="F19">
            <v>257.7987</v>
          </cell>
          <cell r="G19">
            <v>265.532661</v>
          </cell>
          <cell r="H19">
            <v>273.49864083</v>
          </cell>
          <cell r="I19">
            <v>281.7036000549</v>
          </cell>
          <cell r="J19">
            <v>1328.8236018849</v>
          </cell>
        </row>
        <row r="19">
          <cell r="L19">
            <v>290.154708056547</v>
          </cell>
          <cell r="M19">
            <v>298.859349298244</v>
          </cell>
          <cell r="N19">
            <v>1917.83765923969</v>
          </cell>
        </row>
        <row r="20">
          <cell r="D20">
            <v>0</v>
          </cell>
          <cell r="E20">
            <v>0</v>
          </cell>
          <cell r="F20">
            <v>0</v>
          </cell>
          <cell r="G20">
            <v>0</v>
          </cell>
          <cell r="H20">
            <v>0</v>
          </cell>
          <cell r="I20">
            <v>0</v>
          </cell>
          <cell r="J20">
            <v>0</v>
          </cell>
        </row>
        <row r="20">
          <cell r="L20">
            <v>0</v>
          </cell>
          <cell r="M20">
            <v>0</v>
          </cell>
          <cell r="N20">
            <v>0</v>
          </cell>
        </row>
        <row r="21">
          <cell r="D21">
            <v>0</v>
          </cell>
          <cell r="E21">
            <v>0</v>
          </cell>
          <cell r="F21">
            <v>0</v>
          </cell>
          <cell r="G21">
            <v>0</v>
          </cell>
          <cell r="H21">
            <v>0</v>
          </cell>
          <cell r="I21">
            <v>0</v>
          </cell>
          <cell r="J21">
            <v>0</v>
          </cell>
        </row>
        <row r="21">
          <cell r="L21">
            <v>0</v>
          </cell>
          <cell r="M21">
            <v>0</v>
          </cell>
          <cell r="N21">
            <v>0</v>
          </cell>
        </row>
        <row r="22">
          <cell r="D22">
            <v>9071</v>
          </cell>
          <cell r="E22">
            <v>8636.89</v>
          </cell>
          <cell r="F22">
            <v>8895.9967</v>
          </cell>
          <cell r="G22">
            <v>9162.876601</v>
          </cell>
          <cell r="H22">
            <v>9437.76289903</v>
          </cell>
          <cell r="I22">
            <v>9720.8957860009</v>
          </cell>
          <cell r="J22">
            <v>45854.4219860309</v>
          </cell>
        </row>
        <row r="22">
          <cell r="L22">
            <v>10012.5226595809</v>
          </cell>
          <cell r="M22">
            <v>10312.8983393684</v>
          </cell>
          <cell r="N22">
            <v>66179.8429849802</v>
          </cell>
        </row>
        <row r="23">
          <cell r="D23">
            <v>0</v>
          </cell>
          <cell r="E23">
            <v>0</v>
          </cell>
          <cell r="F23">
            <v>0</v>
          </cell>
          <cell r="G23">
            <v>0</v>
          </cell>
          <cell r="H23">
            <v>0</v>
          </cell>
          <cell r="I23">
            <v>0</v>
          </cell>
          <cell r="J23">
            <v>0</v>
          </cell>
        </row>
        <row r="23">
          <cell r="L23">
            <v>0</v>
          </cell>
          <cell r="M23">
            <v>0</v>
          </cell>
          <cell r="N23">
            <v>0</v>
          </cell>
        </row>
        <row r="24">
          <cell r="D24">
            <v>9969</v>
          </cell>
          <cell r="E24">
            <v>9969</v>
          </cell>
          <cell r="F24">
            <v>10268.07</v>
          </cell>
          <cell r="G24">
            <v>10576.1121</v>
          </cell>
          <cell r="H24">
            <v>10893.395463</v>
          </cell>
          <cell r="I24">
            <v>11220.19732689</v>
          </cell>
          <cell r="J24">
            <v>52926.77488989</v>
          </cell>
        </row>
        <row r="24">
          <cell r="L24">
            <v>11556.8032466967</v>
          </cell>
          <cell r="M24">
            <v>11903.5073440976</v>
          </cell>
          <cell r="N24">
            <v>76387.0854806843</v>
          </cell>
        </row>
        <row r="25">
          <cell r="D25">
            <v>0</v>
          </cell>
          <cell r="E25">
            <v>0</v>
          </cell>
          <cell r="F25">
            <v>0</v>
          </cell>
          <cell r="G25">
            <v>0</v>
          </cell>
          <cell r="H25">
            <v>0</v>
          </cell>
          <cell r="I25">
            <v>0</v>
          </cell>
          <cell r="J25">
            <v>0</v>
          </cell>
        </row>
        <row r="25">
          <cell r="L25">
            <v>0</v>
          </cell>
          <cell r="M25">
            <v>0</v>
          </cell>
          <cell r="N25">
            <v>0</v>
          </cell>
        </row>
        <row r="26">
          <cell r="D26">
            <v>16741</v>
          </cell>
          <cell r="E26">
            <v>16238.77</v>
          </cell>
          <cell r="F26">
            <v>16725.9331</v>
          </cell>
          <cell r="G26">
            <v>17227.711093</v>
          </cell>
          <cell r="H26">
            <v>17744.54242579</v>
          </cell>
          <cell r="I26">
            <v>18276.8786985637</v>
          </cell>
          <cell r="J26">
            <v>86213.8353173537</v>
          </cell>
        </row>
        <row r="26">
          <cell r="L26">
            <v>18825.1850595206</v>
          </cell>
          <cell r="M26">
            <v>19389.9406113062</v>
          </cell>
          <cell r="N26">
            <v>124428.960988181</v>
          </cell>
        </row>
        <row r="27">
          <cell r="D27">
            <v>0</v>
          </cell>
          <cell r="E27">
            <v>0</v>
          </cell>
          <cell r="F27">
            <v>0</v>
          </cell>
          <cell r="G27">
            <v>0</v>
          </cell>
          <cell r="H27">
            <v>0</v>
          </cell>
          <cell r="I27">
            <v>0</v>
          </cell>
          <cell r="J27">
            <v>0</v>
          </cell>
        </row>
        <row r="27">
          <cell r="L27">
            <v>0</v>
          </cell>
          <cell r="M27">
            <v>0</v>
          </cell>
          <cell r="N27">
            <v>0</v>
          </cell>
        </row>
        <row r="28">
          <cell r="D28">
            <v>0</v>
          </cell>
          <cell r="E28">
            <v>0</v>
          </cell>
          <cell r="F28">
            <v>0</v>
          </cell>
          <cell r="G28">
            <v>0</v>
          </cell>
          <cell r="H28">
            <v>0</v>
          </cell>
          <cell r="I28">
            <v>0</v>
          </cell>
          <cell r="J28">
            <v>0</v>
          </cell>
        </row>
        <row r="28">
          <cell r="L28">
            <v>0</v>
          </cell>
          <cell r="M28">
            <v>0</v>
          </cell>
          <cell r="N28">
            <v>0</v>
          </cell>
        </row>
        <row r="29">
          <cell r="D29">
            <v>0</v>
          </cell>
          <cell r="E29">
            <v>0</v>
          </cell>
          <cell r="F29">
            <v>0</v>
          </cell>
          <cell r="G29">
            <v>0</v>
          </cell>
          <cell r="H29">
            <v>0</v>
          </cell>
          <cell r="I29">
            <v>0</v>
          </cell>
          <cell r="J29">
            <v>0</v>
          </cell>
        </row>
        <row r="29">
          <cell r="L29">
            <v>0</v>
          </cell>
          <cell r="M29">
            <v>0</v>
          </cell>
          <cell r="N29">
            <v>0</v>
          </cell>
        </row>
        <row r="30">
          <cell r="D30">
            <v>71599</v>
          </cell>
          <cell r="E30">
            <v>71599</v>
          </cell>
          <cell r="F30">
            <v>73746.97</v>
          </cell>
          <cell r="G30">
            <v>75959.3791</v>
          </cell>
          <cell r="H30">
            <v>78238.160473</v>
          </cell>
          <cell r="I30">
            <v>80585.30528719</v>
          </cell>
          <cell r="J30">
            <v>380128.81486019</v>
          </cell>
        </row>
        <row r="30">
          <cell r="L30">
            <v>83002.8644458057</v>
          </cell>
          <cell r="M30">
            <v>85492.9503791799</v>
          </cell>
          <cell r="N30">
            <v>548624.629685176</v>
          </cell>
        </row>
        <row r="31">
          <cell r="D31">
            <v>98309</v>
          </cell>
          <cell r="E31">
            <v>97806.77</v>
          </cell>
          <cell r="F31">
            <v>100740.9731</v>
          </cell>
          <cell r="G31">
            <v>103763.202293</v>
          </cell>
          <cell r="H31">
            <v>106876.09836179</v>
          </cell>
          <cell r="I31">
            <v>110082.381312644</v>
          </cell>
          <cell r="J31">
            <v>519269.425067434</v>
          </cell>
        </row>
        <row r="31">
          <cell r="L31">
            <v>113384.852752023</v>
          </cell>
          <cell r="M31">
            <v>116786.398334584</v>
          </cell>
          <cell r="N31">
            <v>749440.676154041</v>
          </cell>
        </row>
        <row r="32">
          <cell r="D32">
            <v>1243088</v>
          </cell>
          <cell r="E32">
            <v>1209558.8552</v>
          </cell>
          <cell r="F32">
            <v>1245845.620856</v>
          </cell>
          <cell r="G32">
            <v>1283220.98948168</v>
          </cell>
          <cell r="H32">
            <v>1321717.61916613</v>
          </cell>
          <cell r="I32">
            <v>1361369.14774111</v>
          </cell>
          <cell r="J32">
            <v>6421712.23244493</v>
          </cell>
        </row>
        <row r="32">
          <cell r="L32">
            <v>1402210.22217335</v>
          </cell>
          <cell r="M32">
            <v>1444276.52883855</v>
          </cell>
          <cell r="N32">
            <v>9268198.98345682</v>
          </cell>
        </row>
        <row r="33">
          <cell r="D33">
            <v>0</v>
          </cell>
          <cell r="E33">
            <v>0</v>
          </cell>
          <cell r="F33">
            <v>0</v>
          </cell>
          <cell r="G33">
            <v>0</v>
          </cell>
          <cell r="H33">
            <v>0</v>
          </cell>
          <cell r="I33">
            <v>0</v>
          </cell>
          <cell r="J33">
            <v>0</v>
          </cell>
        </row>
        <row r="33">
          <cell r="L33">
            <v>0</v>
          </cell>
          <cell r="M33">
            <v>0</v>
          </cell>
          <cell r="N33">
            <v>0</v>
          </cell>
        </row>
        <row r="34">
          <cell r="D34">
            <v>1243088</v>
          </cell>
          <cell r="E34">
            <v>1209558.8552</v>
          </cell>
          <cell r="F34">
            <v>1245845.620856</v>
          </cell>
          <cell r="G34">
            <v>1283220.98948168</v>
          </cell>
          <cell r="H34">
            <v>1321717.61916613</v>
          </cell>
          <cell r="I34">
            <v>1361369.14774111</v>
          </cell>
          <cell r="J34">
            <v>6421712.23244493</v>
          </cell>
        </row>
        <row r="34">
          <cell r="L34">
            <v>1402210.22217335</v>
          </cell>
          <cell r="M34">
            <v>1444276.52883855</v>
          </cell>
          <cell r="N34">
            <v>9268198.98345682</v>
          </cell>
        </row>
        <row r="36">
          <cell r="D36">
            <v>0</v>
          </cell>
          <cell r="E36">
            <v>0</v>
          </cell>
          <cell r="F36">
            <v>0</v>
          </cell>
          <cell r="G36">
            <v>0</v>
          </cell>
          <cell r="H36">
            <v>0</v>
          </cell>
          <cell r="I36">
            <v>0</v>
          </cell>
          <cell r="J36">
            <v>0</v>
          </cell>
        </row>
        <row r="36">
          <cell r="L36">
            <v>0</v>
          </cell>
          <cell r="M36">
            <v>0</v>
          </cell>
          <cell r="N36">
            <v>0</v>
          </cell>
        </row>
        <row r="37">
          <cell r="D37">
            <v>0</v>
          </cell>
          <cell r="E37">
            <v>0</v>
          </cell>
          <cell r="F37">
            <v>0</v>
          </cell>
          <cell r="G37">
            <v>0</v>
          </cell>
          <cell r="H37">
            <v>0</v>
          </cell>
          <cell r="I37">
            <v>0</v>
          </cell>
          <cell r="J37">
            <v>0</v>
          </cell>
        </row>
        <row r="37">
          <cell r="L37">
            <v>0</v>
          </cell>
          <cell r="M37">
            <v>0</v>
          </cell>
          <cell r="N37">
            <v>0</v>
          </cell>
        </row>
        <row r="38">
          <cell r="D38">
            <v>0</v>
          </cell>
          <cell r="E38">
            <v>0</v>
          </cell>
          <cell r="F38">
            <v>0</v>
          </cell>
          <cell r="G38">
            <v>0</v>
          </cell>
          <cell r="H38">
            <v>0</v>
          </cell>
          <cell r="I38">
            <v>0</v>
          </cell>
          <cell r="J38">
            <v>0</v>
          </cell>
        </row>
        <row r="38">
          <cell r="L38">
            <v>0</v>
          </cell>
          <cell r="M38">
            <v>0</v>
          </cell>
          <cell r="N38">
            <v>0</v>
          </cell>
        </row>
        <row r="39">
          <cell r="D39">
            <v>229786</v>
          </cell>
          <cell r="E39">
            <v>229786</v>
          </cell>
          <cell r="F39">
            <v>236679.58</v>
          </cell>
          <cell r="G39">
            <v>243779.9674</v>
          </cell>
          <cell r="H39">
            <v>251093.366422</v>
          </cell>
          <cell r="I39">
            <v>258626.16741466</v>
          </cell>
          <cell r="J39">
            <v>1219965.08123666</v>
          </cell>
        </row>
        <row r="39">
          <cell r="L39">
            <v>266384.9524371</v>
          </cell>
          <cell r="M39">
            <v>274376.501010213</v>
          </cell>
          <cell r="N39">
            <v>1760726.53468397</v>
          </cell>
        </row>
        <row r="40">
          <cell r="D40">
            <v>229786</v>
          </cell>
          <cell r="E40">
            <v>229786</v>
          </cell>
          <cell r="F40">
            <v>236679.58</v>
          </cell>
          <cell r="G40">
            <v>243779.9674</v>
          </cell>
          <cell r="H40">
            <v>251093.366422</v>
          </cell>
          <cell r="I40">
            <v>258626.16741466</v>
          </cell>
          <cell r="J40">
            <v>1219965.08123666</v>
          </cell>
        </row>
        <row r="40">
          <cell r="L40">
            <v>266384.9524371</v>
          </cell>
          <cell r="M40">
            <v>274376.501010213</v>
          </cell>
          <cell r="N40">
            <v>1760726.53468397</v>
          </cell>
        </row>
        <row r="42">
          <cell r="D42">
            <v>1472874</v>
          </cell>
          <cell r="E42">
            <v>1439344.8552</v>
          </cell>
          <cell r="F42">
            <v>1482525.200856</v>
          </cell>
          <cell r="G42">
            <v>1527000.95688168</v>
          </cell>
          <cell r="H42">
            <v>1572810.98558813</v>
          </cell>
          <cell r="I42">
            <v>1619995.31515577</v>
          </cell>
          <cell r="J42">
            <v>7641677.31368159</v>
          </cell>
        </row>
        <row r="42">
          <cell r="L42">
            <v>1668595.17461045</v>
          </cell>
          <cell r="M42">
            <v>1718653.02984876</v>
          </cell>
          <cell r="N42">
            <v>11028925.5181408</v>
          </cell>
        </row>
        <row r="45">
          <cell r="D45" t="str">
            <v>BASE YEAR</v>
          </cell>
          <cell r="E45" t="str">
            <v>YEAR 1</v>
          </cell>
          <cell r="F45" t="str">
            <v>YEAR 2</v>
          </cell>
          <cell r="G45" t="str">
            <v>YEAR 3</v>
          </cell>
          <cell r="H45" t="str">
            <v>YEAR 4</v>
          </cell>
          <cell r="I45" t="str">
            <v xml:space="preserve">YEAR 5 </v>
          </cell>
          <cell r="J45" t="str">
            <v>5 Year Total</v>
          </cell>
        </row>
        <row r="45">
          <cell r="L45" t="str">
            <v>5 YEAR + 1</v>
          </cell>
          <cell r="M45" t="str">
            <v>5 YEAR +2</v>
          </cell>
          <cell r="N45" t="str">
            <v>7 Year Total</v>
          </cell>
        </row>
        <row r="46">
          <cell r="D46">
            <v>12.1</v>
          </cell>
          <cell r="E46">
            <v>11.779</v>
          </cell>
          <cell r="F46">
            <v>11.779</v>
          </cell>
          <cell r="G46">
            <v>11.779</v>
          </cell>
          <cell r="H46">
            <v>11.779</v>
          </cell>
          <cell r="I46">
            <v>11.779</v>
          </cell>
        </row>
        <row r="46">
          <cell r="L46">
            <v>11.779</v>
          </cell>
          <cell r="M46">
            <v>11.779</v>
          </cell>
        </row>
        <row r="47">
          <cell r="D47">
            <v>1.6</v>
          </cell>
          <cell r="E47">
            <v>1.552</v>
          </cell>
          <cell r="F47">
            <v>1.552</v>
          </cell>
          <cell r="G47">
            <v>1.552</v>
          </cell>
          <cell r="H47">
            <v>1.552</v>
          </cell>
          <cell r="I47">
            <v>1.552</v>
          </cell>
        </row>
        <row r="47">
          <cell r="L47">
            <v>1.552</v>
          </cell>
          <cell r="M47">
            <v>1.552</v>
          </cell>
        </row>
        <row r="48">
          <cell r="D48">
            <v>13.7</v>
          </cell>
          <cell r="E48">
            <v>13.331</v>
          </cell>
          <cell r="F48">
            <v>13.331</v>
          </cell>
          <cell r="G48">
            <v>13.331</v>
          </cell>
          <cell r="H48">
            <v>13.331</v>
          </cell>
          <cell r="I48">
            <v>13.331</v>
          </cell>
        </row>
        <row r="48">
          <cell r="L48">
            <v>13.331</v>
          </cell>
          <cell r="M48">
            <v>13.331</v>
          </cell>
        </row>
        <row r="50">
          <cell r="D50">
            <v>546180</v>
          </cell>
          <cell r="E50">
            <v>529794.6</v>
          </cell>
          <cell r="F50">
            <v>545688.438</v>
          </cell>
          <cell r="G50">
            <v>562059.09114</v>
          </cell>
          <cell r="H50">
            <v>578920.8638742</v>
          </cell>
          <cell r="I50">
            <v>596288.489790426</v>
          </cell>
          <cell r="J50">
            <v>2812751.48280463</v>
          </cell>
        </row>
        <row r="50">
          <cell r="L50">
            <v>614177.144484139</v>
          </cell>
          <cell r="M50">
            <v>632602.458818663</v>
          </cell>
          <cell r="N50">
            <v>4059531.08610743</v>
          </cell>
        </row>
        <row r="51">
          <cell r="D51">
            <v>29320</v>
          </cell>
          <cell r="E51">
            <v>28440.4</v>
          </cell>
          <cell r="F51">
            <v>29293.612</v>
          </cell>
          <cell r="G51">
            <v>30172.42036</v>
          </cell>
          <cell r="H51">
            <v>31077.5929708</v>
          </cell>
          <cell r="I51">
            <v>32009.920759924</v>
          </cell>
          <cell r="J51">
            <v>150993.946090724</v>
          </cell>
        </row>
        <row r="51">
          <cell r="L51">
            <v>32970.2183827217</v>
          </cell>
          <cell r="M51">
            <v>33959.3249342034</v>
          </cell>
          <cell r="N51">
            <v>217923.489407649</v>
          </cell>
        </row>
        <row r="52">
          <cell r="D52">
            <v>76208</v>
          </cell>
          <cell r="E52">
            <v>75400.1952</v>
          </cell>
          <cell r="F52">
            <v>77662.201056</v>
          </cell>
          <cell r="G52">
            <v>79992.06708768</v>
          </cell>
          <cell r="H52">
            <v>82391.8291003104</v>
          </cell>
          <cell r="I52">
            <v>84863.5839733197</v>
          </cell>
          <cell r="J52">
            <v>400309.87641731</v>
          </cell>
        </row>
        <row r="52">
          <cell r="L52">
            <v>87409.4914925193</v>
          </cell>
          <cell r="M52">
            <v>90031.7762372949</v>
          </cell>
          <cell r="N52">
            <v>577751.144147124</v>
          </cell>
        </row>
        <row r="53">
          <cell r="D53">
            <v>0</v>
          </cell>
          <cell r="E53">
            <v>0</v>
          </cell>
          <cell r="F53">
            <v>0</v>
          </cell>
          <cell r="G53">
            <v>0</v>
          </cell>
          <cell r="H53">
            <v>0</v>
          </cell>
          <cell r="I53">
            <v>0</v>
          </cell>
          <cell r="J53">
            <v>0</v>
          </cell>
        </row>
        <row r="53">
          <cell r="L53">
            <v>0</v>
          </cell>
          <cell r="M53">
            <v>0</v>
          </cell>
          <cell r="N53">
            <v>0</v>
          </cell>
        </row>
        <row r="54">
          <cell r="D54">
            <v>1000</v>
          </cell>
          <cell r="E54">
            <v>970</v>
          </cell>
          <cell r="F54">
            <v>999.1</v>
          </cell>
          <cell r="G54">
            <v>1029.073</v>
          </cell>
          <cell r="H54">
            <v>1059.94519</v>
          </cell>
          <cell r="I54">
            <v>1091.7435457</v>
          </cell>
          <cell r="J54">
            <v>5149.8617357</v>
          </cell>
        </row>
        <row r="54">
          <cell r="L54">
            <v>1124.495852071</v>
          </cell>
          <cell r="M54">
            <v>1158.23072763313</v>
          </cell>
          <cell r="N54">
            <v>7432.58831540413</v>
          </cell>
        </row>
        <row r="55">
          <cell r="D55">
            <v>0</v>
          </cell>
          <cell r="E55">
            <v>0</v>
          </cell>
          <cell r="F55">
            <v>0</v>
          </cell>
          <cell r="G55">
            <v>0</v>
          </cell>
          <cell r="H55">
            <v>0</v>
          </cell>
          <cell r="I55">
            <v>0</v>
          </cell>
          <cell r="J55">
            <v>0</v>
          </cell>
        </row>
        <row r="55">
          <cell r="L55">
            <v>0</v>
          </cell>
          <cell r="M55">
            <v>0</v>
          </cell>
          <cell r="N55">
            <v>0</v>
          </cell>
        </row>
        <row r="56">
          <cell r="D56">
            <v>652708</v>
          </cell>
          <cell r="E56">
            <v>634605.1952</v>
          </cell>
          <cell r="F56">
            <v>653643.351056</v>
          </cell>
          <cell r="G56">
            <v>673252.65158768</v>
          </cell>
          <cell r="H56">
            <v>693450.231135311</v>
          </cell>
          <cell r="I56">
            <v>714253.73806937</v>
          </cell>
          <cell r="J56">
            <v>3369205.16704836</v>
          </cell>
        </row>
        <row r="56">
          <cell r="L56">
            <v>735681.350211451</v>
          </cell>
          <cell r="M56">
            <v>757751.790717795</v>
          </cell>
          <cell r="N56">
            <v>4862638.30797761</v>
          </cell>
        </row>
        <row r="57">
          <cell r="D57">
            <v>0</v>
          </cell>
          <cell r="E57">
            <v>0</v>
          </cell>
          <cell r="F57">
            <v>0</v>
          </cell>
          <cell r="G57">
            <v>0</v>
          </cell>
          <cell r="H57">
            <v>0</v>
          </cell>
          <cell r="I57">
            <v>0</v>
          </cell>
          <cell r="J57">
            <v>0</v>
          </cell>
        </row>
        <row r="57">
          <cell r="L57">
            <v>0</v>
          </cell>
          <cell r="M57">
            <v>0</v>
          </cell>
          <cell r="N57">
            <v>0</v>
          </cell>
        </row>
        <row r="58">
          <cell r="D58">
            <v>0</v>
          </cell>
          <cell r="E58">
            <v>0</v>
          </cell>
          <cell r="F58">
            <v>0</v>
          </cell>
          <cell r="G58">
            <v>0</v>
          </cell>
          <cell r="H58">
            <v>0</v>
          </cell>
          <cell r="I58">
            <v>0</v>
          </cell>
          <cell r="J58">
            <v>0</v>
          </cell>
        </row>
        <row r="58">
          <cell r="L58">
            <v>0</v>
          </cell>
          <cell r="M58">
            <v>0</v>
          </cell>
          <cell r="N58">
            <v>0</v>
          </cell>
        </row>
        <row r="59">
          <cell r="D59">
            <v>0</v>
          </cell>
          <cell r="E59">
            <v>0</v>
          </cell>
          <cell r="F59">
            <v>0</v>
          </cell>
          <cell r="G59">
            <v>0</v>
          </cell>
          <cell r="H59">
            <v>0</v>
          </cell>
          <cell r="I59">
            <v>0</v>
          </cell>
          <cell r="J59">
            <v>0</v>
          </cell>
        </row>
        <row r="59">
          <cell r="L59">
            <v>0</v>
          </cell>
          <cell r="M59">
            <v>0</v>
          </cell>
          <cell r="N59">
            <v>0</v>
          </cell>
        </row>
        <row r="60">
          <cell r="D60">
            <v>0</v>
          </cell>
          <cell r="E60">
            <v>0</v>
          </cell>
          <cell r="F60">
            <v>0</v>
          </cell>
          <cell r="G60">
            <v>0</v>
          </cell>
          <cell r="H60">
            <v>0</v>
          </cell>
          <cell r="I60">
            <v>0</v>
          </cell>
          <cell r="J60">
            <v>0</v>
          </cell>
        </row>
        <row r="60">
          <cell r="L60">
            <v>0</v>
          </cell>
          <cell r="M60">
            <v>0</v>
          </cell>
          <cell r="N60">
            <v>0</v>
          </cell>
        </row>
        <row r="61">
          <cell r="D61">
            <v>5190</v>
          </cell>
          <cell r="E61">
            <v>4930.5</v>
          </cell>
          <cell r="F61">
            <v>5078.415</v>
          </cell>
          <cell r="G61">
            <v>5230.76745</v>
          </cell>
          <cell r="H61">
            <v>5387.6904735</v>
          </cell>
          <cell r="I61">
            <v>5549.321187705</v>
          </cell>
          <cell r="J61">
            <v>26176.694111205</v>
          </cell>
        </row>
        <row r="61">
          <cell r="L61">
            <v>5715.80082333615</v>
          </cell>
          <cell r="M61">
            <v>5887.27484803624</v>
          </cell>
          <cell r="N61">
            <v>37779.7697825774</v>
          </cell>
        </row>
        <row r="62">
          <cell r="D62">
            <v>243</v>
          </cell>
          <cell r="E62">
            <v>250.29</v>
          </cell>
          <cell r="F62">
            <v>257.7987</v>
          </cell>
          <cell r="G62">
            <v>265.532661</v>
          </cell>
          <cell r="H62">
            <v>273.49864083</v>
          </cell>
          <cell r="I62">
            <v>281.7036000549</v>
          </cell>
          <cell r="J62">
            <v>1328.8236018849</v>
          </cell>
        </row>
        <row r="62">
          <cell r="L62">
            <v>290.154708056547</v>
          </cell>
          <cell r="M62">
            <v>298.859349298244</v>
          </cell>
          <cell r="N62">
            <v>1917.83765923969</v>
          </cell>
        </row>
        <row r="63">
          <cell r="D63">
            <v>0</v>
          </cell>
          <cell r="E63">
            <v>0</v>
          </cell>
          <cell r="F63">
            <v>0</v>
          </cell>
          <cell r="G63">
            <v>0</v>
          </cell>
          <cell r="H63">
            <v>0</v>
          </cell>
          <cell r="I63">
            <v>0</v>
          </cell>
          <cell r="J63">
            <v>0</v>
          </cell>
        </row>
        <row r="63">
          <cell r="L63">
            <v>0</v>
          </cell>
          <cell r="M63">
            <v>0</v>
          </cell>
          <cell r="N63">
            <v>0</v>
          </cell>
        </row>
        <row r="64">
          <cell r="D64">
            <v>0</v>
          </cell>
          <cell r="E64">
            <v>0</v>
          </cell>
          <cell r="F64">
            <v>0</v>
          </cell>
          <cell r="G64">
            <v>0</v>
          </cell>
          <cell r="H64">
            <v>0</v>
          </cell>
          <cell r="I64">
            <v>0</v>
          </cell>
          <cell r="J64">
            <v>0</v>
          </cell>
        </row>
        <row r="64">
          <cell r="L64">
            <v>0</v>
          </cell>
          <cell r="M64">
            <v>0</v>
          </cell>
          <cell r="N64">
            <v>0</v>
          </cell>
        </row>
        <row r="65">
          <cell r="D65">
            <v>5433</v>
          </cell>
          <cell r="E65">
            <v>5180.79</v>
          </cell>
          <cell r="F65">
            <v>5336.2137</v>
          </cell>
          <cell r="G65">
            <v>5496.300111</v>
          </cell>
          <cell r="H65">
            <v>5661.18911433</v>
          </cell>
          <cell r="I65">
            <v>5831.0247877599</v>
          </cell>
          <cell r="J65">
            <v>27505.5177130899</v>
          </cell>
        </row>
        <row r="65">
          <cell r="L65">
            <v>6005.9555313927</v>
          </cell>
          <cell r="M65">
            <v>6186.13419733448</v>
          </cell>
          <cell r="N65">
            <v>39697.6074418171</v>
          </cell>
        </row>
        <row r="66">
          <cell r="D66">
            <v>0</v>
          </cell>
          <cell r="E66">
            <v>0</v>
          </cell>
          <cell r="F66">
            <v>0</v>
          </cell>
          <cell r="G66">
            <v>0</v>
          </cell>
          <cell r="H66">
            <v>0</v>
          </cell>
          <cell r="I66">
            <v>0</v>
          </cell>
          <cell r="J66">
            <v>0</v>
          </cell>
        </row>
        <row r="66">
          <cell r="L66">
            <v>0</v>
          </cell>
          <cell r="M66">
            <v>0</v>
          </cell>
          <cell r="N66">
            <v>0</v>
          </cell>
        </row>
        <row r="67">
          <cell r="D67">
            <v>2950</v>
          </cell>
          <cell r="E67">
            <v>2950</v>
          </cell>
          <cell r="F67">
            <v>3038.5</v>
          </cell>
          <cell r="G67">
            <v>3129.655</v>
          </cell>
          <cell r="H67">
            <v>3223.54465</v>
          </cell>
          <cell r="I67">
            <v>3320.2509895</v>
          </cell>
          <cell r="J67">
            <v>15661.9506395</v>
          </cell>
        </row>
        <row r="67">
          <cell r="L67">
            <v>3419.858519185</v>
          </cell>
          <cell r="M67">
            <v>3522.45427476055</v>
          </cell>
          <cell r="N67">
            <v>22604.2634334456</v>
          </cell>
        </row>
        <row r="68">
          <cell r="D68">
            <v>0</v>
          </cell>
          <cell r="E68">
            <v>0</v>
          </cell>
          <cell r="F68">
            <v>0</v>
          </cell>
          <cell r="G68">
            <v>0</v>
          </cell>
          <cell r="H68">
            <v>0</v>
          </cell>
          <cell r="I68">
            <v>0</v>
          </cell>
          <cell r="J68">
            <v>0</v>
          </cell>
        </row>
        <row r="68">
          <cell r="L68">
            <v>0</v>
          </cell>
          <cell r="M68">
            <v>0</v>
          </cell>
          <cell r="N68">
            <v>0</v>
          </cell>
        </row>
        <row r="69">
          <cell r="D69">
            <v>0</v>
          </cell>
          <cell r="E69">
            <v>0</v>
          </cell>
          <cell r="F69">
            <v>0</v>
          </cell>
          <cell r="G69">
            <v>0</v>
          </cell>
          <cell r="H69">
            <v>0</v>
          </cell>
          <cell r="I69">
            <v>0</v>
          </cell>
          <cell r="J69">
            <v>0</v>
          </cell>
        </row>
        <row r="69">
          <cell r="L69">
            <v>0</v>
          </cell>
          <cell r="M69">
            <v>0</v>
          </cell>
          <cell r="N69">
            <v>0</v>
          </cell>
        </row>
        <row r="70">
          <cell r="D70">
            <v>0</v>
          </cell>
          <cell r="E70">
            <v>0</v>
          </cell>
          <cell r="F70">
            <v>0</v>
          </cell>
          <cell r="G70">
            <v>0</v>
          </cell>
          <cell r="H70">
            <v>0</v>
          </cell>
          <cell r="I70">
            <v>0</v>
          </cell>
          <cell r="J70">
            <v>0</v>
          </cell>
        </row>
        <row r="70">
          <cell r="L70">
            <v>0</v>
          </cell>
          <cell r="M70">
            <v>0</v>
          </cell>
          <cell r="N70">
            <v>0</v>
          </cell>
        </row>
        <row r="71">
          <cell r="D71">
            <v>0</v>
          </cell>
          <cell r="E71">
            <v>0</v>
          </cell>
          <cell r="F71">
            <v>0</v>
          </cell>
          <cell r="G71">
            <v>0</v>
          </cell>
          <cell r="H71">
            <v>0</v>
          </cell>
          <cell r="I71">
            <v>0</v>
          </cell>
          <cell r="J71">
            <v>0</v>
          </cell>
        </row>
        <row r="71">
          <cell r="L71">
            <v>0</v>
          </cell>
          <cell r="M71">
            <v>0</v>
          </cell>
          <cell r="N71">
            <v>0</v>
          </cell>
        </row>
        <row r="72">
          <cell r="D72">
            <v>0</v>
          </cell>
          <cell r="E72">
            <v>0</v>
          </cell>
          <cell r="F72">
            <v>0</v>
          </cell>
          <cell r="G72">
            <v>0</v>
          </cell>
          <cell r="H72">
            <v>0</v>
          </cell>
          <cell r="I72">
            <v>0</v>
          </cell>
          <cell r="J72">
            <v>0</v>
          </cell>
        </row>
        <row r="72">
          <cell r="L72">
            <v>0</v>
          </cell>
          <cell r="M72">
            <v>0</v>
          </cell>
          <cell r="N72">
            <v>0</v>
          </cell>
        </row>
        <row r="73">
          <cell r="D73">
            <v>0</v>
          </cell>
          <cell r="E73">
            <v>0</v>
          </cell>
          <cell r="F73">
            <v>0</v>
          </cell>
          <cell r="G73">
            <v>0</v>
          </cell>
          <cell r="H73">
            <v>0</v>
          </cell>
          <cell r="I73">
            <v>0</v>
          </cell>
          <cell r="J73">
            <v>0</v>
          </cell>
        </row>
        <row r="73">
          <cell r="L73">
            <v>0</v>
          </cell>
          <cell r="M73">
            <v>0</v>
          </cell>
          <cell r="N73">
            <v>0</v>
          </cell>
        </row>
        <row r="74">
          <cell r="D74">
            <v>2950</v>
          </cell>
          <cell r="E74">
            <v>2950</v>
          </cell>
          <cell r="F74">
            <v>3038.5</v>
          </cell>
          <cell r="G74">
            <v>3129.655</v>
          </cell>
          <cell r="H74">
            <v>3223.54465</v>
          </cell>
          <cell r="I74">
            <v>3320.2509895</v>
          </cell>
          <cell r="J74">
            <v>15661.9506395</v>
          </cell>
        </row>
        <row r="74">
          <cell r="L74">
            <v>3419.858519185</v>
          </cell>
          <cell r="M74">
            <v>3522.45427476055</v>
          </cell>
          <cell r="N74">
            <v>22604.2634334456</v>
          </cell>
        </row>
        <row r="75">
          <cell r="D75">
            <v>661091</v>
          </cell>
          <cell r="E75">
            <v>642735.9852</v>
          </cell>
          <cell r="F75">
            <v>662018.064756</v>
          </cell>
          <cell r="G75">
            <v>681878.60669868</v>
          </cell>
          <cell r="H75">
            <v>702334.964899641</v>
          </cell>
          <cell r="I75">
            <v>723405.01384663</v>
          </cell>
          <cell r="J75">
            <v>3412372.63540095</v>
          </cell>
        </row>
        <row r="75">
          <cell r="L75">
            <v>745107.164262029</v>
          </cell>
          <cell r="M75">
            <v>767460.37918989</v>
          </cell>
          <cell r="N75">
            <v>4924940.17885287</v>
          </cell>
        </row>
        <row r="76">
          <cell r="D76">
            <v>0</v>
          </cell>
          <cell r="E76">
            <v>0</v>
          </cell>
          <cell r="F76">
            <v>0</v>
          </cell>
          <cell r="G76">
            <v>0</v>
          </cell>
          <cell r="H76">
            <v>0</v>
          </cell>
          <cell r="I76">
            <v>0</v>
          </cell>
          <cell r="J76">
            <v>0</v>
          </cell>
        </row>
        <row r="76">
          <cell r="L76">
            <v>0</v>
          </cell>
          <cell r="M76">
            <v>0</v>
          </cell>
          <cell r="N76">
            <v>0</v>
          </cell>
        </row>
        <row r="77">
          <cell r="D77">
            <v>661091</v>
          </cell>
          <cell r="E77">
            <v>642735.9852</v>
          </cell>
          <cell r="F77">
            <v>662018.064756</v>
          </cell>
          <cell r="G77">
            <v>681878.60669868</v>
          </cell>
          <cell r="H77">
            <v>702334.964899641</v>
          </cell>
          <cell r="I77">
            <v>723405.01384663</v>
          </cell>
          <cell r="J77">
            <v>3412372.63540095</v>
          </cell>
        </row>
        <row r="77">
          <cell r="L77">
            <v>745107.164262029</v>
          </cell>
          <cell r="M77">
            <v>767460.37918989</v>
          </cell>
          <cell r="N77">
            <v>4924940.17885287</v>
          </cell>
        </row>
        <row r="79">
          <cell r="D79">
            <v>0</v>
          </cell>
          <cell r="E79">
            <v>0</v>
          </cell>
          <cell r="F79">
            <v>0</v>
          </cell>
          <cell r="G79">
            <v>0</v>
          </cell>
          <cell r="H79">
            <v>0</v>
          </cell>
          <cell r="I79">
            <v>0</v>
          </cell>
          <cell r="J79">
            <v>0</v>
          </cell>
        </row>
        <row r="79">
          <cell r="L79">
            <v>0</v>
          </cell>
          <cell r="M79">
            <v>0</v>
          </cell>
          <cell r="N79">
            <v>0</v>
          </cell>
        </row>
        <row r="80">
          <cell r="D80">
            <v>0</v>
          </cell>
          <cell r="E80">
            <v>0</v>
          </cell>
          <cell r="F80">
            <v>0</v>
          </cell>
          <cell r="G80">
            <v>0</v>
          </cell>
          <cell r="H80">
            <v>0</v>
          </cell>
          <cell r="I80">
            <v>0</v>
          </cell>
          <cell r="J80">
            <v>0</v>
          </cell>
        </row>
        <row r="80">
          <cell r="L80">
            <v>0</v>
          </cell>
          <cell r="M80">
            <v>0</v>
          </cell>
          <cell r="N80">
            <v>0</v>
          </cell>
        </row>
        <row r="81">
          <cell r="D81">
            <v>0</v>
          </cell>
          <cell r="E81">
            <v>0</v>
          </cell>
          <cell r="F81">
            <v>0</v>
          </cell>
          <cell r="G81">
            <v>0</v>
          </cell>
          <cell r="H81">
            <v>0</v>
          </cell>
          <cell r="I81">
            <v>0</v>
          </cell>
          <cell r="J81">
            <v>0</v>
          </cell>
        </row>
        <row r="81">
          <cell r="L81">
            <v>0</v>
          </cell>
          <cell r="M81">
            <v>0</v>
          </cell>
          <cell r="N81">
            <v>0</v>
          </cell>
        </row>
        <row r="82">
          <cell r="D82">
            <v>137626</v>
          </cell>
          <cell r="E82">
            <v>137626</v>
          </cell>
          <cell r="F82">
            <v>141754.78</v>
          </cell>
          <cell r="G82">
            <v>146007.4234</v>
          </cell>
          <cell r="H82">
            <v>150387.646102</v>
          </cell>
          <cell r="I82">
            <v>154899.27548506</v>
          </cell>
          <cell r="J82">
            <v>730675.12498706</v>
          </cell>
        </row>
        <row r="82">
          <cell r="L82">
            <v>159546.253749612</v>
          </cell>
          <cell r="M82">
            <v>164332.6413621</v>
          </cell>
          <cell r="N82">
            <v>1054554.02009877</v>
          </cell>
        </row>
        <row r="83">
          <cell r="D83">
            <v>137626</v>
          </cell>
          <cell r="E83">
            <v>137626</v>
          </cell>
          <cell r="F83">
            <v>141754.78</v>
          </cell>
          <cell r="G83">
            <v>146007.4234</v>
          </cell>
          <cell r="H83">
            <v>150387.646102</v>
          </cell>
          <cell r="I83">
            <v>154899.27548506</v>
          </cell>
          <cell r="J83">
            <v>730675.12498706</v>
          </cell>
        </row>
        <row r="83">
          <cell r="L83">
            <v>159546.253749612</v>
          </cell>
          <cell r="M83">
            <v>164332.6413621</v>
          </cell>
          <cell r="N83">
            <v>1054554.02009877</v>
          </cell>
        </row>
        <row r="85">
          <cell r="D85">
            <v>798717</v>
          </cell>
          <cell r="E85">
            <v>780361.9852</v>
          </cell>
          <cell r="F85">
            <v>803772.844756</v>
          </cell>
          <cell r="G85">
            <v>827886.03009868</v>
          </cell>
          <cell r="H85">
            <v>852722.611001641</v>
          </cell>
          <cell r="I85">
            <v>878304.28933169</v>
          </cell>
          <cell r="J85">
            <v>4143047.76038801</v>
          </cell>
        </row>
        <row r="85">
          <cell r="L85">
            <v>904653.41801164</v>
          </cell>
          <cell r="M85">
            <v>931793.02055199</v>
          </cell>
          <cell r="N85">
            <v>5979494.19895164</v>
          </cell>
        </row>
        <row r="89">
          <cell r="D89" t="str">
            <v>BASE YEAR</v>
          </cell>
          <cell r="E89" t="str">
            <v>YEAR 1</v>
          </cell>
          <cell r="F89" t="str">
            <v>YEAR 2</v>
          </cell>
          <cell r="G89" t="str">
            <v>YEAR 3</v>
          </cell>
          <cell r="H89" t="str">
            <v>YEAR 4</v>
          </cell>
          <cell r="I89" t="str">
            <v xml:space="preserve">YEAR 5 </v>
          </cell>
          <cell r="J89" t="str">
            <v>5 Year Total</v>
          </cell>
        </row>
        <row r="89">
          <cell r="L89" t="str">
            <v>5 YEAR + 1</v>
          </cell>
          <cell r="M89" t="str">
            <v>5 YEAR + 2</v>
          </cell>
          <cell r="N89" t="str">
            <v>7 Year Total</v>
          </cell>
        </row>
        <row r="90">
          <cell r="D90">
            <v>0</v>
          </cell>
          <cell r="E90">
            <v>0</v>
          </cell>
          <cell r="F90">
            <v>0</v>
          </cell>
          <cell r="G90">
            <v>0</v>
          </cell>
          <cell r="H90">
            <v>0</v>
          </cell>
          <cell r="I90">
            <v>0</v>
          </cell>
        </row>
        <row r="90">
          <cell r="L90">
            <v>0</v>
          </cell>
          <cell r="M90">
            <v>0</v>
          </cell>
        </row>
        <row r="91">
          <cell r="D91">
            <v>0</v>
          </cell>
          <cell r="E91">
            <v>0</v>
          </cell>
          <cell r="F91">
            <v>0</v>
          </cell>
          <cell r="G91">
            <v>0</v>
          </cell>
          <cell r="H91">
            <v>0</v>
          </cell>
          <cell r="I91">
            <v>0</v>
          </cell>
        </row>
        <row r="91">
          <cell r="L91">
            <v>0</v>
          </cell>
          <cell r="M91">
            <v>0</v>
          </cell>
        </row>
        <row r="92">
          <cell r="D92">
            <v>0</v>
          </cell>
          <cell r="E92">
            <v>0</v>
          </cell>
          <cell r="F92">
            <v>0</v>
          </cell>
          <cell r="G92">
            <v>0</v>
          </cell>
          <cell r="H92">
            <v>0</v>
          </cell>
          <cell r="I92">
            <v>0</v>
          </cell>
        </row>
        <row r="92">
          <cell r="L92">
            <v>0</v>
          </cell>
          <cell r="M92">
            <v>0</v>
          </cell>
        </row>
        <row r="94">
          <cell r="D94">
            <v>0</v>
          </cell>
          <cell r="E94">
            <v>0</v>
          </cell>
          <cell r="F94">
            <v>0</v>
          </cell>
          <cell r="G94">
            <v>0</v>
          </cell>
          <cell r="H94">
            <v>0</v>
          </cell>
          <cell r="I94">
            <v>0</v>
          </cell>
          <cell r="J94">
            <v>0</v>
          </cell>
        </row>
        <row r="94">
          <cell r="L94">
            <v>0</v>
          </cell>
          <cell r="M94">
            <v>0</v>
          </cell>
          <cell r="N94">
            <v>0</v>
          </cell>
        </row>
        <row r="95">
          <cell r="D95">
            <v>0</v>
          </cell>
          <cell r="E95">
            <v>0</v>
          </cell>
          <cell r="F95">
            <v>0</v>
          </cell>
          <cell r="G95">
            <v>0</v>
          </cell>
          <cell r="H95">
            <v>0</v>
          </cell>
          <cell r="I95">
            <v>0</v>
          </cell>
          <cell r="J95">
            <v>0</v>
          </cell>
        </row>
        <row r="95">
          <cell r="L95">
            <v>0</v>
          </cell>
          <cell r="M95">
            <v>0</v>
          </cell>
          <cell r="N95">
            <v>0</v>
          </cell>
        </row>
        <row r="96">
          <cell r="D96">
            <v>0</v>
          </cell>
          <cell r="E96">
            <v>0</v>
          </cell>
          <cell r="F96">
            <v>0</v>
          </cell>
          <cell r="G96">
            <v>0</v>
          </cell>
          <cell r="H96">
            <v>0</v>
          </cell>
          <cell r="I96">
            <v>0</v>
          </cell>
          <cell r="J96">
            <v>0</v>
          </cell>
        </row>
        <row r="96">
          <cell r="L96">
            <v>0</v>
          </cell>
          <cell r="M96">
            <v>0</v>
          </cell>
          <cell r="N96">
            <v>0</v>
          </cell>
        </row>
        <row r="97">
          <cell r="D97">
            <v>0</v>
          </cell>
          <cell r="E97">
            <v>0</v>
          </cell>
          <cell r="F97">
            <v>0</v>
          </cell>
          <cell r="G97">
            <v>0</v>
          </cell>
          <cell r="H97">
            <v>0</v>
          </cell>
          <cell r="I97">
            <v>0</v>
          </cell>
          <cell r="J97">
            <v>0</v>
          </cell>
        </row>
        <row r="97">
          <cell r="L97">
            <v>0</v>
          </cell>
          <cell r="M97">
            <v>0</v>
          </cell>
          <cell r="N97">
            <v>0</v>
          </cell>
        </row>
        <row r="98">
          <cell r="D98">
            <v>0</v>
          </cell>
          <cell r="E98">
            <v>0</v>
          </cell>
          <cell r="F98">
            <v>0</v>
          </cell>
          <cell r="G98">
            <v>0</v>
          </cell>
          <cell r="H98">
            <v>0</v>
          </cell>
          <cell r="I98">
            <v>0</v>
          </cell>
          <cell r="J98">
            <v>0</v>
          </cell>
        </row>
        <row r="98">
          <cell r="L98">
            <v>0</v>
          </cell>
          <cell r="M98">
            <v>0</v>
          </cell>
          <cell r="N98">
            <v>0</v>
          </cell>
        </row>
        <row r="99">
          <cell r="D99">
            <v>0</v>
          </cell>
          <cell r="E99">
            <v>0</v>
          </cell>
          <cell r="F99">
            <v>0</v>
          </cell>
          <cell r="G99">
            <v>0</v>
          </cell>
          <cell r="H99">
            <v>0</v>
          </cell>
          <cell r="I99">
            <v>0</v>
          </cell>
          <cell r="J99">
            <v>0</v>
          </cell>
        </row>
        <row r="99">
          <cell r="L99">
            <v>0</v>
          </cell>
          <cell r="M99">
            <v>0</v>
          </cell>
          <cell r="N99">
            <v>0</v>
          </cell>
        </row>
        <row r="100">
          <cell r="D100">
            <v>0</v>
          </cell>
          <cell r="E100">
            <v>0</v>
          </cell>
          <cell r="F100">
            <v>0</v>
          </cell>
          <cell r="G100">
            <v>0</v>
          </cell>
          <cell r="H100">
            <v>0</v>
          </cell>
          <cell r="I100">
            <v>0</v>
          </cell>
          <cell r="J100">
            <v>0</v>
          </cell>
        </row>
        <row r="100">
          <cell r="L100">
            <v>0</v>
          </cell>
          <cell r="M100">
            <v>0</v>
          </cell>
          <cell r="N100">
            <v>0</v>
          </cell>
        </row>
        <row r="101">
          <cell r="D101">
            <v>0</v>
          </cell>
          <cell r="E101">
            <v>0</v>
          </cell>
          <cell r="F101">
            <v>0</v>
          </cell>
          <cell r="G101">
            <v>0</v>
          </cell>
          <cell r="H101">
            <v>0</v>
          </cell>
          <cell r="I101">
            <v>0</v>
          </cell>
          <cell r="J101">
            <v>0</v>
          </cell>
        </row>
        <row r="101">
          <cell r="L101">
            <v>0</v>
          </cell>
          <cell r="M101">
            <v>0</v>
          </cell>
          <cell r="N101">
            <v>0</v>
          </cell>
        </row>
        <row r="102">
          <cell r="D102">
            <v>0</v>
          </cell>
          <cell r="E102">
            <v>0</v>
          </cell>
          <cell r="F102">
            <v>0</v>
          </cell>
          <cell r="G102">
            <v>0</v>
          </cell>
          <cell r="H102">
            <v>0</v>
          </cell>
          <cell r="I102">
            <v>0</v>
          </cell>
          <cell r="J102">
            <v>0</v>
          </cell>
        </row>
        <row r="102">
          <cell r="L102">
            <v>0</v>
          </cell>
          <cell r="M102">
            <v>0</v>
          </cell>
          <cell r="N102">
            <v>0</v>
          </cell>
        </row>
        <row r="103">
          <cell r="D103">
            <v>0</v>
          </cell>
          <cell r="E103">
            <v>0</v>
          </cell>
          <cell r="F103">
            <v>0</v>
          </cell>
          <cell r="G103">
            <v>0</v>
          </cell>
          <cell r="H103">
            <v>0</v>
          </cell>
          <cell r="I103">
            <v>0</v>
          </cell>
          <cell r="J103">
            <v>0</v>
          </cell>
        </row>
        <row r="103">
          <cell r="L103">
            <v>0</v>
          </cell>
          <cell r="M103">
            <v>0</v>
          </cell>
          <cell r="N103">
            <v>0</v>
          </cell>
        </row>
        <row r="104">
          <cell r="D104">
            <v>0</v>
          </cell>
          <cell r="E104">
            <v>0</v>
          </cell>
          <cell r="F104">
            <v>0</v>
          </cell>
          <cell r="G104">
            <v>0</v>
          </cell>
          <cell r="H104">
            <v>0</v>
          </cell>
          <cell r="I104">
            <v>0</v>
          </cell>
          <cell r="J104">
            <v>0</v>
          </cell>
        </row>
        <row r="104">
          <cell r="L104">
            <v>0</v>
          </cell>
          <cell r="M104">
            <v>0</v>
          </cell>
          <cell r="N104">
            <v>0</v>
          </cell>
        </row>
        <row r="105">
          <cell r="D105">
            <v>0</v>
          </cell>
          <cell r="E105">
            <v>0</v>
          </cell>
          <cell r="F105">
            <v>0</v>
          </cell>
          <cell r="G105">
            <v>0</v>
          </cell>
          <cell r="H105">
            <v>0</v>
          </cell>
          <cell r="I105">
            <v>0</v>
          </cell>
          <cell r="J105">
            <v>0</v>
          </cell>
        </row>
        <row r="105">
          <cell r="L105">
            <v>0</v>
          </cell>
          <cell r="M105">
            <v>0</v>
          </cell>
          <cell r="N105">
            <v>0</v>
          </cell>
        </row>
        <row r="106">
          <cell r="D106">
            <v>0</v>
          </cell>
          <cell r="E106">
            <v>0</v>
          </cell>
          <cell r="F106">
            <v>0</v>
          </cell>
          <cell r="G106">
            <v>0</v>
          </cell>
          <cell r="H106">
            <v>0</v>
          </cell>
          <cell r="I106">
            <v>0</v>
          </cell>
          <cell r="J106">
            <v>0</v>
          </cell>
        </row>
        <row r="106">
          <cell r="L106">
            <v>0</v>
          </cell>
          <cell r="M106">
            <v>0</v>
          </cell>
          <cell r="N106">
            <v>0</v>
          </cell>
        </row>
        <row r="107">
          <cell r="D107">
            <v>0</v>
          </cell>
          <cell r="E107">
            <v>0</v>
          </cell>
          <cell r="F107">
            <v>0</v>
          </cell>
          <cell r="G107">
            <v>0</v>
          </cell>
          <cell r="H107">
            <v>0</v>
          </cell>
          <cell r="I107">
            <v>0</v>
          </cell>
          <cell r="J107">
            <v>0</v>
          </cell>
        </row>
        <row r="107">
          <cell r="L107">
            <v>0</v>
          </cell>
          <cell r="M107">
            <v>0</v>
          </cell>
          <cell r="N107">
            <v>0</v>
          </cell>
        </row>
        <row r="108">
          <cell r="D108">
            <v>0</v>
          </cell>
          <cell r="E108">
            <v>0</v>
          </cell>
          <cell r="F108">
            <v>0</v>
          </cell>
          <cell r="G108">
            <v>0</v>
          </cell>
          <cell r="H108">
            <v>0</v>
          </cell>
          <cell r="I108">
            <v>0</v>
          </cell>
          <cell r="J108">
            <v>0</v>
          </cell>
        </row>
        <row r="108">
          <cell r="L108">
            <v>0</v>
          </cell>
          <cell r="M108">
            <v>0</v>
          </cell>
          <cell r="N108">
            <v>0</v>
          </cell>
        </row>
        <row r="109">
          <cell r="D109">
            <v>0</v>
          </cell>
          <cell r="E109">
            <v>0</v>
          </cell>
          <cell r="F109">
            <v>0</v>
          </cell>
          <cell r="G109">
            <v>0</v>
          </cell>
          <cell r="H109">
            <v>0</v>
          </cell>
          <cell r="I109">
            <v>0</v>
          </cell>
          <cell r="J109">
            <v>0</v>
          </cell>
        </row>
        <row r="109">
          <cell r="L109">
            <v>0</v>
          </cell>
          <cell r="M109">
            <v>0</v>
          </cell>
          <cell r="N109">
            <v>0</v>
          </cell>
        </row>
        <row r="110">
          <cell r="D110">
            <v>0</v>
          </cell>
          <cell r="E110">
            <v>0</v>
          </cell>
          <cell r="F110">
            <v>0</v>
          </cell>
          <cell r="G110">
            <v>0</v>
          </cell>
          <cell r="H110">
            <v>0</v>
          </cell>
          <cell r="I110">
            <v>0</v>
          </cell>
          <cell r="J110">
            <v>0</v>
          </cell>
        </row>
        <row r="110">
          <cell r="L110">
            <v>0</v>
          </cell>
          <cell r="M110">
            <v>0</v>
          </cell>
          <cell r="N110">
            <v>0</v>
          </cell>
        </row>
        <row r="111">
          <cell r="D111">
            <v>0</v>
          </cell>
          <cell r="E111">
            <v>0</v>
          </cell>
          <cell r="F111">
            <v>0</v>
          </cell>
          <cell r="G111">
            <v>0</v>
          </cell>
          <cell r="H111">
            <v>0</v>
          </cell>
          <cell r="I111">
            <v>0</v>
          </cell>
          <cell r="J111">
            <v>0</v>
          </cell>
        </row>
        <row r="111">
          <cell r="L111">
            <v>0</v>
          </cell>
          <cell r="M111">
            <v>0</v>
          </cell>
          <cell r="N111">
            <v>0</v>
          </cell>
        </row>
        <row r="112">
          <cell r="D112">
            <v>0</v>
          </cell>
          <cell r="E112">
            <v>0</v>
          </cell>
          <cell r="F112">
            <v>0</v>
          </cell>
          <cell r="G112">
            <v>0</v>
          </cell>
          <cell r="H112">
            <v>0</v>
          </cell>
          <cell r="I112">
            <v>0</v>
          </cell>
          <cell r="J112">
            <v>0</v>
          </cell>
        </row>
        <row r="112">
          <cell r="L112">
            <v>0</v>
          </cell>
          <cell r="M112">
            <v>0</v>
          </cell>
          <cell r="N112">
            <v>0</v>
          </cell>
        </row>
        <row r="113">
          <cell r="D113">
            <v>0</v>
          </cell>
          <cell r="E113">
            <v>0</v>
          </cell>
          <cell r="F113">
            <v>0</v>
          </cell>
          <cell r="G113">
            <v>0</v>
          </cell>
          <cell r="H113">
            <v>0</v>
          </cell>
          <cell r="I113">
            <v>0</v>
          </cell>
          <cell r="J113">
            <v>0</v>
          </cell>
        </row>
        <row r="113">
          <cell r="L113">
            <v>0</v>
          </cell>
          <cell r="M113">
            <v>0</v>
          </cell>
          <cell r="N113">
            <v>0</v>
          </cell>
        </row>
        <row r="114">
          <cell r="D114">
            <v>0</v>
          </cell>
          <cell r="E114">
            <v>0</v>
          </cell>
          <cell r="F114">
            <v>0</v>
          </cell>
          <cell r="G114">
            <v>0</v>
          </cell>
          <cell r="H114">
            <v>0</v>
          </cell>
          <cell r="I114">
            <v>0</v>
          </cell>
          <cell r="J114">
            <v>0</v>
          </cell>
        </row>
        <row r="114">
          <cell r="L114">
            <v>0</v>
          </cell>
          <cell r="M114">
            <v>0</v>
          </cell>
          <cell r="N114">
            <v>0</v>
          </cell>
        </row>
        <row r="115">
          <cell r="D115">
            <v>0</v>
          </cell>
          <cell r="E115">
            <v>0</v>
          </cell>
          <cell r="F115">
            <v>0</v>
          </cell>
          <cell r="G115">
            <v>0</v>
          </cell>
          <cell r="H115">
            <v>0</v>
          </cell>
          <cell r="I115">
            <v>0</v>
          </cell>
          <cell r="J115">
            <v>0</v>
          </cell>
        </row>
        <row r="115">
          <cell r="L115">
            <v>0</v>
          </cell>
          <cell r="M115">
            <v>0</v>
          </cell>
          <cell r="N115">
            <v>0</v>
          </cell>
        </row>
        <row r="116">
          <cell r="D116">
            <v>0</v>
          </cell>
          <cell r="E116">
            <v>0</v>
          </cell>
          <cell r="F116">
            <v>0</v>
          </cell>
          <cell r="G116">
            <v>0</v>
          </cell>
          <cell r="H116">
            <v>0</v>
          </cell>
          <cell r="I116">
            <v>0</v>
          </cell>
          <cell r="J116">
            <v>0</v>
          </cell>
        </row>
        <row r="116">
          <cell r="L116">
            <v>0</v>
          </cell>
          <cell r="M116">
            <v>0</v>
          </cell>
          <cell r="N116">
            <v>0</v>
          </cell>
        </row>
        <row r="117">
          <cell r="D117">
            <v>63011</v>
          </cell>
          <cell r="E117">
            <v>63011</v>
          </cell>
          <cell r="F117">
            <v>64901.33</v>
          </cell>
          <cell r="G117">
            <v>66848.3699</v>
          </cell>
          <cell r="H117">
            <v>68853.820997</v>
          </cell>
          <cell r="I117">
            <v>70919.43562691</v>
          </cell>
          <cell r="J117">
            <v>334533.95652391</v>
          </cell>
        </row>
        <row r="117">
          <cell r="L117">
            <v>73047.0186957173</v>
          </cell>
          <cell r="M117">
            <v>75238.4292565888</v>
          </cell>
          <cell r="N117">
            <v>482819.404476216</v>
          </cell>
        </row>
        <row r="118">
          <cell r="D118">
            <v>63011</v>
          </cell>
          <cell r="E118">
            <v>63011</v>
          </cell>
          <cell r="F118">
            <v>64901.33</v>
          </cell>
          <cell r="G118">
            <v>66848.3699</v>
          </cell>
          <cell r="H118">
            <v>68853.820997</v>
          </cell>
          <cell r="I118">
            <v>70919.43562691</v>
          </cell>
          <cell r="J118">
            <v>334533.95652391</v>
          </cell>
        </row>
        <row r="118">
          <cell r="L118">
            <v>73047.0186957173</v>
          </cell>
          <cell r="M118">
            <v>75238.4292565888</v>
          </cell>
          <cell r="N118">
            <v>482819.404476216</v>
          </cell>
        </row>
        <row r="119">
          <cell r="D119">
            <v>63011</v>
          </cell>
          <cell r="E119">
            <v>63011</v>
          </cell>
          <cell r="F119">
            <v>64901.33</v>
          </cell>
          <cell r="G119">
            <v>66848.3699</v>
          </cell>
          <cell r="H119">
            <v>68853.820997</v>
          </cell>
          <cell r="I119">
            <v>70919.43562691</v>
          </cell>
          <cell r="J119">
            <v>334533.95652391</v>
          </cell>
        </row>
        <row r="119">
          <cell r="L119">
            <v>73047.0186957173</v>
          </cell>
          <cell r="M119">
            <v>75238.4292565888</v>
          </cell>
          <cell r="N119">
            <v>482819.404476216</v>
          </cell>
        </row>
        <row r="120">
          <cell r="D120">
            <v>0</v>
          </cell>
          <cell r="E120">
            <v>0</v>
          </cell>
          <cell r="F120">
            <v>0</v>
          </cell>
          <cell r="G120">
            <v>0</v>
          </cell>
          <cell r="H120">
            <v>0</v>
          </cell>
          <cell r="I120">
            <v>0</v>
          </cell>
          <cell r="J120">
            <v>0</v>
          </cell>
        </row>
        <row r="120">
          <cell r="L120">
            <v>0</v>
          </cell>
          <cell r="M120">
            <v>0</v>
          </cell>
          <cell r="N120">
            <v>0</v>
          </cell>
        </row>
        <row r="121">
          <cell r="D121">
            <v>63011</v>
          </cell>
          <cell r="E121">
            <v>63011</v>
          </cell>
          <cell r="F121">
            <v>64901.33</v>
          </cell>
          <cell r="G121">
            <v>66848.3699</v>
          </cell>
          <cell r="H121">
            <v>68853.820997</v>
          </cell>
          <cell r="I121">
            <v>70919.43562691</v>
          </cell>
          <cell r="J121">
            <v>334533.95652391</v>
          </cell>
        </row>
        <row r="121">
          <cell r="L121">
            <v>73047.0186957173</v>
          </cell>
          <cell r="M121">
            <v>75238.4292565888</v>
          </cell>
          <cell r="N121">
            <v>482819.404476216</v>
          </cell>
        </row>
        <row r="123">
          <cell r="D123">
            <v>0</v>
          </cell>
          <cell r="E123">
            <v>0</v>
          </cell>
          <cell r="F123">
            <v>0</v>
          </cell>
          <cell r="G123">
            <v>0</v>
          </cell>
          <cell r="H123">
            <v>0</v>
          </cell>
          <cell r="I123">
            <v>0</v>
          </cell>
          <cell r="J123">
            <v>0</v>
          </cell>
        </row>
        <row r="123">
          <cell r="L123">
            <v>0</v>
          </cell>
          <cell r="M123">
            <v>0</v>
          </cell>
          <cell r="N123">
            <v>0</v>
          </cell>
        </row>
        <row r="124">
          <cell r="D124">
            <v>0</v>
          </cell>
          <cell r="E124">
            <v>0</v>
          </cell>
          <cell r="F124">
            <v>0</v>
          </cell>
          <cell r="G124">
            <v>0</v>
          </cell>
          <cell r="H124">
            <v>0</v>
          </cell>
          <cell r="I124">
            <v>0</v>
          </cell>
          <cell r="J124">
            <v>0</v>
          </cell>
        </row>
        <row r="124">
          <cell r="L124">
            <v>0</v>
          </cell>
          <cell r="M124">
            <v>0</v>
          </cell>
          <cell r="N124">
            <v>0</v>
          </cell>
        </row>
        <row r="125">
          <cell r="D125">
            <v>0</v>
          </cell>
          <cell r="E125">
            <v>0</v>
          </cell>
          <cell r="F125">
            <v>0</v>
          </cell>
          <cell r="G125">
            <v>0</v>
          </cell>
          <cell r="H125">
            <v>0</v>
          </cell>
          <cell r="I125">
            <v>0</v>
          </cell>
          <cell r="J125">
            <v>0</v>
          </cell>
        </row>
        <row r="125">
          <cell r="L125">
            <v>0</v>
          </cell>
          <cell r="M125">
            <v>0</v>
          </cell>
          <cell r="N125">
            <v>0</v>
          </cell>
        </row>
        <row r="126">
          <cell r="D126">
            <v>0</v>
          </cell>
          <cell r="E126">
            <v>0</v>
          </cell>
          <cell r="F126">
            <v>0</v>
          </cell>
          <cell r="G126">
            <v>0</v>
          </cell>
          <cell r="H126">
            <v>0</v>
          </cell>
          <cell r="I126">
            <v>0</v>
          </cell>
          <cell r="J126">
            <v>0</v>
          </cell>
        </row>
        <row r="126">
          <cell r="L126">
            <v>0</v>
          </cell>
          <cell r="M126">
            <v>0</v>
          </cell>
          <cell r="N126">
            <v>0</v>
          </cell>
        </row>
        <row r="127">
          <cell r="D127">
            <v>0</v>
          </cell>
          <cell r="E127">
            <v>0</v>
          </cell>
          <cell r="F127">
            <v>0</v>
          </cell>
          <cell r="G127">
            <v>0</v>
          </cell>
          <cell r="H127">
            <v>0</v>
          </cell>
          <cell r="I127">
            <v>0</v>
          </cell>
          <cell r="J127">
            <v>0</v>
          </cell>
        </row>
        <row r="127">
          <cell r="L127">
            <v>0</v>
          </cell>
          <cell r="M127">
            <v>0</v>
          </cell>
          <cell r="N127">
            <v>0</v>
          </cell>
        </row>
        <row r="129">
          <cell r="D129">
            <v>63011</v>
          </cell>
          <cell r="E129">
            <v>63011</v>
          </cell>
          <cell r="F129">
            <v>64901.33</v>
          </cell>
          <cell r="G129">
            <v>66848.3699</v>
          </cell>
          <cell r="H129">
            <v>68853.820997</v>
          </cell>
          <cell r="I129">
            <v>70919.43562691</v>
          </cell>
          <cell r="J129">
            <v>334533.95652391</v>
          </cell>
        </row>
        <row r="129">
          <cell r="L129">
            <v>73047.0186957173</v>
          </cell>
          <cell r="M129">
            <v>75238.4292565888</v>
          </cell>
          <cell r="N129">
            <v>482819.404476216</v>
          </cell>
        </row>
        <row r="132">
          <cell r="D132" t="str">
            <v>BASE YEAR</v>
          </cell>
          <cell r="E132" t="str">
            <v>YEAR 1</v>
          </cell>
          <cell r="F132" t="str">
            <v>YEAR 2</v>
          </cell>
          <cell r="G132" t="str">
            <v>YEAR 3</v>
          </cell>
          <cell r="H132" t="str">
            <v>YEAR 4</v>
          </cell>
          <cell r="I132" t="str">
            <v xml:space="preserve">YEAR 5 </v>
          </cell>
          <cell r="J132" t="str">
            <v>5 Year  Total</v>
          </cell>
        </row>
        <row r="132">
          <cell r="L132" t="str">
            <v>5 YEAR + 1</v>
          </cell>
          <cell r="M132" t="str">
            <v>5 YEAR + 2</v>
          </cell>
          <cell r="N132" t="str">
            <v>7 Year  Total</v>
          </cell>
        </row>
        <row r="133">
          <cell r="D133">
            <v>7.5</v>
          </cell>
          <cell r="E133">
            <v>7.275</v>
          </cell>
          <cell r="F133">
            <v>7.275</v>
          </cell>
          <cell r="G133">
            <v>7.275</v>
          </cell>
          <cell r="H133">
            <v>7.275</v>
          </cell>
          <cell r="I133">
            <v>7.275</v>
          </cell>
        </row>
        <row r="133">
          <cell r="L133">
            <v>7.275</v>
          </cell>
          <cell r="M133">
            <v>7.275</v>
          </cell>
        </row>
        <row r="134">
          <cell r="D134">
            <v>0</v>
          </cell>
          <cell r="E134">
            <v>0</v>
          </cell>
          <cell r="F134">
            <v>0</v>
          </cell>
          <cell r="G134">
            <v>0</v>
          </cell>
          <cell r="H134">
            <v>0</v>
          </cell>
          <cell r="I134">
            <v>0</v>
          </cell>
        </row>
        <row r="134">
          <cell r="L134">
            <v>0</v>
          </cell>
          <cell r="M134">
            <v>0</v>
          </cell>
        </row>
        <row r="135">
          <cell r="D135">
            <v>7.5</v>
          </cell>
          <cell r="E135">
            <v>7.275</v>
          </cell>
          <cell r="F135">
            <v>7.275</v>
          </cell>
          <cell r="G135">
            <v>7.275</v>
          </cell>
          <cell r="H135">
            <v>7.275</v>
          </cell>
          <cell r="I135">
            <v>7.275</v>
          </cell>
        </row>
        <row r="135">
          <cell r="L135">
            <v>7.275</v>
          </cell>
          <cell r="M135">
            <v>7.275</v>
          </cell>
        </row>
        <row r="137">
          <cell r="D137">
            <v>458850</v>
          </cell>
          <cell r="E137">
            <v>445084.5</v>
          </cell>
          <cell r="F137">
            <v>458437.035</v>
          </cell>
          <cell r="G137">
            <v>472190.14605</v>
          </cell>
          <cell r="H137">
            <v>486355.8504315</v>
          </cell>
          <cell r="I137">
            <v>500946.525944445</v>
          </cell>
          <cell r="J137">
            <v>2363014.05742595</v>
          </cell>
        </row>
        <row r="137">
          <cell r="L137">
            <v>515974.921722778</v>
          </cell>
          <cell r="M137">
            <v>531454.169374462</v>
          </cell>
          <cell r="N137">
            <v>3410443.14852319</v>
          </cell>
        </row>
        <row r="138">
          <cell r="D138">
            <v>24150</v>
          </cell>
          <cell r="E138">
            <v>23425.5</v>
          </cell>
          <cell r="F138">
            <v>24128.265</v>
          </cell>
          <cell r="G138">
            <v>24852.11295</v>
          </cell>
          <cell r="H138">
            <v>25597.6763385</v>
          </cell>
          <cell r="I138">
            <v>26365.606628655</v>
          </cell>
          <cell r="J138">
            <v>124369.160917155</v>
          </cell>
        </row>
        <row r="138">
          <cell r="L138">
            <v>27156.5748275147</v>
          </cell>
          <cell r="M138">
            <v>27971.2720723401</v>
          </cell>
          <cell r="N138">
            <v>179497.00781701</v>
          </cell>
        </row>
        <row r="139">
          <cell r="D139">
            <v>0</v>
          </cell>
          <cell r="E139">
            <v>0</v>
          </cell>
          <cell r="F139">
            <v>0</v>
          </cell>
          <cell r="G139">
            <v>0</v>
          </cell>
          <cell r="H139">
            <v>0</v>
          </cell>
          <cell r="I139">
            <v>0</v>
          </cell>
          <cell r="J139">
            <v>0</v>
          </cell>
        </row>
        <row r="139">
          <cell r="L139">
            <v>0</v>
          </cell>
          <cell r="M139">
            <v>0</v>
          </cell>
          <cell r="N139">
            <v>0</v>
          </cell>
        </row>
        <row r="140">
          <cell r="D140">
            <v>0</v>
          </cell>
          <cell r="E140">
            <v>0</v>
          </cell>
          <cell r="F140">
            <v>0</v>
          </cell>
          <cell r="G140">
            <v>0</v>
          </cell>
          <cell r="H140">
            <v>0</v>
          </cell>
          <cell r="I140">
            <v>0</v>
          </cell>
          <cell r="J140">
            <v>0</v>
          </cell>
        </row>
        <row r="140">
          <cell r="L140">
            <v>0</v>
          </cell>
          <cell r="M140">
            <v>0</v>
          </cell>
          <cell r="N140">
            <v>0</v>
          </cell>
        </row>
        <row r="141">
          <cell r="D141">
            <v>0</v>
          </cell>
          <cell r="E141">
            <v>0</v>
          </cell>
          <cell r="F141">
            <v>0</v>
          </cell>
          <cell r="G141">
            <v>0</v>
          </cell>
          <cell r="H141">
            <v>0</v>
          </cell>
          <cell r="I141">
            <v>0</v>
          </cell>
          <cell r="J141">
            <v>0</v>
          </cell>
        </row>
        <row r="141">
          <cell r="L141">
            <v>0</v>
          </cell>
          <cell r="M141">
            <v>0</v>
          </cell>
          <cell r="N141">
            <v>0</v>
          </cell>
        </row>
        <row r="142">
          <cell r="D142">
            <v>0</v>
          </cell>
          <cell r="E142">
            <v>0</v>
          </cell>
          <cell r="F142">
            <v>0</v>
          </cell>
          <cell r="G142">
            <v>0</v>
          </cell>
          <cell r="H142">
            <v>0</v>
          </cell>
          <cell r="I142">
            <v>0</v>
          </cell>
          <cell r="J142">
            <v>0</v>
          </cell>
        </row>
        <row r="142">
          <cell r="L142">
            <v>0</v>
          </cell>
          <cell r="M142">
            <v>0</v>
          </cell>
          <cell r="N142">
            <v>0</v>
          </cell>
        </row>
        <row r="143">
          <cell r="D143">
            <v>483000</v>
          </cell>
          <cell r="E143">
            <v>468510</v>
          </cell>
          <cell r="F143">
            <v>482565.3</v>
          </cell>
          <cell r="G143">
            <v>497042.259</v>
          </cell>
          <cell r="H143">
            <v>511953.52677</v>
          </cell>
          <cell r="I143">
            <v>527312.1325731</v>
          </cell>
          <cell r="J143">
            <v>2487383.2183431</v>
          </cell>
        </row>
        <row r="143">
          <cell r="L143">
            <v>543131.496550293</v>
          </cell>
          <cell r="M143">
            <v>559425.441446802</v>
          </cell>
          <cell r="N143">
            <v>3589940.1563402</v>
          </cell>
        </row>
        <row r="144">
          <cell r="D144">
            <v>0</v>
          </cell>
          <cell r="E144">
            <v>0</v>
          </cell>
          <cell r="F144">
            <v>0</v>
          </cell>
          <cell r="G144">
            <v>0</v>
          </cell>
          <cell r="H144">
            <v>0</v>
          </cell>
          <cell r="I144">
            <v>0</v>
          </cell>
          <cell r="J144">
            <v>0</v>
          </cell>
        </row>
        <row r="144">
          <cell r="L144">
            <v>0</v>
          </cell>
          <cell r="M144">
            <v>0</v>
          </cell>
          <cell r="N144">
            <v>0</v>
          </cell>
        </row>
        <row r="145">
          <cell r="D145">
            <v>0</v>
          </cell>
          <cell r="E145">
            <v>0</v>
          </cell>
          <cell r="F145">
            <v>0</v>
          </cell>
          <cell r="G145">
            <v>0</v>
          </cell>
          <cell r="H145">
            <v>0</v>
          </cell>
          <cell r="I145">
            <v>0</v>
          </cell>
          <cell r="J145">
            <v>0</v>
          </cell>
        </row>
        <row r="145">
          <cell r="L145">
            <v>0</v>
          </cell>
          <cell r="M145">
            <v>0</v>
          </cell>
          <cell r="N145">
            <v>0</v>
          </cell>
        </row>
        <row r="146">
          <cell r="D146">
            <v>0</v>
          </cell>
          <cell r="E146">
            <v>0</v>
          </cell>
          <cell r="F146">
            <v>0</v>
          </cell>
          <cell r="G146">
            <v>0</v>
          </cell>
          <cell r="H146">
            <v>0</v>
          </cell>
          <cell r="I146">
            <v>0</v>
          </cell>
          <cell r="J146">
            <v>0</v>
          </cell>
        </row>
        <row r="146">
          <cell r="L146">
            <v>0</v>
          </cell>
          <cell r="M146">
            <v>0</v>
          </cell>
          <cell r="N146">
            <v>0</v>
          </cell>
        </row>
        <row r="147">
          <cell r="D147">
            <v>0</v>
          </cell>
          <cell r="E147">
            <v>0</v>
          </cell>
          <cell r="F147">
            <v>0</v>
          </cell>
          <cell r="G147">
            <v>0</v>
          </cell>
          <cell r="H147">
            <v>0</v>
          </cell>
          <cell r="I147">
            <v>0</v>
          </cell>
          <cell r="J147">
            <v>0</v>
          </cell>
        </row>
        <row r="147">
          <cell r="L147">
            <v>0</v>
          </cell>
          <cell r="M147">
            <v>0</v>
          </cell>
          <cell r="N147">
            <v>0</v>
          </cell>
        </row>
        <row r="148">
          <cell r="D148">
            <v>3638</v>
          </cell>
          <cell r="E148">
            <v>3456.1</v>
          </cell>
          <cell r="F148">
            <v>3559.783</v>
          </cell>
          <cell r="G148">
            <v>3666.57649</v>
          </cell>
          <cell r="H148">
            <v>3776.5737847</v>
          </cell>
          <cell r="I148">
            <v>3889.870998241</v>
          </cell>
          <cell r="J148">
            <v>18348.904272941</v>
          </cell>
        </row>
        <row r="148">
          <cell r="L148">
            <v>4006.56712818823</v>
          </cell>
          <cell r="M148">
            <v>4126.76414203388</v>
          </cell>
          <cell r="N148">
            <v>26482.2355431631</v>
          </cell>
        </row>
        <row r="149">
          <cell r="D149">
            <v>0</v>
          </cell>
          <cell r="E149">
            <v>0</v>
          </cell>
          <cell r="F149">
            <v>0</v>
          </cell>
          <cell r="G149">
            <v>0</v>
          </cell>
          <cell r="H149">
            <v>0</v>
          </cell>
          <cell r="I149">
            <v>0</v>
          </cell>
          <cell r="J149">
            <v>0</v>
          </cell>
        </row>
        <row r="149">
          <cell r="L149">
            <v>0</v>
          </cell>
          <cell r="M149">
            <v>0</v>
          </cell>
          <cell r="N149">
            <v>0</v>
          </cell>
        </row>
        <row r="150">
          <cell r="D150">
            <v>0</v>
          </cell>
          <cell r="E150">
            <v>0</v>
          </cell>
          <cell r="F150">
            <v>0</v>
          </cell>
          <cell r="G150">
            <v>0</v>
          </cell>
          <cell r="H150">
            <v>0</v>
          </cell>
          <cell r="I150">
            <v>0</v>
          </cell>
          <cell r="J150">
            <v>0</v>
          </cell>
        </row>
        <row r="150">
          <cell r="L150">
            <v>0</v>
          </cell>
          <cell r="M150">
            <v>0</v>
          </cell>
          <cell r="N150">
            <v>0</v>
          </cell>
        </row>
        <row r="151">
          <cell r="D151">
            <v>0</v>
          </cell>
          <cell r="E151">
            <v>0</v>
          </cell>
          <cell r="F151">
            <v>0</v>
          </cell>
          <cell r="G151">
            <v>0</v>
          </cell>
          <cell r="H151">
            <v>0</v>
          </cell>
          <cell r="I151">
            <v>0</v>
          </cell>
          <cell r="J151">
            <v>0</v>
          </cell>
        </row>
        <row r="151">
          <cell r="L151">
            <v>0</v>
          </cell>
          <cell r="M151">
            <v>0</v>
          </cell>
          <cell r="N151">
            <v>0</v>
          </cell>
        </row>
        <row r="152">
          <cell r="D152">
            <v>3638</v>
          </cell>
          <cell r="E152">
            <v>3456.1</v>
          </cell>
          <cell r="F152">
            <v>3559.783</v>
          </cell>
          <cell r="G152">
            <v>3666.57649</v>
          </cell>
          <cell r="H152">
            <v>3776.5737847</v>
          </cell>
          <cell r="I152">
            <v>3889.870998241</v>
          </cell>
          <cell r="J152">
            <v>18348.904272941</v>
          </cell>
        </row>
        <row r="152">
          <cell r="L152">
            <v>4006.56712818823</v>
          </cell>
          <cell r="M152">
            <v>4126.76414203388</v>
          </cell>
          <cell r="N152">
            <v>26482.2355431631</v>
          </cell>
        </row>
        <row r="153">
          <cell r="D153">
            <v>0</v>
          </cell>
          <cell r="E153">
            <v>0</v>
          </cell>
          <cell r="F153">
            <v>0</v>
          </cell>
          <cell r="G153">
            <v>0</v>
          </cell>
          <cell r="H153">
            <v>0</v>
          </cell>
          <cell r="I153">
            <v>0</v>
          </cell>
          <cell r="J153">
            <v>0</v>
          </cell>
        </row>
        <row r="153">
          <cell r="L153">
            <v>0</v>
          </cell>
          <cell r="M153">
            <v>0</v>
          </cell>
          <cell r="N153">
            <v>0</v>
          </cell>
        </row>
        <row r="154">
          <cell r="D154">
            <v>7019</v>
          </cell>
          <cell r="E154">
            <v>7019</v>
          </cell>
          <cell r="F154">
            <v>7229.57</v>
          </cell>
          <cell r="G154">
            <v>7446.4571</v>
          </cell>
          <cell r="H154">
            <v>7669.850813</v>
          </cell>
          <cell r="I154">
            <v>7899.94633739</v>
          </cell>
          <cell r="J154">
            <v>37264.82425039</v>
          </cell>
        </row>
        <row r="154">
          <cell r="L154">
            <v>8136.9447275117</v>
          </cell>
          <cell r="M154">
            <v>8381.05306933705</v>
          </cell>
          <cell r="N154">
            <v>53782.8220472388</v>
          </cell>
        </row>
        <row r="155">
          <cell r="D155">
            <v>0</v>
          </cell>
          <cell r="E155">
            <v>0</v>
          </cell>
          <cell r="F155">
            <v>0</v>
          </cell>
          <cell r="G155">
            <v>0</v>
          </cell>
          <cell r="H155">
            <v>0</v>
          </cell>
          <cell r="I155">
            <v>0</v>
          </cell>
          <cell r="J155">
            <v>0</v>
          </cell>
        </row>
        <row r="155">
          <cell r="L155">
            <v>0</v>
          </cell>
          <cell r="M155">
            <v>0</v>
          </cell>
          <cell r="N155">
            <v>0</v>
          </cell>
        </row>
        <row r="156">
          <cell r="D156">
            <v>16741</v>
          </cell>
          <cell r="E156">
            <v>16238.77</v>
          </cell>
          <cell r="F156">
            <v>16725.9331</v>
          </cell>
          <cell r="G156">
            <v>17227.711093</v>
          </cell>
          <cell r="H156">
            <v>17744.54242579</v>
          </cell>
          <cell r="I156">
            <v>18276.8786985637</v>
          </cell>
          <cell r="J156">
            <v>86213.8353173537</v>
          </cell>
        </row>
        <row r="156">
          <cell r="L156">
            <v>18825.1850595206</v>
          </cell>
          <cell r="M156">
            <v>19389.9406113062</v>
          </cell>
          <cell r="N156">
            <v>124428.960988181</v>
          </cell>
        </row>
        <row r="157">
          <cell r="D157">
            <v>0</v>
          </cell>
          <cell r="E157">
            <v>0</v>
          </cell>
          <cell r="F157">
            <v>0</v>
          </cell>
          <cell r="G157">
            <v>0</v>
          </cell>
          <cell r="H157">
            <v>0</v>
          </cell>
          <cell r="I157">
            <v>0</v>
          </cell>
          <cell r="J157">
            <v>0</v>
          </cell>
        </row>
        <row r="157">
          <cell r="L157">
            <v>0</v>
          </cell>
          <cell r="M157">
            <v>0</v>
          </cell>
          <cell r="N157">
            <v>0</v>
          </cell>
        </row>
        <row r="158">
          <cell r="D158">
            <v>0</v>
          </cell>
          <cell r="E158">
            <v>0</v>
          </cell>
          <cell r="F158">
            <v>0</v>
          </cell>
          <cell r="G158">
            <v>0</v>
          </cell>
          <cell r="H158">
            <v>0</v>
          </cell>
          <cell r="I158">
            <v>0</v>
          </cell>
          <cell r="J158">
            <v>0</v>
          </cell>
        </row>
        <row r="158">
          <cell r="L158">
            <v>0</v>
          </cell>
          <cell r="M158">
            <v>0</v>
          </cell>
          <cell r="N158">
            <v>0</v>
          </cell>
        </row>
        <row r="159">
          <cell r="D159">
            <v>0</v>
          </cell>
          <cell r="E159">
            <v>0</v>
          </cell>
          <cell r="F159">
            <v>0</v>
          </cell>
          <cell r="G159">
            <v>0</v>
          </cell>
          <cell r="H159">
            <v>0</v>
          </cell>
          <cell r="I159">
            <v>0</v>
          </cell>
          <cell r="J159">
            <v>0</v>
          </cell>
        </row>
        <row r="159">
          <cell r="L159">
            <v>0</v>
          </cell>
          <cell r="M159">
            <v>0</v>
          </cell>
          <cell r="N159">
            <v>0</v>
          </cell>
        </row>
        <row r="160">
          <cell r="D160">
            <v>8588</v>
          </cell>
          <cell r="E160">
            <v>8588</v>
          </cell>
          <cell r="F160">
            <v>8845.64</v>
          </cell>
          <cell r="G160">
            <v>9111.0092</v>
          </cell>
          <cell r="H160">
            <v>9384.339476</v>
          </cell>
          <cell r="I160">
            <v>9665.86966028</v>
          </cell>
          <cell r="J160">
            <v>45594.85833628</v>
          </cell>
        </row>
        <row r="160">
          <cell r="L160">
            <v>9955.8457500884</v>
          </cell>
          <cell r="M160">
            <v>10254.5211225911</v>
          </cell>
          <cell r="N160">
            <v>65805.2252089595</v>
          </cell>
        </row>
        <row r="161">
          <cell r="D161">
            <v>32348</v>
          </cell>
          <cell r="E161">
            <v>31845.77</v>
          </cell>
          <cell r="F161">
            <v>32801.1431</v>
          </cell>
          <cell r="G161">
            <v>33785.177393</v>
          </cell>
          <cell r="H161">
            <v>34798.73271479</v>
          </cell>
          <cell r="I161">
            <v>35842.6946962337</v>
          </cell>
          <cell r="J161">
            <v>169073.517904024</v>
          </cell>
        </row>
        <row r="161">
          <cell r="L161">
            <v>36917.9755371207</v>
          </cell>
          <cell r="M161">
            <v>38025.5148032343</v>
          </cell>
          <cell r="N161">
            <v>244017.008244379</v>
          </cell>
        </row>
        <row r="162">
          <cell r="D162">
            <v>518986</v>
          </cell>
          <cell r="E162">
            <v>503811.87</v>
          </cell>
          <cell r="F162">
            <v>518926.2261</v>
          </cell>
          <cell r="G162">
            <v>534494.012883</v>
          </cell>
          <cell r="H162">
            <v>550528.83326949</v>
          </cell>
          <cell r="I162">
            <v>567044.698267575</v>
          </cell>
          <cell r="J162">
            <v>2674805.64052006</v>
          </cell>
        </row>
        <row r="162">
          <cell r="L162">
            <v>584056.039215602</v>
          </cell>
          <cell r="M162">
            <v>601577.72039207</v>
          </cell>
          <cell r="N162">
            <v>3860439.40012774</v>
          </cell>
        </row>
        <row r="163">
          <cell r="D163">
            <v>0</v>
          </cell>
          <cell r="E163">
            <v>0</v>
          </cell>
          <cell r="F163">
            <v>0</v>
          </cell>
          <cell r="G163">
            <v>0</v>
          </cell>
          <cell r="H163">
            <v>0</v>
          </cell>
          <cell r="I163">
            <v>0</v>
          </cell>
          <cell r="J163">
            <v>0</v>
          </cell>
        </row>
        <row r="163">
          <cell r="L163">
            <v>0</v>
          </cell>
          <cell r="M163">
            <v>0</v>
          </cell>
          <cell r="N163">
            <v>0</v>
          </cell>
        </row>
        <row r="164">
          <cell r="D164">
            <v>518986</v>
          </cell>
          <cell r="E164">
            <v>503811.87</v>
          </cell>
          <cell r="F164">
            <v>518926.2261</v>
          </cell>
          <cell r="G164">
            <v>534494.012883</v>
          </cell>
          <cell r="H164">
            <v>550528.83326949</v>
          </cell>
          <cell r="I164">
            <v>567044.698267575</v>
          </cell>
          <cell r="J164">
            <v>2674805.64052006</v>
          </cell>
        </row>
        <row r="164">
          <cell r="L164">
            <v>584056.039215602</v>
          </cell>
          <cell r="M164">
            <v>601577.72039207</v>
          </cell>
          <cell r="N164">
            <v>3860439.40012774</v>
          </cell>
        </row>
        <row r="166">
          <cell r="D166">
            <v>0</v>
          </cell>
          <cell r="E166">
            <v>0</v>
          </cell>
          <cell r="F166">
            <v>0</v>
          </cell>
          <cell r="G166">
            <v>0</v>
          </cell>
          <cell r="H166">
            <v>0</v>
          </cell>
          <cell r="I166">
            <v>0</v>
          </cell>
          <cell r="J166">
            <v>0</v>
          </cell>
        </row>
        <row r="166">
          <cell r="L166">
            <v>0</v>
          </cell>
          <cell r="M166">
            <v>0</v>
          </cell>
          <cell r="N166">
            <v>0</v>
          </cell>
        </row>
        <row r="167">
          <cell r="D167">
            <v>0</v>
          </cell>
          <cell r="E167">
            <v>0</v>
          </cell>
          <cell r="F167">
            <v>0</v>
          </cell>
          <cell r="G167">
            <v>0</v>
          </cell>
          <cell r="H167">
            <v>0</v>
          </cell>
          <cell r="I167">
            <v>0</v>
          </cell>
          <cell r="J167">
            <v>0</v>
          </cell>
        </row>
        <row r="167">
          <cell r="L167">
            <v>0</v>
          </cell>
          <cell r="M167">
            <v>0</v>
          </cell>
          <cell r="N167">
            <v>0</v>
          </cell>
        </row>
        <row r="168">
          <cell r="D168">
            <v>0</v>
          </cell>
          <cell r="E168">
            <v>0</v>
          </cell>
          <cell r="F168">
            <v>0</v>
          </cell>
          <cell r="G168">
            <v>0</v>
          </cell>
          <cell r="H168">
            <v>0</v>
          </cell>
          <cell r="I168">
            <v>0</v>
          </cell>
          <cell r="J168">
            <v>0</v>
          </cell>
        </row>
        <row r="168">
          <cell r="L168">
            <v>0</v>
          </cell>
          <cell r="M168">
            <v>0</v>
          </cell>
          <cell r="N168">
            <v>0</v>
          </cell>
        </row>
        <row r="169">
          <cell r="D169">
            <v>92160</v>
          </cell>
          <cell r="E169">
            <v>92160</v>
          </cell>
          <cell r="F169">
            <v>94924.8</v>
          </cell>
          <cell r="G169">
            <v>97772.544</v>
          </cell>
          <cell r="H169">
            <v>100705.72032</v>
          </cell>
          <cell r="I169">
            <v>103726.8919296</v>
          </cell>
          <cell r="J169">
            <v>489289.9562496</v>
          </cell>
        </row>
        <row r="169">
          <cell r="L169">
            <v>106838.698687488</v>
          </cell>
          <cell r="M169">
            <v>110043.859648113</v>
          </cell>
          <cell r="N169">
            <v>706172.514585201</v>
          </cell>
        </row>
        <row r="170">
          <cell r="D170">
            <v>92160</v>
          </cell>
          <cell r="E170">
            <v>92160</v>
          </cell>
          <cell r="F170">
            <v>94924.8</v>
          </cell>
          <cell r="G170">
            <v>97772.544</v>
          </cell>
          <cell r="H170">
            <v>100705.72032</v>
          </cell>
          <cell r="I170">
            <v>103726.8919296</v>
          </cell>
          <cell r="J170">
            <v>489289.9562496</v>
          </cell>
        </row>
        <row r="170">
          <cell r="L170">
            <v>106838.698687488</v>
          </cell>
          <cell r="M170">
            <v>110043.859648113</v>
          </cell>
          <cell r="N170">
            <v>706172.514585201</v>
          </cell>
        </row>
        <row r="172">
          <cell r="D172">
            <v>611146</v>
          </cell>
          <cell r="E172">
            <v>595971.87</v>
          </cell>
          <cell r="F172">
            <v>613851.0261</v>
          </cell>
          <cell r="G172">
            <v>632266.556883</v>
          </cell>
          <cell r="H172">
            <v>651234.55358949</v>
          </cell>
          <cell r="I172">
            <v>670771.590197175</v>
          </cell>
          <cell r="J172">
            <v>3164095.59676966</v>
          </cell>
        </row>
        <row r="172">
          <cell r="L172">
            <v>690894.73790309</v>
          </cell>
          <cell r="M172">
            <v>711621.580040183</v>
          </cell>
          <cell r="N172">
            <v>4566611.91471294</v>
          </cell>
        </row>
      </sheetData>
      <sheetData sheetId="2"/>
      <sheetData sheetId="3"/>
      <sheetData sheetId="4"/>
      <sheetData sheetId="5"/>
      <sheetData sheetId="6"/>
      <sheetData sheetId="7"/>
      <sheetData sheetId="8"/>
      <sheetData sheetId="9"/>
      <sheetData sheetId="10"/>
      <sheetData sheetId="11"/>
      <sheetData sheetId="12"/>
    </sheetDataSet>
  </externalBook>
</externalLink>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B17"/>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9.13671875" defaultRowHeight="12.75" customHeight="1" zeroHeight="0" outlineLevelRow="0"/>
  <cols>
    <col width="121.85" customWidth="1" style="149" min="2" max="2"/>
  </cols>
  <sheetData>
    <row r="1" ht="72" customHeight="1" s="150"/>
    <row r="2" ht="21.75" customHeight="1" s="150">
      <c r="B2" s="151" t="inlineStr">
        <is>
          <t>GlobalPharma AG</t>
        </is>
      </c>
    </row>
    <row r="3" ht="20.25" customHeight="1" s="150">
      <c r="B3" s="151" t="n"/>
    </row>
    <row r="4" ht="45" customHeight="1" s="150">
      <c r="B4" s="151" t="n"/>
    </row>
    <row r="5" ht="20.25" customHeight="1" s="150">
      <c r="B5" s="152" t="inlineStr">
        <is>
          <t>ATTACHMENT 4-C</t>
        </is>
      </c>
    </row>
    <row r="6" ht="20.25" customHeight="1" s="150">
      <c r="B6" s="151" t="n"/>
    </row>
    <row r="7" ht="20.25" customHeight="1" s="150">
      <c r="B7" s="152" t="inlineStr">
        <is>
          <t>FINANCIAL BASE CASE</t>
        </is>
      </c>
    </row>
    <row r="8" ht="20.25" customHeight="1" s="150">
      <c r="B8" s="152" t="inlineStr">
        <is>
          <t>Attachment to Exhibit 4 (Pricing and Financial Provisions)</t>
        </is>
      </c>
    </row>
    <row r="9" ht="20.25" customHeight="1" s="150">
      <c r="B9" s="151" t="n"/>
    </row>
    <row r="10" ht="20.25" customHeight="1" s="150">
      <c r="B10" s="153" t="n"/>
    </row>
    <row r="11" ht="46.5" customHeight="1" s="150">
      <c r="B11" s="151" t="n"/>
    </row>
    <row r="12" ht="0.75" customHeight="1" s="150">
      <c r="B12" s="151" t="n"/>
    </row>
    <row r="13" hidden="1" ht="20.25" customHeight="1" s="150">
      <c r="B13" s="151" t="n"/>
    </row>
    <row r="14" ht="15" customHeight="1" s="150">
      <c r="B14" s="154" t="n"/>
    </row>
    <row r="15" ht="56.25" customHeight="1" s="150">
      <c r="B15" s="155" t="inlineStr">
        <is>
          <t>This document contains confidential and proprietary information of GlobalPharma AG. It is furnished for the performance of The Agreements only. Except with the express prior written permission of GlobalPharma AG, this document and the information contained herein may not be published, disclosed, or used for any other purpose.</t>
        </is>
      </c>
    </row>
    <row r="16" ht="27.75" customHeight="1" s="150">
      <c r="B16" s="156" t="n"/>
    </row>
    <row r="17" ht="15" customHeight="1" s="150">
      <c r="B17" s="157" t="n"/>
    </row>
  </sheetData>
  <printOptions horizontalCentered="0" verticalCentered="0" headings="0" gridLines="0" gridLinesSet="1"/>
  <pageMargins left="0.747916666666667" right="0.747916666666667" top="0.9840277777777779" bottom="0.9840277777777779"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tabColor rgb="FF00FFFF"/>
    <outlinePr summaryBelow="1" summaryRight="1"/>
    <pageSetUpPr fitToPage="0"/>
  </sheetPr>
  <dimension ref="A1:O196"/>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9.13671875" defaultRowHeight="12.75" customHeight="1" zeroHeight="0" outlineLevelRow="0"/>
  <cols>
    <col width="6.28" customWidth="1" style="158" min="1" max="2"/>
    <col width="27.56" customWidth="1" style="149" min="3" max="3"/>
    <col width="11.99" customWidth="1" style="149" min="4" max="7"/>
    <col width="12.85" customWidth="1" style="149" min="8" max="8"/>
    <col width="14.41" customWidth="1" style="149" min="9" max="9"/>
    <col width="11.99" customWidth="1" style="159" min="10" max="10"/>
    <col width="3.28" customWidth="1" style="160" min="11" max="11"/>
    <col width="12.85" customWidth="1" style="149" min="12" max="12"/>
    <col width="14.41" customWidth="1" style="149" min="13" max="13"/>
    <col width="13.56" customWidth="1" style="149" min="14" max="14"/>
    <col width="9.140000000000001" customWidth="1" style="149" min="15" max="257"/>
  </cols>
  <sheetData>
    <row r="1" ht="33" customHeight="1" s="150">
      <c r="C1" s="161" t="inlineStr">
        <is>
          <t>Consolidated Summary</t>
        </is>
      </c>
    </row>
    <row r="2" ht="48.75" customHeight="1" s="150">
      <c r="C2" s="162" t="inlineStr">
        <is>
          <t>TOTAL COSTS 
(US$ excl. VAT)</t>
        </is>
      </c>
      <c r="D2" s="163" t="inlineStr">
        <is>
          <t>BASE YEAR</t>
        </is>
      </c>
      <c r="E2" s="163" t="inlineStr">
        <is>
          <t>YEAR 1</t>
        </is>
      </c>
      <c r="F2" s="163" t="inlineStr">
        <is>
          <t>YEAR 2</t>
        </is>
      </c>
      <c r="G2" s="163" t="inlineStr">
        <is>
          <t>YEAR 3</t>
        </is>
      </c>
      <c r="H2" s="163" t="inlineStr">
        <is>
          <t>YEAR 4</t>
        </is>
      </c>
      <c r="I2" s="163" t="inlineStr">
        <is>
          <t>YEAR 5</t>
        </is>
      </c>
      <c r="J2" s="164" t="inlineStr">
        <is>
          <t>5 Year Total</t>
        </is>
      </c>
      <c r="K2" s="165" t="n"/>
      <c r="L2" s="163" t="inlineStr">
        <is>
          <t>5 YEAR + 1</t>
        </is>
      </c>
      <c r="M2" s="166" t="inlineStr">
        <is>
          <t>5 YEAR + 2</t>
        </is>
      </c>
      <c r="N2" s="163" t="inlineStr">
        <is>
          <t>7 Year Total</t>
        </is>
      </c>
    </row>
    <row r="3" ht="12.75" customHeight="1" s="150">
      <c r="A3" s="158" t="n"/>
      <c r="B3" s="158" t="n"/>
      <c r="C3" s="167" t="inlineStr">
        <is>
          <t>Internal FTE</t>
        </is>
      </c>
      <c r="D3" s="168">
        <f>D46+D90+D133</f>
        <v/>
      </c>
      <c r="E3" s="168">
        <f>E46+E90+E133</f>
        <v/>
      </c>
      <c r="F3" s="168">
        <f>F46+F90+F133</f>
        <v/>
      </c>
      <c r="G3" s="168">
        <f>G46+G90+G133</f>
        <v/>
      </c>
      <c r="H3" s="168">
        <f>H46+H90+H133</f>
        <v/>
      </c>
      <c r="I3" s="169">
        <f>I46+I90+I133</f>
        <v/>
      </c>
      <c r="J3" s="170" t="n"/>
      <c r="K3" s="171" t="n"/>
      <c r="L3" s="172">
        <f>L46+L90+L133</f>
        <v/>
      </c>
      <c r="M3" s="169">
        <f>M46+M90+M133</f>
        <v/>
      </c>
      <c r="N3" s="173" t="n"/>
    </row>
    <row r="4" ht="12.75" customHeight="1" s="150">
      <c r="A4" s="158" t="n"/>
      <c r="B4" s="158" t="n"/>
      <c r="C4" s="167" t="inlineStr">
        <is>
          <t>External FTE</t>
        </is>
      </c>
      <c r="D4" s="168">
        <f>D47+D91+D134</f>
        <v/>
      </c>
      <c r="E4" s="168">
        <f>E47+E91+E134</f>
        <v/>
      </c>
      <c r="F4" s="168">
        <f>F47+F91+F134</f>
        <v/>
      </c>
      <c r="G4" s="168">
        <f>G47+G91+G134</f>
        <v/>
      </c>
      <c r="H4" s="168">
        <f>H47+H91+H134</f>
        <v/>
      </c>
      <c r="I4" s="174">
        <f>I47+I91+I134</f>
        <v/>
      </c>
      <c r="J4" s="170" t="n"/>
      <c r="K4" s="171" t="n"/>
      <c r="L4" s="175">
        <f>L47+L91+L134</f>
        <v/>
      </c>
      <c r="M4" s="174">
        <f>M47+M91+M134</f>
        <v/>
      </c>
      <c r="N4" s="173" t="n"/>
    </row>
    <row r="5" ht="13.5" customHeight="1" s="150">
      <c r="A5" s="176" t="n"/>
      <c r="B5" s="176" t="n"/>
      <c r="C5" s="177" t="inlineStr">
        <is>
          <t>Total FTE</t>
        </is>
      </c>
      <c r="D5" s="178">
        <f>SUM(D3:D4)</f>
        <v/>
      </c>
      <c r="E5" s="178">
        <f>SUM(E3:E4)</f>
        <v/>
      </c>
      <c r="F5" s="178">
        <f>SUM(F3:F4)</f>
        <v/>
      </c>
      <c r="G5" s="178">
        <f>SUM(G3:G4)</f>
        <v/>
      </c>
      <c r="H5" s="178">
        <f>SUM(H3:H4)</f>
        <v/>
      </c>
      <c r="I5" s="179">
        <f>SUM(I3:I4)</f>
        <v/>
      </c>
      <c r="J5" s="179" t="n"/>
      <c r="K5" s="171" t="n"/>
      <c r="L5" s="180">
        <f>SUM(L3:L4)</f>
        <v/>
      </c>
      <c r="M5" s="179">
        <f>SUM(M3:M4)</f>
        <v/>
      </c>
      <c r="N5" s="181" t="n"/>
    </row>
    <row r="6" ht="12.75" customHeight="1" s="150">
      <c r="A6" s="158" t="n"/>
      <c r="B6" s="158" t="n"/>
      <c r="C6" s="167" t="n"/>
      <c r="D6" s="182" t="n"/>
      <c r="E6" s="182" t="n"/>
      <c r="F6" s="182" t="n"/>
      <c r="G6" s="182" t="n"/>
      <c r="H6" s="182" t="n"/>
      <c r="I6" s="183" t="n"/>
      <c r="J6" s="184" t="n"/>
      <c r="K6" s="185" t="n"/>
      <c r="L6" s="186" t="n"/>
      <c r="M6" s="182" t="n"/>
      <c r="N6" s="173" t="n"/>
    </row>
    <row r="7" ht="12.75" customHeight="1" s="150">
      <c r="A7" s="158" t="n"/>
      <c r="B7" s="158" t="n"/>
      <c r="C7" s="167" t="inlineStr">
        <is>
          <t>Salaries</t>
        </is>
      </c>
      <c r="D7" s="182">
        <f>D50+D94+D137</f>
        <v/>
      </c>
      <c r="E7" s="182">
        <f>E50+E94+E137</f>
        <v/>
      </c>
      <c r="F7" s="182">
        <f>F50+F94+F137</f>
        <v/>
      </c>
      <c r="G7" s="182">
        <f>G50+G94+G137</f>
        <v/>
      </c>
      <c r="H7" s="182">
        <f>H50+H94+H137</f>
        <v/>
      </c>
      <c r="I7" s="183">
        <f>I50+I94+I137</f>
        <v/>
      </c>
      <c r="J7" s="183">
        <f>SUM(E7:I7)</f>
        <v/>
      </c>
      <c r="K7" s="185" t="n"/>
      <c r="L7" s="186">
        <f>L50+L94+L137</f>
        <v/>
      </c>
      <c r="M7" s="182">
        <f>M50+M94+M137</f>
        <v/>
      </c>
      <c r="N7" s="173">
        <f>+J7+SUM(L7:M7)</f>
        <v/>
      </c>
    </row>
    <row r="8" ht="12.75" customHeight="1" s="150">
      <c r="A8" s="158" t="n"/>
      <c r="B8" s="158" t="n"/>
      <c r="C8" s="167" t="inlineStr">
        <is>
          <t>Bonuses</t>
        </is>
      </c>
      <c r="D8" s="182">
        <f>D51+D95+D138</f>
        <v/>
      </c>
      <c r="E8" s="182">
        <f>E51+E95+E138</f>
        <v/>
      </c>
      <c r="F8" s="182">
        <f>F51+F95+F138</f>
        <v/>
      </c>
      <c r="G8" s="182">
        <f>G51+G95+G138</f>
        <v/>
      </c>
      <c r="H8" s="182">
        <f>H51+H95+H138</f>
        <v/>
      </c>
      <c r="I8" s="183">
        <f>I51+I95+I138</f>
        <v/>
      </c>
      <c r="J8" s="183">
        <f>SUM(E8:I8)</f>
        <v/>
      </c>
      <c r="K8" s="185" t="n"/>
      <c r="L8" s="186">
        <f>L51+L95+L138</f>
        <v/>
      </c>
      <c r="M8" s="182">
        <f>M51+M95+M138</f>
        <v/>
      </c>
      <c r="N8" s="173">
        <f>+J8+SUM(L8:M8)</f>
        <v/>
      </c>
    </row>
    <row r="9" ht="12.75" customHeight="1" s="150">
      <c r="A9" s="158" t="n"/>
      <c r="B9" s="158" t="n"/>
      <c r="C9" s="167" t="inlineStr">
        <is>
          <t>Third party staff, ex IT</t>
        </is>
      </c>
      <c r="D9" s="182">
        <f>D52+D96+D139</f>
        <v/>
      </c>
      <c r="E9" s="182">
        <f>E52+E96+E139</f>
        <v/>
      </c>
      <c r="F9" s="182">
        <f>F52+F96+F139</f>
        <v/>
      </c>
      <c r="G9" s="182">
        <f>G52+G96+G139</f>
        <v/>
      </c>
      <c r="H9" s="182">
        <f>H52+H96+H139</f>
        <v/>
      </c>
      <c r="I9" s="183">
        <f>I52+I96+I139</f>
        <v/>
      </c>
      <c r="J9" s="183">
        <f>SUM(E9:I9)</f>
        <v/>
      </c>
      <c r="K9" s="185" t="n"/>
      <c r="L9" s="186">
        <f>L52+L96+L139</f>
        <v/>
      </c>
      <c r="M9" s="182">
        <f>M52+M96+M139</f>
        <v/>
      </c>
      <c r="N9" s="173">
        <f>+J9+SUM(L9:M9)</f>
        <v/>
      </c>
    </row>
    <row r="10" ht="12.75" customHeight="1" s="150">
      <c r="A10" s="158" t="n"/>
      <c r="B10" s="158" t="n"/>
      <c r="C10" s="167" t="inlineStr">
        <is>
          <t>Third party IT staff</t>
        </is>
      </c>
      <c r="D10" s="182">
        <f>D53+D97+D140</f>
        <v/>
      </c>
      <c r="E10" s="182">
        <f>E53+E97+E140</f>
        <v/>
      </c>
      <c r="F10" s="182">
        <f>F53+F97+F140</f>
        <v/>
      </c>
      <c r="G10" s="182">
        <f>G53+G97+G140</f>
        <v/>
      </c>
      <c r="H10" s="182">
        <f>H53+H97+H140</f>
        <v/>
      </c>
      <c r="I10" s="183">
        <f>I53+I97+I140</f>
        <v/>
      </c>
      <c r="J10" s="183">
        <f>SUM(E10:I10)</f>
        <v/>
      </c>
      <c r="K10" s="185" t="n"/>
      <c r="L10" s="186">
        <f>L53+L97+L140</f>
        <v/>
      </c>
      <c r="M10" s="182">
        <f>M53+M97+M140</f>
        <v/>
      </c>
      <c r="N10" s="173">
        <f>+J10+SUM(L10:M10)</f>
        <v/>
      </c>
    </row>
    <row r="11" ht="12.75" customHeight="1" s="150">
      <c r="A11" s="158" t="n"/>
      <c r="B11" s="158" t="n"/>
      <c r="C11" s="167" t="inlineStr">
        <is>
          <t>Employee education</t>
        </is>
      </c>
      <c r="D11" s="182">
        <f>D54+D98+D141</f>
        <v/>
      </c>
      <c r="E11" s="182">
        <f>E54+E98+E141</f>
        <v/>
      </c>
      <c r="F11" s="182">
        <f>F54+F98+F141</f>
        <v/>
      </c>
      <c r="G11" s="182">
        <f>G54+G98+G141</f>
        <v/>
      </c>
      <c r="H11" s="182">
        <f>H54+H98+H141</f>
        <v/>
      </c>
      <c r="I11" s="183">
        <f>I54+I98+I141</f>
        <v/>
      </c>
      <c r="J11" s="183">
        <f>SUM(E11:I11)</f>
        <v/>
      </c>
      <c r="K11" s="185" t="n"/>
      <c r="L11" s="186">
        <f>L54+L98+L141</f>
        <v/>
      </c>
      <c r="M11" s="182">
        <f>M54+M98+M141</f>
        <v/>
      </c>
      <c r="N11" s="173">
        <f>+J11+SUM(L11:M11)</f>
        <v/>
      </c>
    </row>
    <row r="12" ht="12.75" customHeight="1" s="150">
      <c r="A12" s="158" t="n"/>
      <c r="B12" s="158" t="n"/>
      <c r="C12" s="167" t="inlineStr">
        <is>
          <t>Other staff expenses</t>
        </is>
      </c>
      <c r="D12" s="182">
        <f>D55+D99+D142</f>
        <v/>
      </c>
      <c r="E12" s="182">
        <f>E55+E99+E142</f>
        <v/>
      </c>
      <c r="F12" s="182">
        <f>F55+F99+F142</f>
        <v/>
      </c>
      <c r="G12" s="182">
        <f>G55+G99+G142</f>
        <v/>
      </c>
      <c r="H12" s="182">
        <f>H55+H99+H142</f>
        <v/>
      </c>
      <c r="I12" s="187">
        <f>I55+I99+I142</f>
        <v/>
      </c>
      <c r="J12" s="187">
        <f>SUM(E12:I12)</f>
        <v/>
      </c>
      <c r="K12" s="185" t="n"/>
      <c r="L12" s="186">
        <f>L55+L99+L142</f>
        <v/>
      </c>
      <c r="M12" s="182">
        <f>M55+M99+M142</f>
        <v/>
      </c>
      <c r="N12" s="173">
        <f>+J12+SUM(L12:M12)</f>
        <v/>
      </c>
    </row>
    <row r="13" ht="13.5" customHeight="1" s="150">
      <c r="A13" s="176" t="n"/>
      <c r="B13" s="176" t="n"/>
      <c r="C13" s="177" t="inlineStr">
        <is>
          <t>Staff expenses</t>
        </is>
      </c>
      <c r="D13" s="188">
        <f>SUM(D7:D12)</f>
        <v/>
      </c>
      <c r="E13" s="188">
        <f>SUM(E7:E12)</f>
        <v/>
      </c>
      <c r="F13" s="188">
        <f>SUM(F7:F12)</f>
        <v/>
      </c>
      <c r="G13" s="188">
        <f>SUM(G7:G12)</f>
        <v/>
      </c>
      <c r="H13" s="188">
        <f>SUM(H7:H12)</f>
        <v/>
      </c>
      <c r="I13" s="189">
        <f>SUM(I7:I12)</f>
        <v/>
      </c>
      <c r="J13" s="189">
        <f>SUM(E13:I13)</f>
        <v/>
      </c>
      <c r="K13" s="185" t="n"/>
      <c r="L13" s="181">
        <f>SUM(L7:L12)</f>
        <v/>
      </c>
      <c r="M13" s="188">
        <f>SUM(M7:M12)</f>
        <v/>
      </c>
      <c r="N13" s="181">
        <f>SUM(N7:N12)</f>
        <v/>
      </c>
    </row>
    <row r="14" ht="12.75" customHeight="1" s="150">
      <c r="A14" s="158" t="n"/>
      <c r="B14" s="158" t="n"/>
      <c r="C14" s="167" t="inlineStr">
        <is>
          <t>Hardware expenses</t>
        </is>
      </c>
      <c r="D14" s="182">
        <f>D57+D101+D144</f>
        <v/>
      </c>
      <c r="E14" s="182">
        <f>E57+E101+E144</f>
        <v/>
      </c>
      <c r="F14" s="182">
        <f>F57+F101+F144</f>
        <v/>
      </c>
      <c r="G14" s="182">
        <f>G57+G101+G144</f>
        <v/>
      </c>
      <c r="H14" s="182">
        <f>H57+H101+H144</f>
        <v/>
      </c>
      <c r="I14" s="183">
        <f>I57+I101+I144</f>
        <v/>
      </c>
      <c r="J14" s="183">
        <f>SUM(E14:I14)</f>
        <v/>
      </c>
      <c r="K14" s="185" t="n"/>
      <c r="L14" s="186">
        <f>L57+L101+L144</f>
        <v/>
      </c>
      <c r="M14" s="182">
        <f>M57+M101+M144</f>
        <v/>
      </c>
      <c r="N14" s="173">
        <f>+J14+SUM(L14:M14)</f>
        <v/>
      </c>
    </row>
    <row r="15" ht="12.75" customHeight="1" s="150">
      <c r="A15" s="158" t="n"/>
      <c r="B15" s="158" t="n"/>
      <c r="C15" s="167" t="inlineStr">
        <is>
          <t>Leasing/renting hardware</t>
        </is>
      </c>
      <c r="D15" s="182">
        <f>D58+D102+D145</f>
        <v/>
      </c>
      <c r="E15" s="182">
        <f>E58+E102+E145</f>
        <v/>
      </c>
      <c r="F15" s="182">
        <f>F58+F102+F145</f>
        <v/>
      </c>
      <c r="G15" s="182">
        <f>G58+G102+G145</f>
        <v/>
      </c>
      <c r="H15" s="182">
        <f>H58+H102+H145</f>
        <v/>
      </c>
      <c r="I15" s="183">
        <f>I58+I102+I145</f>
        <v/>
      </c>
      <c r="J15" s="183">
        <f>SUM(E15:I15)</f>
        <v/>
      </c>
      <c r="K15" s="185" t="n"/>
      <c r="L15" s="186">
        <f>L58+L102+L145</f>
        <v/>
      </c>
      <c r="M15" s="182">
        <f>M58+M102+M145</f>
        <v/>
      </c>
      <c r="N15" s="173">
        <f>+J15+SUM(L15:M15)</f>
        <v/>
      </c>
    </row>
    <row r="16" ht="12.75" customHeight="1" s="150">
      <c r="A16" s="158" t="n"/>
      <c r="B16" s="158" t="n"/>
      <c r="C16" s="167" t="inlineStr">
        <is>
          <t>Software expenses</t>
        </is>
      </c>
      <c r="D16" s="182">
        <f>D59+D103+D146</f>
        <v/>
      </c>
      <c r="E16" s="182">
        <f>E59+E103+E146</f>
        <v/>
      </c>
      <c r="F16" s="182">
        <f>F59+F103+F146</f>
        <v/>
      </c>
      <c r="G16" s="182">
        <f>G59+G103+G146</f>
        <v/>
      </c>
      <c r="H16" s="182">
        <f>H59+H103+H146</f>
        <v/>
      </c>
      <c r="I16" s="183">
        <f>I59+I103+I146</f>
        <v/>
      </c>
      <c r="J16" s="183">
        <f>SUM(E16:I16)</f>
        <v/>
      </c>
      <c r="K16" s="185" t="n"/>
      <c r="L16" s="186">
        <f>L59+L103+L146</f>
        <v/>
      </c>
      <c r="M16" s="182">
        <f>M59+M103+M146</f>
        <v/>
      </c>
      <c r="N16" s="173">
        <f>+J16+SUM(L16:M16)</f>
        <v/>
      </c>
    </row>
    <row r="17" ht="12.75" customHeight="1" s="150">
      <c r="A17" s="158" t="n"/>
      <c r="B17" s="158" t="n"/>
      <c r="C17" s="167" t="inlineStr">
        <is>
          <t>Leasing/renting/licenses sw</t>
        </is>
      </c>
      <c r="D17" s="182">
        <f>D60+D104+D147</f>
        <v/>
      </c>
      <c r="E17" s="182">
        <f>E60+E104+E147</f>
        <v/>
      </c>
      <c r="F17" s="182">
        <f>F60+F104+F147</f>
        <v/>
      </c>
      <c r="G17" s="182">
        <f>G60+G104+G147</f>
        <v/>
      </c>
      <c r="H17" s="182">
        <f>H60+H104+H147</f>
        <v/>
      </c>
      <c r="I17" s="183">
        <f>I60+I104+I147</f>
        <v/>
      </c>
      <c r="J17" s="183">
        <f>SUM(E17:I17)</f>
        <v/>
      </c>
      <c r="K17" s="185" t="n"/>
      <c r="L17" s="186">
        <f>L60+L104+L147</f>
        <v/>
      </c>
      <c r="M17" s="182">
        <f>M60+M104+M147</f>
        <v/>
      </c>
      <c r="N17" s="173">
        <f>+J17+SUM(L17:M17)</f>
        <v/>
      </c>
    </row>
    <row r="18" ht="12.75" customHeight="1" s="150">
      <c r="A18" s="158" t="n"/>
      <c r="B18" s="158" t="n"/>
      <c r="C18" s="167" t="inlineStr">
        <is>
          <t>Depreciation hardware</t>
        </is>
      </c>
      <c r="D18" s="182">
        <f>D61+D105+D148</f>
        <v/>
      </c>
      <c r="E18" s="182">
        <f>E61+E105+E148</f>
        <v/>
      </c>
      <c r="F18" s="182">
        <f>F61+F105+F148</f>
        <v/>
      </c>
      <c r="G18" s="182">
        <f>G61+G105+G148</f>
        <v/>
      </c>
      <c r="H18" s="182">
        <f>H61+H105+H148</f>
        <v/>
      </c>
      <c r="I18" s="183">
        <f>I61+I105+I148</f>
        <v/>
      </c>
      <c r="J18" s="183">
        <f>SUM(E18:I18)</f>
        <v/>
      </c>
      <c r="K18" s="185" t="n"/>
      <c r="L18" s="186">
        <f>L61+L105+L148</f>
        <v/>
      </c>
      <c r="M18" s="182">
        <f>M61+M105+M148</f>
        <v/>
      </c>
      <c r="N18" s="173">
        <f>+J18+SUM(L18:M18)</f>
        <v/>
      </c>
    </row>
    <row r="19" ht="12.75" customHeight="1" s="150">
      <c r="A19" s="158" t="n"/>
      <c r="B19" s="158" t="n"/>
      <c r="C19" s="167" t="inlineStr">
        <is>
          <t>Depreciation software</t>
        </is>
      </c>
      <c r="D19" s="182">
        <f>D62+D106+D149</f>
        <v/>
      </c>
      <c r="E19" s="182">
        <f>E62+E106+E149</f>
        <v/>
      </c>
      <c r="F19" s="182">
        <f>F62+F106+F149</f>
        <v/>
      </c>
      <c r="G19" s="182">
        <f>G62+G106+G149</f>
        <v/>
      </c>
      <c r="H19" s="182">
        <f>H62+H106+H149</f>
        <v/>
      </c>
      <c r="I19" s="183">
        <f>I62+I106+I149</f>
        <v/>
      </c>
      <c r="J19" s="183">
        <f>SUM(E19:I19)</f>
        <v/>
      </c>
      <c r="K19" s="185" t="n"/>
      <c r="L19" s="186">
        <f>L62+L106+L149</f>
        <v/>
      </c>
      <c r="M19" s="182">
        <f>M62+M106+M149</f>
        <v/>
      </c>
      <c r="N19" s="173">
        <f>+J19+SUM(L19:M19)</f>
        <v/>
      </c>
    </row>
    <row r="20" ht="12.75" customHeight="1" s="150">
      <c r="A20" s="158" t="n"/>
      <c r="B20" s="158" t="n"/>
      <c r="C20" s="167" t="inlineStr">
        <is>
          <t>Outsourcing IT activities</t>
        </is>
      </c>
      <c r="D20" s="182">
        <f>D63+D107+D150</f>
        <v/>
      </c>
      <c r="E20" s="182">
        <f>E63+E107+E150</f>
        <v/>
      </c>
      <c r="F20" s="182">
        <f>F63+F107+F150</f>
        <v/>
      </c>
      <c r="G20" s="182">
        <f>G63+G107+G150</f>
        <v/>
      </c>
      <c r="H20" s="182">
        <f>H63+H107+H150</f>
        <v/>
      </c>
      <c r="I20" s="183">
        <f>I63+I107+I150</f>
        <v/>
      </c>
      <c r="J20" s="183">
        <f>SUM(E20:I20)</f>
        <v/>
      </c>
      <c r="K20" s="185" t="n"/>
      <c r="L20" s="186">
        <f>L63+L107+L150</f>
        <v/>
      </c>
      <c r="M20" s="182">
        <f>M63+M107+M150</f>
        <v/>
      </c>
      <c r="N20" s="173">
        <f>+J20+SUM(L20:M20)</f>
        <v/>
      </c>
    </row>
    <row r="21" ht="12.75" customHeight="1" s="150">
      <c r="A21" s="158" t="n"/>
      <c r="B21" s="158" t="n"/>
      <c r="C21" s="167" t="inlineStr">
        <is>
          <t>Other IT expenses</t>
        </is>
      </c>
      <c r="D21" s="182">
        <f>D64+D108+D151</f>
        <v/>
      </c>
      <c r="E21" s="182">
        <f>E64+E108+E151</f>
        <v/>
      </c>
      <c r="F21" s="182">
        <f>F64+F108+F151</f>
        <v/>
      </c>
      <c r="G21" s="182">
        <f>G64+G108+G151</f>
        <v/>
      </c>
      <c r="H21" s="182">
        <f>H64+H108+H151</f>
        <v/>
      </c>
      <c r="I21" s="183">
        <f>I64+I108+I151</f>
        <v/>
      </c>
      <c r="J21" s="183">
        <f>SUM(E21:I21)</f>
        <v/>
      </c>
      <c r="K21" s="185" t="n"/>
      <c r="L21" s="186">
        <f>L64+L108+L151</f>
        <v/>
      </c>
      <c r="M21" s="182">
        <f>M64+M108+M151</f>
        <v/>
      </c>
      <c r="N21" s="173">
        <f>+J21+SUM(L21:M21)</f>
        <v/>
      </c>
    </row>
    <row r="22" ht="13.5" customHeight="1" s="150">
      <c r="A22" s="176" t="n"/>
      <c r="B22" s="176" t="n"/>
      <c r="C22" s="177" t="inlineStr">
        <is>
          <t>EDP expenses</t>
        </is>
      </c>
      <c r="D22" s="188">
        <f>SUM(D14:D21)</f>
        <v/>
      </c>
      <c r="E22" s="188">
        <f>SUM(E14:E21)</f>
        <v/>
      </c>
      <c r="F22" s="188">
        <f>SUM(F14:F21)</f>
        <v/>
      </c>
      <c r="G22" s="188">
        <f>SUM(G14:G21)</f>
        <v/>
      </c>
      <c r="H22" s="188">
        <f>SUM(H14:H21)</f>
        <v/>
      </c>
      <c r="I22" s="189">
        <f>SUM(I14:I21)</f>
        <v/>
      </c>
      <c r="J22" s="189">
        <f>SUM(E22:I22)</f>
        <v/>
      </c>
      <c r="K22" s="185" t="n"/>
      <c r="L22" s="181">
        <f>SUM(L14:L21)</f>
        <v/>
      </c>
      <c r="M22" s="188">
        <f>SUM(M14:M21)</f>
        <v/>
      </c>
      <c r="N22" s="181">
        <f>SUM(N14:N21)</f>
        <v/>
      </c>
    </row>
    <row r="23" ht="12.75" customHeight="1" s="150">
      <c r="A23" s="158" t="n"/>
      <c r="B23" s="158" t="n"/>
      <c r="C23" s="167" t="inlineStr">
        <is>
          <t>Telecom expenses</t>
        </is>
      </c>
      <c r="D23" s="182">
        <f>D66+D110+D153</f>
        <v/>
      </c>
      <c r="E23" s="182">
        <f>E66+E110+E153</f>
        <v/>
      </c>
      <c r="F23" s="182">
        <f>F66+F110+F153</f>
        <v/>
      </c>
      <c r="G23" s="182">
        <f>G66+G110+G153</f>
        <v/>
      </c>
      <c r="H23" s="182">
        <f>H66+H110+H153</f>
        <v/>
      </c>
      <c r="I23" s="183">
        <f>I66+I110+I153</f>
        <v/>
      </c>
      <c r="J23" s="183">
        <f>SUM(E23:I23)</f>
        <v/>
      </c>
      <c r="K23" s="185" t="n"/>
      <c r="L23" s="186">
        <f>L66+L110+L153</f>
        <v/>
      </c>
      <c r="M23" s="182">
        <f>M66+M110+M153</f>
        <v/>
      </c>
      <c r="N23" s="173">
        <f>+J23+SUM(L23:M23)</f>
        <v/>
      </c>
    </row>
    <row r="24" ht="12.75" customHeight="1" s="150">
      <c r="A24" s="158" t="n"/>
      <c r="B24" s="158" t="n"/>
      <c r="C24" s="167" t="inlineStr">
        <is>
          <t>Office equipment and supplies</t>
        </is>
      </c>
      <c r="D24" s="182">
        <f>D67+D111+D154</f>
        <v/>
      </c>
      <c r="E24" s="182">
        <f>E67+E111+E154</f>
        <v/>
      </c>
      <c r="F24" s="182">
        <f>F67+F111+F154</f>
        <v/>
      </c>
      <c r="G24" s="182">
        <f>G67+G111+G154</f>
        <v/>
      </c>
      <c r="H24" s="182">
        <f>H67+H111+H154</f>
        <v/>
      </c>
      <c r="I24" s="183">
        <f>I67+I111+I154</f>
        <v/>
      </c>
      <c r="J24" s="183">
        <f>SUM(E24:I24)</f>
        <v/>
      </c>
      <c r="K24" s="185" t="n"/>
      <c r="L24" s="186">
        <f>L67+L111+L154</f>
        <v/>
      </c>
      <c r="M24" s="182">
        <f>M67+M111+M154</f>
        <v/>
      </c>
      <c r="N24" s="173">
        <f>+J24+SUM(L24:M24)</f>
        <v/>
      </c>
    </row>
    <row r="25" ht="12.75" customHeight="1" s="150">
      <c r="A25" s="158" t="n"/>
      <c r="B25" s="158" t="n"/>
      <c r="C25" s="167" t="inlineStr">
        <is>
          <t>Accomodation expenses</t>
        </is>
      </c>
      <c r="D25" s="182">
        <f>D68+D112+D155</f>
        <v/>
      </c>
      <c r="E25" s="182">
        <f>E68+E112+E155</f>
        <v/>
      </c>
      <c r="F25" s="182">
        <f>F68+F112+F155</f>
        <v/>
      </c>
      <c r="G25" s="182">
        <f>G68+G112+G155</f>
        <v/>
      </c>
      <c r="H25" s="182">
        <f>H68+H112+H155</f>
        <v/>
      </c>
      <c r="I25" s="183">
        <f>I68+I112+I155</f>
        <v/>
      </c>
      <c r="J25" s="183">
        <f>SUM(E25:I25)</f>
        <v/>
      </c>
      <c r="K25" s="185" t="n"/>
      <c r="L25" s="186">
        <f>L68+L112+L155</f>
        <v/>
      </c>
      <c r="M25" s="182">
        <f>M68+M112+M155</f>
        <v/>
      </c>
      <c r="N25" s="173">
        <f>+J25+SUM(L25:M25)</f>
        <v/>
      </c>
    </row>
    <row r="26" ht="12.75" customHeight="1" s="150">
      <c r="A26" s="158" t="n"/>
      <c r="B26" s="158" t="n"/>
      <c r="C26" s="167" t="inlineStr">
        <is>
          <t>Travel costs</t>
        </is>
      </c>
      <c r="D26" s="182">
        <f>D69+D113+D156</f>
        <v/>
      </c>
      <c r="E26" s="182">
        <f>E69+E113+E156</f>
        <v/>
      </c>
      <c r="F26" s="182">
        <f>F69+F113+F156</f>
        <v/>
      </c>
      <c r="G26" s="182">
        <f>G69+G113+G156</f>
        <v/>
      </c>
      <c r="H26" s="182">
        <f>H69+H113+H156</f>
        <v/>
      </c>
      <c r="I26" s="183">
        <f>I69+I113+I156</f>
        <v/>
      </c>
      <c r="J26" s="183">
        <f>SUM(E26:I26)</f>
        <v/>
      </c>
      <c r="K26" s="185" t="n"/>
      <c r="L26" s="186">
        <f>L69+L113+L156</f>
        <v/>
      </c>
      <c r="M26" s="182">
        <f>M69+M113+M156</f>
        <v/>
      </c>
      <c r="N26" s="173">
        <f>+J26+SUM(L26:M26)</f>
        <v/>
      </c>
    </row>
    <row r="27" ht="12.75" customHeight="1" s="150">
      <c r="A27" s="158" t="n"/>
      <c r="B27" s="158" t="n"/>
      <c r="C27" s="167" t="inlineStr">
        <is>
          <t>Postal and freight charges</t>
        </is>
      </c>
      <c r="D27" s="182">
        <f>D70+D114+D157</f>
        <v/>
      </c>
      <c r="E27" s="182">
        <f>E70+E114+E157</f>
        <v/>
      </c>
      <c r="F27" s="182">
        <f>F70+F114+F157</f>
        <v/>
      </c>
      <c r="G27" s="182">
        <f>G70+G114+G157</f>
        <v/>
      </c>
      <c r="H27" s="182">
        <f>H70+H114+H157</f>
        <v/>
      </c>
      <c r="I27" s="183">
        <f>I70+I114+I157</f>
        <v/>
      </c>
      <c r="J27" s="183">
        <f>SUM(E27:I27)</f>
        <v/>
      </c>
      <c r="K27" s="185" t="n"/>
      <c r="L27" s="186">
        <f>L70+L114+L157</f>
        <v/>
      </c>
      <c r="M27" s="182">
        <f>M70+M114+M157</f>
        <v/>
      </c>
      <c r="N27" s="173">
        <f>+J27+SUM(L27:M27)</f>
        <v/>
      </c>
    </row>
    <row r="28" ht="12.75" customHeight="1" s="150">
      <c r="A28" s="158" t="n"/>
      <c r="B28" s="158" t="n"/>
      <c r="C28" s="167" t="inlineStr">
        <is>
          <t>Prof serv and ext advisory fee</t>
        </is>
      </c>
      <c r="D28" s="182">
        <f>D71+D115+D158</f>
        <v/>
      </c>
      <c r="E28" s="182">
        <f>E71+E115+E158</f>
        <v/>
      </c>
      <c r="F28" s="182">
        <f>F71+F115+F158</f>
        <v/>
      </c>
      <c r="G28" s="182">
        <f>G71+G115+G158</f>
        <v/>
      </c>
      <c r="H28" s="182">
        <f>H71+H115+H158</f>
        <v/>
      </c>
      <c r="I28" s="183">
        <f>I71+I115+I158</f>
        <v/>
      </c>
      <c r="J28" s="183">
        <f>SUM(E28:I28)</f>
        <v/>
      </c>
      <c r="K28" s="185" t="n"/>
      <c r="L28" s="186">
        <f>L71+L115+L158</f>
        <v/>
      </c>
      <c r="M28" s="182">
        <f>M71+M115+M158</f>
        <v/>
      </c>
      <c r="N28" s="173">
        <f>+J28+SUM(L28:M28)</f>
        <v/>
      </c>
    </row>
    <row r="29" ht="12.75" customHeight="1" s="150">
      <c r="A29" s="158" t="n"/>
      <c r="B29" s="158" t="n"/>
      <c r="C29" s="167" t="inlineStr">
        <is>
          <t>Payment transfer expenses</t>
        </is>
      </c>
      <c r="D29" s="182">
        <f>D72+D116+D159</f>
        <v/>
      </c>
      <c r="E29" s="182">
        <f>E72+E116+E159</f>
        <v/>
      </c>
      <c r="F29" s="182">
        <f>F72+F116+F159</f>
        <v/>
      </c>
      <c r="G29" s="182">
        <f>G72+G116+G159</f>
        <v/>
      </c>
      <c r="H29" s="182">
        <f>H72+H116+H159</f>
        <v/>
      </c>
      <c r="I29" s="183">
        <f>I72+I116+I159</f>
        <v/>
      </c>
      <c r="J29" s="183">
        <f>SUM(E29:I29)</f>
        <v/>
      </c>
      <c r="K29" s="185" t="n"/>
      <c r="L29" s="186">
        <f>L72+L116+L159</f>
        <v/>
      </c>
      <c r="M29" s="182">
        <f>M72+M116+M159</f>
        <v/>
      </c>
      <c r="N29" s="173">
        <f>+J29+SUM(L29:M29)</f>
        <v/>
      </c>
    </row>
    <row r="30" ht="12.75" customHeight="1" s="150">
      <c r="A30" s="158" t="n"/>
      <c r="B30" s="158" t="n"/>
      <c r="C30" s="167" t="inlineStr">
        <is>
          <t>Other costs</t>
        </is>
      </c>
      <c r="D30" s="182">
        <f>D73+D117+D160</f>
        <v/>
      </c>
      <c r="E30" s="182">
        <f>E73+E117+E160</f>
        <v/>
      </c>
      <c r="F30" s="182">
        <f>F73+F117+F160</f>
        <v/>
      </c>
      <c r="G30" s="182">
        <f>G73+G117+G160</f>
        <v/>
      </c>
      <c r="H30" s="182">
        <f>H73+H117+H160</f>
        <v/>
      </c>
      <c r="I30" s="183">
        <f>I73+I117+I160</f>
        <v/>
      </c>
      <c r="J30" s="183">
        <f>SUM(E30:I30)</f>
        <v/>
      </c>
      <c r="K30" s="185" t="n"/>
      <c r="L30" s="186">
        <f>L73+L117+L160</f>
        <v/>
      </c>
      <c r="M30" s="182">
        <f>M73+M117+M160</f>
        <v/>
      </c>
      <c r="N30" s="173">
        <f>+J30+SUM(L30:M30)</f>
        <v/>
      </c>
    </row>
    <row r="31" ht="13.5" customHeight="1" s="150">
      <c r="A31" s="176" t="n"/>
      <c r="B31" s="176" t="n"/>
      <c r="C31" s="177" t="inlineStr">
        <is>
          <t>General expenses</t>
        </is>
      </c>
      <c r="D31" s="188">
        <f>SUM(D23:D30)</f>
        <v/>
      </c>
      <c r="E31" s="188">
        <f>SUM(E23:E30)</f>
        <v/>
      </c>
      <c r="F31" s="188">
        <f>SUM(F23:F30)</f>
        <v/>
      </c>
      <c r="G31" s="188">
        <f>SUM(G23:G30)</f>
        <v/>
      </c>
      <c r="H31" s="188">
        <f>SUM(H23:H30)</f>
        <v/>
      </c>
      <c r="I31" s="189">
        <f>SUM(I23:I30)</f>
        <v/>
      </c>
      <c r="J31" s="189">
        <f>SUM(E31:I31)</f>
        <v/>
      </c>
      <c r="K31" s="185" t="n"/>
      <c r="L31" s="181">
        <f>SUM(L23:L30)</f>
        <v/>
      </c>
      <c r="M31" s="188">
        <f>SUM(M23:M30)</f>
        <v/>
      </c>
      <c r="N31" s="181">
        <f>SUM(N23:N30)</f>
        <v/>
      </c>
    </row>
    <row r="32" ht="12.75" customHeight="1" s="150">
      <c r="A32" s="158" t="n"/>
      <c r="B32" s="158" t="n"/>
      <c r="C32" s="167" t="inlineStr">
        <is>
          <t>Own expenses</t>
        </is>
      </c>
      <c r="D32" s="182">
        <f>D31+D22+D13</f>
        <v/>
      </c>
      <c r="E32" s="182">
        <f>E31+E22+E13</f>
        <v/>
      </c>
      <c r="F32" s="182">
        <f>F31+F22+F13</f>
        <v/>
      </c>
      <c r="G32" s="182">
        <f>G31+G22+G13</f>
        <v/>
      </c>
      <c r="H32" s="182">
        <f>H31+H22+H13</f>
        <v/>
      </c>
      <c r="I32" s="183">
        <f>I31+I22+I13</f>
        <v/>
      </c>
      <c r="J32" s="183">
        <f>SUM(E32:I32)</f>
        <v/>
      </c>
      <c r="K32" s="185" t="n"/>
      <c r="L32" s="186">
        <f>L31+L22+L13</f>
        <v/>
      </c>
      <c r="M32" s="182">
        <f>M31+M22+M13</f>
        <v/>
      </c>
      <c r="N32" s="190">
        <f>+N13+N22+N31</f>
        <v/>
      </c>
    </row>
    <row r="33" ht="12.75" customHeight="1" s="150">
      <c r="A33" s="158" t="n"/>
      <c r="B33" s="158" t="n"/>
      <c r="C33" s="167" t="inlineStr">
        <is>
          <t>Other expenses</t>
        </is>
      </c>
      <c r="D33" s="182">
        <f>D76+D120+D163</f>
        <v/>
      </c>
      <c r="E33" s="182">
        <f>E76+E120+E163</f>
        <v/>
      </c>
      <c r="F33" s="182">
        <f>F76+F120+F163</f>
        <v/>
      </c>
      <c r="G33" s="182">
        <f>G76+G120+G163</f>
        <v/>
      </c>
      <c r="H33" s="182">
        <f>H76+H120+H163</f>
        <v/>
      </c>
      <c r="I33" s="183">
        <f>I76+I120+I163</f>
        <v/>
      </c>
      <c r="J33" s="183">
        <f>SUM(E33:I33)</f>
        <v/>
      </c>
      <c r="K33" s="185" t="n"/>
      <c r="L33" s="186">
        <f>L76+L120+L163</f>
        <v/>
      </c>
      <c r="M33" s="182">
        <f>M76+M120+M163</f>
        <v/>
      </c>
      <c r="N33" s="173">
        <f>+J33+SUM(L33:M33)</f>
        <v/>
      </c>
    </row>
    <row r="34" ht="13.5" customHeight="1" s="150">
      <c r="A34" s="176" t="n"/>
      <c r="B34" s="176" t="n"/>
      <c r="C34" s="177" t="inlineStr">
        <is>
          <t>Operating expenses</t>
        </is>
      </c>
      <c r="D34" s="188">
        <f>SUM(D32:D33)</f>
        <v/>
      </c>
      <c r="E34" s="188">
        <f>SUM(E32:E33)</f>
        <v/>
      </c>
      <c r="F34" s="188">
        <f>SUM(F32:F33)</f>
        <v/>
      </c>
      <c r="G34" s="188">
        <f>SUM(G32:G33)</f>
        <v/>
      </c>
      <c r="H34" s="188">
        <f>SUM(H32:H33)</f>
        <v/>
      </c>
      <c r="I34" s="189">
        <f>SUM(I32:I33)</f>
        <v/>
      </c>
      <c r="J34" s="189">
        <f>SUM(J32:J33)</f>
        <v/>
      </c>
      <c r="K34" s="185" t="n"/>
      <c r="L34" s="181">
        <f>SUM(L32:L33)</f>
        <v/>
      </c>
      <c r="M34" s="188">
        <f>SUM(M32:M33)</f>
        <v/>
      </c>
      <c r="N34" s="181">
        <f>SUM(N32:N33)</f>
        <v/>
      </c>
    </row>
    <row r="35" ht="12.75" customHeight="1" s="150">
      <c r="A35" s="158" t="n"/>
      <c r="B35" s="158" t="n"/>
      <c r="C35" s="167" t="n"/>
      <c r="D35" s="182" t="n"/>
      <c r="E35" s="182" t="n"/>
      <c r="F35" s="182" t="n"/>
      <c r="G35" s="182" t="n"/>
      <c r="H35" s="182" t="n"/>
      <c r="I35" s="183" t="n"/>
      <c r="J35" s="191" t="n"/>
      <c r="K35" s="185" t="n"/>
      <c r="L35" s="186" t="n"/>
      <c r="M35" s="182" t="n"/>
      <c r="N35" s="192" t="n"/>
    </row>
    <row r="36" ht="12.75" customHeight="1" s="150">
      <c r="A36" s="158" t="n"/>
      <c r="B36" s="158" t="n"/>
      <c r="C36" s="167" t="inlineStr">
        <is>
          <t>HR &amp; Comms</t>
        </is>
      </c>
      <c r="D36" s="182">
        <f>D79+D123+D166</f>
        <v/>
      </c>
      <c r="E36" s="182">
        <f>E79+E123+E166</f>
        <v/>
      </c>
      <c r="F36" s="182">
        <f>F79+F123+F166</f>
        <v/>
      </c>
      <c r="G36" s="182">
        <f>G79+G123+G166</f>
        <v/>
      </c>
      <c r="H36" s="182">
        <f>H79+H123+H166</f>
        <v/>
      </c>
      <c r="I36" s="183">
        <f>I79+I123+I166</f>
        <v/>
      </c>
      <c r="J36" s="183">
        <f>SUM(E36:I36)</f>
        <v/>
      </c>
      <c r="K36" s="185" t="n"/>
      <c r="L36" s="186">
        <f>L79+L123+L166</f>
        <v/>
      </c>
      <c r="M36" s="182">
        <f>M79+M123+M166</f>
        <v/>
      </c>
      <c r="N36" s="173">
        <f>+J36+SUM(L36:M36)</f>
        <v/>
      </c>
    </row>
    <row r="37" ht="12.75" customHeight="1" s="150">
      <c r="A37" s="158" t="n"/>
      <c r="B37" s="158" t="n"/>
      <c r="C37" s="167" t="inlineStr">
        <is>
          <t>Finance &amp; Business Support</t>
        </is>
      </c>
      <c r="D37" s="182">
        <f>D80+D124+D167</f>
        <v/>
      </c>
      <c r="E37" s="182">
        <f>E80+E124+E167</f>
        <v/>
      </c>
      <c r="F37" s="182">
        <f>F80+F124+F167</f>
        <v/>
      </c>
      <c r="G37" s="182">
        <f>G80+G124+G167</f>
        <v/>
      </c>
      <c r="H37" s="182">
        <f>H80+H124+H167</f>
        <v/>
      </c>
      <c r="I37" s="183">
        <f>I80+I124+I167</f>
        <v/>
      </c>
      <c r="J37" s="183">
        <f>SUM(E37:I37)</f>
        <v/>
      </c>
      <c r="K37" s="185" t="n"/>
      <c r="L37" s="186">
        <f>L80+L124+L167</f>
        <v/>
      </c>
      <c r="M37" s="182">
        <f>M80+M124+M167</f>
        <v/>
      </c>
      <c r="N37" s="173">
        <f>+J37+SUM(L37:M37)</f>
        <v/>
      </c>
    </row>
    <row r="38" ht="12.75" customHeight="1" s="150">
      <c r="A38" s="158" t="n"/>
      <c r="B38" s="158" t="n"/>
      <c r="C38" s="167" t="inlineStr">
        <is>
          <t>HRN</t>
        </is>
      </c>
      <c r="D38" s="182">
        <f>D81+D125+D168</f>
        <v/>
      </c>
      <c r="E38" s="182">
        <f>E81+E125+E168</f>
        <v/>
      </c>
      <c r="F38" s="182">
        <f>F81+F125+F168</f>
        <v/>
      </c>
      <c r="G38" s="182">
        <f>G81+G125+G168</f>
        <v/>
      </c>
      <c r="H38" s="182">
        <f>H81+H125+H168</f>
        <v/>
      </c>
      <c r="I38" s="183">
        <f>I81+I125+I168</f>
        <v/>
      </c>
      <c r="J38" s="183">
        <f>SUM(E38:I38)</f>
        <v/>
      </c>
      <c r="K38" s="185" t="n"/>
      <c r="L38" s="186">
        <f>L81+L125+L168</f>
        <v/>
      </c>
      <c r="M38" s="182">
        <f>M81+M125+M168</f>
        <v/>
      </c>
      <c r="N38" s="173">
        <f>+J38+SUM(L38:M38)</f>
        <v/>
      </c>
    </row>
    <row r="39" ht="12.75" customHeight="1" s="150">
      <c r="A39" s="158" t="n"/>
      <c r="B39" s="158" t="n"/>
      <c r="C39" s="167" t="inlineStr">
        <is>
          <t>Facilities Management</t>
        </is>
      </c>
      <c r="D39" s="182">
        <f>D82+D126+D169</f>
        <v/>
      </c>
      <c r="E39" s="182">
        <f>E82+E126+E169</f>
        <v/>
      </c>
      <c r="F39" s="182">
        <f>F82+F126+F169</f>
        <v/>
      </c>
      <c r="G39" s="182">
        <f>G82+G126+G169</f>
        <v/>
      </c>
      <c r="H39" s="182">
        <f>H82+H126+H169</f>
        <v/>
      </c>
      <c r="I39" s="183">
        <f>I82+I126+I169</f>
        <v/>
      </c>
      <c r="J39" s="183">
        <f>SUM(E39:I39)</f>
        <v/>
      </c>
      <c r="K39" s="185" t="n"/>
      <c r="L39" s="186">
        <f>L82+L126+L169</f>
        <v/>
      </c>
      <c r="M39" s="182">
        <f>M82+M126+M169</f>
        <v/>
      </c>
      <c r="N39" s="173">
        <f>+J39+SUM(L39:M39)</f>
        <v/>
      </c>
    </row>
    <row r="40" ht="13.5" customHeight="1" s="150">
      <c r="A40" s="176" t="n"/>
      <c r="B40" s="176" t="n"/>
      <c r="C40" s="177" t="inlineStr">
        <is>
          <t>Overheads</t>
        </is>
      </c>
      <c r="D40" s="188">
        <f>SUM(D36:D39)</f>
        <v/>
      </c>
      <c r="E40" s="188">
        <f>SUM(E36:E39)</f>
        <v/>
      </c>
      <c r="F40" s="188">
        <f>SUM(F36:F39)</f>
        <v/>
      </c>
      <c r="G40" s="188">
        <f>SUM(G36:G39)</f>
        <v/>
      </c>
      <c r="H40" s="188">
        <f>SUM(H36:H39)</f>
        <v/>
      </c>
      <c r="I40" s="189">
        <f>SUM(I36:I39)</f>
        <v/>
      </c>
      <c r="J40" s="189">
        <f>SUM(J36:J39)</f>
        <v/>
      </c>
      <c r="K40" s="185" t="n"/>
      <c r="L40" s="181">
        <f>SUM(L36:L39)</f>
        <v/>
      </c>
      <c r="M40" s="188">
        <f>SUM(M36:M39)</f>
        <v/>
      </c>
      <c r="N40" s="181">
        <f>SUM(N36:N39)</f>
        <v/>
      </c>
    </row>
    <row r="41" ht="12.75" customHeight="1" s="150">
      <c r="A41" s="158" t="n"/>
      <c r="B41" s="158" t="n"/>
      <c r="C41" s="167" t="n"/>
      <c r="D41" s="182" t="n"/>
      <c r="E41" s="182" t="n"/>
      <c r="F41" s="182" t="n"/>
      <c r="G41" s="182" t="n"/>
      <c r="H41" s="182" t="n"/>
      <c r="I41" s="183" t="n"/>
      <c r="J41" s="191" t="n"/>
      <c r="K41" s="185" t="n"/>
      <c r="L41" s="186" t="n"/>
      <c r="M41" s="182" t="n"/>
      <c r="N41" s="192" t="n"/>
    </row>
    <row r="42" ht="13.5" customHeight="1" s="150">
      <c r="A42" s="176" t="n"/>
      <c r="B42" s="176" t="n"/>
      <c r="C42" s="177" t="inlineStr">
        <is>
          <t>Total Operating Costs (incl. O/H)</t>
        </is>
      </c>
      <c r="D42" s="188">
        <f>D34+D40</f>
        <v/>
      </c>
      <c r="E42" s="188">
        <f>E34+E40</f>
        <v/>
      </c>
      <c r="F42" s="188">
        <f>F34+F40</f>
        <v/>
      </c>
      <c r="G42" s="188">
        <f>G34+G40</f>
        <v/>
      </c>
      <c r="H42" s="188">
        <f>H34+H40</f>
        <v/>
      </c>
      <c r="I42" s="189">
        <f>I34+I40</f>
        <v/>
      </c>
      <c r="J42" s="189">
        <f>J34+J40</f>
        <v/>
      </c>
      <c r="K42" s="185" t="n"/>
      <c r="L42" s="181">
        <f>L34+L40</f>
        <v/>
      </c>
      <c r="M42" s="188">
        <f>M34+M40</f>
        <v/>
      </c>
      <c r="N42" s="181">
        <f>N34+N40</f>
        <v/>
      </c>
      <c r="O42" s="193" t="n"/>
    </row>
    <row r="43" ht="12.75" customHeight="1" s="150">
      <c r="E43" s="194" t="n"/>
      <c r="J43" s="195">
        <f>J42-J85-J129-J172</f>
        <v/>
      </c>
      <c r="N43" s="196" t="n"/>
    </row>
    <row r="44" ht="13.5" customHeight="1" s="150"/>
    <row r="45" ht="54.75" customHeight="1" s="150">
      <c r="C45" s="197" t="inlineStr">
        <is>
          <t>SUPPLIER ASSUMED COSTS 
(EURO's  excl. VAT)</t>
        </is>
      </c>
      <c r="D45" s="198" t="inlineStr">
        <is>
          <t>BASE YEAR</t>
        </is>
      </c>
      <c r="E45" s="198" t="inlineStr">
        <is>
          <t>YEAR 1</t>
        </is>
      </c>
      <c r="F45" s="198" t="inlineStr">
        <is>
          <t>YEAR 2</t>
        </is>
      </c>
      <c r="G45" s="198" t="inlineStr">
        <is>
          <t>YEAR 3</t>
        </is>
      </c>
      <c r="H45" s="198" t="inlineStr">
        <is>
          <t>YEAR 4</t>
        </is>
      </c>
      <c r="I45" s="199" t="inlineStr">
        <is>
          <t>YEAR 5</t>
        </is>
      </c>
      <c r="J45" s="200" t="inlineStr">
        <is>
          <t>5 Year Total</t>
        </is>
      </c>
      <c r="K45" s="165" t="n"/>
      <c r="L45" s="198" t="inlineStr">
        <is>
          <t>5 YEAR + 1</t>
        </is>
      </c>
      <c r="M45" s="201" t="inlineStr">
        <is>
          <t>5 YEAR +2</t>
        </is>
      </c>
      <c r="N45" s="198" t="inlineStr">
        <is>
          <t>7 Year Total</t>
        </is>
      </c>
    </row>
    <row r="46" ht="12.75" customHeight="1" s="150">
      <c r="C46" s="202" t="inlineStr">
        <is>
          <t>Internal FTE</t>
        </is>
      </c>
      <c r="D46" s="203">
        <f>SUM(UK:Germany!D46)</f>
        <v/>
      </c>
      <c r="E46" s="203">
        <f>SUM(UK:Germany!E46)</f>
        <v/>
      </c>
      <c r="F46" s="203">
        <f>SUM(UK:Germany!F46)</f>
        <v/>
      </c>
      <c r="G46" s="203">
        <f>SUM(UK:Germany!G46)</f>
        <v/>
      </c>
      <c r="H46" s="203">
        <f>SUM(UK:Germany!H46)</f>
        <v/>
      </c>
      <c r="I46" s="203">
        <f>SUM(UK:Germany!I46)</f>
        <v/>
      </c>
      <c r="J46" s="204" t="n"/>
      <c r="K46" s="171" t="n"/>
      <c r="L46" s="205">
        <f>SUM(UK:Germany!L46)</f>
        <v/>
      </c>
      <c r="M46" s="203">
        <f>SUM(UK:Germany!M46)</f>
        <v/>
      </c>
      <c r="N46" s="206" t="n"/>
    </row>
    <row r="47" ht="12.75" customHeight="1" s="150">
      <c r="C47" s="202" t="inlineStr">
        <is>
          <t>External FTE</t>
        </is>
      </c>
      <c r="D47" s="203">
        <f>SUM(UK:Germany!D47)</f>
        <v/>
      </c>
      <c r="E47" s="203">
        <f>SUM(UK:Germany!E47)</f>
        <v/>
      </c>
      <c r="F47" s="203">
        <f>SUM(UK:Germany!F47)</f>
        <v/>
      </c>
      <c r="G47" s="203">
        <f>SUM(UK:Germany!G47)</f>
        <v/>
      </c>
      <c r="H47" s="203">
        <f>SUM(UK:Germany!H47)</f>
        <v/>
      </c>
      <c r="I47" s="203">
        <f>SUM(UK:Germany!I47)</f>
        <v/>
      </c>
      <c r="J47" s="204" t="n"/>
      <c r="K47" s="171" t="n"/>
      <c r="L47" s="205">
        <f>SUM(UK:Germany!L47)</f>
        <v/>
      </c>
      <c r="M47" s="203">
        <f>SUM(UK:Germany!M47)</f>
        <v/>
      </c>
      <c r="N47" s="206" t="n"/>
    </row>
    <row r="48" ht="13.5" customHeight="1" s="150">
      <c r="A48" s="176" t="n"/>
      <c r="B48" s="176" t="n"/>
      <c r="C48" s="207" t="inlineStr">
        <is>
          <t>Total FTE</t>
        </is>
      </c>
      <c r="D48" s="208">
        <f>SUM(D46:D47)</f>
        <v/>
      </c>
      <c r="E48" s="208">
        <f>SUM(E46:E47)</f>
        <v/>
      </c>
      <c r="F48" s="208">
        <f>SUM(F46:F47)</f>
        <v/>
      </c>
      <c r="G48" s="208">
        <f>SUM(G46:G47)</f>
        <v/>
      </c>
      <c r="H48" s="208">
        <f>SUM(H46:H47)</f>
        <v/>
      </c>
      <c r="I48" s="208">
        <f>SUM(I46:I47)</f>
        <v/>
      </c>
      <c r="J48" s="209" t="n"/>
      <c r="K48" s="171" t="n"/>
      <c r="L48" s="209">
        <f>SUM(L46:L47)</f>
        <v/>
      </c>
      <c r="M48" s="208">
        <f>SUM(M46:M47)</f>
        <v/>
      </c>
      <c r="N48" s="210" t="n"/>
    </row>
    <row r="49" ht="12.75" customHeight="1" s="150">
      <c r="C49" s="202" t="n"/>
      <c r="D49" s="211" t="n"/>
      <c r="E49" s="211" t="n"/>
      <c r="F49" s="211" t="n"/>
      <c r="G49" s="211" t="n"/>
      <c r="H49" s="211" t="n"/>
      <c r="I49" s="211" t="n"/>
      <c r="J49" s="212" t="n"/>
      <c r="K49" s="185" t="n"/>
      <c r="L49" s="213" t="n"/>
      <c r="M49" s="211" t="n"/>
      <c r="N49" s="206" t="n"/>
    </row>
    <row r="50" ht="12.75" customHeight="1" s="150">
      <c r="C50" s="202" t="inlineStr">
        <is>
          <t>Salaries</t>
        </is>
      </c>
      <c r="D50" s="211">
        <f>SUM(UK:Germany!D50)</f>
        <v/>
      </c>
      <c r="E50" s="211">
        <f>SUM(UK:Germany!E50)</f>
        <v/>
      </c>
      <c r="F50" s="211">
        <f>SUM(UK:Germany!F50)</f>
        <v/>
      </c>
      <c r="G50" s="211">
        <f>SUM(UK:Germany!G50)</f>
        <v/>
      </c>
      <c r="H50" s="211">
        <f>SUM(UK:Germany!H50)</f>
        <v/>
      </c>
      <c r="I50" s="211">
        <f>SUM(UK:Germany!I50)</f>
        <v/>
      </c>
      <c r="J50" s="213">
        <f>SUM(E50:I50)</f>
        <v/>
      </c>
      <c r="K50" s="185" t="n"/>
      <c r="L50" s="213">
        <f>SUM(UK:Germany!L50)</f>
        <v/>
      </c>
      <c r="M50" s="211">
        <f>SUM(UK:Germany!M50)</f>
        <v/>
      </c>
      <c r="N50" s="206">
        <f>+J50+SUM(L50:M50)</f>
        <v/>
      </c>
    </row>
    <row r="51" ht="12.75" customHeight="1" s="150">
      <c r="C51" s="202" t="inlineStr">
        <is>
          <t>Bonuses</t>
        </is>
      </c>
      <c r="D51" s="211">
        <f>SUM(UK:Germany!D51)</f>
        <v/>
      </c>
      <c r="E51" s="211">
        <f>SUM(UK:Germany!E51)</f>
        <v/>
      </c>
      <c r="F51" s="211">
        <f>SUM(UK:Germany!F51)</f>
        <v/>
      </c>
      <c r="G51" s="211">
        <f>SUM(UK:Germany!G51)</f>
        <v/>
      </c>
      <c r="H51" s="211">
        <f>SUM(UK:Germany!H51)</f>
        <v/>
      </c>
      <c r="I51" s="211">
        <f>SUM(UK:Germany!I51)</f>
        <v/>
      </c>
      <c r="J51" s="213">
        <f>SUM(E51:I51)</f>
        <v/>
      </c>
      <c r="K51" s="185" t="n"/>
      <c r="L51" s="213">
        <f>SUM(UK:Germany!L51)</f>
        <v/>
      </c>
      <c r="M51" s="211">
        <f>SUM(UK:Germany!M51)</f>
        <v/>
      </c>
      <c r="N51" s="206">
        <f>+J51+SUM(L51:M51)</f>
        <v/>
      </c>
    </row>
    <row r="52" ht="12.75" customHeight="1" s="150">
      <c r="C52" s="202" t="inlineStr">
        <is>
          <t>Third party staff, ex IT</t>
        </is>
      </c>
      <c r="D52" s="211">
        <f>SUM(UK:Germany!D52)</f>
        <v/>
      </c>
      <c r="E52" s="211">
        <f>SUM(UK:Germany!E52)</f>
        <v/>
      </c>
      <c r="F52" s="211">
        <f>SUM(UK:Germany!F52)</f>
        <v/>
      </c>
      <c r="G52" s="211">
        <f>SUM(UK:Germany!G52)</f>
        <v/>
      </c>
      <c r="H52" s="211">
        <f>SUM(UK:Germany!H52)</f>
        <v/>
      </c>
      <c r="I52" s="211">
        <f>SUM(UK:Germany!I52)</f>
        <v/>
      </c>
      <c r="J52" s="213">
        <f>SUM(E52:I52)</f>
        <v/>
      </c>
      <c r="K52" s="185" t="n"/>
      <c r="L52" s="213">
        <f>SUM(UK:Germany!L52)</f>
        <v/>
      </c>
      <c r="M52" s="211">
        <f>SUM(UK:Germany!M52)</f>
        <v/>
      </c>
      <c r="N52" s="206">
        <f>+J52+SUM(L52:M52)</f>
        <v/>
      </c>
    </row>
    <row r="53" ht="12.75" customHeight="1" s="150">
      <c r="C53" s="202" t="inlineStr">
        <is>
          <t>Third party IT staff</t>
        </is>
      </c>
      <c r="D53" s="211">
        <f>SUM(UK:Germany!D53)</f>
        <v/>
      </c>
      <c r="E53" s="211">
        <f>SUM(UK:Germany!E53)</f>
        <v/>
      </c>
      <c r="F53" s="211">
        <f>SUM(UK:Germany!F53)</f>
        <v/>
      </c>
      <c r="G53" s="211">
        <f>SUM(UK:Germany!G53)</f>
        <v/>
      </c>
      <c r="H53" s="211">
        <f>SUM(UK:Germany!H53)</f>
        <v/>
      </c>
      <c r="I53" s="211">
        <f>SUM(UK:Germany!I53)</f>
        <v/>
      </c>
      <c r="J53" s="213">
        <f>SUM(E53:I53)</f>
        <v/>
      </c>
      <c r="K53" s="185" t="n"/>
      <c r="L53" s="213">
        <f>SUM(UK:Germany!L53)</f>
        <v/>
      </c>
      <c r="M53" s="211">
        <f>SUM(UK:Germany!M53)</f>
        <v/>
      </c>
      <c r="N53" s="206">
        <f>+J53+SUM(L53:M53)</f>
        <v/>
      </c>
    </row>
    <row r="54" ht="12.75" customHeight="1" s="150">
      <c r="C54" s="202" t="inlineStr">
        <is>
          <t>Employee education</t>
        </is>
      </c>
      <c r="D54" s="211">
        <f>SUM(UK:Germany!D54)</f>
        <v/>
      </c>
      <c r="E54" s="211">
        <f>SUM(UK:Germany!E54)</f>
        <v/>
      </c>
      <c r="F54" s="211">
        <f>SUM(UK:Germany!F54)</f>
        <v/>
      </c>
      <c r="G54" s="211">
        <f>SUM(UK:Germany!G54)</f>
        <v/>
      </c>
      <c r="H54" s="211">
        <f>SUM(UK:Germany!H54)</f>
        <v/>
      </c>
      <c r="I54" s="211">
        <f>SUM(UK:Germany!I54)</f>
        <v/>
      </c>
      <c r="J54" s="213">
        <f>SUM(E54:I54)</f>
        <v/>
      </c>
      <c r="K54" s="185" t="n"/>
      <c r="L54" s="213">
        <f>SUM(UK:Germany!L54)</f>
        <v/>
      </c>
      <c r="M54" s="211">
        <f>SUM(UK:Germany!M54)</f>
        <v/>
      </c>
      <c r="N54" s="206">
        <f>+J54+SUM(L54:M54)</f>
        <v/>
      </c>
    </row>
    <row r="55" ht="12.75" customHeight="1" s="150">
      <c r="C55" s="202" t="inlineStr">
        <is>
          <t>Other staff expenses</t>
        </is>
      </c>
      <c r="D55" s="211">
        <f>SUM(UK:Germany!D55)</f>
        <v/>
      </c>
      <c r="E55" s="211">
        <f>SUM(UK:Germany!E55)</f>
        <v/>
      </c>
      <c r="F55" s="211">
        <f>SUM(UK:Germany!F55)</f>
        <v/>
      </c>
      <c r="G55" s="211">
        <f>SUM(UK:Germany!G55)</f>
        <v/>
      </c>
      <c r="H55" s="211">
        <f>SUM(UK:Germany!H55)</f>
        <v/>
      </c>
      <c r="I55" s="211">
        <f>SUM(UK:Germany!I55)</f>
        <v/>
      </c>
      <c r="J55" s="214">
        <f>SUM(E55:I55)</f>
        <v/>
      </c>
      <c r="K55" s="185" t="n"/>
      <c r="L55" s="213">
        <f>SUM(UK:Germany!L55)</f>
        <v/>
      </c>
      <c r="M55" s="211">
        <f>SUM(UK:Germany!M55)</f>
        <v/>
      </c>
      <c r="N55" s="206">
        <f>+J55+SUM(L55:M55)</f>
        <v/>
      </c>
    </row>
    <row r="56" ht="13.5" customHeight="1" s="150">
      <c r="C56" s="207" t="inlineStr">
        <is>
          <t>Staff expenses</t>
        </is>
      </c>
      <c r="D56" s="215">
        <f>SUM(D50:D55)</f>
        <v/>
      </c>
      <c r="E56" s="215">
        <f>SUM(E50:E55)</f>
        <v/>
      </c>
      <c r="F56" s="215">
        <f>SUM(F50:F55)</f>
        <v/>
      </c>
      <c r="G56" s="215">
        <f>SUM(G50:G55)</f>
        <v/>
      </c>
      <c r="H56" s="215">
        <f>SUM(H50:H55)</f>
        <v/>
      </c>
      <c r="I56" s="215">
        <f>SUM(I50:I55)</f>
        <v/>
      </c>
      <c r="J56" s="210">
        <f>SUM(E56:I56)</f>
        <v/>
      </c>
      <c r="K56" s="185" t="n"/>
      <c r="L56" s="210">
        <f>SUM(L50:L55)</f>
        <v/>
      </c>
      <c r="M56" s="215">
        <f>SUM(M50:M55)</f>
        <v/>
      </c>
      <c r="N56" s="210">
        <f>SUM(N50:N55)</f>
        <v/>
      </c>
    </row>
    <row r="57" ht="12.75" customHeight="1" s="150">
      <c r="A57" s="216" t="n"/>
      <c r="B57" s="216" t="n"/>
      <c r="C57" s="202" t="inlineStr">
        <is>
          <t>Hardware expenses</t>
        </is>
      </c>
      <c r="D57" s="211">
        <f>SUM(UK:Germany!D57)</f>
        <v/>
      </c>
      <c r="E57" s="211">
        <f>SUM(UK:Germany!E57)</f>
        <v/>
      </c>
      <c r="F57" s="211">
        <f>SUM(UK:Germany!F57)</f>
        <v/>
      </c>
      <c r="G57" s="211">
        <f>SUM(UK:Germany!G57)</f>
        <v/>
      </c>
      <c r="H57" s="211">
        <f>SUM(UK:Germany!H57)</f>
        <v/>
      </c>
      <c r="I57" s="211">
        <f>SUM(UK:Germany!I57)</f>
        <v/>
      </c>
      <c r="J57" s="213">
        <f>SUM(E57:I57)</f>
        <v/>
      </c>
      <c r="K57" s="185" t="n"/>
      <c r="L57" s="213">
        <f>SUM(UK:Germany!L57)</f>
        <v/>
      </c>
      <c r="M57" s="211">
        <f>SUM(UK:Germany!M57)</f>
        <v/>
      </c>
      <c r="N57" s="206">
        <f>+J57+SUM(L57:M57)</f>
        <v/>
      </c>
    </row>
    <row r="58" ht="12.75" customHeight="1" s="150">
      <c r="C58" s="202" t="inlineStr">
        <is>
          <t>Leasing/renting hardware</t>
        </is>
      </c>
      <c r="D58" s="211">
        <f>SUM(UK:Germany!D58)</f>
        <v/>
      </c>
      <c r="E58" s="211">
        <f>SUM(UK:Germany!E58)</f>
        <v/>
      </c>
      <c r="F58" s="211">
        <f>SUM(UK:Germany!F58)</f>
        <v/>
      </c>
      <c r="G58" s="211">
        <f>SUM(UK:Germany!G58)</f>
        <v/>
      </c>
      <c r="H58" s="211">
        <f>SUM(UK:Germany!H58)</f>
        <v/>
      </c>
      <c r="I58" s="211">
        <f>SUM(UK:Germany!I58)</f>
        <v/>
      </c>
      <c r="J58" s="213">
        <f>SUM(E58:I58)</f>
        <v/>
      </c>
      <c r="K58" s="185" t="n"/>
      <c r="L58" s="213">
        <f>SUM(UK:Germany!L58)</f>
        <v/>
      </c>
      <c r="M58" s="211">
        <f>SUM(UK:Germany!M58)</f>
        <v/>
      </c>
      <c r="N58" s="206">
        <f>+J58+SUM(L58:M58)</f>
        <v/>
      </c>
    </row>
    <row r="59" ht="12.75" customHeight="1" s="150">
      <c r="C59" s="202" t="inlineStr">
        <is>
          <t>Software expenses</t>
        </is>
      </c>
      <c r="D59" s="211">
        <f>SUM(UK:Germany!D59)</f>
        <v/>
      </c>
      <c r="E59" s="211">
        <f>SUM(UK:Germany!E59)</f>
        <v/>
      </c>
      <c r="F59" s="211">
        <f>SUM(UK:Germany!F59)</f>
        <v/>
      </c>
      <c r="G59" s="211">
        <f>SUM(UK:Germany!G59)</f>
        <v/>
      </c>
      <c r="H59" s="211">
        <f>SUM(UK:Germany!H59)</f>
        <v/>
      </c>
      <c r="I59" s="211">
        <f>SUM(UK:Germany!I59)</f>
        <v/>
      </c>
      <c r="J59" s="213">
        <f>SUM(E59:I59)</f>
        <v/>
      </c>
      <c r="K59" s="185" t="n"/>
      <c r="L59" s="213">
        <f>SUM(UK:Germany!L59)</f>
        <v/>
      </c>
      <c r="M59" s="211">
        <f>SUM(UK:Germany!M59)</f>
        <v/>
      </c>
      <c r="N59" s="206">
        <f>+J59+SUM(L59:M59)</f>
        <v/>
      </c>
    </row>
    <row r="60" ht="12.75" customHeight="1" s="150">
      <c r="C60" s="202" t="inlineStr">
        <is>
          <t>Leasing/renting/licenses sw</t>
        </is>
      </c>
      <c r="D60" s="211">
        <f>SUM(UK:Germany!D60)</f>
        <v/>
      </c>
      <c r="E60" s="211">
        <f>SUM(UK:Germany!E60)</f>
        <v/>
      </c>
      <c r="F60" s="211">
        <f>SUM(UK:Germany!F60)</f>
        <v/>
      </c>
      <c r="G60" s="211">
        <f>SUM(UK:Germany!G60)</f>
        <v/>
      </c>
      <c r="H60" s="211">
        <f>SUM(UK:Germany!H60)</f>
        <v/>
      </c>
      <c r="I60" s="211">
        <f>SUM(UK:Germany!I60)</f>
        <v/>
      </c>
      <c r="J60" s="213">
        <f>SUM(E60:I60)</f>
        <v/>
      </c>
      <c r="K60" s="185" t="n"/>
      <c r="L60" s="213">
        <f>SUM(UK:Germany!L60)</f>
        <v/>
      </c>
      <c r="M60" s="211">
        <f>SUM(UK:Germany!M60)</f>
        <v/>
      </c>
      <c r="N60" s="206">
        <f>+J60+SUM(L60:M60)</f>
        <v/>
      </c>
    </row>
    <row r="61" ht="12.75" customHeight="1" s="150">
      <c r="C61" s="202" t="inlineStr">
        <is>
          <t>Depreciation hardware</t>
        </is>
      </c>
      <c r="D61" s="211">
        <f>SUM(UK:Germany!D61)</f>
        <v/>
      </c>
      <c r="E61" s="211">
        <f>SUM(UK:Germany!E61)</f>
        <v/>
      </c>
      <c r="F61" s="211">
        <f>SUM(UK:Germany!F61)</f>
        <v/>
      </c>
      <c r="G61" s="211">
        <f>SUM(UK:Germany!G61)</f>
        <v/>
      </c>
      <c r="H61" s="211">
        <f>SUM(UK:Germany!H61)</f>
        <v/>
      </c>
      <c r="I61" s="211">
        <f>SUM(UK:Germany!I61)</f>
        <v/>
      </c>
      <c r="J61" s="213">
        <f>SUM(E61:I61)</f>
        <v/>
      </c>
      <c r="K61" s="185" t="n"/>
      <c r="L61" s="213">
        <f>SUM(UK:Germany!L61)</f>
        <v/>
      </c>
      <c r="M61" s="211">
        <f>SUM(UK:Germany!M61)</f>
        <v/>
      </c>
      <c r="N61" s="206">
        <f>+J61+SUM(L61:M61)</f>
        <v/>
      </c>
    </row>
    <row r="62" ht="12.75" customHeight="1" s="150">
      <c r="C62" s="202" t="inlineStr">
        <is>
          <t>Depreciation software</t>
        </is>
      </c>
      <c r="D62" s="211">
        <f>SUM(UK:Germany!D62)</f>
        <v/>
      </c>
      <c r="E62" s="211">
        <f>SUM(UK:Germany!E62)</f>
        <v/>
      </c>
      <c r="F62" s="211">
        <f>SUM(UK:Germany!F62)</f>
        <v/>
      </c>
      <c r="G62" s="211">
        <f>SUM(UK:Germany!G62)</f>
        <v/>
      </c>
      <c r="H62" s="211">
        <f>SUM(UK:Germany!H62)</f>
        <v/>
      </c>
      <c r="I62" s="211">
        <f>SUM(UK:Germany!I62)</f>
        <v/>
      </c>
      <c r="J62" s="213">
        <f>SUM(E62:I62)</f>
        <v/>
      </c>
      <c r="K62" s="185" t="n"/>
      <c r="L62" s="213">
        <f>SUM(UK:Germany!L62)</f>
        <v/>
      </c>
      <c r="M62" s="211">
        <f>SUM(UK:Germany!M62)</f>
        <v/>
      </c>
      <c r="N62" s="206">
        <f>+J62+SUM(L62:M62)</f>
        <v/>
      </c>
    </row>
    <row r="63" ht="12.75" customHeight="1" s="150">
      <c r="C63" s="202" t="inlineStr">
        <is>
          <t>Outsourcing IT activities</t>
        </is>
      </c>
      <c r="D63" s="211">
        <f>SUM(UK:Germany!D63)</f>
        <v/>
      </c>
      <c r="E63" s="211">
        <f>SUM(UK:Germany!E63)</f>
        <v/>
      </c>
      <c r="F63" s="211">
        <f>SUM(UK:Germany!F63)</f>
        <v/>
      </c>
      <c r="G63" s="211">
        <f>SUM(UK:Germany!G63)</f>
        <v/>
      </c>
      <c r="H63" s="211">
        <f>SUM(UK:Germany!H63)</f>
        <v/>
      </c>
      <c r="I63" s="211">
        <f>SUM(UK:Germany!I63)</f>
        <v/>
      </c>
      <c r="J63" s="213">
        <f>SUM(E63:I63)</f>
        <v/>
      </c>
      <c r="K63" s="185" t="n"/>
      <c r="L63" s="213">
        <f>SUM(UK:Germany!L63)</f>
        <v/>
      </c>
      <c r="M63" s="211">
        <f>SUM(UK:Germany!M63)</f>
        <v/>
      </c>
      <c r="N63" s="206">
        <f>+J63+SUM(L63:M63)</f>
        <v/>
      </c>
    </row>
    <row r="64" ht="12.75" customHeight="1" s="150">
      <c r="C64" s="202" t="inlineStr">
        <is>
          <t>Other IT expenses</t>
        </is>
      </c>
      <c r="D64" s="211">
        <f>SUM(UK:Germany!D64)</f>
        <v/>
      </c>
      <c r="E64" s="211">
        <f>SUM(UK:Germany!E64)</f>
        <v/>
      </c>
      <c r="F64" s="211">
        <f>SUM(UK:Germany!F64)</f>
        <v/>
      </c>
      <c r="G64" s="211">
        <f>SUM(UK:Germany!G64)</f>
        <v/>
      </c>
      <c r="H64" s="211">
        <f>SUM(UK:Germany!H64)</f>
        <v/>
      </c>
      <c r="I64" s="211">
        <f>SUM(UK:Germany!I64)</f>
        <v/>
      </c>
      <c r="J64" s="213">
        <f>SUM(E64:I64)</f>
        <v/>
      </c>
      <c r="K64" s="185" t="n"/>
      <c r="L64" s="213">
        <f>SUM(UK:Germany!L64)</f>
        <v/>
      </c>
      <c r="M64" s="211">
        <f>SUM(UK:Germany!M64)</f>
        <v/>
      </c>
      <c r="N64" s="206">
        <f>+J64+SUM(L64:M64)</f>
        <v/>
      </c>
    </row>
    <row r="65" ht="13.5" customHeight="1" s="150">
      <c r="C65" s="207" t="inlineStr">
        <is>
          <t>EDP expenses</t>
        </is>
      </c>
      <c r="D65" s="215">
        <f>SUM(D57:D64)</f>
        <v/>
      </c>
      <c r="E65" s="215">
        <f>SUM(E57:E64)</f>
        <v/>
      </c>
      <c r="F65" s="215">
        <f>SUM(F57:F64)</f>
        <v/>
      </c>
      <c r="G65" s="215">
        <f>SUM(G57:G64)</f>
        <v/>
      </c>
      <c r="H65" s="215">
        <f>SUM(H57:H64)</f>
        <v/>
      </c>
      <c r="I65" s="215">
        <f>SUM(I57:I64)</f>
        <v/>
      </c>
      <c r="J65" s="210">
        <f>SUM(E65:I65)</f>
        <v/>
      </c>
      <c r="K65" s="185" t="n"/>
      <c r="L65" s="210">
        <f>SUM(L57:L64)</f>
        <v/>
      </c>
      <c r="M65" s="215">
        <f>SUM(M57:M64)</f>
        <v/>
      </c>
      <c r="N65" s="210">
        <f>SUM(N57:N64)</f>
        <v/>
      </c>
    </row>
    <row r="66" ht="12.75" customHeight="1" s="150">
      <c r="C66" s="202" t="inlineStr">
        <is>
          <t>Telecom expenses</t>
        </is>
      </c>
      <c r="D66" s="211">
        <f>SUM(UK:Germany!D66)</f>
        <v/>
      </c>
      <c r="E66" s="211">
        <f>SUM(UK:Germany!E66)</f>
        <v/>
      </c>
      <c r="F66" s="211">
        <f>SUM(UK:Germany!F66)</f>
        <v/>
      </c>
      <c r="G66" s="211">
        <f>SUM(UK:Germany!G66)</f>
        <v/>
      </c>
      <c r="H66" s="211">
        <f>SUM(UK:Germany!H66)</f>
        <v/>
      </c>
      <c r="I66" s="211">
        <f>SUM(UK:Germany!I66)</f>
        <v/>
      </c>
      <c r="J66" s="213">
        <f>SUM(E66:I66)</f>
        <v/>
      </c>
      <c r="K66" s="185" t="n"/>
      <c r="L66" s="213">
        <f>SUM(UK:Germany!L66)</f>
        <v/>
      </c>
      <c r="M66" s="211">
        <f>SUM(UK:Germany!M66)</f>
        <v/>
      </c>
      <c r="N66" s="206">
        <f>+J66+SUM(L66:M66)</f>
        <v/>
      </c>
    </row>
    <row r="67" ht="12.75" customHeight="1" s="150">
      <c r="C67" s="202" t="inlineStr">
        <is>
          <t>Office equipment and supplies</t>
        </is>
      </c>
      <c r="D67" s="211">
        <f>SUM(UK:Germany!D67)</f>
        <v/>
      </c>
      <c r="E67" s="211">
        <f>SUM(UK:Germany!E67)</f>
        <v/>
      </c>
      <c r="F67" s="211">
        <f>SUM(UK:Germany!F67)</f>
        <v/>
      </c>
      <c r="G67" s="211">
        <f>SUM(UK:Germany!G67)</f>
        <v/>
      </c>
      <c r="H67" s="211">
        <f>SUM(UK:Germany!H67)</f>
        <v/>
      </c>
      <c r="I67" s="211">
        <f>SUM(UK:Germany!I67)</f>
        <v/>
      </c>
      <c r="J67" s="213">
        <f>SUM(E67:I67)</f>
        <v/>
      </c>
      <c r="K67" s="185" t="n"/>
      <c r="L67" s="213">
        <f>SUM(UK:Germany!L67)</f>
        <v/>
      </c>
      <c r="M67" s="211">
        <f>SUM(UK:Germany!M67)</f>
        <v/>
      </c>
      <c r="N67" s="206">
        <f>+J67+SUM(L67:M67)</f>
        <v/>
      </c>
    </row>
    <row r="68" ht="12.75" customHeight="1" s="150">
      <c r="C68" s="202" t="inlineStr">
        <is>
          <t>Accomodation expenses</t>
        </is>
      </c>
      <c r="D68" s="211">
        <f>SUM(UK:Germany!D68)</f>
        <v/>
      </c>
      <c r="E68" s="211">
        <f>SUM(UK:Germany!E68)</f>
        <v/>
      </c>
      <c r="F68" s="211">
        <f>SUM(UK:Germany!F68)</f>
        <v/>
      </c>
      <c r="G68" s="211">
        <f>SUM(UK:Germany!G68)</f>
        <v/>
      </c>
      <c r="H68" s="211">
        <f>SUM(UK:Germany!H68)</f>
        <v/>
      </c>
      <c r="I68" s="211">
        <f>SUM(UK:Germany!I68)</f>
        <v/>
      </c>
      <c r="J68" s="213">
        <f>SUM(E68:I68)</f>
        <v/>
      </c>
      <c r="K68" s="185" t="n"/>
      <c r="L68" s="213">
        <f>SUM(UK:Germany!L68)</f>
        <v/>
      </c>
      <c r="M68" s="211">
        <f>SUM(UK:Germany!M68)</f>
        <v/>
      </c>
      <c r="N68" s="206">
        <f>+J68+SUM(L68:M68)</f>
        <v/>
      </c>
    </row>
    <row r="69" ht="12.75" customHeight="1" s="150">
      <c r="C69" s="202" t="inlineStr">
        <is>
          <t>Travel costs</t>
        </is>
      </c>
      <c r="D69" s="211">
        <f>SUM(UK:Germany!D69)</f>
        <v/>
      </c>
      <c r="E69" s="211">
        <f>SUM(UK:Germany!E69)</f>
        <v/>
      </c>
      <c r="F69" s="211">
        <f>SUM(UK:Germany!F69)</f>
        <v/>
      </c>
      <c r="G69" s="211">
        <f>SUM(UK:Germany!G69)</f>
        <v/>
      </c>
      <c r="H69" s="211">
        <f>SUM(UK:Germany!H69)</f>
        <v/>
      </c>
      <c r="I69" s="211">
        <f>SUM(UK:Germany!I69)</f>
        <v/>
      </c>
      <c r="J69" s="213">
        <f>SUM(E69:I69)</f>
        <v/>
      </c>
      <c r="K69" s="185" t="n"/>
      <c r="L69" s="213">
        <f>SUM(UK:Germany!L69)</f>
        <v/>
      </c>
      <c r="M69" s="211">
        <f>SUM(UK:Germany!M69)</f>
        <v/>
      </c>
      <c r="N69" s="206">
        <f>+J69+SUM(L69:M69)</f>
        <v/>
      </c>
    </row>
    <row r="70" ht="12.75" customHeight="1" s="150">
      <c r="C70" s="202" t="inlineStr">
        <is>
          <t>Postal and freight charges</t>
        </is>
      </c>
      <c r="D70" s="211">
        <f>SUM(UK:Germany!D70)</f>
        <v/>
      </c>
      <c r="E70" s="211">
        <f>SUM(UK:Germany!E70)</f>
        <v/>
      </c>
      <c r="F70" s="211">
        <f>SUM(UK:Germany!F70)</f>
        <v/>
      </c>
      <c r="G70" s="211">
        <f>SUM(UK:Germany!G70)</f>
        <v/>
      </c>
      <c r="H70" s="211">
        <f>SUM(UK:Germany!H70)</f>
        <v/>
      </c>
      <c r="I70" s="211">
        <f>SUM(UK:Germany!I70)</f>
        <v/>
      </c>
      <c r="J70" s="213">
        <f>SUM(E70:I70)</f>
        <v/>
      </c>
      <c r="K70" s="185" t="n"/>
      <c r="L70" s="213">
        <f>SUM(UK:Germany!L70)</f>
        <v/>
      </c>
      <c r="M70" s="211">
        <f>SUM(UK:Germany!M70)</f>
        <v/>
      </c>
      <c r="N70" s="206">
        <f>+J70+SUM(L70:M70)</f>
        <v/>
      </c>
    </row>
    <row r="71" ht="12.75" customHeight="1" s="150">
      <c r="C71" s="202" t="inlineStr">
        <is>
          <t>Prof serv and ext advisory fee</t>
        </is>
      </c>
      <c r="D71" s="211">
        <f>SUM(UK:Germany!D71)</f>
        <v/>
      </c>
      <c r="E71" s="211">
        <f>SUM(UK:Germany!E71)</f>
        <v/>
      </c>
      <c r="F71" s="211">
        <f>SUM(UK:Germany!F71)</f>
        <v/>
      </c>
      <c r="G71" s="211">
        <f>SUM(UK:Germany!G71)</f>
        <v/>
      </c>
      <c r="H71" s="211">
        <f>SUM(UK:Germany!H71)</f>
        <v/>
      </c>
      <c r="I71" s="211">
        <f>SUM(UK:Germany!I71)</f>
        <v/>
      </c>
      <c r="J71" s="213">
        <f>SUM(E71:I71)</f>
        <v/>
      </c>
      <c r="K71" s="185" t="n"/>
      <c r="L71" s="213">
        <f>SUM(UK:Germany!L71)</f>
        <v/>
      </c>
      <c r="M71" s="211">
        <f>SUM(UK:Germany!M71)</f>
        <v/>
      </c>
      <c r="N71" s="206">
        <f>+J71+SUM(L71:M71)</f>
        <v/>
      </c>
    </row>
    <row r="72" ht="12.75" customHeight="1" s="150">
      <c r="C72" s="202" t="inlineStr">
        <is>
          <t>Payment transfer expenses</t>
        </is>
      </c>
      <c r="D72" s="211">
        <f>SUM(UK:Germany!D72)</f>
        <v/>
      </c>
      <c r="E72" s="211">
        <f>SUM(UK:Germany!E72)</f>
        <v/>
      </c>
      <c r="F72" s="211">
        <f>SUM(UK:Germany!F72)</f>
        <v/>
      </c>
      <c r="G72" s="211">
        <f>SUM(UK:Germany!G72)</f>
        <v/>
      </c>
      <c r="H72" s="211">
        <f>SUM(UK:Germany!H72)</f>
        <v/>
      </c>
      <c r="I72" s="211">
        <f>SUM(UK:Germany!I72)</f>
        <v/>
      </c>
      <c r="J72" s="213">
        <f>SUM(E72:I72)</f>
        <v/>
      </c>
      <c r="K72" s="185" t="n"/>
      <c r="L72" s="213">
        <f>SUM(UK:Germany!L72)</f>
        <v/>
      </c>
      <c r="M72" s="211">
        <f>SUM(UK:Germany!M72)</f>
        <v/>
      </c>
      <c r="N72" s="206">
        <f>+J72+SUM(L72:M72)</f>
        <v/>
      </c>
    </row>
    <row r="73" ht="12.75" customHeight="1" s="150">
      <c r="C73" s="202" t="inlineStr">
        <is>
          <t>Other costs</t>
        </is>
      </c>
      <c r="D73" s="211">
        <f>SUM(UK:Germany!D73)</f>
        <v/>
      </c>
      <c r="E73" s="211">
        <f>SUM(UK:Germany!E73)</f>
        <v/>
      </c>
      <c r="F73" s="211">
        <f>SUM(UK:Germany!F73)</f>
        <v/>
      </c>
      <c r="G73" s="211">
        <f>SUM(UK:Germany!G73)</f>
        <v/>
      </c>
      <c r="H73" s="211">
        <f>SUM(UK:Germany!H73)</f>
        <v/>
      </c>
      <c r="I73" s="211">
        <f>SUM(UK:Germany!I73)</f>
        <v/>
      </c>
      <c r="J73" s="213">
        <f>SUM(E73:I73)</f>
        <v/>
      </c>
      <c r="K73" s="185" t="n"/>
      <c r="L73" s="213">
        <f>SUM(UK:Germany!L73)</f>
        <v/>
      </c>
      <c r="M73" s="211">
        <f>SUM(UK:Germany!M73)</f>
        <v/>
      </c>
      <c r="N73" s="206">
        <f>+J73+SUM(L73:M73)</f>
        <v/>
      </c>
    </row>
    <row r="74" ht="13.5" customHeight="1" s="150">
      <c r="C74" s="207" t="inlineStr">
        <is>
          <t>General expenses</t>
        </is>
      </c>
      <c r="D74" s="215">
        <f>SUM(D66:D73)</f>
        <v/>
      </c>
      <c r="E74" s="215">
        <f>SUM(E66:E73)</f>
        <v/>
      </c>
      <c r="F74" s="215">
        <f>SUM(F66:F73)</f>
        <v/>
      </c>
      <c r="G74" s="215">
        <f>SUM(G66:G73)</f>
        <v/>
      </c>
      <c r="H74" s="215">
        <f>SUM(H66:H73)</f>
        <v/>
      </c>
      <c r="I74" s="215">
        <f>SUM(I66:I73)</f>
        <v/>
      </c>
      <c r="J74" s="210">
        <f>SUM(E74:I74)</f>
        <v/>
      </c>
      <c r="K74" s="185" t="n"/>
      <c r="L74" s="210">
        <f>SUM(L66:L73)</f>
        <v/>
      </c>
      <c r="M74" s="215">
        <f>SUM(M66:M73)</f>
        <v/>
      </c>
      <c r="N74" s="210">
        <f>SUM(N66:N73)</f>
        <v/>
      </c>
    </row>
    <row r="75" ht="12.75" customHeight="1" s="150">
      <c r="C75" s="202" t="inlineStr">
        <is>
          <t>Own expenses</t>
        </is>
      </c>
      <c r="D75" s="211">
        <f>D74+D65+D56</f>
        <v/>
      </c>
      <c r="E75" s="211">
        <f>E74+E65+E56</f>
        <v/>
      </c>
      <c r="F75" s="211">
        <f>F74+F65+F56</f>
        <v/>
      </c>
      <c r="G75" s="211">
        <f>G74+G65+G56</f>
        <v/>
      </c>
      <c r="H75" s="211">
        <f>H74+H65+H56</f>
        <v/>
      </c>
      <c r="I75" s="211">
        <f>I74+I65+I56</f>
        <v/>
      </c>
      <c r="J75" s="213">
        <f>SUM(E75:I75)</f>
        <v/>
      </c>
      <c r="K75" s="185" t="n"/>
      <c r="L75" s="213">
        <f>L74+L65+L56</f>
        <v/>
      </c>
      <c r="M75" s="211">
        <f>M74+M65+M56</f>
        <v/>
      </c>
      <c r="N75" s="217">
        <f>+N56+N65+N74</f>
        <v/>
      </c>
    </row>
    <row r="76" ht="12.75" customHeight="1" s="150">
      <c r="C76" s="202" t="inlineStr">
        <is>
          <t>Other expenses</t>
        </is>
      </c>
      <c r="D76" s="211">
        <f>SUM(UK:Germany!D76)</f>
        <v/>
      </c>
      <c r="E76" s="211">
        <f>SUM(UK:Germany!E76)</f>
        <v/>
      </c>
      <c r="F76" s="211">
        <f>SUM(UK:Germany!F76)</f>
        <v/>
      </c>
      <c r="G76" s="211">
        <f>SUM(UK:Germany!G76)</f>
        <v/>
      </c>
      <c r="H76" s="211">
        <f>SUM(UK:Germany!H76)</f>
        <v/>
      </c>
      <c r="I76" s="211">
        <f>SUM(UK:Germany!I76)</f>
        <v/>
      </c>
      <c r="J76" s="213">
        <f>SUM(E76:I76)</f>
        <v/>
      </c>
      <c r="K76" s="185" t="n"/>
      <c r="L76" s="213">
        <f>SUM(UK:Germany!L76)</f>
        <v/>
      </c>
      <c r="M76" s="211">
        <f>SUM(UK:Germany!M76)</f>
        <v/>
      </c>
      <c r="N76" s="206">
        <f>+J76+SUM(L76:M76)</f>
        <v/>
      </c>
    </row>
    <row r="77" ht="13.5" customHeight="1" s="150">
      <c r="A77" s="176" t="n"/>
      <c r="B77" s="176" t="n"/>
      <c r="C77" s="207" t="inlineStr">
        <is>
          <t xml:space="preserve">Operating expenses </t>
        </is>
      </c>
      <c r="D77" s="215">
        <f>SUM(D75:D76)</f>
        <v/>
      </c>
      <c r="E77" s="215">
        <f>SUM(E75:E76)</f>
        <v/>
      </c>
      <c r="F77" s="215">
        <f>SUM(F75:F76)</f>
        <v/>
      </c>
      <c r="G77" s="215">
        <f>SUM(G75:G76)</f>
        <v/>
      </c>
      <c r="H77" s="215">
        <f>SUM(H75:H76)</f>
        <v/>
      </c>
      <c r="I77" s="215">
        <f>SUM(I75:I76)</f>
        <v/>
      </c>
      <c r="J77" s="210">
        <f>SUM(J75:J76)</f>
        <v/>
      </c>
      <c r="K77" s="185" t="n"/>
      <c r="L77" s="210">
        <f>SUM(L75:L76)</f>
        <v/>
      </c>
      <c r="M77" s="215">
        <f>SUM(M75:M76)</f>
        <v/>
      </c>
      <c r="N77" s="210">
        <f>SUM(N75:N76)</f>
        <v/>
      </c>
    </row>
    <row r="78" ht="12.75" customHeight="1" s="150">
      <c r="C78" s="202" t="n"/>
      <c r="D78" s="211" t="n"/>
      <c r="E78" s="211" t="n"/>
      <c r="F78" s="211" t="n"/>
      <c r="G78" s="211" t="n"/>
      <c r="H78" s="211" t="n"/>
      <c r="I78" s="211" t="n"/>
      <c r="J78" s="218" t="n"/>
      <c r="K78" s="185" t="n"/>
      <c r="L78" s="213" t="n"/>
      <c r="M78" s="211" t="n"/>
      <c r="N78" s="218" t="n"/>
    </row>
    <row r="79" ht="12.75" customHeight="1" s="150">
      <c r="C79" s="202" t="inlineStr">
        <is>
          <t>HR &amp; Comms</t>
        </is>
      </c>
      <c r="D79" s="211">
        <f>SUM(UK:Germany!D79)</f>
        <v/>
      </c>
      <c r="E79" s="211">
        <f>SUM(UK:Germany!E79)</f>
        <v/>
      </c>
      <c r="F79" s="211">
        <f>SUM(UK:Germany!F79)</f>
        <v/>
      </c>
      <c r="G79" s="211">
        <f>SUM(UK:Germany!G79)</f>
        <v/>
      </c>
      <c r="H79" s="211">
        <f>SUM(UK:Germany!H79)</f>
        <v/>
      </c>
      <c r="I79" s="211">
        <f>SUM(UK:Germany!I79)</f>
        <v/>
      </c>
      <c r="J79" s="213">
        <f>SUM(E79:I79)</f>
        <v/>
      </c>
      <c r="K79" s="185" t="n"/>
      <c r="L79" s="213">
        <f>SUM(UK:Germany!L79)</f>
        <v/>
      </c>
      <c r="M79" s="211">
        <f>SUM(UK:Germany!M79)</f>
        <v/>
      </c>
      <c r="N79" s="206">
        <f>+J79+SUM(L79:M79)</f>
        <v/>
      </c>
    </row>
    <row r="80" ht="12.75" customHeight="1" s="150">
      <c r="C80" s="202" t="inlineStr">
        <is>
          <t>Finance &amp; Business Support</t>
        </is>
      </c>
      <c r="D80" s="211">
        <f>SUM(UK:Germany!D80)</f>
        <v/>
      </c>
      <c r="E80" s="211">
        <f>SUM(UK:Germany!E80)</f>
        <v/>
      </c>
      <c r="F80" s="211">
        <f>SUM(UK:Germany!F80)</f>
        <v/>
      </c>
      <c r="G80" s="211">
        <f>SUM(UK:Germany!G80)</f>
        <v/>
      </c>
      <c r="H80" s="211">
        <f>SUM(UK:Germany!H80)</f>
        <v/>
      </c>
      <c r="I80" s="211">
        <f>SUM(UK:Germany!I80)</f>
        <v/>
      </c>
      <c r="J80" s="213">
        <f>SUM(E80:I80)</f>
        <v/>
      </c>
      <c r="K80" s="185" t="n"/>
      <c r="L80" s="213">
        <f>SUM(UK:Germany!L80)</f>
        <v/>
      </c>
      <c r="M80" s="211">
        <f>SUM(UK:Germany!M80)</f>
        <v/>
      </c>
      <c r="N80" s="206">
        <f>+J80+SUM(L80:M80)</f>
        <v/>
      </c>
    </row>
    <row r="81" ht="12.75" customHeight="1" s="150">
      <c r="C81" s="202" t="inlineStr">
        <is>
          <t>HRN</t>
        </is>
      </c>
      <c r="D81" s="211">
        <f>SUM(UK:Germany!D81)</f>
        <v/>
      </c>
      <c r="E81" s="211">
        <f>SUM(UK:Germany!E81)</f>
        <v/>
      </c>
      <c r="F81" s="211">
        <f>SUM(UK:Germany!F81)</f>
        <v/>
      </c>
      <c r="G81" s="211">
        <f>SUM(UK:Germany!G81)</f>
        <v/>
      </c>
      <c r="H81" s="211">
        <f>SUM(UK:Germany!H81)</f>
        <v/>
      </c>
      <c r="I81" s="211">
        <f>SUM(UK:Germany!I81)</f>
        <v/>
      </c>
      <c r="J81" s="213">
        <f>SUM(E81:I81)</f>
        <v/>
      </c>
      <c r="K81" s="185" t="n"/>
      <c r="L81" s="213">
        <f>SUM(UK:Germany!L81)</f>
        <v/>
      </c>
      <c r="M81" s="211">
        <f>SUM(UK:Germany!M81)</f>
        <v/>
      </c>
      <c r="N81" s="206">
        <f>+J81+SUM(L81:M81)</f>
        <v/>
      </c>
    </row>
    <row r="82" ht="12.75" customHeight="1" s="150">
      <c r="C82" s="202" t="inlineStr">
        <is>
          <t>Facilities Management</t>
        </is>
      </c>
      <c r="D82" s="211">
        <f>SUM(UK:Germany!D82)</f>
        <v/>
      </c>
      <c r="E82" s="211">
        <f>SUM(UK:Germany!E82)</f>
        <v/>
      </c>
      <c r="F82" s="211">
        <f>SUM(UK:Germany!F82)</f>
        <v/>
      </c>
      <c r="G82" s="211">
        <f>SUM(UK:Germany!G82)</f>
        <v/>
      </c>
      <c r="H82" s="211">
        <f>SUM(UK:Germany!H82)</f>
        <v/>
      </c>
      <c r="I82" s="211">
        <f>SUM(UK:Germany!I82)</f>
        <v/>
      </c>
      <c r="J82" s="213">
        <f>SUM(E82:I82)</f>
        <v/>
      </c>
      <c r="K82" s="185" t="n"/>
      <c r="L82" s="213">
        <f>SUM(UK:Germany!L82)</f>
        <v/>
      </c>
      <c r="M82" s="211">
        <f>SUM(UK:Germany!M82)</f>
        <v/>
      </c>
      <c r="N82" s="206">
        <f>+J82+SUM(L82:M82)</f>
        <v/>
      </c>
    </row>
    <row r="83" ht="13.5" customHeight="1" s="150">
      <c r="C83" s="207" t="inlineStr">
        <is>
          <t>Overheads</t>
        </is>
      </c>
      <c r="D83" s="215">
        <f>SUM(D79:D82)</f>
        <v/>
      </c>
      <c r="E83" s="215">
        <f>SUM(E79:E82)</f>
        <v/>
      </c>
      <c r="F83" s="215">
        <f>SUM(F79:F82)</f>
        <v/>
      </c>
      <c r="G83" s="215">
        <f>SUM(G79:G82)</f>
        <v/>
      </c>
      <c r="H83" s="215">
        <f>SUM(H79:H82)</f>
        <v/>
      </c>
      <c r="I83" s="215">
        <f>SUM(I79:I82)</f>
        <v/>
      </c>
      <c r="J83" s="210">
        <f>SUM(J79:J82)</f>
        <v/>
      </c>
      <c r="K83" s="185" t="n"/>
      <c r="L83" s="210">
        <f>SUM(L79:L82)</f>
        <v/>
      </c>
      <c r="M83" s="215">
        <f>SUM(M79:M82)</f>
        <v/>
      </c>
      <c r="N83" s="210">
        <f>SUM(N79:N82)</f>
        <v/>
      </c>
    </row>
    <row r="84" ht="12.75" customHeight="1" s="150">
      <c r="C84" s="202" t="n"/>
      <c r="D84" s="211" t="n"/>
      <c r="E84" s="211" t="n"/>
      <c r="F84" s="211" t="n"/>
      <c r="G84" s="211" t="n"/>
      <c r="H84" s="211" t="n"/>
      <c r="I84" s="211" t="n"/>
      <c r="J84" s="218" t="n"/>
      <c r="K84" s="185" t="n"/>
      <c r="L84" s="213" t="n"/>
      <c r="M84" s="211" t="n"/>
      <c r="N84" s="218" t="n"/>
    </row>
    <row r="85" ht="13.5" customHeight="1" s="150">
      <c r="C85" s="207" t="inlineStr">
        <is>
          <t>Total Operating Costs (incl. O/H)</t>
        </is>
      </c>
      <c r="D85" s="215">
        <f>+D83+D77</f>
        <v/>
      </c>
      <c r="E85" s="215">
        <f>+E83+E77</f>
        <v/>
      </c>
      <c r="F85" s="215">
        <f>+F83+F77</f>
        <v/>
      </c>
      <c r="G85" s="215">
        <f>+G83+G77</f>
        <v/>
      </c>
      <c r="H85" s="215">
        <f>+H83+H77</f>
        <v/>
      </c>
      <c r="I85" s="215">
        <f>+I83+I77</f>
        <v/>
      </c>
      <c r="J85" s="210">
        <f>J77+J83</f>
        <v/>
      </c>
      <c r="K85" s="185" t="n"/>
      <c r="L85" s="210">
        <f>+L83+L77</f>
        <v/>
      </c>
      <c r="M85" s="215">
        <f>+M83+M77</f>
        <v/>
      </c>
      <c r="N85" s="210">
        <f>N77+N83</f>
        <v/>
      </c>
    </row>
    <row r="86"/>
    <row r="87"/>
    <row r="88" ht="13.5" customHeight="1" s="150"/>
    <row r="89" ht="45.75" customHeight="1" s="150">
      <c r="C89" s="219" t="inlineStr">
        <is>
          <t>PASS THROUGH COSTS
(EURO's  excl. VAT)</t>
        </is>
      </c>
      <c r="D89" s="220" t="inlineStr">
        <is>
          <t>BASE YEAR</t>
        </is>
      </c>
      <c r="E89" s="220" t="inlineStr">
        <is>
          <t>YEAR 1</t>
        </is>
      </c>
      <c r="F89" s="220" t="inlineStr">
        <is>
          <t>YEAR 2</t>
        </is>
      </c>
      <c r="G89" s="220" t="inlineStr">
        <is>
          <t>YEAR 3</t>
        </is>
      </c>
      <c r="H89" s="220" t="inlineStr">
        <is>
          <t>YEAR 4</t>
        </is>
      </c>
      <c r="I89" s="221" t="inlineStr">
        <is>
          <t>YEAR 5</t>
        </is>
      </c>
      <c r="J89" s="222" t="inlineStr">
        <is>
          <t>5 Year Total</t>
        </is>
      </c>
      <c r="K89" s="165" t="n"/>
      <c r="L89" s="220" t="inlineStr">
        <is>
          <t>5 YEAR + 1</t>
        </is>
      </c>
      <c r="M89" s="223" t="inlineStr">
        <is>
          <t>5 YEAR + 2</t>
        </is>
      </c>
      <c r="N89" s="220" t="inlineStr">
        <is>
          <t>7 Year Total</t>
        </is>
      </c>
    </row>
    <row r="90" ht="12.75" customHeight="1" s="150">
      <c r="C90" s="224" t="inlineStr">
        <is>
          <t>Internal FTE</t>
        </is>
      </c>
      <c r="D90" s="225">
        <f>SUM(UK:Germany!D90)</f>
        <v/>
      </c>
      <c r="E90" s="225">
        <f>SUM(UK:Germany!E90)</f>
        <v/>
      </c>
      <c r="F90" s="225">
        <f>SUM(UK:Germany!F90)</f>
        <v/>
      </c>
      <c r="G90" s="225">
        <f>SUM(UK:Germany!G90)</f>
        <v/>
      </c>
      <c r="H90" s="225">
        <f>SUM(UK:Germany!H90)</f>
        <v/>
      </c>
      <c r="I90" s="225">
        <f>SUM(UK:Germany!I90)</f>
        <v/>
      </c>
      <c r="J90" s="226" t="n"/>
      <c r="K90" s="171" t="n"/>
      <c r="L90" s="227">
        <f>SUM(UK:Germany!L90)</f>
        <v/>
      </c>
      <c r="M90" s="225">
        <f>SUM(UK:Germany!M90)</f>
        <v/>
      </c>
      <c r="N90" s="226" t="n"/>
    </row>
    <row r="91" ht="12.75" customHeight="1" s="150">
      <c r="C91" s="224" t="inlineStr">
        <is>
          <t>External FTE</t>
        </is>
      </c>
      <c r="D91" s="225">
        <f>SUM(UK:Germany!D91)</f>
        <v/>
      </c>
      <c r="E91" s="225">
        <f>SUM(UK:Germany!E91)</f>
        <v/>
      </c>
      <c r="F91" s="225">
        <f>SUM(UK:Germany!F91)</f>
        <v/>
      </c>
      <c r="G91" s="225">
        <f>SUM(UK:Germany!G91)</f>
        <v/>
      </c>
      <c r="H91" s="225">
        <f>SUM(UK:Germany!H91)</f>
        <v/>
      </c>
      <c r="I91" s="225">
        <f>SUM(UK:Germany!I91)</f>
        <v/>
      </c>
      <c r="J91" s="226" t="n"/>
      <c r="K91" s="171" t="n"/>
      <c r="L91" s="227">
        <f>SUM(UK:Germany!L91)</f>
        <v/>
      </c>
      <c r="M91" s="225">
        <f>SUM(UK:Germany!M91)</f>
        <v/>
      </c>
      <c r="N91" s="226" t="n"/>
    </row>
    <row r="92" ht="13.5" customHeight="1" s="150">
      <c r="C92" s="228" t="inlineStr">
        <is>
          <t>Total FTE</t>
        </is>
      </c>
      <c r="D92" s="229">
        <f>SUM(D90:D91)</f>
        <v/>
      </c>
      <c r="E92" s="229">
        <f>SUM(E90:E91)</f>
        <v/>
      </c>
      <c r="F92" s="229">
        <f>SUM(F90:F91)</f>
        <v/>
      </c>
      <c r="G92" s="229">
        <f>SUM(G90:G91)</f>
        <v/>
      </c>
      <c r="H92" s="229">
        <f>SUM(H90:H91)</f>
        <v/>
      </c>
      <c r="I92" s="229">
        <f>SUM(I90:I91)</f>
        <v/>
      </c>
      <c r="J92" s="230" t="n"/>
      <c r="K92" s="171" t="n"/>
      <c r="L92" s="230">
        <f>SUM(L90:L91)</f>
        <v/>
      </c>
      <c r="M92" s="229">
        <f>SUM(M90:M91)</f>
        <v/>
      </c>
      <c r="N92" s="230" t="n"/>
    </row>
    <row r="93" ht="12.75" customHeight="1" s="150">
      <c r="C93" s="224" t="n"/>
      <c r="D93" s="231" t="n"/>
      <c r="E93" s="231" t="n"/>
      <c r="F93" s="231" t="n"/>
      <c r="G93" s="231" t="n"/>
      <c r="H93" s="231" t="n"/>
      <c r="I93" s="231" t="n"/>
      <c r="J93" s="232" t="n"/>
      <c r="K93" s="185" t="n"/>
      <c r="L93" s="233" t="n"/>
      <c r="M93" s="231" t="n"/>
      <c r="N93" s="234" t="n"/>
    </row>
    <row r="94" ht="12.75" customHeight="1" s="150">
      <c r="C94" s="224" t="inlineStr">
        <is>
          <t>Salaries</t>
        </is>
      </c>
      <c r="D94" s="231">
        <f>SUM(UK:Germany!D94)</f>
        <v/>
      </c>
      <c r="E94" s="231">
        <f>SUM(UK:Germany!E94)</f>
        <v/>
      </c>
      <c r="F94" s="231">
        <f>SUM(UK:Germany!F94)</f>
        <v/>
      </c>
      <c r="G94" s="231">
        <f>SUM(UK:Germany!G94)</f>
        <v/>
      </c>
      <c r="H94" s="231">
        <f>SUM(UK:Germany!H94)</f>
        <v/>
      </c>
      <c r="I94" s="231">
        <f>SUM(UK:Germany!I94)</f>
        <v/>
      </c>
      <c r="J94" s="233">
        <f>SUM(E94:I94)</f>
        <v/>
      </c>
      <c r="K94" s="185" t="n"/>
      <c r="L94" s="233">
        <f>SUM(UK:Germany!L94)</f>
        <v/>
      </c>
      <c r="M94" s="231">
        <f>SUM(UK:Germany!M94)</f>
        <v/>
      </c>
      <c r="N94" s="234">
        <f>+J94+SUM(L94:M94)</f>
        <v/>
      </c>
    </row>
    <row r="95" ht="12.75" customHeight="1" s="150">
      <c r="C95" s="224" t="inlineStr">
        <is>
          <t>Bonuses</t>
        </is>
      </c>
      <c r="D95" s="231">
        <f>SUM(UK:Germany!D95)</f>
        <v/>
      </c>
      <c r="E95" s="231">
        <f>SUM(UK:Germany!E95)</f>
        <v/>
      </c>
      <c r="F95" s="231">
        <f>SUM(UK:Germany!F95)</f>
        <v/>
      </c>
      <c r="G95" s="231">
        <f>SUM(UK:Germany!G95)</f>
        <v/>
      </c>
      <c r="H95" s="231">
        <f>SUM(UK:Germany!H95)</f>
        <v/>
      </c>
      <c r="I95" s="231">
        <f>SUM(UK:Germany!I95)</f>
        <v/>
      </c>
      <c r="J95" s="233">
        <f>SUM(E95:I95)</f>
        <v/>
      </c>
      <c r="K95" s="185" t="n"/>
      <c r="L95" s="233">
        <f>SUM(UK:Germany!L95)</f>
        <v/>
      </c>
      <c r="M95" s="231">
        <f>SUM(UK:Germany!M95)</f>
        <v/>
      </c>
      <c r="N95" s="234">
        <f>+J95+SUM(L95:M95)</f>
        <v/>
      </c>
    </row>
    <row r="96" ht="12.75" customHeight="1" s="150">
      <c r="C96" s="224" t="inlineStr">
        <is>
          <t>Third party staff, ex IT</t>
        </is>
      </c>
      <c r="D96" s="231">
        <f>SUM(UK:Germany!D96)</f>
        <v/>
      </c>
      <c r="E96" s="231">
        <f>SUM(UK:Germany!E96)</f>
        <v/>
      </c>
      <c r="F96" s="231">
        <f>SUM(UK:Germany!F96)</f>
        <v/>
      </c>
      <c r="G96" s="231">
        <f>SUM(UK:Germany!G96)</f>
        <v/>
      </c>
      <c r="H96" s="231">
        <f>SUM(UK:Germany!H96)</f>
        <v/>
      </c>
      <c r="I96" s="231">
        <f>SUM(UK:Germany!I96)</f>
        <v/>
      </c>
      <c r="J96" s="233">
        <f>SUM(E96:I96)</f>
        <v/>
      </c>
      <c r="K96" s="185" t="n"/>
      <c r="L96" s="233">
        <f>SUM(UK:Germany!L96)</f>
        <v/>
      </c>
      <c r="M96" s="231">
        <f>SUM(UK:Germany!M96)</f>
        <v/>
      </c>
      <c r="N96" s="234">
        <f>+J96+SUM(L96:M96)</f>
        <v/>
      </c>
    </row>
    <row r="97" ht="12.75" customHeight="1" s="150">
      <c r="C97" s="224" t="inlineStr">
        <is>
          <t>Third party IT staff</t>
        </is>
      </c>
      <c r="D97" s="231">
        <f>SUM(UK:Germany!D97)</f>
        <v/>
      </c>
      <c r="E97" s="231">
        <f>SUM(UK:Germany!E97)</f>
        <v/>
      </c>
      <c r="F97" s="231">
        <f>SUM(UK:Germany!F97)</f>
        <v/>
      </c>
      <c r="G97" s="231">
        <f>SUM(UK:Germany!G97)</f>
        <v/>
      </c>
      <c r="H97" s="231">
        <f>SUM(UK:Germany!H97)</f>
        <v/>
      </c>
      <c r="I97" s="231">
        <f>SUM(UK:Germany!I97)</f>
        <v/>
      </c>
      <c r="J97" s="233">
        <f>SUM(E97:I97)</f>
        <v/>
      </c>
      <c r="K97" s="185" t="n"/>
      <c r="L97" s="233">
        <f>SUM(UK:Germany!L97)</f>
        <v/>
      </c>
      <c r="M97" s="231">
        <f>SUM(UK:Germany!M97)</f>
        <v/>
      </c>
      <c r="N97" s="234">
        <f>+J97+SUM(L97:M97)</f>
        <v/>
      </c>
    </row>
    <row r="98" ht="12.75" customHeight="1" s="150">
      <c r="C98" s="224" t="inlineStr">
        <is>
          <t>Employee education</t>
        </is>
      </c>
      <c r="D98" s="231">
        <f>SUM(UK:Germany!D98)</f>
        <v/>
      </c>
      <c r="E98" s="231">
        <f>SUM(UK:Germany!E98)</f>
        <v/>
      </c>
      <c r="F98" s="231">
        <f>SUM(UK:Germany!F98)</f>
        <v/>
      </c>
      <c r="G98" s="231">
        <f>SUM(UK:Germany!G98)</f>
        <v/>
      </c>
      <c r="H98" s="231">
        <f>SUM(UK:Germany!H98)</f>
        <v/>
      </c>
      <c r="I98" s="231">
        <f>SUM(UK:Germany!I98)</f>
        <v/>
      </c>
      <c r="J98" s="233">
        <f>SUM(E98:I98)</f>
        <v/>
      </c>
      <c r="K98" s="185" t="n"/>
      <c r="L98" s="233">
        <f>SUM(UK:Germany!L98)</f>
        <v/>
      </c>
      <c r="M98" s="231">
        <f>SUM(UK:Germany!M98)</f>
        <v/>
      </c>
      <c r="N98" s="234">
        <f>+J98+SUM(L98:M98)</f>
        <v/>
      </c>
    </row>
    <row r="99" ht="12.75" customHeight="1" s="150">
      <c r="C99" s="224" t="inlineStr">
        <is>
          <t>Other staff expenses</t>
        </is>
      </c>
      <c r="D99" s="231">
        <f>SUM(UK:Germany!D99)</f>
        <v/>
      </c>
      <c r="E99" s="231">
        <f>SUM(UK:Germany!E99)</f>
        <v/>
      </c>
      <c r="F99" s="231">
        <f>SUM(UK:Germany!F99)</f>
        <v/>
      </c>
      <c r="G99" s="231">
        <f>SUM(UK:Germany!G99)</f>
        <v/>
      </c>
      <c r="H99" s="231">
        <f>SUM(UK:Germany!H99)</f>
        <v/>
      </c>
      <c r="I99" s="231">
        <f>SUM(UK:Germany!I99)</f>
        <v/>
      </c>
      <c r="J99" s="235">
        <f>SUM(E99:I99)</f>
        <v/>
      </c>
      <c r="K99" s="185" t="n"/>
      <c r="L99" s="233">
        <f>SUM(UK:Germany!L99)</f>
        <v/>
      </c>
      <c r="M99" s="231">
        <f>SUM(UK:Germany!M99)</f>
        <v/>
      </c>
      <c r="N99" s="234">
        <f>+J99+SUM(L99:M99)</f>
        <v/>
      </c>
    </row>
    <row r="100" ht="13.5" customHeight="1" s="150">
      <c r="C100" s="228" t="inlineStr">
        <is>
          <t>Staff expenses</t>
        </is>
      </c>
      <c r="D100" s="236">
        <f>SUM(D94:D99)</f>
        <v/>
      </c>
      <c r="E100" s="236">
        <f>SUM(E94:E99)</f>
        <v/>
      </c>
      <c r="F100" s="236">
        <f>SUM(F94:F99)</f>
        <v/>
      </c>
      <c r="G100" s="236">
        <f>SUM(G94:G99)</f>
        <v/>
      </c>
      <c r="H100" s="236">
        <f>SUM(H94:H99)</f>
        <v/>
      </c>
      <c r="I100" s="236">
        <f>SUM(I94:I99)</f>
        <v/>
      </c>
      <c r="J100" s="237">
        <f>SUM(E100:I100)</f>
        <v/>
      </c>
      <c r="K100" s="185" t="n"/>
      <c r="L100" s="237">
        <f>SUM(L94:L99)</f>
        <v/>
      </c>
      <c r="M100" s="236">
        <f>SUM(M94:M99)</f>
        <v/>
      </c>
      <c r="N100" s="237">
        <f>SUM(N94:N99)</f>
        <v/>
      </c>
    </row>
    <row r="101" ht="12.75" customHeight="1" s="150">
      <c r="C101" s="224" t="inlineStr">
        <is>
          <t>Hardware expenses</t>
        </is>
      </c>
      <c r="D101" s="231">
        <f>SUM(UK:Germany!D101)</f>
        <v/>
      </c>
      <c r="E101" s="231">
        <f>SUM(UK:Germany!E101)</f>
        <v/>
      </c>
      <c r="F101" s="231">
        <f>SUM(UK:Germany!F101)</f>
        <v/>
      </c>
      <c r="G101" s="231">
        <f>SUM(UK:Germany!G101)</f>
        <v/>
      </c>
      <c r="H101" s="231">
        <f>SUM(UK:Germany!H101)</f>
        <v/>
      </c>
      <c r="I101" s="231">
        <f>SUM(UK:Germany!I101)</f>
        <v/>
      </c>
      <c r="J101" s="233">
        <f>SUM(E101:I101)</f>
        <v/>
      </c>
      <c r="K101" s="185" t="n"/>
      <c r="L101" s="233">
        <f>SUM(UK:Germany!L101)</f>
        <v/>
      </c>
      <c r="M101" s="231">
        <f>SUM(UK:Germany!M101)</f>
        <v/>
      </c>
      <c r="N101" s="234">
        <f>+J101+SUM(L101:M101)</f>
        <v/>
      </c>
    </row>
    <row r="102" ht="12.75" customHeight="1" s="150">
      <c r="C102" s="224" t="inlineStr">
        <is>
          <t>Leasing/renting hardware</t>
        </is>
      </c>
      <c r="D102" s="231">
        <f>SUM(UK:Germany!D102)</f>
        <v/>
      </c>
      <c r="E102" s="231">
        <f>SUM(UK:Germany!E102)</f>
        <v/>
      </c>
      <c r="F102" s="231">
        <f>SUM(UK:Germany!F102)</f>
        <v/>
      </c>
      <c r="G102" s="231">
        <f>SUM(UK:Germany!G102)</f>
        <v/>
      </c>
      <c r="H102" s="231">
        <f>SUM(UK:Germany!H102)</f>
        <v/>
      </c>
      <c r="I102" s="231">
        <f>SUM(UK:Germany!I102)</f>
        <v/>
      </c>
      <c r="J102" s="233">
        <f>SUM(E102:I102)</f>
        <v/>
      </c>
      <c r="K102" s="185" t="n"/>
      <c r="L102" s="233">
        <f>SUM(UK:Germany!L102)</f>
        <v/>
      </c>
      <c r="M102" s="231">
        <f>SUM(UK:Germany!M102)</f>
        <v/>
      </c>
      <c r="N102" s="234">
        <f>+J102+SUM(L102:M102)</f>
        <v/>
      </c>
    </row>
    <row r="103" ht="12.75" customHeight="1" s="150">
      <c r="C103" s="224" t="inlineStr">
        <is>
          <t>Software expenses</t>
        </is>
      </c>
      <c r="D103" s="231">
        <f>SUM(UK:Germany!D103)</f>
        <v/>
      </c>
      <c r="E103" s="231">
        <f>SUM(UK:Germany!E103)</f>
        <v/>
      </c>
      <c r="F103" s="231">
        <f>SUM(UK:Germany!F103)</f>
        <v/>
      </c>
      <c r="G103" s="231">
        <f>SUM(UK:Germany!G103)</f>
        <v/>
      </c>
      <c r="H103" s="231">
        <f>SUM(UK:Germany!H103)</f>
        <v/>
      </c>
      <c r="I103" s="231">
        <f>SUM(UK:Germany!I103)</f>
        <v/>
      </c>
      <c r="J103" s="233">
        <f>SUM(E103:I103)</f>
        <v/>
      </c>
      <c r="K103" s="185" t="n"/>
      <c r="L103" s="233">
        <f>SUM(UK:Germany!L103)</f>
        <v/>
      </c>
      <c r="M103" s="231">
        <f>SUM(UK:Germany!M103)</f>
        <v/>
      </c>
      <c r="N103" s="234">
        <f>+J103+SUM(L103:M103)</f>
        <v/>
      </c>
    </row>
    <row r="104" ht="12.75" customHeight="1" s="150">
      <c r="C104" s="224" t="inlineStr">
        <is>
          <t>Leasing/renting/licenses sw</t>
        </is>
      </c>
      <c r="D104" s="231">
        <f>SUM(UK:Germany!D104)</f>
        <v/>
      </c>
      <c r="E104" s="231">
        <f>SUM(UK:Germany!E104)</f>
        <v/>
      </c>
      <c r="F104" s="231">
        <f>SUM(UK:Germany!F104)</f>
        <v/>
      </c>
      <c r="G104" s="231">
        <f>SUM(UK:Germany!G104)</f>
        <v/>
      </c>
      <c r="H104" s="231">
        <f>SUM(UK:Germany!H104)</f>
        <v/>
      </c>
      <c r="I104" s="231">
        <f>SUM(UK:Germany!I104)</f>
        <v/>
      </c>
      <c r="J104" s="233">
        <f>SUM(E104:I104)</f>
        <v/>
      </c>
      <c r="K104" s="185" t="n"/>
      <c r="L104" s="233">
        <f>SUM(UK:Germany!L104)</f>
        <v/>
      </c>
      <c r="M104" s="231">
        <f>SUM(UK:Germany!M104)</f>
        <v/>
      </c>
      <c r="N104" s="234">
        <f>+J104+SUM(L104:M104)</f>
        <v/>
      </c>
    </row>
    <row r="105" ht="12.75" customHeight="1" s="150">
      <c r="C105" s="224" t="inlineStr">
        <is>
          <t>Depreciation hardware</t>
        </is>
      </c>
      <c r="D105" s="231">
        <f>SUM(UK:Germany!D105)</f>
        <v/>
      </c>
      <c r="E105" s="231">
        <f>SUM(UK:Germany!E105)</f>
        <v/>
      </c>
      <c r="F105" s="231">
        <f>SUM(UK:Germany!F105)</f>
        <v/>
      </c>
      <c r="G105" s="231">
        <f>SUM(UK:Germany!G105)</f>
        <v/>
      </c>
      <c r="H105" s="231">
        <f>SUM(UK:Germany!H105)</f>
        <v/>
      </c>
      <c r="I105" s="231">
        <f>SUM(UK:Germany!I105)</f>
        <v/>
      </c>
      <c r="J105" s="233">
        <f>SUM(E105:I105)</f>
        <v/>
      </c>
      <c r="K105" s="185" t="n"/>
      <c r="L105" s="233">
        <f>SUM(UK:Germany!L105)</f>
        <v/>
      </c>
      <c r="M105" s="231">
        <f>SUM(UK:Germany!M105)</f>
        <v/>
      </c>
      <c r="N105" s="234">
        <f>+J105+SUM(L105:M105)</f>
        <v/>
      </c>
    </row>
    <row r="106" ht="12.75" customHeight="1" s="150">
      <c r="C106" s="224" t="inlineStr">
        <is>
          <t>Depreciation software</t>
        </is>
      </c>
      <c r="D106" s="231">
        <f>SUM(UK:Germany!D106)</f>
        <v/>
      </c>
      <c r="E106" s="231">
        <f>SUM(UK:Germany!E106)</f>
        <v/>
      </c>
      <c r="F106" s="231">
        <f>SUM(UK:Germany!F106)</f>
        <v/>
      </c>
      <c r="G106" s="231">
        <f>SUM(UK:Germany!G106)</f>
        <v/>
      </c>
      <c r="H106" s="231">
        <f>SUM(UK:Germany!H106)</f>
        <v/>
      </c>
      <c r="I106" s="231">
        <f>SUM(UK:Germany!I106)</f>
        <v/>
      </c>
      <c r="J106" s="233">
        <f>SUM(E106:I106)</f>
        <v/>
      </c>
      <c r="K106" s="185" t="n"/>
      <c r="L106" s="233">
        <f>SUM(UK:Germany!L106)</f>
        <v/>
      </c>
      <c r="M106" s="231">
        <f>SUM(UK:Germany!M106)</f>
        <v/>
      </c>
      <c r="N106" s="234">
        <f>+J106+SUM(L106:M106)</f>
        <v/>
      </c>
    </row>
    <row r="107" ht="12.75" customHeight="1" s="150">
      <c r="C107" s="224" t="inlineStr">
        <is>
          <t>Outsourcing IT activities</t>
        </is>
      </c>
      <c r="D107" s="231">
        <f>SUM(UK:Germany!D107)</f>
        <v/>
      </c>
      <c r="E107" s="231">
        <f>SUM(UK:Germany!E107)</f>
        <v/>
      </c>
      <c r="F107" s="231">
        <f>SUM(UK:Germany!F107)</f>
        <v/>
      </c>
      <c r="G107" s="231">
        <f>SUM(UK:Germany!G107)</f>
        <v/>
      </c>
      <c r="H107" s="231">
        <f>SUM(UK:Germany!H107)</f>
        <v/>
      </c>
      <c r="I107" s="231">
        <f>SUM(UK:Germany!I107)</f>
        <v/>
      </c>
      <c r="J107" s="233">
        <f>SUM(E107:I107)</f>
        <v/>
      </c>
      <c r="K107" s="185" t="n"/>
      <c r="L107" s="233">
        <f>SUM(UK:Germany!L107)</f>
        <v/>
      </c>
      <c r="M107" s="231">
        <f>SUM(UK:Germany!M107)</f>
        <v/>
      </c>
      <c r="N107" s="234">
        <f>+J107+SUM(L107:M107)</f>
        <v/>
      </c>
    </row>
    <row r="108" ht="12.75" customHeight="1" s="150">
      <c r="C108" s="224" t="inlineStr">
        <is>
          <t>Other IT expenses</t>
        </is>
      </c>
      <c r="D108" s="231">
        <f>SUM(UK:Germany!D108)</f>
        <v/>
      </c>
      <c r="E108" s="231">
        <f>SUM(UK:Germany!E108)</f>
        <v/>
      </c>
      <c r="F108" s="231">
        <f>SUM(UK:Germany!F108)</f>
        <v/>
      </c>
      <c r="G108" s="231">
        <f>SUM(UK:Germany!G108)</f>
        <v/>
      </c>
      <c r="H108" s="231">
        <f>SUM(UK:Germany!H108)</f>
        <v/>
      </c>
      <c r="I108" s="231">
        <f>SUM(UK:Germany!I108)</f>
        <v/>
      </c>
      <c r="J108" s="233">
        <f>SUM(E108:I108)</f>
        <v/>
      </c>
      <c r="K108" s="185" t="n"/>
      <c r="L108" s="233">
        <f>SUM(UK:Germany!L108)</f>
        <v/>
      </c>
      <c r="M108" s="231">
        <f>SUM(UK:Germany!M108)</f>
        <v/>
      </c>
      <c r="N108" s="234">
        <f>+J108+SUM(L108:M108)</f>
        <v/>
      </c>
    </row>
    <row r="109" ht="13.5" customHeight="1" s="150">
      <c r="C109" s="228" t="inlineStr">
        <is>
          <t>EDP expenses</t>
        </is>
      </c>
      <c r="D109" s="236">
        <f>SUM(D101:D108)</f>
        <v/>
      </c>
      <c r="E109" s="236">
        <f>SUM(E101:E108)</f>
        <v/>
      </c>
      <c r="F109" s="236">
        <f>SUM(F101:F108)</f>
        <v/>
      </c>
      <c r="G109" s="236">
        <f>SUM(G101:G108)</f>
        <v/>
      </c>
      <c r="H109" s="236">
        <f>SUM(H101:H108)</f>
        <v/>
      </c>
      <c r="I109" s="236">
        <f>SUM(I101:I108)</f>
        <v/>
      </c>
      <c r="J109" s="237">
        <f>SUM(E109:I109)</f>
        <v/>
      </c>
      <c r="K109" s="185" t="n"/>
      <c r="L109" s="237">
        <f>SUM(L101:L108)</f>
        <v/>
      </c>
      <c r="M109" s="236">
        <f>SUM(M101:M108)</f>
        <v/>
      </c>
      <c r="N109" s="237">
        <f>SUM(N101:N108)</f>
        <v/>
      </c>
    </row>
    <row r="110" ht="12.75" customHeight="1" s="150">
      <c r="C110" s="224" t="inlineStr">
        <is>
          <t>Telecom expenses</t>
        </is>
      </c>
      <c r="D110" s="231">
        <f>SUM(UK:Germany!D110)</f>
        <v/>
      </c>
      <c r="E110" s="231">
        <f>SUM(UK:Germany!E110)</f>
        <v/>
      </c>
      <c r="F110" s="231">
        <f>SUM(UK:Germany!F110)</f>
        <v/>
      </c>
      <c r="G110" s="231">
        <f>SUM(UK:Germany!G110)</f>
        <v/>
      </c>
      <c r="H110" s="231">
        <f>SUM(UK:Germany!H110)</f>
        <v/>
      </c>
      <c r="I110" s="231">
        <f>SUM(UK:Germany!I110)</f>
        <v/>
      </c>
      <c r="J110" s="233">
        <f>SUM(E110:I110)</f>
        <v/>
      </c>
      <c r="K110" s="185" t="n"/>
      <c r="L110" s="233">
        <f>SUM(UK:Germany!L110)</f>
        <v/>
      </c>
      <c r="M110" s="231">
        <f>SUM(UK:Germany!M110)</f>
        <v/>
      </c>
      <c r="N110" s="234">
        <f>+J110+SUM(L110:M110)</f>
        <v/>
      </c>
    </row>
    <row r="111" ht="12.75" customHeight="1" s="150">
      <c r="C111" s="224" t="inlineStr">
        <is>
          <t>Office equipment and supplies</t>
        </is>
      </c>
      <c r="D111" s="231">
        <f>SUM(UK:Germany!D111)</f>
        <v/>
      </c>
      <c r="E111" s="231">
        <f>SUM(UK:Germany!E111)</f>
        <v/>
      </c>
      <c r="F111" s="231">
        <f>SUM(UK:Germany!F111)</f>
        <v/>
      </c>
      <c r="G111" s="231">
        <f>SUM(UK:Germany!G111)</f>
        <v/>
      </c>
      <c r="H111" s="231">
        <f>SUM(UK:Germany!H111)</f>
        <v/>
      </c>
      <c r="I111" s="231">
        <f>SUM(UK:Germany!I111)</f>
        <v/>
      </c>
      <c r="J111" s="233">
        <f>SUM(E111:I111)</f>
        <v/>
      </c>
      <c r="K111" s="185" t="n"/>
      <c r="L111" s="233">
        <f>SUM(UK:Germany!L111)</f>
        <v/>
      </c>
      <c r="M111" s="231">
        <f>SUM(UK:Germany!M111)</f>
        <v/>
      </c>
      <c r="N111" s="234">
        <f>+J111+SUM(L111:M111)</f>
        <v/>
      </c>
    </row>
    <row r="112" ht="12.75" customHeight="1" s="150">
      <c r="C112" s="224" t="inlineStr">
        <is>
          <t>Accomodation expenses</t>
        </is>
      </c>
      <c r="D112" s="231">
        <f>SUM(UK:Germany!D112)</f>
        <v/>
      </c>
      <c r="E112" s="231">
        <f>SUM(UK:Germany!E112)</f>
        <v/>
      </c>
      <c r="F112" s="231">
        <f>SUM(UK:Germany!F112)</f>
        <v/>
      </c>
      <c r="G112" s="231">
        <f>SUM(UK:Germany!G112)</f>
        <v/>
      </c>
      <c r="H112" s="231">
        <f>SUM(UK:Germany!H112)</f>
        <v/>
      </c>
      <c r="I112" s="231">
        <f>SUM(UK:Germany!I112)</f>
        <v/>
      </c>
      <c r="J112" s="233">
        <f>SUM(E112:I112)</f>
        <v/>
      </c>
      <c r="K112" s="185" t="n"/>
      <c r="L112" s="233">
        <f>SUM(UK:Germany!L112)</f>
        <v/>
      </c>
      <c r="M112" s="231">
        <f>SUM(UK:Germany!M112)</f>
        <v/>
      </c>
      <c r="N112" s="234">
        <f>+J112+SUM(L112:M112)</f>
        <v/>
      </c>
    </row>
    <row r="113" ht="12.75" customHeight="1" s="150">
      <c r="C113" s="224" t="inlineStr">
        <is>
          <t>Travel costs</t>
        </is>
      </c>
      <c r="D113" s="231">
        <f>SUM(UK:Germany!D113)</f>
        <v/>
      </c>
      <c r="E113" s="231">
        <f>SUM(UK:Germany!E113)</f>
        <v/>
      </c>
      <c r="F113" s="231">
        <f>SUM(UK:Germany!F113)</f>
        <v/>
      </c>
      <c r="G113" s="231">
        <f>SUM(UK:Germany!G113)</f>
        <v/>
      </c>
      <c r="H113" s="231">
        <f>SUM(UK:Germany!H113)</f>
        <v/>
      </c>
      <c r="I113" s="231">
        <f>SUM(UK:Germany!I113)</f>
        <v/>
      </c>
      <c r="J113" s="233">
        <f>SUM(E113:I113)</f>
        <v/>
      </c>
      <c r="K113" s="185" t="n"/>
      <c r="L113" s="233">
        <f>SUM(UK:Germany!L113)</f>
        <v/>
      </c>
      <c r="M113" s="231">
        <f>SUM(UK:Germany!M113)</f>
        <v/>
      </c>
      <c r="N113" s="234">
        <f>+J113+SUM(L113:M113)</f>
        <v/>
      </c>
    </row>
    <row r="114" ht="12.75" customHeight="1" s="150">
      <c r="C114" s="224" t="inlineStr">
        <is>
          <t>Postal and freight charges</t>
        </is>
      </c>
      <c r="D114" s="231">
        <f>SUM(UK:Germany!D114)</f>
        <v/>
      </c>
      <c r="E114" s="231">
        <f>SUM(UK:Germany!E114)</f>
        <v/>
      </c>
      <c r="F114" s="231">
        <f>SUM(UK:Germany!F114)</f>
        <v/>
      </c>
      <c r="G114" s="231">
        <f>SUM(UK:Germany!G114)</f>
        <v/>
      </c>
      <c r="H114" s="231">
        <f>SUM(UK:Germany!H114)</f>
        <v/>
      </c>
      <c r="I114" s="231">
        <f>SUM(UK:Germany!I114)</f>
        <v/>
      </c>
      <c r="J114" s="233">
        <f>SUM(E114:I114)</f>
        <v/>
      </c>
      <c r="K114" s="185" t="n"/>
      <c r="L114" s="233">
        <f>SUM(UK:Germany!L114)</f>
        <v/>
      </c>
      <c r="M114" s="231">
        <f>SUM(UK:Germany!M114)</f>
        <v/>
      </c>
      <c r="N114" s="234">
        <f>+J114+SUM(L114:M114)</f>
        <v/>
      </c>
    </row>
    <row r="115" ht="12.75" customHeight="1" s="150">
      <c r="C115" s="224" t="inlineStr">
        <is>
          <t>Prof serv and ext advisory fee</t>
        </is>
      </c>
      <c r="D115" s="231">
        <f>SUM(UK:Germany!D115)</f>
        <v/>
      </c>
      <c r="E115" s="231">
        <f>SUM(UK:Germany!E115)</f>
        <v/>
      </c>
      <c r="F115" s="231">
        <f>SUM(UK:Germany!F115)</f>
        <v/>
      </c>
      <c r="G115" s="231">
        <f>SUM(UK:Germany!G115)</f>
        <v/>
      </c>
      <c r="H115" s="231">
        <f>SUM(UK:Germany!H115)</f>
        <v/>
      </c>
      <c r="I115" s="231">
        <f>SUM(UK:Germany!I115)</f>
        <v/>
      </c>
      <c r="J115" s="233">
        <f>SUM(E115:I115)</f>
        <v/>
      </c>
      <c r="K115" s="185" t="n"/>
      <c r="L115" s="233">
        <f>SUM(UK:Germany!L115)</f>
        <v/>
      </c>
      <c r="M115" s="231">
        <f>SUM(UK:Germany!M115)</f>
        <v/>
      </c>
      <c r="N115" s="234">
        <f>+J115+SUM(L115:M115)</f>
        <v/>
      </c>
    </row>
    <row r="116" ht="12.75" customHeight="1" s="150">
      <c r="C116" s="224" t="inlineStr">
        <is>
          <t>Payment transfer expenses</t>
        </is>
      </c>
      <c r="D116" s="231">
        <f>SUM(UK:Germany!D116)</f>
        <v/>
      </c>
      <c r="E116" s="231">
        <f>SUM(UK:Germany!E116)</f>
        <v/>
      </c>
      <c r="F116" s="231">
        <f>SUM(UK:Germany!F116)</f>
        <v/>
      </c>
      <c r="G116" s="231">
        <f>SUM(UK:Germany!G116)</f>
        <v/>
      </c>
      <c r="H116" s="231">
        <f>SUM(UK:Germany!H116)</f>
        <v/>
      </c>
      <c r="I116" s="231">
        <f>SUM(UK:Germany!I116)</f>
        <v/>
      </c>
      <c r="J116" s="233">
        <f>SUM(E116:I116)</f>
        <v/>
      </c>
      <c r="K116" s="185" t="n"/>
      <c r="L116" s="233">
        <f>SUM(UK:Germany!L116)</f>
        <v/>
      </c>
      <c r="M116" s="231">
        <f>SUM(UK:Germany!M116)</f>
        <v/>
      </c>
      <c r="N116" s="234">
        <f>+J116+SUM(L116:M116)</f>
        <v/>
      </c>
    </row>
    <row r="117" ht="12.75" customHeight="1" s="150">
      <c r="C117" s="224" t="inlineStr">
        <is>
          <t>Other costs</t>
        </is>
      </c>
      <c r="D117" s="231">
        <f>SUM(UK:Germany!D117)</f>
        <v/>
      </c>
      <c r="E117" s="231">
        <f>SUM(UK:Germany!E117)</f>
        <v/>
      </c>
      <c r="F117" s="231">
        <f>SUM(UK:Germany!F117)</f>
        <v/>
      </c>
      <c r="G117" s="231">
        <f>SUM(UK:Germany!G117)</f>
        <v/>
      </c>
      <c r="H117" s="231">
        <f>SUM(UK:Germany!H117)</f>
        <v/>
      </c>
      <c r="I117" s="231">
        <f>SUM(UK:Germany!I117)</f>
        <v/>
      </c>
      <c r="J117" s="233">
        <f>SUM(E117:I117)</f>
        <v/>
      </c>
      <c r="K117" s="185" t="n"/>
      <c r="L117" s="233">
        <f>SUM(UK:Germany!L117)</f>
        <v/>
      </c>
      <c r="M117" s="231">
        <f>SUM(UK:Germany!M117)</f>
        <v/>
      </c>
      <c r="N117" s="234">
        <f>+J117+SUM(L117:M117)</f>
        <v/>
      </c>
    </row>
    <row r="118" ht="13.5" customHeight="1" s="150">
      <c r="C118" s="228" t="inlineStr">
        <is>
          <t>General expenses</t>
        </is>
      </c>
      <c r="D118" s="236">
        <f>SUM(D110:D117)</f>
        <v/>
      </c>
      <c r="E118" s="236">
        <f>SUM(E110:E117)</f>
        <v/>
      </c>
      <c r="F118" s="236">
        <f>SUM(F110:F117)</f>
        <v/>
      </c>
      <c r="G118" s="236">
        <f>SUM(G110:G117)</f>
        <v/>
      </c>
      <c r="H118" s="236">
        <f>SUM(H110:H117)</f>
        <v/>
      </c>
      <c r="I118" s="236">
        <f>SUM(I110:I117)</f>
        <v/>
      </c>
      <c r="J118" s="237">
        <f>SUM(E118:I118)</f>
        <v/>
      </c>
      <c r="K118" s="185" t="n"/>
      <c r="L118" s="237">
        <f>SUM(L110:L117)</f>
        <v/>
      </c>
      <c r="M118" s="236">
        <f>SUM(M110:M117)</f>
        <v/>
      </c>
      <c r="N118" s="237">
        <f>SUM(N110:N117)</f>
        <v/>
      </c>
    </row>
    <row r="119" ht="12.75" customHeight="1" s="150">
      <c r="C119" s="224" t="inlineStr">
        <is>
          <t>Own expenses</t>
        </is>
      </c>
      <c r="D119" s="231">
        <f>D118+D109+D100</f>
        <v/>
      </c>
      <c r="E119" s="231">
        <f>E118+E109+E100</f>
        <v/>
      </c>
      <c r="F119" s="231">
        <f>F118+F109+F100</f>
        <v/>
      </c>
      <c r="G119" s="231">
        <f>G118+G109+G100</f>
        <v/>
      </c>
      <c r="H119" s="231">
        <f>H118+H109+H100</f>
        <v/>
      </c>
      <c r="I119" s="231">
        <f>I118+I109+I100</f>
        <v/>
      </c>
      <c r="J119" s="233">
        <f>SUM(E119:I119)</f>
        <v/>
      </c>
      <c r="K119" s="185" t="n"/>
      <c r="L119" s="233">
        <f>L118+L109+L100</f>
        <v/>
      </c>
      <c r="M119" s="231">
        <f>M118+M109+M100</f>
        <v/>
      </c>
      <c r="N119" s="238">
        <f>+N100+N109+N118</f>
        <v/>
      </c>
    </row>
    <row r="120" ht="12.75" customHeight="1" s="150">
      <c r="C120" s="224" t="inlineStr">
        <is>
          <t>Other expenses</t>
        </is>
      </c>
      <c r="D120" s="231">
        <f>SUM(UK:Germany!D120)</f>
        <v/>
      </c>
      <c r="E120" s="231">
        <f>SUM(UK:Germany!E120)</f>
        <v/>
      </c>
      <c r="F120" s="231">
        <f>SUM(UK:Germany!F120)</f>
        <v/>
      </c>
      <c r="G120" s="231">
        <f>SUM(UK:Germany!G120)</f>
        <v/>
      </c>
      <c r="H120" s="231">
        <f>SUM(UK:Germany!H120)</f>
        <v/>
      </c>
      <c r="I120" s="231">
        <f>SUM(UK:Germany!I120)</f>
        <v/>
      </c>
      <c r="J120" s="233">
        <f>SUM(E120:I120)</f>
        <v/>
      </c>
      <c r="K120" s="185" t="n"/>
      <c r="L120" s="233">
        <f>SUM(UK:Germany!L120)</f>
        <v/>
      </c>
      <c r="M120" s="231">
        <f>SUM(UK:Germany!M120)</f>
        <v/>
      </c>
      <c r="N120" s="234">
        <f>+J120+SUM(L120:M120)</f>
        <v/>
      </c>
    </row>
    <row r="121" ht="13.5" customHeight="1" s="150">
      <c r="C121" s="228" t="inlineStr">
        <is>
          <t xml:space="preserve">Operating expenses </t>
        </is>
      </c>
      <c r="D121" s="236">
        <f>SUM(D119:D120)</f>
        <v/>
      </c>
      <c r="E121" s="236">
        <f>SUM(E119:E120)</f>
        <v/>
      </c>
      <c r="F121" s="236">
        <f>SUM(F119:F120)</f>
        <v/>
      </c>
      <c r="G121" s="236">
        <f>SUM(G119:G120)</f>
        <v/>
      </c>
      <c r="H121" s="236">
        <f>SUM(H119:H120)</f>
        <v/>
      </c>
      <c r="I121" s="236">
        <f>SUM(I119:I120)</f>
        <v/>
      </c>
      <c r="J121" s="237">
        <f>SUM(J119:J120)</f>
        <v/>
      </c>
      <c r="K121" s="185" t="n"/>
      <c r="L121" s="237">
        <f>SUM(L119:L120)</f>
        <v/>
      </c>
      <c r="M121" s="236">
        <f>SUM(M119:M120)</f>
        <v/>
      </c>
      <c r="N121" s="237">
        <f>SUM(N119:N120)</f>
        <v/>
      </c>
    </row>
    <row r="122" ht="12.75" customHeight="1" s="150">
      <c r="C122" s="224" t="n"/>
      <c r="D122" s="231" t="n"/>
      <c r="E122" s="231" t="n"/>
      <c r="F122" s="231" t="n"/>
      <c r="G122" s="231" t="n"/>
      <c r="H122" s="231" t="n"/>
      <c r="I122" s="231" t="n"/>
      <c r="J122" s="239" t="n"/>
      <c r="K122" s="185" t="n"/>
      <c r="L122" s="233" t="n"/>
      <c r="M122" s="231" t="n"/>
      <c r="N122" s="239" t="n"/>
    </row>
    <row r="123" ht="12.75" customHeight="1" s="150">
      <c r="C123" s="224" t="inlineStr">
        <is>
          <t>HR &amp; Comms</t>
        </is>
      </c>
      <c r="D123" s="231">
        <f>SUM(UK:Germany!D123)</f>
        <v/>
      </c>
      <c r="E123" s="231">
        <f>SUM(UK:Germany!E123)</f>
        <v/>
      </c>
      <c r="F123" s="231">
        <f>SUM(UK:Germany!F123)</f>
        <v/>
      </c>
      <c r="G123" s="231">
        <f>SUM(UK:Germany!G123)</f>
        <v/>
      </c>
      <c r="H123" s="231">
        <f>SUM(UK:Germany!H123)</f>
        <v/>
      </c>
      <c r="I123" s="231">
        <f>SUM(UK:Germany!I123)</f>
        <v/>
      </c>
      <c r="J123" s="233">
        <f>SUM(E123:I123)</f>
        <v/>
      </c>
      <c r="K123" s="185" t="n"/>
      <c r="L123" s="233">
        <f>SUM(UK:Germany!L123)</f>
        <v/>
      </c>
      <c r="M123" s="231">
        <f>SUM(UK:Germany!M123)</f>
        <v/>
      </c>
      <c r="N123" s="234">
        <f>+J123+SUM(L123:M123)</f>
        <v/>
      </c>
    </row>
    <row r="124" ht="12.75" customHeight="1" s="150">
      <c r="C124" s="224" t="inlineStr">
        <is>
          <t>Finance &amp; Business Support</t>
        </is>
      </c>
      <c r="D124" s="231">
        <f>SUM(UK:Germany!D124)</f>
        <v/>
      </c>
      <c r="E124" s="231">
        <f>SUM(UK:Germany!E124)</f>
        <v/>
      </c>
      <c r="F124" s="231">
        <f>SUM(UK:Germany!F124)</f>
        <v/>
      </c>
      <c r="G124" s="231">
        <f>SUM(UK:Germany!G124)</f>
        <v/>
      </c>
      <c r="H124" s="231">
        <f>SUM(UK:Germany!H124)</f>
        <v/>
      </c>
      <c r="I124" s="231">
        <f>SUM(UK:Germany!I124)</f>
        <v/>
      </c>
      <c r="J124" s="233">
        <f>SUM(E124:I124)</f>
        <v/>
      </c>
      <c r="K124" s="185" t="n"/>
      <c r="L124" s="233">
        <f>SUM(UK:Germany!L124)</f>
        <v/>
      </c>
      <c r="M124" s="231">
        <f>SUM(UK:Germany!M124)</f>
        <v/>
      </c>
      <c r="N124" s="234">
        <f>+J124+SUM(L124:M124)</f>
        <v/>
      </c>
    </row>
    <row r="125" ht="12.75" customHeight="1" s="150">
      <c r="C125" s="224" t="inlineStr">
        <is>
          <t>HRN</t>
        </is>
      </c>
      <c r="D125" s="231">
        <f>SUM(UK:Germany!D125)</f>
        <v/>
      </c>
      <c r="E125" s="231">
        <f>SUM(UK:Germany!E125)</f>
        <v/>
      </c>
      <c r="F125" s="231">
        <f>SUM(UK:Germany!F125)</f>
        <v/>
      </c>
      <c r="G125" s="231">
        <f>SUM(UK:Germany!G125)</f>
        <v/>
      </c>
      <c r="H125" s="231">
        <f>SUM(UK:Germany!H125)</f>
        <v/>
      </c>
      <c r="I125" s="231">
        <f>SUM(UK:Germany!I125)</f>
        <v/>
      </c>
      <c r="J125" s="233">
        <f>SUM(E125:I125)</f>
        <v/>
      </c>
      <c r="K125" s="185" t="n"/>
      <c r="L125" s="233">
        <f>SUM(UK:Germany!L125)</f>
        <v/>
      </c>
      <c r="M125" s="231">
        <f>SUM(UK:Germany!M125)</f>
        <v/>
      </c>
      <c r="N125" s="234">
        <f>+J125+SUM(L125:M125)</f>
        <v/>
      </c>
    </row>
    <row r="126" ht="12.75" customHeight="1" s="150">
      <c r="C126" s="224" t="inlineStr">
        <is>
          <t>Facilities Management</t>
        </is>
      </c>
      <c r="D126" s="231">
        <f>SUM(UK:Germany!D126)</f>
        <v/>
      </c>
      <c r="E126" s="231">
        <f>SUM(UK:Germany!E126)</f>
        <v/>
      </c>
      <c r="F126" s="231">
        <f>SUM(UK:Germany!F126)</f>
        <v/>
      </c>
      <c r="G126" s="231">
        <f>SUM(UK:Germany!G126)</f>
        <v/>
      </c>
      <c r="H126" s="231">
        <f>SUM(UK:Germany!H126)</f>
        <v/>
      </c>
      <c r="I126" s="231">
        <f>SUM(UK:Germany!I126)</f>
        <v/>
      </c>
      <c r="J126" s="233">
        <f>SUM(E126:I126)</f>
        <v/>
      </c>
      <c r="K126" s="185" t="n"/>
      <c r="L126" s="233">
        <f>SUM(UK:Germany!L126)</f>
        <v/>
      </c>
      <c r="M126" s="231">
        <f>SUM(UK:Germany!M126)</f>
        <v/>
      </c>
      <c r="N126" s="234">
        <f>+J126+SUM(L126:M126)</f>
        <v/>
      </c>
    </row>
    <row r="127" ht="13.5" customHeight="1" s="150">
      <c r="C127" s="228" t="inlineStr">
        <is>
          <t>Overheads</t>
        </is>
      </c>
      <c r="D127" s="236">
        <f>SUM(D123:D126)</f>
        <v/>
      </c>
      <c r="E127" s="236">
        <f>SUM(E123:E126)</f>
        <v/>
      </c>
      <c r="F127" s="236">
        <f>SUM(F123:F126)</f>
        <v/>
      </c>
      <c r="G127" s="236">
        <f>SUM(G123:G126)</f>
        <v/>
      </c>
      <c r="H127" s="236">
        <f>SUM(H123:H126)</f>
        <v/>
      </c>
      <c r="I127" s="236">
        <f>SUM(I123:I126)</f>
        <v/>
      </c>
      <c r="J127" s="237">
        <f>SUM(J123:J126)</f>
        <v/>
      </c>
      <c r="K127" s="185" t="n"/>
      <c r="L127" s="237">
        <f>SUM(L123:L126)</f>
        <v/>
      </c>
      <c r="M127" s="236">
        <f>SUM(M123:M126)</f>
        <v/>
      </c>
      <c r="N127" s="237">
        <f>SUM(N123:N126)</f>
        <v/>
      </c>
    </row>
    <row r="128" ht="12.75" customHeight="1" s="150">
      <c r="C128" s="224" t="n"/>
      <c r="D128" s="231" t="n"/>
      <c r="E128" s="231" t="n"/>
      <c r="F128" s="231" t="n"/>
      <c r="G128" s="231" t="n"/>
      <c r="H128" s="231" t="n"/>
      <c r="I128" s="231" t="n"/>
      <c r="J128" s="239" t="n"/>
      <c r="K128" s="185" t="n"/>
      <c r="L128" s="233" t="n"/>
      <c r="M128" s="231" t="n"/>
      <c r="N128" s="239" t="n"/>
    </row>
    <row r="129" ht="13.5" customHeight="1" s="150">
      <c r="C129" s="228" t="inlineStr">
        <is>
          <t>Total Operating Costs (incl. O/H)</t>
        </is>
      </c>
      <c r="D129" s="236">
        <f>+D127+D121</f>
        <v/>
      </c>
      <c r="E129" s="236">
        <f>+E127+E121</f>
        <v/>
      </c>
      <c r="F129" s="236">
        <f>+F127+F121</f>
        <v/>
      </c>
      <c r="G129" s="236">
        <f>+G127+G121</f>
        <v/>
      </c>
      <c r="H129" s="236">
        <f>+H127+H121</f>
        <v/>
      </c>
      <c r="I129" s="236">
        <f>+I127+I121</f>
        <v/>
      </c>
      <c r="J129" s="237">
        <f>J121+J127</f>
        <v/>
      </c>
      <c r="K129" s="185" t="n"/>
      <c r="L129" s="237">
        <f>+L127+L121</f>
        <v/>
      </c>
      <c r="M129" s="236">
        <f>+M127+M121</f>
        <v/>
      </c>
      <c r="N129" s="237">
        <f>N121+N127</f>
        <v/>
      </c>
    </row>
    <row r="130"/>
    <row r="131" ht="13.5" customHeight="1" s="150"/>
    <row r="132" ht="42" customHeight="1" s="150">
      <c r="C132" s="240" t="inlineStr">
        <is>
          <t>RETAINED COSTS
(EURO's  excl. VAT)</t>
        </is>
      </c>
      <c r="D132" s="241" t="inlineStr">
        <is>
          <t>BASE YEAR</t>
        </is>
      </c>
      <c r="E132" s="241" t="inlineStr">
        <is>
          <t>YEAR 1</t>
        </is>
      </c>
      <c r="F132" s="241" t="inlineStr">
        <is>
          <t>YEAR 2</t>
        </is>
      </c>
      <c r="G132" s="241" t="inlineStr">
        <is>
          <t>YEAR 3</t>
        </is>
      </c>
      <c r="H132" s="241" t="inlineStr">
        <is>
          <t>YEAR 4</t>
        </is>
      </c>
      <c r="I132" s="242" t="inlineStr">
        <is>
          <t>YEAR 5</t>
        </is>
      </c>
      <c r="J132" s="243" t="inlineStr">
        <is>
          <t>5 Year  Total</t>
        </is>
      </c>
      <c r="K132" s="165" t="n"/>
      <c r="L132" s="241" t="inlineStr">
        <is>
          <t>5 YEAR + 1</t>
        </is>
      </c>
      <c r="M132" s="244" t="inlineStr">
        <is>
          <t>5 YEAR + 2</t>
        </is>
      </c>
      <c r="N132" s="241" t="inlineStr">
        <is>
          <t>7 Year  Total</t>
        </is>
      </c>
    </row>
    <row r="133" ht="12.75" customHeight="1" s="150">
      <c r="C133" s="245" t="inlineStr">
        <is>
          <t>Internal FTE</t>
        </is>
      </c>
      <c r="D133" s="246">
        <f>SUM(UK:Germany!D133)</f>
        <v/>
      </c>
      <c r="E133" s="246">
        <f>SUM(UK:Germany!E133)</f>
        <v/>
      </c>
      <c r="F133" s="246">
        <f>SUM(UK:Germany!F133)</f>
        <v/>
      </c>
      <c r="G133" s="246">
        <f>SUM(UK:Germany!G133)</f>
        <v/>
      </c>
      <c r="H133" s="246">
        <f>SUM(UK:Germany!H133)</f>
        <v/>
      </c>
      <c r="I133" s="246">
        <f>SUM(UK:Germany!I133)</f>
        <v/>
      </c>
      <c r="J133" s="247" t="n"/>
      <c r="K133" s="171" t="n"/>
      <c r="L133" s="248">
        <f>SUM(UK:Germany!L133)</f>
        <v/>
      </c>
      <c r="M133" s="246">
        <f>SUM(UK:Germany!M133)</f>
        <v/>
      </c>
      <c r="N133" s="249" t="n"/>
    </row>
    <row r="134" ht="12.75" customHeight="1" s="150">
      <c r="C134" s="245" t="inlineStr">
        <is>
          <t>External FTE</t>
        </is>
      </c>
      <c r="D134" s="246">
        <f>SUM(UK:Germany!D134)</f>
        <v/>
      </c>
      <c r="E134" s="246">
        <f>SUM(UK:Germany!E134)</f>
        <v/>
      </c>
      <c r="F134" s="246">
        <f>SUM(UK:Germany!F134)</f>
        <v/>
      </c>
      <c r="G134" s="246">
        <f>SUM(UK:Germany!G134)</f>
        <v/>
      </c>
      <c r="H134" s="246">
        <f>SUM(UK:Germany!H134)</f>
        <v/>
      </c>
      <c r="I134" s="246">
        <f>SUM(UK:Germany!I134)</f>
        <v/>
      </c>
      <c r="J134" s="247" t="n"/>
      <c r="K134" s="171" t="n"/>
      <c r="L134" s="248">
        <f>SUM(UK:Germany!L134)</f>
        <v/>
      </c>
      <c r="M134" s="246">
        <f>SUM(UK:Germany!M134)</f>
        <v/>
      </c>
      <c r="N134" s="249" t="n"/>
    </row>
    <row r="135" ht="13.5" customHeight="1" s="150">
      <c r="C135" s="250" t="inlineStr">
        <is>
          <t>Total FTE</t>
        </is>
      </c>
      <c r="D135" s="251">
        <f>SUM(D133:D134)</f>
        <v/>
      </c>
      <c r="E135" s="251">
        <f>SUM(E133:E134)</f>
        <v/>
      </c>
      <c r="F135" s="251">
        <f>SUM(F133:F134)</f>
        <v/>
      </c>
      <c r="G135" s="251">
        <f>SUM(G133:G134)</f>
        <v/>
      </c>
      <c r="H135" s="251">
        <f>SUM(H133:H134)</f>
        <v/>
      </c>
      <c r="I135" s="251">
        <f>SUM(I133:I134)</f>
        <v/>
      </c>
      <c r="J135" s="252" t="n"/>
      <c r="K135" s="171" t="n"/>
      <c r="L135" s="252">
        <f>SUM(L133:L134)</f>
        <v/>
      </c>
      <c r="M135" s="251">
        <f>SUM(M133:M134)</f>
        <v/>
      </c>
      <c r="N135" s="253" t="n"/>
    </row>
    <row r="136" ht="12.75" customHeight="1" s="150">
      <c r="C136" s="245" t="n"/>
      <c r="D136" s="254" t="n"/>
      <c r="E136" s="254" t="n"/>
      <c r="F136" s="254" t="n"/>
      <c r="G136" s="254" t="n"/>
      <c r="H136" s="254" t="n"/>
      <c r="I136" s="254" t="n"/>
      <c r="J136" s="255" t="n"/>
      <c r="K136" s="185" t="n"/>
      <c r="L136" s="256" t="n"/>
      <c r="M136" s="254" t="n"/>
      <c r="N136" s="249" t="n"/>
    </row>
    <row r="137" ht="12.75" customHeight="1" s="150">
      <c r="C137" s="245" t="inlineStr">
        <is>
          <t>Salaries</t>
        </is>
      </c>
      <c r="D137" s="254">
        <f>SUM(UK:Germany!D137)</f>
        <v/>
      </c>
      <c r="E137" s="254">
        <f>SUM(UK:Germany!E137)</f>
        <v/>
      </c>
      <c r="F137" s="254">
        <f>SUM(UK:Germany!F137)</f>
        <v/>
      </c>
      <c r="G137" s="254">
        <f>SUM(UK:Germany!G137)</f>
        <v/>
      </c>
      <c r="H137" s="254">
        <f>SUM(UK:Germany!H137)</f>
        <v/>
      </c>
      <c r="I137" s="254">
        <f>SUM(UK:Germany!I137)</f>
        <v/>
      </c>
      <c r="J137" s="256">
        <f>SUM(E137:I137)</f>
        <v/>
      </c>
      <c r="K137" s="185" t="n"/>
      <c r="L137" s="256">
        <f>SUM(UK:Germany!L137)</f>
        <v/>
      </c>
      <c r="M137" s="254">
        <f>SUM(UK:Germany!M137)</f>
        <v/>
      </c>
      <c r="N137" s="249">
        <f>+J137+SUM(L137:M137)</f>
        <v/>
      </c>
    </row>
    <row r="138" ht="12.75" customHeight="1" s="150">
      <c r="C138" s="245" t="inlineStr">
        <is>
          <t>Bonuses</t>
        </is>
      </c>
      <c r="D138" s="254">
        <f>SUM(UK:Germany!D138)</f>
        <v/>
      </c>
      <c r="E138" s="254">
        <f>SUM(UK:Germany!E138)</f>
        <v/>
      </c>
      <c r="F138" s="254">
        <f>SUM(UK:Germany!F138)</f>
        <v/>
      </c>
      <c r="G138" s="254">
        <f>SUM(UK:Germany!G138)</f>
        <v/>
      </c>
      <c r="H138" s="254">
        <f>SUM(UK:Germany!H138)</f>
        <v/>
      </c>
      <c r="I138" s="254">
        <f>SUM(UK:Germany!I138)</f>
        <v/>
      </c>
      <c r="J138" s="256">
        <f>SUM(E138:I138)</f>
        <v/>
      </c>
      <c r="K138" s="185" t="n"/>
      <c r="L138" s="256">
        <f>SUM(UK:Germany!L138)</f>
        <v/>
      </c>
      <c r="M138" s="254">
        <f>SUM(UK:Germany!M138)</f>
        <v/>
      </c>
      <c r="N138" s="249">
        <f>+J138+SUM(L138:M138)</f>
        <v/>
      </c>
    </row>
    <row r="139" ht="12.75" customHeight="1" s="150">
      <c r="C139" s="245" t="inlineStr">
        <is>
          <t>Third party staff, ex IT</t>
        </is>
      </c>
      <c r="D139" s="254">
        <f>SUM(UK:Germany!D139)</f>
        <v/>
      </c>
      <c r="E139" s="254">
        <f>SUM(UK:Germany!E139)</f>
        <v/>
      </c>
      <c r="F139" s="254">
        <f>SUM(UK:Germany!F139)</f>
        <v/>
      </c>
      <c r="G139" s="254">
        <f>SUM(UK:Germany!G139)</f>
        <v/>
      </c>
      <c r="H139" s="254">
        <f>SUM(UK:Germany!H139)</f>
        <v/>
      </c>
      <c r="I139" s="254">
        <f>SUM(UK:Germany!I139)</f>
        <v/>
      </c>
      <c r="J139" s="256">
        <f>SUM(E139:I139)</f>
        <v/>
      </c>
      <c r="K139" s="185" t="n"/>
      <c r="L139" s="256">
        <f>SUM(UK:Germany!L139)</f>
        <v/>
      </c>
      <c r="M139" s="254">
        <f>SUM(UK:Germany!M139)</f>
        <v/>
      </c>
      <c r="N139" s="249">
        <f>+J139+SUM(L139:M139)</f>
        <v/>
      </c>
    </row>
    <row r="140" ht="12.75" customHeight="1" s="150">
      <c r="C140" s="245" t="inlineStr">
        <is>
          <t>Third party IT staff</t>
        </is>
      </c>
      <c r="D140" s="254">
        <f>SUM(UK:Germany!D140)</f>
        <v/>
      </c>
      <c r="E140" s="254">
        <f>SUM(UK:Germany!E140)</f>
        <v/>
      </c>
      <c r="F140" s="254">
        <f>SUM(UK:Germany!F140)</f>
        <v/>
      </c>
      <c r="G140" s="254">
        <f>SUM(UK:Germany!G140)</f>
        <v/>
      </c>
      <c r="H140" s="254">
        <f>SUM(UK:Germany!H140)</f>
        <v/>
      </c>
      <c r="I140" s="254">
        <f>SUM(UK:Germany!I140)</f>
        <v/>
      </c>
      <c r="J140" s="256">
        <f>SUM(E140:I140)</f>
        <v/>
      </c>
      <c r="K140" s="185" t="n"/>
      <c r="L140" s="256">
        <f>SUM(UK:Germany!L140)</f>
        <v/>
      </c>
      <c r="M140" s="254">
        <f>SUM(UK:Germany!M140)</f>
        <v/>
      </c>
      <c r="N140" s="249">
        <f>+J140+SUM(L140:M140)</f>
        <v/>
      </c>
    </row>
    <row r="141" ht="12.75" customHeight="1" s="150">
      <c r="C141" s="245" t="inlineStr">
        <is>
          <t>Employee education</t>
        </is>
      </c>
      <c r="D141" s="254">
        <f>SUM(UK:Germany!D141)</f>
        <v/>
      </c>
      <c r="E141" s="254">
        <f>SUM(UK:Germany!E141)</f>
        <v/>
      </c>
      <c r="F141" s="254">
        <f>SUM(UK:Germany!F141)</f>
        <v/>
      </c>
      <c r="G141" s="254">
        <f>SUM(UK:Germany!G141)</f>
        <v/>
      </c>
      <c r="H141" s="254">
        <f>SUM(UK:Germany!H141)</f>
        <v/>
      </c>
      <c r="I141" s="254">
        <f>SUM(UK:Germany!I141)</f>
        <v/>
      </c>
      <c r="J141" s="256">
        <f>SUM(E141:I141)</f>
        <v/>
      </c>
      <c r="K141" s="185" t="n"/>
      <c r="L141" s="256">
        <f>SUM(UK:Germany!L141)</f>
        <v/>
      </c>
      <c r="M141" s="254">
        <f>SUM(UK:Germany!M141)</f>
        <v/>
      </c>
      <c r="N141" s="249">
        <f>+J141+SUM(L141:M141)</f>
        <v/>
      </c>
    </row>
    <row r="142" ht="12.75" customHeight="1" s="150">
      <c r="C142" s="245" t="inlineStr">
        <is>
          <t>Other staff expenses</t>
        </is>
      </c>
      <c r="D142" s="254">
        <f>SUM(UK:Germany!D142)</f>
        <v/>
      </c>
      <c r="E142" s="254">
        <f>SUM(UK:Germany!E142)</f>
        <v/>
      </c>
      <c r="F142" s="254">
        <f>SUM(UK:Germany!F142)</f>
        <v/>
      </c>
      <c r="G142" s="254">
        <f>SUM(UK:Germany!G142)</f>
        <v/>
      </c>
      <c r="H142" s="254">
        <f>SUM(UK:Germany!H142)</f>
        <v/>
      </c>
      <c r="I142" s="254">
        <f>SUM(UK:Germany!I142)</f>
        <v/>
      </c>
      <c r="J142" s="257">
        <f>SUM(E142:I142)</f>
        <v/>
      </c>
      <c r="K142" s="185" t="n"/>
      <c r="L142" s="256">
        <f>SUM(UK:Germany!L142)</f>
        <v/>
      </c>
      <c r="M142" s="254">
        <f>SUM(UK:Germany!M142)</f>
        <v/>
      </c>
      <c r="N142" s="249">
        <f>+J142+SUM(L142:M142)</f>
        <v/>
      </c>
    </row>
    <row r="143" ht="13.5" customHeight="1" s="150">
      <c r="C143" s="250" t="inlineStr">
        <is>
          <t>Staff expenses</t>
        </is>
      </c>
      <c r="D143" s="258">
        <f>SUM(D137:D142)</f>
        <v/>
      </c>
      <c r="E143" s="258">
        <f>SUM(E137:E142)</f>
        <v/>
      </c>
      <c r="F143" s="258">
        <f>SUM(F137:F142)</f>
        <v/>
      </c>
      <c r="G143" s="258">
        <f>SUM(G137:G142)</f>
        <v/>
      </c>
      <c r="H143" s="258">
        <f>SUM(H137:H142)</f>
        <v/>
      </c>
      <c r="I143" s="258">
        <f>SUM(I137:I142)</f>
        <v/>
      </c>
      <c r="J143" s="253">
        <f>SUM(E143:I143)</f>
        <v/>
      </c>
      <c r="K143" s="185" t="n"/>
      <c r="L143" s="253">
        <f>SUM(L137:L142)</f>
        <v/>
      </c>
      <c r="M143" s="258">
        <f>SUM(M137:M142)</f>
        <v/>
      </c>
      <c r="N143" s="253">
        <f>SUM(N137:N142)</f>
        <v/>
      </c>
    </row>
    <row r="144" ht="12.75" customHeight="1" s="150">
      <c r="C144" s="245" t="inlineStr">
        <is>
          <t>Hardware expenses</t>
        </is>
      </c>
      <c r="D144" s="254">
        <f>SUM(UK:Germany!D144)</f>
        <v/>
      </c>
      <c r="E144" s="254">
        <f>SUM(UK:Germany!E144)</f>
        <v/>
      </c>
      <c r="F144" s="254">
        <f>SUM(UK:Germany!F144)</f>
        <v/>
      </c>
      <c r="G144" s="254">
        <f>SUM(UK:Germany!G144)</f>
        <v/>
      </c>
      <c r="H144" s="254">
        <f>SUM(UK:Germany!H144)</f>
        <v/>
      </c>
      <c r="I144" s="254">
        <f>SUM(UK:Germany!I144)</f>
        <v/>
      </c>
      <c r="J144" s="256">
        <f>SUM(E144:I144)</f>
        <v/>
      </c>
      <c r="K144" s="185" t="n"/>
      <c r="L144" s="256">
        <f>SUM(UK:Germany!L144)</f>
        <v/>
      </c>
      <c r="M144" s="254">
        <f>SUM(UK:Germany!M144)</f>
        <v/>
      </c>
      <c r="N144" s="249">
        <f>+J144+SUM(L144:M144)</f>
        <v/>
      </c>
    </row>
    <row r="145" ht="12.75" customHeight="1" s="150">
      <c r="C145" s="245" t="inlineStr">
        <is>
          <t>Leasing/renting hardware</t>
        </is>
      </c>
      <c r="D145" s="254">
        <f>SUM(UK:Germany!D145)</f>
        <v/>
      </c>
      <c r="E145" s="254">
        <f>SUM(UK:Germany!E145)</f>
        <v/>
      </c>
      <c r="F145" s="254">
        <f>SUM(UK:Germany!F145)</f>
        <v/>
      </c>
      <c r="G145" s="254">
        <f>SUM(UK:Germany!G145)</f>
        <v/>
      </c>
      <c r="H145" s="254">
        <f>SUM(UK:Germany!H145)</f>
        <v/>
      </c>
      <c r="I145" s="254">
        <f>SUM(UK:Germany!I145)</f>
        <v/>
      </c>
      <c r="J145" s="256">
        <f>SUM(E145:I145)</f>
        <v/>
      </c>
      <c r="K145" s="185" t="n"/>
      <c r="L145" s="256">
        <f>SUM(UK:Germany!L145)</f>
        <v/>
      </c>
      <c r="M145" s="254">
        <f>SUM(UK:Germany!M145)</f>
        <v/>
      </c>
      <c r="N145" s="249">
        <f>+J145+SUM(L145:M145)</f>
        <v/>
      </c>
    </row>
    <row r="146" ht="12.75" customHeight="1" s="150">
      <c r="C146" s="245" t="inlineStr">
        <is>
          <t>Software expenses</t>
        </is>
      </c>
      <c r="D146" s="254">
        <f>SUM(UK:Germany!D146)</f>
        <v/>
      </c>
      <c r="E146" s="254">
        <f>SUM(UK:Germany!E146)</f>
        <v/>
      </c>
      <c r="F146" s="254">
        <f>SUM(UK:Germany!F146)</f>
        <v/>
      </c>
      <c r="G146" s="254">
        <f>SUM(UK:Germany!G146)</f>
        <v/>
      </c>
      <c r="H146" s="254">
        <f>SUM(UK:Germany!H146)</f>
        <v/>
      </c>
      <c r="I146" s="254">
        <f>SUM(UK:Germany!I146)</f>
        <v/>
      </c>
      <c r="J146" s="256">
        <f>SUM(E146:I146)</f>
        <v/>
      </c>
      <c r="K146" s="185" t="n"/>
      <c r="L146" s="256">
        <f>SUM(UK:Germany!L146)</f>
        <v/>
      </c>
      <c r="M146" s="254">
        <f>SUM(UK:Germany!M146)</f>
        <v/>
      </c>
      <c r="N146" s="249">
        <f>+J146+SUM(L146:M146)</f>
        <v/>
      </c>
    </row>
    <row r="147" ht="12.75" customHeight="1" s="150">
      <c r="C147" s="245" t="inlineStr">
        <is>
          <t>Leasing/renting/licenses sw</t>
        </is>
      </c>
      <c r="D147" s="254">
        <f>SUM(UK:Germany!D147)</f>
        <v/>
      </c>
      <c r="E147" s="254">
        <f>SUM(UK:Germany!E147)</f>
        <v/>
      </c>
      <c r="F147" s="254">
        <f>SUM(UK:Germany!F147)</f>
        <v/>
      </c>
      <c r="G147" s="254">
        <f>SUM(UK:Germany!G147)</f>
        <v/>
      </c>
      <c r="H147" s="254">
        <f>SUM(UK:Germany!H147)</f>
        <v/>
      </c>
      <c r="I147" s="254">
        <f>SUM(UK:Germany!I147)</f>
        <v/>
      </c>
      <c r="J147" s="256">
        <f>SUM(E147:I147)</f>
        <v/>
      </c>
      <c r="K147" s="185" t="n"/>
      <c r="L147" s="256">
        <f>SUM(UK:Germany!L147)</f>
        <v/>
      </c>
      <c r="M147" s="254">
        <f>SUM(UK:Germany!M147)</f>
        <v/>
      </c>
      <c r="N147" s="249">
        <f>+J147+SUM(L147:M147)</f>
        <v/>
      </c>
    </row>
    <row r="148" ht="12.75" customHeight="1" s="150">
      <c r="C148" s="245" t="inlineStr">
        <is>
          <t>Depreciation hardware</t>
        </is>
      </c>
      <c r="D148" s="254">
        <f>SUM(UK:Germany!D148)</f>
        <v/>
      </c>
      <c r="E148" s="254">
        <f>SUM(UK:Germany!E148)</f>
        <v/>
      </c>
      <c r="F148" s="254">
        <f>SUM(UK:Germany!F148)</f>
        <v/>
      </c>
      <c r="G148" s="254">
        <f>SUM(UK:Germany!G148)</f>
        <v/>
      </c>
      <c r="H148" s="254">
        <f>SUM(UK:Germany!H148)</f>
        <v/>
      </c>
      <c r="I148" s="254">
        <f>SUM(UK:Germany!I148)</f>
        <v/>
      </c>
      <c r="J148" s="256">
        <f>SUM(E148:I148)</f>
        <v/>
      </c>
      <c r="K148" s="185" t="n"/>
      <c r="L148" s="256">
        <f>SUM(UK:Germany!L148)</f>
        <v/>
      </c>
      <c r="M148" s="254">
        <f>SUM(UK:Germany!M148)</f>
        <v/>
      </c>
      <c r="N148" s="249">
        <f>+J148+SUM(L148:M148)</f>
        <v/>
      </c>
    </row>
    <row r="149" ht="12.75" customHeight="1" s="150">
      <c r="C149" s="245" t="inlineStr">
        <is>
          <t>Depreciation software</t>
        </is>
      </c>
      <c r="D149" s="254">
        <f>SUM(UK:Germany!D149)</f>
        <v/>
      </c>
      <c r="E149" s="254">
        <f>SUM(UK:Germany!E149)</f>
        <v/>
      </c>
      <c r="F149" s="254">
        <f>SUM(UK:Germany!F149)</f>
        <v/>
      </c>
      <c r="G149" s="254">
        <f>SUM(UK:Germany!G149)</f>
        <v/>
      </c>
      <c r="H149" s="254">
        <f>SUM(UK:Germany!H149)</f>
        <v/>
      </c>
      <c r="I149" s="254">
        <f>SUM(UK:Germany!I149)</f>
        <v/>
      </c>
      <c r="J149" s="256">
        <f>SUM(E149:I149)</f>
        <v/>
      </c>
      <c r="K149" s="185" t="n"/>
      <c r="L149" s="256">
        <f>SUM(UK:Germany!L149)</f>
        <v/>
      </c>
      <c r="M149" s="254">
        <f>SUM(UK:Germany!M149)</f>
        <v/>
      </c>
      <c r="N149" s="249">
        <f>+J149+SUM(L149:M149)</f>
        <v/>
      </c>
    </row>
    <row r="150" ht="12.75" customHeight="1" s="150">
      <c r="C150" s="245" t="inlineStr">
        <is>
          <t>Outsourcing IT activities</t>
        </is>
      </c>
      <c r="D150" s="254">
        <f>SUM(UK:Germany!D150)</f>
        <v/>
      </c>
      <c r="E150" s="254">
        <f>SUM(UK:Germany!E150)</f>
        <v/>
      </c>
      <c r="F150" s="254">
        <f>SUM(UK:Germany!F150)</f>
        <v/>
      </c>
      <c r="G150" s="254">
        <f>SUM(UK:Germany!G150)</f>
        <v/>
      </c>
      <c r="H150" s="254">
        <f>SUM(UK:Germany!H150)</f>
        <v/>
      </c>
      <c r="I150" s="254">
        <f>SUM(UK:Germany!I150)</f>
        <v/>
      </c>
      <c r="J150" s="256">
        <f>SUM(E150:I150)</f>
        <v/>
      </c>
      <c r="K150" s="185" t="n"/>
      <c r="L150" s="256">
        <f>SUM(UK:Germany!L150)</f>
        <v/>
      </c>
      <c r="M150" s="254">
        <f>SUM(UK:Germany!M150)</f>
        <v/>
      </c>
      <c r="N150" s="249">
        <f>+J150+SUM(L150:M150)</f>
        <v/>
      </c>
    </row>
    <row r="151" ht="12.75" customHeight="1" s="150">
      <c r="C151" s="245" t="inlineStr">
        <is>
          <t>Other IT expenses</t>
        </is>
      </c>
      <c r="D151" s="254">
        <f>SUM(UK:Germany!D151)</f>
        <v/>
      </c>
      <c r="E151" s="254">
        <f>SUM(UK:Germany!E151)</f>
        <v/>
      </c>
      <c r="F151" s="254">
        <f>SUM(UK:Germany!F151)</f>
        <v/>
      </c>
      <c r="G151" s="254">
        <f>SUM(UK:Germany!G151)</f>
        <v/>
      </c>
      <c r="H151" s="254">
        <f>SUM(UK:Germany!H151)</f>
        <v/>
      </c>
      <c r="I151" s="254">
        <f>SUM(UK:Germany!I151)</f>
        <v/>
      </c>
      <c r="J151" s="256">
        <f>SUM(E151:I151)</f>
        <v/>
      </c>
      <c r="K151" s="185" t="n"/>
      <c r="L151" s="256">
        <f>SUM(UK:Germany!L151)</f>
        <v/>
      </c>
      <c r="M151" s="254">
        <f>SUM(UK:Germany!M151)</f>
        <v/>
      </c>
      <c r="N151" s="249">
        <f>+J151+SUM(L151:M151)</f>
        <v/>
      </c>
    </row>
    <row r="152" ht="13.5" customHeight="1" s="150">
      <c r="C152" s="250" t="inlineStr">
        <is>
          <t>EDP expenses</t>
        </is>
      </c>
      <c r="D152" s="258">
        <f>SUM(D144:D151)</f>
        <v/>
      </c>
      <c r="E152" s="258">
        <f>SUM(E144:E151)</f>
        <v/>
      </c>
      <c r="F152" s="258">
        <f>SUM(F144:F151)</f>
        <v/>
      </c>
      <c r="G152" s="258">
        <f>SUM(G144:G151)</f>
        <v/>
      </c>
      <c r="H152" s="258">
        <f>SUM(H144:H151)</f>
        <v/>
      </c>
      <c r="I152" s="258">
        <f>SUM(I144:I151)</f>
        <v/>
      </c>
      <c r="J152" s="253">
        <f>SUM(E152:I152)</f>
        <v/>
      </c>
      <c r="K152" s="185" t="n"/>
      <c r="L152" s="253">
        <f>SUM(L144:L151)</f>
        <v/>
      </c>
      <c r="M152" s="258">
        <f>SUM(M144:M151)</f>
        <v/>
      </c>
      <c r="N152" s="253">
        <f>SUM(N144:N151)</f>
        <v/>
      </c>
    </row>
    <row r="153" ht="12.75" customHeight="1" s="150">
      <c r="C153" s="245" t="inlineStr">
        <is>
          <t>Telecom expenses</t>
        </is>
      </c>
      <c r="D153" s="254">
        <f>SUM(UK:Germany!D153)</f>
        <v/>
      </c>
      <c r="E153" s="254">
        <f>SUM(UK:Germany!E153)</f>
        <v/>
      </c>
      <c r="F153" s="254">
        <f>SUM(UK:Germany!F153)</f>
        <v/>
      </c>
      <c r="G153" s="254">
        <f>SUM(UK:Germany!G153)</f>
        <v/>
      </c>
      <c r="H153" s="254">
        <f>SUM(UK:Germany!H153)</f>
        <v/>
      </c>
      <c r="I153" s="254">
        <f>SUM(UK:Germany!I153)</f>
        <v/>
      </c>
      <c r="J153" s="256">
        <f>SUM(E153:I153)</f>
        <v/>
      </c>
      <c r="K153" s="185" t="n"/>
      <c r="L153" s="256">
        <f>SUM(UK:Germany!L153)</f>
        <v/>
      </c>
      <c r="M153" s="254">
        <f>SUM(UK:Germany!M153)</f>
        <v/>
      </c>
      <c r="N153" s="249">
        <f>+J153+SUM(L153:M153)</f>
        <v/>
      </c>
    </row>
    <row r="154" ht="12.75" customHeight="1" s="150">
      <c r="C154" s="245" t="inlineStr">
        <is>
          <t>Office equipment and supplies</t>
        </is>
      </c>
      <c r="D154" s="254">
        <f>SUM(UK:Germany!D154)</f>
        <v/>
      </c>
      <c r="E154" s="254">
        <f>SUM(UK:Germany!E154)</f>
        <v/>
      </c>
      <c r="F154" s="254">
        <f>SUM(UK:Germany!F154)</f>
        <v/>
      </c>
      <c r="G154" s="254">
        <f>SUM(UK:Germany!G154)</f>
        <v/>
      </c>
      <c r="H154" s="254">
        <f>SUM(UK:Germany!H154)</f>
        <v/>
      </c>
      <c r="I154" s="254">
        <f>SUM(UK:Germany!I154)</f>
        <v/>
      </c>
      <c r="J154" s="256">
        <f>SUM(E154:I154)</f>
        <v/>
      </c>
      <c r="K154" s="185" t="n"/>
      <c r="L154" s="256">
        <f>SUM(UK:Germany!L154)</f>
        <v/>
      </c>
      <c r="M154" s="254">
        <f>SUM(UK:Germany!M154)</f>
        <v/>
      </c>
      <c r="N154" s="249">
        <f>+J154+SUM(L154:M154)</f>
        <v/>
      </c>
    </row>
    <row r="155" ht="12.75" customHeight="1" s="150">
      <c r="C155" s="245" t="inlineStr">
        <is>
          <t>Accomodation expenses</t>
        </is>
      </c>
      <c r="D155" s="254">
        <f>SUM(UK:Germany!D155)</f>
        <v/>
      </c>
      <c r="E155" s="254">
        <f>SUM(UK:Germany!E155)</f>
        <v/>
      </c>
      <c r="F155" s="254">
        <f>SUM(UK:Germany!F155)</f>
        <v/>
      </c>
      <c r="G155" s="254">
        <f>SUM(UK:Germany!G155)</f>
        <v/>
      </c>
      <c r="H155" s="254">
        <f>SUM(UK:Germany!H155)</f>
        <v/>
      </c>
      <c r="I155" s="254">
        <f>SUM(UK:Germany!I155)</f>
        <v/>
      </c>
      <c r="J155" s="256">
        <f>SUM(E155:I155)</f>
        <v/>
      </c>
      <c r="K155" s="185" t="n"/>
      <c r="L155" s="256">
        <f>SUM(UK:Germany!L155)</f>
        <v/>
      </c>
      <c r="M155" s="254">
        <f>SUM(UK:Germany!M155)</f>
        <v/>
      </c>
      <c r="N155" s="249">
        <f>+J155+SUM(L155:M155)</f>
        <v/>
      </c>
    </row>
    <row r="156" ht="12.75" customHeight="1" s="150">
      <c r="C156" s="245" t="inlineStr">
        <is>
          <t>Travel costs</t>
        </is>
      </c>
      <c r="D156" s="254">
        <f>SUM(UK:Germany!D156)</f>
        <v/>
      </c>
      <c r="E156" s="254">
        <f>SUM(UK:Germany!E156)</f>
        <v/>
      </c>
      <c r="F156" s="254">
        <f>SUM(UK:Germany!F156)</f>
        <v/>
      </c>
      <c r="G156" s="254">
        <f>SUM(UK:Germany!G156)</f>
        <v/>
      </c>
      <c r="H156" s="254">
        <f>SUM(UK:Germany!H156)</f>
        <v/>
      </c>
      <c r="I156" s="254">
        <f>SUM(UK:Germany!I156)</f>
        <v/>
      </c>
      <c r="J156" s="256">
        <f>SUM(E156:I156)</f>
        <v/>
      </c>
      <c r="K156" s="185" t="n"/>
      <c r="L156" s="256">
        <f>SUM(UK:Germany!L156)</f>
        <v/>
      </c>
      <c r="M156" s="254">
        <f>SUM(UK:Germany!M156)</f>
        <v/>
      </c>
      <c r="N156" s="249">
        <f>+J156+SUM(L156:M156)</f>
        <v/>
      </c>
    </row>
    <row r="157" ht="12.75" customHeight="1" s="150">
      <c r="C157" s="245" t="inlineStr">
        <is>
          <t>Postal and freight charges</t>
        </is>
      </c>
      <c r="D157" s="254">
        <f>SUM(UK:Germany!D157)</f>
        <v/>
      </c>
      <c r="E157" s="254">
        <f>SUM(UK:Germany!E157)</f>
        <v/>
      </c>
      <c r="F157" s="254">
        <f>SUM(UK:Germany!F157)</f>
        <v/>
      </c>
      <c r="G157" s="254">
        <f>SUM(UK:Germany!G157)</f>
        <v/>
      </c>
      <c r="H157" s="254">
        <f>SUM(UK:Germany!H157)</f>
        <v/>
      </c>
      <c r="I157" s="254">
        <f>SUM(UK:Germany!I157)</f>
        <v/>
      </c>
      <c r="J157" s="256">
        <f>SUM(E157:I157)</f>
        <v/>
      </c>
      <c r="K157" s="185" t="n"/>
      <c r="L157" s="256">
        <f>SUM(UK:Germany!L157)</f>
        <v/>
      </c>
      <c r="M157" s="254">
        <f>SUM(UK:Germany!M157)</f>
        <v/>
      </c>
      <c r="N157" s="249">
        <f>+J157+SUM(L157:M157)</f>
        <v/>
      </c>
    </row>
    <row r="158" ht="12.75" customHeight="1" s="150">
      <c r="C158" s="245" t="inlineStr">
        <is>
          <t>Prof serv and ext advisory fee</t>
        </is>
      </c>
      <c r="D158" s="254">
        <f>SUM(UK:Germany!D158)</f>
        <v/>
      </c>
      <c r="E158" s="254">
        <f>SUM(UK:Germany!E158)</f>
        <v/>
      </c>
      <c r="F158" s="254">
        <f>SUM(UK:Germany!F158)</f>
        <v/>
      </c>
      <c r="G158" s="254">
        <f>SUM(UK:Germany!G158)</f>
        <v/>
      </c>
      <c r="H158" s="254">
        <f>SUM(UK:Germany!H158)</f>
        <v/>
      </c>
      <c r="I158" s="254">
        <f>SUM(UK:Germany!I158)</f>
        <v/>
      </c>
      <c r="J158" s="256">
        <f>SUM(E158:I158)</f>
        <v/>
      </c>
      <c r="K158" s="185" t="n"/>
      <c r="L158" s="256">
        <f>SUM(UK:Germany!L158)</f>
        <v/>
      </c>
      <c r="M158" s="254">
        <f>SUM(UK:Germany!M158)</f>
        <v/>
      </c>
      <c r="N158" s="249">
        <f>+J158+SUM(L158:M158)</f>
        <v/>
      </c>
    </row>
    <row r="159" ht="12.75" customHeight="1" s="150">
      <c r="C159" s="245" t="inlineStr">
        <is>
          <t>Payment transfer expenses</t>
        </is>
      </c>
      <c r="D159" s="254">
        <f>SUM(UK:Germany!D159)</f>
        <v/>
      </c>
      <c r="E159" s="254">
        <f>SUM(UK:Germany!E159)</f>
        <v/>
      </c>
      <c r="F159" s="254">
        <f>SUM(UK:Germany!F159)</f>
        <v/>
      </c>
      <c r="G159" s="254">
        <f>SUM(UK:Germany!G159)</f>
        <v/>
      </c>
      <c r="H159" s="254">
        <f>SUM(UK:Germany!H159)</f>
        <v/>
      </c>
      <c r="I159" s="254">
        <f>SUM(UK:Germany!I159)</f>
        <v/>
      </c>
      <c r="J159" s="256">
        <f>SUM(E159:I159)</f>
        <v/>
      </c>
      <c r="K159" s="185" t="n"/>
      <c r="L159" s="256">
        <f>SUM(UK:Germany!L159)</f>
        <v/>
      </c>
      <c r="M159" s="254">
        <f>SUM(UK:Germany!M159)</f>
        <v/>
      </c>
      <c r="N159" s="249">
        <f>+J159+SUM(L159:M159)</f>
        <v/>
      </c>
    </row>
    <row r="160" ht="12.75" customHeight="1" s="150">
      <c r="C160" s="245" t="inlineStr">
        <is>
          <t>Other costs</t>
        </is>
      </c>
      <c r="D160" s="254">
        <f>SUM(UK:Germany!D160)</f>
        <v/>
      </c>
      <c r="E160" s="254">
        <f>SUM(UK:Germany!E160)</f>
        <v/>
      </c>
      <c r="F160" s="254">
        <f>SUM(UK:Germany!F160)</f>
        <v/>
      </c>
      <c r="G160" s="254">
        <f>SUM(UK:Germany!G160)</f>
        <v/>
      </c>
      <c r="H160" s="254">
        <f>SUM(UK:Germany!H160)</f>
        <v/>
      </c>
      <c r="I160" s="254">
        <f>SUM(UK:Germany!I160)</f>
        <v/>
      </c>
      <c r="J160" s="256">
        <f>SUM(E160:I160)</f>
        <v/>
      </c>
      <c r="K160" s="185" t="n"/>
      <c r="L160" s="256">
        <f>SUM(UK:Germany!L160)</f>
        <v/>
      </c>
      <c r="M160" s="254">
        <f>SUM(UK:Germany!M160)</f>
        <v/>
      </c>
      <c r="N160" s="249">
        <f>+J160+SUM(L160:M160)</f>
        <v/>
      </c>
    </row>
    <row r="161" ht="13.5" customHeight="1" s="150">
      <c r="C161" s="250" t="inlineStr">
        <is>
          <t>General expenses</t>
        </is>
      </c>
      <c r="D161" s="258">
        <f>SUM(D153:D160)</f>
        <v/>
      </c>
      <c r="E161" s="258">
        <f>SUM(E153:E160)</f>
        <v/>
      </c>
      <c r="F161" s="258">
        <f>SUM(F153:F160)</f>
        <v/>
      </c>
      <c r="G161" s="258">
        <f>SUM(G153:G160)</f>
        <v/>
      </c>
      <c r="H161" s="258">
        <f>SUM(H153:H160)</f>
        <v/>
      </c>
      <c r="I161" s="258">
        <f>SUM(I153:I160)</f>
        <v/>
      </c>
      <c r="J161" s="253">
        <f>SUM(E161:I161)</f>
        <v/>
      </c>
      <c r="K161" s="185" t="n"/>
      <c r="L161" s="253">
        <f>SUM(L153:L160)</f>
        <v/>
      </c>
      <c r="M161" s="258">
        <f>SUM(M153:M160)</f>
        <v/>
      </c>
      <c r="N161" s="253">
        <f>SUM(N153:N160)</f>
        <v/>
      </c>
    </row>
    <row r="162" ht="12.75" customHeight="1" s="150">
      <c r="C162" s="245" t="inlineStr">
        <is>
          <t>Own expenses</t>
        </is>
      </c>
      <c r="D162" s="254">
        <f>D161+D152+D143</f>
        <v/>
      </c>
      <c r="E162" s="254">
        <f>E161+E152+E143</f>
        <v/>
      </c>
      <c r="F162" s="254">
        <f>F161+F152+F143</f>
        <v/>
      </c>
      <c r="G162" s="254">
        <f>G161+G152+G143</f>
        <v/>
      </c>
      <c r="H162" s="254">
        <f>H161+H152+H143</f>
        <v/>
      </c>
      <c r="I162" s="254">
        <f>I161+I152+I143</f>
        <v/>
      </c>
      <c r="J162" s="256">
        <f>SUM(E162:I162)</f>
        <v/>
      </c>
      <c r="K162" s="185" t="n"/>
      <c r="L162" s="256">
        <f>L161+L152+L143</f>
        <v/>
      </c>
      <c r="M162" s="254">
        <f>M161+M152+M143</f>
        <v/>
      </c>
      <c r="N162" s="259">
        <f>+N143+N152+N161</f>
        <v/>
      </c>
    </row>
    <row r="163" ht="12.75" customHeight="1" s="150">
      <c r="C163" s="245" t="inlineStr">
        <is>
          <t>Other expenses</t>
        </is>
      </c>
      <c r="D163" s="254">
        <f>SUM(UK:Germany!D163)</f>
        <v/>
      </c>
      <c r="E163" s="254">
        <f>SUM(UK:Germany!E163)</f>
        <v/>
      </c>
      <c r="F163" s="254">
        <f>SUM(UK:Germany!F163)</f>
        <v/>
      </c>
      <c r="G163" s="254">
        <f>SUM(UK:Germany!G163)</f>
        <v/>
      </c>
      <c r="H163" s="254">
        <f>SUM(UK:Germany!H163)</f>
        <v/>
      </c>
      <c r="I163" s="254">
        <f>SUM(UK:Germany!I163)</f>
        <v/>
      </c>
      <c r="J163" s="256">
        <f>SUM(E163:I163)</f>
        <v/>
      </c>
      <c r="K163" s="185" t="n"/>
      <c r="L163" s="256">
        <f>SUM(UK:Germany!L163)</f>
        <v/>
      </c>
      <c r="M163" s="254">
        <f>SUM(UK:Germany!M163)</f>
        <v/>
      </c>
      <c r="N163" s="249">
        <f>+J163+SUM(L163:M163)</f>
        <v/>
      </c>
    </row>
    <row r="164" ht="13.5" customHeight="1" s="150">
      <c r="C164" s="250" t="inlineStr">
        <is>
          <t xml:space="preserve">Operating expenses </t>
        </is>
      </c>
      <c r="D164" s="258">
        <f>SUM(D162:D163)</f>
        <v/>
      </c>
      <c r="E164" s="258">
        <f>SUM(E162:E163)</f>
        <v/>
      </c>
      <c r="F164" s="258">
        <f>SUM(F162:F163)</f>
        <v/>
      </c>
      <c r="G164" s="258">
        <f>SUM(G162:G163)</f>
        <v/>
      </c>
      <c r="H164" s="258">
        <f>SUM(H162:H163)</f>
        <v/>
      </c>
      <c r="I164" s="258">
        <f>SUM(I162:I163)</f>
        <v/>
      </c>
      <c r="J164" s="253">
        <f>SUM(J162:J163)</f>
        <v/>
      </c>
      <c r="K164" s="185" t="n"/>
      <c r="L164" s="253">
        <f>SUM(L162:L163)</f>
        <v/>
      </c>
      <c r="M164" s="258">
        <f>SUM(M162:M163)</f>
        <v/>
      </c>
      <c r="N164" s="253">
        <f>SUM(N162:N163)</f>
        <v/>
      </c>
    </row>
    <row r="165" ht="12.75" customHeight="1" s="150">
      <c r="C165" s="245" t="n"/>
      <c r="D165" s="254" t="n"/>
      <c r="E165" s="254" t="n"/>
      <c r="F165" s="254" t="n"/>
      <c r="G165" s="254" t="n"/>
      <c r="H165" s="254" t="n"/>
      <c r="I165" s="254" t="n"/>
      <c r="J165" s="260" t="n"/>
      <c r="K165" s="185" t="n"/>
      <c r="L165" s="256" t="n"/>
      <c r="M165" s="254" t="n"/>
      <c r="N165" s="260" t="n"/>
    </row>
    <row r="166" ht="12.75" customHeight="1" s="150">
      <c r="C166" s="245" t="inlineStr">
        <is>
          <t>HR &amp; Comms</t>
        </is>
      </c>
      <c r="D166" s="254">
        <f>SUM(UK:Germany!D166)</f>
        <v/>
      </c>
      <c r="E166" s="254">
        <f>SUM(UK:Germany!E166)</f>
        <v/>
      </c>
      <c r="F166" s="254">
        <f>SUM(UK:Germany!F166)</f>
        <v/>
      </c>
      <c r="G166" s="254">
        <f>SUM(UK:Germany!G166)</f>
        <v/>
      </c>
      <c r="H166" s="254">
        <f>SUM(UK:Germany!H166)</f>
        <v/>
      </c>
      <c r="I166" s="254">
        <f>SUM(UK:Germany!I166)</f>
        <v/>
      </c>
      <c r="J166" s="256">
        <f>SUM(E166:I166)</f>
        <v/>
      </c>
      <c r="K166" s="185" t="n"/>
      <c r="L166" s="256">
        <f>SUM(UK:Germany!L166)</f>
        <v/>
      </c>
      <c r="M166" s="254">
        <f>SUM(UK:Germany!M166)</f>
        <v/>
      </c>
      <c r="N166" s="249">
        <f>+J166+SUM(L166:M166)</f>
        <v/>
      </c>
    </row>
    <row r="167" ht="12.75" customHeight="1" s="150">
      <c r="C167" s="245" t="inlineStr">
        <is>
          <t>Finance &amp; Business Support</t>
        </is>
      </c>
      <c r="D167" s="254">
        <f>SUM(UK:Germany!D167)</f>
        <v/>
      </c>
      <c r="E167" s="254">
        <f>SUM(UK:Germany!E167)</f>
        <v/>
      </c>
      <c r="F167" s="254">
        <f>SUM(UK:Germany!F167)</f>
        <v/>
      </c>
      <c r="G167" s="254">
        <f>SUM(UK:Germany!G167)</f>
        <v/>
      </c>
      <c r="H167" s="254">
        <f>SUM(UK:Germany!H167)</f>
        <v/>
      </c>
      <c r="I167" s="254">
        <f>SUM(UK:Germany!I167)</f>
        <v/>
      </c>
      <c r="J167" s="256">
        <f>SUM(E167:I167)</f>
        <v/>
      </c>
      <c r="K167" s="185" t="n"/>
      <c r="L167" s="256">
        <f>SUM(UK:Germany!L167)</f>
        <v/>
      </c>
      <c r="M167" s="254">
        <f>SUM(UK:Germany!M167)</f>
        <v/>
      </c>
      <c r="N167" s="249">
        <f>+J167+SUM(L167:M167)</f>
        <v/>
      </c>
    </row>
    <row r="168" ht="12.75" customHeight="1" s="150">
      <c r="C168" s="245" t="inlineStr">
        <is>
          <t>HRN</t>
        </is>
      </c>
      <c r="D168" s="254">
        <f>SUM(UK:Germany!D168)</f>
        <v/>
      </c>
      <c r="E168" s="254">
        <f>SUM(UK:Germany!E168)</f>
        <v/>
      </c>
      <c r="F168" s="254">
        <f>SUM(UK:Germany!F168)</f>
        <v/>
      </c>
      <c r="G168" s="254">
        <f>SUM(UK:Germany!G168)</f>
        <v/>
      </c>
      <c r="H168" s="254">
        <f>SUM(UK:Germany!H168)</f>
        <v/>
      </c>
      <c r="I168" s="254">
        <f>SUM(UK:Germany!I168)</f>
        <v/>
      </c>
      <c r="J168" s="256">
        <f>SUM(E168:I168)</f>
        <v/>
      </c>
      <c r="K168" s="185" t="n"/>
      <c r="L168" s="256">
        <f>SUM(UK:Germany!L168)</f>
        <v/>
      </c>
      <c r="M168" s="254">
        <f>SUM(UK:Germany!M168)</f>
        <v/>
      </c>
      <c r="N168" s="249">
        <f>+J168+SUM(L168:M168)</f>
        <v/>
      </c>
    </row>
    <row r="169" ht="12.75" customHeight="1" s="150">
      <c r="C169" s="245" t="inlineStr">
        <is>
          <t>Facilities Management</t>
        </is>
      </c>
      <c r="D169" s="254">
        <f>SUM(UK:Germany!D169)</f>
        <v/>
      </c>
      <c r="E169" s="254">
        <f>SUM(UK:Germany!E169)</f>
        <v/>
      </c>
      <c r="F169" s="254">
        <f>SUM(UK:Germany!F169)</f>
        <v/>
      </c>
      <c r="G169" s="254">
        <f>SUM(UK:Germany!G169)</f>
        <v/>
      </c>
      <c r="H169" s="254">
        <f>SUM(UK:Germany!H169)</f>
        <v/>
      </c>
      <c r="I169" s="254">
        <f>SUM(UK:Germany!I169)</f>
        <v/>
      </c>
      <c r="J169" s="256">
        <f>SUM(E169:I169)</f>
        <v/>
      </c>
      <c r="K169" s="185" t="n"/>
      <c r="L169" s="256">
        <f>SUM(UK:Germany!L169)</f>
        <v/>
      </c>
      <c r="M169" s="254">
        <f>SUM(UK:Germany!M169)</f>
        <v/>
      </c>
      <c r="N169" s="249">
        <f>+J169+SUM(L169:M169)</f>
        <v/>
      </c>
    </row>
    <row r="170" ht="13.5" customHeight="1" s="150">
      <c r="C170" s="250" t="inlineStr">
        <is>
          <t>Overheads</t>
        </is>
      </c>
      <c r="D170" s="258">
        <f>SUM(D166:D169)</f>
        <v/>
      </c>
      <c r="E170" s="258">
        <f>SUM(E166:E169)</f>
        <v/>
      </c>
      <c r="F170" s="258">
        <f>SUM(F166:F169)</f>
        <v/>
      </c>
      <c r="G170" s="258">
        <f>SUM(G166:G169)</f>
        <v/>
      </c>
      <c r="H170" s="258">
        <f>SUM(H166:H169)</f>
        <v/>
      </c>
      <c r="I170" s="258">
        <f>SUM(I166:I169)</f>
        <v/>
      </c>
      <c r="J170" s="253">
        <f>SUM(J166:J169)</f>
        <v/>
      </c>
      <c r="K170" s="185" t="n"/>
      <c r="L170" s="253">
        <f>SUM(L166:L169)</f>
        <v/>
      </c>
      <c r="M170" s="258">
        <f>SUM(M166:M169)</f>
        <v/>
      </c>
      <c r="N170" s="253">
        <f>SUM(N166:N169)</f>
        <v/>
      </c>
    </row>
    <row r="171" ht="12.75" customHeight="1" s="150">
      <c r="C171" s="245" t="n"/>
      <c r="D171" s="254" t="n"/>
      <c r="E171" s="254" t="n"/>
      <c r="F171" s="254" t="n"/>
      <c r="G171" s="254" t="n"/>
      <c r="H171" s="254" t="n"/>
      <c r="I171" s="254" t="n"/>
      <c r="J171" s="260" t="n"/>
      <c r="K171" s="185" t="n"/>
      <c r="L171" s="256" t="n"/>
      <c r="M171" s="254" t="n"/>
      <c r="N171" s="260" t="n"/>
    </row>
    <row r="172" ht="13.5" customHeight="1" s="150">
      <c r="C172" s="250" t="inlineStr">
        <is>
          <t>Total Operating Costs (incl. O/H)</t>
        </is>
      </c>
      <c r="D172" s="258">
        <f>+D170+D164</f>
        <v/>
      </c>
      <c r="E172" s="258">
        <f>+E170+E164</f>
        <v/>
      </c>
      <c r="F172" s="258">
        <f>+F170+F164</f>
        <v/>
      </c>
      <c r="G172" s="258">
        <f>+G170+G164</f>
        <v/>
      </c>
      <c r="H172" s="258">
        <f>+H170+H164</f>
        <v/>
      </c>
      <c r="I172" s="258">
        <f>+I170+I164</f>
        <v/>
      </c>
      <c r="J172" s="253">
        <f>J164+J170</f>
        <v/>
      </c>
      <c r="K172" s="185" t="n"/>
      <c r="L172" s="253">
        <f>+L170+L164</f>
        <v/>
      </c>
      <c r="M172" s="258">
        <f>+M170+M164</f>
        <v/>
      </c>
      <c r="N172" s="253">
        <f>N164+N170</f>
        <v/>
      </c>
    </row>
    <row r="173"/>
    <row r="174" ht="13.5" customHeight="1" s="150"/>
    <row r="175" ht="26.25" customHeight="1" s="150">
      <c r="C175" s="261">
        <f>C1</f>
        <v/>
      </c>
      <c r="D175" s="241" t="inlineStr">
        <is>
          <t>BASE YEAR</t>
        </is>
      </c>
      <c r="E175" s="241" t="inlineStr">
        <is>
          <t>YEAR 1</t>
        </is>
      </c>
      <c r="F175" s="241" t="inlineStr">
        <is>
          <t>YEAR 2</t>
        </is>
      </c>
      <c r="G175" s="241" t="inlineStr">
        <is>
          <t>YEAR 3</t>
        </is>
      </c>
      <c r="H175" s="241" t="inlineStr">
        <is>
          <t>YEAR 4</t>
        </is>
      </c>
      <c r="I175" s="242" t="inlineStr">
        <is>
          <t>YEAR 5</t>
        </is>
      </c>
      <c r="J175" s="243" t="inlineStr">
        <is>
          <t>5 Year  Total</t>
        </is>
      </c>
      <c r="L175" s="241" t="inlineStr">
        <is>
          <t>5 YEAR + 1</t>
        </is>
      </c>
      <c r="M175" s="244" t="inlineStr">
        <is>
          <t>5 YEAR + 2</t>
        </is>
      </c>
      <c r="N175" s="241" t="inlineStr">
        <is>
          <t>7 Year  Total</t>
        </is>
      </c>
    </row>
    <row r="176" ht="12.75" customHeight="1" s="150">
      <c r="C176" s="261" t="inlineStr">
        <is>
          <t>FTE's</t>
        </is>
      </c>
      <c r="D176" s="262" t="n"/>
      <c r="E176" s="263" t="n"/>
      <c r="F176" s="263" t="n"/>
      <c r="G176" s="263" t="n"/>
      <c r="H176" s="263" t="n"/>
      <c r="I176" s="263" t="n"/>
      <c r="J176" s="264" t="n"/>
      <c r="L176" s="263" t="n"/>
      <c r="M176" s="263" t="n"/>
      <c r="N176" s="264" t="n"/>
    </row>
    <row r="177" ht="12.75" customHeight="1" s="150">
      <c r="C177" s="265" t="inlineStr">
        <is>
          <t>Supplier Assumed</t>
        </is>
      </c>
      <c r="D177" s="266">
        <f>D48</f>
        <v/>
      </c>
      <c r="E177" s="267">
        <f>E48</f>
        <v/>
      </c>
      <c r="F177" s="267">
        <f>F48</f>
        <v/>
      </c>
      <c r="G177" s="267">
        <f>G48</f>
        <v/>
      </c>
      <c r="H177" s="267">
        <f>H48</f>
        <v/>
      </c>
      <c r="I177" s="267">
        <f>I48</f>
        <v/>
      </c>
      <c r="J177" s="268" t="n"/>
      <c r="K177" s="269" t="n"/>
      <c r="L177" s="267">
        <f>L48</f>
        <v/>
      </c>
      <c r="M177" s="267">
        <f>M48</f>
        <v/>
      </c>
      <c r="N177" s="268" t="n"/>
    </row>
    <row r="178" ht="12.75" customHeight="1" s="150">
      <c r="C178" s="265" t="inlineStr">
        <is>
          <t>Pass Through</t>
        </is>
      </c>
      <c r="D178" s="266">
        <f>D92</f>
        <v/>
      </c>
      <c r="E178" s="267">
        <f>E92</f>
        <v/>
      </c>
      <c r="F178" s="267">
        <f>F92</f>
        <v/>
      </c>
      <c r="G178" s="267">
        <f>G92</f>
        <v/>
      </c>
      <c r="H178" s="267">
        <f>H92</f>
        <v/>
      </c>
      <c r="I178" s="267">
        <f>I92</f>
        <v/>
      </c>
      <c r="J178" s="268" t="n"/>
      <c r="K178" s="269" t="n"/>
      <c r="L178" s="267">
        <f>L92</f>
        <v/>
      </c>
      <c r="M178" s="267">
        <f>M92</f>
        <v/>
      </c>
      <c r="N178" s="268" t="n"/>
    </row>
    <row r="179" ht="13.5" customHeight="1" s="150">
      <c r="C179" s="265" t="inlineStr">
        <is>
          <t>Retained</t>
        </is>
      </c>
      <c r="D179" s="266">
        <f>D135</f>
        <v/>
      </c>
      <c r="E179" s="267">
        <f>E135</f>
        <v/>
      </c>
      <c r="F179" s="267">
        <f>F135</f>
        <v/>
      </c>
      <c r="G179" s="267">
        <f>G135</f>
        <v/>
      </c>
      <c r="H179" s="267">
        <f>H135</f>
        <v/>
      </c>
      <c r="I179" s="267">
        <f>I135</f>
        <v/>
      </c>
      <c r="J179" s="268" t="n"/>
      <c r="K179" s="269" t="n"/>
      <c r="L179" s="267">
        <f>L135</f>
        <v/>
      </c>
      <c r="M179" s="267">
        <f>M135</f>
        <v/>
      </c>
      <c r="N179" s="268" t="n"/>
    </row>
    <row r="180" ht="13.5" customHeight="1" s="150">
      <c r="C180" s="265" t="inlineStr">
        <is>
          <t>Total FTE's</t>
        </is>
      </c>
      <c r="D180" s="270">
        <f>SUM(D177:D179)</f>
        <v/>
      </c>
      <c r="E180" s="271">
        <f>SUM(E177:E179)</f>
        <v/>
      </c>
      <c r="F180" s="271">
        <f>SUM(F177:F179)</f>
        <v/>
      </c>
      <c r="G180" s="271">
        <f>SUM(G177:G179)</f>
        <v/>
      </c>
      <c r="H180" s="271">
        <f>SUM(H177:H179)</f>
        <v/>
      </c>
      <c r="I180" s="271">
        <f>SUM(I177:I179)</f>
        <v/>
      </c>
      <c r="J180" s="271">
        <f>I180</f>
        <v/>
      </c>
      <c r="K180" s="269" t="n"/>
      <c r="L180" s="271">
        <f>SUM(L177:L179)</f>
        <v/>
      </c>
      <c r="M180" s="271">
        <f>SUM(M177:M179)</f>
        <v/>
      </c>
      <c r="N180" s="271">
        <f>M180</f>
        <v/>
      </c>
    </row>
    <row r="181" ht="12.75" customHeight="1" s="150">
      <c r="D181" s="272" t="n"/>
      <c r="E181" s="273" t="n"/>
      <c r="F181" s="273" t="n"/>
      <c r="G181" s="273" t="n"/>
      <c r="H181" s="273" t="n"/>
      <c r="I181" s="273" t="n"/>
      <c r="J181" s="274" t="n"/>
      <c r="L181" s="273" t="n"/>
      <c r="M181" s="273" t="n"/>
      <c r="N181" s="273" t="n"/>
    </row>
    <row r="182" ht="12.75" customHeight="1" s="150">
      <c r="C182" s="261" t="inlineStr">
        <is>
          <t>Operating Costs (US$)</t>
        </is>
      </c>
      <c r="D182" s="272" t="n"/>
      <c r="E182" s="273" t="n"/>
      <c r="F182" s="273" t="n"/>
      <c r="G182" s="273" t="n"/>
      <c r="H182" s="273" t="n"/>
      <c r="I182" s="273" t="n"/>
      <c r="J182" s="274" t="n"/>
      <c r="L182" s="273" t="n"/>
      <c r="M182" s="273" t="n"/>
      <c r="N182" s="273" t="n"/>
    </row>
    <row r="183" ht="12.75" customHeight="1" s="150">
      <c r="C183" s="265" t="inlineStr">
        <is>
          <t>Supplier Assumed</t>
        </is>
      </c>
      <c r="D183" s="275">
        <f>D85</f>
        <v/>
      </c>
      <c r="E183" s="276">
        <f>E85</f>
        <v/>
      </c>
      <c r="F183" s="276">
        <f>F85</f>
        <v/>
      </c>
      <c r="G183" s="276">
        <f>G85</f>
        <v/>
      </c>
      <c r="H183" s="276">
        <f>H85</f>
        <v/>
      </c>
      <c r="I183" s="276">
        <f>I85</f>
        <v/>
      </c>
      <c r="J183" s="274">
        <f>SUM(E183:I183)</f>
        <v/>
      </c>
      <c r="L183" s="276">
        <f>L85</f>
        <v/>
      </c>
      <c r="M183" s="276">
        <f>M85</f>
        <v/>
      </c>
      <c r="N183" s="274">
        <f>SUM(J183:M183)</f>
        <v/>
      </c>
    </row>
    <row r="184" ht="12.75" customHeight="1" s="150">
      <c r="C184" s="265" t="inlineStr">
        <is>
          <t>Pass Through</t>
        </is>
      </c>
      <c r="D184" s="275">
        <f>D129</f>
        <v/>
      </c>
      <c r="E184" s="276">
        <f>E129</f>
        <v/>
      </c>
      <c r="F184" s="276">
        <f>F129</f>
        <v/>
      </c>
      <c r="G184" s="276">
        <f>G129</f>
        <v/>
      </c>
      <c r="H184" s="276">
        <f>H129</f>
        <v/>
      </c>
      <c r="I184" s="276">
        <f>I129</f>
        <v/>
      </c>
      <c r="J184" s="274">
        <f>SUM(E184:I184)</f>
        <v/>
      </c>
      <c r="L184" s="276">
        <f>L129</f>
        <v/>
      </c>
      <c r="M184" s="276">
        <f>M129</f>
        <v/>
      </c>
      <c r="N184" s="274">
        <f>SUM(J184:M184)</f>
        <v/>
      </c>
    </row>
    <row r="185" ht="13.5" customHeight="1" s="150">
      <c r="C185" s="265" t="inlineStr">
        <is>
          <t>Retained</t>
        </is>
      </c>
      <c r="D185" s="275">
        <f>D172</f>
        <v/>
      </c>
      <c r="E185" s="276">
        <f>E172</f>
        <v/>
      </c>
      <c r="F185" s="276">
        <f>F172</f>
        <v/>
      </c>
      <c r="G185" s="276">
        <f>G172</f>
        <v/>
      </c>
      <c r="H185" s="276">
        <f>H172</f>
        <v/>
      </c>
      <c r="I185" s="276">
        <f>I172</f>
        <v/>
      </c>
      <c r="J185" s="274">
        <f>SUM(E185:I185)</f>
        <v/>
      </c>
      <c r="L185" s="276">
        <f>L172</f>
        <v/>
      </c>
      <c r="M185" s="276">
        <f>M172</f>
        <v/>
      </c>
      <c r="N185" s="274">
        <f>SUM(J185:M185)</f>
        <v/>
      </c>
    </row>
    <row r="186" ht="13.5" customHeight="1" s="150">
      <c r="C186" s="265" t="inlineStr">
        <is>
          <t>Total Costs</t>
        </is>
      </c>
      <c r="D186" s="277">
        <f>SUM(D183:D185)</f>
        <v/>
      </c>
      <c r="E186" s="278">
        <f>SUM(E183:E185)</f>
        <v/>
      </c>
      <c r="F186" s="278">
        <f>SUM(F183:F185)</f>
        <v/>
      </c>
      <c r="G186" s="278">
        <f>SUM(G183:G185)</f>
        <v/>
      </c>
      <c r="H186" s="278">
        <f>SUM(H183:H185)</f>
        <v/>
      </c>
      <c r="I186" s="278">
        <f>SUM(I183:I185)</f>
        <v/>
      </c>
      <c r="J186" s="279">
        <f>SUM(J183:J185)</f>
        <v/>
      </c>
      <c r="L186" s="278">
        <f>SUM(L183:L185)</f>
        <v/>
      </c>
      <c r="M186" s="278">
        <f>SUM(M183:M185)</f>
        <v/>
      </c>
      <c r="N186" s="279">
        <f>SUM(N183:N185)</f>
        <v/>
      </c>
    </row>
    <row r="187"/>
    <row r="188" ht="12.75" customHeight="1" s="150">
      <c r="I188" s="280" t="inlineStr">
        <is>
          <t>Check 1</t>
        </is>
      </c>
      <c r="J188" s="281">
        <f>UK!J42+US!J42+France!J42+Spain!J42+Italy!J42+Zurich!J42+'Germany  Production'!J42+Germany!J42</f>
        <v/>
      </c>
      <c r="M188" s="280" t="inlineStr">
        <is>
          <t>Check 1</t>
        </is>
      </c>
      <c r="N188" s="281">
        <f>UK!N42+US!N42+France!N42+Spain!N42+Italy!N42+Zurich!N42+'Germany  Production'!N42+Germany!N42</f>
        <v/>
      </c>
    </row>
    <row r="189" ht="12.75" customHeight="1" s="150">
      <c r="D189" s="159" t="n"/>
      <c r="E189" s="159" t="n"/>
      <c r="F189" s="159" t="n"/>
      <c r="G189" s="159" t="n"/>
      <c r="H189" s="159" t="n"/>
      <c r="I189" s="282" t="inlineStr">
        <is>
          <t>Check 2</t>
        </is>
      </c>
      <c r="J189" s="283">
        <f>UK!J85+US!J85+France!J85+Spain!J85+Zurich!J85+'Germany  Production'!J85+Germany!J85+Italy!J85</f>
        <v/>
      </c>
      <c r="L189" s="159">
        <f>J189-J183</f>
        <v/>
      </c>
      <c r="M189" s="282" t="inlineStr">
        <is>
          <t>Check 2</t>
        </is>
      </c>
      <c r="N189" s="283">
        <f>UK!N85+US!N85+France!N85+Spain!N85+Zurich!N85+'Germany  Production'!N85+Germany!N85+Italy!N85</f>
        <v/>
      </c>
    </row>
    <row r="190" ht="12.75" customHeight="1" s="150">
      <c r="I190" s="282" t="inlineStr">
        <is>
          <t>Check 3</t>
        </is>
      </c>
      <c r="J190" s="283">
        <f>UK!J129+US!J129+France!J129+Spain!J129+Zurich!J129+'Germany  Production'!J129+Germany!J129+Italy!J129</f>
        <v/>
      </c>
      <c r="M190" s="282" t="inlineStr">
        <is>
          <t>Check 3</t>
        </is>
      </c>
      <c r="N190" s="283">
        <f>UK!N129+US!N129+France!N129+Spain!N129+Zurich!N129+'Germany  Production'!N129+Germany!N129+Italy!N129</f>
        <v/>
      </c>
    </row>
    <row r="191" ht="12.75" customHeight="1" s="150">
      <c r="D191" s="159" t="n"/>
      <c r="E191" s="159" t="n"/>
      <c r="F191" s="159" t="n"/>
      <c r="G191" s="159" t="n"/>
      <c r="H191" s="159" t="n"/>
      <c r="I191" s="284" t="inlineStr">
        <is>
          <t>Check 4</t>
        </is>
      </c>
      <c r="J191" s="285">
        <f>UK!J172+US!J172+France!J172+Spain!J172+Zurich!J172+'Germany  Production'!J172+Germany!J172+Italy!J172</f>
        <v/>
      </c>
      <c r="M191" s="284" t="inlineStr">
        <is>
          <t>Check 4</t>
        </is>
      </c>
      <c r="N191" s="285">
        <f>UK!N172+US!N172+France!N172+Spain!N172+Zurich!N172+'Germany  Production'!N172+Germany!N172+Italy!N172</f>
        <v/>
      </c>
    </row>
    <row r="192"/>
    <row r="193" ht="12.75" customHeight="1" s="150">
      <c r="N193" s="159" t="n"/>
    </row>
    <row r="194"/>
    <row r="195"/>
    <row r="196" ht="12.75" customHeight="1" s="150">
      <c r="D196" s="159" t="n"/>
      <c r="E196" s="159" t="n"/>
      <c r="F196" s="159" t="n"/>
      <c r="G196" s="159" t="n"/>
      <c r="H196" s="159" t="n"/>
      <c r="I196" s="159" t="n"/>
      <c r="J196" s="159">
        <f>J189-J183</f>
        <v/>
      </c>
    </row>
  </sheetData>
  <printOptions horizontalCentered="0" verticalCentered="0" headings="0" gridLines="0" gridLinesSet="1"/>
  <pageMargins left="0.747916666666667" right="0.747916666666667" top="0.9840277777777779" bottom="0.9840277777777779"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tabColor rgb="FF00FFFF"/>
    <outlinePr summaryBelow="1" summaryRight="1"/>
    <pageSetUpPr fitToPage="0"/>
  </sheetPr>
  <dimension ref="A1:Q172"/>
  <sheetViews>
    <sheetView showFormulas="0" showGridLines="1" showRowColHeaders="1" showZeros="1" rightToLeft="0" tabSelected="0" showOutlineSymbols="1" defaultGridColor="1" view="normal" topLeftCell="B1" colorId="64" zoomScale="100" zoomScaleNormal="100" zoomScalePageLayoutView="100" workbookViewId="0">
      <selection pane="topLeft" activeCell="G1" activeCellId="0" sqref="G1"/>
    </sheetView>
  </sheetViews>
  <sheetFormatPr baseColWidth="8" defaultColWidth="9.13671875" defaultRowHeight="12.75" customHeight="1" zeroHeight="0" outlineLevelRow="0"/>
  <cols>
    <col hidden="1" width="26.13" customWidth="1" style="158" min="1" max="1"/>
    <col width="6.28" customWidth="1" style="158" min="2" max="2"/>
    <col width="27.56" customWidth="1" style="149" min="3" max="3"/>
    <col width="11.99" customWidth="1" style="149" min="4" max="7"/>
    <col width="12.85" customWidth="1" style="149" min="8" max="8"/>
    <col width="14.41" customWidth="1" style="149" min="9" max="9"/>
    <col width="11.99" customWidth="1" style="159" min="10" max="10"/>
    <col width="3.28" customWidth="1" style="160" min="11" max="11"/>
    <col width="12.85" customWidth="1" style="149" min="12" max="12"/>
    <col width="14.41" customWidth="1" style="149" min="13" max="13"/>
    <col width="13.56" customWidth="1" style="149" min="14" max="14"/>
    <col width="9.140000000000001" customWidth="1" style="149" min="15" max="257"/>
  </cols>
  <sheetData>
    <row r="1" ht="33" customHeight="1" s="150">
      <c r="C1" s="161" t="inlineStr">
        <is>
          <t>United Kingdom</t>
        </is>
      </c>
    </row>
    <row r="2" ht="48.75" customHeight="1" s="150">
      <c r="C2" s="162" t="inlineStr">
        <is>
          <t>TOTAL COSTS 
(US$ excl. VAT)</t>
        </is>
      </c>
      <c r="D2" s="163" t="inlineStr">
        <is>
          <t>BASE YEAR</t>
        </is>
      </c>
      <c r="E2" s="163" t="inlineStr">
        <is>
          <t>YEAR 1</t>
        </is>
      </c>
      <c r="F2" s="163" t="inlineStr">
        <is>
          <t>YEAR 2</t>
        </is>
      </c>
      <c r="G2" s="163" t="inlineStr">
        <is>
          <t>YEAR 3</t>
        </is>
      </c>
      <c r="H2" s="163" t="inlineStr">
        <is>
          <t>YEAR 4</t>
        </is>
      </c>
      <c r="I2" s="163" t="inlineStr">
        <is>
          <t xml:space="preserve">YEAR 5 </t>
        </is>
      </c>
      <c r="J2" s="164" t="inlineStr">
        <is>
          <t>5 Year Total</t>
        </is>
      </c>
      <c r="K2" s="165" t="n"/>
      <c r="L2" s="163" t="inlineStr">
        <is>
          <t>5 YEAR + 1</t>
        </is>
      </c>
      <c r="M2" s="166" t="inlineStr">
        <is>
          <t>5 YEAR + 2</t>
        </is>
      </c>
      <c r="N2" s="163" t="inlineStr">
        <is>
          <t>7 Year Total</t>
        </is>
      </c>
    </row>
    <row r="3" ht="12.75" customHeight="1" s="150">
      <c r="A3" s="158" t="n"/>
      <c r="B3" s="158" t="n"/>
      <c r="C3" s="167" t="inlineStr">
        <is>
          <t>Internal FTE</t>
        </is>
      </c>
      <c r="D3" s="168">
        <f>[1]Consolidated!D3</f>
        <v/>
      </c>
      <c r="E3" s="168">
        <f>[1]Consolidated!E3</f>
        <v/>
      </c>
      <c r="F3" s="168">
        <f>[1]Consolidated!F3</f>
        <v/>
      </c>
      <c r="G3" s="168">
        <f>[1]Consolidated!G3</f>
        <v/>
      </c>
      <c r="H3" s="168">
        <f>[1]Consolidated!H3</f>
        <v/>
      </c>
      <c r="I3" s="168">
        <f>[1]Consolidated!I3</f>
        <v/>
      </c>
      <c r="J3" s="286" t="n"/>
      <c r="K3" s="171" t="n"/>
      <c r="L3" s="175">
        <f>[1]Consolidated!L3</f>
        <v/>
      </c>
      <c r="M3" s="168">
        <f>[1]Consolidated!M3</f>
        <v/>
      </c>
      <c r="N3" s="173">
        <f>[1]Consolidated!N3</f>
        <v/>
      </c>
    </row>
    <row r="4" ht="12.75" customHeight="1" s="150">
      <c r="A4" s="158" t="n"/>
      <c r="B4" s="158" t="n"/>
      <c r="C4" s="167" t="inlineStr">
        <is>
          <t>External FTE</t>
        </is>
      </c>
      <c r="D4" s="168">
        <f>[1]Consolidated!D4</f>
        <v/>
      </c>
      <c r="E4" s="168">
        <f>[1]Consolidated!E4</f>
        <v/>
      </c>
      <c r="F4" s="168">
        <f>[1]Consolidated!F4</f>
        <v/>
      </c>
      <c r="G4" s="168">
        <f>[1]Consolidated!G4</f>
        <v/>
      </c>
      <c r="H4" s="168">
        <f>[1]Consolidated!H4</f>
        <v/>
      </c>
      <c r="I4" s="174">
        <f>[1]Consolidated!I4</f>
        <v/>
      </c>
      <c r="J4" s="170" t="n"/>
      <c r="K4" s="171" t="n"/>
      <c r="L4" s="175">
        <f>[1]Consolidated!L4</f>
        <v/>
      </c>
      <c r="M4" s="168">
        <f>[1]Consolidated!M4</f>
        <v/>
      </c>
      <c r="N4" s="173">
        <f>[1]Consolidated!N4</f>
        <v/>
      </c>
    </row>
    <row r="5" ht="13.5" customHeight="1" s="150">
      <c r="A5" s="176" t="n"/>
      <c r="B5" s="176" t="n"/>
      <c r="C5" s="177" t="inlineStr">
        <is>
          <t>Total FTE</t>
        </is>
      </c>
      <c r="D5" s="178">
        <f>[1]Consolidated!D5</f>
        <v/>
      </c>
      <c r="E5" s="178">
        <f>[1]Consolidated!E5</f>
        <v/>
      </c>
      <c r="F5" s="178">
        <f>[1]Consolidated!F5</f>
        <v/>
      </c>
      <c r="G5" s="178">
        <f>[1]Consolidated!G5</f>
        <v/>
      </c>
      <c r="H5" s="178">
        <f>[1]Consolidated!H5</f>
        <v/>
      </c>
      <c r="I5" s="179">
        <f>[1]Consolidated!I5</f>
        <v/>
      </c>
      <c r="J5" s="179" t="n"/>
      <c r="K5" s="171" t="n"/>
      <c r="L5" s="180">
        <f>[1]Consolidated!L5</f>
        <v/>
      </c>
      <c r="M5" s="178">
        <f>[1]Consolidated!M5</f>
        <v/>
      </c>
      <c r="N5" s="181">
        <f>[1]Consolidated!N5</f>
        <v/>
      </c>
    </row>
    <row r="6" ht="12.75" customHeight="1" s="150">
      <c r="A6" s="158" t="n"/>
      <c r="B6" s="158" t="n"/>
      <c r="C6" s="167" t="n"/>
      <c r="D6" s="182" t="n"/>
      <c r="E6" s="182" t="n"/>
      <c r="F6" s="182" t="n"/>
      <c r="G6" s="182" t="n"/>
      <c r="H6" s="182" t="n"/>
      <c r="I6" s="183" t="n"/>
      <c r="J6" s="184" t="n"/>
      <c r="K6" s="185" t="n"/>
      <c r="L6" s="186" t="n"/>
      <c r="M6" s="182" t="n"/>
      <c r="N6" s="173" t="n"/>
    </row>
    <row r="7" ht="12.75" customHeight="1" s="150">
      <c r="A7" s="158" t="n"/>
      <c r="B7" s="158" t="n"/>
      <c r="C7" s="167" t="inlineStr">
        <is>
          <t>Salaries</t>
        </is>
      </c>
      <c r="D7" s="182">
        <f>(([1]Consolidated!D7)*1000)*(1/0.79941)</f>
        <v/>
      </c>
      <c r="E7" s="182">
        <f>(([1]Consolidated!E7)*1000)*(1/0.79941)</f>
        <v/>
      </c>
      <c r="F7" s="182">
        <f>(([1]Consolidated!F7)*1000)*(1/0.79941)</f>
        <v/>
      </c>
      <c r="G7" s="182">
        <f>(([1]Consolidated!G7)*1000)*(1/0.79941)</f>
        <v/>
      </c>
      <c r="H7" s="182">
        <f>(([1]Consolidated!H7)*1000)*(1/0.79941)</f>
        <v/>
      </c>
      <c r="I7" s="183">
        <f>(([1]Consolidated!I7)*1000)*(1/0.79941)</f>
        <v/>
      </c>
      <c r="J7" s="183">
        <f>(([1]Consolidated!J7)*1000)*(1/0.79941)</f>
        <v/>
      </c>
      <c r="K7" s="185" t="n"/>
      <c r="L7" s="186">
        <f>(([1]Consolidated!L7)*1000)*(1/0.79941)</f>
        <v/>
      </c>
      <c r="M7" s="182">
        <f>(([1]Consolidated!M7)*1000)*(1/0.79941)</f>
        <v/>
      </c>
      <c r="N7" s="173">
        <f>(([1]Consolidated!N7)*1000)*(1/0.79941)</f>
        <v/>
      </c>
      <c r="P7" s="149" t="n">
        <v>1000</v>
      </c>
    </row>
    <row r="8" ht="12.75" customHeight="1" s="150">
      <c r="A8" s="158" t="n"/>
      <c r="B8" s="158" t="n"/>
      <c r="C8" s="167" t="inlineStr">
        <is>
          <t>Bonuses</t>
        </is>
      </c>
      <c r="D8" s="182">
        <f>(([1]Consolidated!D8)*1000)*(1/0.79941)</f>
        <v/>
      </c>
      <c r="E8" s="182">
        <f>(([1]Consolidated!E8)*1000)*(1/0.79941)</f>
        <v/>
      </c>
      <c r="F8" s="182">
        <f>(([1]Consolidated!F8)*1000)*(1/0.79941)</f>
        <v/>
      </c>
      <c r="G8" s="182">
        <f>(([1]Consolidated!G8)*1000)*(1/0.79941)</f>
        <v/>
      </c>
      <c r="H8" s="182">
        <f>(([1]Consolidated!H8)*1000)*(1/0.79941)</f>
        <v/>
      </c>
      <c r="I8" s="183">
        <f>(([1]Consolidated!I8)*1000)*(1/0.79941)</f>
        <v/>
      </c>
      <c r="J8" s="183">
        <f>(([1]Consolidated!J8)*1000)*(1/0.79941)</f>
        <v/>
      </c>
      <c r="K8" s="185" t="n"/>
      <c r="L8" s="186">
        <f>(([1]Consolidated!L8)*1000)*(1/0.79941)</f>
        <v/>
      </c>
      <c r="M8" s="182">
        <f>(([1]Consolidated!M8)*1000)*(1/0.79941)</f>
        <v/>
      </c>
      <c r="N8" s="173">
        <f>(([1]Consolidated!N8)*1000)*(1/0.79941)</f>
        <v/>
      </c>
      <c r="P8" s="149">
        <f>1/0.79941</f>
        <v/>
      </c>
      <c r="Q8" s="149" t="inlineStr">
        <is>
          <t>Euro to dollar</t>
        </is>
      </c>
    </row>
    <row r="9" ht="12.75" customHeight="1" s="150">
      <c r="A9" s="158" t="n"/>
      <c r="B9" s="158" t="n"/>
      <c r="C9" s="167" t="inlineStr">
        <is>
          <t>Third party staff, ex IT</t>
        </is>
      </c>
      <c r="D9" s="182">
        <f>(([1]Consolidated!D9)*1000)*(1/0.79941)</f>
        <v/>
      </c>
      <c r="E9" s="182">
        <f>(([1]Consolidated!E9)*1000)*(1/0.79941)</f>
        <v/>
      </c>
      <c r="F9" s="182">
        <f>(([1]Consolidated!F9)*1000)*(1/0.79941)</f>
        <v/>
      </c>
      <c r="G9" s="182">
        <f>(([1]Consolidated!G9)*1000)*(1/0.79941)</f>
        <v/>
      </c>
      <c r="H9" s="182">
        <f>(([1]Consolidated!H9)*1000)*(1/0.79941)</f>
        <v/>
      </c>
      <c r="I9" s="183">
        <f>(([1]Consolidated!I9)*1000)*(1/0.79941)</f>
        <v/>
      </c>
      <c r="J9" s="183">
        <f>(([1]Consolidated!J9)*1000)*(1/0.79941)</f>
        <v/>
      </c>
      <c r="K9" s="185" t="n"/>
      <c r="L9" s="186">
        <f>(([1]Consolidated!L9)*1000)*(1/0.79941)</f>
        <v/>
      </c>
      <c r="M9" s="182">
        <f>(([1]Consolidated!M9)*1000)*(1/0.79941)</f>
        <v/>
      </c>
      <c r="N9" s="173">
        <f>(([1]Consolidated!N9)*1000)*(1/0.79941)</f>
        <v/>
      </c>
    </row>
    <row r="10" ht="12.75" customHeight="1" s="150">
      <c r="A10" s="158" t="n"/>
      <c r="B10" s="158" t="n"/>
      <c r="C10" s="167" t="inlineStr">
        <is>
          <t>Third party IT staff</t>
        </is>
      </c>
      <c r="D10" s="182">
        <f>(([1]Consolidated!D10)*1000)*(1/0.79941)</f>
        <v/>
      </c>
      <c r="E10" s="182">
        <f>(([1]Consolidated!E10)*1000)*(1/0.79941)</f>
        <v/>
      </c>
      <c r="F10" s="182">
        <f>(([1]Consolidated!F10)*1000)*(1/0.79941)</f>
        <v/>
      </c>
      <c r="G10" s="182">
        <f>(([1]Consolidated!G10)*1000)*(1/0.79941)</f>
        <v/>
      </c>
      <c r="H10" s="182">
        <f>(([1]Consolidated!H10)*1000)*(1/0.79941)</f>
        <v/>
      </c>
      <c r="I10" s="183">
        <f>(([1]Consolidated!I10)*1000)*(1/0.79941)</f>
        <v/>
      </c>
      <c r="J10" s="183">
        <f>(([1]Consolidated!J10)*1000)*(1/0.79941)</f>
        <v/>
      </c>
      <c r="K10" s="185" t="n"/>
      <c r="L10" s="186">
        <f>(([1]Consolidated!L10)*1000)*(1/0.79941)</f>
        <v/>
      </c>
      <c r="M10" s="182">
        <f>(([1]Consolidated!M10)*1000)*(1/0.79941)</f>
        <v/>
      </c>
      <c r="N10" s="173">
        <f>(([1]Consolidated!N10)*1000)*(1/0.79941)</f>
        <v/>
      </c>
    </row>
    <row r="11" ht="12.75" customHeight="1" s="150">
      <c r="A11" s="158" t="n"/>
      <c r="B11" s="158" t="n"/>
      <c r="C11" s="167" t="inlineStr">
        <is>
          <t>Employee education</t>
        </is>
      </c>
      <c r="D11" s="182">
        <f>(([1]Consolidated!D11)*1000)*(1/0.79941)</f>
        <v/>
      </c>
      <c r="E11" s="182">
        <f>(([1]Consolidated!E11)*1000)*(1/0.79941)</f>
        <v/>
      </c>
      <c r="F11" s="182">
        <f>(([1]Consolidated!F11)*1000)*(1/0.79941)</f>
        <v/>
      </c>
      <c r="G11" s="182">
        <f>(([1]Consolidated!G11)*1000)*(1/0.79941)</f>
        <v/>
      </c>
      <c r="H11" s="182">
        <f>(([1]Consolidated!H11)*1000)*(1/0.79941)</f>
        <v/>
      </c>
      <c r="I11" s="183">
        <f>(([1]Consolidated!I11)*1000)*(1/0.79941)</f>
        <v/>
      </c>
      <c r="J11" s="183">
        <f>(([1]Consolidated!J11)*1000)*(1/0.79941)</f>
        <v/>
      </c>
      <c r="K11" s="185" t="n"/>
      <c r="L11" s="186">
        <f>(([1]Consolidated!L11)*1000)*(1/0.79941)</f>
        <v/>
      </c>
      <c r="M11" s="182">
        <f>(([1]Consolidated!M11)*1000)*(1/0.79941)</f>
        <v/>
      </c>
      <c r="N11" s="173">
        <f>(([1]Consolidated!N11)*1000)*(1/0.79941)</f>
        <v/>
      </c>
    </row>
    <row r="12" ht="12.75" customHeight="1" s="150">
      <c r="A12" s="158" t="n"/>
      <c r="B12" s="158" t="n"/>
      <c r="C12" s="167" t="inlineStr">
        <is>
          <t>Other staff expenses</t>
        </is>
      </c>
      <c r="D12" s="182">
        <f>(([1]Consolidated!D12)*1000)*(1/0.79941)</f>
        <v/>
      </c>
      <c r="E12" s="182">
        <f>(([1]Consolidated!E12)*1000)*(1/0.79941)</f>
        <v/>
      </c>
      <c r="F12" s="182">
        <f>(([1]Consolidated!F12)*1000)*(1/0.79941)</f>
        <v/>
      </c>
      <c r="G12" s="182">
        <f>(([1]Consolidated!G12)*1000)*(1/0.79941)</f>
        <v/>
      </c>
      <c r="H12" s="182">
        <f>(([1]Consolidated!H12)*1000)*(1/0.79941)</f>
        <v/>
      </c>
      <c r="I12" s="187">
        <f>(([1]Consolidated!I12)*1000)*(1/0.79941)</f>
        <v/>
      </c>
      <c r="J12" s="187">
        <f>(([1]Consolidated!J12)*1000)*(1/0.79941)</f>
        <v/>
      </c>
      <c r="K12" s="185" t="n"/>
      <c r="L12" s="186">
        <f>(([1]Consolidated!L12)*1000)*(1/0.79941)</f>
        <v/>
      </c>
      <c r="M12" s="182">
        <f>(([1]Consolidated!M12)*1000)*(1/0.79941)</f>
        <v/>
      </c>
      <c r="N12" s="173">
        <f>(([1]Consolidated!N12)*1000)*(1/0.79941)</f>
        <v/>
      </c>
    </row>
    <row r="13" ht="13.5" customHeight="1" s="150">
      <c r="A13" s="176" t="n"/>
      <c r="B13" s="176" t="n"/>
      <c r="C13" s="177" t="inlineStr">
        <is>
          <t>Staff expenses</t>
        </is>
      </c>
      <c r="D13" s="188">
        <f>(([1]Consolidated!D13)*1000)*(1/0.79941)</f>
        <v/>
      </c>
      <c r="E13" s="188">
        <f>(([1]Consolidated!E13)*1000)*(1/0.79941)</f>
        <v/>
      </c>
      <c r="F13" s="188">
        <f>(([1]Consolidated!F13)*1000)*(1/0.79941)</f>
        <v/>
      </c>
      <c r="G13" s="188">
        <f>(([1]Consolidated!G13)*1000)*(1/0.79941)</f>
        <v/>
      </c>
      <c r="H13" s="188">
        <f>(([1]Consolidated!H13)*1000)*(1/0.79941)</f>
        <v/>
      </c>
      <c r="I13" s="189">
        <f>(([1]Consolidated!I13)*1000)*(1/0.79941)</f>
        <v/>
      </c>
      <c r="J13" s="189">
        <f>(([1]Consolidated!J13)*1000)*(1/0.79941)</f>
        <v/>
      </c>
      <c r="K13" s="185" t="n"/>
      <c r="L13" s="181">
        <f>(([1]Consolidated!L13)*1000)*(1/0.79941)</f>
        <v/>
      </c>
      <c r="M13" s="188">
        <f>(([1]Consolidated!M13)*1000)*(1/0.79941)</f>
        <v/>
      </c>
      <c r="N13" s="181">
        <f>(([1]Consolidated!N13)*1000)*(1/0.79941)</f>
        <v/>
      </c>
    </row>
    <row r="14" ht="12.75" customHeight="1" s="150">
      <c r="A14" s="158" t="n"/>
      <c r="B14" s="158" t="n"/>
      <c r="C14" s="167" t="inlineStr">
        <is>
          <t>Hardware expenses</t>
        </is>
      </c>
      <c r="D14" s="182">
        <f>(([1]Consolidated!D14)*1000)*(1/0.79941)</f>
        <v/>
      </c>
      <c r="E14" s="182">
        <f>(([1]Consolidated!E14)*1000)*(1/0.79941)</f>
        <v/>
      </c>
      <c r="F14" s="182">
        <f>(([1]Consolidated!F14)*1000)*(1/0.79941)</f>
        <v/>
      </c>
      <c r="G14" s="182">
        <f>(([1]Consolidated!G14)*1000)*(1/0.79941)</f>
        <v/>
      </c>
      <c r="H14" s="182">
        <f>(([1]Consolidated!H14)*1000)*(1/0.79941)</f>
        <v/>
      </c>
      <c r="I14" s="183">
        <f>(([1]Consolidated!I14)*1000)*(1/0.79941)</f>
        <v/>
      </c>
      <c r="J14" s="183">
        <f>(([1]Consolidated!J14)*1000)*(1/0.79941)</f>
        <v/>
      </c>
      <c r="K14" s="185" t="n"/>
      <c r="L14" s="186">
        <f>(([1]Consolidated!L14)*1000)*(1/0.79941)</f>
        <v/>
      </c>
      <c r="M14" s="182">
        <f>(([1]Consolidated!M14)*1000)*(1/0.79941)</f>
        <v/>
      </c>
      <c r="N14" s="173">
        <f>(([1]Consolidated!N14)*1000)*(1/0.79941)</f>
        <v/>
      </c>
    </row>
    <row r="15" ht="12.75" customHeight="1" s="150">
      <c r="A15" s="158" t="n"/>
      <c r="B15" s="158" t="n"/>
      <c r="C15" s="167" t="inlineStr">
        <is>
          <t>Leasing/renting hardware</t>
        </is>
      </c>
      <c r="D15" s="182">
        <f>(([1]Consolidated!D15)*1000)*(1/0.79941)</f>
        <v/>
      </c>
      <c r="E15" s="182">
        <f>(([1]Consolidated!E15)*1000)*(1/0.79941)</f>
        <v/>
      </c>
      <c r="F15" s="182">
        <f>(([1]Consolidated!F15)*1000)*(1/0.79941)</f>
        <v/>
      </c>
      <c r="G15" s="182">
        <f>(([1]Consolidated!G15)*1000)*(1/0.79941)</f>
        <v/>
      </c>
      <c r="H15" s="182">
        <f>(([1]Consolidated!H15)*1000)*(1/0.79941)</f>
        <v/>
      </c>
      <c r="I15" s="183">
        <f>(([1]Consolidated!I15)*1000)*(1/0.79941)</f>
        <v/>
      </c>
      <c r="J15" s="183">
        <f>(([1]Consolidated!J15)*1000)*(1/0.79941)</f>
        <v/>
      </c>
      <c r="K15" s="185" t="n"/>
      <c r="L15" s="186">
        <f>(([1]Consolidated!L15)*1000)*(1/0.79941)</f>
        <v/>
      </c>
      <c r="M15" s="182">
        <f>(([1]Consolidated!M15)*1000)*(1/0.79941)</f>
        <v/>
      </c>
      <c r="N15" s="173">
        <f>(([1]Consolidated!N15)*1000)*(1/0.79941)</f>
        <v/>
      </c>
    </row>
    <row r="16" ht="12.75" customHeight="1" s="150">
      <c r="A16" s="158" t="n"/>
      <c r="B16" s="158" t="n"/>
      <c r="C16" s="167" t="inlineStr">
        <is>
          <t>Software expenses</t>
        </is>
      </c>
      <c r="D16" s="182">
        <f>(([1]Consolidated!D16)*1000)*(1/0.79941)</f>
        <v/>
      </c>
      <c r="E16" s="182">
        <f>(([1]Consolidated!E16)*1000)*(1/0.79941)</f>
        <v/>
      </c>
      <c r="F16" s="182">
        <f>(([1]Consolidated!F16)*1000)*(1/0.79941)</f>
        <v/>
      </c>
      <c r="G16" s="182">
        <f>(([1]Consolidated!G16)*1000)*(1/0.79941)</f>
        <v/>
      </c>
      <c r="H16" s="182">
        <f>(([1]Consolidated!H16)*1000)*(1/0.79941)</f>
        <v/>
      </c>
      <c r="I16" s="183">
        <f>(([1]Consolidated!I16)*1000)*(1/0.79941)</f>
        <v/>
      </c>
      <c r="J16" s="183">
        <f>(([1]Consolidated!J16)*1000)*(1/0.79941)</f>
        <v/>
      </c>
      <c r="K16" s="185" t="n"/>
      <c r="L16" s="186">
        <f>(([1]Consolidated!L16)*1000)*(1/0.79941)</f>
        <v/>
      </c>
      <c r="M16" s="182">
        <f>(([1]Consolidated!M16)*1000)*(1/0.79941)</f>
        <v/>
      </c>
      <c r="N16" s="173">
        <f>(([1]Consolidated!N16)*1000)*(1/0.79941)</f>
        <v/>
      </c>
    </row>
    <row r="17" ht="12.75" customHeight="1" s="150">
      <c r="A17" s="158" t="n"/>
      <c r="B17" s="158" t="n"/>
      <c r="C17" s="167" t="inlineStr">
        <is>
          <t>Leasing/renting/licenses sw</t>
        </is>
      </c>
      <c r="D17" s="182">
        <f>(([1]Consolidated!D17)*1000)*(1/0.79941)</f>
        <v/>
      </c>
      <c r="E17" s="182">
        <f>(([1]Consolidated!E17)*1000)*(1/0.79941)</f>
        <v/>
      </c>
      <c r="F17" s="182">
        <f>(([1]Consolidated!F17)*1000)*(1/0.79941)</f>
        <v/>
      </c>
      <c r="G17" s="182">
        <f>(([1]Consolidated!G17)*1000)*(1/0.79941)</f>
        <v/>
      </c>
      <c r="H17" s="182">
        <f>(([1]Consolidated!H17)*1000)*(1/0.79941)</f>
        <v/>
      </c>
      <c r="I17" s="183">
        <f>(([1]Consolidated!I17)*1000)*(1/0.79941)</f>
        <v/>
      </c>
      <c r="J17" s="183">
        <f>(([1]Consolidated!J17)*1000)*(1/0.79941)</f>
        <v/>
      </c>
      <c r="K17" s="185" t="n"/>
      <c r="L17" s="186">
        <f>(([1]Consolidated!L17)*1000)*(1/0.79941)</f>
        <v/>
      </c>
      <c r="M17" s="182">
        <f>(([1]Consolidated!M17)*1000)*(1/0.79941)</f>
        <v/>
      </c>
      <c r="N17" s="173">
        <f>(([1]Consolidated!N17)*1000)*(1/0.79941)</f>
        <v/>
      </c>
    </row>
    <row r="18" ht="12.75" customHeight="1" s="150">
      <c r="A18" s="158" t="n"/>
      <c r="B18" s="158" t="n"/>
      <c r="C18" s="167" t="inlineStr">
        <is>
          <t>Depreciation hardware</t>
        </is>
      </c>
      <c r="D18" s="182">
        <f>(([1]Consolidated!D18)*1000)*(1/0.79941)</f>
        <v/>
      </c>
      <c r="E18" s="182">
        <f>(([1]Consolidated!E18)*1000)*(1/0.79941)</f>
        <v/>
      </c>
      <c r="F18" s="182">
        <f>(([1]Consolidated!F18)*1000)*(1/0.79941)</f>
        <v/>
      </c>
      <c r="G18" s="182">
        <f>(([1]Consolidated!G18)*1000)*(1/0.79941)</f>
        <v/>
      </c>
      <c r="H18" s="182">
        <f>(([1]Consolidated!H18)*1000)*(1/0.79941)</f>
        <v/>
      </c>
      <c r="I18" s="183">
        <f>(([1]Consolidated!I18)*1000)*(1/0.79941)</f>
        <v/>
      </c>
      <c r="J18" s="183">
        <f>(([1]Consolidated!J18)*1000)*(1/0.79941)</f>
        <v/>
      </c>
      <c r="K18" s="185" t="n"/>
      <c r="L18" s="186">
        <f>(([1]Consolidated!L18)*1000)*(1/0.79941)</f>
        <v/>
      </c>
      <c r="M18" s="182">
        <f>(([1]Consolidated!M18)*1000)*(1/0.79941)</f>
        <v/>
      </c>
      <c r="N18" s="173">
        <f>(([1]Consolidated!N18)*1000)*(1/0.79941)</f>
        <v/>
      </c>
    </row>
    <row r="19" ht="12.75" customHeight="1" s="150">
      <c r="A19" s="158" t="n"/>
      <c r="B19" s="158" t="n"/>
      <c r="C19" s="167" t="inlineStr">
        <is>
          <t>Depreciation software</t>
        </is>
      </c>
      <c r="D19" s="182">
        <f>(([1]Consolidated!D19)*1000)*(1/0.79941)</f>
        <v/>
      </c>
      <c r="E19" s="182">
        <f>(([1]Consolidated!E19)*1000)*(1/0.79941)</f>
        <v/>
      </c>
      <c r="F19" s="182">
        <f>(([1]Consolidated!F19)*1000)*(1/0.79941)</f>
        <v/>
      </c>
      <c r="G19" s="182">
        <f>(([1]Consolidated!G19)*1000)*(1/0.79941)</f>
        <v/>
      </c>
      <c r="H19" s="182">
        <f>(([1]Consolidated!H19)*1000)*(1/0.79941)</f>
        <v/>
      </c>
      <c r="I19" s="183">
        <f>(([1]Consolidated!I19)*1000)*(1/0.79941)</f>
        <v/>
      </c>
      <c r="J19" s="183">
        <f>(([1]Consolidated!J19)*1000)*(1/0.79941)</f>
        <v/>
      </c>
      <c r="K19" s="185" t="n"/>
      <c r="L19" s="186">
        <f>(([1]Consolidated!L19)*1000)*(1/0.79941)</f>
        <v/>
      </c>
      <c r="M19" s="182">
        <f>(([1]Consolidated!M19)*1000)*(1/0.79941)</f>
        <v/>
      </c>
      <c r="N19" s="173">
        <f>(([1]Consolidated!N19)*1000)*(1/0.79941)</f>
        <v/>
      </c>
    </row>
    <row r="20" ht="12.75" customHeight="1" s="150">
      <c r="A20" s="158" t="n"/>
      <c r="B20" s="158" t="n"/>
      <c r="C20" s="167" t="inlineStr">
        <is>
          <t>Outsourcing IT activities</t>
        </is>
      </c>
      <c r="D20" s="182">
        <f>(([1]Consolidated!D20)*1000)*(1/0.79941)</f>
        <v/>
      </c>
      <c r="E20" s="182">
        <f>(([1]Consolidated!E20)*1000)*(1/0.79941)</f>
        <v/>
      </c>
      <c r="F20" s="182">
        <f>(([1]Consolidated!F20)*1000)*(1/0.79941)</f>
        <v/>
      </c>
      <c r="G20" s="182">
        <f>(([1]Consolidated!G20)*1000)*(1/0.79941)</f>
        <v/>
      </c>
      <c r="H20" s="182">
        <f>(([1]Consolidated!H20)*1000)*(1/0.79941)</f>
        <v/>
      </c>
      <c r="I20" s="183">
        <f>(([1]Consolidated!I20)*1000)*(1/0.79941)</f>
        <v/>
      </c>
      <c r="J20" s="183">
        <f>(([1]Consolidated!J20)*1000)*(1/0.79941)</f>
        <v/>
      </c>
      <c r="K20" s="185" t="n"/>
      <c r="L20" s="186">
        <f>(([1]Consolidated!L20)*1000)*(1/0.79941)</f>
        <v/>
      </c>
      <c r="M20" s="182">
        <f>(([1]Consolidated!M20)*1000)*(1/0.79941)</f>
        <v/>
      </c>
      <c r="N20" s="173">
        <f>(([1]Consolidated!N20)*1000)*(1/0.79941)</f>
        <v/>
      </c>
    </row>
    <row r="21" ht="12.75" customHeight="1" s="150">
      <c r="A21" s="158" t="n"/>
      <c r="B21" s="158" t="n"/>
      <c r="C21" s="167" t="inlineStr">
        <is>
          <t>Other IT expenses</t>
        </is>
      </c>
      <c r="D21" s="182">
        <f>(([1]Consolidated!D21)*1000)*(1/0.79941)</f>
        <v/>
      </c>
      <c r="E21" s="182">
        <f>(([1]Consolidated!E21)*1000)*(1/0.79941)</f>
        <v/>
      </c>
      <c r="F21" s="182">
        <f>(([1]Consolidated!F21)*1000)*(1/0.79941)</f>
        <v/>
      </c>
      <c r="G21" s="182">
        <f>(([1]Consolidated!G21)*1000)*(1/0.79941)</f>
        <v/>
      </c>
      <c r="H21" s="182">
        <f>(([1]Consolidated!H21)*1000)*(1/0.79941)</f>
        <v/>
      </c>
      <c r="I21" s="183">
        <f>(([1]Consolidated!I21)*1000)*(1/0.79941)</f>
        <v/>
      </c>
      <c r="J21" s="183">
        <f>(([1]Consolidated!J21)*1000)*(1/0.79941)</f>
        <v/>
      </c>
      <c r="K21" s="185" t="n"/>
      <c r="L21" s="186">
        <f>(([1]Consolidated!L21)*1000)*(1/0.79941)</f>
        <v/>
      </c>
      <c r="M21" s="182">
        <f>(([1]Consolidated!M21)*1000)*(1/0.79941)</f>
        <v/>
      </c>
      <c r="N21" s="173">
        <f>(([1]Consolidated!N21)*1000)*(1/0.79941)</f>
        <v/>
      </c>
    </row>
    <row r="22" ht="13.5" customHeight="1" s="150">
      <c r="A22" s="176" t="n"/>
      <c r="B22" s="176" t="n"/>
      <c r="C22" s="177" t="inlineStr">
        <is>
          <t>EDP expenses</t>
        </is>
      </c>
      <c r="D22" s="188">
        <f>(([1]Consolidated!D22)*1000)*(1/0.79941)</f>
        <v/>
      </c>
      <c r="E22" s="188">
        <f>(([1]Consolidated!E22)*1000)*(1/0.79941)</f>
        <v/>
      </c>
      <c r="F22" s="188">
        <f>(([1]Consolidated!F22)*1000)*(1/0.79941)</f>
        <v/>
      </c>
      <c r="G22" s="188">
        <f>(([1]Consolidated!G22)*1000)*(1/0.79941)</f>
        <v/>
      </c>
      <c r="H22" s="188">
        <f>(([1]Consolidated!H22)*1000)*(1/0.79941)</f>
        <v/>
      </c>
      <c r="I22" s="189">
        <f>(([1]Consolidated!I22)*1000)*(1/0.79941)</f>
        <v/>
      </c>
      <c r="J22" s="189">
        <f>(([1]Consolidated!J22)*1000)*(1/0.79941)</f>
        <v/>
      </c>
      <c r="K22" s="185" t="n"/>
      <c r="L22" s="181">
        <f>(([1]Consolidated!L22)*1000)*(1/0.79941)</f>
        <v/>
      </c>
      <c r="M22" s="188">
        <f>(([1]Consolidated!M22)*1000)*(1/0.79941)</f>
        <v/>
      </c>
      <c r="N22" s="181">
        <f>(([1]Consolidated!N22)*1000)*(1/0.79941)</f>
        <v/>
      </c>
    </row>
    <row r="23" ht="12.75" customHeight="1" s="150">
      <c r="A23" s="158" t="n"/>
      <c r="B23" s="158" t="n"/>
      <c r="C23" s="167" t="inlineStr">
        <is>
          <t>Telecom expenses</t>
        </is>
      </c>
      <c r="D23" s="182">
        <f>(([1]Consolidated!D23)*1000)*(1/0.79941)</f>
        <v/>
      </c>
      <c r="E23" s="182">
        <f>(([1]Consolidated!E23)*1000)*(1/0.79941)</f>
        <v/>
      </c>
      <c r="F23" s="182">
        <f>(([1]Consolidated!F23)*1000)*(1/0.79941)</f>
        <v/>
      </c>
      <c r="G23" s="182">
        <f>(([1]Consolidated!G23)*1000)*(1/0.79941)</f>
        <v/>
      </c>
      <c r="H23" s="182">
        <f>(([1]Consolidated!H23)*1000)*(1/0.79941)</f>
        <v/>
      </c>
      <c r="I23" s="183">
        <f>(([1]Consolidated!I23)*1000)*(1/0.79941)</f>
        <v/>
      </c>
      <c r="J23" s="183">
        <f>(([1]Consolidated!J23)*1000)*(1/0.79941)</f>
        <v/>
      </c>
      <c r="K23" s="185" t="n"/>
      <c r="L23" s="186">
        <f>(([1]Consolidated!L23)*1000)*(1/0.79941)</f>
        <v/>
      </c>
      <c r="M23" s="182">
        <f>(([1]Consolidated!M23)*1000)*(1/0.79941)</f>
        <v/>
      </c>
      <c r="N23" s="173">
        <f>(([1]Consolidated!N23)*1000)*(1/0.79941)</f>
        <v/>
      </c>
    </row>
    <row r="24" ht="12.75" customHeight="1" s="150">
      <c r="A24" s="158" t="n"/>
      <c r="B24" s="158" t="n"/>
      <c r="C24" s="167" t="inlineStr">
        <is>
          <t>Office equipment and supplies</t>
        </is>
      </c>
      <c r="D24" s="182">
        <f>(([1]Consolidated!D24)*1000)*(1/0.79941)</f>
        <v/>
      </c>
      <c r="E24" s="182">
        <f>(([1]Consolidated!E24)*1000)*(1/0.79941)</f>
        <v/>
      </c>
      <c r="F24" s="182">
        <f>(([1]Consolidated!F24)*1000)*(1/0.79941)</f>
        <v/>
      </c>
      <c r="G24" s="182">
        <f>(([1]Consolidated!G24)*1000)*(1/0.79941)</f>
        <v/>
      </c>
      <c r="H24" s="182">
        <f>(([1]Consolidated!H24)*1000)*(1/0.79941)</f>
        <v/>
      </c>
      <c r="I24" s="183">
        <f>(([1]Consolidated!I24)*1000)*(1/0.79941)</f>
        <v/>
      </c>
      <c r="J24" s="183">
        <f>(([1]Consolidated!J24)*1000)*(1/0.79941)</f>
        <v/>
      </c>
      <c r="K24" s="185" t="n"/>
      <c r="L24" s="186">
        <f>(([1]Consolidated!L24)*1000)*(1/0.79941)</f>
        <v/>
      </c>
      <c r="M24" s="182">
        <f>(([1]Consolidated!M24)*1000)*(1/0.79941)</f>
        <v/>
      </c>
      <c r="N24" s="173">
        <f>(([1]Consolidated!N24)*1000)*(1/0.79941)</f>
        <v/>
      </c>
    </row>
    <row r="25" ht="12.75" customHeight="1" s="150">
      <c r="A25" s="158" t="n"/>
      <c r="B25" s="158" t="n"/>
      <c r="C25" s="167" t="inlineStr">
        <is>
          <t>Accomodation expenses</t>
        </is>
      </c>
      <c r="D25" s="182">
        <f>(([1]Consolidated!D25)*1000)*(1/0.79941)</f>
        <v/>
      </c>
      <c r="E25" s="182">
        <f>(([1]Consolidated!E25)*1000)*(1/0.79941)</f>
        <v/>
      </c>
      <c r="F25" s="182">
        <f>(([1]Consolidated!F25)*1000)*(1/0.79941)</f>
        <v/>
      </c>
      <c r="G25" s="182">
        <f>(([1]Consolidated!G25)*1000)*(1/0.79941)</f>
        <v/>
      </c>
      <c r="H25" s="182">
        <f>(([1]Consolidated!H25)*1000)*(1/0.79941)</f>
        <v/>
      </c>
      <c r="I25" s="183">
        <f>(([1]Consolidated!I25)*1000)*(1/0.79941)</f>
        <v/>
      </c>
      <c r="J25" s="183">
        <f>(([1]Consolidated!J25)*1000)*(1/0.79941)</f>
        <v/>
      </c>
      <c r="K25" s="185" t="n"/>
      <c r="L25" s="186">
        <f>(([1]Consolidated!L25)*1000)*(1/0.79941)</f>
        <v/>
      </c>
      <c r="M25" s="182">
        <f>(([1]Consolidated!M25)*1000)*(1/0.79941)</f>
        <v/>
      </c>
      <c r="N25" s="173">
        <f>(([1]Consolidated!N25)*1000)*(1/0.79941)</f>
        <v/>
      </c>
    </row>
    <row r="26" ht="12.75" customHeight="1" s="150">
      <c r="A26" s="158" t="n"/>
      <c r="B26" s="158" t="n"/>
      <c r="C26" s="167" t="inlineStr">
        <is>
          <t>Travel costs</t>
        </is>
      </c>
      <c r="D26" s="182">
        <f>(([1]Consolidated!D26)*1000)*(1/0.79941)</f>
        <v/>
      </c>
      <c r="E26" s="182">
        <f>(([1]Consolidated!E26)*1000)*(1/0.79941)</f>
        <v/>
      </c>
      <c r="F26" s="182">
        <f>(([1]Consolidated!F26)*1000)*(1/0.79941)</f>
        <v/>
      </c>
      <c r="G26" s="182">
        <f>(([1]Consolidated!G26)*1000)*(1/0.79941)</f>
        <v/>
      </c>
      <c r="H26" s="182">
        <f>(([1]Consolidated!H26)*1000)*(1/0.79941)</f>
        <v/>
      </c>
      <c r="I26" s="183">
        <f>(([1]Consolidated!I26)*1000)*(1/0.79941)</f>
        <v/>
      </c>
      <c r="J26" s="183">
        <f>(([1]Consolidated!J26)*1000)*(1/0.79941)</f>
        <v/>
      </c>
      <c r="K26" s="185" t="n"/>
      <c r="L26" s="186">
        <f>(([1]Consolidated!L26)*1000)*(1/0.79941)</f>
        <v/>
      </c>
      <c r="M26" s="182">
        <f>(([1]Consolidated!M26)*1000)*(1/0.79941)</f>
        <v/>
      </c>
      <c r="N26" s="173">
        <f>(([1]Consolidated!N26)*1000)*(1/0.79941)</f>
        <v/>
      </c>
    </row>
    <row r="27" ht="12.75" customHeight="1" s="150">
      <c r="A27" s="158" t="n"/>
      <c r="B27" s="158" t="n"/>
      <c r="C27" s="167" t="inlineStr">
        <is>
          <t>Postal and freight charges</t>
        </is>
      </c>
      <c r="D27" s="182">
        <f>(([1]Consolidated!D27)*1000)*(1/0.79941)</f>
        <v/>
      </c>
      <c r="E27" s="182">
        <f>(([1]Consolidated!E27)*1000)*(1/0.79941)</f>
        <v/>
      </c>
      <c r="F27" s="182">
        <f>(([1]Consolidated!F27)*1000)*(1/0.79941)</f>
        <v/>
      </c>
      <c r="G27" s="182">
        <f>(([1]Consolidated!G27)*1000)*(1/0.79941)</f>
        <v/>
      </c>
      <c r="H27" s="182">
        <f>(([1]Consolidated!H27)*1000)*(1/0.79941)</f>
        <v/>
      </c>
      <c r="I27" s="183">
        <f>(([1]Consolidated!I27)*1000)*(1/0.79941)</f>
        <v/>
      </c>
      <c r="J27" s="183">
        <f>(([1]Consolidated!J27)*1000)*(1/0.79941)</f>
        <v/>
      </c>
      <c r="K27" s="185" t="n"/>
      <c r="L27" s="186">
        <f>(([1]Consolidated!L27)*1000)*(1/0.79941)</f>
        <v/>
      </c>
      <c r="M27" s="182">
        <f>(([1]Consolidated!M27)*1000)*(1/0.79941)</f>
        <v/>
      </c>
      <c r="N27" s="173">
        <f>(([1]Consolidated!N27)*1000)*(1/0.79941)</f>
        <v/>
      </c>
    </row>
    <row r="28" ht="12.75" customHeight="1" s="150">
      <c r="A28" s="158" t="n"/>
      <c r="B28" s="158" t="n"/>
      <c r="C28" s="167" t="inlineStr">
        <is>
          <t>Prof serv and ext advisory fee</t>
        </is>
      </c>
      <c r="D28" s="182">
        <f>(([1]Consolidated!D28)*1000)*(1/0.79941)</f>
        <v/>
      </c>
      <c r="E28" s="182">
        <f>(([1]Consolidated!E28)*1000)*(1/0.79941)</f>
        <v/>
      </c>
      <c r="F28" s="182">
        <f>(([1]Consolidated!F28)*1000)*(1/0.79941)</f>
        <v/>
      </c>
      <c r="G28" s="182">
        <f>(([1]Consolidated!G28)*1000)*(1/0.79941)</f>
        <v/>
      </c>
      <c r="H28" s="182">
        <f>(([1]Consolidated!H28)*1000)*(1/0.79941)</f>
        <v/>
      </c>
      <c r="I28" s="183">
        <f>(([1]Consolidated!I28)*1000)*(1/0.79941)</f>
        <v/>
      </c>
      <c r="J28" s="183">
        <f>(([1]Consolidated!J28)*1000)*(1/0.79941)</f>
        <v/>
      </c>
      <c r="K28" s="185" t="n"/>
      <c r="L28" s="186">
        <f>(([1]Consolidated!L28)*1000)*(1/0.79941)</f>
        <v/>
      </c>
      <c r="M28" s="182">
        <f>(([1]Consolidated!M28)*1000)*(1/0.79941)</f>
        <v/>
      </c>
      <c r="N28" s="173">
        <f>(([1]Consolidated!N28)*1000)*(1/0.79941)</f>
        <v/>
      </c>
    </row>
    <row r="29" ht="12.75" customHeight="1" s="150">
      <c r="A29" s="158" t="n"/>
      <c r="B29" s="158" t="n"/>
      <c r="C29" s="167" t="inlineStr">
        <is>
          <t>Payment transfer expenses</t>
        </is>
      </c>
      <c r="D29" s="182">
        <f>(([1]Consolidated!D29)*1000)*(1/0.79941)</f>
        <v/>
      </c>
      <c r="E29" s="182">
        <f>(([1]Consolidated!E29)*1000)*(1/0.79941)</f>
        <v/>
      </c>
      <c r="F29" s="182">
        <f>(([1]Consolidated!F29)*1000)*(1/0.79941)</f>
        <v/>
      </c>
      <c r="G29" s="182">
        <f>(([1]Consolidated!G29)*1000)*(1/0.79941)</f>
        <v/>
      </c>
      <c r="H29" s="182">
        <f>(([1]Consolidated!H29)*1000)*(1/0.79941)</f>
        <v/>
      </c>
      <c r="I29" s="183">
        <f>(([1]Consolidated!I29)*1000)*(1/0.79941)</f>
        <v/>
      </c>
      <c r="J29" s="183">
        <f>(([1]Consolidated!J29)*1000)*(1/0.79941)</f>
        <v/>
      </c>
      <c r="K29" s="185" t="n"/>
      <c r="L29" s="186">
        <f>(([1]Consolidated!L29)*1000)*(1/0.79941)</f>
        <v/>
      </c>
      <c r="M29" s="182">
        <f>(([1]Consolidated!M29)*1000)*(1/0.79941)</f>
        <v/>
      </c>
      <c r="N29" s="173">
        <f>(([1]Consolidated!N29)*1000)*(1/0.79941)</f>
        <v/>
      </c>
    </row>
    <row r="30" ht="12.75" customHeight="1" s="150">
      <c r="A30" s="158" t="n"/>
      <c r="B30" s="158" t="n"/>
      <c r="C30" s="167" t="inlineStr">
        <is>
          <t>Other costs</t>
        </is>
      </c>
      <c r="D30" s="182">
        <f>(([1]Consolidated!D30)*1000)*(1/0.79941)</f>
        <v/>
      </c>
      <c r="E30" s="182">
        <f>(([1]Consolidated!E30)*1000)*(1/0.79941)</f>
        <v/>
      </c>
      <c r="F30" s="182">
        <f>(([1]Consolidated!F30)*1000)*(1/0.79941)</f>
        <v/>
      </c>
      <c r="G30" s="182">
        <f>(([1]Consolidated!G30)*1000)*(1/0.79941)</f>
        <v/>
      </c>
      <c r="H30" s="182">
        <f>(([1]Consolidated!H30)*1000)*(1/0.79941)</f>
        <v/>
      </c>
      <c r="I30" s="183">
        <f>(([1]Consolidated!I30)*1000)*(1/0.79941)</f>
        <v/>
      </c>
      <c r="J30" s="183">
        <f>(([1]Consolidated!J30)*1000)*(1/0.79941)</f>
        <v/>
      </c>
      <c r="K30" s="185" t="n"/>
      <c r="L30" s="186">
        <f>(([1]Consolidated!L30)*1000)*(1/0.79941)</f>
        <v/>
      </c>
      <c r="M30" s="182">
        <f>(([1]Consolidated!M30)*1000)*(1/0.79941)</f>
        <v/>
      </c>
      <c r="N30" s="173">
        <f>(([1]Consolidated!N30)*1000)*(1/0.79941)</f>
        <v/>
      </c>
    </row>
    <row r="31" ht="13.5" customHeight="1" s="150">
      <c r="A31" s="176" t="n"/>
      <c r="B31" s="176" t="n"/>
      <c r="C31" s="177" t="inlineStr">
        <is>
          <t>General expenses</t>
        </is>
      </c>
      <c r="D31" s="188">
        <f>(([1]Consolidated!D31)*1000)*(1/0.79941)</f>
        <v/>
      </c>
      <c r="E31" s="188">
        <f>(([1]Consolidated!E31)*1000)*(1/0.79941)</f>
        <v/>
      </c>
      <c r="F31" s="188">
        <f>(([1]Consolidated!F31)*1000)*(1/0.79941)</f>
        <v/>
      </c>
      <c r="G31" s="188">
        <f>(([1]Consolidated!G31)*1000)*(1/0.79941)</f>
        <v/>
      </c>
      <c r="H31" s="188">
        <f>(([1]Consolidated!H31)*1000)*(1/0.79941)</f>
        <v/>
      </c>
      <c r="I31" s="189">
        <f>(([1]Consolidated!I31)*1000)*(1/0.79941)</f>
        <v/>
      </c>
      <c r="J31" s="189">
        <f>(([1]Consolidated!J31)*1000)*(1/0.79941)</f>
        <v/>
      </c>
      <c r="K31" s="185" t="n"/>
      <c r="L31" s="181">
        <f>(([1]Consolidated!L31)*1000)*(1/0.79941)</f>
        <v/>
      </c>
      <c r="M31" s="188">
        <f>(([1]Consolidated!M31)*1000)*(1/0.79941)</f>
        <v/>
      </c>
      <c r="N31" s="181">
        <f>(([1]Consolidated!N31)*1000)*(1/0.79941)</f>
        <v/>
      </c>
    </row>
    <row r="32" ht="12.75" customHeight="1" s="150">
      <c r="A32" s="158" t="n"/>
      <c r="B32" s="158" t="n"/>
      <c r="C32" s="167" t="inlineStr">
        <is>
          <t>Own expenses</t>
        </is>
      </c>
      <c r="D32" s="182">
        <f>(([1]Consolidated!D32)*1000)*(1/0.79941)</f>
        <v/>
      </c>
      <c r="E32" s="182">
        <f>(([1]Consolidated!E32)*1000)*(1/0.79941)</f>
        <v/>
      </c>
      <c r="F32" s="182">
        <f>(([1]Consolidated!F32)*1000)*(1/0.79941)</f>
        <v/>
      </c>
      <c r="G32" s="182">
        <f>(([1]Consolidated!G32)*1000)*(1/0.79941)</f>
        <v/>
      </c>
      <c r="H32" s="182">
        <f>(([1]Consolidated!H32)*1000)*(1/0.79941)</f>
        <v/>
      </c>
      <c r="I32" s="183">
        <f>(([1]Consolidated!I32)*1000)*(1/0.79941)</f>
        <v/>
      </c>
      <c r="J32" s="183">
        <f>(([1]Consolidated!J32)*1000)*(1/0.79941)</f>
        <v/>
      </c>
      <c r="K32" s="185" t="n"/>
      <c r="L32" s="186">
        <f>(([1]Consolidated!L32)*1000)*(1/0.79941)</f>
        <v/>
      </c>
      <c r="M32" s="182">
        <f>(([1]Consolidated!M32)*1000)*(1/0.79941)</f>
        <v/>
      </c>
      <c r="N32" s="190">
        <f>(([1]Consolidated!N32)*1000)*(1/0.79941)</f>
        <v/>
      </c>
    </row>
    <row r="33" ht="12.75" customHeight="1" s="150">
      <c r="A33" s="158" t="n"/>
      <c r="B33" s="158" t="n"/>
      <c r="C33" s="167" t="inlineStr">
        <is>
          <t>Other expenses</t>
        </is>
      </c>
      <c r="D33" s="182">
        <f>(([1]Consolidated!D33)*1000)*(1/0.79941)</f>
        <v/>
      </c>
      <c r="E33" s="182">
        <f>(([1]Consolidated!E33)*1000)*(1/0.79941)</f>
        <v/>
      </c>
      <c r="F33" s="182">
        <f>(([1]Consolidated!F33)*1000)*(1/0.79941)</f>
        <v/>
      </c>
      <c r="G33" s="182">
        <f>(([1]Consolidated!G33)*1000)*(1/0.79941)</f>
        <v/>
      </c>
      <c r="H33" s="182">
        <f>(([1]Consolidated!H33)*1000)*(1/0.79941)</f>
        <v/>
      </c>
      <c r="I33" s="183">
        <f>(([1]Consolidated!I33)*1000)*(1/0.79941)</f>
        <v/>
      </c>
      <c r="J33" s="183">
        <f>(([1]Consolidated!J33)*1000)*(1/0.79941)</f>
        <v/>
      </c>
      <c r="K33" s="185" t="n"/>
      <c r="L33" s="186">
        <f>(([1]Consolidated!L33)*1000)*(1/0.79941)</f>
        <v/>
      </c>
      <c r="M33" s="182">
        <f>(([1]Consolidated!M33)*1000)*(1/0.79941)</f>
        <v/>
      </c>
      <c r="N33" s="173">
        <f>(([1]Consolidated!N33)*1000)*(1/0.79941)</f>
        <v/>
      </c>
    </row>
    <row r="34" ht="13.5" customHeight="1" s="150">
      <c r="A34" s="176" t="n"/>
      <c r="B34" s="176" t="n"/>
      <c r="C34" s="177" t="inlineStr">
        <is>
          <t>Operating expenses</t>
        </is>
      </c>
      <c r="D34" s="188">
        <f>(([1]Consolidated!D34)*1000)*(1/0.79941)</f>
        <v/>
      </c>
      <c r="E34" s="188">
        <f>(([1]Consolidated!E34)*1000)*(1/0.79941)</f>
        <v/>
      </c>
      <c r="F34" s="188">
        <f>(([1]Consolidated!F34)*1000)*(1/0.79941)</f>
        <v/>
      </c>
      <c r="G34" s="188">
        <f>(([1]Consolidated!G34)*1000)*(1/0.79941)</f>
        <v/>
      </c>
      <c r="H34" s="188">
        <f>(([1]Consolidated!H34)*1000)*(1/0.79941)</f>
        <v/>
      </c>
      <c r="I34" s="189">
        <f>(([1]Consolidated!I34)*1000)*(1/0.79941)</f>
        <v/>
      </c>
      <c r="J34" s="189">
        <f>(([1]Consolidated!J34)*1000)*(1/0.79941)</f>
        <v/>
      </c>
      <c r="K34" s="185" t="n"/>
      <c r="L34" s="181">
        <f>(([1]Consolidated!L34)*1000)*(1/0.79941)</f>
        <v/>
      </c>
      <c r="M34" s="188">
        <f>(([1]Consolidated!M34)*1000)*(1/0.79941)</f>
        <v/>
      </c>
      <c r="N34" s="181">
        <f>(([1]Consolidated!N34)*1000)*(1/0.79941)</f>
        <v/>
      </c>
    </row>
    <row r="35" ht="12.75" customHeight="1" s="150">
      <c r="A35" s="158" t="n"/>
      <c r="B35" s="158" t="n"/>
      <c r="C35" s="167" t="n"/>
      <c r="D35" s="182">
        <f>0*(1/0.79941)</f>
        <v/>
      </c>
      <c r="E35" s="182">
        <f>0*(1/0.79941)</f>
        <v/>
      </c>
      <c r="F35" s="182">
        <f>0*(1/0.79941)</f>
        <v/>
      </c>
      <c r="G35" s="182">
        <f>0*(1/0.79941)</f>
        <v/>
      </c>
      <c r="H35" s="182">
        <f>0*(1/0.79941)</f>
        <v/>
      </c>
      <c r="I35" s="183">
        <f>0*(1/0.79941)</f>
        <v/>
      </c>
      <c r="J35" s="191">
        <f>0*(1/0.79941)</f>
        <v/>
      </c>
      <c r="K35" s="185" t="n"/>
      <c r="L35" s="186">
        <f>0*(1/0.79941)</f>
        <v/>
      </c>
      <c r="M35" s="182">
        <f>0*(1/0.79941)</f>
        <v/>
      </c>
      <c r="N35" s="192">
        <f>0*(1/0.79941)</f>
        <v/>
      </c>
    </row>
    <row r="36" ht="12.75" customHeight="1" s="150">
      <c r="A36" s="158" t="n"/>
      <c r="B36" s="158" t="n"/>
      <c r="C36" s="167" t="inlineStr">
        <is>
          <t>HR &amp; Comms</t>
        </is>
      </c>
      <c r="D36" s="182">
        <f>(([1]Consolidated!D36)*1000)*(1/0.79941)</f>
        <v/>
      </c>
      <c r="E36" s="182">
        <f>(([1]Consolidated!E36)*1000)*(1/0.79941)</f>
        <v/>
      </c>
      <c r="F36" s="182">
        <f>(([1]Consolidated!F36)*1000)*(1/0.79941)</f>
        <v/>
      </c>
      <c r="G36" s="182">
        <f>(([1]Consolidated!G36)*1000)*(1/0.79941)</f>
        <v/>
      </c>
      <c r="H36" s="182">
        <f>(([1]Consolidated!H36)*1000)*(1/0.79941)</f>
        <v/>
      </c>
      <c r="I36" s="183">
        <f>(([1]Consolidated!I36)*1000)*(1/0.79941)</f>
        <v/>
      </c>
      <c r="J36" s="183">
        <f>(([1]Consolidated!J36)*1000)*(1/0.79941)</f>
        <v/>
      </c>
      <c r="K36" s="185" t="n"/>
      <c r="L36" s="186">
        <f>(([1]Consolidated!L36)*1000)*(1/0.79941)</f>
        <v/>
      </c>
      <c r="M36" s="182">
        <f>(([1]Consolidated!M36)*1000)*(1/0.79941)</f>
        <v/>
      </c>
      <c r="N36" s="173">
        <f>(([1]Consolidated!N36)*1000)*(1/0.79941)</f>
        <v/>
      </c>
    </row>
    <row r="37" ht="12.75" customHeight="1" s="150">
      <c r="A37" s="158" t="n"/>
      <c r="B37" s="158" t="n"/>
      <c r="C37" s="167" t="inlineStr">
        <is>
          <t>Finance &amp; Business Support</t>
        </is>
      </c>
      <c r="D37" s="182">
        <f>(([1]Consolidated!D37)*1000)*(1/0.79941)</f>
        <v/>
      </c>
      <c r="E37" s="182">
        <f>(([1]Consolidated!E37)*1000)*(1/0.79941)</f>
        <v/>
      </c>
      <c r="F37" s="182">
        <f>(([1]Consolidated!F37)*1000)*(1/0.79941)</f>
        <v/>
      </c>
      <c r="G37" s="182">
        <f>(([1]Consolidated!G37)*1000)*(1/0.79941)</f>
        <v/>
      </c>
      <c r="H37" s="182">
        <f>(([1]Consolidated!H37)*1000)*(1/0.79941)</f>
        <v/>
      </c>
      <c r="I37" s="183">
        <f>(([1]Consolidated!I37)*1000)*(1/0.79941)</f>
        <v/>
      </c>
      <c r="J37" s="183">
        <f>(([1]Consolidated!J37)*1000)*(1/0.79941)</f>
        <v/>
      </c>
      <c r="K37" s="185" t="n"/>
      <c r="L37" s="186">
        <f>(([1]Consolidated!L37)*1000)*(1/0.79941)</f>
        <v/>
      </c>
      <c r="M37" s="182">
        <f>(([1]Consolidated!M37)*1000)*(1/0.79941)</f>
        <v/>
      </c>
      <c r="N37" s="173">
        <f>(([1]Consolidated!N37)*1000)*(1/0.79941)</f>
        <v/>
      </c>
    </row>
    <row r="38" ht="12.75" customHeight="1" s="150">
      <c r="A38" s="158" t="n"/>
      <c r="B38" s="158" t="n"/>
      <c r="C38" s="167" t="inlineStr">
        <is>
          <t>IT alloc</t>
        </is>
      </c>
      <c r="D38" s="182">
        <f>(([1]Consolidated!D38)*1000)*(1/0.79941)</f>
        <v/>
      </c>
      <c r="E38" s="182">
        <f>(([1]Consolidated!E38)*1000)*(1/0.79941)</f>
        <v/>
      </c>
      <c r="F38" s="182">
        <f>(([1]Consolidated!F38)*1000)*(1/0.79941)</f>
        <v/>
      </c>
      <c r="G38" s="182">
        <f>(([1]Consolidated!G38)*1000)*(1/0.79941)</f>
        <v/>
      </c>
      <c r="H38" s="182">
        <f>(([1]Consolidated!H38)*1000)*(1/0.79941)</f>
        <v/>
      </c>
      <c r="I38" s="183">
        <f>(([1]Consolidated!I38)*1000)*(1/0.79941)</f>
        <v/>
      </c>
      <c r="J38" s="183">
        <f>(([1]Consolidated!J38)*1000)*(1/0.79941)</f>
        <v/>
      </c>
      <c r="K38" s="185" t="n"/>
      <c r="L38" s="186">
        <f>(([1]Consolidated!L38)*1000)*(1/0.79941)</f>
        <v/>
      </c>
      <c r="M38" s="182">
        <f>(([1]Consolidated!M38)*1000)*(1/0.79941)</f>
        <v/>
      </c>
      <c r="N38" s="173">
        <f>(([1]Consolidated!N38)*1000)*(1/0.79941)</f>
        <v/>
      </c>
    </row>
    <row r="39" ht="12.75" customHeight="1" s="150">
      <c r="A39" s="158" t="n"/>
      <c r="B39" s="158" t="n"/>
      <c r="C39" s="167" t="inlineStr">
        <is>
          <t>Facilities Management</t>
        </is>
      </c>
      <c r="D39" s="182">
        <f>(([1]Consolidated!D39)*1000)*(1/0.79941)</f>
        <v/>
      </c>
      <c r="E39" s="182">
        <f>(([1]Consolidated!E39)*1000)*(1/0.79941)</f>
        <v/>
      </c>
      <c r="F39" s="182">
        <f>(([1]Consolidated!F39)*1000)*(1/0.79941)</f>
        <v/>
      </c>
      <c r="G39" s="182">
        <f>(([1]Consolidated!G39)*1000)*(1/0.79941)</f>
        <v/>
      </c>
      <c r="H39" s="182">
        <f>(([1]Consolidated!H39)*1000)*(1/0.79941)</f>
        <v/>
      </c>
      <c r="I39" s="183">
        <f>(([1]Consolidated!I39)*1000)*(1/0.79941)</f>
        <v/>
      </c>
      <c r="J39" s="183">
        <f>(([1]Consolidated!J39)*1000)*(1/0.79941)</f>
        <v/>
      </c>
      <c r="K39" s="185" t="n"/>
      <c r="L39" s="186">
        <f>(([1]Consolidated!L39)*1000)*(1/0.79941)</f>
        <v/>
      </c>
      <c r="M39" s="182">
        <f>(([1]Consolidated!M39)*1000)*(1/0.79941)</f>
        <v/>
      </c>
      <c r="N39" s="173">
        <f>(([1]Consolidated!N39)*1000)*(1/0.79941)</f>
        <v/>
      </c>
    </row>
    <row r="40" ht="13.5" customHeight="1" s="150">
      <c r="A40" s="176" t="n"/>
      <c r="B40" s="176" t="n"/>
      <c r="C40" s="177" t="inlineStr">
        <is>
          <t>Overheads</t>
        </is>
      </c>
      <c r="D40" s="188">
        <f>(([1]Consolidated!D40)*1000)*(1/0.79941)</f>
        <v/>
      </c>
      <c r="E40" s="188">
        <f>(([1]Consolidated!E40)*1000)*(1/0.79941)</f>
        <v/>
      </c>
      <c r="F40" s="188">
        <f>(([1]Consolidated!F40)*1000)*(1/0.79941)</f>
        <v/>
      </c>
      <c r="G40" s="188">
        <f>(([1]Consolidated!G40)*1000)*(1/0.79941)</f>
        <v/>
      </c>
      <c r="H40" s="188">
        <f>(([1]Consolidated!H40)*1000)*(1/0.79941)</f>
        <v/>
      </c>
      <c r="I40" s="189">
        <f>(([1]Consolidated!I40)*1000)*(1/0.79941)</f>
        <v/>
      </c>
      <c r="J40" s="189">
        <f>(([1]Consolidated!J40)*1000)*(1/0.79941)</f>
        <v/>
      </c>
      <c r="K40" s="185" t="n"/>
      <c r="L40" s="181">
        <f>(([1]Consolidated!L40)*1000)*(1/0.79941)</f>
        <v/>
      </c>
      <c r="M40" s="188">
        <f>(([1]Consolidated!M40)*1000)*(1/0.79941)</f>
        <v/>
      </c>
      <c r="N40" s="181">
        <f>(([1]Consolidated!N40)*1000)*(1/0.79941)</f>
        <v/>
      </c>
    </row>
    <row r="41" ht="12.75" customHeight="1" s="150">
      <c r="A41" s="158" t="n"/>
      <c r="B41" s="158" t="n"/>
      <c r="C41" s="167" t="n">
        <v>0</v>
      </c>
      <c r="D41" s="182">
        <f>(([1]Consolidated!D41)*1000)*(1/0.79941)</f>
        <v/>
      </c>
      <c r="E41" s="182">
        <f>(([1]Consolidated!E41)*1000)*(1/0.79941)</f>
        <v/>
      </c>
      <c r="F41" s="182">
        <f>(([1]Consolidated!F41)*1000)*(1/0.79941)</f>
        <v/>
      </c>
      <c r="G41" s="182">
        <f>(([1]Consolidated!G41)*1000)*(1/0.79941)</f>
        <v/>
      </c>
      <c r="H41" s="182">
        <f>(([1]Consolidated!H41)*1000)*(1/0.79941)</f>
        <v/>
      </c>
      <c r="I41" s="183">
        <f>(([1]Consolidated!I41)*1000)*(1/0.79941)</f>
        <v/>
      </c>
      <c r="J41" s="191">
        <f>(([1]Consolidated!J41)*1000)*(1/0.79941)</f>
        <v/>
      </c>
      <c r="K41" s="185" t="n"/>
      <c r="L41" s="186">
        <f>(([1]Consolidated!L41)*1000)*(1/0.79941)</f>
        <v/>
      </c>
      <c r="M41" s="182">
        <f>(([1]Consolidated!M41)*1000)*(1/0.79941)</f>
        <v/>
      </c>
      <c r="N41" s="192">
        <f>(([1]Consolidated!N41)*1000)*(1/0.79941)</f>
        <v/>
      </c>
    </row>
    <row r="42" ht="13.5" customHeight="1" s="150">
      <c r="A42" s="176" t="n"/>
      <c r="B42" s="176" t="n"/>
      <c r="C42" s="177" t="inlineStr">
        <is>
          <t>Total Operating Costs (incl. O/H)</t>
        </is>
      </c>
      <c r="D42" s="188">
        <f>(([1]Consolidated!D42)*1000)*(1/0.79941)</f>
        <v/>
      </c>
      <c r="E42" s="188">
        <f>(([1]Consolidated!E42)*1000)*(1/0.79941)</f>
        <v/>
      </c>
      <c r="F42" s="188">
        <f>(([1]Consolidated!F42)*1000)*(1/0.79941)</f>
        <v/>
      </c>
      <c r="G42" s="188">
        <f>(([1]Consolidated!G42)*1000)*(1/0.79941)</f>
        <v/>
      </c>
      <c r="H42" s="188">
        <f>(([1]Consolidated!H42)*1000)*(1/0.79941)</f>
        <v/>
      </c>
      <c r="I42" s="189">
        <f>(([1]Consolidated!I42)*1000)*(1/0.79941)</f>
        <v/>
      </c>
      <c r="J42" s="189">
        <f>(([1]Consolidated!J42)*1000)*(1/0.79941)</f>
        <v/>
      </c>
      <c r="K42" s="185" t="n"/>
      <c r="L42" s="181">
        <f>(([1]Consolidated!L42)*1000)*(1/0.79941)</f>
        <v/>
      </c>
      <c r="M42" s="188">
        <f>(([1]Consolidated!M42)*1000)*(1/0.79941)</f>
        <v/>
      </c>
      <c r="N42" s="181">
        <f>(([1]Consolidated!N42)*1000)*(1/0.79941)</f>
        <v/>
      </c>
      <c r="O42" s="193" t="n"/>
    </row>
    <row r="43" ht="12.75" customHeight="1" s="150">
      <c r="J43" s="195" t="n"/>
      <c r="N43" s="196" t="n"/>
    </row>
    <row r="44" ht="13.5" customHeight="1" s="150"/>
    <row r="45" ht="54.75" customHeight="1" s="150">
      <c r="C45" s="197" t="inlineStr">
        <is>
          <t>SUPPLIER ASSUMED COSTS 
(US$  excl. VAT)</t>
        </is>
      </c>
      <c r="D45" s="198">
        <f>[1]Consolidated!D45</f>
        <v/>
      </c>
      <c r="E45" s="198">
        <f>[1]Consolidated!E45</f>
        <v/>
      </c>
      <c r="F45" s="198">
        <f>[1]Consolidated!F45</f>
        <v/>
      </c>
      <c r="G45" s="198">
        <f>[1]Consolidated!G45</f>
        <v/>
      </c>
      <c r="H45" s="198">
        <f>[1]Consolidated!H45</f>
        <v/>
      </c>
      <c r="I45" s="199">
        <f>[1]Consolidated!I45</f>
        <v/>
      </c>
      <c r="J45" s="200">
        <f>[1]Consolidated!J45</f>
        <v/>
      </c>
      <c r="K45" s="165" t="n"/>
      <c r="L45" s="198">
        <f>[1]Consolidated!L45</f>
        <v/>
      </c>
      <c r="M45" s="201">
        <f>[1]Consolidated!M45</f>
        <v/>
      </c>
      <c r="N45" s="198">
        <f>[1]Consolidated!N45</f>
        <v/>
      </c>
    </row>
    <row r="46" ht="12.75" customHeight="1" s="150">
      <c r="B46" s="287" t="n"/>
      <c r="C46" s="202" t="inlineStr">
        <is>
          <t>Internal FTE</t>
        </is>
      </c>
      <c r="D46" s="203">
        <f>[1]Consolidated!D46</f>
        <v/>
      </c>
      <c r="E46" s="203">
        <f>[1]Consolidated!E46</f>
        <v/>
      </c>
      <c r="F46" s="203">
        <f>[1]Consolidated!F46</f>
        <v/>
      </c>
      <c r="G46" s="203">
        <f>[1]Consolidated!G46</f>
        <v/>
      </c>
      <c r="H46" s="203">
        <f>[1]Consolidated!H46</f>
        <v/>
      </c>
      <c r="I46" s="203">
        <f>[1]Consolidated!I46</f>
        <v/>
      </c>
      <c r="J46" s="288" t="n"/>
      <c r="K46" s="185" t="n"/>
      <c r="L46" s="213">
        <f>[1]Consolidated!L46</f>
        <v/>
      </c>
      <c r="M46" s="211">
        <f>[1]Consolidated!M46</f>
        <v/>
      </c>
      <c r="N46" s="206">
        <f>[1]Consolidated!N46</f>
        <v/>
      </c>
    </row>
    <row r="47" ht="12.75" customHeight="1" s="150">
      <c r="C47" s="202" t="inlineStr">
        <is>
          <t>External FTE</t>
        </is>
      </c>
      <c r="D47" s="203">
        <f>[1]Consolidated!D47</f>
        <v/>
      </c>
      <c r="E47" s="203">
        <f>[1]Consolidated!E47</f>
        <v/>
      </c>
      <c r="F47" s="203">
        <f>[1]Consolidated!F47</f>
        <v/>
      </c>
      <c r="G47" s="203">
        <f>[1]Consolidated!G47</f>
        <v/>
      </c>
      <c r="H47" s="203">
        <f>[1]Consolidated!H47</f>
        <v/>
      </c>
      <c r="I47" s="203">
        <f>[1]Consolidated!I47</f>
        <v/>
      </c>
      <c r="J47" s="288" t="n"/>
      <c r="K47" s="185" t="n"/>
      <c r="L47" s="213">
        <f>[1]Consolidated!L47</f>
        <v/>
      </c>
      <c r="M47" s="211">
        <f>[1]Consolidated!M47</f>
        <v/>
      </c>
      <c r="N47" s="206">
        <f>[1]Consolidated!N47</f>
        <v/>
      </c>
    </row>
    <row r="48" ht="13.5" customHeight="1" s="150">
      <c r="A48" s="176" t="n"/>
      <c r="B48" s="176" t="n"/>
      <c r="C48" s="207" t="inlineStr">
        <is>
          <t>Total FTE</t>
        </is>
      </c>
      <c r="D48" s="208">
        <f>[1]Consolidated!D48</f>
        <v/>
      </c>
      <c r="E48" s="208">
        <f>[1]Consolidated!E48</f>
        <v/>
      </c>
      <c r="F48" s="208">
        <f>[1]Consolidated!F48</f>
        <v/>
      </c>
      <c r="G48" s="208">
        <f>[1]Consolidated!G48</f>
        <v/>
      </c>
      <c r="H48" s="208">
        <f>[1]Consolidated!H48</f>
        <v/>
      </c>
      <c r="I48" s="208">
        <f>[1]Consolidated!I48</f>
        <v/>
      </c>
      <c r="J48" s="289" t="n"/>
      <c r="K48" s="185" t="n"/>
      <c r="L48" s="210">
        <f>[1]Consolidated!L48</f>
        <v/>
      </c>
      <c r="M48" s="215">
        <f>[1]Consolidated!M48</f>
        <v/>
      </c>
      <c r="N48" s="210">
        <f>[1]Consolidated!N48</f>
        <v/>
      </c>
    </row>
    <row r="49" ht="12.75" customHeight="1" s="150">
      <c r="C49" s="202" t="n"/>
      <c r="D49" s="211" t="n"/>
      <c r="E49" s="211" t="n"/>
      <c r="F49" s="211" t="n"/>
      <c r="G49" s="211" t="n"/>
      <c r="H49" s="211" t="n"/>
      <c r="I49" s="211" t="n"/>
      <c r="J49" s="212" t="n"/>
      <c r="K49" s="185" t="n"/>
      <c r="L49" s="213" t="n"/>
      <c r="M49" s="211" t="n"/>
      <c r="N49" s="206" t="n"/>
    </row>
    <row r="50" ht="12.75" customHeight="1" s="150">
      <c r="C50" s="202" t="inlineStr">
        <is>
          <t>Salaries</t>
        </is>
      </c>
      <c r="D50" s="211">
        <f>(([1]Consolidated!D50)*1000)*(1/0.79941)</f>
        <v/>
      </c>
      <c r="E50" s="211">
        <f>(([1]Consolidated!E50)*1000)*(1/0.79941)</f>
        <v/>
      </c>
      <c r="F50" s="211">
        <f>(([1]Consolidated!F50)*1000)*(1/0.79941)</f>
        <v/>
      </c>
      <c r="G50" s="211">
        <f>(([1]Consolidated!G50)*1000)*(1/0.79941)</f>
        <v/>
      </c>
      <c r="H50" s="211">
        <f>(([1]Consolidated!H50)*1000)*(1/0.79941)</f>
        <v/>
      </c>
      <c r="I50" s="211">
        <f>(([1]Consolidated!I50)*1000)*(1/0.79941)</f>
        <v/>
      </c>
      <c r="J50" s="213">
        <f>(([1]Consolidated!J50)*1000)*(1/0.79941)</f>
        <v/>
      </c>
      <c r="K50" s="185" t="n"/>
      <c r="L50" s="213">
        <f>(([1]Consolidated!L50)*1000)*(1/0.79941)</f>
        <v/>
      </c>
      <c r="M50" s="211">
        <f>(([1]Consolidated!M50)*1000)*(1/0.79941)</f>
        <v/>
      </c>
      <c r="N50" s="206">
        <f>(([1]Consolidated!N50)*1000)*(1/0.79941)</f>
        <v/>
      </c>
    </row>
    <row r="51" ht="12.75" customHeight="1" s="150">
      <c r="C51" s="202" t="inlineStr">
        <is>
          <t>Bonuses</t>
        </is>
      </c>
      <c r="D51" s="211">
        <f>(([1]Consolidated!D51)*1000)*(1/0.79941)</f>
        <v/>
      </c>
      <c r="E51" s="211">
        <f>(([1]Consolidated!E51)*1000)*(1/0.79941)</f>
        <v/>
      </c>
      <c r="F51" s="211">
        <f>(([1]Consolidated!F51)*1000)*(1/0.79941)</f>
        <v/>
      </c>
      <c r="G51" s="211">
        <f>(([1]Consolidated!G51)*1000)*(1/0.79941)</f>
        <v/>
      </c>
      <c r="H51" s="211">
        <f>(([1]Consolidated!H51)*1000)*(1/0.79941)</f>
        <v/>
      </c>
      <c r="I51" s="211">
        <f>(([1]Consolidated!I51)*1000)*(1/0.79941)</f>
        <v/>
      </c>
      <c r="J51" s="213">
        <f>(([1]Consolidated!J51)*1000)*(1/0.79941)</f>
        <v/>
      </c>
      <c r="K51" s="185" t="n"/>
      <c r="L51" s="213">
        <f>(([1]Consolidated!L51)*1000)*(1/0.79941)</f>
        <v/>
      </c>
      <c r="M51" s="211">
        <f>(([1]Consolidated!M51)*1000)*(1/0.79941)</f>
        <v/>
      </c>
      <c r="N51" s="206">
        <f>(([1]Consolidated!N51)*1000)*(1/0.79941)</f>
        <v/>
      </c>
    </row>
    <row r="52" ht="12.75" customHeight="1" s="150">
      <c r="C52" s="202" t="inlineStr">
        <is>
          <t>Third party staff, ex IT</t>
        </is>
      </c>
      <c r="D52" s="211">
        <f>(([1]Consolidated!D52)*1000)*(1/0.79941)</f>
        <v/>
      </c>
      <c r="E52" s="211">
        <f>(([1]Consolidated!E52)*1000)*(1/0.79941)</f>
        <v/>
      </c>
      <c r="F52" s="211">
        <f>(([1]Consolidated!F52)*1000)*(1/0.79941)</f>
        <v/>
      </c>
      <c r="G52" s="211">
        <f>(([1]Consolidated!G52)*1000)*(1/0.79941)</f>
        <v/>
      </c>
      <c r="H52" s="211">
        <f>(([1]Consolidated!H52)*1000)*(1/0.79941)</f>
        <v/>
      </c>
      <c r="I52" s="211">
        <f>(([1]Consolidated!I52)*1000)*(1/0.79941)</f>
        <v/>
      </c>
      <c r="J52" s="213">
        <f>(([1]Consolidated!J52)*1000)*(1/0.79941)</f>
        <v/>
      </c>
      <c r="K52" s="185" t="n"/>
      <c r="L52" s="213">
        <f>(([1]Consolidated!L52)*1000)*(1/0.79941)</f>
        <v/>
      </c>
      <c r="M52" s="211">
        <f>(([1]Consolidated!M52)*1000)*(1/0.79941)</f>
        <v/>
      </c>
      <c r="N52" s="206">
        <f>(([1]Consolidated!N52)*1000)*(1/0.79941)</f>
        <v/>
      </c>
    </row>
    <row r="53" ht="12.75" customHeight="1" s="150">
      <c r="C53" s="202" t="inlineStr">
        <is>
          <t>Third party IT staff</t>
        </is>
      </c>
      <c r="D53" s="211">
        <f>(([1]Consolidated!D53)*1000)*(1/0.79941)</f>
        <v/>
      </c>
      <c r="E53" s="211">
        <f>(([1]Consolidated!E53)*1000)*(1/0.79941)</f>
        <v/>
      </c>
      <c r="F53" s="211">
        <f>(([1]Consolidated!F53)*1000)*(1/0.79941)</f>
        <v/>
      </c>
      <c r="G53" s="211">
        <f>(([1]Consolidated!G53)*1000)*(1/0.79941)</f>
        <v/>
      </c>
      <c r="H53" s="211">
        <f>(([1]Consolidated!H53)*1000)*(1/0.79941)</f>
        <v/>
      </c>
      <c r="I53" s="211">
        <f>(([1]Consolidated!I53)*1000)*(1/0.79941)</f>
        <v/>
      </c>
      <c r="J53" s="213">
        <f>(([1]Consolidated!J53)*1000)*(1/0.79941)</f>
        <v/>
      </c>
      <c r="K53" s="185" t="n"/>
      <c r="L53" s="213">
        <f>(([1]Consolidated!L53)*1000)*(1/0.79941)</f>
        <v/>
      </c>
      <c r="M53" s="211">
        <f>(([1]Consolidated!M53)*1000)*(1/0.79941)</f>
        <v/>
      </c>
      <c r="N53" s="206">
        <f>(([1]Consolidated!N53)*1000)*(1/0.79941)</f>
        <v/>
      </c>
    </row>
    <row r="54" ht="12.75" customHeight="1" s="150">
      <c r="C54" s="202" t="inlineStr">
        <is>
          <t>Employee education</t>
        </is>
      </c>
      <c r="D54" s="211">
        <f>(([1]Consolidated!D54)*1000)*(1/0.79941)</f>
        <v/>
      </c>
      <c r="E54" s="211">
        <f>(([1]Consolidated!E54)*1000)*(1/0.79941)</f>
        <v/>
      </c>
      <c r="F54" s="211">
        <f>(([1]Consolidated!F54)*1000)*(1/0.79941)</f>
        <v/>
      </c>
      <c r="G54" s="211">
        <f>(([1]Consolidated!G54)*1000)*(1/0.79941)</f>
        <v/>
      </c>
      <c r="H54" s="211">
        <f>(([1]Consolidated!H54)*1000)*(1/0.79941)</f>
        <v/>
      </c>
      <c r="I54" s="211">
        <f>(([1]Consolidated!I54)*1000)*(1/0.79941)</f>
        <v/>
      </c>
      <c r="J54" s="213">
        <f>(([1]Consolidated!J54)*1000)*(1/0.79941)</f>
        <v/>
      </c>
      <c r="K54" s="185" t="n"/>
      <c r="L54" s="213">
        <f>(([1]Consolidated!L54)*1000)*(1/0.79941)</f>
        <v/>
      </c>
      <c r="M54" s="211">
        <f>(([1]Consolidated!M54)*1000)*(1/0.79941)</f>
        <v/>
      </c>
      <c r="N54" s="206">
        <f>(([1]Consolidated!N54)*1000)*(1/0.79941)</f>
        <v/>
      </c>
    </row>
    <row r="55" ht="12.75" customHeight="1" s="150">
      <c r="C55" s="202" t="inlineStr">
        <is>
          <t>Other staff expenses</t>
        </is>
      </c>
      <c r="D55" s="211">
        <f>(([1]Consolidated!D55)*1000)*(1/0.79941)</f>
        <v/>
      </c>
      <c r="E55" s="211">
        <f>(([1]Consolidated!E55)*1000)*(1/0.79941)</f>
        <v/>
      </c>
      <c r="F55" s="211">
        <f>(([1]Consolidated!F55)*1000)*(1/0.79941)</f>
        <v/>
      </c>
      <c r="G55" s="211">
        <f>(([1]Consolidated!G55)*1000)*(1/0.79941)</f>
        <v/>
      </c>
      <c r="H55" s="211">
        <f>(([1]Consolidated!H55)*1000)*(1/0.79941)</f>
        <v/>
      </c>
      <c r="I55" s="211">
        <f>(([1]Consolidated!I55)*1000)*(1/0.79941)</f>
        <v/>
      </c>
      <c r="J55" s="214">
        <f>(([1]Consolidated!J55)*1000)*(1/0.79941)</f>
        <v/>
      </c>
      <c r="K55" s="185" t="n"/>
      <c r="L55" s="213">
        <f>(([1]Consolidated!L55)*1000)*(1/0.79941)</f>
        <v/>
      </c>
      <c r="M55" s="211">
        <f>(([1]Consolidated!M55)*1000)*(1/0.79941)</f>
        <v/>
      </c>
      <c r="N55" s="206">
        <f>(([1]Consolidated!N55)*1000)*(1/0.79941)</f>
        <v/>
      </c>
    </row>
    <row r="56" ht="13.5" customHeight="1" s="150">
      <c r="C56" s="207" t="inlineStr">
        <is>
          <t>Staff expenses</t>
        </is>
      </c>
      <c r="D56" s="215">
        <f>(([1]Consolidated!D56)*1000)*(1/0.79941)</f>
        <v/>
      </c>
      <c r="E56" s="215">
        <f>(([1]Consolidated!E56)*1000)*(1/0.79941)</f>
        <v/>
      </c>
      <c r="F56" s="215">
        <f>(([1]Consolidated!F56)*1000)*(1/0.79941)</f>
        <v/>
      </c>
      <c r="G56" s="215">
        <f>(([1]Consolidated!G56)*1000)*(1/0.79941)</f>
        <v/>
      </c>
      <c r="H56" s="215">
        <f>(([1]Consolidated!H56)*1000)*(1/0.79941)</f>
        <v/>
      </c>
      <c r="I56" s="215">
        <f>(([1]Consolidated!I56)*1000)*(1/0.79941)</f>
        <v/>
      </c>
      <c r="J56" s="210">
        <f>(([1]Consolidated!J56)*1000)*(1/0.79941)</f>
        <v/>
      </c>
      <c r="K56" s="185" t="n"/>
      <c r="L56" s="210">
        <f>(([1]Consolidated!L56)*1000)*(1/0.79941)</f>
        <v/>
      </c>
      <c r="M56" s="215">
        <f>(([1]Consolidated!M56)*1000)*(1/0.79941)</f>
        <v/>
      </c>
      <c r="N56" s="210">
        <f>(([1]Consolidated!N56)*1000)*(1/0.79941)</f>
        <v/>
      </c>
    </row>
    <row r="57" ht="12.75" customHeight="1" s="150">
      <c r="B57" s="216" t="n"/>
      <c r="C57" s="202" t="inlineStr">
        <is>
          <t>Hardware expenses</t>
        </is>
      </c>
      <c r="D57" s="211">
        <f>(([1]Consolidated!D57)*1000)*(1/0.79941)</f>
        <v/>
      </c>
      <c r="E57" s="211">
        <f>(([1]Consolidated!E57)*1000)*(1/0.79941)</f>
        <v/>
      </c>
      <c r="F57" s="211">
        <f>(([1]Consolidated!F57)*1000)*(1/0.79941)</f>
        <v/>
      </c>
      <c r="G57" s="211">
        <f>(([1]Consolidated!G57)*1000)*(1/0.79941)</f>
        <v/>
      </c>
      <c r="H57" s="211">
        <f>(([1]Consolidated!H57)*1000)*(1/0.79941)</f>
        <v/>
      </c>
      <c r="I57" s="211">
        <f>(([1]Consolidated!I57)*1000)*(1/0.79941)</f>
        <v/>
      </c>
      <c r="J57" s="213">
        <f>(([1]Consolidated!J57)*1000)*(1/0.79941)</f>
        <v/>
      </c>
      <c r="K57" s="185" t="n"/>
      <c r="L57" s="213">
        <f>(([1]Consolidated!L57)*1000)*(1/0.79941)</f>
        <v/>
      </c>
      <c r="M57" s="211">
        <f>(([1]Consolidated!M57)*1000)*(1/0.79941)</f>
        <v/>
      </c>
      <c r="N57" s="206">
        <f>(([1]Consolidated!N57)*1000)*(1/0.79941)</f>
        <v/>
      </c>
    </row>
    <row r="58" ht="12.75" customHeight="1" s="150">
      <c r="C58" s="202" t="inlineStr">
        <is>
          <t>Leasing/renting hardware</t>
        </is>
      </c>
      <c r="D58" s="211">
        <f>(([1]Consolidated!D58)*1000)*(1/0.79941)</f>
        <v/>
      </c>
      <c r="E58" s="211">
        <f>(([1]Consolidated!E58)*1000)*(1/0.79941)</f>
        <v/>
      </c>
      <c r="F58" s="211">
        <f>(([1]Consolidated!F58)*1000)*(1/0.79941)</f>
        <v/>
      </c>
      <c r="G58" s="211">
        <f>(([1]Consolidated!G58)*1000)*(1/0.79941)</f>
        <v/>
      </c>
      <c r="H58" s="211">
        <f>(([1]Consolidated!H58)*1000)*(1/0.79941)</f>
        <v/>
      </c>
      <c r="I58" s="211">
        <f>(([1]Consolidated!I58)*1000)*(1/0.79941)</f>
        <v/>
      </c>
      <c r="J58" s="213">
        <f>(([1]Consolidated!J58)*1000)*(1/0.79941)</f>
        <v/>
      </c>
      <c r="K58" s="185" t="n"/>
      <c r="L58" s="213">
        <f>(([1]Consolidated!L58)*1000)*(1/0.79941)</f>
        <v/>
      </c>
      <c r="M58" s="211">
        <f>(([1]Consolidated!M58)*1000)*(1/0.79941)</f>
        <v/>
      </c>
      <c r="N58" s="206">
        <f>(([1]Consolidated!N58)*1000)*(1/0.79941)</f>
        <v/>
      </c>
    </row>
    <row r="59" ht="12.75" customHeight="1" s="150">
      <c r="C59" s="202" t="inlineStr">
        <is>
          <t>Software expenses</t>
        </is>
      </c>
      <c r="D59" s="211">
        <f>(([1]Consolidated!D59)*1000)*(1/0.79941)</f>
        <v/>
      </c>
      <c r="E59" s="211">
        <f>(([1]Consolidated!E59)*1000)*(1/0.79941)</f>
        <v/>
      </c>
      <c r="F59" s="211">
        <f>(([1]Consolidated!F59)*1000)*(1/0.79941)</f>
        <v/>
      </c>
      <c r="G59" s="211">
        <f>(([1]Consolidated!G59)*1000)*(1/0.79941)</f>
        <v/>
      </c>
      <c r="H59" s="211">
        <f>(([1]Consolidated!H59)*1000)*(1/0.79941)</f>
        <v/>
      </c>
      <c r="I59" s="211">
        <f>(([1]Consolidated!I59)*1000)*(1/0.79941)</f>
        <v/>
      </c>
      <c r="J59" s="213">
        <f>(([1]Consolidated!J59)*1000)*(1/0.79941)</f>
        <v/>
      </c>
      <c r="K59" s="185" t="n"/>
      <c r="L59" s="213">
        <f>(([1]Consolidated!L59)*1000)*(1/0.79941)</f>
        <v/>
      </c>
      <c r="M59" s="211">
        <f>(([1]Consolidated!M59)*1000)*(1/0.79941)</f>
        <v/>
      </c>
      <c r="N59" s="206">
        <f>(([1]Consolidated!N59)*1000)*(1/0.79941)</f>
        <v/>
      </c>
    </row>
    <row r="60" ht="12.75" customHeight="1" s="150">
      <c r="C60" s="202" t="inlineStr">
        <is>
          <t>Leasing/renting/licenses sw</t>
        </is>
      </c>
      <c r="D60" s="211">
        <f>(([1]Consolidated!D60)*1000)*(1/0.79941)</f>
        <v/>
      </c>
      <c r="E60" s="211">
        <f>(([1]Consolidated!E60)*1000)*(1/0.79941)</f>
        <v/>
      </c>
      <c r="F60" s="211">
        <f>(([1]Consolidated!F60)*1000)*(1/0.79941)</f>
        <v/>
      </c>
      <c r="G60" s="211">
        <f>(([1]Consolidated!G60)*1000)*(1/0.79941)</f>
        <v/>
      </c>
      <c r="H60" s="211">
        <f>(([1]Consolidated!H60)*1000)*(1/0.79941)</f>
        <v/>
      </c>
      <c r="I60" s="211">
        <f>(([1]Consolidated!I60)*1000)*(1/0.79941)</f>
        <v/>
      </c>
      <c r="J60" s="213">
        <f>(([1]Consolidated!J60)*1000)*(1/0.79941)</f>
        <v/>
      </c>
      <c r="K60" s="185" t="n"/>
      <c r="L60" s="213">
        <f>(([1]Consolidated!L60)*1000)*(1/0.79941)</f>
        <v/>
      </c>
      <c r="M60" s="211">
        <f>(([1]Consolidated!M60)*1000)*(1/0.79941)</f>
        <v/>
      </c>
      <c r="N60" s="206">
        <f>(([1]Consolidated!N60)*1000)*(1/0.79941)</f>
        <v/>
      </c>
    </row>
    <row r="61" ht="12.75" customHeight="1" s="150">
      <c r="C61" s="202" t="inlineStr">
        <is>
          <t>Depreciation hardware</t>
        </is>
      </c>
      <c r="D61" s="211">
        <f>(([1]Consolidated!D61)*1000)*(1/0.79941)</f>
        <v/>
      </c>
      <c r="E61" s="211">
        <f>(([1]Consolidated!E61)*1000)*(1/0.79941)</f>
        <v/>
      </c>
      <c r="F61" s="211">
        <f>(([1]Consolidated!F61)*1000)*(1/0.79941)</f>
        <v/>
      </c>
      <c r="G61" s="211">
        <f>(([1]Consolidated!G61)*1000)*(1/0.79941)</f>
        <v/>
      </c>
      <c r="H61" s="211">
        <f>(([1]Consolidated!H61)*1000)*(1/0.79941)</f>
        <v/>
      </c>
      <c r="I61" s="211">
        <f>(([1]Consolidated!I61)*1000)*(1/0.79941)</f>
        <v/>
      </c>
      <c r="J61" s="213">
        <f>(([1]Consolidated!J61)*1000)*(1/0.79941)</f>
        <v/>
      </c>
      <c r="K61" s="185" t="n"/>
      <c r="L61" s="213">
        <f>(([1]Consolidated!L61)*1000)*(1/0.79941)</f>
        <v/>
      </c>
      <c r="M61" s="211">
        <f>(([1]Consolidated!M61)*1000)*(1/0.79941)</f>
        <v/>
      </c>
      <c r="N61" s="206">
        <f>(([1]Consolidated!N61)*1000)*(1/0.79941)</f>
        <v/>
      </c>
    </row>
    <row r="62" ht="12.75" customHeight="1" s="150">
      <c r="C62" s="202" t="inlineStr">
        <is>
          <t>Depreciation software</t>
        </is>
      </c>
      <c r="D62" s="211">
        <f>(([1]Consolidated!D62)*1000)*(1/0.79941)</f>
        <v/>
      </c>
      <c r="E62" s="211">
        <f>(([1]Consolidated!E62)*1000)*(1/0.79941)</f>
        <v/>
      </c>
      <c r="F62" s="211">
        <f>(([1]Consolidated!F62)*1000)*(1/0.79941)</f>
        <v/>
      </c>
      <c r="G62" s="211">
        <f>(([1]Consolidated!G62)*1000)*(1/0.79941)</f>
        <v/>
      </c>
      <c r="H62" s="211">
        <f>(([1]Consolidated!H62)*1000)*(1/0.79941)</f>
        <v/>
      </c>
      <c r="I62" s="211">
        <f>(([1]Consolidated!I62)*1000)*(1/0.79941)</f>
        <v/>
      </c>
      <c r="J62" s="213">
        <f>(([1]Consolidated!J62)*1000)*(1/0.79941)</f>
        <v/>
      </c>
      <c r="K62" s="185" t="n"/>
      <c r="L62" s="213">
        <f>(([1]Consolidated!L62)*1000)*(1/0.79941)</f>
        <v/>
      </c>
      <c r="M62" s="211">
        <f>(([1]Consolidated!M62)*1000)*(1/0.79941)</f>
        <v/>
      </c>
      <c r="N62" s="206">
        <f>(([1]Consolidated!N62)*1000)*(1/0.79941)</f>
        <v/>
      </c>
    </row>
    <row r="63" ht="12.75" customHeight="1" s="150">
      <c r="C63" s="202" t="inlineStr">
        <is>
          <t>Outsourcing IT activities</t>
        </is>
      </c>
      <c r="D63" s="211">
        <f>(([1]Consolidated!D63)*1000)*(1/0.79941)</f>
        <v/>
      </c>
      <c r="E63" s="211">
        <f>(([1]Consolidated!E63)*1000)*(1/0.79941)</f>
        <v/>
      </c>
      <c r="F63" s="211">
        <f>(([1]Consolidated!F63)*1000)*(1/0.79941)</f>
        <v/>
      </c>
      <c r="G63" s="211">
        <f>(([1]Consolidated!G63)*1000)*(1/0.79941)</f>
        <v/>
      </c>
      <c r="H63" s="211">
        <f>(([1]Consolidated!H63)*1000)*(1/0.79941)</f>
        <v/>
      </c>
      <c r="I63" s="211">
        <f>(([1]Consolidated!I63)*1000)*(1/0.79941)</f>
        <v/>
      </c>
      <c r="J63" s="213">
        <f>(([1]Consolidated!J63)*1000)*(1/0.79941)</f>
        <v/>
      </c>
      <c r="K63" s="185" t="n"/>
      <c r="L63" s="213">
        <f>(([1]Consolidated!L63)*1000)*(1/0.79941)</f>
        <v/>
      </c>
      <c r="M63" s="211">
        <f>(([1]Consolidated!M63)*1000)*(1/0.79941)</f>
        <v/>
      </c>
      <c r="N63" s="206">
        <f>(([1]Consolidated!N63)*1000)*(1/0.79941)</f>
        <v/>
      </c>
    </row>
    <row r="64" ht="12.75" customHeight="1" s="150">
      <c r="C64" s="202" t="inlineStr">
        <is>
          <t>Other IT expenses</t>
        </is>
      </c>
      <c r="D64" s="211">
        <f>(([1]Consolidated!D64)*1000)*(1/0.79941)</f>
        <v/>
      </c>
      <c r="E64" s="211">
        <f>(([1]Consolidated!E64)*1000)*(1/0.79941)</f>
        <v/>
      </c>
      <c r="F64" s="211">
        <f>(([1]Consolidated!F64)*1000)*(1/0.79941)</f>
        <v/>
      </c>
      <c r="G64" s="211">
        <f>(([1]Consolidated!G64)*1000)*(1/0.79941)</f>
        <v/>
      </c>
      <c r="H64" s="211">
        <f>(([1]Consolidated!H64)*1000)*(1/0.79941)</f>
        <v/>
      </c>
      <c r="I64" s="211">
        <f>(([1]Consolidated!I64)*1000)*(1/0.79941)</f>
        <v/>
      </c>
      <c r="J64" s="213">
        <f>(([1]Consolidated!J64)*1000)*(1/0.79941)</f>
        <v/>
      </c>
      <c r="K64" s="185" t="n"/>
      <c r="L64" s="213">
        <f>(([1]Consolidated!L64)*1000)*(1/0.79941)</f>
        <v/>
      </c>
      <c r="M64" s="211">
        <f>(([1]Consolidated!M64)*1000)*(1/0.79941)</f>
        <v/>
      </c>
      <c r="N64" s="206">
        <f>(([1]Consolidated!N64)*1000)*(1/0.79941)</f>
        <v/>
      </c>
    </row>
    <row r="65" ht="13.5" customHeight="1" s="150">
      <c r="C65" s="207" t="inlineStr">
        <is>
          <t>EDP expenses</t>
        </is>
      </c>
      <c r="D65" s="215">
        <f>(([1]Consolidated!D65)*1000)*(1/0.79941)</f>
        <v/>
      </c>
      <c r="E65" s="215">
        <f>(([1]Consolidated!E65)*1000)*(1/0.79941)</f>
        <v/>
      </c>
      <c r="F65" s="215">
        <f>(([1]Consolidated!F65)*1000)*(1/0.79941)</f>
        <v/>
      </c>
      <c r="G65" s="215">
        <f>(([1]Consolidated!G65)*1000)*(1/0.79941)</f>
        <v/>
      </c>
      <c r="H65" s="215">
        <f>(([1]Consolidated!H65)*1000)*(1/0.79941)</f>
        <v/>
      </c>
      <c r="I65" s="215">
        <f>(([1]Consolidated!I65)*1000)*(1/0.79941)</f>
        <v/>
      </c>
      <c r="J65" s="210">
        <f>(([1]Consolidated!J65)*1000)*(1/0.79941)</f>
        <v/>
      </c>
      <c r="K65" s="185" t="n"/>
      <c r="L65" s="210">
        <f>(([1]Consolidated!L65)*1000)*(1/0.79941)</f>
        <v/>
      </c>
      <c r="M65" s="215">
        <f>(([1]Consolidated!M65)*1000)*(1/0.79941)</f>
        <v/>
      </c>
      <c r="N65" s="210">
        <f>(([1]Consolidated!N65)*1000)*(1/0.79941)</f>
        <v/>
      </c>
    </row>
    <row r="66" ht="12.75" customHeight="1" s="150">
      <c r="C66" s="202" t="inlineStr">
        <is>
          <t>Telecom expenses</t>
        </is>
      </c>
      <c r="D66" s="211">
        <f>(([1]Consolidated!D66)*1000)*(1/0.79941)</f>
        <v/>
      </c>
      <c r="E66" s="211">
        <f>(([1]Consolidated!E66)*1000)*(1/0.79941)</f>
        <v/>
      </c>
      <c r="F66" s="211">
        <f>(([1]Consolidated!F66)*1000)*(1/0.79941)</f>
        <v/>
      </c>
      <c r="G66" s="211">
        <f>(([1]Consolidated!G66)*1000)*(1/0.79941)</f>
        <v/>
      </c>
      <c r="H66" s="211">
        <f>(([1]Consolidated!H66)*1000)*(1/0.79941)</f>
        <v/>
      </c>
      <c r="I66" s="211">
        <f>(([1]Consolidated!I66)*1000)*(1/0.79941)</f>
        <v/>
      </c>
      <c r="J66" s="213">
        <f>(([1]Consolidated!J66)*1000)*(1/0.79941)</f>
        <v/>
      </c>
      <c r="K66" s="185" t="n"/>
      <c r="L66" s="213">
        <f>(([1]Consolidated!L66)*1000)*(1/0.79941)</f>
        <v/>
      </c>
      <c r="M66" s="211">
        <f>(([1]Consolidated!M66)*1000)*(1/0.79941)</f>
        <v/>
      </c>
      <c r="N66" s="206">
        <f>(([1]Consolidated!N66)*1000)*(1/0.79941)</f>
        <v/>
      </c>
    </row>
    <row r="67" ht="12.75" customHeight="1" s="150">
      <c r="C67" s="202" t="inlineStr">
        <is>
          <t>Office equipment and supplies</t>
        </is>
      </c>
      <c r="D67" s="211">
        <f>(([1]Consolidated!D67)*1000)*(1/0.79941)</f>
        <v/>
      </c>
      <c r="E67" s="211">
        <f>(([1]Consolidated!E67)*1000)*(1/0.79941)</f>
        <v/>
      </c>
      <c r="F67" s="211">
        <f>(([1]Consolidated!F67)*1000)*(1/0.79941)</f>
        <v/>
      </c>
      <c r="G67" s="211">
        <f>(([1]Consolidated!G67)*1000)*(1/0.79941)</f>
        <v/>
      </c>
      <c r="H67" s="211">
        <f>(([1]Consolidated!H67)*1000)*(1/0.79941)</f>
        <v/>
      </c>
      <c r="I67" s="211">
        <f>(([1]Consolidated!I67)*1000)*(1/0.79941)</f>
        <v/>
      </c>
      <c r="J67" s="213">
        <f>(([1]Consolidated!J67)*1000)*(1/0.79941)</f>
        <v/>
      </c>
      <c r="K67" s="185" t="n"/>
      <c r="L67" s="213">
        <f>(([1]Consolidated!L67)*1000)*(1/0.79941)</f>
        <v/>
      </c>
      <c r="M67" s="211">
        <f>(([1]Consolidated!M67)*1000)*(1/0.79941)</f>
        <v/>
      </c>
      <c r="N67" s="206">
        <f>(([1]Consolidated!N67)*1000)*(1/0.79941)</f>
        <v/>
      </c>
    </row>
    <row r="68" ht="12.75" customHeight="1" s="150">
      <c r="C68" s="202" t="inlineStr">
        <is>
          <t>Accomodation expenses</t>
        </is>
      </c>
      <c r="D68" s="211">
        <f>(([1]Consolidated!D68)*1000)*(1/0.79941)</f>
        <v/>
      </c>
      <c r="E68" s="211">
        <f>(([1]Consolidated!E68)*1000)*(1/0.79941)</f>
        <v/>
      </c>
      <c r="F68" s="211">
        <f>(([1]Consolidated!F68)*1000)*(1/0.79941)</f>
        <v/>
      </c>
      <c r="G68" s="211">
        <f>(([1]Consolidated!G68)*1000)*(1/0.79941)</f>
        <v/>
      </c>
      <c r="H68" s="211">
        <f>(([1]Consolidated!H68)*1000)*(1/0.79941)</f>
        <v/>
      </c>
      <c r="I68" s="211">
        <f>(([1]Consolidated!I68)*1000)*(1/0.79941)</f>
        <v/>
      </c>
      <c r="J68" s="213">
        <f>(([1]Consolidated!J68)*1000)*(1/0.79941)</f>
        <v/>
      </c>
      <c r="K68" s="185" t="n"/>
      <c r="L68" s="213">
        <f>(([1]Consolidated!L68)*1000)*(1/0.79941)</f>
        <v/>
      </c>
      <c r="M68" s="211">
        <f>(([1]Consolidated!M68)*1000)*(1/0.79941)</f>
        <v/>
      </c>
      <c r="N68" s="206">
        <f>(([1]Consolidated!N68)*1000)*(1/0.79941)</f>
        <v/>
      </c>
    </row>
    <row r="69" ht="12.75" customHeight="1" s="150">
      <c r="C69" s="202" t="inlineStr">
        <is>
          <t>Travel costs</t>
        </is>
      </c>
      <c r="D69" s="211">
        <f>(([1]Consolidated!D69)*1000)*(1/0.79941)</f>
        <v/>
      </c>
      <c r="E69" s="211">
        <f>(([1]Consolidated!E69)*1000)*(1/0.79941)</f>
        <v/>
      </c>
      <c r="F69" s="211">
        <f>(([1]Consolidated!F69)*1000)*(1/0.79941)</f>
        <v/>
      </c>
      <c r="G69" s="211">
        <f>(([1]Consolidated!G69)*1000)*(1/0.79941)</f>
        <v/>
      </c>
      <c r="H69" s="211">
        <f>(([1]Consolidated!H69)*1000)*(1/0.79941)</f>
        <v/>
      </c>
      <c r="I69" s="211">
        <f>(([1]Consolidated!I69)*1000)*(1/0.79941)</f>
        <v/>
      </c>
      <c r="J69" s="213">
        <f>(([1]Consolidated!J69)*1000)*(1/0.79941)</f>
        <v/>
      </c>
      <c r="K69" s="185" t="n"/>
      <c r="L69" s="213">
        <f>(([1]Consolidated!L69)*1000)*(1/0.79941)</f>
        <v/>
      </c>
      <c r="M69" s="211">
        <f>(([1]Consolidated!M69)*1000)*(1/0.79941)</f>
        <v/>
      </c>
      <c r="N69" s="206">
        <f>(([1]Consolidated!N69)*1000)*(1/0.79941)</f>
        <v/>
      </c>
    </row>
    <row r="70" ht="12.75" customHeight="1" s="150">
      <c r="C70" s="202" t="inlineStr">
        <is>
          <t>Postal and freight charges</t>
        </is>
      </c>
      <c r="D70" s="211">
        <f>(([1]Consolidated!D70)*1000)*(1/0.79941)</f>
        <v/>
      </c>
      <c r="E70" s="211">
        <f>(([1]Consolidated!E70)*1000)*(1/0.79941)</f>
        <v/>
      </c>
      <c r="F70" s="211">
        <f>(([1]Consolidated!F70)*1000)*(1/0.79941)</f>
        <v/>
      </c>
      <c r="G70" s="211">
        <f>(([1]Consolidated!G70)*1000)*(1/0.79941)</f>
        <v/>
      </c>
      <c r="H70" s="211">
        <f>(([1]Consolidated!H70)*1000)*(1/0.79941)</f>
        <v/>
      </c>
      <c r="I70" s="211">
        <f>(([1]Consolidated!I70)*1000)*(1/0.79941)</f>
        <v/>
      </c>
      <c r="J70" s="213">
        <f>(([1]Consolidated!J70)*1000)*(1/0.79941)</f>
        <v/>
      </c>
      <c r="K70" s="185" t="n"/>
      <c r="L70" s="213">
        <f>(([1]Consolidated!L70)*1000)*(1/0.79941)</f>
        <v/>
      </c>
      <c r="M70" s="211">
        <f>(([1]Consolidated!M70)*1000)*(1/0.79941)</f>
        <v/>
      </c>
      <c r="N70" s="206">
        <f>(([1]Consolidated!N70)*1000)*(1/0.79941)</f>
        <v/>
      </c>
    </row>
    <row r="71" ht="12.75" customHeight="1" s="150">
      <c r="C71" s="202" t="inlineStr">
        <is>
          <t>Prof serv and ext advisory fee</t>
        </is>
      </c>
      <c r="D71" s="211">
        <f>(([1]Consolidated!D71)*1000)*(1/0.79941)</f>
        <v/>
      </c>
      <c r="E71" s="211">
        <f>(([1]Consolidated!E71)*1000)*(1/0.79941)</f>
        <v/>
      </c>
      <c r="F71" s="211">
        <f>(([1]Consolidated!F71)*1000)*(1/0.79941)</f>
        <v/>
      </c>
      <c r="G71" s="211">
        <f>(([1]Consolidated!G71)*1000)*(1/0.79941)</f>
        <v/>
      </c>
      <c r="H71" s="211">
        <f>(([1]Consolidated!H71)*1000)*(1/0.79941)</f>
        <v/>
      </c>
      <c r="I71" s="211">
        <f>(([1]Consolidated!I71)*1000)*(1/0.79941)</f>
        <v/>
      </c>
      <c r="J71" s="213">
        <f>(([1]Consolidated!J71)*1000)*(1/0.79941)</f>
        <v/>
      </c>
      <c r="K71" s="185" t="n"/>
      <c r="L71" s="213">
        <f>(([1]Consolidated!L71)*1000)*(1/0.79941)</f>
        <v/>
      </c>
      <c r="M71" s="211">
        <f>(([1]Consolidated!M71)*1000)*(1/0.79941)</f>
        <v/>
      </c>
      <c r="N71" s="206">
        <f>(([1]Consolidated!N71)*1000)*(1/0.79941)</f>
        <v/>
      </c>
    </row>
    <row r="72" ht="12.75" customHeight="1" s="150">
      <c r="C72" s="202" t="inlineStr">
        <is>
          <t>Payment transfer expenses</t>
        </is>
      </c>
      <c r="D72" s="211">
        <f>(([1]Consolidated!D72)*1000)*(1/0.79941)</f>
        <v/>
      </c>
      <c r="E72" s="211">
        <f>(([1]Consolidated!E72)*1000)*(1/0.79941)</f>
        <v/>
      </c>
      <c r="F72" s="211">
        <f>(([1]Consolidated!F72)*1000)*(1/0.79941)</f>
        <v/>
      </c>
      <c r="G72" s="211">
        <f>(([1]Consolidated!G72)*1000)*(1/0.79941)</f>
        <v/>
      </c>
      <c r="H72" s="211">
        <f>(([1]Consolidated!H72)*1000)*(1/0.79941)</f>
        <v/>
      </c>
      <c r="I72" s="211">
        <f>(([1]Consolidated!I72)*1000)*(1/0.79941)</f>
        <v/>
      </c>
      <c r="J72" s="213">
        <f>(([1]Consolidated!J72)*1000)*(1/0.79941)</f>
        <v/>
      </c>
      <c r="K72" s="185" t="n"/>
      <c r="L72" s="213">
        <f>(([1]Consolidated!L72)*1000)*(1/0.79941)</f>
        <v/>
      </c>
      <c r="M72" s="211">
        <f>(([1]Consolidated!M72)*1000)*(1/0.79941)</f>
        <v/>
      </c>
      <c r="N72" s="206">
        <f>(([1]Consolidated!N72)*1000)*(1/0.79941)</f>
        <v/>
      </c>
    </row>
    <row r="73" ht="12.75" customHeight="1" s="150">
      <c r="C73" s="202" t="inlineStr">
        <is>
          <t>Other costs</t>
        </is>
      </c>
      <c r="D73" s="211">
        <f>(([1]Consolidated!D73)*1000)*(1/0.79941)</f>
        <v/>
      </c>
      <c r="E73" s="211">
        <f>(([1]Consolidated!E73)*1000)*(1/0.79941)</f>
        <v/>
      </c>
      <c r="F73" s="211">
        <f>(([1]Consolidated!F73)*1000)*(1/0.79941)</f>
        <v/>
      </c>
      <c r="G73" s="211">
        <f>(([1]Consolidated!G73)*1000)*(1/0.79941)</f>
        <v/>
      </c>
      <c r="H73" s="211">
        <f>(([1]Consolidated!H73)*1000)*(1/0.79941)</f>
        <v/>
      </c>
      <c r="I73" s="211">
        <f>(([1]Consolidated!I73)*1000)*(1/0.79941)</f>
        <v/>
      </c>
      <c r="J73" s="213">
        <f>(([1]Consolidated!J73)*1000)*(1/0.79941)</f>
        <v/>
      </c>
      <c r="K73" s="185" t="n"/>
      <c r="L73" s="213">
        <f>(([1]Consolidated!L73)*1000)*(1/0.79941)</f>
        <v/>
      </c>
      <c r="M73" s="211">
        <f>(([1]Consolidated!M73)*1000)*(1/0.79941)</f>
        <v/>
      </c>
      <c r="N73" s="206">
        <f>(([1]Consolidated!N73)*1000)*(1/0.79941)</f>
        <v/>
      </c>
    </row>
    <row r="74" ht="13.5" customHeight="1" s="150">
      <c r="C74" s="207" t="inlineStr">
        <is>
          <t>General expenses</t>
        </is>
      </c>
      <c r="D74" s="215">
        <f>(([1]Consolidated!D74)*1000)*(1/0.79941)</f>
        <v/>
      </c>
      <c r="E74" s="215">
        <f>(([1]Consolidated!E74)*1000)*(1/0.79941)</f>
        <v/>
      </c>
      <c r="F74" s="215">
        <f>(([1]Consolidated!F74)*1000)*(1/0.79941)</f>
        <v/>
      </c>
      <c r="G74" s="215">
        <f>(([1]Consolidated!G74)*1000)*(1/0.79941)</f>
        <v/>
      </c>
      <c r="H74" s="215">
        <f>(([1]Consolidated!H74)*1000)*(1/0.79941)</f>
        <v/>
      </c>
      <c r="I74" s="215">
        <f>(([1]Consolidated!I74)*1000)*(1/0.79941)</f>
        <v/>
      </c>
      <c r="J74" s="210">
        <f>(([1]Consolidated!J74)*1000)*(1/0.79941)</f>
        <v/>
      </c>
      <c r="K74" s="185" t="n"/>
      <c r="L74" s="210">
        <f>(([1]Consolidated!L74)*1000)*(1/0.79941)</f>
        <v/>
      </c>
      <c r="M74" s="215">
        <f>(([1]Consolidated!M74)*1000)*(1/0.79941)</f>
        <v/>
      </c>
      <c r="N74" s="210">
        <f>(([1]Consolidated!N74)*1000)*(1/0.79941)</f>
        <v/>
      </c>
    </row>
    <row r="75" ht="12.75" customHeight="1" s="150">
      <c r="C75" s="202" t="inlineStr">
        <is>
          <t>Own expenses</t>
        </is>
      </c>
      <c r="D75" s="211">
        <f>(([1]Consolidated!D75)*1000)*(1/0.79941)</f>
        <v/>
      </c>
      <c r="E75" s="211">
        <f>(([1]Consolidated!E75)*1000)*(1/0.79941)</f>
        <v/>
      </c>
      <c r="F75" s="211">
        <f>(([1]Consolidated!F75)*1000)*(1/0.79941)</f>
        <v/>
      </c>
      <c r="G75" s="211">
        <f>(([1]Consolidated!G75)*1000)*(1/0.79941)</f>
        <v/>
      </c>
      <c r="H75" s="211">
        <f>(([1]Consolidated!H75)*1000)*(1/0.79941)</f>
        <v/>
      </c>
      <c r="I75" s="211">
        <f>(([1]Consolidated!I75)*1000)*(1/0.79941)</f>
        <v/>
      </c>
      <c r="J75" s="213">
        <f>(([1]Consolidated!J75)*1000)*(1/0.79941)</f>
        <v/>
      </c>
      <c r="K75" s="185" t="n"/>
      <c r="L75" s="213">
        <f>(([1]Consolidated!L75)*1000)*(1/0.79941)</f>
        <v/>
      </c>
      <c r="M75" s="211">
        <f>(([1]Consolidated!M75)*1000)*(1/0.79941)</f>
        <v/>
      </c>
      <c r="N75" s="217">
        <f>(([1]Consolidated!N75)*1000)*(1/0.79941)</f>
        <v/>
      </c>
    </row>
    <row r="76" ht="12.75" customHeight="1" s="150">
      <c r="C76" s="202" t="inlineStr">
        <is>
          <t>Other expenses</t>
        </is>
      </c>
      <c r="D76" s="211">
        <f>(([1]Consolidated!D76)*1000)*(1/0.79941)</f>
        <v/>
      </c>
      <c r="E76" s="211">
        <f>(([1]Consolidated!E76)*1000)*(1/0.79941)</f>
        <v/>
      </c>
      <c r="F76" s="211">
        <f>(([1]Consolidated!F76)*1000)*(1/0.79941)</f>
        <v/>
      </c>
      <c r="G76" s="211">
        <f>(([1]Consolidated!G76)*1000)*(1/0.79941)</f>
        <v/>
      </c>
      <c r="H76" s="211">
        <f>(([1]Consolidated!H76)*1000)*(1/0.79941)</f>
        <v/>
      </c>
      <c r="I76" s="211">
        <f>(([1]Consolidated!I76)*1000)*(1/0.79941)</f>
        <v/>
      </c>
      <c r="J76" s="213">
        <f>(([1]Consolidated!J76)*1000)*(1/0.79941)</f>
        <v/>
      </c>
      <c r="K76" s="185" t="n"/>
      <c r="L76" s="213">
        <f>(([1]Consolidated!L76)*1000)*(1/0.79941)</f>
        <v/>
      </c>
      <c r="M76" s="211">
        <f>(([1]Consolidated!M76)*1000)*(1/0.79941)</f>
        <v/>
      </c>
      <c r="N76" s="206">
        <f>(([1]Consolidated!N76)*1000)*(1/0.79941)</f>
        <v/>
      </c>
    </row>
    <row r="77" ht="13.5" customHeight="1" s="150">
      <c r="A77" s="176" t="n"/>
      <c r="B77" s="176" t="n"/>
      <c r="C77" s="207" t="inlineStr">
        <is>
          <t xml:space="preserve">Operating expenses </t>
        </is>
      </c>
      <c r="D77" s="215">
        <f>(([1]Consolidated!D77)*1000)*(1/0.79941)</f>
        <v/>
      </c>
      <c r="E77" s="215">
        <f>(([1]Consolidated!E77)*1000)*(1/0.79941)</f>
        <v/>
      </c>
      <c r="F77" s="215">
        <f>(([1]Consolidated!F77)*1000)*(1/0.79941)</f>
        <v/>
      </c>
      <c r="G77" s="215">
        <f>(([1]Consolidated!G77)*1000)*(1/0.79941)</f>
        <v/>
      </c>
      <c r="H77" s="215">
        <f>(([1]Consolidated!H77)*1000)*(1/0.79941)</f>
        <v/>
      </c>
      <c r="I77" s="215">
        <f>(([1]Consolidated!I77)*1000)*(1/0.79941)</f>
        <v/>
      </c>
      <c r="J77" s="210">
        <f>(([1]Consolidated!J77)*1000)*(1/0.79941)</f>
        <v/>
      </c>
      <c r="K77" s="185" t="n"/>
      <c r="L77" s="210">
        <f>(([1]Consolidated!L77)*1000)*(1/0.79941)</f>
        <v/>
      </c>
      <c r="M77" s="215">
        <f>(([1]Consolidated!M77)*1000)*(1/0.79941)</f>
        <v/>
      </c>
      <c r="N77" s="210">
        <f>(([1]Consolidated!N77)*1000)*(1/0.79941)</f>
        <v/>
      </c>
    </row>
    <row r="78" ht="12.75" customHeight="1" s="150">
      <c r="C78" s="202" t="n"/>
      <c r="D78" s="211">
        <f>0*(1/0.79941)</f>
        <v/>
      </c>
      <c r="E78" s="211">
        <f>0*(1/0.79941)</f>
        <v/>
      </c>
      <c r="F78" s="211">
        <f>0*(1/0.79941)</f>
        <v/>
      </c>
      <c r="G78" s="211">
        <f>0*(1/0.79941)</f>
        <v/>
      </c>
      <c r="H78" s="211">
        <f>0*(1/0.79941)</f>
        <v/>
      </c>
      <c r="I78" s="211">
        <f>0*(1/0.79941)</f>
        <v/>
      </c>
      <c r="J78" s="218">
        <f>0*(1/0.79941)</f>
        <v/>
      </c>
      <c r="K78" s="185" t="n"/>
      <c r="L78" s="213">
        <f>0*(1/0.79941)</f>
        <v/>
      </c>
      <c r="M78" s="211">
        <f>0*(1/0.79941)</f>
        <v/>
      </c>
      <c r="N78" s="218">
        <f>0*(1/0.79941)</f>
        <v/>
      </c>
    </row>
    <row r="79" ht="12.75" customHeight="1" s="150">
      <c r="C79" s="202" t="inlineStr">
        <is>
          <t>HR &amp; Comms</t>
        </is>
      </c>
      <c r="D79" s="211">
        <f>(([1]Consolidated!D79)*1000)*(1/0.79941)</f>
        <v/>
      </c>
      <c r="E79" s="211">
        <f>(([1]Consolidated!E79)*1000)*(1/0.79941)</f>
        <v/>
      </c>
      <c r="F79" s="211">
        <f>(([1]Consolidated!F79)*1000)*(1/0.79941)</f>
        <v/>
      </c>
      <c r="G79" s="211">
        <f>(([1]Consolidated!G79)*1000)*(1/0.79941)</f>
        <v/>
      </c>
      <c r="H79" s="211">
        <f>(([1]Consolidated!H79)*1000)*(1/0.79941)</f>
        <v/>
      </c>
      <c r="I79" s="211">
        <f>(([1]Consolidated!I79)*1000)*(1/0.79941)</f>
        <v/>
      </c>
      <c r="J79" s="213">
        <f>(([1]Consolidated!J79)*1000)*(1/0.79941)</f>
        <v/>
      </c>
      <c r="K79" s="185" t="n"/>
      <c r="L79" s="213">
        <f>(([1]Consolidated!L79)*1000)*(1/0.79941)</f>
        <v/>
      </c>
      <c r="M79" s="211">
        <f>(([1]Consolidated!M79)*1000)*(1/0.79941)</f>
        <v/>
      </c>
      <c r="N79" s="206">
        <f>(([1]Consolidated!N79)*1000)*(1/0.79941)</f>
        <v/>
      </c>
    </row>
    <row r="80" ht="12.75" customHeight="1" s="150">
      <c r="C80" s="202" t="inlineStr">
        <is>
          <t>Finance &amp; Business Support</t>
        </is>
      </c>
      <c r="D80" s="211">
        <f>(([1]Consolidated!D80)*1000)*(1/0.79941)</f>
        <v/>
      </c>
      <c r="E80" s="211">
        <f>(([1]Consolidated!E80)*1000)*(1/0.79941)</f>
        <v/>
      </c>
      <c r="F80" s="211">
        <f>(([1]Consolidated!F80)*1000)*(1/0.79941)</f>
        <v/>
      </c>
      <c r="G80" s="211">
        <f>(([1]Consolidated!G80)*1000)*(1/0.79941)</f>
        <v/>
      </c>
      <c r="H80" s="211">
        <f>(([1]Consolidated!H80)*1000)*(1/0.79941)</f>
        <v/>
      </c>
      <c r="I80" s="211">
        <f>(([1]Consolidated!I80)*1000)*(1/0.79941)</f>
        <v/>
      </c>
      <c r="J80" s="213">
        <f>(([1]Consolidated!J80)*1000)*(1/0.79941)</f>
        <v/>
      </c>
      <c r="K80" s="185" t="n"/>
      <c r="L80" s="213">
        <f>(([1]Consolidated!L80)*1000)*(1/0.79941)</f>
        <v/>
      </c>
      <c r="M80" s="211">
        <f>(([1]Consolidated!M80)*1000)*(1/0.79941)</f>
        <v/>
      </c>
      <c r="N80" s="206">
        <f>(([1]Consolidated!N80)*1000)*(1/0.79941)</f>
        <v/>
      </c>
    </row>
    <row r="81" ht="12.75" customHeight="1" s="150">
      <c r="C81" s="202" t="inlineStr">
        <is>
          <t>IT alloc</t>
        </is>
      </c>
      <c r="D81" s="211">
        <f>(([1]Consolidated!D81)*1000)*(1/0.79941)</f>
        <v/>
      </c>
      <c r="E81" s="211">
        <f>(([1]Consolidated!E81)*1000)*(1/0.79941)</f>
        <v/>
      </c>
      <c r="F81" s="211">
        <f>(([1]Consolidated!F81)*1000)*(1/0.79941)</f>
        <v/>
      </c>
      <c r="G81" s="211">
        <f>(([1]Consolidated!G81)*1000)*(1/0.79941)</f>
        <v/>
      </c>
      <c r="H81" s="211">
        <f>(([1]Consolidated!H81)*1000)*(1/0.79941)</f>
        <v/>
      </c>
      <c r="I81" s="211">
        <f>(([1]Consolidated!I81)*1000)*(1/0.79941)</f>
        <v/>
      </c>
      <c r="J81" s="213">
        <f>(([1]Consolidated!J81)*1000)*(1/0.79941)</f>
        <v/>
      </c>
      <c r="K81" s="185" t="n"/>
      <c r="L81" s="213">
        <f>(([1]Consolidated!L81)*1000)*(1/0.79941)</f>
        <v/>
      </c>
      <c r="M81" s="211">
        <f>(([1]Consolidated!M81)*1000)*(1/0.79941)</f>
        <v/>
      </c>
      <c r="N81" s="206">
        <f>(([1]Consolidated!N81)*1000)*(1/0.79941)</f>
        <v/>
      </c>
    </row>
    <row r="82" ht="12.75" customHeight="1" s="150">
      <c r="C82" s="202" t="inlineStr">
        <is>
          <t>Facilities Management</t>
        </is>
      </c>
      <c r="D82" s="211">
        <f>(([1]Consolidated!D82)*1000)*(1/0.79941)</f>
        <v/>
      </c>
      <c r="E82" s="211">
        <f>(([1]Consolidated!E82)*1000)*(1/0.79941)</f>
        <v/>
      </c>
      <c r="F82" s="211">
        <f>(([1]Consolidated!F82)*1000)*(1/0.79941)</f>
        <v/>
      </c>
      <c r="G82" s="211">
        <f>(([1]Consolidated!G82)*1000)*(1/0.79941)</f>
        <v/>
      </c>
      <c r="H82" s="211">
        <f>(([1]Consolidated!H82)*1000)*(1/0.79941)</f>
        <v/>
      </c>
      <c r="I82" s="211">
        <f>(([1]Consolidated!I82)*1000)*(1/0.79941)</f>
        <v/>
      </c>
      <c r="J82" s="213">
        <f>(([1]Consolidated!J82)*1000)*(1/0.79941)</f>
        <v/>
      </c>
      <c r="K82" s="185" t="n"/>
      <c r="L82" s="213">
        <f>(([1]Consolidated!L82)*1000)*(1/0.79941)</f>
        <v/>
      </c>
      <c r="M82" s="211">
        <f>(([1]Consolidated!M82)*1000)*(1/0.79941)</f>
        <v/>
      </c>
      <c r="N82" s="206">
        <f>(([1]Consolidated!N82)*1000)*(1/0.79941)</f>
        <v/>
      </c>
    </row>
    <row r="83" ht="13.5" customHeight="1" s="150">
      <c r="C83" s="207" t="inlineStr">
        <is>
          <t>Overheads</t>
        </is>
      </c>
      <c r="D83" s="215">
        <f>(([1]Consolidated!D83)*1000)*(1/0.79941)</f>
        <v/>
      </c>
      <c r="E83" s="215">
        <f>(([1]Consolidated!E83)*1000)*(1/0.79941)</f>
        <v/>
      </c>
      <c r="F83" s="215">
        <f>(([1]Consolidated!F83)*1000)*(1/0.79941)</f>
        <v/>
      </c>
      <c r="G83" s="215">
        <f>(([1]Consolidated!G83)*1000)*(1/0.79941)</f>
        <v/>
      </c>
      <c r="H83" s="215">
        <f>(([1]Consolidated!H83)*1000)*(1/0.79941)</f>
        <v/>
      </c>
      <c r="I83" s="215">
        <f>(([1]Consolidated!I83)*1000)*(1/0.79941)</f>
        <v/>
      </c>
      <c r="J83" s="210">
        <f>(([1]Consolidated!J83)*1000)*(1/0.79941)</f>
        <v/>
      </c>
      <c r="K83" s="185" t="n"/>
      <c r="L83" s="210">
        <f>(([1]Consolidated!L83)*1000)*(1/0.79941)</f>
        <v/>
      </c>
      <c r="M83" s="215">
        <f>(([1]Consolidated!M83)*1000)*(1/0.79941)</f>
        <v/>
      </c>
      <c r="N83" s="210">
        <f>(([1]Consolidated!N83)*1000)*(1/0.79941)</f>
        <v/>
      </c>
    </row>
    <row r="84" ht="12.75" customHeight="1" s="150">
      <c r="C84" s="202" t="n"/>
      <c r="D84" s="211">
        <f>0*(1/0.79941)</f>
        <v/>
      </c>
      <c r="E84" s="211">
        <f>0*(1/0.79941)</f>
        <v/>
      </c>
      <c r="F84" s="211">
        <f>0*(1/0.79941)</f>
        <v/>
      </c>
      <c r="G84" s="211">
        <f>0*(1/0.79941)</f>
        <v/>
      </c>
      <c r="H84" s="211">
        <f>0*(1/0.79941)</f>
        <v/>
      </c>
      <c r="I84" s="211">
        <f>0*(1/0.79941)</f>
        <v/>
      </c>
      <c r="J84" s="218">
        <f>0*(1/0.79941)</f>
        <v/>
      </c>
      <c r="K84" s="185" t="n"/>
      <c r="L84" s="213">
        <f>0*(1/0.79941)</f>
        <v/>
      </c>
      <c r="M84" s="211">
        <f>0*(1/0.79941)</f>
        <v/>
      </c>
      <c r="N84" s="218">
        <f>0*(1/0.79941)</f>
        <v/>
      </c>
    </row>
    <row r="85" ht="13.5" customHeight="1" s="150">
      <c r="C85" s="207" t="inlineStr">
        <is>
          <t>Total Operating Costs (incl. O/H)</t>
        </is>
      </c>
      <c r="D85" s="215">
        <f>(([1]Consolidated!D85)*1000)*(1/0.79941)</f>
        <v/>
      </c>
      <c r="E85" s="215">
        <f>(([1]Consolidated!E85)*1000)*(1/0.79941)</f>
        <v/>
      </c>
      <c r="F85" s="215">
        <f>(([1]Consolidated!F85)*1000)*(1/0.79941)</f>
        <v/>
      </c>
      <c r="G85" s="215">
        <f>(([1]Consolidated!G85)*1000)*(1/0.79941)</f>
        <v/>
      </c>
      <c r="H85" s="215">
        <f>(([1]Consolidated!H85)*1000)*(1/0.79941)</f>
        <v/>
      </c>
      <c r="I85" s="215">
        <f>(([1]Consolidated!I85)*1000)*(1/0.79941)</f>
        <v/>
      </c>
      <c r="J85" s="210">
        <f>(([1]Consolidated!J85)*1000)*(1/0.79941)</f>
        <v/>
      </c>
      <c r="K85" s="185" t="n"/>
      <c r="L85" s="210">
        <f>(([1]Consolidated!L85)*1000)*(1/0.79941)</f>
        <v/>
      </c>
      <c r="M85" s="215">
        <f>(([1]Consolidated!M85)*1000)*(1/0.79941)</f>
        <v/>
      </c>
      <c r="N85" s="210">
        <f>(([1]Consolidated!N85)*1000)*(1/0.79941)</f>
        <v/>
      </c>
    </row>
    <row r="86"/>
    <row r="87"/>
    <row r="88" ht="13.5" customHeight="1" s="150"/>
    <row r="89" ht="45.75" customHeight="1" s="150">
      <c r="C89" s="219" t="inlineStr">
        <is>
          <t>PASS THROUGH COSTS
(US$  excl. VAT)</t>
        </is>
      </c>
      <c r="D89" s="220">
        <f>[1]Consolidated!D89</f>
        <v/>
      </c>
      <c r="E89" s="220">
        <f>[1]Consolidated!E89</f>
        <v/>
      </c>
      <c r="F89" s="220">
        <f>[1]Consolidated!F89</f>
        <v/>
      </c>
      <c r="G89" s="220">
        <f>[1]Consolidated!G89</f>
        <v/>
      </c>
      <c r="H89" s="220">
        <f>[1]Consolidated!H89</f>
        <v/>
      </c>
      <c r="I89" s="221">
        <f>[1]Consolidated!I89</f>
        <v/>
      </c>
      <c r="J89" s="222">
        <f>[1]Consolidated!J89</f>
        <v/>
      </c>
      <c r="K89" s="165" t="n"/>
      <c r="L89" s="220">
        <f>[1]Consolidated!L89</f>
        <v/>
      </c>
      <c r="M89" s="223">
        <f>[1]Consolidated!M89</f>
        <v/>
      </c>
      <c r="N89" s="220">
        <f>[1]Consolidated!N89</f>
        <v/>
      </c>
    </row>
    <row r="90" ht="12.75" customHeight="1" s="150">
      <c r="C90" s="224" t="inlineStr">
        <is>
          <t>Internal FTE</t>
        </is>
      </c>
      <c r="D90" s="231">
        <f>([1]Consolidated!D90)*(1/0.79941)</f>
        <v/>
      </c>
      <c r="E90" s="231">
        <f>([1]Consolidated!E90)*(1/0.79941)</f>
        <v/>
      </c>
      <c r="F90" s="231">
        <f>([1]Consolidated!F90)*(1/0.79941)</f>
        <v/>
      </c>
      <c r="G90" s="231">
        <f>([1]Consolidated!G90)*(1/0.79941)</f>
        <v/>
      </c>
      <c r="H90" s="231">
        <f>([1]Consolidated!H90)*(1/0.79941)</f>
        <v/>
      </c>
      <c r="I90" s="231">
        <f>([1]Consolidated!I90)*(1/0.79941)</f>
        <v/>
      </c>
      <c r="J90" s="232" t="n"/>
      <c r="K90" s="185" t="n"/>
      <c r="L90" s="233">
        <f>([1]Consolidated!L90)*(1/0.79941)</f>
        <v/>
      </c>
      <c r="M90" s="231">
        <f>([1]Consolidated!M90)*(1/0.79941)</f>
        <v/>
      </c>
      <c r="N90" s="234">
        <f>([1]Consolidated!N90)*(1/0.79941)</f>
        <v/>
      </c>
    </row>
    <row r="91" ht="12.75" customHeight="1" s="150">
      <c r="C91" s="224" t="inlineStr">
        <is>
          <t>External FTE</t>
        </is>
      </c>
      <c r="D91" s="231">
        <f>([1]Consolidated!D91)*(1/0.79941)</f>
        <v/>
      </c>
      <c r="E91" s="231">
        <f>([1]Consolidated!E91)*(1/0.79941)</f>
        <v/>
      </c>
      <c r="F91" s="231">
        <f>([1]Consolidated!F91)*(1/0.79941)</f>
        <v/>
      </c>
      <c r="G91" s="231">
        <f>([1]Consolidated!G91)*(1/0.79941)</f>
        <v/>
      </c>
      <c r="H91" s="231">
        <f>([1]Consolidated!H91)*(1/0.79941)</f>
        <v/>
      </c>
      <c r="I91" s="231">
        <f>([1]Consolidated!I91)*(1/0.79941)</f>
        <v/>
      </c>
      <c r="J91" s="232" t="n"/>
      <c r="K91" s="185" t="n"/>
      <c r="L91" s="233">
        <f>([1]Consolidated!L91)*(1/0.79941)</f>
        <v/>
      </c>
      <c r="M91" s="231">
        <f>([1]Consolidated!M91)*(1/0.79941)</f>
        <v/>
      </c>
      <c r="N91" s="234">
        <f>([1]Consolidated!N91)*(1/0.79941)</f>
        <v/>
      </c>
    </row>
    <row r="92" ht="13.5" customHeight="1" s="150">
      <c r="C92" s="228" t="inlineStr">
        <is>
          <t>Total FTE</t>
        </is>
      </c>
      <c r="D92" s="236">
        <f>([1]Consolidated!D92)*(1/0.79941)</f>
        <v/>
      </c>
      <c r="E92" s="236">
        <f>([1]Consolidated!E92)*(1/0.79941)</f>
        <v/>
      </c>
      <c r="F92" s="236">
        <f>([1]Consolidated!F92)*(1/0.79941)</f>
        <v/>
      </c>
      <c r="G92" s="236">
        <f>([1]Consolidated!G92)*(1/0.79941)</f>
        <v/>
      </c>
      <c r="H92" s="236">
        <f>([1]Consolidated!H92)*(1/0.79941)</f>
        <v/>
      </c>
      <c r="I92" s="236">
        <f>([1]Consolidated!I92)*(1/0.79941)</f>
        <v/>
      </c>
      <c r="J92" s="290" t="n"/>
      <c r="K92" s="185" t="n"/>
      <c r="L92" s="237">
        <f>([1]Consolidated!L92)*(1/0.79941)</f>
        <v/>
      </c>
      <c r="M92" s="236">
        <f>([1]Consolidated!M92)*(1/0.79941)</f>
        <v/>
      </c>
      <c r="N92" s="237">
        <f>([1]Consolidated!N92)*(1/0.79941)</f>
        <v/>
      </c>
    </row>
    <row r="93" ht="12.75" customHeight="1" s="150">
      <c r="C93" s="224" t="n"/>
      <c r="D93" s="231">
        <f>0*(1/0.79941)</f>
        <v/>
      </c>
      <c r="E93" s="231">
        <f>0*(1/0.79941)</f>
        <v/>
      </c>
      <c r="F93" s="231">
        <f>0*(1/0.79941)</f>
        <v/>
      </c>
      <c r="G93" s="231">
        <f>0*(1/0.79941)</f>
        <v/>
      </c>
      <c r="H93" s="231">
        <f>0*(1/0.79941)</f>
        <v/>
      </c>
      <c r="I93" s="231">
        <f>0*(1/0.79941)</f>
        <v/>
      </c>
      <c r="J93" s="232" t="n"/>
      <c r="K93" s="185" t="n"/>
      <c r="L93" s="233">
        <f>0*(1/0.79941)</f>
        <v/>
      </c>
      <c r="M93" s="231">
        <f>0*(1/0.79941)</f>
        <v/>
      </c>
      <c r="N93" s="234">
        <f>0*(1/0.79941)</f>
        <v/>
      </c>
    </row>
    <row r="94" ht="12.75" customHeight="1" s="150">
      <c r="C94" s="224" t="inlineStr">
        <is>
          <t>Salaries</t>
        </is>
      </c>
      <c r="D94" s="231">
        <f>(([1]Consolidated!D94)*1000)*(1/0.79941)</f>
        <v/>
      </c>
      <c r="E94" s="231">
        <f>(([1]Consolidated!E94)*1000)*(1/0.79941)</f>
        <v/>
      </c>
      <c r="F94" s="231">
        <f>(([1]Consolidated!F94)*1000)*(1/0.79941)</f>
        <v/>
      </c>
      <c r="G94" s="231">
        <f>(([1]Consolidated!G94)*1000)*(1/0.79941)</f>
        <v/>
      </c>
      <c r="H94" s="231">
        <f>(([1]Consolidated!H94)*1000)*(1/0.79941)</f>
        <v/>
      </c>
      <c r="I94" s="231">
        <f>(([1]Consolidated!I94)*1000)*(1/0.79941)</f>
        <v/>
      </c>
      <c r="J94" s="233">
        <f>(([1]Consolidated!J94)*1000)*(1/0.79941)</f>
        <v/>
      </c>
      <c r="K94" s="185" t="n"/>
      <c r="L94" s="233">
        <f>(([1]Consolidated!L94)*1000)*(1/0.79941)</f>
        <v/>
      </c>
      <c r="M94" s="231">
        <f>(([1]Consolidated!M94)*1000)*(1/0.79941)</f>
        <v/>
      </c>
      <c r="N94" s="234">
        <f>(([1]Consolidated!N94)*1000)*(1/0.79941)</f>
        <v/>
      </c>
    </row>
    <row r="95" ht="12.75" customHeight="1" s="150">
      <c r="C95" s="224" t="inlineStr">
        <is>
          <t>Bonuses</t>
        </is>
      </c>
      <c r="D95" s="231">
        <f>(([1]Consolidated!D95)*1000)*(1/0.79941)</f>
        <v/>
      </c>
      <c r="E95" s="231">
        <f>(([1]Consolidated!E95)*1000)*(1/0.79941)</f>
        <v/>
      </c>
      <c r="F95" s="231">
        <f>(([1]Consolidated!F95)*1000)*(1/0.79941)</f>
        <v/>
      </c>
      <c r="G95" s="231">
        <f>(([1]Consolidated!G95)*1000)*(1/0.79941)</f>
        <v/>
      </c>
      <c r="H95" s="231">
        <f>(([1]Consolidated!H95)*1000)*(1/0.79941)</f>
        <v/>
      </c>
      <c r="I95" s="231">
        <f>(([1]Consolidated!I95)*1000)*(1/0.79941)</f>
        <v/>
      </c>
      <c r="J95" s="233">
        <f>(([1]Consolidated!J95)*1000)*(1/0.79941)</f>
        <v/>
      </c>
      <c r="K95" s="185" t="n"/>
      <c r="L95" s="233">
        <f>(([1]Consolidated!L95)*1000)*(1/0.79941)</f>
        <v/>
      </c>
      <c r="M95" s="231">
        <f>(([1]Consolidated!M95)*1000)*(1/0.79941)</f>
        <v/>
      </c>
      <c r="N95" s="234">
        <f>(([1]Consolidated!N95)*1000)*(1/0.79941)</f>
        <v/>
      </c>
    </row>
    <row r="96" ht="12.75" customHeight="1" s="150">
      <c r="C96" s="224" t="inlineStr">
        <is>
          <t>Third party staff, ex IT</t>
        </is>
      </c>
      <c r="D96" s="231">
        <f>(([1]Consolidated!D96)*1000)*(1/0.79941)</f>
        <v/>
      </c>
      <c r="E96" s="231">
        <f>(([1]Consolidated!E96)*1000)*(1/0.79941)</f>
        <v/>
      </c>
      <c r="F96" s="231">
        <f>(([1]Consolidated!F96)*1000)*(1/0.79941)</f>
        <v/>
      </c>
      <c r="G96" s="231">
        <f>(([1]Consolidated!G96)*1000)*(1/0.79941)</f>
        <v/>
      </c>
      <c r="H96" s="231">
        <f>(([1]Consolidated!H96)*1000)*(1/0.79941)</f>
        <v/>
      </c>
      <c r="I96" s="231">
        <f>(([1]Consolidated!I96)*1000)*(1/0.79941)</f>
        <v/>
      </c>
      <c r="J96" s="233">
        <f>(([1]Consolidated!J96)*1000)*(1/0.79941)</f>
        <v/>
      </c>
      <c r="K96" s="185" t="n"/>
      <c r="L96" s="233">
        <f>(([1]Consolidated!L96)*1000)*(1/0.79941)</f>
        <v/>
      </c>
      <c r="M96" s="231">
        <f>(([1]Consolidated!M96)*1000)*(1/0.79941)</f>
        <v/>
      </c>
      <c r="N96" s="234">
        <f>(([1]Consolidated!N96)*1000)*(1/0.79941)</f>
        <v/>
      </c>
    </row>
    <row r="97" ht="12.75" customHeight="1" s="150">
      <c r="C97" s="224" t="inlineStr">
        <is>
          <t>Third party IT staff</t>
        </is>
      </c>
      <c r="D97" s="231">
        <f>(([1]Consolidated!D97)*1000)*(1/0.79941)</f>
        <v/>
      </c>
      <c r="E97" s="231">
        <f>(([1]Consolidated!E97)*1000)*(1/0.79941)</f>
        <v/>
      </c>
      <c r="F97" s="231">
        <f>(([1]Consolidated!F97)*1000)*(1/0.79941)</f>
        <v/>
      </c>
      <c r="G97" s="231">
        <f>(([1]Consolidated!G97)*1000)*(1/0.79941)</f>
        <v/>
      </c>
      <c r="H97" s="231">
        <f>(([1]Consolidated!H97)*1000)*(1/0.79941)</f>
        <v/>
      </c>
      <c r="I97" s="231">
        <f>(([1]Consolidated!I97)*1000)*(1/0.79941)</f>
        <v/>
      </c>
      <c r="J97" s="233">
        <f>(([1]Consolidated!J97)*1000)*(1/0.79941)</f>
        <v/>
      </c>
      <c r="K97" s="185" t="n"/>
      <c r="L97" s="233">
        <f>(([1]Consolidated!L97)*1000)*(1/0.79941)</f>
        <v/>
      </c>
      <c r="M97" s="231">
        <f>(([1]Consolidated!M97)*1000)*(1/0.79941)</f>
        <v/>
      </c>
      <c r="N97" s="234">
        <f>(([1]Consolidated!N97)*1000)*(1/0.79941)</f>
        <v/>
      </c>
    </row>
    <row r="98" ht="12.75" customHeight="1" s="150">
      <c r="C98" s="224" t="inlineStr">
        <is>
          <t>Employee education</t>
        </is>
      </c>
      <c r="D98" s="231">
        <f>(([1]Consolidated!D98)*1000)*(1/0.79941)</f>
        <v/>
      </c>
      <c r="E98" s="231">
        <f>(([1]Consolidated!E98)*1000)*(1/0.79941)</f>
        <v/>
      </c>
      <c r="F98" s="231">
        <f>(([1]Consolidated!F98)*1000)*(1/0.79941)</f>
        <v/>
      </c>
      <c r="G98" s="231">
        <f>(([1]Consolidated!G98)*1000)*(1/0.79941)</f>
        <v/>
      </c>
      <c r="H98" s="231">
        <f>(([1]Consolidated!H98)*1000)*(1/0.79941)</f>
        <v/>
      </c>
      <c r="I98" s="231">
        <f>(([1]Consolidated!I98)*1000)*(1/0.79941)</f>
        <v/>
      </c>
      <c r="J98" s="233">
        <f>(([1]Consolidated!J98)*1000)*(1/0.79941)</f>
        <v/>
      </c>
      <c r="K98" s="185" t="n"/>
      <c r="L98" s="233">
        <f>(([1]Consolidated!L98)*1000)*(1/0.79941)</f>
        <v/>
      </c>
      <c r="M98" s="231">
        <f>(([1]Consolidated!M98)*1000)*(1/0.79941)</f>
        <v/>
      </c>
      <c r="N98" s="234">
        <f>(([1]Consolidated!N98)*1000)*(1/0.79941)</f>
        <v/>
      </c>
    </row>
    <row r="99" ht="12.75" customHeight="1" s="150">
      <c r="C99" s="224" t="inlineStr">
        <is>
          <t>Other staff expenses</t>
        </is>
      </c>
      <c r="D99" s="231">
        <f>(([1]Consolidated!D99)*1000)*(1/0.79941)</f>
        <v/>
      </c>
      <c r="E99" s="231">
        <f>(([1]Consolidated!E99)*1000)*(1/0.79941)</f>
        <v/>
      </c>
      <c r="F99" s="231">
        <f>(([1]Consolidated!F99)*1000)*(1/0.79941)</f>
        <v/>
      </c>
      <c r="G99" s="231">
        <f>(([1]Consolidated!G99)*1000)*(1/0.79941)</f>
        <v/>
      </c>
      <c r="H99" s="231">
        <f>(([1]Consolidated!H99)*1000)*(1/0.79941)</f>
        <v/>
      </c>
      <c r="I99" s="231">
        <f>(([1]Consolidated!I99)*1000)*(1/0.79941)</f>
        <v/>
      </c>
      <c r="J99" s="235">
        <f>(([1]Consolidated!J99)*1000)*(1/0.79941)</f>
        <v/>
      </c>
      <c r="K99" s="185" t="n"/>
      <c r="L99" s="233">
        <f>(([1]Consolidated!L99)*1000)*(1/0.79941)</f>
        <v/>
      </c>
      <c r="M99" s="231">
        <f>(([1]Consolidated!M99)*1000)*(1/0.79941)</f>
        <v/>
      </c>
      <c r="N99" s="234">
        <f>(([1]Consolidated!N99)*1000)*(1/0.79941)</f>
        <v/>
      </c>
    </row>
    <row r="100" ht="13.5" customHeight="1" s="150">
      <c r="C100" s="228" t="inlineStr">
        <is>
          <t>Staff expenses</t>
        </is>
      </c>
      <c r="D100" s="236">
        <f>(([1]Consolidated!D100)*1000)*(1/0.79941)</f>
        <v/>
      </c>
      <c r="E100" s="236">
        <f>(([1]Consolidated!E100)*1000)*(1/0.79941)</f>
        <v/>
      </c>
      <c r="F100" s="236">
        <f>(([1]Consolidated!F100)*1000)*(1/0.79941)</f>
        <v/>
      </c>
      <c r="G100" s="236">
        <f>(([1]Consolidated!G100)*1000)*(1/0.79941)</f>
        <v/>
      </c>
      <c r="H100" s="236">
        <f>(([1]Consolidated!H100)*1000)*(1/0.79941)</f>
        <v/>
      </c>
      <c r="I100" s="236">
        <f>(([1]Consolidated!I100)*1000)*(1/0.79941)</f>
        <v/>
      </c>
      <c r="J100" s="237">
        <f>(([1]Consolidated!J100)*1000)*(1/0.79941)</f>
        <v/>
      </c>
      <c r="K100" s="185" t="n"/>
      <c r="L100" s="237">
        <f>(([1]Consolidated!L100)*1000)*(1/0.79941)</f>
        <v/>
      </c>
      <c r="M100" s="236">
        <f>(([1]Consolidated!M100)*1000)*(1/0.79941)</f>
        <v/>
      </c>
      <c r="N100" s="237">
        <f>(([1]Consolidated!N100)*1000)*(1/0.79941)</f>
        <v/>
      </c>
    </row>
    <row r="101" ht="12.75" customHeight="1" s="150">
      <c r="C101" s="224" t="inlineStr">
        <is>
          <t>Hardware expenses</t>
        </is>
      </c>
      <c r="D101" s="231">
        <f>(([1]Consolidated!D101)*1000)*(1/0.79941)</f>
        <v/>
      </c>
      <c r="E101" s="231">
        <f>(([1]Consolidated!E101)*1000)*(1/0.79941)</f>
        <v/>
      </c>
      <c r="F101" s="231">
        <f>(([1]Consolidated!F101)*1000)*(1/0.79941)</f>
        <v/>
      </c>
      <c r="G101" s="231">
        <f>(([1]Consolidated!G101)*1000)*(1/0.79941)</f>
        <v/>
      </c>
      <c r="H101" s="231">
        <f>(([1]Consolidated!H101)*1000)*(1/0.79941)</f>
        <v/>
      </c>
      <c r="I101" s="231">
        <f>(([1]Consolidated!I101)*1000)*(1/0.79941)</f>
        <v/>
      </c>
      <c r="J101" s="233">
        <f>(([1]Consolidated!J101)*1000)*(1/0.79941)</f>
        <v/>
      </c>
      <c r="K101" s="185" t="n"/>
      <c r="L101" s="233">
        <f>(([1]Consolidated!L101)*1000)*(1/0.79941)</f>
        <v/>
      </c>
      <c r="M101" s="231">
        <f>(([1]Consolidated!M101)*1000)*(1/0.79941)</f>
        <v/>
      </c>
      <c r="N101" s="234">
        <f>(([1]Consolidated!N101)*1000)*(1/0.79941)</f>
        <v/>
      </c>
    </row>
    <row r="102" ht="12.75" customHeight="1" s="150">
      <c r="C102" s="224" t="inlineStr">
        <is>
          <t>Leasing/renting hardware</t>
        </is>
      </c>
      <c r="D102" s="231">
        <f>(([1]Consolidated!D102)*1000)*(1/0.79941)</f>
        <v/>
      </c>
      <c r="E102" s="231">
        <f>(([1]Consolidated!E102)*1000)*(1/0.79941)</f>
        <v/>
      </c>
      <c r="F102" s="231">
        <f>(([1]Consolidated!F102)*1000)*(1/0.79941)</f>
        <v/>
      </c>
      <c r="G102" s="231">
        <f>(([1]Consolidated!G102)*1000)*(1/0.79941)</f>
        <v/>
      </c>
      <c r="H102" s="231">
        <f>(([1]Consolidated!H102)*1000)*(1/0.79941)</f>
        <v/>
      </c>
      <c r="I102" s="231">
        <f>(([1]Consolidated!I102)*1000)*(1/0.79941)</f>
        <v/>
      </c>
      <c r="J102" s="233">
        <f>(([1]Consolidated!J102)*1000)*(1/0.79941)</f>
        <v/>
      </c>
      <c r="K102" s="185" t="n"/>
      <c r="L102" s="233">
        <f>(([1]Consolidated!L102)*1000)*(1/0.79941)</f>
        <v/>
      </c>
      <c r="M102" s="231">
        <f>(([1]Consolidated!M102)*1000)*(1/0.79941)</f>
        <v/>
      </c>
      <c r="N102" s="234">
        <f>(([1]Consolidated!N102)*1000)*(1/0.79941)</f>
        <v/>
      </c>
    </row>
    <row r="103" ht="12.75" customHeight="1" s="150">
      <c r="C103" s="224" t="inlineStr">
        <is>
          <t>Software expenses</t>
        </is>
      </c>
      <c r="D103" s="231">
        <f>(([1]Consolidated!D103)*1000)*(1/0.79941)</f>
        <v/>
      </c>
      <c r="E103" s="231">
        <f>(([1]Consolidated!E103)*1000)*(1/0.79941)</f>
        <v/>
      </c>
      <c r="F103" s="231">
        <f>(([1]Consolidated!F103)*1000)*(1/0.79941)</f>
        <v/>
      </c>
      <c r="G103" s="231">
        <f>(([1]Consolidated!G103)*1000)*(1/0.79941)</f>
        <v/>
      </c>
      <c r="H103" s="231">
        <f>(([1]Consolidated!H103)*1000)*(1/0.79941)</f>
        <v/>
      </c>
      <c r="I103" s="231">
        <f>(([1]Consolidated!I103)*1000)*(1/0.79941)</f>
        <v/>
      </c>
      <c r="J103" s="233">
        <f>(([1]Consolidated!J103)*1000)*(1/0.79941)</f>
        <v/>
      </c>
      <c r="K103" s="185" t="n"/>
      <c r="L103" s="233">
        <f>(([1]Consolidated!L103)*1000)*(1/0.79941)</f>
        <v/>
      </c>
      <c r="M103" s="231">
        <f>(([1]Consolidated!M103)*1000)*(1/0.79941)</f>
        <v/>
      </c>
      <c r="N103" s="234">
        <f>(([1]Consolidated!N103)*1000)*(1/0.79941)</f>
        <v/>
      </c>
    </row>
    <row r="104" ht="12.75" customHeight="1" s="150">
      <c r="C104" s="224" t="inlineStr">
        <is>
          <t>Leasing/renting/licenses sw</t>
        </is>
      </c>
      <c r="D104" s="231">
        <f>(([1]Consolidated!D104)*1000)*(1/0.79941)</f>
        <v/>
      </c>
      <c r="E104" s="231">
        <f>(([1]Consolidated!E104)*1000)*(1/0.79941)</f>
        <v/>
      </c>
      <c r="F104" s="231">
        <f>(([1]Consolidated!F104)*1000)*(1/0.79941)</f>
        <v/>
      </c>
      <c r="G104" s="231">
        <f>(([1]Consolidated!G104)*1000)*(1/0.79941)</f>
        <v/>
      </c>
      <c r="H104" s="231">
        <f>(([1]Consolidated!H104)*1000)*(1/0.79941)</f>
        <v/>
      </c>
      <c r="I104" s="231">
        <f>(([1]Consolidated!I104)*1000)*(1/0.79941)</f>
        <v/>
      </c>
      <c r="J104" s="233">
        <f>(([1]Consolidated!J104)*1000)*(1/0.79941)</f>
        <v/>
      </c>
      <c r="K104" s="185" t="n"/>
      <c r="L104" s="233">
        <f>(([1]Consolidated!L104)*1000)*(1/0.79941)</f>
        <v/>
      </c>
      <c r="M104" s="231">
        <f>(([1]Consolidated!M104)*1000)*(1/0.79941)</f>
        <v/>
      </c>
      <c r="N104" s="234">
        <f>(([1]Consolidated!N104)*1000)*(1/0.79941)</f>
        <v/>
      </c>
    </row>
    <row r="105" ht="12.75" customHeight="1" s="150">
      <c r="C105" s="224" t="inlineStr">
        <is>
          <t>Depreciation hardware</t>
        </is>
      </c>
      <c r="D105" s="231">
        <f>(([1]Consolidated!D105)*1000)*(1/0.79941)</f>
        <v/>
      </c>
      <c r="E105" s="231">
        <f>(([1]Consolidated!E105)*1000)*(1/0.79941)</f>
        <v/>
      </c>
      <c r="F105" s="231">
        <f>(([1]Consolidated!F105)*1000)*(1/0.79941)</f>
        <v/>
      </c>
      <c r="G105" s="231">
        <f>(([1]Consolidated!G105)*1000)*(1/0.79941)</f>
        <v/>
      </c>
      <c r="H105" s="231">
        <f>(([1]Consolidated!H105)*1000)*(1/0.79941)</f>
        <v/>
      </c>
      <c r="I105" s="231">
        <f>(([1]Consolidated!I105)*1000)*(1/0.79941)</f>
        <v/>
      </c>
      <c r="J105" s="233">
        <f>(([1]Consolidated!J105)*1000)*(1/0.79941)</f>
        <v/>
      </c>
      <c r="K105" s="185" t="n"/>
      <c r="L105" s="233">
        <f>(([1]Consolidated!L105)*1000)*(1/0.79941)</f>
        <v/>
      </c>
      <c r="M105" s="231">
        <f>(([1]Consolidated!M105)*1000)*(1/0.79941)</f>
        <v/>
      </c>
      <c r="N105" s="234">
        <f>(([1]Consolidated!N105)*1000)*(1/0.79941)</f>
        <v/>
      </c>
    </row>
    <row r="106" ht="12.75" customHeight="1" s="150">
      <c r="C106" s="224" t="inlineStr">
        <is>
          <t>Depreciation software</t>
        </is>
      </c>
      <c r="D106" s="231">
        <f>(([1]Consolidated!D106)*1000)*(1/0.79941)</f>
        <v/>
      </c>
      <c r="E106" s="231">
        <f>(([1]Consolidated!E106)*1000)*(1/0.79941)</f>
        <v/>
      </c>
      <c r="F106" s="231">
        <f>(([1]Consolidated!F106)*1000)*(1/0.79941)</f>
        <v/>
      </c>
      <c r="G106" s="231">
        <f>(([1]Consolidated!G106)*1000)*(1/0.79941)</f>
        <v/>
      </c>
      <c r="H106" s="231">
        <f>(([1]Consolidated!H106)*1000)*(1/0.79941)</f>
        <v/>
      </c>
      <c r="I106" s="231">
        <f>(([1]Consolidated!I106)*1000)*(1/0.79941)</f>
        <v/>
      </c>
      <c r="J106" s="233">
        <f>(([1]Consolidated!J106)*1000)*(1/0.79941)</f>
        <v/>
      </c>
      <c r="K106" s="185" t="n"/>
      <c r="L106" s="233">
        <f>(([1]Consolidated!L106)*1000)*(1/0.79941)</f>
        <v/>
      </c>
      <c r="M106" s="231">
        <f>(([1]Consolidated!M106)*1000)*(1/0.79941)</f>
        <v/>
      </c>
      <c r="N106" s="234">
        <f>(([1]Consolidated!N106)*1000)*(1/0.79941)</f>
        <v/>
      </c>
    </row>
    <row r="107" ht="12.75" customHeight="1" s="150">
      <c r="C107" s="224" t="inlineStr">
        <is>
          <t>Outsourcing IT activities</t>
        </is>
      </c>
      <c r="D107" s="231">
        <f>(([1]Consolidated!D107)*1000)*(1/0.79941)</f>
        <v/>
      </c>
      <c r="E107" s="231">
        <f>(([1]Consolidated!E107)*1000)*(1/0.79941)</f>
        <v/>
      </c>
      <c r="F107" s="231">
        <f>(([1]Consolidated!F107)*1000)*(1/0.79941)</f>
        <v/>
      </c>
      <c r="G107" s="231">
        <f>(([1]Consolidated!G107)*1000)*(1/0.79941)</f>
        <v/>
      </c>
      <c r="H107" s="231">
        <f>(([1]Consolidated!H107)*1000)*(1/0.79941)</f>
        <v/>
      </c>
      <c r="I107" s="231">
        <f>(([1]Consolidated!I107)*1000)*(1/0.79941)</f>
        <v/>
      </c>
      <c r="J107" s="233">
        <f>(([1]Consolidated!J107)*1000)*(1/0.79941)</f>
        <v/>
      </c>
      <c r="K107" s="185" t="n"/>
      <c r="L107" s="233">
        <f>(([1]Consolidated!L107)*1000)*(1/0.79941)</f>
        <v/>
      </c>
      <c r="M107" s="231">
        <f>(([1]Consolidated!M107)*1000)*(1/0.79941)</f>
        <v/>
      </c>
      <c r="N107" s="234">
        <f>(([1]Consolidated!N107)*1000)*(1/0.79941)</f>
        <v/>
      </c>
    </row>
    <row r="108" ht="12.75" customHeight="1" s="150">
      <c r="C108" s="224" t="inlineStr">
        <is>
          <t>Other IT expenses</t>
        </is>
      </c>
      <c r="D108" s="231">
        <f>(([1]Consolidated!D108)*1000)*(1/0.79941)</f>
        <v/>
      </c>
      <c r="E108" s="231">
        <f>(([1]Consolidated!E108)*1000)*(1/0.79941)</f>
        <v/>
      </c>
      <c r="F108" s="231">
        <f>(([1]Consolidated!F108)*1000)*(1/0.79941)</f>
        <v/>
      </c>
      <c r="G108" s="231">
        <f>(([1]Consolidated!G108)*1000)*(1/0.79941)</f>
        <v/>
      </c>
      <c r="H108" s="231">
        <f>(([1]Consolidated!H108)*1000)*(1/0.79941)</f>
        <v/>
      </c>
      <c r="I108" s="231">
        <f>(([1]Consolidated!I108)*1000)*(1/0.79941)</f>
        <v/>
      </c>
      <c r="J108" s="233">
        <f>(([1]Consolidated!J108)*1000)*(1/0.79941)</f>
        <v/>
      </c>
      <c r="K108" s="185" t="n"/>
      <c r="L108" s="233">
        <f>(([1]Consolidated!L108)*1000)*(1/0.79941)</f>
        <v/>
      </c>
      <c r="M108" s="231">
        <f>(([1]Consolidated!M108)*1000)*(1/0.79941)</f>
        <v/>
      </c>
      <c r="N108" s="234">
        <f>(([1]Consolidated!N108)*1000)*(1/0.79941)</f>
        <v/>
      </c>
    </row>
    <row r="109" ht="13.5" customHeight="1" s="150">
      <c r="C109" s="228" t="inlineStr">
        <is>
          <t>EDP expenses</t>
        </is>
      </c>
      <c r="D109" s="236">
        <f>(([1]Consolidated!D109)*1000)*(1/0.79941)</f>
        <v/>
      </c>
      <c r="E109" s="236">
        <f>(([1]Consolidated!E109)*1000)*(1/0.79941)</f>
        <v/>
      </c>
      <c r="F109" s="236">
        <f>(([1]Consolidated!F109)*1000)*(1/0.79941)</f>
        <v/>
      </c>
      <c r="G109" s="236">
        <f>(([1]Consolidated!G109)*1000)*(1/0.79941)</f>
        <v/>
      </c>
      <c r="H109" s="236">
        <f>(([1]Consolidated!H109)*1000)*(1/0.79941)</f>
        <v/>
      </c>
      <c r="I109" s="236">
        <f>(([1]Consolidated!I109)*1000)*(1/0.79941)</f>
        <v/>
      </c>
      <c r="J109" s="237">
        <f>(([1]Consolidated!J109)*1000)*(1/0.79941)</f>
        <v/>
      </c>
      <c r="K109" s="185" t="n"/>
      <c r="L109" s="237">
        <f>(([1]Consolidated!L109)*1000)*(1/0.79941)</f>
        <v/>
      </c>
      <c r="M109" s="236">
        <f>(([1]Consolidated!M109)*1000)*(1/0.79941)</f>
        <v/>
      </c>
      <c r="N109" s="237">
        <f>(([1]Consolidated!N109)*1000)*(1/0.79941)</f>
        <v/>
      </c>
    </row>
    <row r="110" ht="12.75" customHeight="1" s="150">
      <c r="C110" s="224" t="inlineStr">
        <is>
          <t>Telecom expenses</t>
        </is>
      </c>
      <c r="D110" s="231">
        <f>(([1]Consolidated!D110)*1000)*(1/0.79941)</f>
        <v/>
      </c>
      <c r="E110" s="231">
        <f>(([1]Consolidated!E110)*1000)*(1/0.79941)</f>
        <v/>
      </c>
      <c r="F110" s="231">
        <f>(([1]Consolidated!F110)*1000)*(1/0.79941)</f>
        <v/>
      </c>
      <c r="G110" s="231">
        <f>(([1]Consolidated!G110)*1000)*(1/0.79941)</f>
        <v/>
      </c>
      <c r="H110" s="231">
        <f>(([1]Consolidated!H110)*1000)*(1/0.79941)</f>
        <v/>
      </c>
      <c r="I110" s="231">
        <f>(([1]Consolidated!I110)*1000)*(1/0.79941)</f>
        <v/>
      </c>
      <c r="J110" s="233">
        <f>(([1]Consolidated!J110)*1000)*(1/0.79941)</f>
        <v/>
      </c>
      <c r="K110" s="185" t="n"/>
      <c r="L110" s="233">
        <f>(([1]Consolidated!L110)*1000)*(1/0.79941)</f>
        <v/>
      </c>
      <c r="M110" s="231">
        <f>(([1]Consolidated!M110)*1000)*(1/0.79941)</f>
        <v/>
      </c>
      <c r="N110" s="234">
        <f>(([1]Consolidated!N110)*1000)*(1/0.79941)</f>
        <v/>
      </c>
    </row>
    <row r="111" ht="12.75" customHeight="1" s="150">
      <c r="C111" s="224" t="inlineStr">
        <is>
          <t>Office equipment and supplies</t>
        </is>
      </c>
      <c r="D111" s="231">
        <f>(([1]Consolidated!D111)*1000)*(1/0.79941)</f>
        <v/>
      </c>
      <c r="E111" s="231">
        <f>(([1]Consolidated!E111)*1000)*(1/0.79941)</f>
        <v/>
      </c>
      <c r="F111" s="231">
        <f>(([1]Consolidated!F111)*1000)*(1/0.79941)</f>
        <v/>
      </c>
      <c r="G111" s="231">
        <f>(([1]Consolidated!G111)*1000)*(1/0.79941)</f>
        <v/>
      </c>
      <c r="H111" s="231">
        <f>(([1]Consolidated!H111)*1000)*(1/0.79941)</f>
        <v/>
      </c>
      <c r="I111" s="231">
        <f>(([1]Consolidated!I111)*1000)*(1/0.79941)</f>
        <v/>
      </c>
      <c r="J111" s="233">
        <f>(([1]Consolidated!J111)*1000)*(1/0.79941)</f>
        <v/>
      </c>
      <c r="K111" s="185" t="n"/>
      <c r="L111" s="233">
        <f>(([1]Consolidated!L111)*1000)*(1/0.79941)</f>
        <v/>
      </c>
      <c r="M111" s="231">
        <f>(([1]Consolidated!M111)*1000)*(1/0.79941)</f>
        <v/>
      </c>
      <c r="N111" s="234">
        <f>(([1]Consolidated!N111)*1000)*(1/0.79941)</f>
        <v/>
      </c>
    </row>
    <row r="112" ht="12.75" customHeight="1" s="150">
      <c r="C112" s="224" t="inlineStr">
        <is>
          <t>Accomodation expenses</t>
        </is>
      </c>
      <c r="D112" s="231">
        <f>(([1]Consolidated!D112)*1000)*(1/0.79941)</f>
        <v/>
      </c>
      <c r="E112" s="231">
        <f>(([1]Consolidated!E112)*1000)*(1/0.79941)</f>
        <v/>
      </c>
      <c r="F112" s="231">
        <f>(([1]Consolidated!F112)*1000)*(1/0.79941)</f>
        <v/>
      </c>
      <c r="G112" s="231">
        <f>(([1]Consolidated!G112)*1000)*(1/0.79941)</f>
        <v/>
      </c>
      <c r="H112" s="231">
        <f>(([1]Consolidated!H112)*1000)*(1/0.79941)</f>
        <v/>
      </c>
      <c r="I112" s="231">
        <f>(([1]Consolidated!I112)*1000)*(1/0.79941)</f>
        <v/>
      </c>
      <c r="J112" s="233">
        <f>(([1]Consolidated!J112)*1000)*(1/0.79941)</f>
        <v/>
      </c>
      <c r="K112" s="185" t="n"/>
      <c r="L112" s="233">
        <f>(([1]Consolidated!L112)*1000)*(1/0.79941)</f>
        <v/>
      </c>
      <c r="M112" s="231">
        <f>(([1]Consolidated!M112)*1000)*(1/0.79941)</f>
        <v/>
      </c>
      <c r="N112" s="234">
        <f>(([1]Consolidated!N112)*1000)*(1/0.79941)</f>
        <v/>
      </c>
    </row>
    <row r="113" ht="12.75" customHeight="1" s="150">
      <c r="C113" s="224" t="inlineStr">
        <is>
          <t>Travel costs</t>
        </is>
      </c>
      <c r="D113" s="231">
        <f>(([1]Consolidated!D113)*1000)*(1/0.79941)</f>
        <v/>
      </c>
      <c r="E113" s="231">
        <f>(([1]Consolidated!E113)*1000)*(1/0.79941)</f>
        <v/>
      </c>
      <c r="F113" s="231">
        <f>(([1]Consolidated!F113)*1000)*(1/0.79941)</f>
        <v/>
      </c>
      <c r="G113" s="231">
        <f>(([1]Consolidated!G113)*1000)*(1/0.79941)</f>
        <v/>
      </c>
      <c r="H113" s="231">
        <f>(([1]Consolidated!H113)*1000)*(1/0.79941)</f>
        <v/>
      </c>
      <c r="I113" s="231">
        <f>(([1]Consolidated!I113)*1000)*(1/0.79941)</f>
        <v/>
      </c>
      <c r="J113" s="233">
        <f>(([1]Consolidated!J113)*1000)*(1/0.79941)</f>
        <v/>
      </c>
      <c r="K113" s="185" t="n"/>
      <c r="L113" s="233">
        <f>(([1]Consolidated!L113)*1000)*(1/0.79941)</f>
        <v/>
      </c>
      <c r="M113" s="231">
        <f>(([1]Consolidated!M113)*1000)*(1/0.79941)</f>
        <v/>
      </c>
      <c r="N113" s="234">
        <f>(([1]Consolidated!N113)*1000)*(1/0.79941)</f>
        <v/>
      </c>
    </row>
    <row r="114" ht="12.75" customHeight="1" s="150">
      <c r="C114" s="224" t="inlineStr">
        <is>
          <t>Postal and freight charges</t>
        </is>
      </c>
      <c r="D114" s="231">
        <f>(([1]Consolidated!D114)*1000)*(1/0.79941)</f>
        <v/>
      </c>
      <c r="E114" s="231">
        <f>(([1]Consolidated!E114)*1000)*(1/0.79941)</f>
        <v/>
      </c>
      <c r="F114" s="231">
        <f>(([1]Consolidated!F114)*1000)*(1/0.79941)</f>
        <v/>
      </c>
      <c r="G114" s="231">
        <f>(([1]Consolidated!G114)*1000)*(1/0.79941)</f>
        <v/>
      </c>
      <c r="H114" s="231">
        <f>(([1]Consolidated!H114)*1000)*(1/0.79941)</f>
        <v/>
      </c>
      <c r="I114" s="231">
        <f>(([1]Consolidated!I114)*1000)*(1/0.79941)</f>
        <v/>
      </c>
      <c r="J114" s="233">
        <f>(([1]Consolidated!J114)*1000)*(1/0.79941)</f>
        <v/>
      </c>
      <c r="K114" s="185" t="n"/>
      <c r="L114" s="233">
        <f>(([1]Consolidated!L114)*1000)*(1/0.79941)</f>
        <v/>
      </c>
      <c r="M114" s="231">
        <f>(([1]Consolidated!M114)*1000)*(1/0.79941)</f>
        <v/>
      </c>
      <c r="N114" s="234">
        <f>(([1]Consolidated!N114)*1000)*(1/0.79941)</f>
        <v/>
      </c>
    </row>
    <row r="115" ht="12.75" customHeight="1" s="150">
      <c r="C115" s="224" t="inlineStr">
        <is>
          <t>Prof serv and ext advisory fee</t>
        </is>
      </c>
      <c r="D115" s="231">
        <f>(([1]Consolidated!D115)*1000)*(1/0.79941)</f>
        <v/>
      </c>
      <c r="E115" s="231">
        <f>(([1]Consolidated!E115)*1000)*(1/0.79941)</f>
        <v/>
      </c>
      <c r="F115" s="231">
        <f>(([1]Consolidated!F115)*1000)*(1/0.79941)</f>
        <v/>
      </c>
      <c r="G115" s="231">
        <f>(([1]Consolidated!G115)*1000)*(1/0.79941)</f>
        <v/>
      </c>
      <c r="H115" s="231">
        <f>(([1]Consolidated!H115)*1000)*(1/0.79941)</f>
        <v/>
      </c>
      <c r="I115" s="231">
        <f>(([1]Consolidated!I115)*1000)*(1/0.79941)</f>
        <v/>
      </c>
      <c r="J115" s="233">
        <f>(([1]Consolidated!J115)*1000)*(1/0.79941)</f>
        <v/>
      </c>
      <c r="K115" s="185" t="n"/>
      <c r="L115" s="233">
        <f>(([1]Consolidated!L115)*1000)*(1/0.79941)</f>
        <v/>
      </c>
      <c r="M115" s="231">
        <f>(([1]Consolidated!M115)*1000)*(1/0.79941)</f>
        <v/>
      </c>
      <c r="N115" s="234">
        <f>(([1]Consolidated!N115)*1000)*(1/0.79941)</f>
        <v/>
      </c>
    </row>
    <row r="116" ht="12.75" customHeight="1" s="150">
      <c r="C116" s="224" t="inlineStr">
        <is>
          <t>Payment transfer expenses</t>
        </is>
      </c>
      <c r="D116" s="231">
        <f>(([1]Consolidated!D116)*1000)*(1/0.79941)</f>
        <v/>
      </c>
      <c r="E116" s="231">
        <f>(([1]Consolidated!E116)*1000)*(1/0.79941)</f>
        <v/>
      </c>
      <c r="F116" s="231">
        <f>(([1]Consolidated!F116)*1000)*(1/0.79941)</f>
        <v/>
      </c>
      <c r="G116" s="231">
        <f>(([1]Consolidated!G116)*1000)*(1/0.79941)</f>
        <v/>
      </c>
      <c r="H116" s="231">
        <f>(([1]Consolidated!H116)*1000)*(1/0.79941)</f>
        <v/>
      </c>
      <c r="I116" s="231">
        <f>(([1]Consolidated!I116)*1000)*(1/0.79941)</f>
        <v/>
      </c>
      <c r="J116" s="233">
        <f>(([1]Consolidated!J116)*1000)*(1/0.79941)</f>
        <v/>
      </c>
      <c r="K116" s="185" t="n"/>
      <c r="L116" s="233">
        <f>(([1]Consolidated!L116)*1000)*(1/0.79941)</f>
        <v/>
      </c>
      <c r="M116" s="231">
        <f>(([1]Consolidated!M116)*1000)*(1/0.79941)</f>
        <v/>
      </c>
      <c r="N116" s="234">
        <f>(([1]Consolidated!N116)*1000)*(1/0.79941)</f>
        <v/>
      </c>
    </row>
    <row r="117" ht="12.75" customHeight="1" s="150">
      <c r="C117" s="224" t="inlineStr">
        <is>
          <t>Other costs</t>
        </is>
      </c>
      <c r="D117" s="231">
        <f>(([1]Consolidated!D117)*1000)*(1/0.79941)</f>
        <v/>
      </c>
      <c r="E117" s="231">
        <f>(([1]Consolidated!E117)*1000)*(1/0.79941)</f>
        <v/>
      </c>
      <c r="F117" s="231">
        <f>(([1]Consolidated!F117)*1000)*(1/0.79941)</f>
        <v/>
      </c>
      <c r="G117" s="231">
        <f>(([1]Consolidated!G117)*1000)*(1/0.79941)</f>
        <v/>
      </c>
      <c r="H117" s="231">
        <f>(([1]Consolidated!H117)*1000)*(1/0.79941)</f>
        <v/>
      </c>
      <c r="I117" s="231">
        <f>(([1]Consolidated!I117)*1000)*(1/0.79941)</f>
        <v/>
      </c>
      <c r="J117" s="233">
        <f>(([1]Consolidated!J117)*1000)*(1/0.79941)</f>
        <v/>
      </c>
      <c r="K117" s="185" t="n"/>
      <c r="L117" s="233">
        <f>(([1]Consolidated!L117)*1000)*(1/0.79941)</f>
        <v/>
      </c>
      <c r="M117" s="231">
        <f>(([1]Consolidated!M117)*1000)*(1/0.79941)</f>
        <v/>
      </c>
      <c r="N117" s="234">
        <f>(([1]Consolidated!N117)*1000)*(1/0.79941)</f>
        <v/>
      </c>
    </row>
    <row r="118" ht="13.5" customHeight="1" s="150">
      <c r="C118" s="228" t="inlineStr">
        <is>
          <t>General expenses</t>
        </is>
      </c>
      <c r="D118" s="236">
        <f>(([1]Consolidated!D118)*1000)*(1/0.79941)</f>
        <v/>
      </c>
      <c r="E118" s="236">
        <f>(([1]Consolidated!E118)*1000)*(1/0.79941)</f>
        <v/>
      </c>
      <c r="F118" s="236">
        <f>(([1]Consolidated!F118)*1000)*(1/0.79941)</f>
        <v/>
      </c>
      <c r="G118" s="236">
        <f>(([1]Consolidated!G118)*1000)*(1/0.79941)</f>
        <v/>
      </c>
      <c r="H118" s="236">
        <f>(([1]Consolidated!H118)*1000)*(1/0.79941)</f>
        <v/>
      </c>
      <c r="I118" s="236">
        <f>(([1]Consolidated!I118)*1000)*(1/0.79941)</f>
        <v/>
      </c>
      <c r="J118" s="237">
        <f>(([1]Consolidated!J118)*1000)*(1/0.79941)</f>
        <v/>
      </c>
      <c r="K118" s="185" t="n"/>
      <c r="L118" s="237">
        <f>(([1]Consolidated!L118)*1000)*(1/0.79941)</f>
        <v/>
      </c>
      <c r="M118" s="236">
        <f>(([1]Consolidated!M118)*1000)*(1/0.79941)</f>
        <v/>
      </c>
      <c r="N118" s="237">
        <f>(([1]Consolidated!N118)*1000)*(1/0.79941)</f>
        <v/>
      </c>
    </row>
    <row r="119" ht="12.75" customHeight="1" s="150">
      <c r="C119" s="224" t="inlineStr">
        <is>
          <t>Own expenses</t>
        </is>
      </c>
      <c r="D119" s="231">
        <f>(([1]Consolidated!D119)*1000)*(1/0.79941)</f>
        <v/>
      </c>
      <c r="E119" s="231">
        <f>(([1]Consolidated!E119)*1000)*(1/0.79941)</f>
        <v/>
      </c>
      <c r="F119" s="231">
        <f>(([1]Consolidated!F119)*1000)*(1/0.79941)</f>
        <v/>
      </c>
      <c r="G119" s="231">
        <f>(([1]Consolidated!G119)*1000)*(1/0.79941)</f>
        <v/>
      </c>
      <c r="H119" s="231">
        <f>(([1]Consolidated!H119)*1000)*(1/0.79941)</f>
        <v/>
      </c>
      <c r="I119" s="231">
        <f>(([1]Consolidated!I119)*1000)*(1/0.79941)</f>
        <v/>
      </c>
      <c r="J119" s="233">
        <f>(([1]Consolidated!J119)*1000)*(1/0.79941)</f>
        <v/>
      </c>
      <c r="K119" s="185" t="n"/>
      <c r="L119" s="233">
        <f>(([1]Consolidated!L119)*1000)*(1/0.79941)</f>
        <v/>
      </c>
      <c r="M119" s="231">
        <f>(([1]Consolidated!M119)*1000)*(1/0.79941)</f>
        <v/>
      </c>
      <c r="N119" s="238">
        <f>(([1]Consolidated!N119)*1000)*(1/0.79941)</f>
        <v/>
      </c>
    </row>
    <row r="120" ht="12.75" customHeight="1" s="150">
      <c r="C120" s="224" t="inlineStr">
        <is>
          <t>Other expenses</t>
        </is>
      </c>
      <c r="D120" s="231">
        <f>(([1]Consolidated!D120)*1000)*(1/0.79941)</f>
        <v/>
      </c>
      <c r="E120" s="231">
        <f>(([1]Consolidated!E120)*1000)*(1/0.79941)</f>
        <v/>
      </c>
      <c r="F120" s="231">
        <f>(([1]Consolidated!F120)*1000)*(1/0.79941)</f>
        <v/>
      </c>
      <c r="G120" s="231">
        <f>(([1]Consolidated!G120)*1000)*(1/0.79941)</f>
        <v/>
      </c>
      <c r="H120" s="231">
        <f>(([1]Consolidated!H120)*1000)*(1/0.79941)</f>
        <v/>
      </c>
      <c r="I120" s="231">
        <f>(([1]Consolidated!I120)*1000)*(1/0.79941)</f>
        <v/>
      </c>
      <c r="J120" s="233">
        <f>(([1]Consolidated!J120)*1000)*(1/0.79941)</f>
        <v/>
      </c>
      <c r="K120" s="185" t="n"/>
      <c r="L120" s="233">
        <f>(([1]Consolidated!L120)*1000)*(1/0.79941)</f>
        <v/>
      </c>
      <c r="M120" s="231">
        <f>(([1]Consolidated!M120)*1000)*(1/0.79941)</f>
        <v/>
      </c>
      <c r="N120" s="234">
        <f>(([1]Consolidated!N120)*1000)*(1/0.79941)</f>
        <v/>
      </c>
    </row>
    <row r="121" ht="13.5" customHeight="1" s="150">
      <c r="C121" s="228" t="inlineStr">
        <is>
          <t xml:space="preserve">Operating expenses </t>
        </is>
      </c>
      <c r="D121" s="236">
        <f>(([1]Consolidated!D121)*1000)*(1/0.79941)</f>
        <v/>
      </c>
      <c r="E121" s="236">
        <f>(([1]Consolidated!E121)*1000)*(1/0.79941)</f>
        <v/>
      </c>
      <c r="F121" s="236">
        <f>(([1]Consolidated!F121)*1000)*(1/0.79941)</f>
        <v/>
      </c>
      <c r="G121" s="236">
        <f>(([1]Consolidated!G121)*1000)*(1/0.79941)</f>
        <v/>
      </c>
      <c r="H121" s="236">
        <f>(([1]Consolidated!H121)*1000)*(1/0.79941)</f>
        <v/>
      </c>
      <c r="I121" s="236">
        <f>(([1]Consolidated!I121)*1000)*(1/0.79941)</f>
        <v/>
      </c>
      <c r="J121" s="237">
        <f>(([1]Consolidated!J121)*1000)*(1/0.79941)</f>
        <v/>
      </c>
      <c r="K121" s="185" t="n"/>
      <c r="L121" s="237">
        <f>(([1]Consolidated!L121)*1000)*(1/0.79941)</f>
        <v/>
      </c>
      <c r="M121" s="236">
        <f>(([1]Consolidated!M121)*1000)*(1/0.79941)</f>
        <v/>
      </c>
      <c r="N121" s="237">
        <f>(([1]Consolidated!N121)*1000)*(1/0.79941)</f>
        <v/>
      </c>
    </row>
    <row r="122" ht="12.75" customHeight="1" s="150">
      <c r="C122" s="224" t="n"/>
      <c r="D122" s="231">
        <f>0*(1/0.79941)</f>
        <v/>
      </c>
      <c r="E122" s="231">
        <f>0*(1/0.79941)</f>
        <v/>
      </c>
      <c r="F122" s="231">
        <f>0*(1/0.79941)</f>
        <v/>
      </c>
      <c r="G122" s="231">
        <f>0*(1/0.79941)</f>
        <v/>
      </c>
      <c r="H122" s="231">
        <f>0*(1/0.79941)</f>
        <v/>
      </c>
      <c r="I122" s="231">
        <f>0*(1/0.79941)</f>
        <v/>
      </c>
      <c r="J122" s="239">
        <f>0*(1/0.79941)</f>
        <v/>
      </c>
      <c r="K122" s="185" t="n"/>
      <c r="L122" s="233">
        <f>0*(1/0.79941)</f>
        <v/>
      </c>
      <c r="M122" s="231">
        <f>0*(1/0.79941)</f>
        <v/>
      </c>
      <c r="N122" s="239">
        <f>0*(1/0.79941)</f>
        <v/>
      </c>
    </row>
    <row r="123" ht="12.75" customHeight="1" s="150">
      <c r="C123" s="224" t="inlineStr">
        <is>
          <t>HR &amp; Comms</t>
        </is>
      </c>
      <c r="D123" s="231">
        <f>(([1]Consolidated!D123)*1000)*(1/0.79941)</f>
        <v/>
      </c>
      <c r="E123" s="231">
        <f>(([1]Consolidated!E123)*1000)*(1/0.79941)</f>
        <v/>
      </c>
      <c r="F123" s="231">
        <f>(([1]Consolidated!F123)*1000)*(1/0.79941)</f>
        <v/>
      </c>
      <c r="G123" s="231">
        <f>(([1]Consolidated!G123)*1000)*(1/0.79941)</f>
        <v/>
      </c>
      <c r="H123" s="231">
        <f>(([1]Consolidated!H123)*1000)*(1/0.79941)</f>
        <v/>
      </c>
      <c r="I123" s="231">
        <f>(([1]Consolidated!I123)*1000)*(1/0.79941)</f>
        <v/>
      </c>
      <c r="J123" s="233">
        <f>(([1]Consolidated!J123)*1000)*(1/0.79941)</f>
        <v/>
      </c>
      <c r="K123" s="185" t="n"/>
      <c r="L123" s="233">
        <f>(([1]Consolidated!L123)*1000)*(1/0.79941)</f>
        <v/>
      </c>
      <c r="M123" s="231">
        <f>(([1]Consolidated!M123)*1000)*(1/0.79941)</f>
        <v/>
      </c>
      <c r="N123" s="234">
        <f>(([1]Consolidated!N123)*1000)*(1/0.79941)</f>
        <v/>
      </c>
    </row>
    <row r="124" ht="12.75" customHeight="1" s="150">
      <c r="C124" s="224" t="inlineStr">
        <is>
          <t>Finance &amp; Business Support</t>
        </is>
      </c>
      <c r="D124" s="231">
        <f>(([1]Consolidated!D124)*1000)*(1/0.79941)</f>
        <v/>
      </c>
      <c r="E124" s="231">
        <f>(([1]Consolidated!E124)*1000)*(1/0.79941)</f>
        <v/>
      </c>
      <c r="F124" s="231">
        <f>(([1]Consolidated!F124)*1000)*(1/0.79941)</f>
        <v/>
      </c>
      <c r="G124" s="231">
        <f>(([1]Consolidated!G124)*1000)*(1/0.79941)</f>
        <v/>
      </c>
      <c r="H124" s="231">
        <f>(([1]Consolidated!H124)*1000)*(1/0.79941)</f>
        <v/>
      </c>
      <c r="I124" s="231">
        <f>(([1]Consolidated!I124)*1000)*(1/0.79941)</f>
        <v/>
      </c>
      <c r="J124" s="233">
        <f>(([1]Consolidated!J124)*1000)*(1/0.79941)</f>
        <v/>
      </c>
      <c r="K124" s="185" t="n"/>
      <c r="L124" s="233">
        <f>(([1]Consolidated!L124)*1000)*(1/0.79941)</f>
        <v/>
      </c>
      <c r="M124" s="231">
        <f>(([1]Consolidated!M124)*1000)*(1/0.79941)</f>
        <v/>
      </c>
      <c r="N124" s="234">
        <f>(([1]Consolidated!N124)*1000)*(1/0.79941)</f>
        <v/>
      </c>
    </row>
    <row r="125" ht="12.75" customHeight="1" s="150">
      <c r="C125" s="224" t="inlineStr">
        <is>
          <t>IT alloc</t>
        </is>
      </c>
      <c r="D125" s="231">
        <f>(([1]Consolidated!D125)*1000)*(1/0.79941)</f>
        <v/>
      </c>
      <c r="E125" s="231">
        <f>(([1]Consolidated!E125)*1000)*(1/0.79941)</f>
        <v/>
      </c>
      <c r="F125" s="231">
        <f>(([1]Consolidated!F125)*1000)*(1/0.79941)</f>
        <v/>
      </c>
      <c r="G125" s="231">
        <f>(([1]Consolidated!G125)*1000)*(1/0.79941)</f>
        <v/>
      </c>
      <c r="H125" s="231">
        <f>(([1]Consolidated!H125)*1000)*(1/0.79941)</f>
        <v/>
      </c>
      <c r="I125" s="231">
        <f>(([1]Consolidated!I125)*1000)*(1/0.79941)</f>
        <v/>
      </c>
      <c r="J125" s="233">
        <f>(([1]Consolidated!J125)*1000)*(1/0.79941)</f>
        <v/>
      </c>
      <c r="K125" s="185" t="n"/>
      <c r="L125" s="233">
        <f>(([1]Consolidated!L125)*1000)*(1/0.79941)</f>
        <v/>
      </c>
      <c r="M125" s="231">
        <f>(([1]Consolidated!M125)*1000)*(1/0.79941)</f>
        <v/>
      </c>
      <c r="N125" s="234">
        <f>(([1]Consolidated!N125)*1000)*(1/0.79941)</f>
        <v/>
      </c>
    </row>
    <row r="126" ht="12.75" customHeight="1" s="150">
      <c r="C126" s="224" t="inlineStr">
        <is>
          <t>Facilities Management</t>
        </is>
      </c>
      <c r="D126" s="231">
        <f>(([1]Consolidated!D126)*1000)*(1/0.79941)</f>
        <v/>
      </c>
      <c r="E126" s="231">
        <f>(([1]Consolidated!E126)*1000)*(1/0.79941)</f>
        <v/>
      </c>
      <c r="F126" s="231">
        <f>(([1]Consolidated!F126)*1000)*(1/0.79941)</f>
        <v/>
      </c>
      <c r="G126" s="231">
        <f>(([1]Consolidated!G126)*1000)*(1/0.79941)</f>
        <v/>
      </c>
      <c r="H126" s="231">
        <f>(([1]Consolidated!H126)*1000)*(1/0.79941)</f>
        <v/>
      </c>
      <c r="I126" s="231">
        <f>(([1]Consolidated!I126)*1000)*(1/0.79941)</f>
        <v/>
      </c>
      <c r="J126" s="233">
        <f>(([1]Consolidated!J126)*1000)*(1/0.79941)</f>
        <v/>
      </c>
      <c r="K126" s="185" t="n"/>
      <c r="L126" s="233">
        <f>(([1]Consolidated!L126)*1000)*(1/0.79941)</f>
        <v/>
      </c>
      <c r="M126" s="231">
        <f>(([1]Consolidated!M126)*1000)*(1/0.79941)</f>
        <v/>
      </c>
      <c r="N126" s="234">
        <f>(([1]Consolidated!N126)*1000)*(1/0.79941)</f>
        <v/>
      </c>
    </row>
    <row r="127" ht="13.5" customHeight="1" s="150">
      <c r="C127" s="228" t="inlineStr">
        <is>
          <t>Overheads</t>
        </is>
      </c>
      <c r="D127" s="236">
        <f>(([1]Consolidated!D127)*1000)*(1/0.79941)</f>
        <v/>
      </c>
      <c r="E127" s="236">
        <f>(([1]Consolidated!E127)*1000)*(1/0.79941)</f>
        <v/>
      </c>
      <c r="F127" s="236">
        <f>(([1]Consolidated!F127)*1000)*(1/0.79941)</f>
        <v/>
      </c>
      <c r="G127" s="236">
        <f>(([1]Consolidated!G127)*1000)*(1/0.79941)</f>
        <v/>
      </c>
      <c r="H127" s="236">
        <f>(([1]Consolidated!H127)*1000)*(1/0.79941)</f>
        <v/>
      </c>
      <c r="I127" s="236">
        <f>(([1]Consolidated!I127)*1000)*(1/0.79941)</f>
        <v/>
      </c>
      <c r="J127" s="237">
        <f>(([1]Consolidated!J127)*1000)*(1/0.79941)</f>
        <v/>
      </c>
      <c r="K127" s="185" t="n"/>
      <c r="L127" s="237">
        <f>(([1]Consolidated!L127)*1000)*(1/0.79941)</f>
        <v/>
      </c>
      <c r="M127" s="236">
        <f>(([1]Consolidated!M127)*1000)*(1/0.79941)</f>
        <v/>
      </c>
      <c r="N127" s="237">
        <f>(([1]Consolidated!N127)*1000)*(1/0.79941)</f>
        <v/>
      </c>
    </row>
    <row r="128" ht="12.75" customHeight="1" s="150">
      <c r="C128" s="224" t="n"/>
      <c r="D128" s="231">
        <f>0*(1/0.79941)</f>
        <v/>
      </c>
      <c r="E128" s="231">
        <f>0*(1/0.79941)</f>
        <v/>
      </c>
      <c r="F128" s="231">
        <f>0*(1/0.79941)</f>
        <v/>
      </c>
      <c r="G128" s="231">
        <f>0*(1/0.79941)</f>
        <v/>
      </c>
      <c r="H128" s="231">
        <f>0*(1/0.79941)</f>
        <v/>
      </c>
      <c r="I128" s="231">
        <f>0*(1/0.79941)</f>
        <v/>
      </c>
      <c r="J128" s="239">
        <f>0*(1/0.79941)</f>
        <v/>
      </c>
      <c r="K128" s="185" t="n"/>
      <c r="L128" s="233">
        <f>0*(1/0.79941)</f>
        <v/>
      </c>
      <c r="M128" s="231">
        <f>0*(1/0.79941)</f>
        <v/>
      </c>
      <c r="N128" s="239">
        <f>0*(1/0.79941)</f>
        <v/>
      </c>
    </row>
    <row r="129" ht="13.5" customHeight="1" s="150">
      <c r="C129" s="228" t="inlineStr">
        <is>
          <t>Total Operating Costs (incl. O/H)</t>
        </is>
      </c>
      <c r="D129" s="236">
        <f>(([1]Consolidated!D129)*1000)*(1/0.79941)</f>
        <v/>
      </c>
      <c r="E129" s="236">
        <f>(([1]Consolidated!E129)*1000)*(1/0.79941)</f>
        <v/>
      </c>
      <c r="F129" s="236">
        <f>(([1]Consolidated!F129)*1000)*(1/0.79941)</f>
        <v/>
      </c>
      <c r="G129" s="236">
        <f>(([1]Consolidated!G129)*1000)*(1/0.79941)</f>
        <v/>
      </c>
      <c r="H129" s="236">
        <f>(([1]Consolidated!H129)*1000)*(1/0.79941)</f>
        <v/>
      </c>
      <c r="I129" s="236">
        <f>(([1]Consolidated!I129)*1000)*(1/0.79941)</f>
        <v/>
      </c>
      <c r="J129" s="237">
        <f>(([1]Consolidated!J129)*1000)*(1/0.79941)</f>
        <v/>
      </c>
      <c r="K129" s="185" t="n"/>
      <c r="L129" s="237">
        <f>(([1]Consolidated!L129)*1000)*(1/0.79941)</f>
        <v/>
      </c>
      <c r="M129" s="236">
        <f>(([1]Consolidated!M129)*1000)*(1/0.79941)</f>
        <v/>
      </c>
      <c r="N129" s="237">
        <f>(([1]Consolidated!N129)*1000)*(1/0.79941)</f>
        <v/>
      </c>
    </row>
    <row r="130"/>
    <row r="131" ht="13.5" customHeight="1" s="150"/>
    <row r="132" ht="42" customHeight="1" s="150">
      <c r="C132" s="240" t="inlineStr">
        <is>
          <t>RETAINED COSTS
(US$  excl. VAT)</t>
        </is>
      </c>
      <c r="D132" s="241">
        <f>[1]Consolidated!D132</f>
        <v/>
      </c>
      <c r="E132" s="241">
        <f>[1]Consolidated!E132</f>
        <v/>
      </c>
      <c r="F132" s="241">
        <f>[1]Consolidated!F132</f>
        <v/>
      </c>
      <c r="G132" s="241">
        <f>[1]Consolidated!G132</f>
        <v/>
      </c>
      <c r="H132" s="241">
        <f>[1]Consolidated!H132</f>
        <v/>
      </c>
      <c r="I132" s="242">
        <f>[1]Consolidated!I132</f>
        <v/>
      </c>
      <c r="J132" s="243">
        <f>[1]Consolidated!J132</f>
        <v/>
      </c>
      <c r="K132" s="165" t="n"/>
      <c r="L132" s="241">
        <f>[1]Consolidated!L132</f>
        <v/>
      </c>
      <c r="M132" s="244">
        <f>[1]Consolidated!M132</f>
        <v/>
      </c>
      <c r="N132" s="241">
        <f>[1]Consolidated!N132</f>
        <v/>
      </c>
    </row>
    <row r="133" ht="12.75" customHeight="1" s="150">
      <c r="C133" s="245" t="inlineStr">
        <is>
          <t>Internal FTE</t>
        </is>
      </c>
      <c r="D133" s="254">
        <f>[1]Consolidated!D133</f>
        <v/>
      </c>
      <c r="E133" s="254">
        <f>[1]Consolidated!E133</f>
        <v/>
      </c>
      <c r="F133" s="254">
        <f>[1]Consolidated!F133</f>
        <v/>
      </c>
      <c r="G133" s="254">
        <f>[1]Consolidated!G133</f>
        <v/>
      </c>
      <c r="H133" s="254">
        <f>[1]Consolidated!H133</f>
        <v/>
      </c>
      <c r="I133" s="254">
        <f>[1]Consolidated!I133</f>
        <v/>
      </c>
      <c r="J133" s="291" t="n"/>
      <c r="K133" s="185" t="n"/>
      <c r="L133" s="256">
        <f>[1]Consolidated!L133</f>
        <v/>
      </c>
      <c r="M133" s="254">
        <f>[1]Consolidated!M133</f>
        <v/>
      </c>
      <c r="N133" s="249">
        <f>[1]Consolidated!N133</f>
        <v/>
      </c>
    </row>
    <row r="134" ht="12.75" customHeight="1" s="150">
      <c r="C134" s="245" t="inlineStr">
        <is>
          <t>External FTE</t>
        </is>
      </c>
      <c r="D134" s="254">
        <f>[1]Consolidated!D134</f>
        <v/>
      </c>
      <c r="E134" s="254">
        <f>[1]Consolidated!E134</f>
        <v/>
      </c>
      <c r="F134" s="254">
        <f>[1]Consolidated!F134</f>
        <v/>
      </c>
      <c r="G134" s="254">
        <f>[1]Consolidated!G134</f>
        <v/>
      </c>
      <c r="H134" s="254">
        <f>[1]Consolidated!H134</f>
        <v/>
      </c>
      <c r="I134" s="254">
        <f>[1]Consolidated!I134</f>
        <v/>
      </c>
      <c r="J134" s="291" t="n"/>
      <c r="K134" s="185" t="n"/>
      <c r="L134" s="256">
        <f>[1]Consolidated!L134</f>
        <v/>
      </c>
      <c r="M134" s="254">
        <f>[1]Consolidated!M134</f>
        <v/>
      </c>
      <c r="N134" s="249">
        <f>[1]Consolidated!N134</f>
        <v/>
      </c>
    </row>
    <row r="135" ht="13.5" customHeight="1" s="150">
      <c r="C135" s="250" t="inlineStr">
        <is>
          <t>Total FTE</t>
        </is>
      </c>
      <c r="D135" s="258">
        <f>[1]Consolidated!D135</f>
        <v/>
      </c>
      <c r="E135" s="258">
        <f>[1]Consolidated!E135</f>
        <v/>
      </c>
      <c r="F135" s="258">
        <f>[1]Consolidated!F135</f>
        <v/>
      </c>
      <c r="G135" s="258">
        <f>[1]Consolidated!G135</f>
        <v/>
      </c>
      <c r="H135" s="258">
        <f>[1]Consolidated!H135</f>
        <v/>
      </c>
      <c r="I135" s="258">
        <f>[1]Consolidated!I135</f>
        <v/>
      </c>
      <c r="J135" s="292" t="n"/>
      <c r="K135" s="185" t="n"/>
      <c r="L135" s="253">
        <f>[1]Consolidated!L135</f>
        <v/>
      </c>
      <c r="M135" s="258">
        <f>[1]Consolidated!M135</f>
        <v/>
      </c>
      <c r="N135" s="253">
        <f>[1]Consolidated!N135</f>
        <v/>
      </c>
    </row>
    <row r="136" ht="12.75" customHeight="1" s="150">
      <c r="C136" s="245" t="n"/>
      <c r="D136" s="254" t="n"/>
      <c r="E136" s="254" t="n"/>
      <c r="F136" s="254" t="n"/>
      <c r="G136" s="254" t="n"/>
      <c r="H136" s="254" t="n"/>
      <c r="I136" s="254" t="n"/>
      <c r="J136" s="255" t="n"/>
      <c r="K136" s="185" t="n"/>
      <c r="L136" s="256" t="n"/>
      <c r="M136" s="254" t="n"/>
      <c r="N136" s="249" t="n"/>
    </row>
    <row r="137" ht="12.75" customHeight="1" s="150">
      <c r="C137" s="245" t="inlineStr">
        <is>
          <t>Salaries</t>
        </is>
      </c>
      <c r="D137" s="254">
        <f>(([1]Consolidated!D137)*1000)*(1/0.79941)</f>
        <v/>
      </c>
      <c r="E137" s="254">
        <f>(([1]Consolidated!E137)*1000)*(1/0.79941)</f>
        <v/>
      </c>
      <c r="F137" s="254">
        <f>(([1]Consolidated!F137)*1000)*(1/0.79941)</f>
        <v/>
      </c>
      <c r="G137" s="254">
        <f>(([1]Consolidated!G137)*1000)*(1/0.79941)</f>
        <v/>
      </c>
      <c r="H137" s="254">
        <f>(([1]Consolidated!H137)*1000)*(1/0.79941)</f>
        <v/>
      </c>
      <c r="I137" s="254">
        <f>(([1]Consolidated!I137)*1000)*(1/0.79941)</f>
        <v/>
      </c>
      <c r="J137" s="256">
        <f>(([1]Consolidated!J137)*1000)*(1/0.79941)</f>
        <v/>
      </c>
      <c r="K137" s="185" t="n"/>
      <c r="L137" s="256">
        <f>(([1]Consolidated!L137)*1000)*(1/0.79941)</f>
        <v/>
      </c>
      <c r="M137" s="254">
        <f>(([1]Consolidated!M137)*1000)*(1/0.79941)</f>
        <v/>
      </c>
      <c r="N137" s="249">
        <f>(([1]Consolidated!N137)*1000)*(1/0.79941)</f>
        <v/>
      </c>
    </row>
    <row r="138" ht="12.75" customHeight="1" s="150">
      <c r="C138" s="245" t="inlineStr">
        <is>
          <t>Bonuses</t>
        </is>
      </c>
      <c r="D138" s="254">
        <f>(([1]Consolidated!D138)*1000)*(1/0.79941)</f>
        <v/>
      </c>
      <c r="E138" s="254">
        <f>(([1]Consolidated!E138)*1000)*(1/0.79941)</f>
        <v/>
      </c>
      <c r="F138" s="254">
        <f>(([1]Consolidated!F138)*1000)*(1/0.79941)</f>
        <v/>
      </c>
      <c r="G138" s="254">
        <f>(([1]Consolidated!G138)*1000)*(1/0.79941)</f>
        <v/>
      </c>
      <c r="H138" s="254">
        <f>(([1]Consolidated!H138)*1000)*(1/0.79941)</f>
        <v/>
      </c>
      <c r="I138" s="254">
        <f>(([1]Consolidated!I138)*1000)*(1/0.79941)</f>
        <v/>
      </c>
      <c r="J138" s="256">
        <f>(([1]Consolidated!J138)*1000)*(1/0.79941)</f>
        <v/>
      </c>
      <c r="K138" s="185" t="n"/>
      <c r="L138" s="256">
        <f>(([1]Consolidated!L138)*1000)*(1/0.79941)</f>
        <v/>
      </c>
      <c r="M138" s="254">
        <f>(([1]Consolidated!M138)*1000)*(1/0.79941)</f>
        <v/>
      </c>
      <c r="N138" s="249">
        <f>(([1]Consolidated!N138)*1000)*(1/0.79941)</f>
        <v/>
      </c>
    </row>
    <row r="139" ht="12.75" customHeight="1" s="150">
      <c r="C139" s="245" t="inlineStr">
        <is>
          <t>Third party staff, ex IT</t>
        </is>
      </c>
      <c r="D139" s="254">
        <f>(([1]Consolidated!D139)*1000)*(1/0.79941)</f>
        <v/>
      </c>
      <c r="E139" s="254">
        <f>(([1]Consolidated!E139)*1000)*(1/0.79941)</f>
        <v/>
      </c>
      <c r="F139" s="254">
        <f>(([1]Consolidated!F139)*1000)*(1/0.79941)</f>
        <v/>
      </c>
      <c r="G139" s="254">
        <f>(([1]Consolidated!G139)*1000)*(1/0.79941)</f>
        <v/>
      </c>
      <c r="H139" s="254">
        <f>(([1]Consolidated!H139)*1000)*(1/0.79941)</f>
        <v/>
      </c>
      <c r="I139" s="254">
        <f>(([1]Consolidated!I139)*1000)*(1/0.79941)</f>
        <v/>
      </c>
      <c r="J139" s="256">
        <f>(([1]Consolidated!J139)*1000)*(1/0.79941)</f>
        <v/>
      </c>
      <c r="K139" s="185" t="n"/>
      <c r="L139" s="256">
        <f>(([1]Consolidated!L139)*1000)*(1/0.79941)</f>
        <v/>
      </c>
      <c r="M139" s="254">
        <f>(([1]Consolidated!M139)*1000)*(1/0.79941)</f>
        <v/>
      </c>
      <c r="N139" s="249">
        <f>(([1]Consolidated!N139)*1000)*(1/0.79941)</f>
        <v/>
      </c>
    </row>
    <row r="140" ht="12.75" customHeight="1" s="150">
      <c r="C140" s="245" t="inlineStr">
        <is>
          <t>Third party IT staff</t>
        </is>
      </c>
      <c r="D140" s="254">
        <f>(([1]Consolidated!D140)*1000)*(1/0.79941)</f>
        <v/>
      </c>
      <c r="E140" s="254">
        <f>(([1]Consolidated!E140)*1000)*(1/0.79941)</f>
        <v/>
      </c>
      <c r="F140" s="254">
        <f>(([1]Consolidated!F140)*1000)*(1/0.79941)</f>
        <v/>
      </c>
      <c r="G140" s="254">
        <f>(([1]Consolidated!G140)*1000)*(1/0.79941)</f>
        <v/>
      </c>
      <c r="H140" s="254">
        <f>(([1]Consolidated!H140)*1000)*(1/0.79941)</f>
        <v/>
      </c>
      <c r="I140" s="254">
        <f>(([1]Consolidated!I140)*1000)*(1/0.79941)</f>
        <v/>
      </c>
      <c r="J140" s="256">
        <f>(([1]Consolidated!J140)*1000)*(1/0.79941)</f>
        <v/>
      </c>
      <c r="K140" s="185" t="n"/>
      <c r="L140" s="256">
        <f>(([1]Consolidated!L140)*1000)*(1/0.79941)</f>
        <v/>
      </c>
      <c r="M140" s="254">
        <f>(([1]Consolidated!M140)*1000)*(1/0.79941)</f>
        <v/>
      </c>
      <c r="N140" s="249">
        <f>(([1]Consolidated!N140)*1000)*(1/0.79941)</f>
        <v/>
      </c>
    </row>
    <row r="141" ht="12.75" customHeight="1" s="150">
      <c r="C141" s="245" t="inlineStr">
        <is>
          <t>Employee education</t>
        </is>
      </c>
      <c r="D141" s="254">
        <f>(([1]Consolidated!D141)*1000)*(1/0.79941)</f>
        <v/>
      </c>
      <c r="E141" s="254">
        <f>(([1]Consolidated!E141)*1000)*(1/0.79941)</f>
        <v/>
      </c>
      <c r="F141" s="254">
        <f>(([1]Consolidated!F141)*1000)*(1/0.79941)</f>
        <v/>
      </c>
      <c r="G141" s="254">
        <f>(([1]Consolidated!G141)*1000)*(1/0.79941)</f>
        <v/>
      </c>
      <c r="H141" s="254">
        <f>(([1]Consolidated!H141)*1000)*(1/0.79941)</f>
        <v/>
      </c>
      <c r="I141" s="254">
        <f>(([1]Consolidated!I141)*1000)*(1/0.79941)</f>
        <v/>
      </c>
      <c r="J141" s="256">
        <f>(([1]Consolidated!J141)*1000)*(1/0.79941)</f>
        <v/>
      </c>
      <c r="K141" s="185" t="n"/>
      <c r="L141" s="256">
        <f>(([1]Consolidated!L141)*1000)*(1/0.79941)</f>
        <v/>
      </c>
      <c r="M141" s="254">
        <f>(([1]Consolidated!M141)*1000)*(1/0.79941)</f>
        <v/>
      </c>
      <c r="N141" s="249">
        <f>(([1]Consolidated!N141)*1000)*(1/0.79941)</f>
        <v/>
      </c>
    </row>
    <row r="142" ht="12.75" customHeight="1" s="150">
      <c r="C142" s="245" t="inlineStr">
        <is>
          <t>Other staff expenses</t>
        </is>
      </c>
      <c r="D142" s="254">
        <f>(([1]Consolidated!D142)*1000)*(1/0.79941)</f>
        <v/>
      </c>
      <c r="E142" s="254">
        <f>(([1]Consolidated!E142)*1000)*(1/0.79941)</f>
        <v/>
      </c>
      <c r="F142" s="254">
        <f>(([1]Consolidated!F142)*1000)*(1/0.79941)</f>
        <v/>
      </c>
      <c r="G142" s="254">
        <f>(([1]Consolidated!G142)*1000)*(1/0.79941)</f>
        <v/>
      </c>
      <c r="H142" s="254">
        <f>(([1]Consolidated!H142)*1000)*(1/0.79941)</f>
        <v/>
      </c>
      <c r="I142" s="254">
        <f>(([1]Consolidated!I142)*1000)*(1/0.79941)</f>
        <v/>
      </c>
      <c r="J142" s="257">
        <f>(([1]Consolidated!J142)*1000)*(1/0.79941)</f>
        <v/>
      </c>
      <c r="K142" s="185" t="n"/>
      <c r="L142" s="256">
        <f>(([1]Consolidated!L142)*1000)*(1/0.79941)</f>
        <v/>
      </c>
      <c r="M142" s="254">
        <f>(([1]Consolidated!M142)*1000)*(1/0.79941)</f>
        <v/>
      </c>
      <c r="N142" s="249">
        <f>(([1]Consolidated!N142)*1000)*(1/0.79941)</f>
        <v/>
      </c>
    </row>
    <row r="143" ht="13.5" customHeight="1" s="150">
      <c r="C143" s="250" t="inlineStr">
        <is>
          <t>Staff expenses</t>
        </is>
      </c>
      <c r="D143" s="258">
        <f>(([1]Consolidated!D143)*1000)*(1/0.79941)</f>
        <v/>
      </c>
      <c r="E143" s="258">
        <f>(([1]Consolidated!E143)*1000)*(1/0.79941)</f>
        <v/>
      </c>
      <c r="F143" s="258">
        <f>(([1]Consolidated!F143)*1000)*(1/0.79941)</f>
        <v/>
      </c>
      <c r="G143" s="258">
        <f>(([1]Consolidated!G143)*1000)*(1/0.79941)</f>
        <v/>
      </c>
      <c r="H143" s="258">
        <f>(([1]Consolidated!H143)*1000)*(1/0.79941)</f>
        <v/>
      </c>
      <c r="I143" s="258">
        <f>(([1]Consolidated!I143)*1000)*(1/0.79941)</f>
        <v/>
      </c>
      <c r="J143" s="253">
        <f>(([1]Consolidated!J143)*1000)*(1/0.79941)</f>
        <v/>
      </c>
      <c r="K143" s="185" t="n"/>
      <c r="L143" s="253">
        <f>(([1]Consolidated!L143)*1000)*(1/0.79941)</f>
        <v/>
      </c>
      <c r="M143" s="258">
        <f>(([1]Consolidated!M143)*1000)*(1/0.79941)</f>
        <v/>
      </c>
      <c r="N143" s="253">
        <f>(([1]Consolidated!N143)*1000)*(1/0.79941)</f>
        <v/>
      </c>
    </row>
    <row r="144" ht="12.75" customHeight="1" s="150">
      <c r="C144" s="245" t="inlineStr">
        <is>
          <t>Hardware expenses</t>
        </is>
      </c>
      <c r="D144" s="254">
        <f>(([1]Consolidated!D144)*1000)*(1/0.79941)</f>
        <v/>
      </c>
      <c r="E144" s="254">
        <f>(([1]Consolidated!E144)*1000)*(1/0.79941)</f>
        <v/>
      </c>
      <c r="F144" s="254">
        <f>(([1]Consolidated!F144)*1000)*(1/0.79941)</f>
        <v/>
      </c>
      <c r="G144" s="254">
        <f>(([1]Consolidated!G144)*1000)*(1/0.79941)</f>
        <v/>
      </c>
      <c r="H144" s="254">
        <f>(([1]Consolidated!H144)*1000)*(1/0.79941)</f>
        <v/>
      </c>
      <c r="I144" s="254">
        <f>(([1]Consolidated!I144)*1000)*(1/0.79941)</f>
        <v/>
      </c>
      <c r="J144" s="256">
        <f>(([1]Consolidated!J144)*1000)*(1/0.79941)</f>
        <v/>
      </c>
      <c r="K144" s="185" t="n"/>
      <c r="L144" s="256">
        <f>(([1]Consolidated!L144)*1000)*(1/0.79941)</f>
        <v/>
      </c>
      <c r="M144" s="254">
        <f>(([1]Consolidated!M144)*1000)*(1/0.79941)</f>
        <v/>
      </c>
      <c r="N144" s="249">
        <f>(([1]Consolidated!N144)*1000)*(1/0.79941)</f>
        <v/>
      </c>
    </row>
    <row r="145" ht="12.75" customHeight="1" s="150">
      <c r="C145" s="245" t="inlineStr">
        <is>
          <t>Leasing/renting hardware</t>
        </is>
      </c>
      <c r="D145" s="254">
        <f>(([1]Consolidated!D145)*1000)*(1/0.79941)</f>
        <v/>
      </c>
      <c r="E145" s="254">
        <f>(([1]Consolidated!E145)*1000)*(1/0.79941)</f>
        <v/>
      </c>
      <c r="F145" s="254">
        <f>(([1]Consolidated!F145)*1000)*(1/0.79941)</f>
        <v/>
      </c>
      <c r="G145" s="254">
        <f>(([1]Consolidated!G145)*1000)*(1/0.79941)</f>
        <v/>
      </c>
      <c r="H145" s="254">
        <f>(([1]Consolidated!H145)*1000)*(1/0.79941)</f>
        <v/>
      </c>
      <c r="I145" s="254">
        <f>(([1]Consolidated!I145)*1000)*(1/0.79941)</f>
        <v/>
      </c>
      <c r="J145" s="256">
        <f>(([1]Consolidated!J145)*1000)*(1/0.79941)</f>
        <v/>
      </c>
      <c r="K145" s="185" t="n"/>
      <c r="L145" s="256">
        <f>(([1]Consolidated!L145)*1000)*(1/0.79941)</f>
        <v/>
      </c>
      <c r="M145" s="254">
        <f>(([1]Consolidated!M145)*1000)*(1/0.79941)</f>
        <v/>
      </c>
      <c r="N145" s="249">
        <f>(([1]Consolidated!N145)*1000)*(1/0.79941)</f>
        <v/>
      </c>
    </row>
    <row r="146" ht="12.75" customHeight="1" s="150">
      <c r="C146" s="245" t="inlineStr">
        <is>
          <t>Software expenses</t>
        </is>
      </c>
      <c r="D146" s="254">
        <f>(([1]Consolidated!D146)*1000)*(1/0.79941)</f>
        <v/>
      </c>
      <c r="E146" s="254">
        <f>(([1]Consolidated!E146)*1000)*(1/0.79941)</f>
        <v/>
      </c>
      <c r="F146" s="254">
        <f>(([1]Consolidated!F146)*1000)*(1/0.79941)</f>
        <v/>
      </c>
      <c r="G146" s="254">
        <f>(([1]Consolidated!G146)*1000)*(1/0.79941)</f>
        <v/>
      </c>
      <c r="H146" s="254">
        <f>(([1]Consolidated!H146)*1000)*(1/0.79941)</f>
        <v/>
      </c>
      <c r="I146" s="254">
        <f>(([1]Consolidated!I146)*1000)*(1/0.79941)</f>
        <v/>
      </c>
      <c r="J146" s="256">
        <f>(([1]Consolidated!J146)*1000)*(1/0.79941)</f>
        <v/>
      </c>
      <c r="K146" s="185" t="n"/>
      <c r="L146" s="256">
        <f>(([1]Consolidated!L146)*1000)*(1/0.79941)</f>
        <v/>
      </c>
      <c r="M146" s="254">
        <f>(([1]Consolidated!M146)*1000)*(1/0.79941)</f>
        <v/>
      </c>
      <c r="N146" s="249">
        <f>(([1]Consolidated!N146)*1000)*(1/0.79941)</f>
        <v/>
      </c>
    </row>
    <row r="147" ht="12.75" customHeight="1" s="150">
      <c r="C147" s="245" t="inlineStr">
        <is>
          <t>Leasing/renting/licenses sw</t>
        </is>
      </c>
      <c r="D147" s="254">
        <f>(([1]Consolidated!D147)*1000)*(1/0.79941)</f>
        <v/>
      </c>
      <c r="E147" s="254">
        <f>(([1]Consolidated!E147)*1000)*(1/0.79941)</f>
        <v/>
      </c>
      <c r="F147" s="254">
        <f>(([1]Consolidated!F147)*1000)*(1/0.79941)</f>
        <v/>
      </c>
      <c r="G147" s="254">
        <f>(([1]Consolidated!G147)*1000)*(1/0.79941)</f>
        <v/>
      </c>
      <c r="H147" s="254">
        <f>(([1]Consolidated!H147)*1000)*(1/0.79941)</f>
        <v/>
      </c>
      <c r="I147" s="254">
        <f>(([1]Consolidated!I147)*1000)*(1/0.79941)</f>
        <v/>
      </c>
      <c r="J147" s="256">
        <f>(([1]Consolidated!J147)*1000)*(1/0.79941)</f>
        <v/>
      </c>
      <c r="K147" s="185" t="n"/>
      <c r="L147" s="256">
        <f>(([1]Consolidated!L147)*1000)*(1/0.79941)</f>
        <v/>
      </c>
      <c r="M147" s="254">
        <f>(([1]Consolidated!M147)*1000)*(1/0.79941)</f>
        <v/>
      </c>
      <c r="N147" s="249">
        <f>(([1]Consolidated!N147)*1000)*(1/0.79941)</f>
        <v/>
      </c>
    </row>
    <row r="148" ht="12.75" customHeight="1" s="150">
      <c r="C148" s="245" t="inlineStr">
        <is>
          <t>Depreciation hardware</t>
        </is>
      </c>
      <c r="D148" s="254">
        <f>(([1]Consolidated!D148)*1000)*(1/0.79941)</f>
        <v/>
      </c>
      <c r="E148" s="254">
        <f>(([1]Consolidated!E148)*1000)*(1/0.79941)</f>
        <v/>
      </c>
      <c r="F148" s="254">
        <f>(([1]Consolidated!F148)*1000)*(1/0.79941)</f>
        <v/>
      </c>
      <c r="G148" s="254">
        <f>(([1]Consolidated!G148)*1000)*(1/0.79941)</f>
        <v/>
      </c>
      <c r="H148" s="254">
        <f>(([1]Consolidated!H148)*1000)*(1/0.79941)</f>
        <v/>
      </c>
      <c r="I148" s="254">
        <f>(([1]Consolidated!I148)*1000)*(1/0.79941)</f>
        <v/>
      </c>
      <c r="J148" s="256">
        <f>(([1]Consolidated!J148)*1000)*(1/0.79941)</f>
        <v/>
      </c>
      <c r="K148" s="185" t="n"/>
      <c r="L148" s="256">
        <f>(([1]Consolidated!L148)*1000)*(1/0.79941)</f>
        <v/>
      </c>
      <c r="M148" s="254">
        <f>(([1]Consolidated!M148)*1000)*(1/0.79941)</f>
        <v/>
      </c>
      <c r="N148" s="249">
        <f>(([1]Consolidated!N148)*1000)*(1/0.79941)</f>
        <v/>
      </c>
    </row>
    <row r="149" ht="12.75" customHeight="1" s="150">
      <c r="C149" s="245" t="inlineStr">
        <is>
          <t>Depreciation software</t>
        </is>
      </c>
      <c r="D149" s="254">
        <f>(([1]Consolidated!D149)*1000)*(1/0.79941)</f>
        <v/>
      </c>
      <c r="E149" s="254">
        <f>(([1]Consolidated!E149)*1000)*(1/0.79941)</f>
        <v/>
      </c>
      <c r="F149" s="254">
        <f>(([1]Consolidated!F149)*1000)*(1/0.79941)</f>
        <v/>
      </c>
      <c r="G149" s="254">
        <f>(([1]Consolidated!G149)*1000)*(1/0.79941)</f>
        <v/>
      </c>
      <c r="H149" s="254">
        <f>(([1]Consolidated!H149)*1000)*(1/0.79941)</f>
        <v/>
      </c>
      <c r="I149" s="254">
        <f>(([1]Consolidated!I149)*1000)*(1/0.79941)</f>
        <v/>
      </c>
      <c r="J149" s="256">
        <f>(([1]Consolidated!J149)*1000)*(1/0.79941)</f>
        <v/>
      </c>
      <c r="K149" s="185" t="n"/>
      <c r="L149" s="256">
        <f>(([1]Consolidated!L149)*1000)*(1/0.79941)</f>
        <v/>
      </c>
      <c r="M149" s="254">
        <f>(([1]Consolidated!M149)*1000)*(1/0.79941)</f>
        <v/>
      </c>
      <c r="N149" s="249">
        <f>(([1]Consolidated!N149)*1000)*(1/0.79941)</f>
        <v/>
      </c>
    </row>
    <row r="150" ht="12.75" customHeight="1" s="150">
      <c r="C150" s="245" t="inlineStr">
        <is>
          <t>Outsourcing IT activities</t>
        </is>
      </c>
      <c r="D150" s="254">
        <f>(([1]Consolidated!D150)*1000)*(1/0.79941)</f>
        <v/>
      </c>
      <c r="E150" s="254">
        <f>(([1]Consolidated!E150)*1000)*(1/0.79941)</f>
        <v/>
      </c>
      <c r="F150" s="254">
        <f>(([1]Consolidated!F150)*1000)*(1/0.79941)</f>
        <v/>
      </c>
      <c r="G150" s="254">
        <f>(([1]Consolidated!G150)*1000)*(1/0.79941)</f>
        <v/>
      </c>
      <c r="H150" s="254">
        <f>(([1]Consolidated!H150)*1000)*(1/0.79941)</f>
        <v/>
      </c>
      <c r="I150" s="254">
        <f>(([1]Consolidated!I150)*1000)*(1/0.79941)</f>
        <v/>
      </c>
      <c r="J150" s="256">
        <f>(([1]Consolidated!J150)*1000)*(1/0.79941)</f>
        <v/>
      </c>
      <c r="K150" s="185" t="n"/>
      <c r="L150" s="256">
        <f>(([1]Consolidated!L150)*1000)*(1/0.79941)</f>
        <v/>
      </c>
      <c r="M150" s="254">
        <f>(([1]Consolidated!M150)*1000)*(1/0.79941)</f>
        <v/>
      </c>
      <c r="N150" s="249">
        <f>(([1]Consolidated!N150)*1000)*(1/0.79941)</f>
        <v/>
      </c>
    </row>
    <row r="151" ht="12.75" customHeight="1" s="150">
      <c r="C151" s="245" t="inlineStr">
        <is>
          <t>Other IT expenses</t>
        </is>
      </c>
      <c r="D151" s="254">
        <f>(([1]Consolidated!D151)*1000)*(1/0.79941)</f>
        <v/>
      </c>
      <c r="E151" s="254">
        <f>(([1]Consolidated!E151)*1000)*(1/0.79941)</f>
        <v/>
      </c>
      <c r="F151" s="254">
        <f>(([1]Consolidated!F151)*1000)*(1/0.79941)</f>
        <v/>
      </c>
      <c r="G151" s="254">
        <f>(([1]Consolidated!G151)*1000)*(1/0.79941)</f>
        <v/>
      </c>
      <c r="H151" s="254">
        <f>(([1]Consolidated!H151)*1000)*(1/0.79941)</f>
        <v/>
      </c>
      <c r="I151" s="254">
        <f>(([1]Consolidated!I151)*1000)*(1/0.79941)</f>
        <v/>
      </c>
      <c r="J151" s="256">
        <f>(([1]Consolidated!J151)*1000)*(1/0.79941)</f>
        <v/>
      </c>
      <c r="K151" s="185" t="n"/>
      <c r="L151" s="256">
        <f>(([1]Consolidated!L151)*1000)*(1/0.79941)</f>
        <v/>
      </c>
      <c r="M151" s="254">
        <f>(([1]Consolidated!M151)*1000)*(1/0.79941)</f>
        <v/>
      </c>
      <c r="N151" s="249">
        <f>(([1]Consolidated!N151)*1000)*(1/0.79941)</f>
        <v/>
      </c>
    </row>
    <row r="152" ht="13.5" customHeight="1" s="150">
      <c r="C152" s="250" t="inlineStr">
        <is>
          <t>EDP expenses</t>
        </is>
      </c>
      <c r="D152" s="258">
        <f>(([1]Consolidated!D152)*1000)*(1/0.79941)</f>
        <v/>
      </c>
      <c r="E152" s="258">
        <f>(([1]Consolidated!E152)*1000)*(1/0.79941)</f>
        <v/>
      </c>
      <c r="F152" s="258">
        <f>(([1]Consolidated!F152)*1000)*(1/0.79941)</f>
        <v/>
      </c>
      <c r="G152" s="258">
        <f>(([1]Consolidated!G152)*1000)*(1/0.79941)</f>
        <v/>
      </c>
      <c r="H152" s="258">
        <f>(([1]Consolidated!H152)*1000)*(1/0.79941)</f>
        <v/>
      </c>
      <c r="I152" s="258">
        <f>(([1]Consolidated!I152)*1000)*(1/0.79941)</f>
        <v/>
      </c>
      <c r="J152" s="253">
        <f>(([1]Consolidated!J152)*1000)*(1/0.79941)</f>
        <v/>
      </c>
      <c r="K152" s="185" t="n"/>
      <c r="L152" s="253">
        <f>(([1]Consolidated!L152)*1000)*(1/0.79941)</f>
        <v/>
      </c>
      <c r="M152" s="258">
        <f>(([1]Consolidated!M152)*1000)*(1/0.79941)</f>
        <v/>
      </c>
      <c r="N152" s="253">
        <f>(([1]Consolidated!N152)*1000)*(1/0.79941)</f>
        <v/>
      </c>
    </row>
    <row r="153" ht="12.75" customHeight="1" s="150">
      <c r="C153" s="245" t="inlineStr">
        <is>
          <t>Telecom expenses</t>
        </is>
      </c>
      <c r="D153" s="254">
        <f>(([1]Consolidated!D153)*1000)*(1/0.79941)</f>
        <v/>
      </c>
      <c r="E153" s="254">
        <f>(([1]Consolidated!E153)*1000)*(1/0.79941)</f>
        <v/>
      </c>
      <c r="F153" s="254">
        <f>(([1]Consolidated!F153)*1000)*(1/0.79941)</f>
        <v/>
      </c>
      <c r="G153" s="254">
        <f>(([1]Consolidated!G153)*1000)*(1/0.79941)</f>
        <v/>
      </c>
      <c r="H153" s="254">
        <f>(([1]Consolidated!H153)*1000)*(1/0.79941)</f>
        <v/>
      </c>
      <c r="I153" s="254">
        <f>(([1]Consolidated!I153)*1000)*(1/0.79941)</f>
        <v/>
      </c>
      <c r="J153" s="256">
        <f>(([1]Consolidated!J153)*1000)*(1/0.79941)</f>
        <v/>
      </c>
      <c r="K153" s="185" t="n"/>
      <c r="L153" s="256">
        <f>(([1]Consolidated!L153)*1000)*(1/0.79941)</f>
        <v/>
      </c>
      <c r="M153" s="254">
        <f>(([1]Consolidated!M153)*1000)*(1/0.79941)</f>
        <v/>
      </c>
      <c r="N153" s="249">
        <f>(([1]Consolidated!N153)*1000)*(1/0.79941)</f>
        <v/>
      </c>
    </row>
    <row r="154" ht="12.75" customHeight="1" s="150">
      <c r="C154" s="245" t="inlineStr">
        <is>
          <t>Office equipment and supplies</t>
        </is>
      </c>
      <c r="D154" s="254">
        <f>(([1]Consolidated!D154)*1000)*(1/0.79941)</f>
        <v/>
      </c>
      <c r="E154" s="254">
        <f>(([1]Consolidated!E154)*1000)*(1/0.79941)</f>
        <v/>
      </c>
      <c r="F154" s="254">
        <f>(([1]Consolidated!F154)*1000)*(1/0.79941)</f>
        <v/>
      </c>
      <c r="G154" s="254">
        <f>(([1]Consolidated!G154)*1000)*(1/0.79941)</f>
        <v/>
      </c>
      <c r="H154" s="254">
        <f>(([1]Consolidated!H154)*1000)*(1/0.79941)</f>
        <v/>
      </c>
      <c r="I154" s="254">
        <f>(([1]Consolidated!I154)*1000)*(1/0.79941)</f>
        <v/>
      </c>
      <c r="J154" s="256">
        <f>(([1]Consolidated!J154)*1000)*(1/0.79941)</f>
        <v/>
      </c>
      <c r="K154" s="185" t="n"/>
      <c r="L154" s="256">
        <f>(([1]Consolidated!L154)*1000)*(1/0.79941)</f>
        <v/>
      </c>
      <c r="M154" s="254">
        <f>(([1]Consolidated!M154)*1000)*(1/0.79941)</f>
        <v/>
      </c>
      <c r="N154" s="249">
        <f>(([1]Consolidated!N154)*1000)*(1/0.79941)</f>
        <v/>
      </c>
    </row>
    <row r="155" ht="12.75" customHeight="1" s="150">
      <c r="C155" s="245" t="inlineStr">
        <is>
          <t>Accomodation expenses</t>
        </is>
      </c>
      <c r="D155" s="254">
        <f>(([1]Consolidated!D155)*1000)*(1/0.79941)</f>
        <v/>
      </c>
      <c r="E155" s="254">
        <f>(([1]Consolidated!E155)*1000)*(1/0.79941)</f>
        <v/>
      </c>
      <c r="F155" s="254">
        <f>(([1]Consolidated!F155)*1000)*(1/0.79941)</f>
        <v/>
      </c>
      <c r="G155" s="254">
        <f>(([1]Consolidated!G155)*1000)*(1/0.79941)</f>
        <v/>
      </c>
      <c r="H155" s="254">
        <f>(([1]Consolidated!H155)*1000)*(1/0.79941)</f>
        <v/>
      </c>
      <c r="I155" s="254">
        <f>(([1]Consolidated!I155)*1000)*(1/0.79941)</f>
        <v/>
      </c>
      <c r="J155" s="256">
        <f>(([1]Consolidated!J155)*1000)*(1/0.79941)</f>
        <v/>
      </c>
      <c r="K155" s="185" t="n"/>
      <c r="L155" s="256">
        <f>(([1]Consolidated!L155)*1000)*(1/0.79941)</f>
        <v/>
      </c>
      <c r="M155" s="254">
        <f>(([1]Consolidated!M155)*1000)*(1/0.79941)</f>
        <v/>
      </c>
      <c r="N155" s="249">
        <f>(([1]Consolidated!N155)*1000)*(1/0.79941)</f>
        <v/>
      </c>
    </row>
    <row r="156" ht="12.75" customHeight="1" s="150">
      <c r="C156" s="245" t="inlineStr">
        <is>
          <t>Travel costs</t>
        </is>
      </c>
      <c r="D156" s="254">
        <f>(([1]Consolidated!D156)*1000)*(1/0.79941)</f>
        <v/>
      </c>
      <c r="E156" s="254">
        <f>(([1]Consolidated!E156)*1000)*(1/0.79941)</f>
        <v/>
      </c>
      <c r="F156" s="254">
        <f>(([1]Consolidated!F156)*1000)*(1/0.79941)</f>
        <v/>
      </c>
      <c r="G156" s="254">
        <f>(([1]Consolidated!G156)*1000)*(1/0.79941)</f>
        <v/>
      </c>
      <c r="H156" s="254">
        <f>(([1]Consolidated!H156)*1000)*(1/0.79941)</f>
        <v/>
      </c>
      <c r="I156" s="254">
        <f>(([1]Consolidated!I156)*1000)*(1/0.79941)</f>
        <v/>
      </c>
      <c r="J156" s="256">
        <f>(([1]Consolidated!J156)*1000)*(1/0.79941)</f>
        <v/>
      </c>
      <c r="K156" s="185" t="n"/>
      <c r="L156" s="256">
        <f>(([1]Consolidated!L156)*1000)*(1/0.79941)</f>
        <v/>
      </c>
      <c r="M156" s="254">
        <f>(([1]Consolidated!M156)*1000)*(1/0.79941)</f>
        <v/>
      </c>
      <c r="N156" s="249">
        <f>(([1]Consolidated!N156)*1000)*(1/0.79941)</f>
        <v/>
      </c>
    </row>
    <row r="157" ht="12.75" customHeight="1" s="150">
      <c r="C157" s="245" t="inlineStr">
        <is>
          <t>Postal and freight charges</t>
        </is>
      </c>
      <c r="D157" s="254">
        <f>(([1]Consolidated!D157)*1000)*(1/0.79941)</f>
        <v/>
      </c>
      <c r="E157" s="254">
        <f>(([1]Consolidated!E157)*1000)*(1/0.79941)</f>
        <v/>
      </c>
      <c r="F157" s="254">
        <f>(([1]Consolidated!F157)*1000)*(1/0.79941)</f>
        <v/>
      </c>
      <c r="G157" s="254">
        <f>(([1]Consolidated!G157)*1000)*(1/0.79941)</f>
        <v/>
      </c>
      <c r="H157" s="254">
        <f>(([1]Consolidated!H157)*1000)*(1/0.79941)</f>
        <v/>
      </c>
      <c r="I157" s="254">
        <f>(([1]Consolidated!I157)*1000)*(1/0.79941)</f>
        <v/>
      </c>
      <c r="J157" s="256">
        <f>(([1]Consolidated!J157)*1000)*(1/0.79941)</f>
        <v/>
      </c>
      <c r="K157" s="185" t="n"/>
      <c r="L157" s="256">
        <f>(([1]Consolidated!L157)*1000)*(1/0.79941)</f>
        <v/>
      </c>
      <c r="M157" s="254">
        <f>(([1]Consolidated!M157)*1000)*(1/0.79941)</f>
        <v/>
      </c>
      <c r="N157" s="249">
        <f>(([1]Consolidated!N157)*1000)*(1/0.79941)</f>
        <v/>
      </c>
    </row>
    <row r="158" ht="12.75" customHeight="1" s="150">
      <c r="C158" s="245" t="inlineStr">
        <is>
          <t>Prof serv and ext advisory fee</t>
        </is>
      </c>
      <c r="D158" s="254">
        <f>(([1]Consolidated!D158)*1000)*(1/0.79941)</f>
        <v/>
      </c>
      <c r="E158" s="254">
        <f>(([1]Consolidated!E158)*1000)*(1/0.79941)</f>
        <v/>
      </c>
      <c r="F158" s="254">
        <f>(([1]Consolidated!F158)*1000)*(1/0.79941)</f>
        <v/>
      </c>
      <c r="G158" s="254">
        <f>(([1]Consolidated!G158)*1000)*(1/0.79941)</f>
        <v/>
      </c>
      <c r="H158" s="254">
        <f>(([1]Consolidated!H158)*1000)*(1/0.79941)</f>
        <v/>
      </c>
      <c r="I158" s="254">
        <f>(([1]Consolidated!I158)*1000)*(1/0.79941)</f>
        <v/>
      </c>
      <c r="J158" s="256">
        <f>(([1]Consolidated!J158)*1000)*(1/0.79941)</f>
        <v/>
      </c>
      <c r="K158" s="185" t="n"/>
      <c r="L158" s="256">
        <f>(([1]Consolidated!L158)*1000)*(1/0.79941)</f>
        <v/>
      </c>
      <c r="M158" s="254">
        <f>(([1]Consolidated!M158)*1000)*(1/0.79941)</f>
        <v/>
      </c>
      <c r="N158" s="249">
        <f>(([1]Consolidated!N158)*1000)*(1/0.79941)</f>
        <v/>
      </c>
    </row>
    <row r="159" ht="12.75" customHeight="1" s="150">
      <c r="C159" s="245" t="inlineStr">
        <is>
          <t>Payment transfer expenses</t>
        </is>
      </c>
      <c r="D159" s="254">
        <f>(([1]Consolidated!D159)*1000)*(1/0.79941)</f>
        <v/>
      </c>
      <c r="E159" s="254">
        <f>(([1]Consolidated!E159)*1000)*(1/0.79941)</f>
        <v/>
      </c>
      <c r="F159" s="254">
        <f>(([1]Consolidated!F159)*1000)*(1/0.79941)</f>
        <v/>
      </c>
      <c r="G159" s="254">
        <f>(([1]Consolidated!G159)*1000)*(1/0.79941)</f>
        <v/>
      </c>
      <c r="H159" s="254">
        <f>(([1]Consolidated!H159)*1000)*(1/0.79941)</f>
        <v/>
      </c>
      <c r="I159" s="254">
        <f>(([1]Consolidated!I159)*1000)*(1/0.79941)</f>
        <v/>
      </c>
      <c r="J159" s="256">
        <f>(([1]Consolidated!J159)*1000)*(1/0.79941)</f>
        <v/>
      </c>
      <c r="K159" s="185" t="n"/>
      <c r="L159" s="256">
        <f>(([1]Consolidated!L159)*1000)*(1/0.79941)</f>
        <v/>
      </c>
      <c r="M159" s="254">
        <f>(([1]Consolidated!M159)*1000)*(1/0.79941)</f>
        <v/>
      </c>
      <c r="N159" s="249">
        <f>(([1]Consolidated!N159)*1000)*(1/0.79941)</f>
        <v/>
      </c>
    </row>
    <row r="160" ht="12.75" customHeight="1" s="150">
      <c r="C160" s="245" t="inlineStr">
        <is>
          <t>Other costs</t>
        </is>
      </c>
      <c r="D160" s="254">
        <f>(([1]Consolidated!D160)*1000)*(1/0.79941)</f>
        <v/>
      </c>
      <c r="E160" s="254">
        <f>(([1]Consolidated!E160)*1000)*(1/0.79941)</f>
        <v/>
      </c>
      <c r="F160" s="254">
        <f>(([1]Consolidated!F160)*1000)*(1/0.79941)</f>
        <v/>
      </c>
      <c r="G160" s="254">
        <f>(([1]Consolidated!G160)*1000)*(1/0.79941)</f>
        <v/>
      </c>
      <c r="H160" s="254">
        <f>(([1]Consolidated!H160)*1000)*(1/0.79941)</f>
        <v/>
      </c>
      <c r="I160" s="254">
        <f>(([1]Consolidated!I160)*1000)*(1/0.79941)</f>
        <v/>
      </c>
      <c r="J160" s="256">
        <f>(([1]Consolidated!J160)*1000)*(1/0.79941)</f>
        <v/>
      </c>
      <c r="K160" s="185" t="n"/>
      <c r="L160" s="256">
        <f>(([1]Consolidated!L160)*1000)*(1/0.79941)</f>
        <v/>
      </c>
      <c r="M160" s="254">
        <f>(([1]Consolidated!M160)*1000)*(1/0.79941)</f>
        <v/>
      </c>
      <c r="N160" s="249">
        <f>(([1]Consolidated!N160)*1000)*(1/0.79941)</f>
        <v/>
      </c>
    </row>
    <row r="161" ht="13.5" customHeight="1" s="150">
      <c r="C161" s="250" t="inlineStr">
        <is>
          <t>General expenses</t>
        </is>
      </c>
      <c r="D161" s="258">
        <f>(([1]Consolidated!D161)*1000)*(1/0.79941)</f>
        <v/>
      </c>
      <c r="E161" s="258">
        <f>(([1]Consolidated!E161)*1000)*(1/0.79941)</f>
        <v/>
      </c>
      <c r="F161" s="258">
        <f>(([1]Consolidated!F161)*1000)*(1/0.79941)</f>
        <v/>
      </c>
      <c r="G161" s="258">
        <f>(([1]Consolidated!G161)*1000)*(1/0.79941)</f>
        <v/>
      </c>
      <c r="H161" s="258">
        <f>(([1]Consolidated!H161)*1000)*(1/0.79941)</f>
        <v/>
      </c>
      <c r="I161" s="258">
        <f>(([1]Consolidated!I161)*1000)*(1/0.79941)</f>
        <v/>
      </c>
      <c r="J161" s="253">
        <f>(([1]Consolidated!J161)*1000)*(1/0.79941)</f>
        <v/>
      </c>
      <c r="K161" s="185" t="n"/>
      <c r="L161" s="253">
        <f>(([1]Consolidated!L161)*1000)*(1/0.79941)</f>
        <v/>
      </c>
      <c r="M161" s="258">
        <f>(([1]Consolidated!M161)*1000)*(1/0.79941)</f>
        <v/>
      </c>
      <c r="N161" s="253">
        <f>(([1]Consolidated!N161)*1000)*(1/0.79941)</f>
        <v/>
      </c>
    </row>
    <row r="162" ht="12.75" customHeight="1" s="150">
      <c r="C162" s="245" t="inlineStr">
        <is>
          <t>Own expenses</t>
        </is>
      </c>
      <c r="D162" s="254">
        <f>(([1]Consolidated!D162)*1000)*(1/0.79941)</f>
        <v/>
      </c>
      <c r="E162" s="254">
        <f>(([1]Consolidated!E162)*1000)*(1/0.79941)</f>
        <v/>
      </c>
      <c r="F162" s="254">
        <f>(([1]Consolidated!F162)*1000)*(1/0.79941)</f>
        <v/>
      </c>
      <c r="G162" s="254">
        <f>(([1]Consolidated!G162)*1000)*(1/0.79941)</f>
        <v/>
      </c>
      <c r="H162" s="254">
        <f>(([1]Consolidated!H162)*1000)*(1/0.79941)</f>
        <v/>
      </c>
      <c r="I162" s="254">
        <f>(([1]Consolidated!I162)*1000)*(1/0.79941)</f>
        <v/>
      </c>
      <c r="J162" s="256">
        <f>(([1]Consolidated!J162)*1000)*(1/0.79941)</f>
        <v/>
      </c>
      <c r="K162" s="185" t="n"/>
      <c r="L162" s="256">
        <f>(([1]Consolidated!L162)*1000)*(1/0.79941)</f>
        <v/>
      </c>
      <c r="M162" s="254">
        <f>(([1]Consolidated!M162)*1000)*(1/0.79941)</f>
        <v/>
      </c>
      <c r="N162" s="259">
        <f>(([1]Consolidated!N162)*1000)*(1/0.79941)</f>
        <v/>
      </c>
    </row>
    <row r="163" ht="12.75" customHeight="1" s="150">
      <c r="C163" s="245" t="inlineStr">
        <is>
          <t>Other expenses</t>
        </is>
      </c>
      <c r="D163" s="254">
        <f>(([1]Consolidated!D163)*1000)*(1/0.79941)</f>
        <v/>
      </c>
      <c r="E163" s="254">
        <f>(([1]Consolidated!E163)*1000)*(1/0.79941)</f>
        <v/>
      </c>
      <c r="F163" s="254">
        <f>(([1]Consolidated!F163)*1000)*(1/0.79941)</f>
        <v/>
      </c>
      <c r="G163" s="254">
        <f>(([1]Consolidated!G163)*1000)*(1/0.79941)</f>
        <v/>
      </c>
      <c r="H163" s="254">
        <f>(([1]Consolidated!H163)*1000)*(1/0.79941)</f>
        <v/>
      </c>
      <c r="I163" s="254">
        <f>(([1]Consolidated!I163)*1000)*(1/0.79941)</f>
        <v/>
      </c>
      <c r="J163" s="256">
        <f>(([1]Consolidated!J163)*1000)*(1/0.79941)</f>
        <v/>
      </c>
      <c r="K163" s="185" t="n"/>
      <c r="L163" s="256">
        <f>(([1]Consolidated!L163)*1000)*(1/0.79941)</f>
        <v/>
      </c>
      <c r="M163" s="254">
        <f>(([1]Consolidated!M163)*1000)*(1/0.79941)</f>
        <v/>
      </c>
      <c r="N163" s="249">
        <f>(([1]Consolidated!N163)*1000)*(1/0.79941)</f>
        <v/>
      </c>
    </row>
    <row r="164" ht="13.5" customHeight="1" s="150">
      <c r="C164" s="250" t="inlineStr">
        <is>
          <t xml:space="preserve">Operating expenses </t>
        </is>
      </c>
      <c r="D164" s="258">
        <f>(([1]Consolidated!D164)*1000)*(1/0.79941)</f>
        <v/>
      </c>
      <c r="E164" s="258">
        <f>(([1]Consolidated!E164)*1000)*(1/0.79941)</f>
        <v/>
      </c>
      <c r="F164" s="258">
        <f>(([1]Consolidated!F164)*1000)*(1/0.79941)</f>
        <v/>
      </c>
      <c r="G164" s="258">
        <f>(([1]Consolidated!G164)*1000)*(1/0.79941)</f>
        <v/>
      </c>
      <c r="H164" s="258">
        <f>(([1]Consolidated!H164)*1000)*(1/0.79941)</f>
        <v/>
      </c>
      <c r="I164" s="258">
        <f>(([1]Consolidated!I164)*1000)*(1/0.79941)</f>
        <v/>
      </c>
      <c r="J164" s="253">
        <f>(([1]Consolidated!J164)*1000)*(1/0.79941)</f>
        <v/>
      </c>
      <c r="K164" s="185" t="n"/>
      <c r="L164" s="253">
        <f>(([1]Consolidated!L164)*1000)*(1/0.79941)</f>
        <v/>
      </c>
      <c r="M164" s="258">
        <f>(([1]Consolidated!M164)*1000)*(1/0.79941)</f>
        <v/>
      </c>
      <c r="N164" s="253">
        <f>(([1]Consolidated!N164)*1000)*(1/0.79941)</f>
        <v/>
      </c>
    </row>
    <row r="165" ht="12.75" customHeight="1" s="150">
      <c r="C165" s="245" t="n"/>
      <c r="D165" s="254">
        <f>0*(1/0.79941)</f>
        <v/>
      </c>
      <c r="E165" s="254">
        <f>0*(1/0.79941)</f>
        <v/>
      </c>
      <c r="F165" s="254">
        <f>0*(1/0.79941)</f>
        <v/>
      </c>
      <c r="G165" s="254">
        <f>0*(1/0.79941)</f>
        <v/>
      </c>
      <c r="H165" s="254">
        <f>0*(1/0.79941)</f>
        <v/>
      </c>
      <c r="I165" s="254">
        <f>0*(1/0.79941)</f>
        <v/>
      </c>
      <c r="J165" s="260">
        <f>0*(1/0.79941)</f>
        <v/>
      </c>
      <c r="K165" s="185" t="n"/>
      <c r="L165" s="256">
        <f>0*(1/0.79941)</f>
        <v/>
      </c>
      <c r="M165" s="254">
        <f>0*(1/0.79941)</f>
        <v/>
      </c>
      <c r="N165" s="260">
        <f>0*(1/0.79941)</f>
        <v/>
      </c>
    </row>
    <row r="166" ht="12.75" customHeight="1" s="150">
      <c r="C166" s="245" t="inlineStr">
        <is>
          <t>HR &amp; Comms</t>
        </is>
      </c>
      <c r="D166" s="254">
        <f>(([1]Consolidated!D166)*1000)*(1/0.79941)</f>
        <v/>
      </c>
      <c r="E166" s="254">
        <f>(([1]Consolidated!E166)*1000)*(1/0.79941)</f>
        <v/>
      </c>
      <c r="F166" s="254">
        <f>(([1]Consolidated!F166)*1000)*(1/0.79941)</f>
        <v/>
      </c>
      <c r="G166" s="254">
        <f>(([1]Consolidated!G166)*1000)*(1/0.79941)</f>
        <v/>
      </c>
      <c r="H166" s="254">
        <f>(([1]Consolidated!H166)*1000)*(1/0.79941)</f>
        <v/>
      </c>
      <c r="I166" s="254">
        <f>(([1]Consolidated!I166)*1000)*(1/0.79941)</f>
        <v/>
      </c>
      <c r="J166" s="256">
        <f>(([1]Consolidated!J166)*1000)*(1/0.79941)</f>
        <v/>
      </c>
      <c r="K166" s="185" t="n"/>
      <c r="L166" s="256">
        <f>(([1]Consolidated!L166)*1000)*(1/0.79941)</f>
        <v/>
      </c>
      <c r="M166" s="254">
        <f>(([1]Consolidated!M166)*1000)*(1/0.79941)</f>
        <v/>
      </c>
      <c r="N166" s="249">
        <f>(([1]Consolidated!N166)*1000)*(1/0.79941)</f>
        <v/>
      </c>
    </row>
    <row r="167" ht="12.75" customHeight="1" s="150">
      <c r="C167" s="245" t="inlineStr">
        <is>
          <t>Finance &amp; Business Support</t>
        </is>
      </c>
      <c r="D167" s="254">
        <f>(([1]Consolidated!D167)*1000)*(1/0.79941)</f>
        <v/>
      </c>
      <c r="E167" s="254">
        <f>(([1]Consolidated!E167)*1000)*(1/0.79941)</f>
        <v/>
      </c>
      <c r="F167" s="254">
        <f>(([1]Consolidated!F167)*1000)*(1/0.79941)</f>
        <v/>
      </c>
      <c r="G167" s="254">
        <f>(([1]Consolidated!G167)*1000)*(1/0.79941)</f>
        <v/>
      </c>
      <c r="H167" s="254">
        <f>(([1]Consolidated!H167)*1000)*(1/0.79941)</f>
        <v/>
      </c>
      <c r="I167" s="254">
        <f>(([1]Consolidated!I167)*1000)*(1/0.79941)</f>
        <v/>
      </c>
      <c r="J167" s="256">
        <f>(([1]Consolidated!J167)*1000)*(1/0.79941)</f>
        <v/>
      </c>
      <c r="K167" s="185" t="n"/>
      <c r="L167" s="256">
        <f>(([1]Consolidated!L167)*1000)*(1/0.79941)</f>
        <v/>
      </c>
      <c r="M167" s="254">
        <f>(([1]Consolidated!M167)*1000)*(1/0.79941)</f>
        <v/>
      </c>
      <c r="N167" s="249">
        <f>(([1]Consolidated!N167)*1000)*(1/0.79941)</f>
        <v/>
      </c>
    </row>
    <row r="168" ht="12.75" customHeight="1" s="150">
      <c r="C168" s="245" t="inlineStr">
        <is>
          <t>IT alloc</t>
        </is>
      </c>
      <c r="D168" s="254">
        <f>(([1]Consolidated!D168)*1000)*(1/0.79941)</f>
        <v/>
      </c>
      <c r="E168" s="254">
        <f>(([1]Consolidated!E168)*1000)*(1/0.79941)</f>
        <v/>
      </c>
      <c r="F168" s="254">
        <f>(([1]Consolidated!F168)*1000)*(1/0.79941)</f>
        <v/>
      </c>
      <c r="G168" s="254">
        <f>(([1]Consolidated!G168)*1000)*(1/0.79941)</f>
        <v/>
      </c>
      <c r="H168" s="254">
        <f>(([1]Consolidated!H168)*1000)*(1/0.79941)</f>
        <v/>
      </c>
      <c r="I168" s="254">
        <f>(([1]Consolidated!I168)*1000)*(1/0.79941)</f>
        <v/>
      </c>
      <c r="J168" s="256">
        <f>(([1]Consolidated!J168)*1000)*(1/0.79941)</f>
        <v/>
      </c>
      <c r="K168" s="185" t="n"/>
      <c r="L168" s="256">
        <f>(([1]Consolidated!L168)*1000)*(1/0.79941)</f>
        <v/>
      </c>
      <c r="M168" s="254">
        <f>(([1]Consolidated!M168)*1000)*(1/0.79941)</f>
        <v/>
      </c>
      <c r="N168" s="249">
        <f>(([1]Consolidated!N168)*1000)*(1/0.79941)</f>
        <v/>
      </c>
    </row>
    <row r="169" ht="12.75" customHeight="1" s="150">
      <c r="C169" s="245" t="inlineStr">
        <is>
          <t>Facilities Management</t>
        </is>
      </c>
      <c r="D169" s="254">
        <f>(([1]Consolidated!D169)*1000)*(1/0.79941)</f>
        <v/>
      </c>
      <c r="E169" s="254">
        <f>(([1]Consolidated!E169)*1000)*(1/0.79941)</f>
        <v/>
      </c>
      <c r="F169" s="254">
        <f>(([1]Consolidated!F169)*1000)*(1/0.79941)</f>
        <v/>
      </c>
      <c r="G169" s="254">
        <f>(([1]Consolidated!G169)*1000)*(1/0.79941)</f>
        <v/>
      </c>
      <c r="H169" s="254">
        <f>(([1]Consolidated!H169)*1000)*(1/0.79941)</f>
        <v/>
      </c>
      <c r="I169" s="254">
        <f>(([1]Consolidated!I169)*1000)*(1/0.79941)</f>
        <v/>
      </c>
      <c r="J169" s="256">
        <f>(([1]Consolidated!J169)*1000)*(1/0.79941)</f>
        <v/>
      </c>
      <c r="K169" s="185" t="n"/>
      <c r="L169" s="256">
        <f>(([1]Consolidated!L169)*1000)*(1/0.79941)</f>
        <v/>
      </c>
      <c r="M169" s="254">
        <f>(([1]Consolidated!M169)*1000)*(1/0.79941)</f>
        <v/>
      </c>
      <c r="N169" s="249">
        <f>(([1]Consolidated!N169)*1000)*(1/0.79941)</f>
        <v/>
      </c>
    </row>
    <row r="170" ht="13.5" customHeight="1" s="150">
      <c r="C170" s="250" t="inlineStr">
        <is>
          <t>Overheads</t>
        </is>
      </c>
      <c r="D170" s="258">
        <f>(([1]Consolidated!D170)*1000)*(1/0.79941)</f>
        <v/>
      </c>
      <c r="E170" s="258">
        <f>(([1]Consolidated!E170)*1000)*(1/0.79941)</f>
        <v/>
      </c>
      <c r="F170" s="258">
        <f>(([1]Consolidated!F170)*1000)*(1/0.79941)</f>
        <v/>
      </c>
      <c r="G170" s="258">
        <f>(([1]Consolidated!G170)*1000)*(1/0.79941)</f>
        <v/>
      </c>
      <c r="H170" s="258">
        <f>(([1]Consolidated!H170)*1000)*(1/0.79941)</f>
        <v/>
      </c>
      <c r="I170" s="258">
        <f>(([1]Consolidated!I170)*1000)*(1/0.79941)</f>
        <v/>
      </c>
      <c r="J170" s="253">
        <f>(([1]Consolidated!J170)*1000)*(1/0.79941)</f>
        <v/>
      </c>
      <c r="K170" s="185" t="n"/>
      <c r="L170" s="253">
        <f>(([1]Consolidated!L170)*1000)*(1/0.79941)</f>
        <v/>
      </c>
      <c r="M170" s="258">
        <f>(([1]Consolidated!M170)*1000)*(1/0.79941)</f>
        <v/>
      </c>
      <c r="N170" s="253">
        <f>(([1]Consolidated!N170)*1000)*(1/0.79941)</f>
        <v/>
      </c>
    </row>
    <row r="171" ht="12.75" customHeight="1" s="150">
      <c r="C171" s="245" t="n"/>
      <c r="D171" s="254">
        <f>0*(1/0.79941)</f>
        <v/>
      </c>
      <c r="E171" s="254">
        <f>0*(1/0.79941)</f>
        <v/>
      </c>
      <c r="F171" s="254">
        <f>0*(1/0.79941)</f>
        <v/>
      </c>
      <c r="G171" s="254">
        <f>0*(1/0.79941)</f>
        <v/>
      </c>
      <c r="H171" s="254">
        <f>0*(1/0.79941)</f>
        <v/>
      </c>
      <c r="I171" s="254">
        <f>0*(1/0.79941)</f>
        <v/>
      </c>
      <c r="J171" s="260">
        <f>0*(1/0.79941)</f>
        <v/>
      </c>
      <c r="K171" s="185" t="n"/>
      <c r="L171" s="256">
        <f>0*(1/0.79941)</f>
        <v/>
      </c>
      <c r="M171" s="254">
        <f>0*(1/0.79941)</f>
        <v/>
      </c>
      <c r="N171" s="260">
        <f>0*(1/0.79941)</f>
        <v/>
      </c>
    </row>
    <row r="172" ht="13.5" customHeight="1" s="150">
      <c r="C172" s="250" t="inlineStr">
        <is>
          <t>Total Operating Costs (incl. O/H)</t>
        </is>
      </c>
      <c r="D172" s="258">
        <f>(([1]Consolidated!D172)*1000)*(1/0.79941)</f>
        <v/>
      </c>
      <c r="E172" s="258">
        <f>(([1]Consolidated!E172)*1000)*(1/0.79941)</f>
        <v/>
      </c>
      <c r="F172" s="258">
        <f>(([1]Consolidated!F172)*1000)*(1/0.79941)</f>
        <v/>
      </c>
      <c r="G172" s="258">
        <f>(([1]Consolidated!G172)*1000)*(1/0.79941)</f>
        <v/>
      </c>
      <c r="H172" s="258">
        <f>(([1]Consolidated!H172)*1000)*(1/0.79941)</f>
        <v/>
      </c>
      <c r="I172" s="258">
        <f>(([1]Consolidated!I172)*1000)*(1/0.79941)</f>
        <v/>
      </c>
      <c r="J172" s="253">
        <f>(([1]Consolidated!J172)*1000)*(1/0.79941)</f>
        <v/>
      </c>
      <c r="K172" s="185" t="n"/>
      <c r="L172" s="253">
        <f>(([1]Consolidated!L172)*1000)*(1/0.79941)</f>
        <v/>
      </c>
      <c r="M172" s="258">
        <f>(([1]Consolidated!M172)*1000)*(1/0.79941)</f>
        <v/>
      </c>
      <c r="N172" s="253">
        <f>(([1]Consolidated!N172)*1000)*(1/0.79941)</f>
        <v/>
      </c>
    </row>
  </sheetData>
  <printOptions horizontalCentered="0" verticalCentered="0" headings="0" gridLines="0" gridLinesSet="1"/>
  <pageMargins left="0.747916666666667" right="0.747916666666667" top="0.9840277777777779" bottom="0.9840277777777779"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tabColor rgb="FF00FFFF"/>
    <outlinePr summaryBelow="1" summaryRight="1"/>
    <pageSetUpPr fitToPage="0"/>
  </sheetPr>
  <dimension ref="A1:P172"/>
  <sheetViews>
    <sheetView showFormulas="0" showGridLines="1" showRowColHeaders="1" showZeros="1" rightToLeft="0" tabSelected="0" showOutlineSymbols="1" defaultGridColor="1" view="normal" topLeftCell="B1" colorId="64" zoomScale="100" zoomScaleNormal="100" zoomScalePageLayoutView="100" workbookViewId="0">
      <selection pane="topLeft" activeCell="B12" activeCellId="0" sqref="B12"/>
    </sheetView>
  </sheetViews>
  <sheetFormatPr baseColWidth="8" defaultColWidth="9.13671875" defaultRowHeight="12.75" customHeight="1" zeroHeight="0" outlineLevelRow="0"/>
  <cols>
    <col hidden="1" width="26.13" customWidth="1" style="158" min="1" max="1"/>
    <col width="6.28" customWidth="1" style="158" min="2" max="2"/>
    <col width="27.56" customWidth="1" style="149" min="3" max="3"/>
    <col width="11.99" customWidth="1" style="149" min="4" max="7"/>
    <col width="12.85" customWidth="1" style="149" min="8" max="8"/>
    <col width="14.41" customWidth="1" style="149" min="9" max="9"/>
    <col width="11.99" customWidth="1" style="159" min="10" max="10"/>
    <col width="3.28" customWidth="1" style="160" min="11" max="11"/>
    <col width="12.85" customWidth="1" style="149" min="12" max="12"/>
    <col width="14.41" customWidth="1" style="149" min="13" max="13"/>
    <col width="13.56" customWidth="1" style="149" min="14" max="14"/>
    <col width="9.140000000000001" customWidth="1" style="149" min="15" max="257"/>
  </cols>
  <sheetData>
    <row r="1" ht="33" customHeight="1" s="150">
      <c r="C1" s="161" t="inlineStr">
        <is>
          <t>United States</t>
        </is>
      </c>
    </row>
    <row r="2" ht="48.75" customHeight="1" s="150">
      <c r="C2" s="162" t="inlineStr">
        <is>
          <t>TOTAL COSTS 
(US$ excl. VAT)</t>
        </is>
      </c>
      <c r="D2" s="163">
        <f>[2]Consolidated!D2</f>
        <v/>
      </c>
      <c r="E2" s="163">
        <f>[2]Consolidated!E2</f>
        <v/>
      </c>
      <c r="F2" s="163">
        <f>[2]Consolidated!F2</f>
        <v/>
      </c>
      <c r="G2" s="163">
        <f>[2]Consolidated!G2</f>
        <v/>
      </c>
      <c r="H2" s="163">
        <f>[2]Consolidated!H2</f>
        <v/>
      </c>
      <c r="I2" s="163">
        <f>[2]Consolidated!I2</f>
        <v/>
      </c>
      <c r="J2" s="164">
        <f>[2]Consolidated!J2</f>
        <v/>
      </c>
      <c r="K2" s="165" t="n"/>
      <c r="L2" s="163">
        <f>[2]Consolidated!L2</f>
        <v/>
      </c>
      <c r="M2" s="166">
        <f>[2]Consolidated!M2</f>
        <v/>
      </c>
      <c r="N2" s="163">
        <f>[2]Consolidated!N2</f>
        <v/>
      </c>
    </row>
    <row r="3" ht="12.75" customHeight="1" s="150">
      <c r="A3" s="158" t="n"/>
      <c r="B3" s="158" t="n"/>
      <c r="C3" s="167" t="inlineStr">
        <is>
          <t>Internal FTE</t>
        </is>
      </c>
      <c r="D3" s="182">
        <f>[2]Consolidated!D3</f>
        <v/>
      </c>
      <c r="E3" s="182">
        <f>[2]Consolidated!E3</f>
        <v/>
      </c>
      <c r="F3" s="182">
        <f>[2]Consolidated!F3</f>
        <v/>
      </c>
      <c r="G3" s="182">
        <f>[2]Consolidated!G3</f>
        <v/>
      </c>
      <c r="H3" s="182">
        <f>[2]Consolidated!H3</f>
        <v/>
      </c>
      <c r="I3" s="182">
        <f>[2]Consolidated!I3</f>
        <v/>
      </c>
      <c r="J3" s="293" t="n"/>
      <c r="K3" s="185" t="n"/>
      <c r="L3" s="186">
        <f>[2]Consolidated!L3</f>
        <v/>
      </c>
      <c r="M3" s="182">
        <f>[2]Consolidated!M3</f>
        <v/>
      </c>
      <c r="N3" s="173">
        <f>[2]Consolidated!N3</f>
        <v/>
      </c>
    </row>
    <row r="4" ht="12.75" customHeight="1" s="150">
      <c r="A4" s="158" t="n"/>
      <c r="B4" s="158" t="n"/>
      <c r="C4" s="167" t="inlineStr">
        <is>
          <t>External FTE</t>
        </is>
      </c>
      <c r="D4" s="182">
        <f>[2]Consolidated!D4</f>
        <v/>
      </c>
      <c r="E4" s="182">
        <f>[2]Consolidated!E4</f>
        <v/>
      </c>
      <c r="F4" s="182">
        <f>[2]Consolidated!F4</f>
        <v/>
      </c>
      <c r="G4" s="182">
        <f>[2]Consolidated!G4</f>
        <v/>
      </c>
      <c r="H4" s="182">
        <f>[2]Consolidated!H4</f>
        <v/>
      </c>
      <c r="I4" s="183">
        <f>[2]Consolidated!I4</f>
        <v/>
      </c>
      <c r="J4" s="294" t="n"/>
      <c r="K4" s="185" t="n"/>
      <c r="L4" s="186">
        <f>[2]Consolidated!L4</f>
        <v/>
      </c>
      <c r="M4" s="182">
        <f>[2]Consolidated!M4</f>
        <v/>
      </c>
      <c r="N4" s="173">
        <f>[2]Consolidated!N4</f>
        <v/>
      </c>
    </row>
    <row r="5" ht="13.5" customHeight="1" s="150">
      <c r="A5" s="176" t="n"/>
      <c r="B5" s="176" t="n"/>
      <c r="C5" s="177" t="inlineStr">
        <is>
          <t>Total FTE</t>
        </is>
      </c>
      <c r="D5" s="188">
        <f>[2]Consolidated!D5</f>
        <v/>
      </c>
      <c r="E5" s="188">
        <f>[2]Consolidated!E5</f>
        <v/>
      </c>
      <c r="F5" s="188">
        <f>[2]Consolidated!F5</f>
        <v/>
      </c>
      <c r="G5" s="188">
        <f>[2]Consolidated!G5</f>
        <v/>
      </c>
      <c r="H5" s="188">
        <f>[2]Consolidated!H5</f>
        <v/>
      </c>
      <c r="I5" s="189">
        <f>[2]Consolidated!I5</f>
        <v/>
      </c>
      <c r="J5" s="295" t="n"/>
      <c r="K5" s="185" t="n"/>
      <c r="L5" s="181">
        <f>[2]Consolidated!L5</f>
        <v/>
      </c>
      <c r="M5" s="188">
        <f>[2]Consolidated!M5</f>
        <v/>
      </c>
      <c r="N5" s="181">
        <f>[2]Consolidated!N5</f>
        <v/>
      </c>
    </row>
    <row r="6" ht="12.75" customHeight="1" s="150">
      <c r="A6" s="158" t="n"/>
      <c r="B6" s="158" t="n"/>
      <c r="C6" s="167" t="n"/>
      <c r="D6" s="182" t="n"/>
      <c r="E6" s="182" t="n"/>
      <c r="F6" s="182" t="n"/>
      <c r="G6" s="182" t="n"/>
      <c r="H6" s="182" t="n"/>
      <c r="I6" s="183" t="n"/>
      <c r="J6" s="184" t="n"/>
      <c r="K6" s="185" t="n"/>
      <c r="L6" s="186" t="n"/>
      <c r="M6" s="182" t="n"/>
      <c r="N6" s="173" t="n"/>
    </row>
    <row r="7" ht="12.75" customHeight="1" s="150">
      <c r="A7" s="158" t="n"/>
      <c r="B7" s="158" t="n"/>
      <c r="C7" s="167" t="inlineStr">
        <is>
          <t>Salaries</t>
        </is>
      </c>
      <c r="D7" s="182">
        <f>[2]Consolidated!D7</f>
        <v/>
      </c>
      <c r="E7" s="182">
        <f>[2]Consolidated!E7</f>
        <v/>
      </c>
      <c r="F7" s="182">
        <f>[2]Consolidated!F7</f>
        <v/>
      </c>
      <c r="G7" s="182">
        <f>[2]Consolidated!G7</f>
        <v/>
      </c>
      <c r="H7" s="182">
        <f>[2]Consolidated!H7</f>
        <v/>
      </c>
      <c r="I7" s="183">
        <f>[2]Consolidated!I7</f>
        <v/>
      </c>
      <c r="J7" s="183">
        <f>[2]Consolidated!J7</f>
        <v/>
      </c>
      <c r="K7" s="185" t="n"/>
      <c r="L7" s="186">
        <f>[2]Consolidated!L7</f>
        <v/>
      </c>
      <c r="M7" s="182">
        <f>[2]Consolidated!M7</f>
        <v/>
      </c>
      <c r="N7" s="173">
        <f>[2]Consolidated!N7</f>
        <v/>
      </c>
    </row>
    <row r="8" ht="12.75" customHeight="1" s="150">
      <c r="A8" s="158" t="n"/>
      <c r="B8" s="158" t="n"/>
      <c r="C8" s="167" t="inlineStr">
        <is>
          <t>Bonuses</t>
        </is>
      </c>
      <c r="D8" s="182">
        <f>[2]Consolidated!D8</f>
        <v/>
      </c>
      <c r="E8" s="182">
        <f>[2]Consolidated!E8</f>
        <v/>
      </c>
      <c r="F8" s="182">
        <f>[2]Consolidated!F8</f>
        <v/>
      </c>
      <c r="G8" s="182">
        <f>[2]Consolidated!G8</f>
        <v/>
      </c>
      <c r="H8" s="182">
        <f>[2]Consolidated!H8</f>
        <v/>
      </c>
      <c r="I8" s="183">
        <f>[2]Consolidated!I8</f>
        <v/>
      </c>
      <c r="J8" s="183">
        <f>[2]Consolidated!J8</f>
        <v/>
      </c>
      <c r="K8" s="185" t="n"/>
      <c r="L8" s="186">
        <f>[2]Consolidated!L8</f>
        <v/>
      </c>
      <c r="M8" s="182">
        <f>[2]Consolidated!M8</f>
        <v/>
      </c>
      <c r="N8" s="173">
        <f>[2]Consolidated!N8</f>
        <v/>
      </c>
    </row>
    <row r="9" ht="12.75" customHeight="1" s="150">
      <c r="A9" s="158" t="n"/>
      <c r="B9" s="158" t="n"/>
      <c r="C9" s="167" t="inlineStr">
        <is>
          <t>Third party staff, ex IT</t>
        </is>
      </c>
      <c r="D9" s="182">
        <f>[2]Consolidated!D9</f>
        <v/>
      </c>
      <c r="E9" s="182">
        <f>[2]Consolidated!E9</f>
        <v/>
      </c>
      <c r="F9" s="182">
        <f>[2]Consolidated!F9</f>
        <v/>
      </c>
      <c r="G9" s="182">
        <f>[2]Consolidated!G9</f>
        <v/>
      </c>
      <c r="H9" s="182">
        <f>[2]Consolidated!H9</f>
        <v/>
      </c>
      <c r="I9" s="183">
        <f>[2]Consolidated!I9</f>
        <v/>
      </c>
      <c r="J9" s="183">
        <f>[2]Consolidated!J9</f>
        <v/>
      </c>
      <c r="K9" s="185" t="n"/>
      <c r="L9" s="186">
        <f>[2]Consolidated!L9</f>
        <v/>
      </c>
      <c r="M9" s="182">
        <f>[2]Consolidated!M9</f>
        <v/>
      </c>
      <c r="N9" s="173">
        <f>[2]Consolidated!N9</f>
        <v/>
      </c>
    </row>
    <row r="10" ht="12.75" customHeight="1" s="150">
      <c r="A10" s="158" t="n"/>
      <c r="B10" s="158" t="n"/>
      <c r="C10" s="167" t="inlineStr">
        <is>
          <t>Third party IT staff</t>
        </is>
      </c>
      <c r="D10" s="182">
        <f>[2]Consolidated!D10</f>
        <v/>
      </c>
      <c r="E10" s="182">
        <f>[2]Consolidated!E10</f>
        <v/>
      </c>
      <c r="F10" s="182">
        <f>[2]Consolidated!F10</f>
        <v/>
      </c>
      <c r="G10" s="182">
        <f>[2]Consolidated!G10</f>
        <v/>
      </c>
      <c r="H10" s="182">
        <f>[2]Consolidated!H10</f>
        <v/>
      </c>
      <c r="I10" s="183">
        <f>[2]Consolidated!I10</f>
        <v/>
      </c>
      <c r="J10" s="183">
        <f>[2]Consolidated!J10</f>
        <v/>
      </c>
      <c r="K10" s="185" t="n"/>
      <c r="L10" s="186">
        <f>[2]Consolidated!L10</f>
        <v/>
      </c>
      <c r="M10" s="182">
        <f>[2]Consolidated!M10</f>
        <v/>
      </c>
      <c r="N10" s="173">
        <f>[2]Consolidated!N10</f>
        <v/>
      </c>
    </row>
    <row r="11" ht="12.75" customHeight="1" s="150">
      <c r="A11" s="158" t="n"/>
      <c r="B11" s="158" t="n"/>
      <c r="C11" s="167" t="inlineStr">
        <is>
          <t>Employee education</t>
        </is>
      </c>
      <c r="D11" s="182">
        <f>[2]Consolidated!D11</f>
        <v/>
      </c>
      <c r="E11" s="182">
        <f>[2]Consolidated!E11</f>
        <v/>
      </c>
      <c r="F11" s="182">
        <f>[2]Consolidated!F11</f>
        <v/>
      </c>
      <c r="G11" s="182">
        <f>[2]Consolidated!G11</f>
        <v/>
      </c>
      <c r="H11" s="182">
        <f>[2]Consolidated!H11</f>
        <v/>
      </c>
      <c r="I11" s="183">
        <f>[2]Consolidated!I11</f>
        <v/>
      </c>
      <c r="J11" s="183">
        <f>[2]Consolidated!J11</f>
        <v/>
      </c>
      <c r="K11" s="185" t="n"/>
      <c r="L11" s="186">
        <f>[2]Consolidated!L11</f>
        <v/>
      </c>
      <c r="M11" s="182">
        <f>[2]Consolidated!M11</f>
        <v/>
      </c>
      <c r="N11" s="173">
        <f>[2]Consolidated!N11</f>
        <v/>
      </c>
    </row>
    <row r="12" ht="12.75" customHeight="1" s="150">
      <c r="A12" s="158" t="n"/>
      <c r="B12" s="158" t="n"/>
      <c r="C12" s="167" t="inlineStr">
        <is>
          <t>Other staff expenses</t>
        </is>
      </c>
      <c r="D12" s="182">
        <f>[2]Consolidated!D12</f>
        <v/>
      </c>
      <c r="E12" s="182">
        <f>[2]Consolidated!E12</f>
        <v/>
      </c>
      <c r="F12" s="182">
        <f>[2]Consolidated!F12</f>
        <v/>
      </c>
      <c r="G12" s="182">
        <f>[2]Consolidated!G12</f>
        <v/>
      </c>
      <c r="H12" s="182">
        <f>[2]Consolidated!H12</f>
        <v/>
      </c>
      <c r="I12" s="187">
        <f>[2]Consolidated!I12</f>
        <v/>
      </c>
      <c r="J12" s="187">
        <f>[2]Consolidated!J12</f>
        <v/>
      </c>
      <c r="K12" s="185" t="n"/>
      <c r="L12" s="186">
        <f>[2]Consolidated!L12</f>
        <v/>
      </c>
      <c r="M12" s="182">
        <f>[2]Consolidated!M12</f>
        <v/>
      </c>
      <c r="N12" s="173">
        <f>[2]Consolidated!N12</f>
        <v/>
      </c>
    </row>
    <row r="13" ht="13.5" customHeight="1" s="150">
      <c r="A13" s="176" t="n"/>
      <c r="B13" s="176" t="n"/>
      <c r="C13" s="177" t="inlineStr">
        <is>
          <t>Staff expenses</t>
        </is>
      </c>
      <c r="D13" s="188">
        <f>[2]Consolidated!D13</f>
        <v/>
      </c>
      <c r="E13" s="188">
        <f>[2]Consolidated!E13</f>
        <v/>
      </c>
      <c r="F13" s="188">
        <f>[2]Consolidated!F13</f>
        <v/>
      </c>
      <c r="G13" s="188">
        <f>[2]Consolidated!G13</f>
        <v/>
      </c>
      <c r="H13" s="188">
        <f>[2]Consolidated!H13</f>
        <v/>
      </c>
      <c r="I13" s="189">
        <f>[2]Consolidated!I13</f>
        <v/>
      </c>
      <c r="J13" s="189">
        <f>[2]Consolidated!J13</f>
        <v/>
      </c>
      <c r="K13" s="185" t="n"/>
      <c r="L13" s="181">
        <f>[2]Consolidated!L13</f>
        <v/>
      </c>
      <c r="M13" s="188">
        <f>[2]Consolidated!M13</f>
        <v/>
      </c>
      <c r="N13" s="181">
        <f>[2]Consolidated!N13</f>
        <v/>
      </c>
    </row>
    <row r="14" ht="12.75" customHeight="1" s="150">
      <c r="A14" s="158" t="n"/>
      <c r="B14" s="158" t="n"/>
      <c r="C14" s="167" t="inlineStr">
        <is>
          <t>Hardware expenses</t>
        </is>
      </c>
      <c r="D14" s="182">
        <f>[2]Consolidated!D14</f>
        <v/>
      </c>
      <c r="E14" s="182">
        <f>[2]Consolidated!E14</f>
        <v/>
      </c>
      <c r="F14" s="182">
        <f>[2]Consolidated!F14</f>
        <v/>
      </c>
      <c r="G14" s="182">
        <f>[2]Consolidated!G14</f>
        <v/>
      </c>
      <c r="H14" s="182">
        <f>[2]Consolidated!H14</f>
        <v/>
      </c>
      <c r="I14" s="183">
        <f>[2]Consolidated!I14</f>
        <v/>
      </c>
      <c r="J14" s="183">
        <f>[2]Consolidated!J14</f>
        <v/>
      </c>
      <c r="K14" s="185" t="n"/>
      <c r="L14" s="186">
        <f>[2]Consolidated!L14</f>
        <v/>
      </c>
      <c r="M14" s="182">
        <f>[2]Consolidated!M14</f>
        <v/>
      </c>
      <c r="N14" s="173">
        <f>[2]Consolidated!N14</f>
        <v/>
      </c>
    </row>
    <row r="15" ht="12.75" customHeight="1" s="150">
      <c r="A15" s="158" t="n"/>
      <c r="B15" s="158" t="n"/>
      <c r="C15" s="167" t="inlineStr">
        <is>
          <t>Leasing/renting hardware</t>
        </is>
      </c>
      <c r="D15" s="182">
        <f>[2]Consolidated!D15</f>
        <v/>
      </c>
      <c r="E15" s="182">
        <f>[2]Consolidated!E15</f>
        <v/>
      </c>
      <c r="F15" s="182">
        <f>[2]Consolidated!F15</f>
        <v/>
      </c>
      <c r="G15" s="182">
        <f>[2]Consolidated!G15</f>
        <v/>
      </c>
      <c r="H15" s="182">
        <f>[2]Consolidated!H15</f>
        <v/>
      </c>
      <c r="I15" s="183">
        <f>[2]Consolidated!I15</f>
        <v/>
      </c>
      <c r="J15" s="183">
        <f>[2]Consolidated!J15</f>
        <v/>
      </c>
      <c r="K15" s="185" t="n"/>
      <c r="L15" s="186">
        <f>[2]Consolidated!L15</f>
        <v/>
      </c>
      <c r="M15" s="182">
        <f>[2]Consolidated!M15</f>
        <v/>
      </c>
      <c r="N15" s="173">
        <f>[2]Consolidated!N15</f>
        <v/>
      </c>
    </row>
    <row r="16" ht="12.75" customHeight="1" s="150">
      <c r="A16" s="158" t="n"/>
      <c r="B16" s="158" t="n"/>
      <c r="C16" s="167" t="inlineStr">
        <is>
          <t>Software expenses</t>
        </is>
      </c>
      <c r="D16" s="182">
        <f>[2]Consolidated!D16</f>
        <v/>
      </c>
      <c r="E16" s="182">
        <f>[2]Consolidated!E16</f>
        <v/>
      </c>
      <c r="F16" s="182">
        <f>[2]Consolidated!F16</f>
        <v/>
      </c>
      <c r="G16" s="182">
        <f>[2]Consolidated!G16</f>
        <v/>
      </c>
      <c r="H16" s="182">
        <f>[2]Consolidated!H16</f>
        <v/>
      </c>
      <c r="I16" s="183">
        <f>[2]Consolidated!I16</f>
        <v/>
      </c>
      <c r="J16" s="183">
        <f>[2]Consolidated!J16</f>
        <v/>
      </c>
      <c r="K16" s="185" t="n"/>
      <c r="L16" s="186">
        <f>[2]Consolidated!L16</f>
        <v/>
      </c>
      <c r="M16" s="182">
        <f>[2]Consolidated!M16</f>
        <v/>
      </c>
      <c r="N16" s="173">
        <f>[2]Consolidated!N16</f>
        <v/>
      </c>
    </row>
    <row r="17" ht="12.75" customHeight="1" s="150">
      <c r="A17" s="158" t="n"/>
      <c r="B17" s="158" t="n"/>
      <c r="C17" s="167" t="inlineStr">
        <is>
          <t>Leasing/renting/licenses sw</t>
        </is>
      </c>
      <c r="D17" s="182">
        <f>[2]Consolidated!D17</f>
        <v/>
      </c>
      <c r="E17" s="182">
        <f>[2]Consolidated!E17</f>
        <v/>
      </c>
      <c r="F17" s="182">
        <f>[2]Consolidated!F17</f>
        <v/>
      </c>
      <c r="G17" s="182">
        <f>[2]Consolidated!G17</f>
        <v/>
      </c>
      <c r="H17" s="182">
        <f>[2]Consolidated!H17</f>
        <v/>
      </c>
      <c r="I17" s="183">
        <f>[2]Consolidated!I17</f>
        <v/>
      </c>
      <c r="J17" s="183">
        <f>[2]Consolidated!J17</f>
        <v/>
      </c>
      <c r="K17" s="185" t="n"/>
      <c r="L17" s="186">
        <f>[2]Consolidated!L17</f>
        <v/>
      </c>
      <c r="M17" s="182">
        <f>[2]Consolidated!M17</f>
        <v/>
      </c>
      <c r="N17" s="173">
        <f>[2]Consolidated!N17</f>
        <v/>
      </c>
    </row>
    <row r="18" ht="12.75" customHeight="1" s="150">
      <c r="A18" s="158" t="n"/>
      <c r="B18" s="158" t="n"/>
      <c r="C18" s="167" t="inlineStr">
        <is>
          <t>Depreciation hardware</t>
        </is>
      </c>
      <c r="D18" s="182">
        <f>[2]Consolidated!D18</f>
        <v/>
      </c>
      <c r="E18" s="182">
        <f>[2]Consolidated!E18</f>
        <v/>
      </c>
      <c r="F18" s="182">
        <f>[2]Consolidated!F18</f>
        <v/>
      </c>
      <c r="G18" s="182">
        <f>[2]Consolidated!G18</f>
        <v/>
      </c>
      <c r="H18" s="182">
        <f>[2]Consolidated!H18</f>
        <v/>
      </c>
      <c r="I18" s="183">
        <f>[2]Consolidated!I18</f>
        <v/>
      </c>
      <c r="J18" s="183">
        <f>[2]Consolidated!J18</f>
        <v/>
      </c>
      <c r="K18" s="185" t="n"/>
      <c r="L18" s="186">
        <f>[2]Consolidated!L18</f>
        <v/>
      </c>
      <c r="M18" s="182">
        <f>[2]Consolidated!M18</f>
        <v/>
      </c>
      <c r="N18" s="173">
        <f>[2]Consolidated!N18</f>
        <v/>
      </c>
    </row>
    <row r="19" ht="12.75" customHeight="1" s="150">
      <c r="A19" s="158" t="n"/>
      <c r="B19" s="158" t="n"/>
      <c r="C19" s="167" t="inlineStr">
        <is>
          <t>Depreciation software</t>
        </is>
      </c>
      <c r="D19" s="182">
        <f>[2]Consolidated!D19</f>
        <v/>
      </c>
      <c r="E19" s="182">
        <f>[2]Consolidated!E19</f>
        <v/>
      </c>
      <c r="F19" s="182">
        <f>[2]Consolidated!F19</f>
        <v/>
      </c>
      <c r="G19" s="182">
        <f>[2]Consolidated!G19</f>
        <v/>
      </c>
      <c r="H19" s="182">
        <f>[2]Consolidated!H19</f>
        <v/>
      </c>
      <c r="I19" s="183">
        <f>[2]Consolidated!I19</f>
        <v/>
      </c>
      <c r="J19" s="183">
        <f>[2]Consolidated!J19</f>
        <v/>
      </c>
      <c r="K19" s="185" t="n"/>
      <c r="L19" s="186">
        <f>[2]Consolidated!L19</f>
        <v/>
      </c>
      <c r="M19" s="182">
        <f>[2]Consolidated!M19</f>
        <v/>
      </c>
      <c r="N19" s="173">
        <f>[2]Consolidated!N19</f>
        <v/>
      </c>
    </row>
    <row r="20" ht="12.75" customHeight="1" s="150">
      <c r="A20" s="158" t="n"/>
      <c r="B20" s="158" t="n"/>
      <c r="C20" s="167" t="inlineStr">
        <is>
          <t>Outsourcing IT activities</t>
        </is>
      </c>
      <c r="D20" s="182">
        <f>[2]Consolidated!D20</f>
        <v/>
      </c>
      <c r="E20" s="182">
        <f>[2]Consolidated!E20</f>
        <v/>
      </c>
      <c r="F20" s="182">
        <f>[2]Consolidated!F20</f>
        <v/>
      </c>
      <c r="G20" s="182">
        <f>[2]Consolidated!G20</f>
        <v/>
      </c>
      <c r="H20" s="182">
        <f>[2]Consolidated!H20</f>
        <v/>
      </c>
      <c r="I20" s="183">
        <f>[2]Consolidated!I20</f>
        <v/>
      </c>
      <c r="J20" s="183">
        <f>[2]Consolidated!J20</f>
        <v/>
      </c>
      <c r="K20" s="185" t="n"/>
      <c r="L20" s="186">
        <f>[2]Consolidated!L20</f>
        <v/>
      </c>
      <c r="M20" s="182">
        <f>[2]Consolidated!M20</f>
        <v/>
      </c>
      <c r="N20" s="173">
        <f>[2]Consolidated!N20</f>
        <v/>
      </c>
    </row>
    <row r="21" ht="12.75" customHeight="1" s="150">
      <c r="A21" s="158" t="n"/>
      <c r="B21" s="158" t="n"/>
      <c r="C21" s="167" t="inlineStr">
        <is>
          <t>Other IT expenses</t>
        </is>
      </c>
      <c r="D21" s="182">
        <f>[2]Consolidated!D21</f>
        <v/>
      </c>
      <c r="E21" s="182">
        <f>[2]Consolidated!E21</f>
        <v/>
      </c>
      <c r="F21" s="182">
        <f>[2]Consolidated!F21</f>
        <v/>
      </c>
      <c r="G21" s="182">
        <f>[2]Consolidated!G21</f>
        <v/>
      </c>
      <c r="H21" s="182">
        <f>[2]Consolidated!H21</f>
        <v/>
      </c>
      <c r="I21" s="183">
        <f>[2]Consolidated!I21</f>
        <v/>
      </c>
      <c r="J21" s="183">
        <f>[2]Consolidated!J21</f>
        <v/>
      </c>
      <c r="K21" s="185" t="n"/>
      <c r="L21" s="186">
        <f>[2]Consolidated!L21</f>
        <v/>
      </c>
      <c r="M21" s="182">
        <f>[2]Consolidated!M21</f>
        <v/>
      </c>
      <c r="N21" s="173">
        <f>[2]Consolidated!N21</f>
        <v/>
      </c>
    </row>
    <row r="22" ht="13.5" customHeight="1" s="150">
      <c r="A22" s="176" t="n"/>
      <c r="B22" s="176" t="n"/>
      <c r="C22" s="177" t="inlineStr">
        <is>
          <t>EDP expenses</t>
        </is>
      </c>
      <c r="D22" s="188">
        <f>[2]Consolidated!D22</f>
        <v/>
      </c>
      <c r="E22" s="188">
        <f>[2]Consolidated!E22</f>
        <v/>
      </c>
      <c r="F22" s="188">
        <f>[2]Consolidated!F22</f>
        <v/>
      </c>
      <c r="G22" s="188">
        <f>[2]Consolidated!G22</f>
        <v/>
      </c>
      <c r="H22" s="188">
        <f>[2]Consolidated!H22</f>
        <v/>
      </c>
      <c r="I22" s="189">
        <f>[2]Consolidated!I22</f>
        <v/>
      </c>
      <c r="J22" s="189">
        <f>[2]Consolidated!J22</f>
        <v/>
      </c>
      <c r="K22" s="185" t="n"/>
      <c r="L22" s="181">
        <f>[2]Consolidated!L22</f>
        <v/>
      </c>
      <c r="M22" s="188">
        <f>[2]Consolidated!M22</f>
        <v/>
      </c>
      <c r="N22" s="181">
        <f>[2]Consolidated!N22</f>
        <v/>
      </c>
    </row>
    <row r="23" ht="12.75" customHeight="1" s="150">
      <c r="A23" s="158" t="n"/>
      <c r="B23" s="158" t="n"/>
      <c r="C23" s="167" t="inlineStr">
        <is>
          <t>Telecom expenses</t>
        </is>
      </c>
      <c r="D23" s="182">
        <f>[2]Consolidated!D23</f>
        <v/>
      </c>
      <c r="E23" s="182">
        <f>[2]Consolidated!E23</f>
        <v/>
      </c>
      <c r="F23" s="182">
        <f>[2]Consolidated!F23</f>
        <v/>
      </c>
      <c r="G23" s="182">
        <f>[2]Consolidated!G23</f>
        <v/>
      </c>
      <c r="H23" s="182">
        <f>[2]Consolidated!H23</f>
        <v/>
      </c>
      <c r="I23" s="183">
        <f>[2]Consolidated!I23</f>
        <v/>
      </c>
      <c r="J23" s="183">
        <f>[2]Consolidated!J23</f>
        <v/>
      </c>
      <c r="K23" s="185" t="n"/>
      <c r="L23" s="186">
        <f>[2]Consolidated!L23</f>
        <v/>
      </c>
      <c r="M23" s="182">
        <f>[2]Consolidated!M23</f>
        <v/>
      </c>
      <c r="N23" s="173">
        <f>[2]Consolidated!N23</f>
        <v/>
      </c>
    </row>
    <row r="24" ht="12.75" customHeight="1" s="150">
      <c r="A24" s="158" t="n"/>
      <c r="B24" s="158" t="n"/>
      <c r="C24" s="167" t="inlineStr">
        <is>
          <t>Office equipment and supplies</t>
        </is>
      </c>
      <c r="D24" s="182">
        <f>[2]Consolidated!D24</f>
        <v/>
      </c>
      <c r="E24" s="182">
        <f>[2]Consolidated!E24</f>
        <v/>
      </c>
      <c r="F24" s="182">
        <f>[2]Consolidated!F24</f>
        <v/>
      </c>
      <c r="G24" s="182">
        <f>[2]Consolidated!G24</f>
        <v/>
      </c>
      <c r="H24" s="182">
        <f>[2]Consolidated!H24</f>
        <v/>
      </c>
      <c r="I24" s="183">
        <f>[2]Consolidated!I24</f>
        <v/>
      </c>
      <c r="J24" s="183">
        <f>[2]Consolidated!J24</f>
        <v/>
      </c>
      <c r="K24" s="185" t="n"/>
      <c r="L24" s="186">
        <f>[2]Consolidated!L24</f>
        <v/>
      </c>
      <c r="M24" s="182">
        <f>[2]Consolidated!M24</f>
        <v/>
      </c>
      <c r="N24" s="173">
        <f>[2]Consolidated!N24</f>
        <v/>
      </c>
    </row>
    <row r="25" ht="12.75" customHeight="1" s="150">
      <c r="A25" s="158" t="n"/>
      <c r="B25" s="158" t="n"/>
      <c r="C25" s="167" t="inlineStr">
        <is>
          <t>Accomodation expenses</t>
        </is>
      </c>
      <c r="D25" s="182">
        <f>[2]Consolidated!D25</f>
        <v/>
      </c>
      <c r="E25" s="182">
        <f>[2]Consolidated!E25</f>
        <v/>
      </c>
      <c r="F25" s="182">
        <f>[2]Consolidated!F25</f>
        <v/>
      </c>
      <c r="G25" s="182">
        <f>[2]Consolidated!G25</f>
        <v/>
      </c>
      <c r="H25" s="182">
        <f>[2]Consolidated!H25</f>
        <v/>
      </c>
      <c r="I25" s="183">
        <f>[2]Consolidated!I25</f>
        <v/>
      </c>
      <c r="J25" s="183">
        <f>[2]Consolidated!J25</f>
        <v/>
      </c>
      <c r="K25" s="185" t="n"/>
      <c r="L25" s="186">
        <f>[2]Consolidated!L25</f>
        <v/>
      </c>
      <c r="M25" s="182">
        <f>[2]Consolidated!M25</f>
        <v/>
      </c>
      <c r="N25" s="173">
        <f>[2]Consolidated!N25</f>
        <v/>
      </c>
    </row>
    <row r="26" ht="12.75" customHeight="1" s="150">
      <c r="A26" s="158" t="n"/>
      <c r="B26" s="158" t="n"/>
      <c r="C26" s="167" t="inlineStr">
        <is>
          <t>Travel costs</t>
        </is>
      </c>
      <c r="D26" s="182">
        <f>[2]Consolidated!D26</f>
        <v/>
      </c>
      <c r="E26" s="182">
        <f>[2]Consolidated!E26</f>
        <v/>
      </c>
      <c r="F26" s="182">
        <f>[2]Consolidated!F26</f>
        <v/>
      </c>
      <c r="G26" s="182">
        <f>[2]Consolidated!G26</f>
        <v/>
      </c>
      <c r="H26" s="182">
        <f>[2]Consolidated!H26</f>
        <v/>
      </c>
      <c r="I26" s="183">
        <f>[2]Consolidated!I26</f>
        <v/>
      </c>
      <c r="J26" s="183">
        <f>[2]Consolidated!J26</f>
        <v/>
      </c>
      <c r="K26" s="185" t="n"/>
      <c r="L26" s="186">
        <f>[2]Consolidated!L26</f>
        <v/>
      </c>
      <c r="M26" s="182">
        <f>[2]Consolidated!M26</f>
        <v/>
      </c>
      <c r="N26" s="173">
        <f>[2]Consolidated!N26</f>
        <v/>
      </c>
    </row>
    <row r="27" ht="12.75" customHeight="1" s="150">
      <c r="A27" s="158" t="n"/>
      <c r="B27" s="158" t="n"/>
      <c r="C27" s="167" t="inlineStr">
        <is>
          <t>Postal and freight charges</t>
        </is>
      </c>
      <c r="D27" s="182">
        <f>[2]Consolidated!D27</f>
        <v/>
      </c>
      <c r="E27" s="182">
        <f>[2]Consolidated!E27</f>
        <v/>
      </c>
      <c r="F27" s="182">
        <f>[2]Consolidated!F27</f>
        <v/>
      </c>
      <c r="G27" s="182">
        <f>[2]Consolidated!G27</f>
        <v/>
      </c>
      <c r="H27" s="182">
        <f>[2]Consolidated!H27</f>
        <v/>
      </c>
      <c r="I27" s="183">
        <f>[2]Consolidated!I27</f>
        <v/>
      </c>
      <c r="J27" s="183">
        <f>[2]Consolidated!J27</f>
        <v/>
      </c>
      <c r="K27" s="185" t="n"/>
      <c r="L27" s="186">
        <f>[2]Consolidated!L27</f>
        <v/>
      </c>
      <c r="M27" s="182">
        <f>[2]Consolidated!M27</f>
        <v/>
      </c>
      <c r="N27" s="173">
        <f>[2]Consolidated!N27</f>
        <v/>
      </c>
    </row>
    <row r="28" ht="12.75" customHeight="1" s="150">
      <c r="A28" s="158" t="n"/>
      <c r="B28" s="158" t="n"/>
      <c r="C28" s="167" t="inlineStr">
        <is>
          <t>Prof serv and ext advisory fee</t>
        </is>
      </c>
      <c r="D28" s="182">
        <f>[2]Consolidated!D28</f>
        <v/>
      </c>
      <c r="E28" s="182">
        <f>[2]Consolidated!E28</f>
        <v/>
      </c>
      <c r="F28" s="182">
        <f>[2]Consolidated!F28</f>
        <v/>
      </c>
      <c r="G28" s="182">
        <f>[2]Consolidated!G28</f>
        <v/>
      </c>
      <c r="H28" s="182">
        <f>[2]Consolidated!H28</f>
        <v/>
      </c>
      <c r="I28" s="183">
        <f>[2]Consolidated!I28</f>
        <v/>
      </c>
      <c r="J28" s="183">
        <f>[2]Consolidated!J28</f>
        <v/>
      </c>
      <c r="K28" s="185" t="n"/>
      <c r="L28" s="186">
        <f>[2]Consolidated!L28</f>
        <v/>
      </c>
      <c r="M28" s="182">
        <f>[2]Consolidated!M28</f>
        <v/>
      </c>
      <c r="N28" s="173">
        <f>[2]Consolidated!N28</f>
        <v/>
      </c>
    </row>
    <row r="29" ht="12.75" customHeight="1" s="150">
      <c r="A29" s="158" t="n"/>
      <c r="B29" s="158" t="n"/>
      <c r="C29" s="167" t="inlineStr">
        <is>
          <t>Payment transfer expenses</t>
        </is>
      </c>
      <c r="D29" s="182">
        <f>[2]Consolidated!D29</f>
        <v/>
      </c>
      <c r="E29" s="182">
        <f>[2]Consolidated!E29</f>
        <v/>
      </c>
      <c r="F29" s="182">
        <f>[2]Consolidated!F29</f>
        <v/>
      </c>
      <c r="G29" s="182">
        <f>[2]Consolidated!G29</f>
        <v/>
      </c>
      <c r="H29" s="182">
        <f>[2]Consolidated!H29</f>
        <v/>
      </c>
      <c r="I29" s="183">
        <f>[2]Consolidated!I29</f>
        <v/>
      </c>
      <c r="J29" s="183">
        <f>[2]Consolidated!J29</f>
        <v/>
      </c>
      <c r="K29" s="185" t="n"/>
      <c r="L29" s="186">
        <f>[2]Consolidated!L29</f>
        <v/>
      </c>
      <c r="M29" s="182">
        <f>[2]Consolidated!M29</f>
        <v/>
      </c>
      <c r="N29" s="173">
        <f>[2]Consolidated!N29</f>
        <v/>
      </c>
    </row>
    <row r="30" ht="12.75" customHeight="1" s="150">
      <c r="A30" s="158" t="n"/>
      <c r="B30" s="158" t="n"/>
      <c r="C30" s="167" t="inlineStr">
        <is>
          <t>Other costs</t>
        </is>
      </c>
      <c r="D30" s="182">
        <f>[2]Consolidated!D30</f>
        <v/>
      </c>
      <c r="E30" s="182">
        <f>[2]Consolidated!E30</f>
        <v/>
      </c>
      <c r="F30" s="182">
        <f>[2]Consolidated!F30</f>
        <v/>
      </c>
      <c r="G30" s="182">
        <f>[2]Consolidated!G30</f>
        <v/>
      </c>
      <c r="H30" s="182">
        <f>[2]Consolidated!H30</f>
        <v/>
      </c>
      <c r="I30" s="183">
        <f>[2]Consolidated!I30</f>
        <v/>
      </c>
      <c r="J30" s="183">
        <f>[2]Consolidated!J30</f>
        <v/>
      </c>
      <c r="K30" s="185" t="n"/>
      <c r="L30" s="186">
        <f>[2]Consolidated!L30</f>
        <v/>
      </c>
      <c r="M30" s="182">
        <f>[2]Consolidated!M30</f>
        <v/>
      </c>
      <c r="N30" s="173">
        <f>[2]Consolidated!N30</f>
        <v/>
      </c>
    </row>
    <row r="31" ht="13.5" customHeight="1" s="150">
      <c r="A31" s="176" t="n"/>
      <c r="B31" s="176" t="n"/>
      <c r="C31" s="177" t="inlineStr">
        <is>
          <t>General expenses</t>
        </is>
      </c>
      <c r="D31" s="188">
        <f>[2]Consolidated!D31</f>
        <v/>
      </c>
      <c r="E31" s="188">
        <f>[2]Consolidated!E31</f>
        <v/>
      </c>
      <c r="F31" s="188">
        <f>[2]Consolidated!F31</f>
        <v/>
      </c>
      <c r="G31" s="188">
        <f>[2]Consolidated!G31</f>
        <v/>
      </c>
      <c r="H31" s="188">
        <f>[2]Consolidated!H31</f>
        <v/>
      </c>
      <c r="I31" s="189">
        <f>[2]Consolidated!I31</f>
        <v/>
      </c>
      <c r="J31" s="189">
        <f>[2]Consolidated!J31</f>
        <v/>
      </c>
      <c r="K31" s="185" t="n"/>
      <c r="L31" s="181">
        <f>[2]Consolidated!L31</f>
        <v/>
      </c>
      <c r="M31" s="188">
        <f>[2]Consolidated!M31</f>
        <v/>
      </c>
      <c r="N31" s="181">
        <f>[2]Consolidated!N31</f>
        <v/>
      </c>
    </row>
    <row r="32" ht="12.75" customHeight="1" s="150">
      <c r="A32" s="158" t="n"/>
      <c r="B32" s="158" t="n"/>
      <c r="C32" s="167" t="inlineStr">
        <is>
          <t>Own expenses</t>
        </is>
      </c>
      <c r="D32" s="182">
        <f>[2]Consolidated!D32</f>
        <v/>
      </c>
      <c r="E32" s="182">
        <f>[2]Consolidated!E32</f>
        <v/>
      </c>
      <c r="F32" s="182">
        <f>[2]Consolidated!F32</f>
        <v/>
      </c>
      <c r="G32" s="182">
        <f>[2]Consolidated!G32</f>
        <v/>
      </c>
      <c r="H32" s="182">
        <f>[2]Consolidated!H32</f>
        <v/>
      </c>
      <c r="I32" s="183">
        <f>[2]Consolidated!I32</f>
        <v/>
      </c>
      <c r="J32" s="183">
        <f>[2]Consolidated!J32</f>
        <v/>
      </c>
      <c r="K32" s="185" t="n"/>
      <c r="L32" s="186">
        <f>[2]Consolidated!L32</f>
        <v/>
      </c>
      <c r="M32" s="182">
        <f>[2]Consolidated!M32</f>
        <v/>
      </c>
      <c r="N32" s="190">
        <f>[2]Consolidated!N32</f>
        <v/>
      </c>
    </row>
    <row r="33" ht="12.75" customHeight="1" s="150">
      <c r="A33" s="158" t="n"/>
      <c r="B33" s="158" t="n"/>
      <c r="C33" s="167" t="inlineStr">
        <is>
          <t>Other expenses</t>
        </is>
      </c>
      <c r="D33" s="182">
        <f>[2]Consolidated!D33</f>
        <v/>
      </c>
      <c r="E33" s="182">
        <f>[2]Consolidated!E33</f>
        <v/>
      </c>
      <c r="F33" s="182">
        <f>[2]Consolidated!F33</f>
        <v/>
      </c>
      <c r="G33" s="182">
        <f>[2]Consolidated!G33</f>
        <v/>
      </c>
      <c r="H33" s="182">
        <f>[2]Consolidated!H33</f>
        <v/>
      </c>
      <c r="I33" s="183">
        <f>[2]Consolidated!I33</f>
        <v/>
      </c>
      <c r="J33" s="183">
        <f>[2]Consolidated!J33</f>
        <v/>
      </c>
      <c r="K33" s="185" t="n"/>
      <c r="L33" s="186">
        <f>[2]Consolidated!L33</f>
        <v/>
      </c>
      <c r="M33" s="182">
        <f>[2]Consolidated!M33</f>
        <v/>
      </c>
      <c r="N33" s="173">
        <f>[2]Consolidated!N33</f>
        <v/>
      </c>
    </row>
    <row r="34" ht="13.5" customHeight="1" s="150">
      <c r="A34" s="176" t="n"/>
      <c r="B34" s="176" t="n"/>
      <c r="C34" s="177" t="inlineStr">
        <is>
          <t>Operating expenses</t>
        </is>
      </c>
      <c r="D34" s="188">
        <f>[2]Consolidated!D34</f>
        <v/>
      </c>
      <c r="E34" s="188">
        <f>[2]Consolidated!E34</f>
        <v/>
      </c>
      <c r="F34" s="188">
        <f>[2]Consolidated!F34</f>
        <v/>
      </c>
      <c r="G34" s="188">
        <f>[2]Consolidated!G34</f>
        <v/>
      </c>
      <c r="H34" s="188">
        <f>[2]Consolidated!H34</f>
        <v/>
      </c>
      <c r="I34" s="189">
        <f>[2]Consolidated!I34</f>
        <v/>
      </c>
      <c r="J34" s="189">
        <f>[2]Consolidated!J34</f>
        <v/>
      </c>
      <c r="K34" s="185" t="n"/>
      <c r="L34" s="181">
        <f>[2]Consolidated!L34</f>
        <v/>
      </c>
      <c r="M34" s="188">
        <f>[2]Consolidated!M34</f>
        <v/>
      </c>
      <c r="N34" s="181">
        <f>[2]Consolidated!N34</f>
        <v/>
      </c>
    </row>
    <row r="35" ht="12.75" customHeight="1" s="150">
      <c r="A35" s="158" t="n"/>
      <c r="B35" s="158" t="n"/>
      <c r="C35" s="167" t="n"/>
      <c r="D35" s="182" t="n"/>
      <c r="E35" s="182" t="n"/>
      <c r="F35" s="182" t="n"/>
      <c r="G35" s="182" t="n"/>
      <c r="H35" s="182" t="n"/>
      <c r="I35" s="183" t="n"/>
      <c r="J35" s="191" t="n"/>
      <c r="K35" s="185" t="n"/>
      <c r="L35" s="186" t="n"/>
      <c r="M35" s="182" t="n"/>
      <c r="N35" s="192" t="n"/>
    </row>
    <row r="36" ht="12.75" customHeight="1" s="150">
      <c r="A36" s="158" t="n"/>
      <c r="B36" s="158" t="n"/>
      <c r="C36" s="167" t="inlineStr">
        <is>
          <t>HR &amp; Comms</t>
        </is>
      </c>
      <c r="D36" s="182">
        <f>[2]Consolidated!D36</f>
        <v/>
      </c>
      <c r="E36" s="182">
        <f>[2]Consolidated!E36</f>
        <v/>
      </c>
      <c r="F36" s="182">
        <f>[2]Consolidated!F36</f>
        <v/>
      </c>
      <c r="G36" s="182">
        <f>[2]Consolidated!G36</f>
        <v/>
      </c>
      <c r="H36" s="182">
        <f>[2]Consolidated!H36</f>
        <v/>
      </c>
      <c r="I36" s="183">
        <f>[2]Consolidated!I36</f>
        <v/>
      </c>
      <c r="J36" s="183">
        <f>[2]Consolidated!J36</f>
        <v/>
      </c>
      <c r="K36" s="185" t="n"/>
      <c r="L36" s="186">
        <f>[2]Consolidated!L36</f>
        <v/>
      </c>
      <c r="M36" s="182">
        <f>[2]Consolidated!M36</f>
        <v/>
      </c>
      <c r="N36" s="173">
        <f>[2]Consolidated!N36</f>
        <v/>
      </c>
    </row>
    <row r="37" ht="12.75" customHeight="1" s="150">
      <c r="A37" s="158" t="n"/>
      <c r="B37" s="158" t="n"/>
      <c r="C37" s="167" t="inlineStr">
        <is>
          <t>Finance &amp; Business Support</t>
        </is>
      </c>
      <c r="D37" s="182">
        <f>[2]Consolidated!D37</f>
        <v/>
      </c>
      <c r="E37" s="182">
        <f>[2]Consolidated!E37</f>
        <v/>
      </c>
      <c r="F37" s="182">
        <f>[2]Consolidated!F37</f>
        <v/>
      </c>
      <c r="G37" s="182">
        <f>[2]Consolidated!G37</f>
        <v/>
      </c>
      <c r="H37" s="182">
        <f>[2]Consolidated!H37</f>
        <v/>
      </c>
      <c r="I37" s="183">
        <f>[2]Consolidated!I37</f>
        <v/>
      </c>
      <c r="J37" s="183">
        <f>[2]Consolidated!J37</f>
        <v/>
      </c>
      <c r="K37" s="185" t="n"/>
      <c r="L37" s="186">
        <f>[2]Consolidated!L37</f>
        <v/>
      </c>
      <c r="M37" s="182">
        <f>[2]Consolidated!M37</f>
        <v/>
      </c>
      <c r="N37" s="173">
        <f>[2]Consolidated!N37</f>
        <v/>
      </c>
    </row>
    <row r="38" ht="12.75" customHeight="1" s="150">
      <c r="A38" s="158" t="n"/>
      <c r="B38" s="158" t="n"/>
      <c r="C38" s="167" t="inlineStr">
        <is>
          <t>IT alloc</t>
        </is>
      </c>
      <c r="D38" s="182">
        <f>[2]Consolidated!D38</f>
        <v/>
      </c>
      <c r="E38" s="182">
        <f>[2]Consolidated!E38</f>
        <v/>
      </c>
      <c r="F38" s="182">
        <f>[2]Consolidated!F38</f>
        <v/>
      </c>
      <c r="G38" s="182">
        <f>[2]Consolidated!G38</f>
        <v/>
      </c>
      <c r="H38" s="182">
        <f>[2]Consolidated!H38</f>
        <v/>
      </c>
      <c r="I38" s="183">
        <f>[2]Consolidated!I38</f>
        <v/>
      </c>
      <c r="J38" s="183">
        <f>[2]Consolidated!J38</f>
        <v/>
      </c>
      <c r="K38" s="185" t="n"/>
      <c r="L38" s="186">
        <f>[2]Consolidated!L38</f>
        <v/>
      </c>
      <c r="M38" s="182">
        <f>[2]Consolidated!M38</f>
        <v/>
      </c>
      <c r="N38" s="173">
        <f>[2]Consolidated!N38</f>
        <v/>
      </c>
    </row>
    <row r="39" ht="12.75" customHeight="1" s="150">
      <c r="A39" s="158" t="n"/>
      <c r="B39" s="158" t="n"/>
      <c r="C39" s="167" t="inlineStr">
        <is>
          <t>Facilities Management</t>
        </is>
      </c>
      <c r="D39" s="182">
        <f>[2]Consolidated!D39</f>
        <v/>
      </c>
      <c r="E39" s="182">
        <f>[2]Consolidated!E39</f>
        <v/>
      </c>
      <c r="F39" s="182">
        <f>[2]Consolidated!F39</f>
        <v/>
      </c>
      <c r="G39" s="182">
        <f>[2]Consolidated!G39</f>
        <v/>
      </c>
      <c r="H39" s="182">
        <f>[2]Consolidated!H39</f>
        <v/>
      </c>
      <c r="I39" s="183">
        <f>[2]Consolidated!I39</f>
        <v/>
      </c>
      <c r="J39" s="183">
        <f>[2]Consolidated!J39</f>
        <v/>
      </c>
      <c r="K39" s="185" t="n"/>
      <c r="L39" s="186">
        <f>[2]Consolidated!L39</f>
        <v/>
      </c>
      <c r="M39" s="182">
        <f>[2]Consolidated!M39</f>
        <v/>
      </c>
      <c r="N39" s="173">
        <f>[2]Consolidated!N39</f>
        <v/>
      </c>
    </row>
    <row r="40" ht="13.5" customHeight="1" s="150">
      <c r="A40" s="176" t="n"/>
      <c r="B40" s="176" t="n"/>
      <c r="C40" s="177" t="inlineStr">
        <is>
          <t>Overheads</t>
        </is>
      </c>
      <c r="D40" s="188">
        <f>[2]Consolidated!D40</f>
        <v/>
      </c>
      <c r="E40" s="188">
        <f>[2]Consolidated!E40</f>
        <v/>
      </c>
      <c r="F40" s="188">
        <f>[2]Consolidated!F40</f>
        <v/>
      </c>
      <c r="G40" s="188">
        <f>[2]Consolidated!G40</f>
        <v/>
      </c>
      <c r="H40" s="188">
        <f>[2]Consolidated!H40</f>
        <v/>
      </c>
      <c r="I40" s="189">
        <f>[2]Consolidated!I40</f>
        <v/>
      </c>
      <c r="J40" s="189">
        <f>[2]Consolidated!J40</f>
        <v/>
      </c>
      <c r="K40" s="185" t="n"/>
      <c r="L40" s="181">
        <f>[2]Consolidated!L40</f>
        <v/>
      </c>
      <c r="M40" s="188">
        <f>[2]Consolidated!M40</f>
        <v/>
      </c>
      <c r="N40" s="181">
        <f>[2]Consolidated!N40</f>
        <v/>
      </c>
    </row>
    <row r="41" ht="12.75" customHeight="1" s="150">
      <c r="A41" s="158" t="n"/>
      <c r="B41" s="158" t="n"/>
      <c r="C41" s="167" t="n">
        <v>0</v>
      </c>
      <c r="D41" s="182" t="n"/>
      <c r="E41" s="182" t="n"/>
      <c r="F41" s="182" t="n"/>
      <c r="G41" s="182" t="n"/>
      <c r="H41" s="182" t="n"/>
      <c r="I41" s="183" t="n"/>
      <c r="J41" s="191" t="n"/>
      <c r="K41" s="185" t="n"/>
      <c r="L41" s="186" t="n"/>
      <c r="M41" s="182" t="n"/>
      <c r="N41" s="192" t="n"/>
    </row>
    <row r="42" ht="13.5" customHeight="1" s="150">
      <c r="A42" s="176" t="n"/>
      <c r="B42" s="176" t="n"/>
      <c r="C42" s="177" t="inlineStr">
        <is>
          <t>Total Operating Costs (incl. O/H)</t>
        </is>
      </c>
      <c r="D42" s="188">
        <f>[2]Consolidated!D42</f>
        <v/>
      </c>
      <c r="E42" s="188">
        <f>[2]Consolidated!E42</f>
        <v/>
      </c>
      <c r="F42" s="188">
        <f>[2]Consolidated!F42</f>
        <v/>
      </c>
      <c r="G42" s="188">
        <f>[2]Consolidated!G42</f>
        <v/>
      </c>
      <c r="H42" s="188">
        <f>[2]Consolidated!H42</f>
        <v/>
      </c>
      <c r="I42" s="189">
        <f>[2]Consolidated!I42</f>
        <v/>
      </c>
      <c r="J42" s="189">
        <f>[2]Consolidated!J42</f>
        <v/>
      </c>
      <c r="K42" s="185" t="n"/>
      <c r="L42" s="181">
        <f>[2]Consolidated!L42</f>
        <v/>
      </c>
      <c r="M42" s="188">
        <f>[2]Consolidated!M42</f>
        <v/>
      </c>
      <c r="N42" s="181">
        <f>[2]Consolidated!N42</f>
        <v/>
      </c>
      <c r="O42" s="193" t="n"/>
    </row>
    <row r="43" ht="12.75" customHeight="1" s="150">
      <c r="J43" s="195" t="n"/>
      <c r="N43" s="196" t="n"/>
    </row>
    <row r="44" ht="13.5" customHeight="1" s="150"/>
    <row r="45" ht="54.75" customHeight="1" s="150">
      <c r="C45" s="197" t="inlineStr">
        <is>
          <t>SUPPLIER ASSUMED COSTS 
(US$  excl. VAT)</t>
        </is>
      </c>
      <c r="D45" s="198">
        <f>[2]Consolidated!D45</f>
        <v/>
      </c>
      <c r="E45" s="198">
        <f>[2]Consolidated!E45</f>
        <v/>
      </c>
      <c r="F45" s="198">
        <f>[2]Consolidated!F45</f>
        <v/>
      </c>
      <c r="G45" s="198">
        <f>[2]Consolidated!G45</f>
        <v/>
      </c>
      <c r="H45" s="198">
        <f>[2]Consolidated!H45</f>
        <v/>
      </c>
      <c r="I45" s="199">
        <f>[2]Consolidated!I45</f>
        <v/>
      </c>
      <c r="J45" s="200">
        <f>[2]Consolidated!J45</f>
        <v/>
      </c>
      <c r="K45" s="165" t="n"/>
      <c r="L45" s="198">
        <f>[2]Consolidated!L45</f>
        <v/>
      </c>
      <c r="M45" s="201">
        <f>[2]Consolidated!M45</f>
        <v/>
      </c>
      <c r="N45" s="198">
        <f>[2]Consolidated!N45</f>
        <v/>
      </c>
    </row>
    <row r="46" ht="12.75" customHeight="1" s="150">
      <c r="C46" s="202" t="inlineStr">
        <is>
          <t>Internal FTE</t>
        </is>
      </c>
      <c r="D46" s="211">
        <f>[2]Consolidated!D46</f>
        <v/>
      </c>
      <c r="E46" s="211">
        <f>[2]Consolidated!E46</f>
        <v/>
      </c>
      <c r="F46" s="211">
        <f>[2]Consolidated!F46</f>
        <v/>
      </c>
      <c r="G46" s="211">
        <f>[2]Consolidated!G46</f>
        <v/>
      </c>
      <c r="H46" s="211">
        <f>[2]Consolidated!H46</f>
        <v/>
      </c>
      <c r="I46" s="211">
        <f>[2]Consolidated!I46</f>
        <v/>
      </c>
      <c r="J46" s="288" t="n"/>
      <c r="K46" s="185" t="n"/>
      <c r="L46" s="213">
        <f>[2]Consolidated!L46</f>
        <v/>
      </c>
      <c r="M46" s="211">
        <f>[2]Consolidated!M46</f>
        <v/>
      </c>
      <c r="N46" s="206">
        <f>[2]Consolidated!N46</f>
        <v/>
      </c>
    </row>
    <row r="47" ht="12.75" customHeight="1" s="150">
      <c r="C47" s="202" t="inlineStr">
        <is>
          <t>External FTE</t>
        </is>
      </c>
      <c r="D47" s="211">
        <f>[2]Consolidated!D47</f>
        <v/>
      </c>
      <c r="E47" s="211">
        <f>[2]Consolidated!E47</f>
        <v/>
      </c>
      <c r="F47" s="211">
        <f>[2]Consolidated!F47</f>
        <v/>
      </c>
      <c r="G47" s="211">
        <f>[2]Consolidated!G47</f>
        <v/>
      </c>
      <c r="H47" s="211">
        <f>[2]Consolidated!H47</f>
        <v/>
      </c>
      <c r="I47" s="211">
        <f>[2]Consolidated!I47</f>
        <v/>
      </c>
      <c r="J47" s="288" t="n"/>
      <c r="K47" s="185" t="n"/>
      <c r="L47" s="213">
        <f>[2]Consolidated!L47</f>
        <v/>
      </c>
      <c r="M47" s="211">
        <f>[2]Consolidated!M47</f>
        <v/>
      </c>
      <c r="N47" s="206">
        <f>[2]Consolidated!N47</f>
        <v/>
      </c>
    </row>
    <row r="48" ht="13.5" customHeight="1" s="150">
      <c r="A48" s="176" t="n"/>
      <c r="B48" s="176" t="n"/>
      <c r="C48" s="207" t="inlineStr">
        <is>
          <t>Total FTE</t>
        </is>
      </c>
      <c r="D48" s="215">
        <f>[2]Consolidated!D48</f>
        <v/>
      </c>
      <c r="E48" s="215">
        <f>[2]Consolidated!E48</f>
        <v/>
      </c>
      <c r="F48" s="215">
        <f>[2]Consolidated!F48</f>
        <v/>
      </c>
      <c r="G48" s="215">
        <f>[2]Consolidated!G48</f>
        <v/>
      </c>
      <c r="H48" s="215">
        <f>[2]Consolidated!H48</f>
        <v/>
      </c>
      <c r="I48" s="215">
        <f>[2]Consolidated!I48</f>
        <v/>
      </c>
      <c r="J48" s="289" t="n"/>
      <c r="K48" s="185" t="n"/>
      <c r="L48" s="210">
        <f>[2]Consolidated!L48</f>
        <v/>
      </c>
      <c r="M48" s="215">
        <f>[2]Consolidated!M48</f>
        <v/>
      </c>
      <c r="N48" s="210">
        <f>[2]Consolidated!N48</f>
        <v/>
      </c>
    </row>
    <row r="49" ht="12.75" customHeight="1" s="150">
      <c r="C49" s="202" t="n"/>
      <c r="D49" s="211" t="n"/>
      <c r="E49" s="211" t="n"/>
      <c r="F49" s="211" t="n"/>
      <c r="G49" s="211" t="n"/>
      <c r="H49" s="211" t="n"/>
      <c r="I49" s="211" t="n"/>
      <c r="J49" s="212" t="n"/>
      <c r="K49" s="185" t="n"/>
      <c r="L49" s="213" t="n"/>
      <c r="M49" s="211" t="n"/>
      <c r="N49" s="206" t="n"/>
    </row>
    <row r="50" ht="12.75" customHeight="1" s="150">
      <c r="C50" s="202" t="inlineStr">
        <is>
          <t>Salaries</t>
        </is>
      </c>
      <c r="D50" s="211">
        <f>[2]Consolidated!D50</f>
        <v/>
      </c>
      <c r="E50" s="211">
        <f>[2]Consolidated!E50</f>
        <v/>
      </c>
      <c r="F50" s="211">
        <f>[2]Consolidated!F50</f>
        <v/>
      </c>
      <c r="G50" s="211">
        <f>[2]Consolidated!G50</f>
        <v/>
      </c>
      <c r="H50" s="211">
        <f>[2]Consolidated!H50</f>
        <v/>
      </c>
      <c r="I50" s="211">
        <f>[2]Consolidated!I50</f>
        <v/>
      </c>
      <c r="J50" s="213">
        <f>[2]Consolidated!J50</f>
        <v/>
      </c>
      <c r="K50" s="185" t="n"/>
      <c r="L50" s="213">
        <f>[2]Consolidated!L50</f>
        <v/>
      </c>
      <c r="M50" s="211">
        <f>[2]Consolidated!M50</f>
        <v/>
      </c>
      <c r="N50" s="206">
        <f>[2]Consolidated!N50</f>
        <v/>
      </c>
    </row>
    <row r="51" ht="12.75" customHeight="1" s="150">
      <c r="C51" s="202" t="inlineStr">
        <is>
          <t>Bonuses</t>
        </is>
      </c>
      <c r="D51" s="211">
        <f>[2]Consolidated!D51</f>
        <v/>
      </c>
      <c r="E51" s="211">
        <f>[2]Consolidated!E51</f>
        <v/>
      </c>
      <c r="F51" s="211">
        <f>[2]Consolidated!F51</f>
        <v/>
      </c>
      <c r="G51" s="211">
        <f>[2]Consolidated!G51</f>
        <v/>
      </c>
      <c r="H51" s="211">
        <f>[2]Consolidated!H51</f>
        <v/>
      </c>
      <c r="I51" s="211">
        <f>[2]Consolidated!I51</f>
        <v/>
      </c>
      <c r="J51" s="213">
        <f>[2]Consolidated!J51</f>
        <v/>
      </c>
      <c r="K51" s="185" t="n"/>
      <c r="L51" s="213">
        <f>[2]Consolidated!L51</f>
        <v/>
      </c>
      <c r="M51" s="211">
        <f>[2]Consolidated!M51</f>
        <v/>
      </c>
      <c r="N51" s="206">
        <f>[2]Consolidated!N51</f>
        <v/>
      </c>
    </row>
    <row r="52" ht="12.75" customHeight="1" s="150">
      <c r="C52" s="202" t="inlineStr">
        <is>
          <t>Third party staff, ex IT</t>
        </is>
      </c>
      <c r="D52" s="211">
        <f>[2]Consolidated!D52</f>
        <v/>
      </c>
      <c r="E52" s="211">
        <f>[2]Consolidated!E52</f>
        <v/>
      </c>
      <c r="F52" s="211">
        <f>[2]Consolidated!F52</f>
        <v/>
      </c>
      <c r="G52" s="211">
        <f>[2]Consolidated!G52</f>
        <v/>
      </c>
      <c r="H52" s="211">
        <f>[2]Consolidated!H52</f>
        <v/>
      </c>
      <c r="I52" s="211">
        <f>[2]Consolidated!I52</f>
        <v/>
      </c>
      <c r="J52" s="213">
        <f>[2]Consolidated!J52</f>
        <v/>
      </c>
      <c r="K52" s="185" t="n"/>
      <c r="L52" s="213">
        <f>[2]Consolidated!L52</f>
        <v/>
      </c>
      <c r="M52" s="211">
        <f>[2]Consolidated!M52</f>
        <v/>
      </c>
      <c r="N52" s="206">
        <f>[2]Consolidated!N52</f>
        <v/>
      </c>
    </row>
    <row r="53" ht="12.75" customHeight="1" s="150">
      <c r="C53" s="202" t="inlineStr">
        <is>
          <t>Third party IT staff</t>
        </is>
      </c>
      <c r="D53" s="211">
        <f>[2]Consolidated!D53</f>
        <v/>
      </c>
      <c r="E53" s="211">
        <f>[2]Consolidated!E53</f>
        <v/>
      </c>
      <c r="F53" s="211">
        <f>[2]Consolidated!F53</f>
        <v/>
      </c>
      <c r="G53" s="211">
        <f>[2]Consolidated!G53</f>
        <v/>
      </c>
      <c r="H53" s="211">
        <f>[2]Consolidated!H53</f>
        <v/>
      </c>
      <c r="I53" s="211">
        <f>[2]Consolidated!I53</f>
        <v/>
      </c>
      <c r="J53" s="213">
        <f>[2]Consolidated!J53</f>
        <v/>
      </c>
      <c r="K53" s="185" t="n"/>
      <c r="L53" s="213">
        <f>[2]Consolidated!L53</f>
        <v/>
      </c>
      <c r="M53" s="211">
        <f>[2]Consolidated!M53</f>
        <v/>
      </c>
      <c r="N53" s="206">
        <f>[2]Consolidated!N53</f>
        <v/>
      </c>
    </row>
    <row r="54" ht="12.75" customHeight="1" s="150">
      <c r="C54" s="202" t="inlineStr">
        <is>
          <t>Employee education</t>
        </is>
      </c>
      <c r="D54" s="211">
        <f>[2]Consolidated!D54</f>
        <v/>
      </c>
      <c r="E54" s="211">
        <f>[2]Consolidated!E54</f>
        <v/>
      </c>
      <c r="F54" s="211">
        <f>[2]Consolidated!F54</f>
        <v/>
      </c>
      <c r="G54" s="211">
        <f>[2]Consolidated!G54</f>
        <v/>
      </c>
      <c r="H54" s="211">
        <f>[2]Consolidated!H54</f>
        <v/>
      </c>
      <c r="I54" s="211">
        <f>[2]Consolidated!I54</f>
        <v/>
      </c>
      <c r="J54" s="213">
        <f>[2]Consolidated!J54</f>
        <v/>
      </c>
      <c r="K54" s="185" t="n"/>
      <c r="L54" s="213">
        <f>[2]Consolidated!L54</f>
        <v/>
      </c>
      <c r="M54" s="211">
        <f>[2]Consolidated!M54</f>
        <v/>
      </c>
      <c r="N54" s="206">
        <f>[2]Consolidated!N54</f>
        <v/>
      </c>
    </row>
    <row r="55" ht="12.75" customHeight="1" s="150">
      <c r="C55" s="202" t="inlineStr">
        <is>
          <t>Other staff expenses</t>
        </is>
      </c>
      <c r="D55" s="211">
        <f>[2]Consolidated!D55</f>
        <v/>
      </c>
      <c r="E55" s="211">
        <f>[2]Consolidated!E55</f>
        <v/>
      </c>
      <c r="F55" s="211">
        <f>[2]Consolidated!F55</f>
        <v/>
      </c>
      <c r="G55" s="211">
        <f>[2]Consolidated!G55</f>
        <v/>
      </c>
      <c r="H55" s="211">
        <f>[2]Consolidated!H55</f>
        <v/>
      </c>
      <c r="I55" s="211">
        <f>[2]Consolidated!I55</f>
        <v/>
      </c>
      <c r="J55" s="214">
        <f>[2]Consolidated!J55</f>
        <v/>
      </c>
      <c r="K55" s="185" t="n"/>
      <c r="L55" s="213">
        <f>[2]Consolidated!L55</f>
        <v/>
      </c>
      <c r="M55" s="211">
        <f>[2]Consolidated!M55</f>
        <v/>
      </c>
      <c r="N55" s="206">
        <f>[2]Consolidated!N55</f>
        <v/>
      </c>
    </row>
    <row r="56" ht="13.5" customHeight="1" s="150">
      <c r="C56" s="207" t="inlineStr">
        <is>
          <t>Staff expenses</t>
        </is>
      </c>
      <c r="D56" s="215">
        <f>[2]Consolidated!D56</f>
        <v/>
      </c>
      <c r="E56" s="215">
        <f>[2]Consolidated!E56</f>
        <v/>
      </c>
      <c r="F56" s="215">
        <f>[2]Consolidated!F56</f>
        <v/>
      </c>
      <c r="G56" s="215">
        <f>[2]Consolidated!G56</f>
        <v/>
      </c>
      <c r="H56" s="215">
        <f>[2]Consolidated!H56</f>
        <v/>
      </c>
      <c r="I56" s="215">
        <f>[2]Consolidated!I56</f>
        <v/>
      </c>
      <c r="J56" s="210">
        <f>[2]Consolidated!J56</f>
        <v/>
      </c>
      <c r="K56" s="185" t="n"/>
      <c r="L56" s="210">
        <f>[2]Consolidated!L56</f>
        <v/>
      </c>
      <c r="M56" s="215">
        <f>[2]Consolidated!M56</f>
        <v/>
      </c>
      <c r="N56" s="210">
        <f>[2]Consolidated!N56</f>
        <v/>
      </c>
    </row>
    <row r="57" ht="12.75" customHeight="1" s="150">
      <c r="B57" s="216" t="n"/>
      <c r="C57" s="202" t="inlineStr">
        <is>
          <t>Hardware expenses</t>
        </is>
      </c>
      <c r="D57" s="211">
        <f>[2]Consolidated!D57</f>
        <v/>
      </c>
      <c r="E57" s="211">
        <f>[2]Consolidated!E57</f>
        <v/>
      </c>
      <c r="F57" s="211">
        <f>[2]Consolidated!F57</f>
        <v/>
      </c>
      <c r="G57" s="211">
        <f>[2]Consolidated!G57</f>
        <v/>
      </c>
      <c r="H57" s="211">
        <f>[2]Consolidated!H57</f>
        <v/>
      </c>
      <c r="I57" s="211">
        <f>[2]Consolidated!I57</f>
        <v/>
      </c>
      <c r="J57" s="213">
        <f>[2]Consolidated!J57</f>
        <v/>
      </c>
      <c r="K57" s="185" t="n"/>
      <c r="L57" s="213">
        <f>[2]Consolidated!L57</f>
        <v/>
      </c>
      <c r="M57" s="211">
        <f>[2]Consolidated!M57</f>
        <v/>
      </c>
      <c r="N57" s="206">
        <f>[2]Consolidated!N57</f>
        <v/>
      </c>
    </row>
    <row r="58" ht="12.75" customHeight="1" s="150">
      <c r="C58" s="202" t="inlineStr">
        <is>
          <t>Leasing/renting hardware</t>
        </is>
      </c>
      <c r="D58" s="211">
        <f>[2]Consolidated!D58</f>
        <v/>
      </c>
      <c r="E58" s="211">
        <f>[2]Consolidated!E58</f>
        <v/>
      </c>
      <c r="F58" s="211">
        <f>[2]Consolidated!F58</f>
        <v/>
      </c>
      <c r="G58" s="211">
        <f>[2]Consolidated!G58</f>
        <v/>
      </c>
      <c r="H58" s="211">
        <f>[2]Consolidated!H58</f>
        <v/>
      </c>
      <c r="I58" s="211">
        <f>[2]Consolidated!I58</f>
        <v/>
      </c>
      <c r="J58" s="213">
        <f>[2]Consolidated!J58</f>
        <v/>
      </c>
      <c r="K58" s="185" t="n"/>
      <c r="L58" s="213">
        <f>[2]Consolidated!L58</f>
        <v/>
      </c>
      <c r="M58" s="211">
        <f>[2]Consolidated!M58</f>
        <v/>
      </c>
      <c r="N58" s="206">
        <f>[2]Consolidated!N58</f>
        <v/>
      </c>
    </row>
    <row r="59" ht="12.75" customHeight="1" s="150">
      <c r="C59" s="202" t="inlineStr">
        <is>
          <t>Software expenses</t>
        </is>
      </c>
      <c r="D59" s="211">
        <f>[2]Consolidated!D59</f>
        <v/>
      </c>
      <c r="E59" s="211">
        <f>[2]Consolidated!E59</f>
        <v/>
      </c>
      <c r="F59" s="211">
        <f>[2]Consolidated!F59</f>
        <v/>
      </c>
      <c r="G59" s="211">
        <f>[2]Consolidated!G59</f>
        <v/>
      </c>
      <c r="H59" s="211">
        <f>[2]Consolidated!H59</f>
        <v/>
      </c>
      <c r="I59" s="211">
        <f>[2]Consolidated!I59</f>
        <v/>
      </c>
      <c r="J59" s="213">
        <f>[2]Consolidated!J59</f>
        <v/>
      </c>
      <c r="K59" s="185" t="n"/>
      <c r="L59" s="213">
        <f>[2]Consolidated!L59</f>
        <v/>
      </c>
      <c r="M59" s="211">
        <f>[2]Consolidated!M59</f>
        <v/>
      </c>
      <c r="N59" s="206">
        <f>[2]Consolidated!N59</f>
        <v/>
      </c>
    </row>
    <row r="60" ht="12.75" customHeight="1" s="150">
      <c r="C60" s="202" t="inlineStr">
        <is>
          <t>Leasing/renting/licenses sw</t>
        </is>
      </c>
      <c r="D60" s="211">
        <f>[2]Consolidated!D60</f>
        <v/>
      </c>
      <c r="E60" s="211">
        <f>[2]Consolidated!E60</f>
        <v/>
      </c>
      <c r="F60" s="211">
        <f>[2]Consolidated!F60</f>
        <v/>
      </c>
      <c r="G60" s="211">
        <f>[2]Consolidated!G60</f>
        <v/>
      </c>
      <c r="H60" s="211">
        <f>[2]Consolidated!H60</f>
        <v/>
      </c>
      <c r="I60" s="211">
        <f>[2]Consolidated!I60</f>
        <v/>
      </c>
      <c r="J60" s="213">
        <f>[2]Consolidated!J60</f>
        <v/>
      </c>
      <c r="K60" s="185" t="n"/>
      <c r="L60" s="213">
        <f>[2]Consolidated!L60</f>
        <v/>
      </c>
      <c r="M60" s="211">
        <f>[2]Consolidated!M60</f>
        <v/>
      </c>
      <c r="N60" s="206">
        <f>[2]Consolidated!N60</f>
        <v/>
      </c>
    </row>
    <row r="61" ht="12.75" customHeight="1" s="150">
      <c r="C61" s="202" t="inlineStr">
        <is>
          <t>Depreciation hardware</t>
        </is>
      </c>
      <c r="D61" s="211">
        <f>[2]Consolidated!D61</f>
        <v/>
      </c>
      <c r="E61" s="211">
        <f>[2]Consolidated!E61</f>
        <v/>
      </c>
      <c r="F61" s="211">
        <f>[2]Consolidated!F61</f>
        <v/>
      </c>
      <c r="G61" s="211">
        <f>[2]Consolidated!G61</f>
        <v/>
      </c>
      <c r="H61" s="211">
        <f>[2]Consolidated!H61</f>
        <v/>
      </c>
      <c r="I61" s="211">
        <f>[2]Consolidated!I61</f>
        <v/>
      </c>
      <c r="J61" s="213">
        <f>[2]Consolidated!J61</f>
        <v/>
      </c>
      <c r="K61" s="185" t="n"/>
      <c r="L61" s="213">
        <f>[2]Consolidated!L61</f>
        <v/>
      </c>
      <c r="M61" s="211">
        <f>[2]Consolidated!M61</f>
        <v/>
      </c>
      <c r="N61" s="206">
        <f>[2]Consolidated!N61</f>
        <v/>
      </c>
    </row>
    <row r="62" ht="12.75" customHeight="1" s="150">
      <c r="C62" s="202" t="inlineStr">
        <is>
          <t>Depreciation software</t>
        </is>
      </c>
      <c r="D62" s="211">
        <f>[2]Consolidated!D62</f>
        <v/>
      </c>
      <c r="E62" s="211">
        <f>[2]Consolidated!E62</f>
        <v/>
      </c>
      <c r="F62" s="211">
        <f>[2]Consolidated!F62</f>
        <v/>
      </c>
      <c r="G62" s="211">
        <f>[2]Consolidated!G62</f>
        <v/>
      </c>
      <c r="H62" s="211">
        <f>[2]Consolidated!H62</f>
        <v/>
      </c>
      <c r="I62" s="211">
        <f>[2]Consolidated!I62</f>
        <v/>
      </c>
      <c r="J62" s="213">
        <f>[2]Consolidated!J62</f>
        <v/>
      </c>
      <c r="K62" s="185" t="n"/>
      <c r="L62" s="213">
        <f>[2]Consolidated!L62</f>
        <v/>
      </c>
      <c r="M62" s="211">
        <f>[2]Consolidated!M62</f>
        <v/>
      </c>
      <c r="N62" s="206">
        <f>[2]Consolidated!N62</f>
        <v/>
      </c>
    </row>
    <row r="63" ht="12.75" customHeight="1" s="150">
      <c r="C63" s="202" t="inlineStr">
        <is>
          <t>Outsourcing IT activities</t>
        </is>
      </c>
      <c r="D63" s="211">
        <f>[2]Consolidated!D63</f>
        <v/>
      </c>
      <c r="E63" s="211">
        <f>[2]Consolidated!E63</f>
        <v/>
      </c>
      <c r="F63" s="211">
        <f>[2]Consolidated!F63</f>
        <v/>
      </c>
      <c r="G63" s="211">
        <f>[2]Consolidated!G63</f>
        <v/>
      </c>
      <c r="H63" s="211">
        <f>[2]Consolidated!H63</f>
        <v/>
      </c>
      <c r="I63" s="211">
        <f>[2]Consolidated!I63</f>
        <v/>
      </c>
      <c r="J63" s="213">
        <f>[2]Consolidated!J63</f>
        <v/>
      </c>
      <c r="K63" s="185" t="n"/>
      <c r="L63" s="213">
        <f>[2]Consolidated!L63</f>
        <v/>
      </c>
      <c r="M63" s="211">
        <f>[2]Consolidated!M63</f>
        <v/>
      </c>
      <c r="N63" s="206">
        <f>[2]Consolidated!N63</f>
        <v/>
      </c>
    </row>
    <row r="64" ht="12.75" customHeight="1" s="150">
      <c r="C64" s="202" t="inlineStr">
        <is>
          <t>Other IT expenses</t>
        </is>
      </c>
      <c r="D64" s="211">
        <f>D65</f>
        <v/>
      </c>
      <c r="E64" s="211">
        <f>E65</f>
        <v/>
      </c>
      <c r="F64" s="211">
        <f>F65</f>
        <v/>
      </c>
      <c r="G64" s="211">
        <f>G65</f>
        <v/>
      </c>
      <c r="H64" s="211">
        <f>H65</f>
        <v/>
      </c>
      <c r="I64" s="211">
        <f>I65</f>
        <v/>
      </c>
      <c r="J64" s="213">
        <f>J65</f>
        <v/>
      </c>
      <c r="K64" s="185" t="n"/>
      <c r="L64" s="213">
        <f>L65</f>
        <v/>
      </c>
      <c r="M64" s="211">
        <f>M65</f>
        <v/>
      </c>
      <c r="N64" s="206">
        <f>N65</f>
        <v/>
      </c>
      <c r="P64" s="149" t="inlineStr">
        <is>
          <t>Adjusted</t>
        </is>
      </c>
    </row>
    <row r="65" ht="13.5" customHeight="1" s="150">
      <c r="C65" s="207" t="inlineStr">
        <is>
          <t>EDP expenses</t>
        </is>
      </c>
      <c r="D65" s="215">
        <f>[2]Consolidated!D65</f>
        <v/>
      </c>
      <c r="E65" s="215">
        <f>[2]Consolidated!E65</f>
        <v/>
      </c>
      <c r="F65" s="215">
        <f>[2]Consolidated!F65</f>
        <v/>
      </c>
      <c r="G65" s="215">
        <f>[2]Consolidated!G65</f>
        <v/>
      </c>
      <c r="H65" s="215">
        <f>[2]Consolidated!H65</f>
        <v/>
      </c>
      <c r="I65" s="215">
        <f>[2]Consolidated!I65</f>
        <v/>
      </c>
      <c r="J65" s="210">
        <f>[2]Consolidated!J65</f>
        <v/>
      </c>
      <c r="K65" s="185" t="n"/>
      <c r="L65" s="210">
        <f>[2]Consolidated!L65</f>
        <v/>
      </c>
      <c r="M65" s="215">
        <f>[2]Consolidated!M65</f>
        <v/>
      </c>
      <c r="N65" s="210">
        <f>[2]Consolidated!N65</f>
        <v/>
      </c>
    </row>
    <row r="66" ht="12.75" customHeight="1" s="150">
      <c r="C66" s="202" t="inlineStr">
        <is>
          <t>Telecom expenses</t>
        </is>
      </c>
      <c r="D66" s="211">
        <f>[2]Consolidated!D66</f>
        <v/>
      </c>
      <c r="E66" s="211">
        <f>[2]Consolidated!E66</f>
        <v/>
      </c>
      <c r="F66" s="211">
        <f>[2]Consolidated!F66</f>
        <v/>
      </c>
      <c r="G66" s="211">
        <f>[2]Consolidated!G66</f>
        <v/>
      </c>
      <c r="H66" s="211">
        <f>[2]Consolidated!H66</f>
        <v/>
      </c>
      <c r="I66" s="211">
        <f>[2]Consolidated!I66</f>
        <v/>
      </c>
      <c r="J66" s="213">
        <f>[2]Consolidated!J66</f>
        <v/>
      </c>
      <c r="K66" s="185" t="n"/>
      <c r="L66" s="213">
        <f>[2]Consolidated!L66</f>
        <v/>
      </c>
      <c r="M66" s="211">
        <f>[2]Consolidated!M66</f>
        <v/>
      </c>
      <c r="N66" s="206">
        <f>[2]Consolidated!N66</f>
        <v/>
      </c>
    </row>
    <row r="67" ht="12.75" customHeight="1" s="150">
      <c r="C67" s="202" t="inlineStr">
        <is>
          <t>Office equipment and supplies</t>
        </is>
      </c>
      <c r="D67" s="211">
        <f>[2]Consolidated!D67</f>
        <v/>
      </c>
      <c r="E67" s="211">
        <f>[2]Consolidated!E67</f>
        <v/>
      </c>
      <c r="F67" s="211">
        <f>[2]Consolidated!F67</f>
        <v/>
      </c>
      <c r="G67" s="211">
        <f>[2]Consolidated!G67</f>
        <v/>
      </c>
      <c r="H67" s="211">
        <f>[2]Consolidated!H67</f>
        <v/>
      </c>
      <c r="I67" s="211">
        <f>[2]Consolidated!I67</f>
        <v/>
      </c>
      <c r="J67" s="213">
        <f>[2]Consolidated!J67</f>
        <v/>
      </c>
      <c r="K67" s="185" t="n"/>
      <c r="L67" s="213">
        <f>[2]Consolidated!L67</f>
        <v/>
      </c>
      <c r="M67" s="211">
        <f>[2]Consolidated!M67</f>
        <v/>
      </c>
      <c r="N67" s="206">
        <f>[2]Consolidated!N67</f>
        <v/>
      </c>
    </row>
    <row r="68" ht="12.75" customHeight="1" s="150">
      <c r="C68" s="202" t="inlineStr">
        <is>
          <t>Accomodation expenses</t>
        </is>
      </c>
      <c r="D68" s="211">
        <f>[2]Consolidated!D68</f>
        <v/>
      </c>
      <c r="E68" s="211">
        <f>[2]Consolidated!E68</f>
        <v/>
      </c>
      <c r="F68" s="211">
        <f>[2]Consolidated!F68</f>
        <v/>
      </c>
      <c r="G68" s="211">
        <f>[2]Consolidated!G68</f>
        <v/>
      </c>
      <c r="H68" s="211">
        <f>[2]Consolidated!H68</f>
        <v/>
      </c>
      <c r="I68" s="211">
        <f>[2]Consolidated!I68</f>
        <v/>
      </c>
      <c r="J68" s="213">
        <f>[2]Consolidated!J68</f>
        <v/>
      </c>
      <c r="K68" s="185" t="n"/>
      <c r="L68" s="213">
        <f>[2]Consolidated!L68</f>
        <v/>
      </c>
      <c r="M68" s="211">
        <f>[2]Consolidated!M68</f>
        <v/>
      </c>
      <c r="N68" s="206">
        <f>[2]Consolidated!N68</f>
        <v/>
      </c>
    </row>
    <row r="69" ht="12.75" customHeight="1" s="150">
      <c r="C69" s="202" t="inlineStr">
        <is>
          <t>Travel costs</t>
        </is>
      </c>
      <c r="D69" s="211">
        <f>[2]Consolidated!D69</f>
        <v/>
      </c>
      <c r="E69" s="211">
        <f>[2]Consolidated!E69</f>
        <v/>
      </c>
      <c r="F69" s="211">
        <f>[2]Consolidated!F69</f>
        <v/>
      </c>
      <c r="G69" s="211">
        <f>[2]Consolidated!G69</f>
        <v/>
      </c>
      <c r="H69" s="211">
        <f>[2]Consolidated!H69</f>
        <v/>
      </c>
      <c r="I69" s="211">
        <f>[2]Consolidated!I69</f>
        <v/>
      </c>
      <c r="J69" s="213">
        <f>[2]Consolidated!J69</f>
        <v/>
      </c>
      <c r="K69" s="185" t="n"/>
      <c r="L69" s="213">
        <f>[2]Consolidated!L69</f>
        <v/>
      </c>
      <c r="M69" s="211">
        <f>[2]Consolidated!M69</f>
        <v/>
      </c>
      <c r="N69" s="206">
        <f>[2]Consolidated!N69</f>
        <v/>
      </c>
    </row>
    <row r="70" ht="12.75" customHeight="1" s="150">
      <c r="C70" s="202" t="inlineStr">
        <is>
          <t>Postal and freight charges</t>
        </is>
      </c>
      <c r="D70" s="211">
        <f>[2]Consolidated!D70</f>
        <v/>
      </c>
      <c r="E70" s="211">
        <f>[2]Consolidated!E70</f>
        <v/>
      </c>
      <c r="F70" s="211">
        <f>[2]Consolidated!F70</f>
        <v/>
      </c>
      <c r="G70" s="211">
        <f>[2]Consolidated!G70</f>
        <v/>
      </c>
      <c r="H70" s="211">
        <f>[2]Consolidated!H70</f>
        <v/>
      </c>
      <c r="I70" s="211">
        <f>[2]Consolidated!I70</f>
        <v/>
      </c>
      <c r="J70" s="213">
        <f>[2]Consolidated!J70</f>
        <v/>
      </c>
      <c r="K70" s="185" t="n"/>
      <c r="L70" s="213">
        <f>[2]Consolidated!L70</f>
        <v/>
      </c>
      <c r="M70" s="211">
        <f>[2]Consolidated!M70</f>
        <v/>
      </c>
      <c r="N70" s="206">
        <f>[2]Consolidated!N70</f>
        <v/>
      </c>
    </row>
    <row r="71" ht="12.75" customHeight="1" s="150">
      <c r="C71" s="202" t="inlineStr">
        <is>
          <t>Prof serv and ext advisory fee</t>
        </is>
      </c>
      <c r="D71" s="211">
        <f>[2]Consolidated!D71</f>
        <v/>
      </c>
      <c r="E71" s="211">
        <f>[2]Consolidated!E71</f>
        <v/>
      </c>
      <c r="F71" s="211">
        <f>[2]Consolidated!F71</f>
        <v/>
      </c>
      <c r="G71" s="211">
        <f>[2]Consolidated!G71</f>
        <v/>
      </c>
      <c r="H71" s="211">
        <f>[2]Consolidated!H71</f>
        <v/>
      </c>
      <c r="I71" s="211">
        <f>[2]Consolidated!I71</f>
        <v/>
      </c>
      <c r="J71" s="213">
        <f>[2]Consolidated!J71</f>
        <v/>
      </c>
      <c r="K71" s="185" t="n"/>
      <c r="L71" s="213">
        <f>[2]Consolidated!L71</f>
        <v/>
      </c>
      <c r="M71" s="211">
        <f>[2]Consolidated!M71</f>
        <v/>
      </c>
      <c r="N71" s="206">
        <f>[2]Consolidated!N71</f>
        <v/>
      </c>
    </row>
    <row r="72" ht="12.75" customHeight="1" s="150">
      <c r="C72" s="202" t="inlineStr">
        <is>
          <t>Payment transfer expenses</t>
        </is>
      </c>
      <c r="D72" s="211">
        <f>[2]Consolidated!D72</f>
        <v/>
      </c>
      <c r="E72" s="211">
        <f>[2]Consolidated!E72</f>
        <v/>
      </c>
      <c r="F72" s="211">
        <f>[2]Consolidated!F72</f>
        <v/>
      </c>
      <c r="G72" s="211">
        <f>[2]Consolidated!G72</f>
        <v/>
      </c>
      <c r="H72" s="211">
        <f>[2]Consolidated!H72</f>
        <v/>
      </c>
      <c r="I72" s="211">
        <f>[2]Consolidated!I72</f>
        <v/>
      </c>
      <c r="J72" s="213">
        <f>[2]Consolidated!J72</f>
        <v/>
      </c>
      <c r="K72" s="185" t="n"/>
      <c r="L72" s="213">
        <f>[2]Consolidated!L72</f>
        <v/>
      </c>
      <c r="M72" s="211">
        <f>[2]Consolidated!M72</f>
        <v/>
      </c>
      <c r="N72" s="206">
        <f>[2]Consolidated!N72</f>
        <v/>
      </c>
    </row>
    <row r="73" ht="12.75" customHeight="1" s="150">
      <c r="C73" s="202" t="inlineStr">
        <is>
          <t>Other costs</t>
        </is>
      </c>
      <c r="D73" s="211">
        <f>D74</f>
        <v/>
      </c>
      <c r="E73" s="211">
        <f>E74</f>
        <v/>
      </c>
      <c r="F73" s="211">
        <f>F74</f>
        <v/>
      </c>
      <c r="G73" s="211">
        <f>G74</f>
        <v/>
      </c>
      <c r="H73" s="211">
        <f>H74</f>
        <v/>
      </c>
      <c r="I73" s="211">
        <f>I74</f>
        <v/>
      </c>
      <c r="J73" s="213">
        <f>J74</f>
        <v/>
      </c>
      <c r="K73" s="185" t="n"/>
      <c r="L73" s="213">
        <f>L74</f>
        <v/>
      </c>
      <c r="M73" s="211">
        <f>M74</f>
        <v/>
      </c>
      <c r="N73" s="206">
        <f>N74</f>
        <v/>
      </c>
    </row>
    <row r="74" ht="13.5" customHeight="1" s="150">
      <c r="C74" s="207" t="inlineStr">
        <is>
          <t>General expenses</t>
        </is>
      </c>
      <c r="D74" s="215">
        <f>[2]Consolidated!D74</f>
        <v/>
      </c>
      <c r="E74" s="215">
        <f>[2]Consolidated!E74</f>
        <v/>
      </c>
      <c r="F74" s="215">
        <f>[2]Consolidated!F74</f>
        <v/>
      </c>
      <c r="G74" s="215">
        <f>[2]Consolidated!G74</f>
        <v/>
      </c>
      <c r="H74" s="215">
        <f>[2]Consolidated!H74</f>
        <v/>
      </c>
      <c r="I74" s="215">
        <f>[2]Consolidated!I74</f>
        <v/>
      </c>
      <c r="J74" s="210">
        <f>[2]Consolidated!J74</f>
        <v/>
      </c>
      <c r="K74" s="185" t="n"/>
      <c r="L74" s="210">
        <f>[2]Consolidated!L74</f>
        <v/>
      </c>
      <c r="M74" s="215">
        <f>[2]Consolidated!M74</f>
        <v/>
      </c>
      <c r="N74" s="210">
        <f>[2]Consolidated!N74</f>
        <v/>
      </c>
      <c r="P74" s="149" t="inlineStr">
        <is>
          <t>Adjusted</t>
        </is>
      </c>
    </row>
    <row r="75" ht="12.75" customHeight="1" s="150">
      <c r="C75" s="202" t="inlineStr">
        <is>
          <t>Own expenses</t>
        </is>
      </c>
      <c r="D75" s="211">
        <f>[2]Consolidated!D75</f>
        <v/>
      </c>
      <c r="E75" s="211">
        <f>[2]Consolidated!E75</f>
        <v/>
      </c>
      <c r="F75" s="211">
        <f>[2]Consolidated!F75</f>
        <v/>
      </c>
      <c r="G75" s="211">
        <f>[2]Consolidated!G75</f>
        <v/>
      </c>
      <c r="H75" s="211">
        <f>[2]Consolidated!H75</f>
        <v/>
      </c>
      <c r="I75" s="211">
        <f>[2]Consolidated!I75</f>
        <v/>
      </c>
      <c r="J75" s="213">
        <f>[2]Consolidated!J75</f>
        <v/>
      </c>
      <c r="K75" s="185" t="n"/>
      <c r="L75" s="213">
        <f>[2]Consolidated!L75</f>
        <v/>
      </c>
      <c r="M75" s="211">
        <f>[2]Consolidated!M75</f>
        <v/>
      </c>
      <c r="N75" s="217">
        <f>[2]Consolidated!N75</f>
        <v/>
      </c>
    </row>
    <row r="76" ht="12.75" customHeight="1" s="150">
      <c r="C76" s="202" t="inlineStr">
        <is>
          <t>Other expenses</t>
        </is>
      </c>
      <c r="D76" s="211">
        <f>[2]Consolidated!D76</f>
        <v/>
      </c>
      <c r="E76" s="211">
        <f>[2]Consolidated!E76</f>
        <v/>
      </c>
      <c r="F76" s="211">
        <f>[2]Consolidated!F76</f>
        <v/>
      </c>
      <c r="G76" s="211">
        <f>[2]Consolidated!G76</f>
        <v/>
      </c>
      <c r="H76" s="211">
        <f>[2]Consolidated!H76</f>
        <v/>
      </c>
      <c r="I76" s="211">
        <f>[2]Consolidated!I76</f>
        <v/>
      </c>
      <c r="J76" s="213">
        <f>[2]Consolidated!J76</f>
        <v/>
      </c>
      <c r="K76" s="185" t="n"/>
      <c r="L76" s="213">
        <f>[2]Consolidated!L76</f>
        <v/>
      </c>
      <c r="M76" s="211">
        <f>[2]Consolidated!M76</f>
        <v/>
      </c>
      <c r="N76" s="206">
        <f>[2]Consolidated!N76</f>
        <v/>
      </c>
    </row>
    <row r="77" ht="13.5" customHeight="1" s="150">
      <c r="A77" s="176" t="n"/>
      <c r="B77" s="176" t="n"/>
      <c r="C77" s="207" t="inlineStr">
        <is>
          <t xml:space="preserve">Operating expenses </t>
        </is>
      </c>
      <c r="D77" s="215">
        <f>[2]Consolidated!D77</f>
        <v/>
      </c>
      <c r="E77" s="215">
        <f>[2]Consolidated!E77</f>
        <v/>
      </c>
      <c r="F77" s="215">
        <f>[2]Consolidated!F77</f>
        <v/>
      </c>
      <c r="G77" s="215">
        <f>[2]Consolidated!G77</f>
        <v/>
      </c>
      <c r="H77" s="215">
        <f>[2]Consolidated!H77</f>
        <v/>
      </c>
      <c r="I77" s="215">
        <f>[2]Consolidated!I77</f>
        <v/>
      </c>
      <c r="J77" s="210">
        <f>[2]Consolidated!J77</f>
        <v/>
      </c>
      <c r="K77" s="185" t="n"/>
      <c r="L77" s="210">
        <f>[2]Consolidated!L77</f>
        <v/>
      </c>
      <c r="M77" s="215">
        <f>[2]Consolidated!M77</f>
        <v/>
      </c>
      <c r="N77" s="210">
        <f>[2]Consolidated!N77</f>
        <v/>
      </c>
    </row>
    <row r="78" ht="12.75" customHeight="1" s="150">
      <c r="C78" s="202" t="n"/>
      <c r="D78" s="211" t="n"/>
      <c r="E78" s="211" t="n"/>
      <c r="F78" s="211" t="n"/>
      <c r="G78" s="211" t="n"/>
      <c r="H78" s="211" t="n"/>
      <c r="I78" s="211" t="n"/>
      <c r="J78" s="218" t="n"/>
      <c r="K78" s="185" t="n"/>
      <c r="L78" s="213" t="n"/>
      <c r="M78" s="211" t="n"/>
      <c r="N78" s="218" t="n"/>
    </row>
    <row r="79" ht="12.75" customHeight="1" s="150">
      <c r="C79" s="202" t="inlineStr">
        <is>
          <t>HR &amp; Comms</t>
        </is>
      </c>
      <c r="D79" s="211">
        <f>[2]Consolidated!D79</f>
        <v/>
      </c>
      <c r="E79" s="211">
        <f>[2]Consolidated!E79</f>
        <v/>
      </c>
      <c r="F79" s="211">
        <f>[2]Consolidated!F79</f>
        <v/>
      </c>
      <c r="G79" s="211">
        <f>[2]Consolidated!G79</f>
        <v/>
      </c>
      <c r="H79" s="211">
        <f>[2]Consolidated!H79</f>
        <v/>
      </c>
      <c r="I79" s="211">
        <f>[2]Consolidated!I79</f>
        <v/>
      </c>
      <c r="J79" s="213">
        <f>[2]Consolidated!J79</f>
        <v/>
      </c>
      <c r="K79" s="185" t="n"/>
      <c r="L79" s="213">
        <f>[2]Consolidated!L79</f>
        <v/>
      </c>
      <c r="M79" s="211">
        <f>[2]Consolidated!M79</f>
        <v/>
      </c>
      <c r="N79" s="206">
        <f>[2]Consolidated!N79</f>
        <v/>
      </c>
    </row>
    <row r="80" ht="12.75" customHeight="1" s="150">
      <c r="C80" s="202" t="inlineStr">
        <is>
          <t>Finance &amp; Business Support</t>
        </is>
      </c>
      <c r="D80" s="211">
        <f>[2]Consolidated!D80</f>
        <v/>
      </c>
      <c r="E80" s="211">
        <f>[2]Consolidated!E80</f>
        <v/>
      </c>
      <c r="F80" s="211">
        <f>[2]Consolidated!F80</f>
        <v/>
      </c>
      <c r="G80" s="211">
        <f>[2]Consolidated!G80</f>
        <v/>
      </c>
      <c r="H80" s="211">
        <f>[2]Consolidated!H80</f>
        <v/>
      </c>
      <c r="I80" s="211">
        <f>[2]Consolidated!I80</f>
        <v/>
      </c>
      <c r="J80" s="213">
        <f>[2]Consolidated!J80</f>
        <v/>
      </c>
      <c r="K80" s="185" t="n"/>
      <c r="L80" s="213">
        <f>[2]Consolidated!L80</f>
        <v/>
      </c>
      <c r="M80" s="211">
        <f>[2]Consolidated!M80</f>
        <v/>
      </c>
      <c r="N80" s="206">
        <f>[2]Consolidated!N80</f>
        <v/>
      </c>
    </row>
    <row r="81" ht="12.75" customHeight="1" s="150">
      <c r="C81" s="202" t="inlineStr">
        <is>
          <t>IT alloc</t>
        </is>
      </c>
      <c r="D81" s="211">
        <f>[2]Consolidated!D81</f>
        <v/>
      </c>
      <c r="E81" s="211">
        <f>[2]Consolidated!E81</f>
        <v/>
      </c>
      <c r="F81" s="211">
        <f>[2]Consolidated!F81</f>
        <v/>
      </c>
      <c r="G81" s="211">
        <f>[2]Consolidated!G81</f>
        <v/>
      </c>
      <c r="H81" s="211">
        <f>[2]Consolidated!H81</f>
        <v/>
      </c>
      <c r="I81" s="211">
        <f>[2]Consolidated!I81</f>
        <v/>
      </c>
      <c r="J81" s="213">
        <f>[2]Consolidated!J81</f>
        <v/>
      </c>
      <c r="K81" s="185" t="n"/>
      <c r="L81" s="213">
        <f>[2]Consolidated!L81</f>
        <v/>
      </c>
      <c r="M81" s="211">
        <f>[2]Consolidated!M81</f>
        <v/>
      </c>
      <c r="N81" s="206">
        <f>[2]Consolidated!N81</f>
        <v/>
      </c>
    </row>
    <row r="82" ht="12.75" customHeight="1" s="150">
      <c r="C82" s="202" t="inlineStr">
        <is>
          <t>Facilities Management</t>
        </is>
      </c>
      <c r="D82" s="211">
        <f>[2]Consolidated!D82</f>
        <v/>
      </c>
      <c r="E82" s="211">
        <f>[2]Consolidated!E82</f>
        <v/>
      </c>
      <c r="F82" s="211">
        <f>[2]Consolidated!F82</f>
        <v/>
      </c>
      <c r="G82" s="211">
        <f>[2]Consolidated!G82</f>
        <v/>
      </c>
      <c r="H82" s="211">
        <f>[2]Consolidated!H82</f>
        <v/>
      </c>
      <c r="I82" s="211">
        <f>[2]Consolidated!I82</f>
        <v/>
      </c>
      <c r="J82" s="213">
        <f>[2]Consolidated!J82</f>
        <v/>
      </c>
      <c r="K82" s="185" t="n"/>
      <c r="L82" s="213">
        <f>[2]Consolidated!L82</f>
        <v/>
      </c>
      <c r="M82" s="211">
        <f>[2]Consolidated!M82</f>
        <v/>
      </c>
      <c r="N82" s="206">
        <f>[2]Consolidated!N82</f>
        <v/>
      </c>
    </row>
    <row r="83" ht="13.5" customHeight="1" s="150">
      <c r="C83" s="207" t="inlineStr">
        <is>
          <t>Overheads</t>
        </is>
      </c>
      <c r="D83" s="215">
        <f>[2]Consolidated!D83</f>
        <v/>
      </c>
      <c r="E83" s="215">
        <f>[2]Consolidated!E83</f>
        <v/>
      </c>
      <c r="F83" s="215">
        <f>[2]Consolidated!F83</f>
        <v/>
      </c>
      <c r="G83" s="215">
        <f>[2]Consolidated!G83</f>
        <v/>
      </c>
      <c r="H83" s="215">
        <f>[2]Consolidated!H83</f>
        <v/>
      </c>
      <c r="I83" s="215">
        <f>[2]Consolidated!I83</f>
        <v/>
      </c>
      <c r="J83" s="210">
        <f>[2]Consolidated!J83</f>
        <v/>
      </c>
      <c r="K83" s="185" t="n"/>
      <c r="L83" s="210">
        <f>[2]Consolidated!L83</f>
        <v/>
      </c>
      <c r="M83" s="215">
        <f>[2]Consolidated!M83</f>
        <v/>
      </c>
      <c r="N83" s="210">
        <f>[2]Consolidated!N83</f>
        <v/>
      </c>
    </row>
    <row r="84" ht="12.75" customHeight="1" s="150">
      <c r="C84" s="202" t="n"/>
      <c r="D84" s="211" t="n"/>
      <c r="E84" s="211" t="n"/>
      <c r="F84" s="211" t="n"/>
      <c r="G84" s="211" t="n"/>
      <c r="H84" s="211" t="n"/>
      <c r="I84" s="211" t="n"/>
      <c r="J84" s="218" t="n"/>
      <c r="K84" s="185" t="n"/>
      <c r="L84" s="213" t="n"/>
      <c r="M84" s="211" t="n"/>
      <c r="N84" s="218" t="n"/>
    </row>
    <row r="85" ht="13.5" customHeight="1" s="150">
      <c r="C85" s="207" t="inlineStr">
        <is>
          <t>Total Operating Costs (incl. O/H)</t>
        </is>
      </c>
      <c r="D85" s="215">
        <f>[2]Consolidated!D85</f>
        <v/>
      </c>
      <c r="E85" s="215">
        <f>[2]Consolidated!E85</f>
        <v/>
      </c>
      <c r="F85" s="215">
        <f>[2]Consolidated!F85</f>
        <v/>
      </c>
      <c r="G85" s="215">
        <f>[2]Consolidated!G85</f>
        <v/>
      </c>
      <c r="H85" s="215">
        <f>[2]Consolidated!H85</f>
        <v/>
      </c>
      <c r="I85" s="215">
        <f>[2]Consolidated!I85</f>
        <v/>
      </c>
      <c r="J85" s="210">
        <f>[2]Consolidated!J85</f>
        <v/>
      </c>
      <c r="K85" s="185" t="n"/>
      <c r="L85" s="210">
        <f>[2]Consolidated!L85</f>
        <v/>
      </c>
      <c r="M85" s="215">
        <f>[2]Consolidated!M85</f>
        <v/>
      </c>
      <c r="N85" s="210">
        <f>[2]Consolidated!N85</f>
        <v/>
      </c>
    </row>
    <row r="86"/>
    <row r="87"/>
    <row r="88" ht="13.5" customHeight="1" s="150"/>
    <row r="89" ht="45.75" customHeight="1" s="150">
      <c r="C89" s="219" t="inlineStr">
        <is>
          <t>PASS THROUGH COSTS
(US$  excl. VAT)</t>
        </is>
      </c>
      <c r="D89" s="220">
        <f>[2]Consolidated!D89</f>
        <v/>
      </c>
      <c r="E89" s="220">
        <f>[2]Consolidated!E89</f>
        <v/>
      </c>
      <c r="F89" s="220">
        <f>[2]Consolidated!F89</f>
        <v/>
      </c>
      <c r="G89" s="220">
        <f>[2]Consolidated!G89</f>
        <v/>
      </c>
      <c r="H89" s="220">
        <f>[2]Consolidated!H89</f>
        <v/>
      </c>
      <c r="I89" s="221">
        <f>[2]Consolidated!I89</f>
        <v/>
      </c>
      <c r="J89" s="222">
        <f>[2]Consolidated!J89</f>
        <v/>
      </c>
      <c r="K89" s="165" t="n"/>
      <c r="L89" s="220">
        <f>[2]Consolidated!L89</f>
        <v/>
      </c>
      <c r="M89" s="223">
        <f>[2]Consolidated!M89</f>
        <v/>
      </c>
      <c r="N89" s="220">
        <f>[2]Consolidated!N89</f>
        <v/>
      </c>
    </row>
    <row r="90" ht="12.75" customHeight="1" s="150">
      <c r="C90" s="224" t="inlineStr">
        <is>
          <t>Internal FTE</t>
        </is>
      </c>
      <c r="D90" s="231">
        <f>[2]Consolidated!D90</f>
        <v/>
      </c>
      <c r="E90" s="231">
        <f>[2]Consolidated!E90</f>
        <v/>
      </c>
      <c r="F90" s="231">
        <f>[2]Consolidated!F90</f>
        <v/>
      </c>
      <c r="G90" s="231">
        <f>[2]Consolidated!G90</f>
        <v/>
      </c>
      <c r="H90" s="231">
        <f>[2]Consolidated!H90</f>
        <v/>
      </c>
      <c r="I90" s="231">
        <f>[2]Consolidated!I90</f>
        <v/>
      </c>
      <c r="J90" s="232" t="n"/>
      <c r="K90" s="185" t="n"/>
      <c r="L90" s="233">
        <f>[2]Consolidated!L90</f>
        <v/>
      </c>
      <c r="M90" s="231">
        <f>[2]Consolidated!M90</f>
        <v/>
      </c>
      <c r="N90" s="234">
        <f>[2]Consolidated!N90</f>
        <v/>
      </c>
    </row>
    <row r="91" ht="12.75" customHeight="1" s="150">
      <c r="C91" s="224" t="inlineStr">
        <is>
          <t>External FTE</t>
        </is>
      </c>
      <c r="D91" s="231">
        <f>[2]Consolidated!D91</f>
        <v/>
      </c>
      <c r="E91" s="231">
        <f>[2]Consolidated!E91</f>
        <v/>
      </c>
      <c r="F91" s="231">
        <f>[2]Consolidated!F91</f>
        <v/>
      </c>
      <c r="G91" s="231">
        <f>[2]Consolidated!G91</f>
        <v/>
      </c>
      <c r="H91" s="231">
        <f>[2]Consolidated!H91</f>
        <v/>
      </c>
      <c r="I91" s="231">
        <f>[2]Consolidated!I91</f>
        <v/>
      </c>
      <c r="J91" s="232" t="n"/>
      <c r="K91" s="185" t="n"/>
      <c r="L91" s="233">
        <f>[2]Consolidated!L91</f>
        <v/>
      </c>
      <c r="M91" s="231">
        <f>[2]Consolidated!M91</f>
        <v/>
      </c>
      <c r="N91" s="234">
        <f>[2]Consolidated!N91</f>
        <v/>
      </c>
    </row>
    <row r="92" ht="13.5" customHeight="1" s="150">
      <c r="C92" s="228" t="inlineStr">
        <is>
          <t>Total FTE</t>
        </is>
      </c>
      <c r="D92" s="236">
        <f>[2]Consolidated!D92</f>
        <v/>
      </c>
      <c r="E92" s="236">
        <f>[2]Consolidated!E92</f>
        <v/>
      </c>
      <c r="F92" s="236">
        <f>[2]Consolidated!F92</f>
        <v/>
      </c>
      <c r="G92" s="236">
        <f>[2]Consolidated!G92</f>
        <v/>
      </c>
      <c r="H92" s="236">
        <f>[2]Consolidated!H92</f>
        <v/>
      </c>
      <c r="I92" s="236">
        <f>[2]Consolidated!I92</f>
        <v/>
      </c>
      <c r="J92" s="290" t="n"/>
      <c r="K92" s="185" t="n"/>
      <c r="L92" s="237">
        <f>[2]Consolidated!L92</f>
        <v/>
      </c>
      <c r="M92" s="236">
        <f>[2]Consolidated!M92</f>
        <v/>
      </c>
      <c r="N92" s="237">
        <f>[2]Consolidated!N92</f>
        <v/>
      </c>
    </row>
    <row r="93" ht="12.75" customHeight="1" s="150">
      <c r="C93" s="224" t="n"/>
      <c r="D93" s="231" t="n"/>
      <c r="E93" s="231" t="n"/>
      <c r="F93" s="231" t="n"/>
      <c r="G93" s="231" t="n"/>
      <c r="H93" s="231" t="n"/>
      <c r="I93" s="231" t="n"/>
      <c r="J93" s="232" t="n"/>
      <c r="K93" s="185" t="n"/>
      <c r="L93" s="233" t="n"/>
      <c r="M93" s="231" t="n"/>
      <c r="N93" s="234" t="n"/>
    </row>
    <row r="94" ht="12.75" customHeight="1" s="150">
      <c r="C94" s="224" t="inlineStr">
        <is>
          <t>Salaries</t>
        </is>
      </c>
      <c r="D94" s="231">
        <f>[2]Consolidated!D94</f>
        <v/>
      </c>
      <c r="E94" s="231">
        <f>[2]Consolidated!E94</f>
        <v/>
      </c>
      <c r="F94" s="231">
        <f>[2]Consolidated!F94</f>
        <v/>
      </c>
      <c r="G94" s="231">
        <f>[2]Consolidated!G94</f>
        <v/>
      </c>
      <c r="H94" s="231">
        <f>[2]Consolidated!H94</f>
        <v/>
      </c>
      <c r="I94" s="231">
        <f>[2]Consolidated!I94</f>
        <v/>
      </c>
      <c r="J94" s="233">
        <f>[2]Consolidated!J94</f>
        <v/>
      </c>
      <c r="K94" s="185" t="n"/>
      <c r="L94" s="233">
        <f>[2]Consolidated!L94</f>
        <v/>
      </c>
      <c r="M94" s="231">
        <f>[2]Consolidated!M94</f>
        <v/>
      </c>
      <c r="N94" s="234">
        <f>[2]Consolidated!N94</f>
        <v/>
      </c>
    </row>
    <row r="95" ht="12.75" customHeight="1" s="150">
      <c r="C95" s="224" t="inlineStr">
        <is>
          <t>Bonuses</t>
        </is>
      </c>
      <c r="D95" s="231">
        <f>[2]Consolidated!D95</f>
        <v/>
      </c>
      <c r="E95" s="231">
        <f>[2]Consolidated!E95</f>
        <v/>
      </c>
      <c r="F95" s="231">
        <f>[2]Consolidated!F95</f>
        <v/>
      </c>
      <c r="G95" s="231">
        <f>[2]Consolidated!G95</f>
        <v/>
      </c>
      <c r="H95" s="231">
        <f>[2]Consolidated!H95</f>
        <v/>
      </c>
      <c r="I95" s="231">
        <f>[2]Consolidated!I95</f>
        <v/>
      </c>
      <c r="J95" s="233">
        <f>[2]Consolidated!J95</f>
        <v/>
      </c>
      <c r="K95" s="185" t="n"/>
      <c r="L95" s="233">
        <f>[2]Consolidated!L95</f>
        <v/>
      </c>
      <c r="M95" s="231">
        <f>[2]Consolidated!M95</f>
        <v/>
      </c>
      <c r="N95" s="234">
        <f>[2]Consolidated!N95</f>
        <v/>
      </c>
    </row>
    <row r="96" ht="12.75" customHeight="1" s="150">
      <c r="C96" s="224" t="inlineStr">
        <is>
          <t>Third party staff, ex IT</t>
        </is>
      </c>
      <c r="D96" s="231">
        <f>[2]Consolidated!D96</f>
        <v/>
      </c>
      <c r="E96" s="231">
        <f>[2]Consolidated!E96</f>
        <v/>
      </c>
      <c r="F96" s="231">
        <f>[2]Consolidated!F96</f>
        <v/>
      </c>
      <c r="G96" s="231">
        <f>[2]Consolidated!G96</f>
        <v/>
      </c>
      <c r="H96" s="231">
        <f>[2]Consolidated!H96</f>
        <v/>
      </c>
      <c r="I96" s="231">
        <f>[2]Consolidated!I96</f>
        <v/>
      </c>
      <c r="J96" s="233">
        <f>[2]Consolidated!J96</f>
        <v/>
      </c>
      <c r="K96" s="185" t="n"/>
      <c r="L96" s="233">
        <f>[2]Consolidated!L96</f>
        <v/>
      </c>
      <c r="M96" s="231">
        <f>[2]Consolidated!M96</f>
        <v/>
      </c>
      <c r="N96" s="234">
        <f>[2]Consolidated!N96</f>
        <v/>
      </c>
    </row>
    <row r="97" ht="12.75" customHeight="1" s="150">
      <c r="C97" s="224" t="inlineStr">
        <is>
          <t>Third party IT staff</t>
        </is>
      </c>
      <c r="D97" s="231">
        <f>[2]Consolidated!D97</f>
        <v/>
      </c>
      <c r="E97" s="231">
        <f>[2]Consolidated!E97</f>
        <v/>
      </c>
      <c r="F97" s="231">
        <f>[2]Consolidated!F97</f>
        <v/>
      </c>
      <c r="G97" s="231">
        <f>[2]Consolidated!G97</f>
        <v/>
      </c>
      <c r="H97" s="231">
        <f>[2]Consolidated!H97</f>
        <v/>
      </c>
      <c r="I97" s="231">
        <f>[2]Consolidated!I97</f>
        <v/>
      </c>
      <c r="J97" s="233">
        <f>[2]Consolidated!J97</f>
        <v/>
      </c>
      <c r="K97" s="185" t="n"/>
      <c r="L97" s="233">
        <f>[2]Consolidated!L97</f>
        <v/>
      </c>
      <c r="M97" s="231">
        <f>[2]Consolidated!M97</f>
        <v/>
      </c>
      <c r="N97" s="234">
        <f>[2]Consolidated!N97</f>
        <v/>
      </c>
    </row>
    <row r="98" ht="12.75" customHeight="1" s="150">
      <c r="C98" s="224" t="inlineStr">
        <is>
          <t>Employee education</t>
        </is>
      </c>
      <c r="D98" s="231">
        <f>[2]Consolidated!D98</f>
        <v/>
      </c>
      <c r="E98" s="231">
        <f>[2]Consolidated!E98</f>
        <v/>
      </c>
      <c r="F98" s="231">
        <f>[2]Consolidated!F98</f>
        <v/>
      </c>
      <c r="G98" s="231">
        <f>[2]Consolidated!G98</f>
        <v/>
      </c>
      <c r="H98" s="231">
        <f>[2]Consolidated!H98</f>
        <v/>
      </c>
      <c r="I98" s="231">
        <f>[2]Consolidated!I98</f>
        <v/>
      </c>
      <c r="J98" s="233">
        <f>[2]Consolidated!J98</f>
        <v/>
      </c>
      <c r="K98" s="185" t="n"/>
      <c r="L98" s="233">
        <f>[2]Consolidated!L98</f>
        <v/>
      </c>
      <c r="M98" s="231">
        <f>[2]Consolidated!M98</f>
        <v/>
      </c>
      <c r="N98" s="234">
        <f>[2]Consolidated!N98</f>
        <v/>
      </c>
    </row>
    <row r="99" ht="12.75" customHeight="1" s="150">
      <c r="C99" s="224" t="inlineStr">
        <is>
          <t>Other staff expenses</t>
        </is>
      </c>
      <c r="D99" s="231">
        <f>[2]Consolidated!D99</f>
        <v/>
      </c>
      <c r="E99" s="231">
        <f>[2]Consolidated!E99</f>
        <v/>
      </c>
      <c r="F99" s="231">
        <f>[2]Consolidated!F99</f>
        <v/>
      </c>
      <c r="G99" s="231">
        <f>[2]Consolidated!G99</f>
        <v/>
      </c>
      <c r="H99" s="231">
        <f>[2]Consolidated!H99</f>
        <v/>
      </c>
      <c r="I99" s="231">
        <f>[2]Consolidated!I99</f>
        <v/>
      </c>
      <c r="J99" s="235">
        <f>[2]Consolidated!J99</f>
        <v/>
      </c>
      <c r="K99" s="185" t="n"/>
      <c r="L99" s="233">
        <f>[2]Consolidated!L99</f>
        <v/>
      </c>
      <c r="M99" s="231">
        <f>[2]Consolidated!M99</f>
        <v/>
      </c>
      <c r="N99" s="234">
        <f>[2]Consolidated!N99</f>
        <v/>
      </c>
    </row>
    <row r="100" ht="13.5" customHeight="1" s="150">
      <c r="C100" s="228" t="inlineStr">
        <is>
          <t>Staff expenses</t>
        </is>
      </c>
      <c r="D100" s="236">
        <f>[2]Consolidated!D100</f>
        <v/>
      </c>
      <c r="E100" s="236">
        <f>[2]Consolidated!E100</f>
        <v/>
      </c>
      <c r="F100" s="236">
        <f>[2]Consolidated!F100</f>
        <v/>
      </c>
      <c r="G100" s="236">
        <f>[2]Consolidated!G100</f>
        <v/>
      </c>
      <c r="H100" s="236">
        <f>[2]Consolidated!H100</f>
        <v/>
      </c>
      <c r="I100" s="236">
        <f>[2]Consolidated!I100</f>
        <v/>
      </c>
      <c r="J100" s="237">
        <f>[2]Consolidated!J100</f>
        <v/>
      </c>
      <c r="K100" s="185" t="n"/>
      <c r="L100" s="237">
        <f>[2]Consolidated!L100</f>
        <v/>
      </c>
      <c r="M100" s="236">
        <f>[2]Consolidated!M100</f>
        <v/>
      </c>
      <c r="N100" s="237">
        <f>[2]Consolidated!N100</f>
        <v/>
      </c>
    </row>
    <row r="101" ht="12.75" customHeight="1" s="150">
      <c r="C101" s="224" t="inlineStr">
        <is>
          <t>Hardware expenses</t>
        </is>
      </c>
      <c r="D101" s="231">
        <f>[2]Consolidated!D101</f>
        <v/>
      </c>
      <c r="E101" s="231">
        <f>[2]Consolidated!E101</f>
        <v/>
      </c>
      <c r="F101" s="231">
        <f>[2]Consolidated!F101</f>
        <v/>
      </c>
      <c r="G101" s="231">
        <f>[2]Consolidated!G101</f>
        <v/>
      </c>
      <c r="H101" s="231">
        <f>[2]Consolidated!H101</f>
        <v/>
      </c>
      <c r="I101" s="231">
        <f>[2]Consolidated!I101</f>
        <v/>
      </c>
      <c r="J101" s="233">
        <f>[2]Consolidated!J101</f>
        <v/>
      </c>
      <c r="K101" s="185" t="n"/>
      <c r="L101" s="233">
        <f>[2]Consolidated!L101</f>
        <v/>
      </c>
      <c r="M101" s="231">
        <f>[2]Consolidated!M101</f>
        <v/>
      </c>
      <c r="N101" s="234">
        <f>[2]Consolidated!N101</f>
        <v/>
      </c>
    </row>
    <row r="102" ht="12.75" customHeight="1" s="150">
      <c r="C102" s="224" t="inlineStr">
        <is>
          <t>Leasing/renting hardware</t>
        </is>
      </c>
      <c r="D102" s="231">
        <f>[2]Consolidated!D102</f>
        <v/>
      </c>
      <c r="E102" s="231">
        <f>[2]Consolidated!E102</f>
        <v/>
      </c>
      <c r="F102" s="231">
        <f>[2]Consolidated!F102</f>
        <v/>
      </c>
      <c r="G102" s="231">
        <f>[2]Consolidated!G102</f>
        <v/>
      </c>
      <c r="H102" s="231">
        <f>[2]Consolidated!H102</f>
        <v/>
      </c>
      <c r="I102" s="231">
        <f>[2]Consolidated!I102</f>
        <v/>
      </c>
      <c r="J102" s="233">
        <f>[2]Consolidated!J102</f>
        <v/>
      </c>
      <c r="K102" s="185" t="n"/>
      <c r="L102" s="233">
        <f>[2]Consolidated!L102</f>
        <v/>
      </c>
      <c r="M102" s="231">
        <f>[2]Consolidated!M102</f>
        <v/>
      </c>
      <c r="N102" s="234">
        <f>[2]Consolidated!N102</f>
        <v/>
      </c>
    </row>
    <row r="103" ht="12.75" customHeight="1" s="150">
      <c r="C103" s="224" t="inlineStr">
        <is>
          <t>Software expenses</t>
        </is>
      </c>
      <c r="D103" s="231">
        <f>[2]Consolidated!D103</f>
        <v/>
      </c>
      <c r="E103" s="231">
        <f>[2]Consolidated!E103</f>
        <v/>
      </c>
      <c r="F103" s="231">
        <f>[2]Consolidated!F103</f>
        <v/>
      </c>
      <c r="G103" s="231">
        <f>[2]Consolidated!G103</f>
        <v/>
      </c>
      <c r="H103" s="231">
        <f>[2]Consolidated!H103</f>
        <v/>
      </c>
      <c r="I103" s="231">
        <f>[2]Consolidated!I103</f>
        <v/>
      </c>
      <c r="J103" s="233">
        <f>[2]Consolidated!J103</f>
        <v/>
      </c>
      <c r="K103" s="185" t="n"/>
      <c r="L103" s="233">
        <f>[2]Consolidated!L103</f>
        <v/>
      </c>
      <c r="M103" s="231">
        <f>[2]Consolidated!M103</f>
        <v/>
      </c>
      <c r="N103" s="234">
        <f>[2]Consolidated!N103</f>
        <v/>
      </c>
    </row>
    <row r="104" ht="12.75" customHeight="1" s="150">
      <c r="C104" s="224" t="inlineStr">
        <is>
          <t>Leasing/renting/licenses sw</t>
        </is>
      </c>
      <c r="D104" s="231">
        <f>[2]Consolidated!D104</f>
        <v/>
      </c>
      <c r="E104" s="231">
        <f>[2]Consolidated!E104</f>
        <v/>
      </c>
      <c r="F104" s="231">
        <f>[2]Consolidated!F104</f>
        <v/>
      </c>
      <c r="G104" s="231">
        <f>[2]Consolidated!G104</f>
        <v/>
      </c>
      <c r="H104" s="231">
        <f>[2]Consolidated!H104</f>
        <v/>
      </c>
      <c r="I104" s="231">
        <f>[2]Consolidated!I104</f>
        <v/>
      </c>
      <c r="J104" s="233">
        <f>[2]Consolidated!J104</f>
        <v/>
      </c>
      <c r="K104" s="185" t="n"/>
      <c r="L104" s="233">
        <f>[2]Consolidated!L104</f>
        <v/>
      </c>
      <c r="M104" s="231">
        <f>[2]Consolidated!M104</f>
        <v/>
      </c>
      <c r="N104" s="234">
        <f>[2]Consolidated!N104</f>
        <v/>
      </c>
    </row>
    <row r="105" ht="12.75" customHeight="1" s="150">
      <c r="C105" s="224" t="inlineStr">
        <is>
          <t>Depreciation hardware</t>
        </is>
      </c>
      <c r="D105" s="231">
        <f>[2]Consolidated!D105</f>
        <v/>
      </c>
      <c r="E105" s="231">
        <f>[2]Consolidated!E105</f>
        <v/>
      </c>
      <c r="F105" s="231">
        <f>[2]Consolidated!F105</f>
        <v/>
      </c>
      <c r="G105" s="231">
        <f>[2]Consolidated!G105</f>
        <v/>
      </c>
      <c r="H105" s="231">
        <f>[2]Consolidated!H105</f>
        <v/>
      </c>
      <c r="I105" s="231">
        <f>[2]Consolidated!I105</f>
        <v/>
      </c>
      <c r="J105" s="233">
        <f>[2]Consolidated!J105</f>
        <v/>
      </c>
      <c r="K105" s="185" t="n"/>
      <c r="L105" s="233">
        <f>[2]Consolidated!L105</f>
        <v/>
      </c>
      <c r="M105" s="231">
        <f>[2]Consolidated!M105</f>
        <v/>
      </c>
      <c r="N105" s="234">
        <f>[2]Consolidated!N105</f>
        <v/>
      </c>
    </row>
    <row r="106" ht="12.75" customHeight="1" s="150">
      <c r="C106" s="224" t="inlineStr">
        <is>
          <t>Depreciation software</t>
        </is>
      </c>
      <c r="D106" s="231">
        <f>[2]Consolidated!D106</f>
        <v/>
      </c>
      <c r="E106" s="231">
        <f>[2]Consolidated!E106</f>
        <v/>
      </c>
      <c r="F106" s="231">
        <f>[2]Consolidated!F106</f>
        <v/>
      </c>
      <c r="G106" s="231">
        <f>[2]Consolidated!G106</f>
        <v/>
      </c>
      <c r="H106" s="231">
        <f>[2]Consolidated!H106</f>
        <v/>
      </c>
      <c r="I106" s="231">
        <f>[2]Consolidated!I106</f>
        <v/>
      </c>
      <c r="J106" s="233">
        <f>[2]Consolidated!J106</f>
        <v/>
      </c>
      <c r="K106" s="185" t="n"/>
      <c r="L106" s="233">
        <f>[2]Consolidated!L106</f>
        <v/>
      </c>
      <c r="M106" s="231">
        <f>[2]Consolidated!M106</f>
        <v/>
      </c>
      <c r="N106" s="234">
        <f>[2]Consolidated!N106</f>
        <v/>
      </c>
    </row>
    <row r="107" ht="12.75" customHeight="1" s="150">
      <c r="C107" s="224" t="inlineStr">
        <is>
          <t>Outsourcing IT activities</t>
        </is>
      </c>
      <c r="D107" s="231">
        <f>[2]Consolidated!D107</f>
        <v/>
      </c>
      <c r="E107" s="231">
        <f>[2]Consolidated!E107</f>
        <v/>
      </c>
      <c r="F107" s="231">
        <f>[2]Consolidated!F107</f>
        <v/>
      </c>
      <c r="G107" s="231">
        <f>[2]Consolidated!G107</f>
        <v/>
      </c>
      <c r="H107" s="231">
        <f>[2]Consolidated!H107</f>
        <v/>
      </c>
      <c r="I107" s="231">
        <f>[2]Consolidated!I107</f>
        <v/>
      </c>
      <c r="J107" s="233">
        <f>[2]Consolidated!J107</f>
        <v/>
      </c>
      <c r="K107" s="185" t="n"/>
      <c r="L107" s="233">
        <f>[2]Consolidated!L107</f>
        <v/>
      </c>
      <c r="M107" s="231">
        <f>[2]Consolidated!M107</f>
        <v/>
      </c>
      <c r="N107" s="234">
        <f>[2]Consolidated!N107</f>
        <v/>
      </c>
    </row>
    <row r="108" ht="12.75" customHeight="1" s="150">
      <c r="C108" s="224" t="inlineStr">
        <is>
          <t>Other IT expenses</t>
        </is>
      </c>
      <c r="D108" s="231">
        <f>[2]Consolidated!D108</f>
        <v/>
      </c>
      <c r="E108" s="231">
        <f>[2]Consolidated!E108</f>
        <v/>
      </c>
      <c r="F108" s="231">
        <f>[2]Consolidated!F108</f>
        <v/>
      </c>
      <c r="G108" s="231">
        <f>[2]Consolidated!G108</f>
        <v/>
      </c>
      <c r="H108" s="231">
        <f>[2]Consolidated!H108</f>
        <v/>
      </c>
      <c r="I108" s="231">
        <f>[2]Consolidated!I108</f>
        <v/>
      </c>
      <c r="J108" s="233">
        <f>[2]Consolidated!J108</f>
        <v/>
      </c>
      <c r="K108" s="185" t="n"/>
      <c r="L108" s="233">
        <f>[2]Consolidated!L108</f>
        <v/>
      </c>
      <c r="M108" s="231">
        <f>[2]Consolidated!M108</f>
        <v/>
      </c>
      <c r="N108" s="234">
        <f>[2]Consolidated!N108</f>
        <v/>
      </c>
    </row>
    <row r="109" ht="13.5" customHeight="1" s="150">
      <c r="C109" s="228" t="inlineStr">
        <is>
          <t>EDP expenses</t>
        </is>
      </c>
      <c r="D109" s="236">
        <f>[2]Consolidated!D109</f>
        <v/>
      </c>
      <c r="E109" s="236">
        <f>[2]Consolidated!E109</f>
        <v/>
      </c>
      <c r="F109" s="236">
        <f>[2]Consolidated!F109</f>
        <v/>
      </c>
      <c r="G109" s="236">
        <f>[2]Consolidated!G109</f>
        <v/>
      </c>
      <c r="H109" s="236">
        <f>[2]Consolidated!H109</f>
        <v/>
      </c>
      <c r="I109" s="236">
        <f>[2]Consolidated!I109</f>
        <v/>
      </c>
      <c r="J109" s="237">
        <f>[2]Consolidated!J109</f>
        <v/>
      </c>
      <c r="K109" s="185" t="n"/>
      <c r="L109" s="237">
        <f>[2]Consolidated!L109</f>
        <v/>
      </c>
      <c r="M109" s="236">
        <f>[2]Consolidated!M109</f>
        <v/>
      </c>
      <c r="N109" s="237">
        <f>[2]Consolidated!N109</f>
        <v/>
      </c>
    </row>
    <row r="110" ht="12.75" customHeight="1" s="150">
      <c r="C110" s="224" t="inlineStr">
        <is>
          <t>Telecom expenses</t>
        </is>
      </c>
      <c r="D110" s="231">
        <f>[2]Consolidated!D110</f>
        <v/>
      </c>
      <c r="E110" s="231">
        <f>[2]Consolidated!E110</f>
        <v/>
      </c>
      <c r="F110" s="231">
        <f>[2]Consolidated!F110</f>
        <v/>
      </c>
      <c r="G110" s="231">
        <f>[2]Consolidated!G110</f>
        <v/>
      </c>
      <c r="H110" s="231">
        <f>[2]Consolidated!H110</f>
        <v/>
      </c>
      <c r="I110" s="231">
        <f>[2]Consolidated!I110</f>
        <v/>
      </c>
      <c r="J110" s="233">
        <f>[2]Consolidated!J110</f>
        <v/>
      </c>
      <c r="K110" s="185" t="n"/>
      <c r="L110" s="233">
        <f>[2]Consolidated!L110</f>
        <v/>
      </c>
      <c r="M110" s="231">
        <f>[2]Consolidated!M110</f>
        <v/>
      </c>
      <c r="N110" s="234">
        <f>[2]Consolidated!N110</f>
        <v/>
      </c>
    </row>
    <row r="111" ht="12.75" customHeight="1" s="150">
      <c r="C111" s="224" t="inlineStr">
        <is>
          <t>Office equipment and supplies</t>
        </is>
      </c>
      <c r="D111" s="231">
        <f>[2]Consolidated!D111</f>
        <v/>
      </c>
      <c r="E111" s="231">
        <f>[2]Consolidated!E111</f>
        <v/>
      </c>
      <c r="F111" s="231">
        <f>[2]Consolidated!F111</f>
        <v/>
      </c>
      <c r="G111" s="231">
        <f>[2]Consolidated!G111</f>
        <v/>
      </c>
      <c r="H111" s="231">
        <f>[2]Consolidated!H111</f>
        <v/>
      </c>
      <c r="I111" s="231">
        <f>[2]Consolidated!I111</f>
        <v/>
      </c>
      <c r="J111" s="233">
        <f>[2]Consolidated!J111</f>
        <v/>
      </c>
      <c r="K111" s="185" t="n"/>
      <c r="L111" s="233">
        <f>[2]Consolidated!L111</f>
        <v/>
      </c>
      <c r="M111" s="231">
        <f>[2]Consolidated!M111</f>
        <v/>
      </c>
      <c r="N111" s="234">
        <f>[2]Consolidated!N111</f>
        <v/>
      </c>
    </row>
    <row r="112" ht="12.75" customHeight="1" s="150">
      <c r="C112" s="224" t="inlineStr">
        <is>
          <t>Accomodation expenses</t>
        </is>
      </c>
      <c r="D112" s="231">
        <f>[2]Consolidated!D112</f>
        <v/>
      </c>
      <c r="E112" s="231">
        <f>[2]Consolidated!E112</f>
        <v/>
      </c>
      <c r="F112" s="231">
        <f>[2]Consolidated!F112</f>
        <v/>
      </c>
      <c r="G112" s="231">
        <f>[2]Consolidated!G112</f>
        <v/>
      </c>
      <c r="H112" s="231">
        <f>[2]Consolidated!H112</f>
        <v/>
      </c>
      <c r="I112" s="231">
        <f>[2]Consolidated!I112</f>
        <v/>
      </c>
      <c r="J112" s="233">
        <f>[2]Consolidated!J112</f>
        <v/>
      </c>
      <c r="K112" s="185" t="n"/>
      <c r="L112" s="233">
        <f>[2]Consolidated!L112</f>
        <v/>
      </c>
      <c r="M112" s="231">
        <f>[2]Consolidated!M112</f>
        <v/>
      </c>
      <c r="N112" s="234">
        <f>[2]Consolidated!N112</f>
        <v/>
      </c>
    </row>
    <row r="113" ht="12.75" customHeight="1" s="150">
      <c r="C113" s="224" t="inlineStr">
        <is>
          <t>Travel costs</t>
        </is>
      </c>
      <c r="D113" s="231">
        <f>[2]Consolidated!D113</f>
        <v/>
      </c>
      <c r="E113" s="231">
        <f>[2]Consolidated!E113</f>
        <v/>
      </c>
      <c r="F113" s="231">
        <f>[2]Consolidated!F113</f>
        <v/>
      </c>
      <c r="G113" s="231">
        <f>[2]Consolidated!G113</f>
        <v/>
      </c>
      <c r="H113" s="231">
        <f>[2]Consolidated!H113</f>
        <v/>
      </c>
      <c r="I113" s="231">
        <f>[2]Consolidated!I113</f>
        <v/>
      </c>
      <c r="J113" s="233">
        <f>[2]Consolidated!J113</f>
        <v/>
      </c>
      <c r="K113" s="185" t="n"/>
      <c r="L113" s="233">
        <f>[2]Consolidated!L113</f>
        <v/>
      </c>
      <c r="M113" s="231">
        <f>[2]Consolidated!M113</f>
        <v/>
      </c>
      <c r="N113" s="234">
        <f>[2]Consolidated!N113</f>
        <v/>
      </c>
    </row>
    <row r="114" ht="12.75" customHeight="1" s="150">
      <c r="C114" s="224" t="inlineStr">
        <is>
          <t>Postal and freight charges</t>
        </is>
      </c>
      <c r="D114" s="231">
        <f>[2]Consolidated!D114</f>
        <v/>
      </c>
      <c r="E114" s="231">
        <f>[2]Consolidated!E114</f>
        <v/>
      </c>
      <c r="F114" s="231">
        <f>[2]Consolidated!F114</f>
        <v/>
      </c>
      <c r="G114" s="231">
        <f>[2]Consolidated!G114</f>
        <v/>
      </c>
      <c r="H114" s="231">
        <f>[2]Consolidated!H114</f>
        <v/>
      </c>
      <c r="I114" s="231">
        <f>[2]Consolidated!I114</f>
        <v/>
      </c>
      <c r="J114" s="233">
        <f>[2]Consolidated!J114</f>
        <v/>
      </c>
      <c r="K114" s="185" t="n"/>
      <c r="L114" s="233">
        <f>[2]Consolidated!L114</f>
        <v/>
      </c>
      <c r="M114" s="231">
        <f>[2]Consolidated!M114</f>
        <v/>
      </c>
      <c r="N114" s="234">
        <f>[2]Consolidated!N114</f>
        <v/>
      </c>
    </row>
    <row r="115" ht="12.75" customHeight="1" s="150">
      <c r="C115" s="224" t="inlineStr">
        <is>
          <t>Prof serv and ext advisory fee</t>
        </is>
      </c>
      <c r="D115" s="231">
        <f>[2]Consolidated!D115</f>
        <v/>
      </c>
      <c r="E115" s="231">
        <f>[2]Consolidated!E115</f>
        <v/>
      </c>
      <c r="F115" s="231">
        <f>[2]Consolidated!F115</f>
        <v/>
      </c>
      <c r="G115" s="231">
        <f>[2]Consolidated!G115</f>
        <v/>
      </c>
      <c r="H115" s="231">
        <f>[2]Consolidated!H115</f>
        <v/>
      </c>
      <c r="I115" s="231">
        <f>[2]Consolidated!I115</f>
        <v/>
      </c>
      <c r="J115" s="233">
        <f>[2]Consolidated!J115</f>
        <v/>
      </c>
      <c r="K115" s="185" t="n"/>
      <c r="L115" s="233">
        <f>[2]Consolidated!L115</f>
        <v/>
      </c>
      <c r="M115" s="231">
        <f>[2]Consolidated!M115</f>
        <v/>
      </c>
      <c r="N115" s="234">
        <f>[2]Consolidated!N115</f>
        <v/>
      </c>
    </row>
    <row r="116" ht="12.75" customHeight="1" s="150">
      <c r="C116" s="224" t="inlineStr">
        <is>
          <t>Payment transfer expenses</t>
        </is>
      </c>
      <c r="D116" s="231">
        <f>[2]Consolidated!D116</f>
        <v/>
      </c>
      <c r="E116" s="231">
        <f>[2]Consolidated!E116</f>
        <v/>
      </c>
      <c r="F116" s="231">
        <f>[2]Consolidated!F116</f>
        <v/>
      </c>
      <c r="G116" s="231">
        <f>[2]Consolidated!G116</f>
        <v/>
      </c>
      <c r="H116" s="231">
        <f>[2]Consolidated!H116</f>
        <v/>
      </c>
      <c r="I116" s="231">
        <f>[2]Consolidated!I116</f>
        <v/>
      </c>
      <c r="J116" s="233">
        <f>[2]Consolidated!J116</f>
        <v/>
      </c>
      <c r="K116" s="185" t="n"/>
      <c r="L116" s="233">
        <f>[2]Consolidated!L116</f>
        <v/>
      </c>
      <c r="M116" s="231">
        <f>[2]Consolidated!M116</f>
        <v/>
      </c>
      <c r="N116" s="234">
        <f>[2]Consolidated!N116</f>
        <v/>
      </c>
    </row>
    <row r="117" ht="12.75" customHeight="1" s="150">
      <c r="C117" s="224" t="inlineStr">
        <is>
          <t>Other costs</t>
        </is>
      </c>
      <c r="D117" s="231">
        <f>[2]Consolidated!D117</f>
        <v/>
      </c>
      <c r="E117" s="231">
        <f>[2]Consolidated!E117</f>
        <v/>
      </c>
      <c r="F117" s="231">
        <f>[2]Consolidated!F117</f>
        <v/>
      </c>
      <c r="G117" s="231">
        <f>[2]Consolidated!G117</f>
        <v/>
      </c>
      <c r="H117" s="231">
        <f>[2]Consolidated!H117</f>
        <v/>
      </c>
      <c r="I117" s="231">
        <f>[2]Consolidated!I117</f>
        <v/>
      </c>
      <c r="J117" s="233">
        <f>[2]Consolidated!J117</f>
        <v/>
      </c>
      <c r="K117" s="185" t="n"/>
      <c r="L117" s="233">
        <f>[2]Consolidated!L117</f>
        <v/>
      </c>
      <c r="M117" s="231">
        <f>[2]Consolidated!M117</f>
        <v/>
      </c>
      <c r="N117" s="234">
        <f>[2]Consolidated!N117</f>
        <v/>
      </c>
    </row>
    <row r="118" ht="13.5" customHeight="1" s="150">
      <c r="C118" s="228" t="inlineStr">
        <is>
          <t>General expenses</t>
        </is>
      </c>
      <c r="D118" s="236">
        <f>[2]Consolidated!D118</f>
        <v/>
      </c>
      <c r="E118" s="236">
        <f>[2]Consolidated!E118</f>
        <v/>
      </c>
      <c r="F118" s="236">
        <f>[2]Consolidated!F118</f>
        <v/>
      </c>
      <c r="G118" s="236">
        <f>[2]Consolidated!G118</f>
        <v/>
      </c>
      <c r="H118" s="236">
        <f>[2]Consolidated!H118</f>
        <v/>
      </c>
      <c r="I118" s="236">
        <f>[2]Consolidated!I118</f>
        <v/>
      </c>
      <c r="J118" s="237">
        <f>[2]Consolidated!J118</f>
        <v/>
      </c>
      <c r="K118" s="185" t="n"/>
      <c r="L118" s="237">
        <f>[2]Consolidated!L118</f>
        <v/>
      </c>
      <c r="M118" s="236">
        <f>[2]Consolidated!M118</f>
        <v/>
      </c>
      <c r="N118" s="237">
        <f>[2]Consolidated!N118</f>
        <v/>
      </c>
    </row>
    <row r="119" ht="12.75" customHeight="1" s="150">
      <c r="C119" s="224" t="inlineStr">
        <is>
          <t>Own expenses</t>
        </is>
      </c>
      <c r="D119" s="231">
        <f>[2]Consolidated!D119</f>
        <v/>
      </c>
      <c r="E119" s="231">
        <f>[2]Consolidated!E119</f>
        <v/>
      </c>
      <c r="F119" s="231">
        <f>[2]Consolidated!F119</f>
        <v/>
      </c>
      <c r="G119" s="231">
        <f>[2]Consolidated!G119</f>
        <v/>
      </c>
      <c r="H119" s="231">
        <f>[2]Consolidated!H119</f>
        <v/>
      </c>
      <c r="I119" s="231">
        <f>[2]Consolidated!I119</f>
        <v/>
      </c>
      <c r="J119" s="233">
        <f>[2]Consolidated!J119</f>
        <v/>
      </c>
      <c r="K119" s="185" t="n"/>
      <c r="L119" s="233">
        <f>[2]Consolidated!L119</f>
        <v/>
      </c>
      <c r="M119" s="231">
        <f>[2]Consolidated!M119</f>
        <v/>
      </c>
      <c r="N119" s="238">
        <f>[2]Consolidated!N119</f>
        <v/>
      </c>
    </row>
    <row r="120" ht="12.75" customHeight="1" s="150">
      <c r="C120" s="224" t="inlineStr">
        <is>
          <t>Other expenses</t>
        </is>
      </c>
      <c r="D120" s="231">
        <f>[2]Consolidated!D120</f>
        <v/>
      </c>
      <c r="E120" s="231">
        <f>[2]Consolidated!E120</f>
        <v/>
      </c>
      <c r="F120" s="231">
        <f>[2]Consolidated!F120</f>
        <v/>
      </c>
      <c r="G120" s="231">
        <f>[2]Consolidated!G120</f>
        <v/>
      </c>
      <c r="H120" s="231">
        <f>[2]Consolidated!H120</f>
        <v/>
      </c>
      <c r="I120" s="231">
        <f>[2]Consolidated!I120</f>
        <v/>
      </c>
      <c r="J120" s="233">
        <f>[2]Consolidated!J120</f>
        <v/>
      </c>
      <c r="K120" s="185" t="n"/>
      <c r="L120" s="233">
        <f>[2]Consolidated!L120</f>
        <v/>
      </c>
      <c r="M120" s="231">
        <f>[2]Consolidated!M120</f>
        <v/>
      </c>
      <c r="N120" s="234">
        <f>[2]Consolidated!N120</f>
        <v/>
      </c>
    </row>
    <row r="121" ht="13.5" customHeight="1" s="150">
      <c r="C121" s="228" t="inlineStr">
        <is>
          <t xml:space="preserve">Operating expenses </t>
        </is>
      </c>
      <c r="D121" s="236">
        <f>[2]Consolidated!D121</f>
        <v/>
      </c>
      <c r="E121" s="236">
        <f>[2]Consolidated!E121</f>
        <v/>
      </c>
      <c r="F121" s="236">
        <f>[2]Consolidated!F121</f>
        <v/>
      </c>
      <c r="G121" s="236">
        <f>[2]Consolidated!G121</f>
        <v/>
      </c>
      <c r="H121" s="236">
        <f>[2]Consolidated!H121</f>
        <v/>
      </c>
      <c r="I121" s="236">
        <f>[2]Consolidated!I121</f>
        <v/>
      </c>
      <c r="J121" s="237">
        <f>[2]Consolidated!J121</f>
        <v/>
      </c>
      <c r="K121" s="185" t="n"/>
      <c r="L121" s="237">
        <f>[2]Consolidated!L121</f>
        <v/>
      </c>
      <c r="M121" s="236">
        <f>[2]Consolidated!M121</f>
        <v/>
      </c>
      <c r="N121" s="237">
        <f>[2]Consolidated!N121</f>
        <v/>
      </c>
    </row>
    <row r="122" ht="12.75" customHeight="1" s="150">
      <c r="C122" s="224" t="n"/>
      <c r="D122" s="231">
        <f>[2]Consolidated!D122</f>
        <v/>
      </c>
      <c r="E122" s="231">
        <f>[2]Consolidated!E122</f>
        <v/>
      </c>
      <c r="F122" s="231">
        <f>[2]Consolidated!F122</f>
        <v/>
      </c>
      <c r="G122" s="231">
        <f>[2]Consolidated!G122</f>
        <v/>
      </c>
      <c r="H122" s="231">
        <f>[2]Consolidated!H122</f>
        <v/>
      </c>
      <c r="I122" s="231">
        <f>[2]Consolidated!I122</f>
        <v/>
      </c>
      <c r="J122" s="239">
        <f>[2]Consolidated!J122</f>
        <v/>
      </c>
      <c r="K122" s="185" t="n"/>
      <c r="L122" s="233">
        <f>[2]Consolidated!L122</f>
        <v/>
      </c>
      <c r="M122" s="231">
        <f>[2]Consolidated!M122</f>
        <v/>
      </c>
      <c r="N122" s="239">
        <f>[2]Consolidated!N122</f>
        <v/>
      </c>
    </row>
    <row r="123" ht="12.75" customHeight="1" s="150">
      <c r="C123" s="224" t="inlineStr">
        <is>
          <t>HR &amp; Comms</t>
        </is>
      </c>
      <c r="D123" s="231">
        <f>[2]Consolidated!D123</f>
        <v/>
      </c>
      <c r="E123" s="231">
        <f>[2]Consolidated!E123</f>
        <v/>
      </c>
      <c r="F123" s="231">
        <f>[2]Consolidated!F123</f>
        <v/>
      </c>
      <c r="G123" s="231">
        <f>[2]Consolidated!G123</f>
        <v/>
      </c>
      <c r="H123" s="231">
        <f>[2]Consolidated!H123</f>
        <v/>
      </c>
      <c r="I123" s="231">
        <f>[2]Consolidated!I123</f>
        <v/>
      </c>
      <c r="J123" s="233">
        <f>[2]Consolidated!J123</f>
        <v/>
      </c>
      <c r="K123" s="185" t="n"/>
      <c r="L123" s="233">
        <f>[2]Consolidated!L123</f>
        <v/>
      </c>
      <c r="M123" s="231">
        <f>[2]Consolidated!M123</f>
        <v/>
      </c>
      <c r="N123" s="234">
        <f>[2]Consolidated!N123</f>
        <v/>
      </c>
    </row>
    <row r="124" ht="12.75" customHeight="1" s="150">
      <c r="C124" s="224" t="inlineStr">
        <is>
          <t>Finance &amp; Business Support</t>
        </is>
      </c>
      <c r="D124" s="231">
        <f>[2]Consolidated!D124</f>
        <v/>
      </c>
      <c r="E124" s="231">
        <f>[2]Consolidated!E124</f>
        <v/>
      </c>
      <c r="F124" s="231">
        <f>[2]Consolidated!F124</f>
        <v/>
      </c>
      <c r="G124" s="231">
        <f>[2]Consolidated!G124</f>
        <v/>
      </c>
      <c r="H124" s="231">
        <f>[2]Consolidated!H124</f>
        <v/>
      </c>
      <c r="I124" s="231">
        <f>[2]Consolidated!I124</f>
        <v/>
      </c>
      <c r="J124" s="233">
        <f>[2]Consolidated!J124</f>
        <v/>
      </c>
      <c r="K124" s="185" t="n"/>
      <c r="L124" s="233">
        <f>[2]Consolidated!L124</f>
        <v/>
      </c>
      <c r="M124" s="231">
        <f>[2]Consolidated!M124</f>
        <v/>
      </c>
      <c r="N124" s="234">
        <f>[2]Consolidated!N124</f>
        <v/>
      </c>
    </row>
    <row r="125" ht="12.75" customHeight="1" s="150">
      <c r="C125" s="224" t="inlineStr">
        <is>
          <t>IT alloc</t>
        </is>
      </c>
      <c r="D125" s="231">
        <f>[2]Consolidated!D125</f>
        <v/>
      </c>
      <c r="E125" s="231">
        <f>[2]Consolidated!E125</f>
        <v/>
      </c>
      <c r="F125" s="231">
        <f>[2]Consolidated!F125</f>
        <v/>
      </c>
      <c r="G125" s="231">
        <f>[2]Consolidated!G125</f>
        <v/>
      </c>
      <c r="H125" s="231">
        <f>[2]Consolidated!H125</f>
        <v/>
      </c>
      <c r="I125" s="231">
        <f>[2]Consolidated!I125</f>
        <v/>
      </c>
      <c r="J125" s="233">
        <f>[2]Consolidated!J125</f>
        <v/>
      </c>
      <c r="K125" s="185" t="n"/>
      <c r="L125" s="233">
        <f>[2]Consolidated!L125</f>
        <v/>
      </c>
      <c r="M125" s="231">
        <f>[2]Consolidated!M125</f>
        <v/>
      </c>
      <c r="N125" s="234">
        <f>[2]Consolidated!N125</f>
        <v/>
      </c>
    </row>
    <row r="126" ht="12.75" customHeight="1" s="150">
      <c r="C126" s="224" t="inlineStr">
        <is>
          <t>Facilities Management</t>
        </is>
      </c>
      <c r="D126" s="231">
        <f>[2]Consolidated!D126</f>
        <v/>
      </c>
      <c r="E126" s="231">
        <f>[2]Consolidated!E126</f>
        <v/>
      </c>
      <c r="F126" s="231">
        <f>[2]Consolidated!F126</f>
        <v/>
      </c>
      <c r="G126" s="231">
        <f>[2]Consolidated!G126</f>
        <v/>
      </c>
      <c r="H126" s="231">
        <f>[2]Consolidated!H126</f>
        <v/>
      </c>
      <c r="I126" s="231">
        <f>[2]Consolidated!I126</f>
        <v/>
      </c>
      <c r="J126" s="233">
        <f>[2]Consolidated!J126</f>
        <v/>
      </c>
      <c r="K126" s="185" t="n"/>
      <c r="L126" s="233">
        <f>[2]Consolidated!L126</f>
        <v/>
      </c>
      <c r="M126" s="231">
        <f>[2]Consolidated!M126</f>
        <v/>
      </c>
      <c r="N126" s="234">
        <f>[2]Consolidated!N126</f>
        <v/>
      </c>
    </row>
    <row r="127" ht="13.5" customHeight="1" s="150">
      <c r="C127" s="228" t="inlineStr">
        <is>
          <t>Overheads</t>
        </is>
      </c>
      <c r="D127" s="236">
        <f>[2]Consolidated!D127</f>
        <v/>
      </c>
      <c r="E127" s="236">
        <f>[2]Consolidated!E127</f>
        <v/>
      </c>
      <c r="F127" s="236">
        <f>[2]Consolidated!F127</f>
        <v/>
      </c>
      <c r="G127" s="236">
        <f>[2]Consolidated!G127</f>
        <v/>
      </c>
      <c r="H127" s="236">
        <f>[2]Consolidated!H127</f>
        <v/>
      </c>
      <c r="I127" s="236">
        <f>[2]Consolidated!I127</f>
        <v/>
      </c>
      <c r="J127" s="237">
        <f>[2]Consolidated!J127</f>
        <v/>
      </c>
      <c r="K127" s="185" t="n"/>
      <c r="L127" s="237">
        <f>[2]Consolidated!L127</f>
        <v/>
      </c>
      <c r="M127" s="236">
        <f>[2]Consolidated!M127</f>
        <v/>
      </c>
      <c r="N127" s="237">
        <f>[2]Consolidated!N127</f>
        <v/>
      </c>
    </row>
    <row r="128" ht="12.75" customHeight="1" s="150">
      <c r="C128" s="224" t="n"/>
      <c r="D128" s="231">
        <f>[2]Consolidated!D128</f>
        <v/>
      </c>
      <c r="E128" s="231">
        <f>[2]Consolidated!E128</f>
        <v/>
      </c>
      <c r="F128" s="231">
        <f>[2]Consolidated!F128</f>
        <v/>
      </c>
      <c r="G128" s="231">
        <f>[2]Consolidated!G128</f>
        <v/>
      </c>
      <c r="H128" s="231">
        <f>[2]Consolidated!H128</f>
        <v/>
      </c>
      <c r="I128" s="231">
        <f>[2]Consolidated!I128</f>
        <v/>
      </c>
      <c r="J128" s="239">
        <f>[2]Consolidated!J128</f>
        <v/>
      </c>
      <c r="K128" s="185" t="n"/>
      <c r="L128" s="233">
        <f>[2]Consolidated!L128</f>
        <v/>
      </c>
      <c r="M128" s="231">
        <f>[2]Consolidated!M128</f>
        <v/>
      </c>
      <c r="N128" s="239">
        <f>[2]Consolidated!N128</f>
        <v/>
      </c>
    </row>
    <row r="129" ht="13.5" customHeight="1" s="150">
      <c r="C129" s="228" t="inlineStr">
        <is>
          <t>Total Operating Costs (incl. O/H)</t>
        </is>
      </c>
      <c r="D129" s="236">
        <f>[2]Consolidated!D129</f>
        <v/>
      </c>
      <c r="E129" s="236">
        <f>[2]Consolidated!E129</f>
        <v/>
      </c>
      <c r="F129" s="236">
        <f>[2]Consolidated!F129</f>
        <v/>
      </c>
      <c r="G129" s="236">
        <f>[2]Consolidated!G129</f>
        <v/>
      </c>
      <c r="H129" s="236">
        <f>[2]Consolidated!H129</f>
        <v/>
      </c>
      <c r="I129" s="236">
        <f>[2]Consolidated!I129</f>
        <v/>
      </c>
      <c r="J129" s="237">
        <f>[2]Consolidated!J129</f>
        <v/>
      </c>
      <c r="K129" s="185" t="n"/>
      <c r="L129" s="237">
        <f>[2]Consolidated!L129</f>
        <v/>
      </c>
      <c r="M129" s="236">
        <f>[2]Consolidated!M129</f>
        <v/>
      </c>
      <c r="N129" s="237">
        <f>[2]Consolidated!N129</f>
        <v/>
      </c>
    </row>
    <row r="130"/>
    <row r="131" ht="13.5" customHeight="1" s="150"/>
    <row r="132" ht="42" customHeight="1" s="150">
      <c r="C132" s="240" t="inlineStr">
        <is>
          <t>RETAINED COSTS
(US$  excl. VAT)</t>
        </is>
      </c>
      <c r="D132" s="241">
        <f>[2]Consolidated!D132</f>
        <v/>
      </c>
      <c r="E132" s="241">
        <f>[2]Consolidated!E132</f>
        <v/>
      </c>
      <c r="F132" s="241">
        <f>[2]Consolidated!F132</f>
        <v/>
      </c>
      <c r="G132" s="241">
        <f>[2]Consolidated!G132</f>
        <v/>
      </c>
      <c r="H132" s="241">
        <f>[2]Consolidated!H132</f>
        <v/>
      </c>
      <c r="I132" s="242">
        <f>[2]Consolidated!I132</f>
        <v/>
      </c>
      <c r="J132" s="243">
        <f>[2]Consolidated!J132</f>
        <v/>
      </c>
      <c r="K132" s="165" t="n"/>
      <c r="L132" s="241">
        <f>[2]Consolidated!L132</f>
        <v/>
      </c>
      <c r="M132" s="244">
        <f>[2]Consolidated!M132</f>
        <v/>
      </c>
      <c r="N132" s="241">
        <f>[2]Consolidated!N132</f>
        <v/>
      </c>
    </row>
    <row r="133" ht="12.75" customHeight="1" s="150">
      <c r="C133" s="245" t="inlineStr">
        <is>
          <t>Internal FTE</t>
        </is>
      </c>
      <c r="D133" s="254">
        <f>[2]Consolidated!D133</f>
        <v/>
      </c>
      <c r="E133" s="254">
        <f>[2]Consolidated!E133</f>
        <v/>
      </c>
      <c r="F133" s="254">
        <f>[2]Consolidated!F133</f>
        <v/>
      </c>
      <c r="G133" s="254">
        <f>[2]Consolidated!G133</f>
        <v/>
      </c>
      <c r="H133" s="254">
        <f>[2]Consolidated!H133</f>
        <v/>
      </c>
      <c r="I133" s="254">
        <f>[2]Consolidated!I133</f>
        <v/>
      </c>
      <c r="J133" s="291">
        <f>[2]Consolidated!J133</f>
        <v/>
      </c>
      <c r="K133" s="185" t="n"/>
      <c r="L133" s="256">
        <f>[2]Consolidated!L133</f>
        <v/>
      </c>
      <c r="M133" s="254">
        <f>[2]Consolidated!M133</f>
        <v/>
      </c>
      <c r="N133" s="249">
        <f>[2]Consolidated!N133</f>
        <v/>
      </c>
    </row>
    <row r="134" ht="12.75" customHeight="1" s="150">
      <c r="C134" s="245" t="inlineStr">
        <is>
          <t>External FTE</t>
        </is>
      </c>
      <c r="D134" s="254">
        <f>[2]Consolidated!D134</f>
        <v/>
      </c>
      <c r="E134" s="254">
        <f>[2]Consolidated!E134</f>
        <v/>
      </c>
      <c r="F134" s="254">
        <f>[2]Consolidated!F134</f>
        <v/>
      </c>
      <c r="G134" s="254">
        <f>[2]Consolidated!G134</f>
        <v/>
      </c>
      <c r="H134" s="254">
        <f>[2]Consolidated!H134</f>
        <v/>
      </c>
      <c r="I134" s="254">
        <f>[2]Consolidated!I134</f>
        <v/>
      </c>
      <c r="J134" s="291">
        <f>[2]Consolidated!J134</f>
        <v/>
      </c>
      <c r="K134" s="185" t="n"/>
      <c r="L134" s="256">
        <f>[2]Consolidated!L134</f>
        <v/>
      </c>
      <c r="M134" s="254">
        <f>[2]Consolidated!M134</f>
        <v/>
      </c>
      <c r="N134" s="249">
        <f>[2]Consolidated!N134</f>
        <v/>
      </c>
    </row>
    <row r="135" ht="13.5" customHeight="1" s="150">
      <c r="C135" s="250" t="inlineStr">
        <is>
          <t>Total FTE</t>
        </is>
      </c>
      <c r="D135" s="258">
        <f>[2]Consolidated!D135</f>
        <v/>
      </c>
      <c r="E135" s="258">
        <f>[2]Consolidated!E135</f>
        <v/>
      </c>
      <c r="F135" s="258">
        <f>[2]Consolidated!F135</f>
        <v/>
      </c>
      <c r="G135" s="258">
        <f>[2]Consolidated!G135</f>
        <v/>
      </c>
      <c r="H135" s="258">
        <f>[2]Consolidated!H135</f>
        <v/>
      </c>
      <c r="I135" s="258">
        <f>[2]Consolidated!I135</f>
        <v/>
      </c>
      <c r="J135" s="292">
        <f>[2]Consolidated!J135</f>
        <v/>
      </c>
      <c r="K135" s="185" t="n"/>
      <c r="L135" s="253">
        <f>[2]Consolidated!L135</f>
        <v/>
      </c>
      <c r="M135" s="258">
        <f>[2]Consolidated!M135</f>
        <v/>
      </c>
      <c r="N135" s="253">
        <f>[2]Consolidated!N135</f>
        <v/>
      </c>
    </row>
    <row r="136" ht="12.75" customHeight="1" s="150">
      <c r="C136" s="245" t="n"/>
      <c r="D136" s="254">
        <f>[2]Consolidated!D136</f>
        <v/>
      </c>
      <c r="E136" s="254">
        <f>[2]Consolidated!E136</f>
        <v/>
      </c>
      <c r="F136" s="254">
        <f>[2]Consolidated!F136</f>
        <v/>
      </c>
      <c r="G136" s="254">
        <f>[2]Consolidated!G136</f>
        <v/>
      </c>
      <c r="H136" s="254">
        <f>[2]Consolidated!H136</f>
        <v/>
      </c>
      <c r="I136" s="254">
        <f>[2]Consolidated!I136</f>
        <v/>
      </c>
      <c r="J136" s="255">
        <f>[2]Consolidated!J136</f>
        <v/>
      </c>
      <c r="K136" s="185" t="n"/>
      <c r="L136" s="256">
        <f>[2]Consolidated!L136</f>
        <v/>
      </c>
      <c r="M136" s="254">
        <f>[2]Consolidated!M136</f>
        <v/>
      </c>
      <c r="N136" s="249">
        <f>[2]Consolidated!N136</f>
        <v/>
      </c>
    </row>
    <row r="137" ht="12.75" customHeight="1" s="150">
      <c r="C137" s="245" t="inlineStr">
        <is>
          <t>Salaries</t>
        </is>
      </c>
      <c r="D137" s="254">
        <f>[2]Consolidated!D137</f>
        <v/>
      </c>
      <c r="E137" s="254">
        <f>[2]Consolidated!E137</f>
        <v/>
      </c>
      <c r="F137" s="254">
        <f>[2]Consolidated!F137</f>
        <v/>
      </c>
      <c r="G137" s="254">
        <f>[2]Consolidated!G137</f>
        <v/>
      </c>
      <c r="H137" s="254">
        <f>[2]Consolidated!H137</f>
        <v/>
      </c>
      <c r="I137" s="254">
        <f>[2]Consolidated!I137</f>
        <v/>
      </c>
      <c r="J137" s="256">
        <f>[2]Consolidated!J137</f>
        <v/>
      </c>
      <c r="K137" s="185" t="n"/>
      <c r="L137" s="256">
        <f>[2]Consolidated!L137</f>
        <v/>
      </c>
      <c r="M137" s="254">
        <f>[2]Consolidated!M137</f>
        <v/>
      </c>
      <c r="N137" s="249">
        <f>[2]Consolidated!N137</f>
        <v/>
      </c>
    </row>
    <row r="138" ht="12.75" customHeight="1" s="150">
      <c r="C138" s="245" t="inlineStr">
        <is>
          <t>Bonuses</t>
        </is>
      </c>
      <c r="D138" s="254">
        <f>[2]Consolidated!D138</f>
        <v/>
      </c>
      <c r="E138" s="254">
        <f>[2]Consolidated!E138</f>
        <v/>
      </c>
      <c r="F138" s="254">
        <f>[2]Consolidated!F138</f>
        <v/>
      </c>
      <c r="G138" s="254">
        <f>[2]Consolidated!G138</f>
        <v/>
      </c>
      <c r="H138" s="254">
        <f>[2]Consolidated!H138</f>
        <v/>
      </c>
      <c r="I138" s="254">
        <f>[2]Consolidated!I138</f>
        <v/>
      </c>
      <c r="J138" s="256">
        <f>[2]Consolidated!J138</f>
        <v/>
      </c>
      <c r="K138" s="185" t="n"/>
      <c r="L138" s="256">
        <f>[2]Consolidated!L138</f>
        <v/>
      </c>
      <c r="M138" s="254">
        <f>[2]Consolidated!M138</f>
        <v/>
      </c>
      <c r="N138" s="249">
        <f>[2]Consolidated!N138</f>
        <v/>
      </c>
    </row>
    <row r="139" ht="12.75" customHeight="1" s="150">
      <c r="C139" s="245" t="inlineStr">
        <is>
          <t>Third party staff, ex IT</t>
        </is>
      </c>
      <c r="D139" s="254">
        <f>[2]Consolidated!D139</f>
        <v/>
      </c>
      <c r="E139" s="254">
        <f>[2]Consolidated!E139</f>
        <v/>
      </c>
      <c r="F139" s="254">
        <f>[2]Consolidated!F139</f>
        <v/>
      </c>
      <c r="G139" s="254">
        <f>[2]Consolidated!G139</f>
        <v/>
      </c>
      <c r="H139" s="254">
        <f>[2]Consolidated!H139</f>
        <v/>
      </c>
      <c r="I139" s="254">
        <f>[2]Consolidated!I139</f>
        <v/>
      </c>
      <c r="J139" s="256">
        <f>[2]Consolidated!J139</f>
        <v/>
      </c>
      <c r="K139" s="185" t="n"/>
      <c r="L139" s="256">
        <f>[2]Consolidated!L139</f>
        <v/>
      </c>
      <c r="M139" s="254">
        <f>[2]Consolidated!M139</f>
        <v/>
      </c>
      <c r="N139" s="249">
        <f>[2]Consolidated!N139</f>
        <v/>
      </c>
    </row>
    <row r="140" ht="12.75" customHeight="1" s="150">
      <c r="C140" s="245" t="inlineStr">
        <is>
          <t>Third party IT staff</t>
        </is>
      </c>
      <c r="D140" s="254">
        <f>[2]Consolidated!D140</f>
        <v/>
      </c>
      <c r="E140" s="254">
        <f>[2]Consolidated!E140</f>
        <v/>
      </c>
      <c r="F140" s="254">
        <f>[2]Consolidated!F140</f>
        <v/>
      </c>
      <c r="G140" s="254">
        <f>[2]Consolidated!G140</f>
        <v/>
      </c>
      <c r="H140" s="254">
        <f>[2]Consolidated!H140</f>
        <v/>
      </c>
      <c r="I140" s="254">
        <f>[2]Consolidated!I140</f>
        <v/>
      </c>
      <c r="J140" s="256">
        <f>[2]Consolidated!J140</f>
        <v/>
      </c>
      <c r="K140" s="185" t="n"/>
      <c r="L140" s="256">
        <f>[2]Consolidated!L140</f>
        <v/>
      </c>
      <c r="M140" s="254">
        <f>[2]Consolidated!M140</f>
        <v/>
      </c>
      <c r="N140" s="249">
        <f>[2]Consolidated!N140</f>
        <v/>
      </c>
    </row>
    <row r="141" ht="12.75" customHeight="1" s="150">
      <c r="C141" s="245" t="inlineStr">
        <is>
          <t>Employee education</t>
        </is>
      </c>
      <c r="D141" s="254">
        <f>[2]Consolidated!D141</f>
        <v/>
      </c>
      <c r="E141" s="254">
        <f>[2]Consolidated!E141</f>
        <v/>
      </c>
      <c r="F141" s="254">
        <f>[2]Consolidated!F141</f>
        <v/>
      </c>
      <c r="G141" s="254">
        <f>[2]Consolidated!G141</f>
        <v/>
      </c>
      <c r="H141" s="254">
        <f>[2]Consolidated!H141</f>
        <v/>
      </c>
      <c r="I141" s="254">
        <f>[2]Consolidated!I141</f>
        <v/>
      </c>
      <c r="J141" s="256">
        <f>[2]Consolidated!J141</f>
        <v/>
      </c>
      <c r="K141" s="185" t="n"/>
      <c r="L141" s="256">
        <f>[2]Consolidated!L141</f>
        <v/>
      </c>
      <c r="M141" s="254">
        <f>[2]Consolidated!M141</f>
        <v/>
      </c>
      <c r="N141" s="249">
        <f>[2]Consolidated!N141</f>
        <v/>
      </c>
    </row>
    <row r="142" ht="12.75" customHeight="1" s="150">
      <c r="C142" s="245" t="inlineStr">
        <is>
          <t>Other staff expenses</t>
        </is>
      </c>
      <c r="D142" s="254">
        <f>[2]Consolidated!D142</f>
        <v/>
      </c>
      <c r="E142" s="254">
        <f>[2]Consolidated!E142</f>
        <v/>
      </c>
      <c r="F142" s="254">
        <f>[2]Consolidated!F142</f>
        <v/>
      </c>
      <c r="G142" s="254">
        <f>[2]Consolidated!G142</f>
        <v/>
      </c>
      <c r="H142" s="254">
        <f>[2]Consolidated!H142</f>
        <v/>
      </c>
      <c r="I142" s="254">
        <f>[2]Consolidated!I142</f>
        <v/>
      </c>
      <c r="J142" s="257">
        <f>[2]Consolidated!J142</f>
        <v/>
      </c>
      <c r="K142" s="185" t="n"/>
      <c r="L142" s="256">
        <f>[2]Consolidated!L142</f>
        <v/>
      </c>
      <c r="M142" s="254">
        <f>[2]Consolidated!M142</f>
        <v/>
      </c>
      <c r="N142" s="249">
        <f>[2]Consolidated!N142</f>
        <v/>
      </c>
    </row>
    <row r="143" ht="13.5" customHeight="1" s="150">
      <c r="C143" s="250" t="inlineStr">
        <is>
          <t>Staff expenses</t>
        </is>
      </c>
      <c r="D143" s="258">
        <f>[2]Consolidated!D143</f>
        <v/>
      </c>
      <c r="E143" s="258">
        <f>[2]Consolidated!E143</f>
        <v/>
      </c>
      <c r="F143" s="258">
        <f>[2]Consolidated!F143</f>
        <v/>
      </c>
      <c r="G143" s="258">
        <f>[2]Consolidated!G143</f>
        <v/>
      </c>
      <c r="H143" s="258">
        <f>[2]Consolidated!H143</f>
        <v/>
      </c>
      <c r="I143" s="258">
        <f>[2]Consolidated!I143</f>
        <v/>
      </c>
      <c r="J143" s="253">
        <f>[2]Consolidated!J143</f>
        <v/>
      </c>
      <c r="K143" s="185" t="n"/>
      <c r="L143" s="253">
        <f>[2]Consolidated!L143</f>
        <v/>
      </c>
      <c r="M143" s="258">
        <f>[2]Consolidated!M143</f>
        <v/>
      </c>
      <c r="N143" s="253">
        <f>[2]Consolidated!N143</f>
        <v/>
      </c>
    </row>
    <row r="144" ht="12.75" customHeight="1" s="150">
      <c r="C144" s="245" t="inlineStr">
        <is>
          <t>Hardware expenses</t>
        </is>
      </c>
      <c r="D144" s="254">
        <f>[2]Consolidated!D144</f>
        <v/>
      </c>
      <c r="E144" s="254">
        <f>[2]Consolidated!E144</f>
        <v/>
      </c>
      <c r="F144" s="254">
        <f>[2]Consolidated!F144</f>
        <v/>
      </c>
      <c r="G144" s="254">
        <f>[2]Consolidated!G144</f>
        <v/>
      </c>
      <c r="H144" s="254">
        <f>[2]Consolidated!H144</f>
        <v/>
      </c>
      <c r="I144" s="254">
        <f>[2]Consolidated!I144</f>
        <v/>
      </c>
      <c r="J144" s="256">
        <f>[2]Consolidated!J144</f>
        <v/>
      </c>
      <c r="K144" s="185" t="n"/>
      <c r="L144" s="256">
        <f>[2]Consolidated!L144</f>
        <v/>
      </c>
      <c r="M144" s="254">
        <f>[2]Consolidated!M144</f>
        <v/>
      </c>
      <c r="N144" s="249">
        <f>[2]Consolidated!N144</f>
        <v/>
      </c>
    </row>
    <row r="145" ht="12.75" customHeight="1" s="150">
      <c r="C145" s="245" t="inlineStr">
        <is>
          <t>Leasing/renting hardware</t>
        </is>
      </c>
      <c r="D145" s="254">
        <f>[2]Consolidated!D145</f>
        <v/>
      </c>
      <c r="E145" s="254">
        <f>[2]Consolidated!E145</f>
        <v/>
      </c>
      <c r="F145" s="254">
        <f>[2]Consolidated!F145</f>
        <v/>
      </c>
      <c r="G145" s="254">
        <f>[2]Consolidated!G145</f>
        <v/>
      </c>
      <c r="H145" s="254">
        <f>[2]Consolidated!H145</f>
        <v/>
      </c>
      <c r="I145" s="254">
        <f>[2]Consolidated!I145</f>
        <v/>
      </c>
      <c r="J145" s="256">
        <f>[2]Consolidated!J145</f>
        <v/>
      </c>
      <c r="K145" s="185" t="n"/>
      <c r="L145" s="256">
        <f>[2]Consolidated!L145</f>
        <v/>
      </c>
      <c r="M145" s="254">
        <f>[2]Consolidated!M145</f>
        <v/>
      </c>
      <c r="N145" s="249">
        <f>[2]Consolidated!N145</f>
        <v/>
      </c>
    </row>
    <row r="146" ht="12.75" customHeight="1" s="150">
      <c r="C146" s="245" t="inlineStr">
        <is>
          <t>Software expenses</t>
        </is>
      </c>
      <c r="D146" s="254">
        <f>[2]Consolidated!D146</f>
        <v/>
      </c>
      <c r="E146" s="254">
        <f>[2]Consolidated!E146</f>
        <v/>
      </c>
      <c r="F146" s="254">
        <f>[2]Consolidated!F146</f>
        <v/>
      </c>
      <c r="G146" s="254">
        <f>[2]Consolidated!G146</f>
        <v/>
      </c>
      <c r="H146" s="254">
        <f>[2]Consolidated!H146</f>
        <v/>
      </c>
      <c r="I146" s="254">
        <f>[2]Consolidated!I146</f>
        <v/>
      </c>
      <c r="J146" s="256">
        <f>[2]Consolidated!J146</f>
        <v/>
      </c>
      <c r="K146" s="185" t="n"/>
      <c r="L146" s="256">
        <f>[2]Consolidated!L146</f>
        <v/>
      </c>
      <c r="M146" s="254">
        <f>[2]Consolidated!M146</f>
        <v/>
      </c>
      <c r="N146" s="249">
        <f>[2]Consolidated!N146</f>
        <v/>
      </c>
    </row>
    <row r="147" ht="12.75" customHeight="1" s="150">
      <c r="C147" s="245" t="inlineStr">
        <is>
          <t>Leasing/renting/licenses sw</t>
        </is>
      </c>
      <c r="D147" s="254">
        <f>[2]Consolidated!D147</f>
        <v/>
      </c>
      <c r="E147" s="254">
        <f>[2]Consolidated!E147</f>
        <v/>
      </c>
      <c r="F147" s="254">
        <f>[2]Consolidated!F147</f>
        <v/>
      </c>
      <c r="G147" s="254">
        <f>[2]Consolidated!G147</f>
        <v/>
      </c>
      <c r="H147" s="254">
        <f>[2]Consolidated!H147</f>
        <v/>
      </c>
      <c r="I147" s="254">
        <f>[2]Consolidated!I147</f>
        <v/>
      </c>
      <c r="J147" s="256">
        <f>[2]Consolidated!J147</f>
        <v/>
      </c>
      <c r="K147" s="185" t="n"/>
      <c r="L147" s="256">
        <f>[2]Consolidated!L147</f>
        <v/>
      </c>
      <c r="M147" s="254">
        <f>[2]Consolidated!M147</f>
        <v/>
      </c>
      <c r="N147" s="249">
        <f>[2]Consolidated!N147</f>
        <v/>
      </c>
    </row>
    <row r="148" ht="12.75" customHeight="1" s="150">
      <c r="C148" s="245" t="inlineStr">
        <is>
          <t>Depreciation hardware</t>
        </is>
      </c>
      <c r="D148" s="254">
        <f>[2]Consolidated!D148</f>
        <v/>
      </c>
      <c r="E148" s="254">
        <f>[2]Consolidated!E148</f>
        <v/>
      </c>
      <c r="F148" s="254">
        <f>[2]Consolidated!F148</f>
        <v/>
      </c>
      <c r="G148" s="254">
        <f>[2]Consolidated!G148</f>
        <v/>
      </c>
      <c r="H148" s="254">
        <f>[2]Consolidated!H148</f>
        <v/>
      </c>
      <c r="I148" s="254">
        <f>[2]Consolidated!I148</f>
        <v/>
      </c>
      <c r="J148" s="256">
        <f>[2]Consolidated!J148</f>
        <v/>
      </c>
      <c r="K148" s="185" t="n"/>
      <c r="L148" s="256">
        <f>[2]Consolidated!L148</f>
        <v/>
      </c>
      <c r="M148" s="254">
        <f>[2]Consolidated!M148</f>
        <v/>
      </c>
      <c r="N148" s="249">
        <f>[2]Consolidated!N148</f>
        <v/>
      </c>
    </row>
    <row r="149" ht="12.75" customHeight="1" s="150">
      <c r="C149" s="245" t="inlineStr">
        <is>
          <t>Depreciation software</t>
        </is>
      </c>
      <c r="D149" s="254">
        <f>[2]Consolidated!D149</f>
        <v/>
      </c>
      <c r="E149" s="254">
        <f>[2]Consolidated!E149</f>
        <v/>
      </c>
      <c r="F149" s="254">
        <f>[2]Consolidated!F149</f>
        <v/>
      </c>
      <c r="G149" s="254">
        <f>[2]Consolidated!G149</f>
        <v/>
      </c>
      <c r="H149" s="254">
        <f>[2]Consolidated!H149</f>
        <v/>
      </c>
      <c r="I149" s="254">
        <f>[2]Consolidated!I149</f>
        <v/>
      </c>
      <c r="J149" s="256">
        <f>[2]Consolidated!J149</f>
        <v/>
      </c>
      <c r="K149" s="185" t="n"/>
      <c r="L149" s="256">
        <f>[2]Consolidated!L149</f>
        <v/>
      </c>
      <c r="M149" s="254">
        <f>[2]Consolidated!M149</f>
        <v/>
      </c>
      <c r="N149" s="249">
        <f>[2]Consolidated!N149</f>
        <v/>
      </c>
    </row>
    <row r="150" ht="12.75" customHeight="1" s="150">
      <c r="C150" s="245" t="inlineStr">
        <is>
          <t>Outsourcing IT activities</t>
        </is>
      </c>
      <c r="D150" s="254">
        <f>[2]Consolidated!D150</f>
        <v/>
      </c>
      <c r="E150" s="254">
        <f>[2]Consolidated!E150</f>
        <v/>
      </c>
      <c r="F150" s="254">
        <f>[2]Consolidated!F150</f>
        <v/>
      </c>
      <c r="G150" s="254">
        <f>[2]Consolidated!G150</f>
        <v/>
      </c>
      <c r="H150" s="254">
        <f>[2]Consolidated!H150</f>
        <v/>
      </c>
      <c r="I150" s="254">
        <f>[2]Consolidated!I150</f>
        <v/>
      </c>
      <c r="J150" s="256">
        <f>[2]Consolidated!J150</f>
        <v/>
      </c>
      <c r="K150" s="185" t="n"/>
      <c r="L150" s="256">
        <f>[2]Consolidated!L150</f>
        <v/>
      </c>
      <c r="M150" s="254">
        <f>[2]Consolidated!M150</f>
        <v/>
      </c>
      <c r="N150" s="249">
        <f>[2]Consolidated!N150</f>
        <v/>
      </c>
    </row>
    <row r="151" ht="12.75" customHeight="1" s="150">
      <c r="C151" s="245" t="inlineStr">
        <is>
          <t>Other IT expenses</t>
        </is>
      </c>
      <c r="D151" s="254">
        <f>D152</f>
        <v/>
      </c>
      <c r="E151" s="254">
        <f>E152</f>
        <v/>
      </c>
      <c r="F151" s="254">
        <f>F152</f>
        <v/>
      </c>
      <c r="G151" s="254">
        <f>G152</f>
        <v/>
      </c>
      <c r="H151" s="254">
        <f>H152</f>
        <v/>
      </c>
      <c r="I151" s="254">
        <f>I152</f>
        <v/>
      </c>
      <c r="J151" s="256">
        <f>J152</f>
        <v/>
      </c>
      <c r="K151" s="185" t="n"/>
      <c r="L151" s="256">
        <f>L152</f>
        <v/>
      </c>
      <c r="M151" s="254">
        <f>M152</f>
        <v/>
      </c>
      <c r="N151" s="249">
        <f>N152</f>
        <v/>
      </c>
    </row>
    <row r="152" ht="13.5" customHeight="1" s="150">
      <c r="C152" s="250" t="inlineStr">
        <is>
          <t>EDP expenses</t>
        </is>
      </c>
      <c r="D152" s="258">
        <f>[2]Consolidated!D152</f>
        <v/>
      </c>
      <c r="E152" s="258">
        <f>[2]Consolidated!E152</f>
        <v/>
      </c>
      <c r="F152" s="258">
        <f>[2]Consolidated!F152</f>
        <v/>
      </c>
      <c r="G152" s="258">
        <f>[2]Consolidated!G152</f>
        <v/>
      </c>
      <c r="H152" s="258">
        <f>[2]Consolidated!H152</f>
        <v/>
      </c>
      <c r="I152" s="258">
        <f>[2]Consolidated!I152</f>
        <v/>
      </c>
      <c r="J152" s="253">
        <f>[2]Consolidated!J152</f>
        <v/>
      </c>
      <c r="K152" s="185" t="n"/>
      <c r="L152" s="253">
        <f>[2]Consolidated!L152</f>
        <v/>
      </c>
      <c r="M152" s="258">
        <f>[2]Consolidated!M152</f>
        <v/>
      </c>
      <c r="N152" s="253">
        <f>[2]Consolidated!N152</f>
        <v/>
      </c>
    </row>
    <row r="153" ht="12.75" customHeight="1" s="150">
      <c r="C153" s="245" t="inlineStr">
        <is>
          <t>Telecom expenses</t>
        </is>
      </c>
      <c r="D153" s="254">
        <f>[2]Consolidated!D153</f>
        <v/>
      </c>
      <c r="E153" s="254">
        <f>[2]Consolidated!E153</f>
        <v/>
      </c>
      <c r="F153" s="254">
        <f>[2]Consolidated!F153</f>
        <v/>
      </c>
      <c r="G153" s="254">
        <f>[2]Consolidated!G153</f>
        <v/>
      </c>
      <c r="H153" s="254">
        <f>[2]Consolidated!H153</f>
        <v/>
      </c>
      <c r="I153" s="254">
        <f>[2]Consolidated!I153</f>
        <v/>
      </c>
      <c r="J153" s="256">
        <f>[2]Consolidated!J153</f>
        <v/>
      </c>
      <c r="K153" s="185" t="n"/>
      <c r="L153" s="256">
        <f>[2]Consolidated!L153</f>
        <v/>
      </c>
      <c r="M153" s="254">
        <f>[2]Consolidated!M153</f>
        <v/>
      </c>
      <c r="N153" s="249">
        <f>[2]Consolidated!N153</f>
        <v/>
      </c>
    </row>
    <row r="154" ht="12.75" customHeight="1" s="150">
      <c r="C154" s="245" t="inlineStr">
        <is>
          <t>Office equipment and supplies</t>
        </is>
      </c>
      <c r="D154" s="254">
        <f>[2]Consolidated!D154</f>
        <v/>
      </c>
      <c r="E154" s="254">
        <f>[2]Consolidated!E154</f>
        <v/>
      </c>
      <c r="F154" s="254">
        <f>[2]Consolidated!F154</f>
        <v/>
      </c>
      <c r="G154" s="254">
        <f>[2]Consolidated!G154</f>
        <v/>
      </c>
      <c r="H154" s="254">
        <f>[2]Consolidated!H154</f>
        <v/>
      </c>
      <c r="I154" s="254">
        <f>[2]Consolidated!I154</f>
        <v/>
      </c>
      <c r="J154" s="256">
        <f>[2]Consolidated!J154</f>
        <v/>
      </c>
      <c r="K154" s="185" t="n"/>
      <c r="L154" s="256">
        <f>[2]Consolidated!L154</f>
        <v/>
      </c>
      <c r="M154" s="254">
        <f>[2]Consolidated!M154</f>
        <v/>
      </c>
      <c r="N154" s="249">
        <f>[2]Consolidated!N154</f>
        <v/>
      </c>
    </row>
    <row r="155" ht="12.75" customHeight="1" s="150">
      <c r="C155" s="245" t="inlineStr">
        <is>
          <t>Accomodation expenses</t>
        </is>
      </c>
      <c r="D155" s="254">
        <f>[2]Consolidated!D155</f>
        <v/>
      </c>
      <c r="E155" s="254">
        <f>[2]Consolidated!E155</f>
        <v/>
      </c>
      <c r="F155" s="254">
        <f>[2]Consolidated!F155</f>
        <v/>
      </c>
      <c r="G155" s="254">
        <f>[2]Consolidated!G155</f>
        <v/>
      </c>
      <c r="H155" s="254">
        <f>[2]Consolidated!H155</f>
        <v/>
      </c>
      <c r="I155" s="254">
        <f>[2]Consolidated!I155</f>
        <v/>
      </c>
      <c r="J155" s="256">
        <f>[2]Consolidated!J155</f>
        <v/>
      </c>
      <c r="K155" s="185" t="n"/>
      <c r="L155" s="256">
        <f>[2]Consolidated!L155</f>
        <v/>
      </c>
      <c r="M155" s="254">
        <f>[2]Consolidated!M155</f>
        <v/>
      </c>
      <c r="N155" s="249">
        <f>[2]Consolidated!N155</f>
        <v/>
      </c>
    </row>
    <row r="156" ht="12.75" customHeight="1" s="150">
      <c r="C156" s="245" t="inlineStr">
        <is>
          <t>Travel costs</t>
        </is>
      </c>
      <c r="D156" s="254">
        <f>[2]Consolidated!D156</f>
        <v/>
      </c>
      <c r="E156" s="254">
        <f>[2]Consolidated!E156</f>
        <v/>
      </c>
      <c r="F156" s="254">
        <f>[2]Consolidated!F156</f>
        <v/>
      </c>
      <c r="G156" s="254">
        <f>[2]Consolidated!G156</f>
        <v/>
      </c>
      <c r="H156" s="254">
        <f>[2]Consolidated!H156</f>
        <v/>
      </c>
      <c r="I156" s="254">
        <f>[2]Consolidated!I156</f>
        <v/>
      </c>
      <c r="J156" s="256">
        <f>[2]Consolidated!J156</f>
        <v/>
      </c>
      <c r="K156" s="185" t="n"/>
      <c r="L156" s="256">
        <f>[2]Consolidated!L156</f>
        <v/>
      </c>
      <c r="M156" s="254">
        <f>[2]Consolidated!M156</f>
        <v/>
      </c>
      <c r="N156" s="249">
        <f>[2]Consolidated!N156</f>
        <v/>
      </c>
    </row>
    <row r="157" ht="12.75" customHeight="1" s="150">
      <c r="C157" s="245" t="inlineStr">
        <is>
          <t>Postal and freight charges</t>
        </is>
      </c>
      <c r="D157" s="254">
        <f>[2]Consolidated!D157</f>
        <v/>
      </c>
      <c r="E157" s="254">
        <f>[2]Consolidated!E157</f>
        <v/>
      </c>
      <c r="F157" s="254">
        <f>[2]Consolidated!F157</f>
        <v/>
      </c>
      <c r="G157" s="254">
        <f>[2]Consolidated!G157</f>
        <v/>
      </c>
      <c r="H157" s="254">
        <f>[2]Consolidated!H157</f>
        <v/>
      </c>
      <c r="I157" s="254">
        <f>[2]Consolidated!I157</f>
        <v/>
      </c>
      <c r="J157" s="256">
        <f>[2]Consolidated!J157</f>
        <v/>
      </c>
      <c r="K157" s="185" t="n"/>
      <c r="L157" s="256">
        <f>[2]Consolidated!L157</f>
        <v/>
      </c>
      <c r="M157" s="254">
        <f>[2]Consolidated!M157</f>
        <v/>
      </c>
      <c r="N157" s="249">
        <f>[2]Consolidated!N157</f>
        <v/>
      </c>
    </row>
    <row r="158" ht="12.75" customHeight="1" s="150">
      <c r="C158" s="245" t="inlineStr">
        <is>
          <t>Prof serv and ext advisory fee</t>
        </is>
      </c>
      <c r="D158" s="254">
        <f>[2]Consolidated!D158</f>
        <v/>
      </c>
      <c r="E158" s="254">
        <f>[2]Consolidated!E158</f>
        <v/>
      </c>
      <c r="F158" s="254">
        <f>[2]Consolidated!F158</f>
        <v/>
      </c>
      <c r="G158" s="254">
        <f>[2]Consolidated!G158</f>
        <v/>
      </c>
      <c r="H158" s="254">
        <f>[2]Consolidated!H158</f>
        <v/>
      </c>
      <c r="I158" s="254">
        <f>[2]Consolidated!I158</f>
        <v/>
      </c>
      <c r="J158" s="256">
        <f>[2]Consolidated!J158</f>
        <v/>
      </c>
      <c r="K158" s="185" t="n"/>
      <c r="L158" s="256">
        <f>[2]Consolidated!L158</f>
        <v/>
      </c>
      <c r="M158" s="254">
        <f>[2]Consolidated!M158</f>
        <v/>
      </c>
      <c r="N158" s="249">
        <f>[2]Consolidated!N158</f>
        <v/>
      </c>
    </row>
    <row r="159" ht="12.75" customHeight="1" s="150">
      <c r="C159" s="245" t="inlineStr">
        <is>
          <t>Payment transfer expenses</t>
        </is>
      </c>
      <c r="D159" s="254">
        <f>[2]Consolidated!D159</f>
        <v/>
      </c>
      <c r="E159" s="254">
        <f>[2]Consolidated!E159</f>
        <v/>
      </c>
      <c r="F159" s="254">
        <f>[2]Consolidated!F159</f>
        <v/>
      </c>
      <c r="G159" s="254">
        <f>[2]Consolidated!G159</f>
        <v/>
      </c>
      <c r="H159" s="254">
        <f>[2]Consolidated!H159</f>
        <v/>
      </c>
      <c r="I159" s="254">
        <f>[2]Consolidated!I159</f>
        <v/>
      </c>
      <c r="J159" s="256">
        <f>[2]Consolidated!J159</f>
        <v/>
      </c>
      <c r="K159" s="185" t="n"/>
      <c r="L159" s="256">
        <f>[2]Consolidated!L159</f>
        <v/>
      </c>
      <c r="M159" s="254">
        <f>[2]Consolidated!M159</f>
        <v/>
      </c>
      <c r="N159" s="249">
        <f>[2]Consolidated!N159</f>
        <v/>
      </c>
    </row>
    <row r="160" ht="12.75" customHeight="1" s="150">
      <c r="C160" s="245" t="inlineStr">
        <is>
          <t>Other costs</t>
        </is>
      </c>
      <c r="D160" s="254">
        <f>D161</f>
        <v/>
      </c>
      <c r="E160" s="254">
        <f>E161</f>
        <v/>
      </c>
      <c r="F160" s="254">
        <f>F161</f>
        <v/>
      </c>
      <c r="G160" s="254">
        <f>G161</f>
        <v/>
      </c>
      <c r="H160" s="254">
        <f>H161</f>
        <v/>
      </c>
      <c r="I160" s="254">
        <f>I161</f>
        <v/>
      </c>
      <c r="J160" s="256">
        <f>J161</f>
        <v/>
      </c>
      <c r="K160" s="185" t="n"/>
      <c r="L160" s="256">
        <f>L161</f>
        <v/>
      </c>
      <c r="M160" s="254">
        <f>M161</f>
        <v/>
      </c>
      <c r="N160" s="249">
        <f>N161</f>
        <v/>
      </c>
    </row>
    <row r="161" ht="13.5" customHeight="1" s="150">
      <c r="C161" s="250" t="inlineStr">
        <is>
          <t>General expenses</t>
        </is>
      </c>
      <c r="D161" s="258">
        <f>[2]Consolidated!D161</f>
        <v/>
      </c>
      <c r="E161" s="258">
        <f>[2]Consolidated!E161</f>
        <v/>
      </c>
      <c r="F161" s="258">
        <f>[2]Consolidated!F161</f>
        <v/>
      </c>
      <c r="G161" s="258">
        <f>[2]Consolidated!G161</f>
        <v/>
      </c>
      <c r="H161" s="258">
        <f>[2]Consolidated!H161</f>
        <v/>
      </c>
      <c r="I161" s="258">
        <f>[2]Consolidated!I161</f>
        <v/>
      </c>
      <c r="J161" s="253">
        <f>[2]Consolidated!J161</f>
        <v/>
      </c>
      <c r="K161" s="185" t="n"/>
      <c r="L161" s="253">
        <f>[2]Consolidated!L161</f>
        <v/>
      </c>
      <c r="M161" s="258">
        <f>[2]Consolidated!M161</f>
        <v/>
      </c>
      <c r="N161" s="253">
        <f>[2]Consolidated!N161</f>
        <v/>
      </c>
    </row>
    <row r="162" ht="12.75" customHeight="1" s="150">
      <c r="C162" s="245" t="inlineStr">
        <is>
          <t>Own expenses</t>
        </is>
      </c>
      <c r="D162" s="254">
        <f>[2]Consolidated!D162</f>
        <v/>
      </c>
      <c r="E162" s="254">
        <f>[2]Consolidated!E162</f>
        <v/>
      </c>
      <c r="F162" s="254">
        <f>[2]Consolidated!F162</f>
        <v/>
      </c>
      <c r="G162" s="254">
        <f>[2]Consolidated!G162</f>
        <v/>
      </c>
      <c r="H162" s="254">
        <f>[2]Consolidated!H162</f>
        <v/>
      </c>
      <c r="I162" s="254">
        <f>[2]Consolidated!I162</f>
        <v/>
      </c>
      <c r="J162" s="256">
        <f>[2]Consolidated!J162</f>
        <v/>
      </c>
      <c r="K162" s="185" t="n"/>
      <c r="L162" s="256">
        <f>[2]Consolidated!L162</f>
        <v/>
      </c>
      <c r="M162" s="254">
        <f>[2]Consolidated!M162</f>
        <v/>
      </c>
      <c r="N162" s="259">
        <f>[2]Consolidated!N162</f>
        <v/>
      </c>
    </row>
    <row r="163" ht="12.75" customHeight="1" s="150">
      <c r="C163" s="245" t="inlineStr">
        <is>
          <t>Other expenses</t>
        </is>
      </c>
      <c r="D163" s="254">
        <f>[2]Consolidated!D163</f>
        <v/>
      </c>
      <c r="E163" s="254">
        <f>[2]Consolidated!E163</f>
        <v/>
      </c>
      <c r="F163" s="254">
        <f>[2]Consolidated!F163</f>
        <v/>
      </c>
      <c r="G163" s="254">
        <f>[2]Consolidated!G163</f>
        <v/>
      </c>
      <c r="H163" s="254">
        <f>[2]Consolidated!H163</f>
        <v/>
      </c>
      <c r="I163" s="254">
        <f>[2]Consolidated!I163</f>
        <v/>
      </c>
      <c r="J163" s="256">
        <f>[2]Consolidated!J163</f>
        <v/>
      </c>
      <c r="K163" s="185" t="n"/>
      <c r="L163" s="256">
        <f>[2]Consolidated!L163</f>
        <v/>
      </c>
      <c r="M163" s="254">
        <f>[2]Consolidated!M163</f>
        <v/>
      </c>
      <c r="N163" s="249">
        <f>[2]Consolidated!N163</f>
        <v/>
      </c>
    </row>
    <row r="164" ht="13.5" customHeight="1" s="150">
      <c r="C164" s="250" t="inlineStr">
        <is>
          <t xml:space="preserve">Operating expenses </t>
        </is>
      </c>
      <c r="D164" s="258">
        <f>[2]Consolidated!D164</f>
        <v/>
      </c>
      <c r="E164" s="258">
        <f>[2]Consolidated!E164</f>
        <v/>
      </c>
      <c r="F164" s="258">
        <f>[2]Consolidated!F164</f>
        <v/>
      </c>
      <c r="G164" s="258">
        <f>[2]Consolidated!G164</f>
        <v/>
      </c>
      <c r="H164" s="258">
        <f>[2]Consolidated!H164</f>
        <v/>
      </c>
      <c r="I164" s="258">
        <f>[2]Consolidated!I164</f>
        <v/>
      </c>
      <c r="J164" s="253">
        <f>[2]Consolidated!J164</f>
        <v/>
      </c>
      <c r="K164" s="185" t="n"/>
      <c r="L164" s="253">
        <f>[2]Consolidated!L164</f>
        <v/>
      </c>
      <c r="M164" s="258">
        <f>[2]Consolidated!M164</f>
        <v/>
      </c>
      <c r="N164" s="253">
        <f>[2]Consolidated!N164</f>
        <v/>
      </c>
    </row>
    <row r="165" ht="12.75" customHeight="1" s="150">
      <c r="C165" s="245" t="n"/>
      <c r="D165" s="254" t="n"/>
      <c r="E165" s="254" t="n"/>
      <c r="F165" s="254" t="n"/>
      <c r="G165" s="254" t="n"/>
      <c r="H165" s="254" t="n"/>
      <c r="I165" s="254" t="n"/>
      <c r="J165" s="260" t="n"/>
      <c r="K165" s="185" t="n"/>
      <c r="L165" s="256" t="n"/>
      <c r="M165" s="254" t="n"/>
      <c r="N165" s="260" t="n"/>
    </row>
    <row r="166" ht="12.75" customHeight="1" s="150">
      <c r="C166" s="245" t="inlineStr">
        <is>
          <t>HR &amp; Comms</t>
        </is>
      </c>
      <c r="D166" s="254">
        <f>[2]Consolidated!D166</f>
        <v/>
      </c>
      <c r="E166" s="254">
        <f>[2]Consolidated!E166</f>
        <v/>
      </c>
      <c r="F166" s="254">
        <f>[2]Consolidated!F166</f>
        <v/>
      </c>
      <c r="G166" s="254">
        <f>[2]Consolidated!G166</f>
        <v/>
      </c>
      <c r="H166" s="254">
        <f>[2]Consolidated!H166</f>
        <v/>
      </c>
      <c r="I166" s="254">
        <f>[2]Consolidated!I166</f>
        <v/>
      </c>
      <c r="J166" s="256">
        <f>[2]Consolidated!J166</f>
        <v/>
      </c>
      <c r="K166" s="185" t="n"/>
      <c r="L166" s="256">
        <f>[2]Consolidated!L166</f>
        <v/>
      </c>
      <c r="M166" s="254">
        <f>[2]Consolidated!M166</f>
        <v/>
      </c>
      <c r="N166" s="249">
        <f>[2]Consolidated!N166</f>
        <v/>
      </c>
    </row>
    <row r="167" ht="12.75" customHeight="1" s="150">
      <c r="C167" s="245" t="inlineStr">
        <is>
          <t>Finance &amp; Business Support</t>
        </is>
      </c>
      <c r="D167" s="254">
        <f>[2]Consolidated!D167</f>
        <v/>
      </c>
      <c r="E167" s="254">
        <f>[2]Consolidated!E167</f>
        <v/>
      </c>
      <c r="F167" s="254">
        <f>[2]Consolidated!F167</f>
        <v/>
      </c>
      <c r="G167" s="254">
        <f>[2]Consolidated!G167</f>
        <v/>
      </c>
      <c r="H167" s="254">
        <f>[2]Consolidated!H167</f>
        <v/>
      </c>
      <c r="I167" s="254">
        <f>[2]Consolidated!I167</f>
        <v/>
      </c>
      <c r="J167" s="256">
        <f>[2]Consolidated!J167</f>
        <v/>
      </c>
      <c r="K167" s="185" t="n"/>
      <c r="L167" s="256">
        <f>[2]Consolidated!L167</f>
        <v/>
      </c>
      <c r="M167" s="254">
        <f>[2]Consolidated!M167</f>
        <v/>
      </c>
      <c r="N167" s="249">
        <f>[2]Consolidated!N167</f>
        <v/>
      </c>
    </row>
    <row r="168" ht="12.75" customHeight="1" s="150">
      <c r="C168" s="245" t="inlineStr">
        <is>
          <t>IT alloc</t>
        </is>
      </c>
      <c r="D168" s="254">
        <f>[2]Consolidated!D168</f>
        <v/>
      </c>
      <c r="E168" s="254">
        <f>[2]Consolidated!E168</f>
        <v/>
      </c>
      <c r="F168" s="254">
        <f>[2]Consolidated!F168</f>
        <v/>
      </c>
      <c r="G168" s="254">
        <f>[2]Consolidated!G168</f>
        <v/>
      </c>
      <c r="H168" s="254">
        <f>[2]Consolidated!H168</f>
        <v/>
      </c>
      <c r="I168" s="254">
        <f>[2]Consolidated!I168</f>
        <v/>
      </c>
      <c r="J168" s="256">
        <f>[2]Consolidated!J168</f>
        <v/>
      </c>
      <c r="K168" s="185" t="n"/>
      <c r="L168" s="256">
        <f>[2]Consolidated!L168</f>
        <v/>
      </c>
      <c r="M168" s="254">
        <f>[2]Consolidated!M168</f>
        <v/>
      </c>
      <c r="N168" s="249">
        <f>[2]Consolidated!N168</f>
        <v/>
      </c>
    </row>
    <row r="169" ht="12.75" customHeight="1" s="150">
      <c r="C169" s="245" t="inlineStr">
        <is>
          <t>Facilities Management</t>
        </is>
      </c>
      <c r="D169" s="254">
        <f>[2]Consolidated!D169</f>
        <v/>
      </c>
      <c r="E169" s="254">
        <f>[2]Consolidated!E169</f>
        <v/>
      </c>
      <c r="F169" s="254">
        <f>[2]Consolidated!F169</f>
        <v/>
      </c>
      <c r="G169" s="254">
        <f>[2]Consolidated!G169</f>
        <v/>
      </c>
      <c r="H169" s="254">
        <f>[2]Consolidated!H169</f>
        <v/>
      </c>
      <c r="I169" s="254">
        <f>[2]Consolidated!I169</f>
        <v/>
      </c>
      <c r="J169" s="256">
        <f>[2]Consolidated!J169</f>
        <v/>
      </c>
      <c r="K169" s="185" t="n"/>
      <c r="L169" s="256">
        <f>[2]Consolidated!L169</f>
        <v/>
      </c>
      <c r="M169" s="254">
        <f>[2]Consolidated!M169</f>
        <v/>
      </c>
      <c r="N169" s="249">
        <f>[2]Consolidated!N169</f>
        <v/>
      </c>
    </row>
    <row r="170" ht="13.5" customHeight="1" s="150">
      <c r="C170" s="250" t="inlineStr">
        <is>
          <t>Overheads</t>
        </is>
      </c>
      <c r="D170" s="258">
        <f>[2]Consolidated!D170</f>
        <v/>
      </c>
      <c r="E170" s="258">
        <f>[2]Consolidated!E170</f>
        <v/>
      </c>
      <c r="F170" s="258">
        <f>[2]Consolidated!F170</f>
        <v/>
      </c>
      <c r="G170" s="258">
        <f>[2]Consolidated!G170</f>
        <v/>
      </c>
      <c r="H170" s="258">
        <f>[2]Consolidated!H170</f>
        <v/>
      </c>
      <c r="I170" s="258">
        <f>[2]Consolidated!I170</f>
        <v/>
      </c>
      <c r="J170" s="253">
        <f>[2]Consolidated!J170</f>
        <v/>
      </c>
      <c r="K170" s="185" t="n"/>
      <c r="L170" s="253">
        <f>[2]Consolidated!L170</f>
        <v/>
      </c>
      <c r="M170" s="258">
        <f>[2]Consolidated!M170</f>
        <v/>
      </c>
      <c r="N170" s="253">
        <f>[2]Consolidated!N170</f>
        <v/>
      </c>
    </row>
    <row r="171" ht="12.75" customHeight="1" s="150">
      <c r="C171" s="245" t="n"/>
      <c r="D171" s="254" t="n"/>
      <c r="E171" s="254" t="n"/>
      <c r="F171" s="254" t="n"/>
      <c r="G171" s="254" t="n"/>
      <c r="H171" s="254" t="n"/>
      <c r="I171" s="254" t="n"/>
      <c r="J171" s="260" t="n"/>
      <c r="K171" s="185" t="n"/>
      <c r="L171" s="256" t="n"/>
      <c r="M171" s="254" t="n"/>
      <c r="N171" s="260" t="n"/>
    </row>
    <row r="172" ht="13.5" customHeight="1" s="150">
      <c r="C172" s="250" t="inlineStr">
        <is>
          <t>Total Operating Costs (incl. O/H)</t>
        </is>
      </c>
      <c r="D172" s="258">
        <f>[2]Consolidated!D172</f>
        <v/>
      </c>
      <c r="E172" s="258">
        <f>[2]Consolidated!E172</f>
        <v/>
      </c>
      <c r="F172" s="258">
        <f>[2]Consolidated!F172</f>
        <v/>
      </c>
      <c r="G172" s="258">
        <f>[2]Consolidated!G172</f>
        <v/>
      </c>
      <c r="H172" s="258">
        <f>[2]Consolidated!H172</f>
        <v/>
      </c>
      <c r="I172" s="258">
        <f>[2]Consolidated!I172</f>
        <v/>
      </c>
      <c r="J172" s="253">
        <f>[2]Consolidated!J172</f>
        <v/>
      </c>
      <c r="K172" s="185" t="n"/>
      <c r="L172" s="253">
        <f>[2]Consolidated!L172</f>
        <v/>
      </c>
      <c r="M172" s="258">
        <f>[2]Consolidated!M172</f>
        <v/>
      </c>
      <c r="N172" s="253">
        <f>[2]Consolidated!N172</f>
        <v/>
      </c>
    </row>
  </sheetData>
  <printOptions horizontalCentered="0" verticalCentered="0" headings="0" gridLines="0" gridLinesSet="1"/>
  <pageMargins left="0.747916666666667" right="0.747916666666667" top="0.9840277777777779" bottom="0.9840277777777779"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tabColor rgb="FF00FFFF"/>
    <outlinePr summaryBelow="1" summaryRight="1"/>
    <pageSetUpPr fitToPage="0"/>
  </sheetPr>
  <dimension ref="A1:Q172"/>
  <sheetViews>
    <sheetView showFormulas="0" showGridLines="1" showRowColHeaders="1" showZeros="1" rightToLeft="0" tabSelected="0" showOutlineSymbols="1" defaultGridColor="1" view="normal" topLeftCell="B7" colorId="64" zoomScale="100" zoomScaleNormal="100" zoomScalePageLayoutView="100" workbookViewId="0">
      <selection pane="topLeft" activeCell="D7" activeCellId="0" sqref="D7"/>
    </sheetView>
  </sheetViews>
  <sheetFormatPr baseColWidth="8" defaultColWidth="9.13671875" defaultRowHeight="12.75" customHeight="1" zeroHeight="0" outlineLevelRow="0"/>
  <cols>
    <col hidden="1" width="26.13" customWidth="1" style="158" min="1" max="1"/>
    <col width="6.28" customWidth="1" style="158" min="2" max="2"/>
    <col width="27.56" customWidth="1" style="149" min="3" max="3"/>
    <col width="11.99" customWidth="1" style="149" min="4" max="7"/>
    <col width="12.85" customWidth="1" style="149" min="8" max="8"/>
    <col width="14.41" customWidth="1" style="149" min="9" max="9"/>
    <col width="11.99" customWidth="1" style="159" min="10" max="10"/>
    <col width="3.28" customWidth="1" style="160" min="11" max="11"/>
    <col width="12.85" customWidth="1" style="149" min="12" max="12"/>
    <col width="14.41" customWidth="1" style="149" min="13" max="13"/>
    <col width="13.56" customWidth="1" style="149" min="14" max="14"/>
    <col width="9.140000000000001" customWidth="1" style="149" min="15" max="257"/>
  </cols>
  <sheetData>
    <row r="1" ht="33" customHeight="1" s="150">
      <c r="C1" s="161" t="inlineStr">
        <is>
          <t>France</t>
        </is>
      </c>
    </row>
    <row r="2" ht="48.75" customHeight="1" s="150">
      <c r="C2" s="162" t="inlineStr">
        <is>
          <t>TOTAL COSTS 
(US$ excl. VAT)</t>
        </is>
      </c>
      <c r="D2" s="163">
        <f>[3]Consolidated!D2</f>
        <v/>
      </c>
      <c r="E2" s="163">
        <f>[3]Consolidated!E2</f>
        <v/>
      </c>
      <c r="F2" s="163">
        <f>[3]Consolidated!F2</f>
        <v/>
      </c>
      <c r="G2" s="163">
        <f>[3]Consolidated!G2</f>
        <v/>
      </c>
      <c r="H2" s="163">
        <f>[3]Consolidated!H2</f>
        <v/>
      </c>
      <c r="I2" s="163">
        <f>[3]Consolidated!I2</f>
        <v/>
      </c>
      <c r="J2" s="164">
        <f>[3]Consolidated!J2</f>
        <v/>
      </c>
      <c r="K2" s="165" t="n"/>
      <c r="L2" s="163">
        <f>[3]Consolidated!L2</f>
        <v/>
      </c>
      <c r="M2" s="166">
        <f>[3]Consolidated!M2</f>
        <v/>
      </c>
      <c r="N2" s="163">
        <f>[3]Consolidated!N2</f>
        <v/>
      </c>
    </row>
    <row r="3" ht="12.75" customHeight="1" s="150">
      <c r="A3" s="158" t="n"/>
      <c r="B3" s="158" t="n"/>
      <c r="C3" s="167" t="inlineStr">
        <is>
          <t>Internal FTE</t>
        </is>
      </c>
      <c r="D3" s="182">
        <f>[3]Consolidated!D3</f>
        <v/>
      </c>
      <c r="E3" s="182">
        <f>[3]Consolidated!E3</f>
        <v/>
      </c>
      <c r="F3" s="182">
        <f>[3]Consolidated!F3</f>
        <v/>
      </c>
      <c r="G3" s="182">
        <f>[3]Consolidated!G3</f>
        <v/>
      </c>
      <c r="H3" s="182">
        <f>[3]Consolidated!H3</f>
        <v/>
      </c>
      <c r="I3" s="182">
        <f>[3]Consolidated!I3</f>
        <v/>
      </c>
      <c r="J3" s="293" t="n"/>
      <c r="K3" s="185" t="n"/>
      <c r="L3" s="186">
        <f>[3]Consolidated!L3</f>
        <v/>
      </c>
      <c r="M3" s="182">
        <f>[3]Consolidated!M3</f>
        <v/>
      </c>
      <c r="N3" s="173">
        <f>[3]Consolidated!N3</f>
        <v/>
      </c>
    </row>
    <row r="4" ht="12.75" customHeight="1" s="150">
      <c r="A4" s="158" t="n"/>
      <c r="B4" s="158" t="n"/>
      <c r="C4" s="167" t="inlineStr">
        <is>
          <t>External FTE</t>
        </is>
      </c>
      <c r="D4" s="182">
        <f>[3]Consolidated!D4</f>
        <v/>
      </c>
      <c r="E4" s="182">
        <f>[3]Consolidated!E4</f>
        <v/>
      </c>
      <c r="F4" s="182">
        <f>[3]Consolidated!F4</f>
        <v/>
      </c>
      <c r="G4" s="182">
        <f>[3]Consolidated!G4</f>
        <v/>
      </c>
      <c r="H4" s="182">
        <f>[3]Consolidated!H4</f>
        <v/>
      </c>
      <c r="I4" s="183">
        <f>[3]Consolidated!I4</f>
        <v/>
      </c>
      <c r="J4" s="294" t="n"/>
      <c r="K4" s="185" t="n"/>
      <c r="L4" s="186">
        <f>[3]Consolidated!L4</f>
        <v/>
      </c>
      <c r="M4" s="182">
        <f>[3]Consolidated!M4</f>
        <v/>
      </c>
      <c r="N4" s="173">
        <f>[3]Consolidated!N4</f>
        <v/>
      </c>
    </row>
    <row r="5" ht="13.5" customHeight="1" s="150">
      <c r="A5" s="176" t="n"/>
      <c r="B5" s="176" t="n"/>
      <c r="C5" s="177" t="inlineStr">
        <is>
          <t>Total FTE</t>
        </is>
      </c>
      <c r="D5" s="188">
        <f>[3]Consolidated!D5</f>
        <v/>
      </c>
      <c r="E5" s="188">
        <f>[3]Consolidated!E5</f>
        <v/>
      </c>
      <c r="F5" s="188">
        <f>[3]Consolidated!F5</f>
        <v/>
      </c>
      <c r="G5" s="188">
        <f>[3]Consolidated!G5</f>
        <v/>
      </c>
      <c r="H5" s="188">
        <f>[3]Consolidated!H5</f>
        <v/>
      </c>
      <c r="I5" s="189">
        <f>[3]Consolidated!I5</f>
        <v/>
      </c>
      <c r="J5" s="295" t="n"/>
      <c r="K5" s="185" t="n"/>
      <c r="L5" s="181">
        <f>[3]Consolidated!L5</f>
        <v/>
      </c>
      <c r="M5" s="188">
        <f>[3]Consolidated!M5</f>
        <v/>
      </c>
      <c r="N5" s="181">
        <f>[3]Consolidated!N5</f>
        <v/>
      </c>
    </row>
    <row r="6" ht="12.75" customHeight="1" s="150">
      <c r="A6" s="158" t="n"/>
      <c r="B6" s="158" t="n"/>
      <c r="C6" s="167" t="n"/>
      <c r="D6" s="182" t="n"/>
      <c r="E6" s="182" t="n"/>
      <c r="F6" s="182" t="n"/>
      <c r="G6" s="182" t="n"/>
      <c r="H6" s="182" t="n"/>
      <c r="I6" s="183" t="n"/>
      <c r="J6" s="184" t="n"/>
      <c r="K6" s="185" t="n"/>
      <c r="L6" s="186" t="n"/>
      <c r="M6" s="182" t="n"/>
      <c r="N6" s="173" t="n"/>
    </row>
    <row r="7" ht="12.75" customHeight="1" s="150">
      <c r="A7" s="158" t="n"/>
      <c r="B7" s="158" t="n"/>
      <c r="C7" s="167" t="inlineStr">
        <is>
          <t>Salaries</t>
        </is>
      </c>
      <c r="D7" s="182">
        <f>(([3]Consolidated!D7)*1000)*(1/0.79941)</f>
        <v/>
      </c>
      <c r="E7" s="182">
        <f>(([3]Consolidated!E7)*1000)*(1/0.79941)</f>
        <v/>
      </c>
      <c r="F7" s="182">
        <f>(([3]Consolidated!F7)*1000)*(1/0.79941)</f>
        <v/>
      </c>
      <c r="G7" s="182">
        <f>(([3]Consolidated!G7)*1000)*(1/0.79941)</f>
        <v/>
      </c>
      <c r="H7" s="182">
        <f>(([3]Consolidated!H7)*1000)*(1/0.79941)</f>
        <v/>
      </c>
      <c r="I7" s="183">
        <f>(([3]Consolidated!I7)*1000)*(1/0.79941)</f>
        <v/>
      </c>
      <c r="J7" s="183">
        <f>(([3]Consolidated!J7)*1000)*(1/0.79941)</f>
        <v/>
      </c>
      <c r="K7" s="185" t="n"/>
      <c r="L7" s="186">
        <f>(([3]Consolidated!L7)*1000)*(1/0.79941)</f>
        <v/>
      </c>
      <c r="M7" s="182">
        <f>(([3]Consolidated!M7)*1000)*(1/0.79941)</f>
        <v/>
      </c>
      <c r="N7" s="173">
        <f>(([3]Consolidated!N7)*1000)*(1/0.79941)</f>
        <v/>
      </c>
      <c r="P7" s="149" t="n">
        <v>1000</v>
      </c>
    </row>
    <row r="8" ht="12.75" customHeight="1" s="150">
      <c r="A8" s="158" t="n"/>
      <c r="B8" s="158" t="n"/>
      <c r="C8" s="167" t="inlineStr">
        <is>
          <t>Bonuses</t>
        </is>
      </c>
      <c r="D8" s="182">
        <f>(([3]Consolidated!D8)*1000)*(1/0.79941)</f>
        <v/>
      </c>
      <c r="E8" s="182">
        <f>(([3]Consolidated!E8)*1000)*(1/0.79941)</f>
        <v/>
      </c>
      <c r="F8" s="182">
        <f>(([3]Consolidated!F8)*1000)*(1/0.79941)</f>
        <v/>
      </c>
      <c r="G8" s="182">
        <f>(([3]Consolidated!G8)*1000)*(1/0.79941)</f>
        <v/>
      </c>
      <c r="H8" s="182">
        <f>(([3]Consolidated!H8)*1000)*(1/0.79941)</f>
        <v/>
      </c>
      <c r="I8" s="183">
        <f>(([3]Consolidated!I8)*1000)*(1/0.79941)</f>
        <v/>
      </c>
      <c r="J8" s="183">
        <f>(([3]Consolidated!J8)*1000)*(1/0.79941)</f>
        <v/>
      </c>
      <c r="K8" s="185" t="n"/>
      <c r="L8" s="186">
        <f>(([3]Consolidated!L8)*1000)*(1/0.79941)</f>
        <v/>
      </c>
      <c r="M8" s="182">
        <f>(([3]Consolidated!M8)*1000)*(1/0.79941)</f>
        <v/>
      </c>
      <c r="N8" s="173">
        <f>(([3]Consolidated!N8)*1000)*(1/0.79941)</f>
        <v/>
      </c>
      <c r="P8" s="149">
        <f>1/0.79941</f>
        <v/>
      </c>
      <c r="Q8" s="149" t="inlineStr">
        <is>
          <t>Euro to Dollar Rate</t>
        </is>
      </c>
    </row>
    <row r="9" ht="12.75" customHeight="1" s="150">
      <c r="A9" s="158" t="n"/>
      <c r="B9" s="158" t="n"/>
      <c r="C9" s="167" t="inlineStr">
        <is>
          <t>Third party staff, ex IT</t>
        </is>
      </c>
      <c r="D9" s="182">
        <f>(([3]Consolidated!D9)*1000)*(1/0.79941)</f>
        <v/>
      </c>
      <c r="E9" s="182">
        <f>(([3]Consolidated!E9)*1000)*(1/0.79941)</f>
        <v/>
      </c>
      <c r="F9" s="182">
        <f>(([3]Consolidated!F9)*1000)*(1/0.79941)</f>
        <v/>
      </c>
      <c r="G9" s="182">
        <f>(([3]Consolidated!G9)*1000)*(1/0.79941)</f>
        <v/>
      </c>
      <c r="H9" s="182">
        <f>(([3]Consolidated!H9)*1000)*(1/0.79941)</f>
        <v/>
      </c>
      <c r="I9" s="183">
        <f>(([3]Consolidated!I9)*1000)*(1/0.79941)</f>
        <v/>
      </c>
      <c r="J9" s="183">
        <f>(([3]Consolidated!J9)*1000)*(1/0.79941)</f>
        <v/>
      </c>
      <c r="K9" s="185" t="n"/>
      <c r="L9" s="186">
        <f>(([3]Consolidated!L9)*1000)*(1/0.79941)</f>
        <v/>
      </c>
      <c r="M9" s="182">
        <f>(([3]Consolidated!M9)*1000)*(1/0.79941)</f>
        <v/>
      </c>
      <c r="N9" s="173">
        <f>(([3]Consolidated!N9)*1000)*(1/0.79941)</f>
        <v/>
      </c>
    </row>
    <row r="10" ht="12.75" customHeight="1" s="150">
      <c r="A10" s="158" t="n"/>
      <c r="B10" s="158" t="n"/>
      <c r="C10" s="167" t="inlineStr">
        <is>
          <t>Third party IT staff</t>
        </is>
      </c>
      <c r="D10" s="182">
        <f>(([3]Consolidated!D10)*1000)*(1/0.79941)</f>
        <v/>
      </c>
      <c r="E10" s="182">
        <f>(([3]Consolidated!E10)*1000)*(1/0.79941)</f>
        <v/>
      </c>
      <c r="F10" s="182">
        <f>(([3]Consolidated!F10)*1000)*(1/0.79941)</f>
        <v/>
      </c>
      <c r="G10" s="182">
        <f>(([3]Consolidated!G10)*1000)*(1/0.79941)</f>
        <v/>
      </c>
      <c r="H10" s="182">
        <f>(([3]Consolidated!H10)*1000)*(1/0.79941)</f>
        <v/>
      </c>
      <c r="I10" s="183">
        <f>(([3]Consolidated!I10)*1000)*(1/0.79941)</f>
        <v/>
      </c>
      <c r="J10" s="183">
        <f>(([3]Consolidated!J10)*1000)*(1/0.79941)</f>
        <v/>
      </c>
      <c r="K10" s="185" t="n"/>
      <c r="L10" s="186">
        <f>(([3]Consolidated!L10)*1000)*(1/0.79941)</f>
        <v/>
      </c>
      <c r="M10" s="182">
        <f>(([3]Consolidated!M10)*1000)*(1/0.79941)</f>
        <v/>
      </c>
      <c r="N10" s="173">
        <f>(([3]Consolidated!N10)*1000)*(1/0.79941)</f>
        <v/>
      </c>
    </row>
    <row r="11" ht="12.75" customHeight="1" s="150">
      <c r="A11" s="158" t="n"/>
      <c r="B11" s="158" t="n"/>
      <c r="C11" s="167" t="inlineStr">
        <is>
          <t>Employee education</t>
        </is>
      </c>
      <c r="D11" s="182">
        <f>(([3]Consolidated!D11)*1000)*(1/0.79941)</f>
        <v/>
      </c>
      <c r="E11" s="182">
        <f>(([3]Consolidated!E11)*1000)*(1/0.79941)</f>
        <v/>
      </c>
      <c r="F11" s="182">
        <f>(([3]Consolidated!F11)*1000)*(1/0.79941)</f>
        <v/>
      </c>
      <c r="G11" s="182">
        <f>(([3]Consolidated!G11)*1000)*(1/0.79941)</f>
        <v/>
      </c>
      <c r="H11" s="182">
        <f>(([3]Consolidated!H11)*1000)*(1/0.79941)</f>
        <v/>
      </c>
      <c r="I11" s="183">
        <f>(([3]Consolidated!I11)*1000)*(1/0.79941)</f>
        <v/>
      </c>
      <c r="J11" s="183">
        <f>(([3]Consolidated!J11)*1000)*(1/0.79941)</f>
        <v/>
      </c>
      <c r="K11" s="185" t="n"/>
      <c r="L11" s="186">
        <f>(([3]Consolidated!L11)*1000)*(1/0.79941)</f>
        <v/>
      </c>
      <c r="M11" s="182">
        <f>(([3]Consolidated!M11)*1000)*(1/0.79941)</f>
        <v/>
      </c>
      <c r="N11" s="173">
        <f>(([3]Consolidated!N11)*1000)*(1/0.79941)</f>
        <v/>
      </c>
    </row>
    <row r="12" ht="12.75" customHeight="1" s="150">
      <c r="A12" s="158" t="n"/>
      <c r="B12" s="158" t="n"/>
      <c r="C12" s="167" t="inlineStr">
        <is>
          <t>Other staff expenses</t>
        </is>
      </c>
      <c r="D12" s="182">
        <f>(([3]Consolidated!D12)*1000)*(1/0.79941)</f>
        <v/>
      </c>
      <c r="E12" s="182">
        <f>(([3]Consolidated!E12)*1000)*(1/0.79941)</f>
        <v/>
      </c>
      <c r="F12" s="182">
        <f>(([3]Consolidated!F12)*1000)*(1/0.79941)</f>
        <v/>
      </c>
      <c r="G12" s="182">
        <f>(([3]Consolidated!G12)*1000)*(1/0.79941)</f>
        <v/>
      </c>
      <c r="H12" s="182">
        <f>(([3]Consolidated!H12)*1000)*(1/0.79941)</f>
        <v/>
      </c>
      <c r="I12" s="187">
        <f>(([3]Consolidated!I12)*1000)*(1/0.79941)</f>
        <v/>
      </c>
      <c r="J12" s="187">
        <f>(([3]Consolidated!J12)*1000)*(1/0.79941)</f>
        <v/>
      </c>
      <c r="K12" s="185" t="n"/>
      <c r="L12" s="186">
        <f>(([3]Consolidated!L12)*1000)*(1/0.79941)</f>
        <v/>
      </c>
      <c r="M12" s="182">
        <f>(([3]Consolidated!M12)*1000)*(1/0.79941)</f>
        <v/>
      </c>
      <c r="N12" s="173">
        <f>(([3]Consolidated!N12)*1000)*(1/0.79941)</f>
        <v/>
      </c>
    </row>
    <row r="13" ht="13.5" customHeight="1" s="150">
      <c r="A13" s="176" t="n"/>
      <c r="B13" s="176" t="n"/>
      <c r="C13" s="177" t="inlineStr">
        <is>
          <t>Staff expenses</t>
        </is>
      </c>
      <c r="D13" s="188">
        <f>(([3]Consolidated!D13)*1000)*(1/0.79941)</f>
        <v/>
      </c>
      <c r="E13" s="188">
        <f>(([3]Consolidated!E13)*1000)*(1/0.79941)</f>
        <v/>
      </c>
      <c r="F13" s="188">
        <f>(([3]Consolidated!F13)*1000)*(1/0.79941)</f>
        <v/>
      </c>
      <c r="G13" s="188">
        <f>(([3]Consolidated!G13)*1000)*(1/0.79941)</f>
        <v/>
      </c>
      <c r="H13" s="188">
        <f>(([3]Consolidated!H13)*1000)*(1/0.79941)</f>
        <v/>
      </c>
      <c r="I13" s="189">
        <f>(([3]Consolidated!I13)*1000)*(1/0.79941)</f>
        <v/>
      </c>
      <c r="J13" s="189">
        <f>(([3]Consolidated!J13)*1000)*(1/0.79941)</f>
        <v/>
      </c>
      <c r="K13" s="185" t="n"/>
      <c r="L13" s="181">
        <f>(([3]Consolidated!L13)*1000)*(1/0.79941)</f>
        <v/>
      </c>
      <c r="M13" s="188">
        <f>(([3]Consolidated!M13)*1000)*(1/0.79941)</f>
        <v/>
      </c>
      <c r="N13" s="181">
        <f>(([3]Consolidated!N13)*1000)*(1/0.79941)</f>
        <v/>
      </c>
    </row>
    <row r="14" ht="12.75" customHeight="1" s="150">
      <c r="A14" s="158" t="n"/>
      <c r="B14" s="158" t="n"/>
      <c r="C14" s="167" t="inlineStr">
        <is>
          <t>Hardware expenses</t>
        </is>
      </c>
      <c r="D14" s="182">
        <f>(([3]Consolidated!D14)*1000)*(1/0.79941)</f>
        <v/>
      </c>
      <c r="E14" s="182">
        <f>(([3]Consolidated!E14)*1000)*(1/0.79941)</f>
        <v/>
      </c>
      <c r="F14" s="182">
        <f>(([3]Consolidated!F14)*1000)*(1/0.79941)</f>
        <v/>
      </c>
      <c r="G14" s="182">
        <f>(([3]Consolidated!G14)*1000)*(1/0.79941)</f>
        <v/>
      </c>
      <c r="H14" s="182">
        <f>(([3]Consolidated!H14)*1000)*(1/0.79941)</f>
        <v/>
      </c>
      <c r="I14" s="183">
        <f>(([3]Consolidated!I14)*1000)*(1/0.79941)</f>
        <v/>
      </c>
      <c r="J14" s="183">
        <f>(([3]Consolidated!J14)*1000)*(1/0.79941)</f>
        <v/>
      </c>
      <c r="K14" s="185" t="n"/>
      <c r="L14" s="186">
        <f>(([3]Consolidated!L14)*1000)*(1/0.79941)</f>
        <v/>
      </c>
      <c r="M14" s="182">
        <f>(([3]Consolidated!M14)*1000)*(1/0.79941)</f>
        <v/>
      </c>
      <c r="N14" s="173">
        <f>(([3]Consolidated!N14)*1000)*(1/0.79941)</f>
        <v/>
      </c>
    </row>
    <row r="15" ht="12.75" customHeight="1" s="150">
      <c r="A15" s="158" t="n"/>
      <c r="B15" s="158" t="n"/>
      <c r="C15" s="167" t="inlineStr">
        <is>
          <t>Leasing/renting hardware</t>
        </is>
      </c>
      <c r="D15" s="182">
        <f>(([3]Consolidated!D15)*1000)*(1/0.79941)</f>
        <v/>
      </c>
      <c r="E15" s="182">
        <f>(([3]Consolidated!E15)*1000)*(1/0.79941)</f>
        <v/>
      </c>
      <c r="F15" s="182">
        <f>(([3]Consolidated!F15)*1000)*(1/0.79941)</f>
        <v/>
      </c>
      <c r="G15" s="182">
        <f>(([3]Consolidated!G15)*1000)*(1/0.79941)</f>
        <v/>
      </c>
      <c r="H15" s="182">
        <f>(([3]Consolidated!H15)*1000)*(1/0.79941)</f>
        <v/>
      </c>
      <c r="I15" s="183">
        <f>(([3]Consolidated!I15)*1000)*(1/0.79941)</f>
        <v/>
      </c>
      <c r="J15" s="183">
        <f>(([3]Consolidated!J15)*1000)*(1/0.79941)</f>
        <v/>
      </c>
      <c r="K15" s="185" t="n"/>
      <c r="L15" s="186">
        <f>(([3]Consolidated!L15)*1000)*(1/0.79941)</f>
        <v/>
      </c>
      <c r="M15" s="182">
        <f>(([3]Consolidated!M15)*1000)*(1/0.79941)</f>
        <v/>
      </c>
      <c r="N15" s="173">
        <f>(([3]Consolidated!N15)*1000)*(1/0.79941)</f>
        <v/>
      </c>
    </row>
    <row r="16" ht="12.75" customHeight="1" s="150">
      <c r="A16" s="158" t="n"/>
      <c r="B16" s="158" t="n"/>
      <c r="C16" s="167" t="inlineStr">
        <is>
          <t>Software expenses</t>
        </is>
      </c>
      <c r="D16" s="182">
        <f>(([3]Consolidated!D16)*1000)*(1/0.79941)</f>
        <v/>
      </c>
      <c r="E16" s="182">
        <f>(([3]Consolidated!E16)*1000)*(1/0.79941)</f>
        <v/>
      </c>
      <c r="F16" s="182">
        <f>(([3]Consolidated!F16)*1000)*(1/0.79941)</f>
        <v/>
      </c>
      <c r="G16" s="182">
        <f>(([3]Consolidated!G16)*1000)*(1/0.79941)</f>
        <v/>
      </c>
      <c r="H16" s="182">
        <f>(([3]Consolidated!H16)*1000)*(1/0.79941)</f>
        <v/>
      </c>
      <c r="I16" s="183">
        <f>(([3]Consolidated!I16)*1000)*(1/0.79941)</f>
        <v/>
      </c>
      <c r="J16" s="183">
        <f>(([3]Consolidated!J16)*1000)*(1/0.79941)</f>
        <v/>
      </c>
      <c r="K16" s="185" t="n"/>
      <c r="L16" s="186">
        <f>(([3]Consolidated!L16)*1000)*(1/0.79941)</f>
        <v/>
      </c>
      <c r="M16" s="182">
        <f>(([3]Consolidated!M16)*1000)*(1/0.79941)</f>
        <v/>
      </c>
      <c r="N16" s="173">
        <f>(([3]Consolidated!N16)*1000)*(1/0.79941)</f>
        <v/>
      </c>
    </row>
    <row r="17" ht="12.75" customHeight="1" s="150">
      <c r="A17" s="158" t="n"/>
      <c r="B17" s="158" t="n"/>
      <c r="C17" s="167" t="inlineStr">
        <is>
          <t>Leasing/renting/licenses sw</t>
        </is>
      </c>
      <c r="D17" s="182">
        <f>(([3]Consolidated!D17)*1000)*(1/0.79941)</f>
        <v/>
      </c>
      <c r="E17" s="182">
        <f>(([3]Consolidated!E17)*1000)*(1/0.79941)</f>
        <v/>
      </c>
      <c r="F17" s="182">
        <f>(([3]Consolidated!F17)*1000)*(1/0.79941)</f>
        <v/>
      </c>
      <c r="G17" s="182">
        <f>(([3]Consolidated!G17)*1000)*(1/0.79941)</f>
        <v/>
      </c>
      <c r="H17" s="182">
        <f>(([3]Consolidated!H17)*1000)*(1/0.79941)</f>
        <v/>
      </c>
      <c r="I17" s="183">
        <f>(([3]Consolidated!I17)*1000)*(1/0.79941)</f>
        <v/>
      </c>
      <c r="J17" s="183">
        <f>(([3]Consolidated!J17)*1000)*(1/0.79941)</f>
        <v/>
      </c>
      <c r="K17" s="185" t="n"/>
      <c r="L17" s="186">
        <f>(([3]Consolidated!L17)*1000)*(1/0.79941)</f>
        <v/>
      </c>
      <c r="M17" s="182">
        <f>(([3]Consolidated!M17)*1000)*(1/0.79941)</f>
        <v/>
      </c>
      <c r="N17" s="173">
        <f>(([3]Consolidated!N17)*1000)*(1/0.79941)</f>
        <v/>
      </c>
    </row>
    <row r="18" ht="12.75" customHeight="1" s="150">
      <c r="A18" s="158" t="n"/>
      <c r="B18" s="158" t="n"/>
      <c r="C18" s="167" t="inlineStr">
        <is>
          <t>Depreciation hardware</t>
        </is>
      </c>
      <c r="D18" s="182">
        <f>(([3]Consolidated!D18)*1000)*(1/0.79941)</f>
        <v/>
      </c>
      <c r="E18" s="182">
        <f>(([3]Consolidated!E18)*1000)*(1/0.79941)</f>
        <v/>
      </c>
      <c r="F18" s="182">
        <f>(([3]Consolidated!F18)*1000)*(1/0.79941)</f>
        <v/>
      </c>
      <c r="G18" s="182">
        <f>(([3]Consolidated!G18)*1000)*(1/0.79941)</f>
        <v/>
      </c>
      <c r="H18" s="182">
        <f>(([3]Consolidated!H18)*1000)*(1/0.79941)</f>
        <v/>
      </c>
      <c r="I18" s="183">
        <f>(([3]Consolidated!I18)*1000)*(1/0.79941)</f>
        <v/>
      </c>
      <c r="J18" s="183">
        <f>(([3]Consolidated!J18)*1000)*(1/0.79941)</f>
        <v/>
      </c>
      <c r="K18" s="185" t="n"/>
      <c r="L18" s="186">
        <f>(([3]Consolidated!L18)*1000)*(1/0.79941)</f>
        <v/>
      </c>
      <c r="M18" s="182">
        <f>(([3]Consolidated!M18)*1000)*(1/0.79941)</f>
        <v/>
      </c>
      <c r="N18" s="173">
        <f>(([3]Consolidated!N18)*1000)*(1/0.79941)</f>
        <v/>
      </c>
    </row>
    <row r="19" ht="12.75" customHeight="1" s="150">
      <c r="A19" s="158" t="n"/>
      <c r="B19" s="158" t="n"/>
      <c r="C19" s="167" t="inlineStr">
        <is>
          <t>Depreciation software</t>
        </is>
      </c>
      <c r="D19" s="182">
        <f>(([3]Consolidated!D19)*1000)*(1/0.79941)</f>
        <v/>
      </c>
      <c r="E19" s="182">
        <f>(([3]Consolidated!E19)*1000)*(1/0.79941)</f>
        <v/>
      </c>
      <c r="F19" s="182">
        <f>(([3]Consolidated!F19)*1000)*(1/0.79941)</f>
        <v/>
      </c>
      <c r="G19" s="182">
        <f>(([3]Consolidated!G19)*1000)*(1/0.79941)</f>
        <v/>
      </c>
      <c r="H19" s="182">
        <f>(([3]Consolidated!H19)*1000)*(1/0.79941)</f>
        <v/>
      </c>
      <c r="I19" s="183">
        <f>(([3]Consolidated!I19)*1000)*(1/0.79941)</f>
        <v/>
      </c>
      <c r="J19" s="183">
        <f>(([3]Consolidated!J19)*1000)*(1/0.79941)</f>
        <v/>
      </c>
      <c r="K19" s="185" t="n"/>
      <c r="L19" s="186">
        <f>(([3]Consolidated!L19)*1000)*(1/0.79941)</f>
        <v/>
      </c>
      <c r="M19" s="182">
        <f>(([3]Consolidated!M19)*1000)*(1/0.79941)</f>
        <v/>
      </c>
      <c r="N19" s="173">
        <f>(([3]Consolidated!N19)*1000)*(1/0.79941)</f>
        <v/>
      </c>
    </row>
    <row r="20" ht="12.75" customHeight="1" s="150">
      <c r="A20" s="158" t="n"/>
      <c r="B20" s="158" t="n"/>
      <c r="C20" s="167" t="inlineStr">
        <is>
          <t>Outsourcing IT activities</t>
        </is>
      </c>
      <c r="D20" s="182">
        <f>(([3]Consolidated!D20)*1000)*(1/0.79941)</f>
        <v/>
      </c>
      <c r="E20" s="182">
        <f>(([3]Consolidated!E20)*1000)*(1/0.79941)</f>
        <v/>
      </c>
      <c r="F20" s="182">
        <f>(([3]Consolidated!F20)*1000)*(1/0.79941)</f>
        <v/>
      </c>
      <c r="G20" s="182">
        <f>(([3]Consolidated!G20)*1000)*(1/0.79941)</f>
        <v/>
      </c>
      <c r="H20" s="182">
        <f>(([3]Consolidated!H20)*1000)*(1/0.79941)</f>
        <v/>
      </c>
      <c r="I20" s="183">
        <f>(([3]Consolidated!I20)*1000)*(1/0.79941)</f>
        <v/>
      </c>
      <c r="J20" s="183">
        <f>(([3]Consolidated!J20)*1000)*(1/0.79941)</f>
        <v/>
      </c>
      <c r="K20" s="185" t="n"/>
      <c r="L20" s="186">
        <f>(([3]Consolidated!L20)*1000)*(1/0.79941)</f>
        <v/>
      </c>
      <c r="M20" s="182">
        <f>(([3]Consolidated!M20)*1000)*(1/0.79941)</f>
        <v/>
      </c>
      <c r="N20" s="173">
        <f>(([3]Consolidated!N20)*1000)*(1/0.79941)</f>
        <v/>
      </c>
    </row>
    <row r="21" ht="12.75" customHeight="1" s="150">
      <c r="A21" s="158" t="n"/>
      <c r="B21" s="158" t="n"/>
      <c r="C21" s="167" t="inlineStr">
        <is>
          <t>Other IT expenses</t>
        </is>
      </c>
      <c r="D21" s="182">
        <f>(([3]Consolidated!D21)*1000)*(1/0.79941)</f>
        <v/>
      </c>
      <c r="E21" s="182">
        <f>(([3]Consolidated!E21)*1000)*(1/0.79941)</f>
        <v/>
      </c>
      <c r="F21" s="182">
        <f>(([3]Consolidated!F21)*1000)*(1/0.79941)</f>
        <v/>
      </c>
      <c r="G21" s="182">
        <f>(([3]Consolidated!G21)*1000)*(1/0.79941)</f>
        <v/>
      </c>
      <c r="H21" s="182">
        <f>(([3]Consolidated!H21)*1000)*(1/0.79941)</f>
        <v/>
      </c>
      <c r="I21" s="183">
        <f>(([3]Consolidated!I21)*1000)*(1/0.79941)</f>
        <v/>
      </c>
      <c r="J21" s="183">
        <f>(([3]Consolidated!J21)*1000)*(1/0.79941)</f>
        <v/>
      </c>
      <c r="K21" s="185" t="n"/>
      <c r="L21" s="186">
        <f>(([3]Consolidated!L21)*1000)*(1/0.79941)</f>
        <v/>
      </c>
      <c r="M21" s="182">
        <f>(([3]Consolidated!M21)*1000)*(1/0.79941)</f>
        <v/>
      </c>
      <c r="N21" s="173">
        <f>(([3]Consolidated!N21)*1000)*(1/0.79941)</f>
        <v/>
      </c>
    </row>
    <row r="22" ht="13.5" customHeight="1" s="150">
      <c r="A22" s="176" t="n"/>
      <c r="B22" s="176" t="n"/>
      <c r="C22" s="177" t="inlineStr">
        <is>
          <t>EDP expenses</t>
        </is>
      </c>
      <c r="D22" s="188">
        <f>(([3]Consolidated!D22)*1000)*(1/0.79941)</f>
        <v/>
      </c>
      <c r="E22" s="188">
        <f>(([3]Consolidated!E22)*1000)*(1/0.79941)</f>
        <v/>
      </c>
      <c r="F22" s="188">
        <f>(([3]Consolidated!F22)*1000)*(1/0.79941)</f>
        <v/>
      </c>
      <c r="G22" s="188">
        <f>(([3]Consolidated!G22)*1000)*(1/0.79941)</f>
        <v/>
      </c>
      <c r="H22" s="188">
        <f>(([3]Consolidated!H22)*1000)*(1/0.79941)</f>
        <v/>
      </c>
      <c r="I22" s="189">
        <f>(([3]Consolidated!I22)*1000)*(1/0.79941)</f>
        <v/>
      </c>
      <c r="J22" s="189">
        <f>(([3]Consolidated!J22)*1000)*(1/0.79941)</f>
        <v/>
      </c>
      <c r="K22" s="185" t="n"/>
      <c r="L22" s="181">
        <f>(([3]Consolidated!L22)*1000)*(1/0.79941)</f>
        <v/>
      </c>
      <c r="M22" s="188">
        <f>(([3]Consolidated!M22)*1000)*(1/0.79941)</f>
        <v/>
      </c>
      <c r="N22" s="181">
        <f>(([3]Consolidated!N22)*1000)*(1/0.79941)</f>
        <v/>
      </c>
    </row>
    <row r="23" ht="12.75" customHeight="1" s="150">
      <c r="A23" s="158" t="n"/>
      <c r="B23" s="158" t="n"/>
      <c r="C23" s="167" t="inlineStr">
        <is>
          <t>Telecom expenses</t>
        </is>
      </c>
      <c r="D23" s="182">
        <f>(([3]Consolidated!D23)*1000)*(1/0.79941)</f>
        <v/>
      </c>
      <c r="E23" s="182">
        <f>(([3]Consolidated!E23)*1000)*(1/0.79941)</f>
        <v/>
      </c>
      <c r="F23" s="182">
        <f>(([3]Consolidated!F23)*1000)*(1/0.79941)</f>
        <v/>
      </c>
      <c r="G23" s="182">
        <f>(([3]Consolidated!G23)*1000)*(1/0.79941)</f>
        <v/>
      </c>
      <c r="H23" s="182">
        <f>(([3]Consolidated!H23)*1000)*(1/0.79941)</f>
        <v/>
      </c>
      <c r="I23" s="183">
        <f>(([3]Consolidated!I23)*1000)*(1/0.79941)</f>
        <v/>
      </c>
      <c r="J23" s="183">
        <f>(([3]Consolidated!J23)*1000)*(1/0.79941)</f>
        <v/>
      </c>
      <c r="K23" s="185" t="n"/>
      <c r="L23" s="186">
        <f>(([3]Consolidated!L23)*1000)*(1/0.79941)</f>
        <v/>
      </c>
      <c r="M23" s="182">
        <f>(([3]Consolidated!M23)*1000)*(1/0.79941)</f>
        <v/>
      </c>
      <c r="N23" s="173">
        <f>(([3]Consolidated!N23)*1000)*(1/0.79941)</f>
        <v/>
      </c>
    </row>
    <row r="24" ht="12.75" customHeight="1" s="150">
      <c r="A24" s="158" t="n"/>
      <c r="B24" s="158" t="n"/>
      <c r="C24" s="167" t="inlineStr">
        <is>
          <t>Office equipment and supplies</t>
        </is>
      </c>
      <c r="D24" s="182">
        <f>(([3]Consolidated!D24)*1000)*(1/0.79941)</f>
        <v/>
      </c>
      <c r="E24" s="182">
        <f>(([3]Consolidated!E24)*1000)*(1/0.79941)</f>
        <v/>
      </c>
      <c r="F24" s="182">
        <f>(([3]Consolidated!F24)*1000)*(1/0.79941)</f>
        <v/>
      </c>
      <c r="G24" s="182">
        <f>(([3]Consolidated!G24)*1000)*(1/0.79941)</f>
        <v/>
      </c>
      <c r="H24" s="182">
        <f>(([3]Consolidated!H24)*1000)*(1/0.79941)</f>
        <v/>
      </c>
      <c r="I24" s="183">
        <f>(([3]Consolidated!I24)*1000)*(1/0.79941)</f>
        <v/>
      </c>
      <c r="J24" s="183">
        <f>(([3]Consolidated!J24)*1000)*(1/0.79941)</f>
        <v/>
      </c>
      <c r="K24" s="185" t="n"/>
      <c r="L24" s="186">
        <f>(([3]Consolidated!L24)*1000)*(1/0.79941)</f>
        <v/>
      </c>
      <c r="M24" s="182">
        <f>(([3]Consolidated!M24)*1000)*(1/0.79941)</f>
        <v/>
      </c>
      <c r="N24" s="173">
        <f>(([3]Consolidated!N24)*1000)*(1/0.79941)</f>
        <v/>
      </c>
    </row>
    <row r="25" ht="12.75" customHeight="1" s="150">
      <c r="A25" s="158" t="n"/>
      <c r="B25" s="158" t="n"/>
      <c r="C25" s="167" t="inlineStr">
        <is>
          <t>Accomodation expenses</t>
        </is>
      </c>
      <c r="D25" s="182">
        <f>(([3]Consolidated!D25)*1000)*(1/0.79941)</f>
        <v/>
      </c>
      <c r="E25" s="182">
        <f>(([3]Consolidated!E25)*1000)*(1/0.79941)</f>
        <v/>
      </c>
      <c r="F25" s="182">
        <f>(([3]Consolidated!F25)*1000)*(1/0.79941)</f>
        <v/>
      </c>
      <c r="G25" s="182">
        <f>(([3]Consolidated!G25)*1000)*(1/0.79941)</f>
        <v/>
      </c>
      <c r="H25" s="182">
        <f>(([3]Consolidated!H25)*1000)*(1/0.79941)</f>
        <v/>
      </c>
      <c r="I25" s="183">
        <f>(([3]Consolidated!I25)*1000)*(1/0.79941)</f>
        <v/>
      </c>
      <c r="J25" s="183">
        <f>(([3]Consolidated!J25)*1000)*(1/0.79941)</f>
        <v/>
      </c>
      <c r="K25" s="185" t="n"/>
      <c r="L25" s="186">
        <f>(([3]Consolidated!L25)*1000)*(1/0.79941)</f>
        <v/>
      </c>
      <c r="M25" s="182">
        <f>(([3]Consolidated!M25)*1000)*(1/0.79941)</f>
        <v/>
      </c>
      <c r="N25" s="173">
        <f>(([3]Consolidated!N25)*1000)*(1/0.79941)</f>
        <v/>
      </c>
    </row>
    <row r="26" ht="12.75" customHeight="1" s="150">
      <c r="A26" s="158" t="n"/>
      <c r="B26" s="158" t="n"/>
      <c r="C26" s="167" t="inlineStr">
        <is>
          <t>Travel costs</t>
        </is>
      </c>
      <c r="D26" s="182">
        <f>(([3]Consolidated!D26)*1000)*(1/0.79941)</f>
        <v/>
      </c>
      <c r="E26" s="182">
        <f>(([3]Consolidated!E26)*1000)*(1/0.79941)</f>
        <v/>
      </c>
      <c r="F26" s="182">
        <f>(([3]Consolidated!F26)*1000)*(1/0.79941)</f>
        <v/>
      </c>
      <c r="G26" s="182">
        <f>(([3]Consolidated!G26)*1000)*(1/0.79941)</f>
        <v/>
      </c>
      <c r="H26" s="182">
        <f>(([3]Consolidated!H26)*1000)*(1/0.79941)</f>
        <v/>
      </c>
      <c r="I26" s="183">
        <f>(([3]Consolidated!I26)*1000)*(1/0.79941)</f>
        <v/>
      </c>
      <c r="J26" s="183">
        <f>(([3]Consolidated!J26)*1000)*(1/0.79941)</f>
        <v/>
      </c>
      <c r="K26" s="185" t="n"/>
      <c r="L26" s="186">
        <f>(([3]Consolidated!L26)*1000)*(1/0.79941)</f>
        <v/>
      </c>
      <c r="M26" s="182">
        <f>(([3]Consolidated!M26)*1000)*(1/0.79941)</f>
        <v/>
      </c>
      <c r="N26" s="173">
        <f>(([3]Consolidated!N26)*1000)*(1/0.79941)</f>
        <v/>
      </c>
    </row>
    <row r="27" ht="12.75" customHeight="1" s="150">
      <c r="A27" s="158" t="n"/>
      <c r="B27" s="158" t="n"/>
      <c r="C27" s="167" t="inlineStr">
        <is>
          <t>Postal and freight charges</t>
        </is>
      </c>
      <c r="D27" s="182">
        <f>(([3]Consolidated!D27)*1000)*(1/0.79941)</f>
        <v/>
      </c>
      <c r="E27" s="182">
        <f>(([3]Consolidated!E27)*1000)*(1/0.79941)</f>
        <v/>
      </c>
      <c r="F27" s="182">
        <f>(([3]Consolidated!F27)*1000)*(1/0.79941)</f>
        <v/>
      </c>
      <c r="G27" s="182">
        <f>(([3]Consolidated!G27)*1000)*(1/0.79941)</f>
        <v/>
      </c>
      <c r="H27" s="182">
        <f>(([3]Consolidated!H27)*1000)*(1/0.79941)</f>
        <v/>
      </c>
      <c r="I27" s="183">
        <f>(([3]Consolidated!I27)*1000)*(1/0.79941)</f>
        <v/>
      </c>
      <c r="J27" s="183">
        <f>(([3]Consolidated!J27)*1000)*(1/0.79941)</f>
        <v/>
      </c>
      <c r="K27" s="185" t="n"/>
      <c r="L27" s="186">
        <f>(([3]Consolidated!L27)*1000)*(1/0.79941)</f>
        <v/>
      </c>
      <c r="M27" s="182">
        <f>(([3]Consolidated!M27)*1000)*(1/0.79941)</f>
        <v/>
      </c>
      <c r="N27" s="173">
        <f>(([3]Consolidated!N27)*1000)*(1/0.79941)</f>
        <v/>
      </c>
    </row>
    <row r="28" ht="12.75" customHeight="1" s="150">
      <c r="A28" s="158" t="n"/>
      <c r="B28" s="158" t="n"/>
      <c r="C28" s="167" t="inlineStr">
        <is>
          <t>Prof serv and ext advisory fee</t>
        </is>
      </c>
      <c r="D28" s="182">
        <f>(([3]Consolidated!D28)*1000)*(1/0.79941)</f>
        <v/>
      </c>
      <c r="E28" s="182">
        <f>(([3]Consolidated!E28)*1000)*(1/0.79941)</f>
        <v/>
      </c>
      <c r="F28" s="182">
        <f>(([3]Consolidated!F28)*1000)*(1/0.79941)</f>
        <v/>
      </c>
      <c r="G28" s="182">
        <f>(([3]Consolidated!G28)*1000)*(1/0.79941)</f>
        <v/>
      </c>
      <c r="H28" s="182">
        <f>(([3]Consolidated!H28)*1000)*(1/0.79941)</f>
        <v/>
      </c>
      <c r="I28" s="183">
        <f>(([3]Consolidated!I28)*1000)*(1/0.79941)</f>
        <v/>
      </c>
      <c r="J28" s="183">
        <f>(([3]Consolidated!J28)*1000)*(1/0.79941)</f>
        <v/>
      </c>
      <c r="K28" s="185" t="n"/>
      <c r="L28" s="186">
        <f>(([3]Consolidated!L28)*1000)*(1/0.79941)</f>
        <v/>
      </c>
      <c r="M28" s="182">
        <f>(([3]Consolidated!M28)*1000)*(1/0.79941)</f>
        <v/>
      </c>
      <c r="N28" s="173">
        <f>(([3]Consolidated!N28)*1000)*(1/0.79941)</f>
        <v/>
      </c>
    </row>
    <row r="29" ht="12.75" customHeight="1" s="150">
      <c r="A29" s="158" t="n"/>
      <c r="B29" s="158" t="n"/>
      <c r="C29" s="167" t="inlineStr">
        <is>
          <t>Payment transfer expenses</t>
        </is>
      </c>
      <c r="D29" s="182">
        <f>(([3]Consolidated!D29)*1000)*(1/0.79941)</f>
        <v/>
      </c>
      <c r="E29" s="182">
        <f>(([3]Consolidated!E29)*1000)*(1/0.79941)</f>
        <v/>
      </c>
      <c r="F29" s="182">
        <f>(([3]Consolidated!F29)*1000)*(1/0.79941)</f>
        <v/>
      </c>
      <c r="G29" s="182">
        <f>(([3]Consolidated!G29)*1000)*(1/0.79941)</f>
        <v/>
      </c>
      <c r="H29" s="182">
        <f>(([3]Consolidated!H29)*1000)*(1/0.79941)</f>
        <v/>
      </c>
      <c r="I29" s="183">
        <f>(([3]Consolidated!I29)*1000)*(1/0.79941)</f>
        <v/>
      </c>
      <c r="J29" s="183">
        <f>(([3]Consolidated!J29)*1000)*(1/0.79941)</f>
        <v/>
      </c>
      <c r="K29" s="185" t="n"/>
      <c r="L29" s="186">
        <f>(([3]Consolidated!L29)*1000)*(1/0.79941)</f>
        <v/>
      </c>
      <c r="M29" s="182">
        <f>(([3]Consolidated!M29)*1000)*(1/0.79941)</f>
        <v/>
      </c>
      <c r="N29" s="173">
        <f>(([3]Consolidated!N29)*1000)*(1/0.79941)</f>
        <v/>
      </c>
    </row>
    <row r="30" ht="12.75" customHeight="1" s="150">
      <c r="A30" s="158" t="n"/>
      <c r="B30" s="158" t="n"/>
      <c r="C30" s="167" t="inlineStr">
        <is>
          <t>Other costs</t>
        </is>
      </c>
      <c r="D30" s="182">
        <f>(([3]Consolidated!D30)*1000)*(1/0.79941)</f>
        <v/>
      </c>
      <c r="E30" s="182">
        <f>(([3]Consolidated!E30)*1000)*(1/0.79941)</f>
        <v/>
      </c>
      <c r="F30" s="182">
        <f>(([3]Consolidated!F30)*1000)*(1/0.79941)</f>
        <v/>
      </c>
      <c r="G30" s="182">
        <f>(([3]Consolidated!G30)*1000)*(1/0.79941)</f>
        <v/>
      </c>
      <c r="H30" s="182">
        <f>(([3]Consolidated!H30)*1000)*(1/0.79941)</f>
        <v/>
      </c>
      <c r="I30" s="183">
        <f>(([3]Consolidated!I30)*1000)*(1/0.79941)</f>
        <v/>
      </c>
      <c r="J30" s="183">
        <f>(([3]Consolidated!J30)*1000)*(1/0.79941)</f>
        <v/>
      </c>
      <c r="K30" s="185" t="n"/>
      <c r="L30" s="186">
        <f>(([3]Consolidated!L30)*1000)*(1/0.79941)</f>
        <v/>
      </c>
      <c r="M30" s="182">
        <f>(([3]Consolidated!M30)*1000)*(1/0.79941)</f>
        <v/>
      </c>
      <c r="N30" s="173">
        <f>(([3]Consolidated!N30)*1000)*(1/0.79941)</f>
        <v/>
      </c>
    </row>
    <row r="31" ht="13.5" customHeight="1" s="150">
      <c r="A31" s="176" t="n"/>
      <c r="B31" s="176" t="n"/>
      <c r="C31" s="177" t="inlineStr">
        <is>
          <t>General expenses</t>
        </is>
      </c>
      <c r="D31" s="188">
        <f>(([3]Consolidated!D31)*1000)*(1/0.79941)</f>
        <v/>
      </c>
      <c r="E31" s="188">
        <f>(([3]Consolidated!E31)*1000)*(1/0.79941)</f>
        <v/>
      </c>
      <c r="F31" s="188">
        <f>(([3]Consolidated!F31)*1000)*(1/0.79941)</f>
        <v/>
      </c>
      <c r="G31" s="188">
        <f>(([3]Consolidated!G31)*1000)*(1/0.79941)</f>
        <v/>
      </c>
      <c r="H31" s="188">
        <f>(([3]Consolidated!H31)*1000)*(1/0.79941)</f>
        <v/>
      </c>
      <c r="I31" s="189">
        <f>(([3]Consolidated!I31)*1000)*(1/0.79941)</f>
        <v/>
      </c>
      <c r="J31" s="189">
        <f>(([3]Consolidated!J31)*1000)*(1/0.79941)</f>
        <v/>
      </c>
      <c r="K31" s="185" t="n"/>
      <c r="L31" s="181">
        <f>(([3]Consolidated!L31)*1000)*(1/0.79941)</f>
        <v/>
      </c>
      <c r="M31" s="188">
        <f>(([3]Consolidated!M31)*1000)*(1/0.79941)</f>
        <v/>
      </c>
      <c r="N31" s="181">
        <f>(([3]Consolidated!N31)*1000)*(1/0.79941)</f>
        <v/>
      </c>
    </row>
    <row r="32" ht="12.75" customHeight="1" s="150">
      <c r="A32" s="158" t="n"/>
      <c r="B32" s="158" t="n"/>
      <c r="C32" s="167" t="inlineStr">
        <is>
          <t>Own expenses</t>
        </is>
      </c>
      <c r="D32" s="182">
        <f>(([3]Consolidated!D32)*1000)*(1/0.79941)</f>
        <v/>
      </c>
      <c r="E32" s="182">
        <f>(([3]Consolidated!E32)*1000)*(1/0.79941)</f>
        <v/>
      </c>
      <c r="F32" s="182">
        <f>(([3]Consolidated!F32)*1000)*(1/0.79941)</f>
        <v/>
      </c>
      <c r="G32" s="182">
        <f>(([3]Consolidated!G32)*1000)*(1/0.79941)</f>
        <v/>
      </c>
      <c r="H32" s="182">
        <f>(([3]Consolidated!H32)*1000)*(1/0.79941)</f>
        <v/>
      </c>
      <c r="I32" s="183">
        <f>(([3]Consolidated!I32)*1000)*(1/0.79941)</f>
        <v/>
      </c>
      <c r="J32" s="183">
        <f>(([3]Consolidated!J32)*1000)*(1/0.79941)</f>
        <v/>
      </c>
      <c r="K32" s="185" t="n"/>
      <c r="L32" s="186">
        <f>(([3]Consolidated!L32)*1000)*(1/0.79941)</f>
        <v/>
      </c>
      <c r="M32" s="182">
        <f>(([3]Consolidated!M32)*1000)*(1/0.79941)</f>
        <v/>
      </c>
      <c r="N32" s="190">
        <f>(([3]Consolidated!N32)*1000)*(1/0.79941)</f>
        <v/>
      </c>
    </row>
    <row r="33" ht="12.75" customHeight="1" s="150">
      <c r="A33" s="158" t="n"/>
      <c r="B33" s="158" t="n"/>
      <c r="C33" s="167" t="inlineStr">
        <is>
          <t>Other expenses</t>
        </is>
      </c>
      <c r="D33" s="182">
        <f>(([3]Consolidated!D33)*1000)*(1/0.79941)</f>
        <v/>
      </c>
      <c r="E33" s="182">
        <f>(([3]Consolidated!E33)*1000)*(1/0.79941)</f>
        <v/>
      </c>
      <c r="F33" s="182">
        <f>(([3]Consolidated!F33)*1000)*(1/0.79941)</f>
        <v/>
      </c>
      <c r="G33" s="182">
        <f>(([3]Consolidated!G33)*1000)*(1/0.79941)</f>
        <v/>
      </c>
      <c r="H33" s="182">
        <f>(([3]Consolidated!H33)*1000)*(1/0.79941)</f>
        <v/>
      </c>
      <c r="I33" s="183">
        <f>(([3]Consolidated!I33)*1000)*(1/0.79941)</f>
        <v/>
      </c>
      <c r="J33" s="183">
        <f>(([3]Consolidated!J33)*1000)*(1/0.79941)</f>
        <v/>
      </c>
      <c r="K33" s="185" t="n"/>
      <c r="L33" s="186">
        <f>(([3]Consolidated!L33)*1000)*(1/0.79941)</f>
        <v/>
      </c>
      <c r="M33" s="182">
        <f>(([3]Consolidated!M33)*1000)*(1/0.79941)</f>
        <v/>
      </c>
      <c r="N33" s="173">
        <f>(([3]Consolidated!N33)*1000)*(1/0.79941)</f>
        <v/>
      </c>
    </row>
    <row r="34" ht="13.5" customHeight="1" s="150">
      <c r="A34" s="176" t="n"/>
      <c r="B34" s="176" t="n"/>
      <c r="C34" s="177" t="inlineStr">
        <is>
          <t>Operating expenses</t>
        </is>
      </c>
      <c r="D34" s="188">
        <f>(([3]Consolidated!D34)*1000)*(1/0.79941)</f>
        <v/>
      </c>
      <c r="E34" s="188">
        <f>(([3]Consolidated!E34)*1000)*(1/0.79941)</f>
        <v/>
      </c>
      <c r="F34" s="188">
        <f>(([3]Consolidated!F34)*1000)*(1/0.79941)</f>
        <v/>
      </c>
      <c r="G34" s="188">
        <f>(([3]Consolidated!G34)*1000)*(1/0.79941)</f>
        <v/>
      </c>
      <c r="H34" s="188">
        <f>(([3]Consolidated!H34)*1000)*(1/0.79941)</f>
        <v/>
      </c>
      <c r="I34" s="189">
        <f>(([3]Consolidated!I34)*1000)*(1/0.79941)</f>
        <v/>
      </c>
      <c r="J34" s="189">
        <f>(([3]Consolidated!J34)*1000)*(1/0.79941)</f>
        <v/>
      </c>
      <c r="K34" s="185" t="n"/>
      <c r="L34" s="181">
        <f>(([3]Consolidated!L34)*1000)*(1/0.79941)</f>
        <v/>
      </c>
      <c r="M34" s="188">
        <f>(([3]Consolidated!M34)*1000)*(1/0.79941)</f>
        <v/>
      </c>
      <c r="N34" s="181">
        <f>(([3]Consolidated!N34)*1000)*(1/0.79941)</f>
        <v/>
      </c>
    </row>
    <row r="35" ht="12.75" customHeight="1" s="150">
      <c r="A35" s="158" t="n"/>
      <c r="B35" s="158" t="n"/>
      <c r="C35" s="167" t="n"/>
      <c r="D35" s="182">
        <f>0*(1/0.79941)</f>
        <v/>
      </c>
      <c r="E35" s="182">
        <f>0*(1/0.79941)</f>
        <v/>
      </c>
      <c r="F35" s="182">
        <f>0*(1/0.79941)</f>
        <v/>
      </c>
      <c r="G35" s="182">
        <f>0*(1/0.79941)</f>
        <v/>
      </c>
      <c r="H35" s="182">
        <f>0*(1/0.79941)</f>
        <v/>
      </c>
      <c r="I35" s="183">
        <f>0*(1/0.79941)</f>
        <v/>
      </c>
      <c r="J35" s="191">
        <f>0*(1/0.79941)</f>
        <v/>
      </c>
      <c r="K35" s="185" t="n"/>
      <c r="L35" s="186">
        <f>0*(1/0.79941)</f>
        <v/>
      </c>
      <c r="M35" s="182">
        <f>0*(1/0.79941)</f>
        <v/>
      </c>
      <c r="N35" s="192">
        <f>0*(1/0.79941)</f>
        <v/>
      </c>
    </row>
    <row r="36" ht="12.75" customHeight="1" s="150">
      <c r="A36" s="158" t="n"/>
      <c r="B36" s="158" t="n"/>
      <c r="C36" s="167" t="inlineStr">
        <is>
          <t>HR &amp; Comms</t>
        </is>
      </c>
      <c r="D36" s="182">
        <f>(([3]Consolidated!D36)*1000)*(1/0.79941)</f>
        <v/>
      </c>
      <c r="E36" s="182">
        <f>(([3]Consolidated!E36)*1000)*(1/0.79941)</f>
        <v/>
      </c>
      <c r="F36" s="182">
        <f>(([3]Consolidated!F36)*1000)*(1/0.79941)</f>
        <v/>
      </c>
      <c r="G36" s="182">
        <f>(([3]Consolidated!G36)*1000)*(1/0.79941)</f>
        <v/>
      </c>
      <c r="H36" s="182">
        <f>(([3]Consolidated!H36)*1000)*(1/0.79941)</f>
        <v/>
      </c>
      <c r="I36" s="183">
        <f>(([3]Consolidated!I36)*1000)*(1/0.79941)</f>
        <v/>
      </c>
      <c r="J36" s="183">
        <f>(([3]Consolidated!J36)*1000)*(1/0.79941)</f>
        <v/>
      </c>
      <c r="K36" s="185" t="n"/>
      <c r="L36" s="186">
        <f>(([3]Consolidated!L36)*1000)*(1/0.79941)</f>
        <v/>
      </c>
      <c r="M36" s="182">
        <f>(([3]Consolidated!M36)*1000)*(1/0.79941)</f>
        <v/>
      </c>
      <c r="N36" s="173">
        <f>(([3]Consolidated!N36)*1000)*(1/0.79941)</f>
        <v/>
      </c>
    </row>
    <row r="37" ht="12.75" customHeight="1" s="150">
      <c r="A37" s="158" t="n"/>
      <c r="B37" s="158" t="n"/>
      <c r="C37" s="167" t="inlineStr">
        <is>
          <t>Finance &amp; Business Support</t>
        </is>
      </c>
      <c r="D37" s="182">
        <f>(([3]Consolidated!D37)*1000)*(1/0.79941)</f>
        <v/>
      </c>
      <c r="E37" s="182">
        <f>(([3]Consolidated!E37)*1000)*(1/0.79941)</f>
        <v/>
      </c>
      <c r="F37" s="182">
        <f>(([3]Consolidated!F37)*1000)*(1/0.79941)</f>
        <v/>
      </c>
      <c r="G37" s="182">
        <f>(([3]Consolidated!G37)*1000)*(1/0.79941)</f>
        <v/>
      </c>
      <c r="H37" s="182">
        <f>(([3]Consolidated!H37)*1000)*(1/0.79941)</f>
        <v/>
      </c>
      <c r="I37" s="183">
        <f>(([3]Consolidated!I37)*1000)*(1/0.79941)</f>
        <v/>
      </c>
      <c r="J37" s="183">
        <f>(([3]Consolidated!J37)*1000)*(1/0.79941)</f>
        <v/>
      </c>
      <c r="K37" s="185" t="n"/>
      <c r="L37" s="186">
        <f>(([3]Consolidated!L37)*1000)*(1/0.79941)</f>
        <v/>
      </c>
      <c r="M37" s="182">
        <f>(([3]Consolidated!M37)*1000)*(1/0.79941)</f>
        <v/>
      </c>
      <c r="N37" s="173">
        <f>(([3]Consolidated!N37)*1000)*(1/0.79941)</f>
        <v/>
      </c>
    </row>
    <row r="38" ht="12.75" customHeight="1" s="150">
      <c r="A38" s="158" t="n"/>
      <c r="B38" s="158" t="n"/>
      <c r="C38" s="167" t="inlineStr">
        <is>
          <t>IT alloc</t>
        </is>
      </c>
      <c r="D38" s="182">
        <f>(([3]Consolidated!D38)*1000)*(1/0.79941)</f>
        <v/>
      </c>
      <c r="E38" s="182">
        <f>(([3]Consolidated!E38)*1000)*(1/0.79941)</f>
        <v/>
      </c>
      <c r="F38" s="182">
        <f>(([3]Consolidated!F38)*1000)*(1/0.79941)</f>
        <v/>
      </c>
      <c r="G38" s="182">
        <f>(([3]Consolidated!G38)*1000)*(1/0.79941)</f>
        <v/>
      </c>
      <c r="H38" s="182">
        <f>(([3]Consolidated!H38)*1000)*(1/0.79941)</f>
        <v/>
      </c>
      <c r="I38" s="183">
        <f>(([3]Consolidated!I38)*1000)*(1/0.79941)</f>
        <v/>
      </c>
      <c r="J38" s="183">
        <f>(([3]Consolidated!J38)*1000)*(1/0.79941)</f>
        <v/>
      </c>
      <c r="K38" s="185" t="n"/>
      <c r="L38" s="186">
        <f>(([3]Consolidated!L38)*1000)*(1/0.79941)</f>
        <v/>
      </c>
      <c r="M38" s="182">
        <f>(([3]Consolidated!M38)*1000)*(1/0.79941)</f>
        <v/>
      </c>
      <c r="N38" s="173">
        <f>(([3]Consolidated!N38)*1000)*(1/0.79941)</f>
        <v/>
      </c>
    </row>
    <row r="39" ht="12.75" customHeight="1" s="150">
      <c r="A39" s="158" t="n"/>
      <c r="B39" s="158" t="n"/>
      <c r="C39" s="167" t="inlineStr">
        <is>
          <t>Facilities Management</t>
        </is>
      </c>
      <c r="D39" s="182">
        <f>(([3]Consolidated!D39)*1000)*(1/0.79941)</f>
        <v/>
      </c>
      <c r="E39" s="182">
        <f>(([3]Consolidated!E39)*1000)*(1/0.79941)</f>
        <v/>
      </c>
      <c r="F39" s="182">
        <f>(([3]Consolidated!F39)*1000)*(1/0.79941)</f>
        <v/>
      </c>
      <c r="G39" s="182">
        <f>(([3]Consolidated!G39)*1000)*(1/0.79941)</f>
        <v/>
      </c>
      <c r="H39" s="182">
        <f>(([3]Consolidated!H39)*1000)*(1/0.79941)</f>
        <v/>
      </c>
      <c r="I39" s="183">
        <f>(([3]Consolidated!I39)*1000)*(1/0.79941)</f>
        <v/>
      </c>
      <c r="J39" s="183">
        <f>(([3]Consolidated!J39)*1000)*(1/0.79941)</f>
        <v/>
      </c>
      <c r="K39" s="185" t="n"/>
      <c r="L39" s="186">
        <f>(([3]Consolidated!L39)*1000)*(1/0.79941)</f>
        <v/>
      </c>
      <c r="M39" s="182">
        <f>(([3]Consolidated!M39)*1000)*(1/0.79941)</f>
        <v/>
      </c>
      <c r="N39" s="173">
        <f>(([3]Consolidated!N39)*1000)*(1/0.79941)</f>
        <v/>
      </c>
    </row>
    <row r="40" ht="13.5" customHeight="1" s="150">
      <c r="A40" s="176" t="n"/>
      <c r="B40" s="176" t="n"/>
      <c r="C40" s="177" t="inlineStr">
        <is>
          <t>Overheads</t>
        </is>
      </c>
      <c r="D40" s="188">
        <f>(([3]Consolidated!D40)*1000)*(1/0.79941)</f>
        <v/>
      </c>
      <c r="E40" s="188">
        <f>(([3]Consolidated!E40)*1000)*(1/0.79941)</f>
        <v/>
      </c>
      <c r="F40" s="188">
        <f>(([3]Consolidated!F40)*1000)*(1/0.79941)</f>
        <v/>
      </c>
      <c r="G40" s="188">
        <f>(([3]Consolidated!G40)*1000)*(1/0.79941)</f>
        <v/>
      </c>
      <c r="H40" s="188">
        <f>(([3]Consolidated!H40)*1000)*(1/0.79941)</f>
        <v/>
      </c>
      <c r="I40" s="189">
        <f>(([3]Consolidated!I40)*1000)*(1/0.79941)</f>
        <v/>
      </c>
      <c r="J40" s="189">
        <f>(([3]Consolidated!J40)*1000)*(1/0.79941)</f>
        <v/>
      </c>
      <c r="K40" s="185" t="n"/>
      <c r="L40" s="181">
        <f>(([3]Consolidated!L40)*1000)*(1/0.79941)</f>
        <v/>
      </c>
      <c r="M40" s="188">
        <f>(([3]Consolidated!M40)*1000)*(1/0.79941)</f>
        <v/>
      </c>
      <c r="N40" s="181">
        <f>(([3]Consolidated!N40)*1000)*(1/0.79941)</f>
        <v/>
      </c>
    </row>
    <row r="41" ht="12.75" customHeight="1" s="150">
      <c r="A41" s="158" t="n"/>
      <c r="B41" s="158" t="n"/>
      <c r="C41" s="167" t="n">
        <v>0</v>
      </c>
      <c r="D41" s="182">
        <f>0*(1/0.79941)</f>
        <v/>
      </c>
      <c r="E41" s="182">
        <f>0*(1/0.79941)</f>
        <v/>
      </c>
      <c r="F41" s="182">
        <f>0*(1/0.79941)</f>
        <v/>
      </c>
      <c r="G41" s="182">
        <f>0*(1/0.79941)</f>
        <v/>
      </c>
      <c r="H41" s="182">
        <f>0*(1/0.79941)</f>
        <v/>
      </c>
      <c r="I41" s="183">
        <f>0*(1/0.79941)</f>
        <v/>
      </c>
      <c r="J41" s="191">
        <f>0*(1/0.79941)</f>
        <v/>
      </c>
      <c r="K41" s="185" t="n"/>
      <c r="L41" s="186">
        <f>0*(1/0.79941)</f>
        <v/>
      </c>
      <c r="M41" s="182">
        <f>0*(1/0.79941)</f>
        <v/>
      </c>
      <c r="N41" s="192">
        <f>0*(1/0.79941)</f>
        <v/>
      </c>
    </row>
    <row r="42" ht="13.5" customHeight="1" s="150">
      <c r="A42" s="176" t="n"/>
      <c r="B42" s="176" t="n"/>
      <c r="C42" s="177" t="inlineStr">
        <is>
          <t>Total Operating Costs (incl. O/H)</t>
        </is>
      </c>
      <c r="D42" s="188">
        <f>(([3]Consolidated!D42)*1000)*(1/0.79941)</f>
        <v/>
      </c>
      <c r="E42" s="188">
        <f>(([3]Consolidated!E42)*1000)*(1/0.79941)</f>
        <v/>
      </c>
      <c r="F42" s="188">
        <f>(([3]Consolidated!F42)*1000)*(1/0.79941)</f>
        <v/>
      </c>
      <c r="G42" s="188">
        <f>(([3]Consolidated!G42)*1000)*(1/0.79941)</f>
        <v/>
      </c>
      <c r="H42" s="188">
        <f>(([3]Consolidated!H42)*1000)*(1/0.79941)</f>
        <v/>
      </c>
      <c r="I42" s="189">
        <f>(([3]Consolidated!I42)*1000)*(1/0.79941)</f>
        <v/>
      </c>
      <c r="J42" s="189">
        <f>(([3]Consolidated!J42)*1000)*(1/0.79941)</f>
        <v/>
      </c>
      <c r="K42" s="185" t="n"/>
      <c r="L42" s="181">
        <f>(([3]Consolidated!L42)*1000)*(1/0.79941)</f>
        <v/>
      </c>
      <c r="M42" s="188">
        <f>(([3]Consolidated!M42)*1000)*(1/0.79941)</f>
        <v/>
      </c>
      <c r="N42" s="181">
        <f>(([3]Consolidated!N42)*1000)*(1/0.79941)</f>
        <v/>
      </c>
      <c r="O42" s="193" t="n"/>
    </row>
    <row r="43" ht="12.75" customHeight="1" s="150">
      <c r="J43" s="195" t="n"/>
      <c r="N43" s="196" t="n"/>
    </row>
    <row r="44" ht="13.5" customHeight="1" s="150"/>
    <row r="45" ht="54.75" customHeight="1" s="150">
      <c r="C45" s="197" t="inlineStr">
        <is>
          <t>SUPPLIER ASSUMED COSTS 
(US$  excl. VAT)</t>
        </is>
      </c>
      <c r="D45" s="198">
        <f>[3]Consolidated!D45</f>
        <v/>
      </c>
      <c r="E45" s="198">
        <f>[3]Consolidated!E45</f>
        <v/>
      </c>
      <c r="F45" s="198">
        <f>[3]Consolidated!F45</f>
        <v/>
      </c>
      <c r="G45" s="198">
        <f>[3]Consolidated!G45</f>
        <v/>
      </c>
      <c r="H45" s="198">
        <f>[3]Consolidated!H45</f>
        <v/>
      </c>
      <c r="I45" s="199">
        <f>[3]Consolidated!I45</f>
        <v/>
      </c>
      <c r="J45" s="200">
        <f>[3]Consolidated!J45</f>
        <v/>
      </c>
      <c r="K45" s="165" t="n"/>
      <c r="L45" s="198">
        <f>[3]Consolidated!L45</f>
        <v/>
      </c>
      <c r="M45" s="201">
        <f>[3]Consolidated!M45</f>
        <v/>
      </c>
      <c r="N45" s="198">
        <f>[3]Consolidated!N45</f>
        <v/>
      </c>
    </row>
    <row r="46" ht="12.75" customHeight="1" s="150">
      <c r="C46" s="202" t="inlineStr">
        <is>
          <t>Internal FTE</t>
        </is>
      </c>
      <c r="D46" s="211">
        <f>[3]Consolidated!D46</f>
        <v/>
      </c>
      <c r="E46" s="211">
        <f>[3]Consolidated!E46</f>
        <v/>
      </c>
      <c r="F46" s="211">
        <f>[3]Consolidated!F46</f>
        <v/>
      </c>
      <c r="G46" s="211">
        <f>[3]Consolidated!G46</f>
        <v/>
      </c>
      <c r="H46" s="211">
        <f>[3]Consolidated!H46</f>
        <v/>
      </c>
      <c r="I46" s="211">
        <f>[3]Consolidated!I46</f>
        <v/>
      </c>
      <c r="J46" s="288" t="n"/>
      <c r="K46" s="185" t="n"/>
      <c r="L46" s="213">
        <f>[3]Consolidated!L46</f>
        <v/>
      </c>
      <c r="M46" s="211">
        <f>[3]Consolidated!M46</f>
        <v/>
      </c>
      <c r="N46" s="206" t="n"/>
    </row>
    <row r="47" ht="12.75" customHeight="1" s="150">
      <c r="C47" s="202" t="inlineStr">
        <is>
          <t>External FTE</t>
        </is>
      </c>
      <c r="D47" s="211">
        <f>[3]Consolidated!D47</f>
        <v/>
      </c>
      <c r="E47" s="211">
        <f>[3]Consolidated!E47</f>
        <v/>
      </c>
      <c r="F47" s="211">
        <f>[3]Consolidated!F47</f>
        <v/>
      </c>
      <c r="G47" s="211">
        <f>[3]Consolidated!G47</f>
        <v/>
      </c>
      <c r="H47" s="211">
        <f>[3]Consolidated!H47</f>
        <v/>
      </c>
      <c r="I47" s="211">
        <f>[3]Consolidated!I47</f>
        <v/>
      </c>
      <c r="J47" s="288" t="n"/>
      <c r="K47" s="185" t="n"/>
      <c r="L47" s="213">
        <f>[3]Consolidated!L47</f>
        <v/>
      </c>
      <c r="M47" s="211">
        <f>[3]Consolidated!M47</f>
        <v/>
      </c>
      <c r="N47" s="206" t="n"/>
    </row>
    <row r="48" ht="13.5" customHeight="1" s="150">
      <c r="A48" s="176" t="n"/>
      <c r="B48" s="176" t="n"/>
      <c r="C48" s="207" t="inlineStr">
        <is>
          <t>Total FTE</t>
        </is>
      </c>
      <c r="D48" s="215">
        <f>[3]Consolidated!D48</f>
        <v/>
      </c>
      <c r="E48" s="215">
        <f>[3]Consolidated!E48</f>
        <v/>
      </c>
      <c r="F48" s="215">
        <f>[3]Consolidated!F48</f>
        <v/>
      </c>
      <c r="G48" s="215">
        <f>[3]Consolidated!G48</f>
        <v/>
      </c>
      <c r="H48" s="215">
        <f>[3]Consolidated!H48</f>
        <v/>
      </c>
      <c r="I48" s="215">
        <f>[3]Consolidated!I48</f>
        <v/>
      </c>
      <c r="J48" s="289" t="n"/>
      <c r="K48" s="185" t="n"/>
      <c r="L48" s="210">
        <f>[3]Consolidated!L48</f>
        <v/>
      </c>
      <c r="M48" s="215">
        <f>[3]Consolidated!M48</f>
        <v/>
      </c>
      <c r="N48" s="210" t="n"/>
    </row>
    <row r="49" ht="12.75" customHeight="1" s="150">
      <c r="C49" s="202" t="n"/>
      <c r="D49" s="211" t="n"/>
      <c r="E49" s="211" t="n"/>
      <c r="F49" s="211" t="n"/>
      <c r="G49" s="211" t="n"/>
      <c r="H49" s="211" t="n"/>
      <c r="I49" s="211" t="n"/>
      <c r="J49" s="212" t="n"/>
      <c r="K49" s="185" t="n"/>
      <c r="L49" s="213" t="n"/>
      <c r="M49" s="211" t="n"/>
      <c r="N49" s="206" t="n"/>
    </row>
    <row r="50" ht="12.75" customHeight="1" s="150">
      <c r="C50" s="202" t="inlineStr">
        <is>
          <t>Salaries</t>
        </is>
      </c>
      <c r="D50" s="211">
        <f>(([3]Consolidated!D50)*1000)*(1/0.79941)</f>
        <v/>
      </c>
      <c r="E50" s="211">
        <f>(([3]Consolidated!E50)*1000)*(1/0.79941)</f>
        <v/>
      </c>
      <c r="F50" s="211">
        <f>(([3]Consolidated!F50)*1000)*(1/0.79941)</f>
        <v/>
      </c>
      <c r="G50" s="211">
        <f>(([3]Consolidated!G50)*1000)*(1/0.79941)</f>
        <v/>
      </c>
      <c r="H50" s="211">
        <f>(([3]Consolidated!H50)*1000)*(1/0.79941)</f>
        <v/>
      </c>
      <c r="I50" s="211">
        <f>(([3]Consolidated!I50)*1000)*(1/0.79941)</f>
        <v/>
      </c>
      <c r="J50" s="213">
        <f>(([3]Consolidated!J50)*1000)*(1/0.79941)</f>
        <v/>
      </c>
      <c r="K50" s="185" t="n"/>
      <c r="L50" s="213">
        <f>(([3]Consolidated!L50)*1000)*(1/0.79941)</f>
        <v/>
      </c>
      <c r="M50" s="211">
        <f>(([3]Consolidated!M50)*1000)*(1/0.79941)</f>
        <v/>
      </c>
      <c r="N50" s="206">
        <f>(([3]Consolidated!N50)*1000)*(1/0.79941)</f>
        <v/>
      </c>
    </row>
    <row r="51" ht="12.75" customHeight="1" s="150">
      <c r="C51" s="202" t="inlineStr">
        <is>
          <t>Bonuses</t>
        </is>
      </c>
      <c r="D51" s="211">
        <f>(([3]Consolidated!D51)*1000)*(1/0.79941)</f>
        <v/>
      </c>
      <c r="E51" s="211">
        <f>(([3]Consolidated!E51)*1000)*(1/0.79941)</f>
        <v/>
      </c>
      <c r="F51" s="211">
        <f>(([3]Consolidated!F51)*1000)*(1/0.79941)</f>
        <v/>
      </c>
      <c r="G51" s="211">
        <f>(([3]Consolidated!G51)*1000)*(1/0.79941)</f>
        <v/>
      </c>
      <c r="H51" s="211">
        <f>(([3]Consolidated!H51)*1000)*(1/0.79941)</f>
        <v/>
      </c>
      <c r="I51" s="211">
        <f>(([3]Consolidated!I51)*1000)*(1/0.79941)</f>
        <v/>
      </c>
      <c r="J51" s="213">
        <f>(([3]Consolidated!J51)*1000)*(1/0.79941)</f>
        <v/>
      </c>
      <c r="K51" s="185" t="n"/>
      <c r="L51" s="213">
        <f>(([3]Consolidated!L51)*1000)*(1/0.79941)</f>
        <v/>
      </c>
      <c r="M51" s="211">
        <f>(([3]Consolidated!M51)*1000)*(1/0.79941)</f>
        <v/>
      </c>
      <c r="N51" s="206">
        <f>(([3]Consolidated!N51)*1000)*(1/0.79941)</f>
        <v/>
      </c>
    </row>
    <row r="52" ht="12.75" customHeight="1" s="150">
      <c r="C52" s="202" t="inlineStr">
        <is>
          <t>Third party staff, ex IT</t>
        </is>
      </c>
      <c r="D52" s="211">
        <f>(([3]Consolidated!D52)*1000)*(1/0.79941)</f>
        <v/>
      </c>
      <c r="E52" s="211">
        <f>(([3]Consolidated!E52)*1000)*(1/0.79941)</f>
        <v/>
      </c>
      <c r="F52" s="211">
        <f>(([3]Consolidated!F52)*1000)*(1/0.79941)</f>
        <v/>
      </c>
      <c r="G52" s="211">
        <f>(([3]Consolidated!G52)*1000)*(1/0.79941)</f>
        <v/>
      </c>
      <c r="H52" s="211">
        <f>(([3]Consolidated!H52)*1000)*(1/0.79941)</f>
        <v/>
      </c>
      <c r="I52" s="211">
        <f>(([3]Consolidated!I52)*1000)*(1/0.79941)</f>
        <v/>
      </c>
      <c r="J52" s="213">
        <f>(([3]Consolidated!J52)*1000)*(1/0.79941)</f>
        <v/>
      </c>
      <c r="K52" s="185" t="n"/>
      <c r="L52" s="213">
        <f>(([3]Consolidated!L52)*1000)*(1/0.79941)</f>
        <v/>
      </c>
      <c r="M52" s="211">
        <f>(([3]Consolidated!M52)*1000)*(1/0.79941)</f>
        <v/>
      </c>
      <c r="N52" s="206">
        <f>(([3]Consolidated!N52)*1000)*(1/0.79941)</f>
        <v/>
      </c>
    </row>
    <row r="53" ht="12.75" customHeight="1" s="150">
      <c r="C53" s="202" t="inlineStr">
        <is>
          <t>Third party IT staff</t>
        </is>
      </c>
      <c r="D53" s="211">
        <f>(([3]Consolidated!D53)*1000)*(1/0.79941)</f>
        <v/>
      </c>
      <c r="E53" s="211">
        <f>(([3]Consolidated!E53)*1000)*(1/0.79941)</f>
        <v/>
      </c>
      <c r="F53" s="211">
        <f>(([3]Consolidated!F53)*1000)*(1/0.79941)</f>
        <v/>
      </c>
      <c r="G53" s="211">
        <f>(([3]Consolidated!G53)*1000)*(1/0.79941)</f>
        <v/>
      </c>
      <c r="H53" s="211">
        <f>(([3]Consolidated!H53)*1000)*(1/0.79941)</f>
        <v/>
      </c>
      <c r="I53" s="211">
        <f>(([3]Consolidated!I53)*1000)*(1/0.79941)</f>
        <v/>
      </c>
      <c r="J53" s="213">
        <f>(([3]Consolidated!J53)*1000)*(1/0.79941)</f>
        <v/>
      </c>
      <c r="K53" s="185" t="n"/>
      <c r="L53" s="213">
        <f>(([3]Consolidated!L53)*1000)*(1/0.79941)</f>
        <v/>
      </c>
      <c r="M53" s="211">
        <f>(([3]Consolidated!M53)*1000)*(1/0.79941)</f>
        <v/>
      </c>
      <c r="N53" s="206">
        <f>(([3]Consolidated!N53)*1000)*(1/0.79941)</f>
        <v/>
      </c>
    </row>
    <row r="54" ht="12.75" customHeight="1" s="150">
      <c r="C54" s="202" t="inlineStr">
        <is>
          <t>Employee education</t>
        </is>
      </c>
      <c r="D54" s="211">
        <f>(([3]Consolidated!D54)*1000)*(1/0.79941)</f>
        <v/>
      </c>
      <c r="E54" s="211">
        <f>(([3]Consolidated!E54)*1000)*(1/0.79941)</f>
        <v/>
      </c>
      <c r="F54" s="211">
        <f>(([3]Consolidated!F54)*1000)*(1/0.79941)</f>
        <v/>
      </c>
      <c r="G54" s="211">
        <f>(([3]Consolidated!G54)*1000)*(1/0.79941)</f>
        <v/>
      </c>
      <c r="H54" s="211">
        <f>(([3]Consolidated!H54)*1000)*(1/0.79941)</f>
        <v/>
      </c>
      <c r="I54" s="211">
        <f>(([3]Consolidated!I54)*1000)*(1/0.79941)</f>
        <v/>
      </c>
      <c r="J54" s="213">
        <f>(([3]Consolidated!J54)*1000)*(1/0.79941)</f>
        <v/>
      </c>
      <c r="K54" s="185" t="n"/>
      <c r="L54" s="213">
        <f>(([3]Consolidated!L54)*1000)*(1/0.79941)</f>
        <v/>
      </c>
      <c r="M54" s="211">
        <f>(([3]Consolidated!M54)*1000)*(1/0.79941)</f>
        <v/>
      </c>
      <c r="N54" s="206">
        <f>(([3]Consolidated!N54)*1000)*(1/0.79941)</f>
        <v/>
      </c>
    </row>
    <row r="55" ht="12.75" customHeight="1" s="150">
      <c r="C55" s="202" t="inlineStr">
        <is>
          <t>Other staff expenses</t>
        </is>
      </c>
      <c r="D55" s="211">
        <f>(([3]Consolidated!D55)*1000)*(1/0.79941)</f>
        <v/>
      </c>
      <c r="E55" s="211">
        <f>(([3]Consolidated!E55)*1000)*(1/0.79941)</f>
        <v/>
      </c>
      <c r="F55" s="211">
        <f>(([3]Consolidated!F55)*1000)*(1/0.79941)</f>
        <v/>
      </c>
      <c r="G55" s="211">
        <f>(([3]Consolidated!G55)*1000)*(1/0.79941)</f>
        <v/>
      </c>
      <c r="H55" s="211">
        <f>(([3]Consolidated!H55)*1000)*(1/0.79941)</f>
        <v/>
      </c>
      <c r="I55" s="211">
        <f>(([3]Consolidated!I55)*1000)*(1/0.79941)</f>
        <v/>
      </c>
      <c r="J55" s="214">
        <f>(([3]Consolidated!J55)*1000)*(1/0.79941)</f>
        <v/>
      </c>
      <c r="K55" s="185" t="n"/>
      <c r="L55" s="213">
        <f>(([3]Consolidated!L55)*1000)*(1/0.79941)</f>
        <v/>
      </c>
      <c r="M55" s="211">
        <f>(([3]Consolidated!M55)*1000)*(1/0.79941)</f>
        <v/>
      </c>
      <c r="N55" s="206">
        <f>(([3]Consolidated!N55)*1000)*(1/0.79941)</f>
        <v/>
      </c>
    </row>
    <row r="56" ht="13.5" customHeight="1" s="150">
      <c r="C56" s="207" t="inlineStr">
        <is>
          <t>Staff expenses</t>
        </is>
      </c>
      <c r="D56" s="215">
        <f>(([3]Consolidated!D56)*1000)*(1/0.79941)</f>
        <v/>
      </c>
      <c r="E56" s="215">
        <f>(([3]Consolidated!E56)*1000)*(1/0.79941)</f>
        <v/>
      </c>
      <c r="F56" s="215">
        <f>(([3]Consolidated!F56)*1000)*(1/0.79941)</f>
        <v/>
      </c>
      <c r="G56" s="215">
        <f>(([3]Consolidated!G56)*1000)*(1/0.79941)</f>
        <v/>
      </c>
      <c r="H56" s="215">
        <f>(([3]Consolidated!H56)*1000)*(1/0.79941)</f>
        <v/>
      </c>
      <c r="I56" s="215">
        <f>(([3]Consolidated!I56)*1000)*(1/0.79941)</f>
        <v/>
      </c>
      <c r="J56" s="210">
        <f>(([3]Consolidated!J56)*1000)*(1/0.79941)</f>
        <v/>
      </c>
      <c r="K56" s="185" t="n"/>
      <c r="L56" s="210">
        <f>(([3]Consolidated!L56)*1000)*(1/0.79941)</f>
        <v/>
      </c>
      <c r="M56" s="215">
        <f>(([3]Consolidated!M56)*1000)*(1/0.79941)</f>
        <v/>
      </c>
      <c r="N56" s="210">
        <f>(([3]Consolidated!N56)*1000)*(1/0.79941)</f>
        <v/>
      </c>
    </row>
    <row r="57" ht="12.75" customHeight="1" s="150">
      <c r="B57" s="216" t="n"/>
      <c r="C57" s="202" t="inlineStr">
        <is>
          <t>Hardware expenses</t>
        </is>
      </c>
      <c r="D57" s="211">
        <f>(([3]Consolidated!D57)*1000)*(1/0.79941)</f>
        <v/>
      </c>
      <c r="E57" s="211">
        <f>(([3]Consolidated!E57)*1000)*(1/0.79941)</f>
        <v/>
      </c>
      <c r="F57" s="211">
        <f>(([3]Consolidated!F57)*1000)*(1/0.79941)</f>
        <v/>
      </c>
      <c r="G57" s="211">
        <f>(([3]Consolidated!G57)*1000)*(1/0.79941)</f>
        <v/>
      </c>
      <c r="H57" s="211">
        <f>(([3]Consolidated!H57)*1000)*(1/0.79941)</f>
        <v/>
      </c>
      <c r="I57" s="211">
        <f>(([3]Consolidated!I57)*1000)*(1/0.79941)</f>
        <v/>
      </c>
      <c r="J57" s="213">
        <f>(([3]Consolidated!J57)*1000)*(1/0.79941)</f>
        <v/>
      </c>
      <c r="K57" s="185" t="n"/>
      <c r="L57" s="213">
        <f>(([3]Consolidated!L57)*1000)*(1/0.79941)</f>
        <v/>
      </c>
      <c r="M57" s="211">
        <f>(([3]Consolidated!M57)*1000)*(1/0.79941)</f>
        <v/>
      </c>
      <c r="N57" s="206">
        <f>(([3]Consolidated!N57)*1000)*(1/0.79941)</f>
        <v/>
      </c>
    </row>
    <row r="58" ht="12.75" customHeight="1" s="150">
      <c r="C58" s="202" t="inlineStr">
        <is>
          <t>Leasing/renting hardware</t>
        </is>
      </c>
      <c r="D58" s="211">
        <f>(([3]Consolidated!D58)*1000)*(1/0.79941)</f>
        <v/>
      </c>
      <c r="E58" s="211">
        <f>(([3]Consolidated!E58)*1000)*(1/0.79941)</f>
        <v/>
      </c>
      <c r="F58" s="211">
        <f>(([3]Consolidated!F58)*1000)*(1/0.79941)</f>
        <v/>
      </c>
      <c r="G58" s="211">
        <f>(([3]Consolidated!G58)*1000)*(1/0.79941)</f>
        <v/>
      </c>
      <c r="H58" s="211">
        <f>(([3]Consolidated!H58)*1000)*(1/0.79941)</f>
        <v/>
      </c>
      <c r="I58" s="211">
        <f>(([3]Consolidated!I58)*1000)*(1/0.79941)</f>
        <v/>
      </c>
      <c r="J58" s="213">
        <f>(([3]Consolidated!J58)*1000)*(1/0.79941)</f>
        <v/>
      </c>
      <c r="K58" s="185" t="n"/>
      <c r="L58" s="213">
        <f>(([3]Consolidated!L58)*1000)*(1/0.79941)</f>
        <v/>
      </c>
      <c r="M58" s="211">
        <f>(([3]Consolidated!M58)*1000)*(1/0.79941)</f>
        <v/>
      </c>
      <c r="N58" s="206">
        <f>(([3]Consolidated!N58)*1000)*(1/0.79941)</f>
        <v/>
      </c>
    </row>
    <row r="59" ht="12.75" customHeight="1" s="150">
      <c r="C59" s="202" t="inlineStr">
        <is>
          <t>Software expenses</t>
        </is>
      </c>
      <c r="D59" s="211">
        <f>(([3]Consolidated!D59)*1000)*(1/0.79941)</f>
        <v/>
      </c>
      <c r="E59" s="211">
        <f>(([3]Consolidated!E59)*1000)*(1/0.79941)</f>
        <v/>
      </c>
      <c r="F59" s="211">
        <f>(([3]Consolidated!F59)*1000)*(1/0.79941)</f>
        <v/>
      </c>
      <c r="G59" s="211">
        <f>(([3]Consolidated!G59)*1000)*(1/0.79941)</f>
        <v/>
      </c>
      <c r="H59" s="211">
        <f>(([3]Consolidated!H59)*1000)*(1/0.79941)</f>
        <v/>
      </c>
      <c r="I59" s="211">
        <f>(([3]Consolidated!I59)*1000)*(1/0.79941)</f>
        <v/>
      </c>
      <c r="J59" s="213">
        <f>(([3]Consolidated!J59)*1000)*(1/0.79941)</f>
        <v/>
      </c>
      <c r="K59" s="185" t="n"/>
      <c r="L59" s="213">
        <f>(([3]Consolidated!L59)*1000)*(1/0.79941)</f>
        <v/>
      </c>
      <c r="M59" s="211">
        <f>(([3]Consolidated!M59)*1000)*(1/0.79941)</f>
        <v/>
      </c>
      <c r="N59" s="206">
        <f>(([3]Consolidated!N59)*1000)*(1/0.79941)</f>
        <v/>
      </c>
    </row>
    <row r="60" ht="12.75" customHeight="1" s="150">
      <c r="C60" s="202" t="inlineStr">
        <is>
          <t>Leasing/renting/licenses sw</t>
        </is>
      </c>
      <c r="D60" s="211">
        <f>(([3]Consolidated!D60)*1000)*(1/0.79941)</f>
        <v/>
      </c>
      <c r="E60" s="211">
        <f>(([3]Consolidated!E60)*1000)*(1/0.79941)</f>
        <v/>
      </c>
      <c r="F60" s="211">
        <f>(([3]Consolidated!F60)*1000)*(1/0.79941)</f>
        <v/>
      </c>
      <c r="G60" s="211">
        <f>(([3]Consolidated!G60)*1000)*(1/0.79941)</f>
        <v/>
      </c>
      <c r="H60" s="211">
        <f>(([3]Consolidated!H60)*1000)*(1/0.79941)</f>
        <v/>
      </c>
      <c r="I60" s="211">
        <f>(([3]Consolidated!I60)*1000)*(1/0.79941)</f>
        <v/>
      </c>
      <c r="J60" s="213">
        <f>(([3]Consolidated!J60)*1000)*(1/0.79941)</f>
        <v/>
      </c>
      <c r="K60" s="185" t="n"/>
      <c r="L60" s="213">
        <f>(([3]Consolidated!L60)*1000)*(1/0.79941)</f>
        <v/>
      </c>
      <c r="M60" s="211">
        <f>(([3]Consolidated!M60)*1000)*(1/0.79941)</f>
        <v/>
      </c>
      <c r="N60" s="206">
        <f>(([3]Consolidated!N60)*1000)*(1/0.79941)</f>
        <v/>
      </c>
    </row>
    <row r="61" ht="12.75" customHeight="1" s="150">
      <c r="C61" s="202" t="inlineStr">
        <is>
          <t>Depreciation hardware</t>
        </is>
      </c>
      <c r="D61" s="211">
        <f>(([3]Consolidated!D61)*1000)*(1/0.79941)</f>
        <v/>
      </c>
      <c r="E61" s="211">
        <f>(([3]Consolidated!E61)*1000)*(1/0.79941)</f>
        <v/>
      </c>
      <c r="F61" s="211">
        <f>(([3]Consolidated!F61)*1000)*(1/0.79941)</f>
        <v/>
      </c>
      <c r="G61" s="211">
        <f>(([3]Consolidated!G61)*1000)*(1/0.79941)</f>
        <v/>
      </c>
      <c r="H61" s="211">
        <f>(([3]Consolidated!H61)*1000)*(1/0.79941)</f>
        <v/>
      </c>
      <c r="I61" s="211">
        <f>(([3]Consolidated!I61)*1000)*(1/0.79941)</f>
        <v/>
      </c>
      <c r="J61" s="213">
        <f>(([3]Consolidated!J61)*1000)*(1/0.79941)</f>
        <v/>
      </c>
      <c r="K61" s="185" t="n"/>
      <c r="L61" s="213">
        <f>(([3]Consolidated!L61)*1000)*(1/0.79941)</f>
        <v/>
      </c>
      <c r="M61" s="211">
        <f>(([3]Consolidated!M61)*1000)*(1/0.79941)</f>
        <v/>
      </c>
      <c r="N61" s="206">
        <f>(([3]Consolidated!N61)*1000)*(1/0.79941)</f>
        <v/>
      </c>
    </row>
    <row r="62" ht="12.75" customHeight="1" s="150">
      <c r="C62" s="202" t="inlineStr">
        <is>
          <t>Depreciation software</t>
        </is>
      </c>
      <c r="D62" s="211">
        <f>(([3]Consolidated!D62)*1000)*(1/0.79941)</f>
        <v/>
      </c>
      <c r="E62" s="211">
        <f>(([3]Consolidated!E62)*1000)*(1/0.79941)</f>
        <v/>
      </c>
      <c r="F62" s="211">
        <f>(([3]Consolidated!F62)*1000)*(1/0.79941)</f>
        <v/>
      </c>
      <c r="G62" s="211">
        <f>(([3]Consolidated!G62)*1000)*(1/0.79941)</f>
        <v/>
      </c>
      <c r="H62" s="211">
        <f>(([3]Consolidated!H62)*1000)*(1/0.79941)</f>
        <v/>
      </c>
      <c r="I62" s="211">
        <f>(([3]Consolidated!I62)*1000)*(1/0.79941)</f>
        <v/>
      </c>
      <c r="J62" s="213">
        <f>(([3]Consolidated!J62)*1000)*(1/0.79941)</f>
        <v/>
      </c>
      <c r="K62" s="185" t="n"/>
      <c r="L62" s="213">
        <f>(([3]Consolidated!L62)*1000)*(1/0.79941)</f>
        <v/>
      </c>
      <c r="M62" s="211">
        <f>(([3]Consolidated!M62)*1000)*(1/0.79941)</f>
        <v/>
      </c>
      <c r="N62" s="206">
        <f>(([3]Consolidated!N62)*1000)*(1/0.79941)</f>
        <v/>
      </c>
    </row>
    <row r="63" ht="12.75" customHeight="1" s="150">
      <c r="C63" s="202" t="inlineStr">
        <is>
          <t>Outsourcing IT activities</t>
        </is>
      </c>
      <c r="D63" s="211">
        <f>(([3]Consolidated!D63)*1000)*(1/0.79941)</f>
        <v/>
      </c>
      <c r="E63" s="211">
        <f>(([3]Consolidated!E63)*1000)*(1/0.79941)</f>
        <v/>
      </c>
      <c r="F63" s="211">
        <f>(([3]Consolidated!F63)*1000)*(1/0.79941)</f>
        <v/>
      </c>
      <c r="G63" s="211">
        <f>(([3]Consolidated!G63)*1000)*(1/0.79941)</f>
        <v/>
      </c>
      <c r="H63" s="211">
        <f>(([3]Consolidated!H63)*1000)*(1/0.79941)</f>
        <v/>
      </c>
      <c r="I63" s="211">
        <f>(([3]Consolidated!I63)*1000)*(1/0.79941)</f>
        <v/>
      </c>
      <c r="J63" s="213">
        <f>(([3]Consolidated!J63)*1000)*(1/0.79941)</f>
        <v/>
      </c>
      <c r="K63" s="185" t="n"/>
      <c r="L63" s="213">
        <f>(([3]Consolidated!L63)*1000)*(1/0.79941)</f>
        <v/>
      </c>
      <c r="M63" s="211">
        <f>(([3]Consolidated!M63)*1000)*(1/0.79941)</f>
        <v/>
      </c>
      <c r="N63" s="206">
        <f>(([3]Consolidated!N63)*1000)*(1/0.79941)</f>
        <v/>
      </c>
    </row>
    <row r="64" ht="12.75" customHeight="1" s="150">
      <c r="C64" s="202" t="inlineStr">
        <is>
          <t>Other IT expenses</t>
        </is>
      </c>
      <c r="D64" s="211">
        <f>(([3]Consolidated!D64)*1000)*(1/0.79941)</f>
        <v/>
      </c>
      <c r="E64" s="211">
        <f>(([3]Consolidated!E64)*1000)*(1/0.79941)</f>
        <v/>
      </c>
      <c r="F64" s="211">
        <f>(([3]Consolidated!F64)*1000)*(1/0.79941)</f>
        <v/>
      </c>
      <c r="G64" s="211">
        <f>(([3]Consolidated!G64)*1000)*(1/0.79941)</f>
        <v/>
      </c>
      <c r="H64" s="211">
        <f>(([3]Consolidated!H64)*1000)*(1/0.79941)</f>
        <v/>
      </c>
      <c r="I64" s="211">
        <f>(([3]Consolidated!I64)*1000)*(1/0.79941)</f>
        <v/>
      </c>
      <c r="J64" s="213">
        <f>(([3]Consolidated!J64)*1000)*(1/0.79941)</f>
        <v/>
      </c>
      <c r="K64" s="185" t="n"/>
      <c r="L64" s="213">
        <f>(([3]Consolidated!L64)*1000)*(1/0.79941)</f>
        <v/>
      </c>
      <c r="M64" s="211">
        <f>(([3]Consolidated!M64)*1000)*(1/0.79941)</f>
        <v/>
      </c>
      <c r="N64" s="206">
        <f>(([3]Consolidated!N64)*1000)*(1/0.79941)</f>
        <v/>
      </c>
    </row>
    <row r="65" ht="13.5" customHeight="1" s="150">
      <c r="C65" s="207" t="inlineStr">
        <is>
          <t>EDP expenses</t>
        </is>
      </c>
      <c r="D65" s="215">
        <f>(([3]Consolidated!D65)*1000)*(1/0.79941)</f>
        <v/>
      </c>
      <c r="E65" s="215">
        <f>(([3]Consolidated!E65)*1000)*(1/0.79941)</f>
        <v/>
      </c>
      <c r="F65" s="215">
        <f>(([3]Consolidated!F65)*1000)*(1/0.79941)</f>
        <v/>
      </c>
      <c r="G65" s="215">
        <f>(([3]Consolidated!G65)*1000)*(1/0.79941)</f>
        <v/>
      </c>
      <c r="H65" s="215">
        <f>(([3]Consolidated!H65)*1000)*(1/0.79941)</f>
        <v/>
      </c>
      <c r="I65" s="215">
        <f>(([3]Consolidated!I65)*1000)*(1/0.79941)</f>
        <v/>
      </c>
      <c r="J65" s="210">
        <f>(([3]Consolidated!J65)*1000)*(1/0.79941)</f>
        <v/>
      </c>
      <c r="K65" s="185" t="n"/>
      <c r="L65" s="210">
        <f>(([3]Consolidated!L65)*1000)*(1/0.79941)</f>
        <v/>
      </c>
      <c r="M65" s="215">
        <f>(([3]Consolidated!M65)*1000)*(1/0.79941)</f>
        <v/>
      </c>
      <c r="N65" s="210">
        <f>(([3]Consolidated!N65)*1000)*(1/0.79941)</f>
        <v/>
      </c>
    </row>
    <row r="66" ht="12.75" customHeight="1" s="150">
      <c r="C66" s="202" t="inlineStr">
        <is>
          <t>Telecom expenses</t>
        </is>
      </c>
      <c r="D66" s="211">
        <f>(([3]Consolidated!D66)*1000)*(1/0.79941)</f>
        <v/>
      </c>
      <c r="E66" s="211">
        <f>(([3]Consolidated!E66)*1000)*(1/0.79941)</f>
        <v/>
      </c>
      <c r="F66" s="211">
        <f>(([3]Consolidated!F66)*1000)*(1/0.79941)</f>
        <v/>
      </c>
      <c r="G66" s="211">
        <f>(([3]Consolidated!G66)*1000)*(1/0.79941)</f>
        <v/>
      </c>
      <c r="H66" s="211">
        <f>(([3]Consolidated!H66)*1000)*(1/0.79941)</f>
        <v/>
      </c>
      <c r="I66" s="211">
        <f>(([3]Consolidated!I66)*1000)*(1/0.79941)</f>
        <v/>
      </c>
      <c r="J66" s="213">
        <f>(([3]Consolidated!J66)*1000)*(1/0.79941)</f>
        <v/>
      </c>
      <c r="K66" s="185" t="n"/>
      <c r="L66" s="213">
        <f>(([3]Consolidated!L66)*1000)*(1/0.79941)</f>
        <v/>
      </c>
      <c r="M66" s="211">
        <f>(([3]Consolidated!M66)*1000)*(1/0.79941)</f>
        <v/>
      </c>
      <c r="N66" s="206">
        <f>(([3]Consolidated!N66)*1000)*(1/0.79941)</f>
        <v/>
      </c>
    </row>
    <row r="67" ht="12.75" customHeight="1" s="150">
      <c r="C67" s="202" t="inlineStr">
        <is>
          <t>Office equipment and supplies</t>
        </is>
      </c>
      <c r="D67" s="211">
        <f>(([3]Consolidated!D67)*1000)*(1/0.79941)</f>
        <v/>
      </c>
      <c r="E67" s="211">
        <f>(([3]Consolidated!E67)*1000)*(1/0.79941)</f>
        <v/>
      </c>
      <c r="F67" s="211">
        <f>(([3]Consolidated!F67)*1000)*(1/0.79941)</f>
        <v/>
      </c>
      <c r="G67" s="211">
        <f>(([3]Consolidated!G67)*1000)*(1/0.79941)</f>
        <v/>
      </c>
      <c r="H67" s="211">
        <f>(([3]Consolidated!H67)*1000)*(1/0.79941)</f>
        <v/>
      </c>
      <c r="I67" s="211">
        <f>(([3]Consolidated!I67)*1000)*(1/0.79941)</f>
        <v/>
      </c>
      <c r="J67" s="213">
        <f>(([3]Consolidated!J67)*1000)*(1/0.79941)</f>
        <v/>
      </c>
      <c r="K67" s="185" t="n"/>
      <c r="L67" s="213">
        <f>(([3]Consolidated!L67)*1000)*(1/0.79941)</f>
        <v/>
      </c>
      <c r="M67" s="211">
        <f>(([3]Consolidated!M67)*1000)*(1/0.79941)</f>
        <v/>
      </c>
      <c r="N67" s="206">
        <f>(([3]Consolidated!N67)*1000)*(1/0.79941)</f>
        <v/>
      </c>
    </row>
    <row r="68" ht="12.75" customHeight="1" s="150">
      <c r="C68" s="202" t="inlineStr">
        <is>
          <t>Accomodation expenses</t>
        </is>
      </c>
      <c r="D68" s="211">
        <f>(([3]Consolidated!D68)*1000)*(1/0.79941)</f>
        <v/>
      </c>
      <c r="E68" s="211">
        <f>(([3]Consolidated!E68)*1000)*(1/0.79941)</f>
        <v/>
      </c>
      <c r="F68" s="211">
        <f>(([3]Consolidated!F68)*1000)*(1/0.79941)</f>
        <v/>
      </c>
      <c r="G68" s="211">
        <f>(([3]Consolidated!G68)*1000)*(1/0.79941)</f>
        <v/>
      </c>
      <c r="H68" s="211">
        <f>(([3]Consolidated!H68)*1000)*(1/0.79941)</f>
        <v/>
      </c>
      <c r="I68" s="211">
        <f>(([3]Consolidated!I68)*1000)*(1/0.79941)</f>
        <v/>
      </c>
      <c r="J68" s="213">
        <f>(([3]Consolidated!J68)*1000)*(1/0.79941)</f>
        <v/>
      </c>
      <c r="K68" s="185" t="n"/>
      <c r="L68" s="213">
        <f>(([3]Consolidated!L68)*1000)*(1/0.79941)</f>
        <v/>
      </c>
      <c r="M68" s="211">
        <f>(([3]Consolidated!M68)*1000)*(1/0.79941)</f>
        <v/>
      </c>
      <c r="N68" s="206">
        <f>(([3]Consolidated!N68)*1000)*(1/0.79941)</f>
        <v/>
      </c>
    </row>
    <row r="69" ht="12.75" customHeight="1" s="150">
      <c r="C69" s="202" t="inlineStr">
        <is>
          <t>Travel costs</t>
        </is>
      </c>
      <c r="D69" s="211">
        <f>(([3]Consolidated!D69)*1000)*(1/0.79941)</f>
        <v/>
      </c>
      <c r="E69" s="211">
        <f>(([3]Consolidated!E69)*1000)*(1/0.79941)</f>
        <v/>
      </c>
      <c r="F69" s="211">
        <f>(([3]Consolidated!F69)*1000)*(1/0.79941)</f>
        <v/>
      </c>
      <c r="G69" s="211">
        <f>(([3]Consolidated!G69)*1000)*(1/0.79941)</f>
        <v/>
      </c>
      <c r="H69" s="211">
        <f>(([3]Consolidated!H69)*1000)*(1/0.79941)</f>
        <v/>
      </c>
      <c r="I69" s="211">
        <f>(([3]Consolidated!I69)*1000)*(1/0.79941)</f>
        <v/>
      </c>
      <c r="J69" s="213">
        <f>(([3]Consolidated!J69)*1000)*(1/0.79941)</f>
        <v/>
      </c>
      <c r="K69" s="185" t="n"/>
      <c r="L69" s="213">
        <f>(([3]Consolidated!L69)*1000)*(1/0.79941)</f>
        <v/>
      </c>
      <c r="M69" s="211">
        <f>(([3]Consolidated!M69)*1000)*(1/0.79941)</f>
        <v/>
      </c>
      <c r="N69" s="206">
        <f>(([3]Consolidated!N69)*1000)*(1/0.79941)</f>
        <v/>
      </c>
    </row>
    <row r="70" ht="12.75" customHeight="1" s="150">
      <c r="C70" s="202" t="inlineStr">
        <is>
          <t>Postal and freight charges</t>
        </is>
      </c>
      <c r="D70" s="211">
        <f>(([3]Consolidated!D70)*1000)*(1/0.79941)</f>
        <v/>
      </c>
      <c r="E70" s="211">
        <f>(([3]Consolidated!E70)*1000)*(1/0.79941)</f>
        <v/>
      </c>
      <c r="F70" s="211">
        <f>(([3]Consolidated!F70)*1000)*(1/0.79941)</f>
        <v/>
      </c>
      <c r="G70" s="211">
        <f>(([3]Consolidated!G70)*1000)*(1/0.79941)</f>
        <v/>
      </c>
      <c r="H70" s="211">
        <f>(([3]Consolidated!H70)*1000)*(1/0.79941)</f>
        <v/>
      </c>
      <c r="I70" s="211">
        <f>(([3]Consolidated!I70)*1000)*(1/0.79941)</f>
        <v/>
      </c>
      <c r="J70" s="213">
        <f>(([3]Consolidated!J70)*1000)*(1/0.79941)</f>
        <v/>
      </c>
      <c r="K70" s="185" t="n"/>
      <c r="L70" s="213">
        <f>(([3]Consolidated!L70)*1000)*(1/0.79941)</f>
        <v/>
      </c>
      <c r="M70" s="211">
        <f>(([3]Consolidated!M70)*1000)*(1/0.79941)</f>
        <v/>
      </c>
      <c r="N70" s="206">
        <f>(([3]Consolidated!N70)*1000)*(1/0.79941)</f>
        <v/>
      </c>
    </row>
    <row r="71" ht="12.75" customHeight="1" s="150">
      <c r="C71" s="202" t="inlineStr">
        <is>
          <t>Prof serv and ext advisory fee</t>
        </is>
      </c>
      <c r="D71" s="211">
        <f>(([3]Consolidated!D71)*1000)*(1/0.79941)</f>
        <v/>
      </c>
      <c r="E71" s="211">
        <f>(([3]Consolidated!E71)*1000)*(1/0.79941)</f>
        <v/>
      </c>
      <c r="F71" s="211">
        <f>(([3]Consolidated!F71)*1000)*(1/0.79941)</f>
        <v/>
      </c>
      <c r="G71" s="211">
        <f>(([3]Consolidated!G71)*1000)*(1/0.79941)</f>
        <v/>
      </c>
      <c r="H71" s="211">
        <f>(([3]Consolidated!H71)*1000)*(1/0.79941)</f>
        <v/>
      </c>
      <c r="I71" s="211">
        <f>(([3]Consolidated!I71)*1000)*(1/0.79941)</f>
        <v/>
      </c>
      <c r="J71" s="213">
        <f>(([3]Consolidated!J71)*1000)*(1/0.79941)</f>
        <v/>
      </c>
      <c r="K71" s="185" t="n"/>
      <c r="L71" s="213">
        <f>(([3]Consolidated!L71)*1000)*(1/0.79941)</f>
        <v/>
      </c>
      <c r="M71" s="211">
        <f>(([3]Consolidated!M71)*1000)*(1/0.79941)</f>
        <v/>
      </c>
      <c r="N71" s="206">
        <f>(([3]Consolidated!N71)*1000)*(1/0.79941)</f>
        <v/>
      </c>
    </row>
    <row r="72" ht="12.75" customHeight="1" s="150">
      <c r="C72" s="202" t="inlineStr">
        <is>
          <t>Payment transfer expenses</t>
        </is>
      </c>
      <c r="D72" s="211">
        <f>(([3]Consolidated!D72)*1000)*(1/0.79941)</f>
        <v/>
      </c>
      <c r="E72" s="211">
        <f>(([3]Consolidated!E72)*1000)*(1/0.79941)</f>
        <v/>
      </c>
      <c r="F72" s="211">
        <f>(([3]Consolidated!F72)*1000)*(1/0.79941)</f>
        <v/>
      </c>
      <c r="G72" s="211">
        <f>(([3]Consolidated!G72)*1000)*(1/0.79941)</f>
        <v/>
      </c>
      <c r="H72" s="211">
        <f>(([3]Consolidated!H72)*1000)*(1/0.79941)</f>
        <v/>
      </c>
      <c r="I72" s="211">
        <f>(([3]Consolidated!I72)*1000)*(1/0.79941)</f>
        <v/>
      </c>
      <c r="J72" s="213">
        <f>(([3]Consolidated!J72)*1000)*(1/0.79941)</f>
        <v/>
      </c>
      <c r="K72" s="185" t="n"/>
      <c r="L72" s="213">
        <f>(([3]Consolidated!L72)*1000)*(1/0.79941)</f>
        <v/>
      </c>
      <c r="M72" s="211">
        <f>(([3]Consolidated!M72)*1000)*(1/0.79941)</f>
        <v/>
      </c>
      <c r="N72" s="206">
        <f>(([3]Consolidated!N72)*1000)*(1/0.79941)</f>
        <v/>
      </c>
    </row>
    <row r="73" ht="12.75" customHeight="1" s="150">
      <c r="C73" s="202" t="inlineStr">
        <is>
          <t>Other costs</t>
        </is>
      </c>
      <c r="D73" s="211">
        <f>(([3]Consolidated!D73)*1000)*(1/0.79941)</f>
        <v/>
      </c>
      <c r="E73" s="211">
        <f>(([3]Consolidated!E73)*1000)*(1/0.79941)</f>
        <v/>
      </c>
      <c r="F73" s="211">
        <f>(([3]Consolidated!F73)*1000)*(1/0.79941)</f>
        <v/>
      </c>
      <c r="G73" s="211">
        <f>(([3]Consolidated!G73)*1000)*(1/0.79941)</f>
        <v/>
      </c>
      <c r="H73" s="211">
        <f>(([3]Consolidated!H73)*1000)*(1/0.79941)</f>
        <v/>
      </c>
      <c r="I73" s="211">
        <f>(([3]Consolidated!I73)*1000)*(1/0.79941)</f>
        <v/>
      </c>
      <c r="J73" s="213">
        <f>(([3]Consolidated!J73)*1000)*(1/0.79941)</f>
        <v/>
      </c>
      <c r="K73" s="185" t="n"/>
      <c r="L73" s="213">
        <f>(([3]Consolidated!L73)*1000)*(1/0.79941)</f>
        <v/>
      </c>
      <c r="M73" s="211">
        <f>(([3]Consolidated!M73)*1000)*(1/0.79941)</f>
        <v/>
      </c>
      <c r="N73" s="206">
        <f>(([3]Consolidated!N73)*1000)*(1/0.79941)</f>
        <v/>
      </c>
    </row>
    <row r="74" ht="13.5" customHeight="1" s="150">
      <c r="C74" s="207" t="inlineStr">
        <is>
          <t>General expenses</t>
        </is>
      </c>
      <c r="D74" s="215">
        <f>(([3]Consolidated!D74)*1000)*(1/0.79941)</f>
        <v/>
      </c>
      <c r="E74" s="215">
        <f>(([3]Consolidated!E74)*1000)*(1/0.79941)</f>
        <v/>
      </c>
      <c r="F74" s="215">
        <f>(([3]Consolidated!F74)*1000)*(1/0.79941)</f>
        <v/>
      </c>
      <c r="G74" s="215">
        <f>(([3]Consolidated!G74)*1000)*(1/0.79941)</f>
        <v/>
      </c>
      <c r="H74" s="215">
        <f>(([3]Consolidated!H74)*1000)*(1/0.79941)</f>
        <v/>
      </c>
      <c r="I74" s="215">
        <f>(([3]Consolidated!I74)*1000)*(1/0.79941)</f>
        <v/>
      </c>
      <c r="J74" s="210">
        <f>(([3]Consolidated!J74)*1000)*(1/0.79941)</f>
        <v/>
      </c>
      <c r="K74" s="185" t="n"/>
      <c r="L74" s="210">
        <f>(([3]Consolidated!L74)*1000)*(1/0.79941)</f>
        <v/>
      </c>
      <c r="M74" s="215">
        <f>(([3]Consolidated!M74)*1000)*(1/0.79941)</f>
        <v/>
      </c>
      <c r="N74" s="210">
        <f>(([3]Consolidated!N74)*1000)*(1/0.79941)</f>
        <v/>
      </c>
    </row>
    <row r="75" ht="12.75" customHeight="1" s="150">
      <c r="C75" s="202" t="inlineStr">
        <is>
          <t>Own expenses</t>
        </is>
      </c>
      <c r="D75" s="211">
        <f>(([3]Consolidated!D75)*1000)*(1/0.79941)</f>
        <v/>
      </c>
      <c r="E75" s="211">
        <f>(([3]Consolidated!E75)*1000)*(1/0.79941)</f>
        <v/>
      </c>
      <c r="F75" s="211">
        <f>(([3]Consolidated!F75)*1000)*(1/0.79941)</f>
        <v/>
      </c>
      <c r="G75" s="211">
        <f>(([3]Consolidated!G75)*1000)*(1/0.79941)</f>
        <v/>
      </c>
      <c r="H75" s="211">
        <f>(([3]Consolidated!H75)*1000)*(1/0.79941)</f>
        <v/>
      </c>
      <c r="I75" s="211">
        <f>(([3]Consolidated!I75)*1000)*(1/0.79941)</f>
        <v/>
      </c>
      <c r="J75" s="213">
        <f>(([3]Consolidated!J75)*1000)*(1/0.79941)</f>
        <v/>
      </c>
      <c r="K75" s="185" t="n"/>
      <c r="L75" s="213">
        <f>(([3]Consolidated!L75)*1000)*(1/0.79941)</f>
        <v/>
      </c>
      <c r="M75" s="211">
        <f>(([3]Consolidated!M75)*1000)*(1/0.79941)</f>
        <v/>
      </c>
      <c r="N75" s="217">
        <f>(([3]Consolidated!N75)*1000)*(1/0.79941)</f>
        <v/>
      </c>
    </row>
    <row r="76" ht="12.75" customHeight="1" s="150">
      <c r="C76" s="202" t="inlineStr">
        <is>
          <t>Other expenses</t>
        </is>
      </c>
      <c r="D76" s="211">
        <f>(([3]Consolidated!D76)*1000)*(1/0.79941)</f>
        <v/>
      </c>
      <c r="E76" s="211">
        <f>(([3]Consolidated!E76)*1000)*(1/0.79941)</f>
        <v/>
      </c>
      <c r="F76" s="211">
        <f>(([3]Consolidated!F76)*1000)*(1/0.79941)</f>
        <v/>
      </c>
      <c r="G76" s="211">
        <f>(([3]Consolidated!G76)*1000)*(1/0.79941)</f>
        <v/>
      </c>
      <c r="H76" s="211">
        <f>(([3]Consolidated!H76)*1000)*(1/0.79941)</f>
        <v/>
      </c>
      <c r="I76" s="211">
        <f>(([3]Consolidated!I76)*1000)*(1/0.79941)</f>
        <v/>
      </c>
      <c r="J76" s="213">
        <f>(([3]Consolidated!J76)*1000)*(1/0.79941)</f>
        <v/>
      </c>
      <c r="K76" s="185" t="n"/>
      <c r="L76" s="213">
        <f>(([3]Consolidated!L76)*1000)*(1/0.79941)</f>
        <v/>
      </c>
      <c r="M76" s="211">
        <f>(([3]Consolidated!M76)*1000)*(1/0.79941)</f>
        <v/>
      </c>
      <c r="N76" s="206">
        <f>(([3]Consolidated!N76)*1000)*(1/0.79941)</f>
        <v/>
      </c>
    </row>
    <row r="77" ht="13.5" customHeight="1" s="150">
      <c r="A77" s="176" t="n"/>
      <c r="B77" s="176" t="n"/>
      <c r="C77" s="207" t="inlineStr">
        <is>
          <t xml:space="preserve">Operating expenses </t>
        </is>
      </c>
      <c r="D77" s="215">
        <f>(([3]Consolidated!D77)*1000)*(1/0.79941)</f>
        <v/>
      </c>
      <c r="E77" s="215">
        <f>(([3]Consolidated!E77)*1000)*(1/0.79941)</f>
        <v/>
      </c>
      <c r="F77" s="215">
        <f>(([3]Consolidated!F77)*1000)*(1/0.79941)</f>
        <v/>
      </c>
      <c r="G77" s="215">
        <f>(([3]Consolidated!G77)*1000)*(1/0.79941)</f>
        <v/>
      </c>
      <c r="H77" s="215">
        <f>(([3]Consolidated!H77)*1000)*(1/0.79941)</f>
        <v/>
      </c>
      <c r="I77" s="215">
        <f>(([3]Consolidated!I77)*1000)*(1/0.79941)</f>
        <v/>
      </c>
      <c r="J77" s="210">
        <f>(([3]Consolidated!J77)*1000)*(1/0.79941)</f>
        <v/>
      </c>
      <c r="K77" s="185" t="n"/>
      <c r="L77" s="210">
        <f>(([3]Consolidated!L77)*1000)*(1/0.79941)</f>
        <v/>
      </c>
      <c r="M77" s="215">
        <f>(([3]Consolidated!M77)*1000)*(1/0.79941)</f>
        <v/>
      </c>
      <c r="N77" s="210">
        <f>(([3]Consolidated!N77)*1000)*(1/0.79941)</f>
        <v/>
      </c>
    </row>
    <row r="78" ht="12.75" customHeight="1" s="150">
      <c r="C78" s="202" t="n"/>
      <c r="D78" s="211">
        <f>0*(1/0.79941)</f>
        <v/>
      </c>
      <c r="E78" s="211">
        <f>0*(1/0.79941)</f>
        <v/>
      </c>
      <c r="F78" s="211">
        <f>0*(1/0.79941)</f>
        <v/>
      </c>
      <c r="G78" s="211">
        <f>0*(1/0.79941)</f>
        <v/>
      </c>
      <c r="H78" s="211">
        <f>0*(1/0.79941)</f>
        <v/>
      </c>
      <c r="I78" s="211">
        <f>0*(1/0.79941)</f>
        <v/>
      </c>
      <c r="J78" s="218">
        <f>0*(1/0.79941)</f>
        <v/>
      </c>
      <c r="K78" s="185" t="n"/>
      <c r="L78" s="213">
        <f>0*(1/0.79941)</f>
        <v/>
      </c>
      <c r="M78" s="211">
        <f>0*(1/0.79941)</f>
        <v/>
      </c>
      <c r="N78" s="218">
        <f>0*(1/0.79941)</f>
        <v/>
      </c>
    </row>
    <row r="79" ht="12.75" customHeight="1" s="150">
      <c r="C79" s="202" t="inlineStr">
        <is>
          <t>HR &amp; Comms</t>
        </is>
      </c>
      <c r="D79" s="211">
        <f>(([3]Consolidated!D79)*1000)*(1/0.79941)</f>
        <v/>
      </c>
      <c r="E79" s="211">
        <f>(([3]Consolidated!E79)*1000)*(1/0.79941)</f>
        <v/>
      </c>
      <c r="F79" s="211">
        <f>(([3]Consolidated!F79)*1000)*(1/0.79941)</f>
        <v/>
      </c>
      <c r="G79" s="211">
        <f>(([3]Consolidated!G79)*1000)*(1/0.79941)</f>
        <v/>
      </c>
      <c r="H79" s="211">
        <f>(([3]Consolidated!H79)*1000)*(1/0.79941)</f>
        <v/>
      </c>
      <c r="I79" s="211">
        <f>(([3]Consolidated!I79)*1000)*(1/0.79941)</f>
        <v/>
      </c>
      <c r="J79" s="213">
        <f>(([3]Consolidated!J79)*1000)*(1/0.79941)</f>
        <v/>
      </c>
      <c r="K79" s="185" t="n"/>
      <c r="L79" s="213">
        <f>(([3]Consolidated!L79)*1000)*(1/0.79941)</f>
        <v/>
      </c>
      <c r="M79" s="211">
        <f>(([3]Consolidated!M79)*1000)*(1/0.79941)</f>
        <v/>
      </c>
      <c r="N79" s="206">
        <f>(([3]Consolidated!N79)*1000)*(1/0.79941)</f>
        <v/>
      </c>
    </row>
    <row r="80" ht="12.75" customHeight="1" s="150">
      <c r="C80" s="202" t="inlineStr">
        <is>
          <t>Finance &amp; Business Support</t>
        </is>
      </c>
      <c r="D80" s="211">
        <f>(([3]Consolidated!D80)*1000)*(1/0.79941)</f>
        <v/>
      </c>
      <c r="E80" s="211">
        <f>(([3]Consolidated!E80)*1000)*(1/0.79941)</f>
        <v/>
      </c>
      <c r="F80" s="211">
        <f>(([3]Consolidated!F80)*1000)*(1/0.79941)</f>
        <v/>
      </c>
      <c r="G80" s="211">
        <f>(([3]Consolidated!G80)*1000)*(1/0.79941)</f>
        <v/>
      </c>
      <c r="H80" s="211">
        <f>(([3]Consolidated!H80)*1000)*(1/0.79941)</f>
        <v/>
      </c>
      <c r="I80" s="211">
        <f>(([3]Consolidated!I80)*1000)*(1/0.79941)</f>
        <v/>
      </c>
      <c r="J80" s="213">
        <f>(([3]Consolidated!J80)*1000)*(1/0.79941)</f>
        <v/>
      </c>
      <c r="K80" s="185" t="n"/>
      <c r="L80" s="213">
        <f>(([3]Consolidated!L80)*1000)*(1/0.79941)</f>
        <v/>
      </c>
      <c r="M80" s="211">
        <f>(([3]Consolidated!M80)*1000)*(1/0.79941)</f>
        <v/>
      </c>
      <c r="N80" s="206">
        <f>(([3]Consolidated!N80)*1000)*(1/0.79941)</f>
        <v/>
      </c>
    </row>
    <row r="81" ht="12.75" customHeight="1" s="150">
      <c r="C81" s="202" t="inlineStr">
        <is>
          <t>IT alloc</t>
        </is>
      </c>
      <c r="D81" s="211">
        <f>(([3]Consolidated!D81)*1000)*(1/0.79941)</f>
        <v/>
      </c>
      <c r="E81" s="211">
        <f>(([3]Consolidated!E81)*1000)*(1/0.79941)</f>
        <v/>
      </c>
      <c r="F81" s="211">
        <f>(([3]Consolidated!F81)*1000)*(1/0.79941)</f>
        <v/>
      </c>
      <c r="G81" s="211">
        <f>(([3]Consolidated!G81)*1000)*(1/0.79941)</f>
        <v/>
      </c>
      <c r="H81" s="211">
        <f>(([3]Consolidated!H81)*1000)*(1/0.79941)</f>
        <v/>
      </c>
      <c r="I81" s="211">
        <f>(([3]Consolidated!I81)*1000)*(1/0.79941)</f>
        <v/>
      </c>
      <c r="J81" s="213">
        <f>(([3]Consolidated!J81)*1000)*(1/0.79941)</f>
        <v/>
      </c>
      <c r="K81" s="185" t="n"/>
      <c r="L81" s="213">
        <f>(([3]Consolidated!L81)*1000)*(1/0.79941)</f>
        <v/>
      </c>
      <c r="M81" s="211">
        <f>(([3]Consolidated!M81)*1000)*(1/0.79941)</f>
        <v/>
      </c>
      <c r="N81" s="206">
        <f>(([3]Consolidated!N81)*1000)*(1/0.79941)</f>
        <v/>
      </c>
    </row>
    <row r="82" ht="12.75" customHeight="1" s="150">
      <c r="C82" s="202" t="inlineStr">
        <is>
          <t>Facilities Management</t>
        </is>
      </c>
      <c r="D82" s="211">
        <f>(([3]Consolidated!D82)*1000)*(1/0.79941)</f>
        <v/>
      </c>
      <c r="E82" s="211">
        <f>(([3]Consolidated!E82)*1000)*(1/0.79941)</f>
        <v/>
      </c>
      <c r="F82" s="211">
        <f>(([3]Consolidated!F82)*1000)*(1/0.79941)</f>
        <v/>
      </c>
      <c r="G82" s="211">
        <f>(([3]Consolidated!G82)*1000)*(1/0.79941)</f>
        <v/>
      </c>
      <c r="H82" s="211">
        <f>(([3]Consolidated!H82)*1000)*(1/0.79941)</f>
        <v/>
      </c>
      <c r="I82" s="211">
        <f>(([3]Consolidated!I82)*1000)*(1/0.79941)</f>
        <v/>
      </c>
      <c r="J82" s="213">
        <f>(([3]Consolidated!J82)*1000)*(1/0.79941)</f>
        <v/>
      </c>
      <c r="K82" s="185" t="n"/>
      <c r="L82" s="213">
        <f>(([3]Consolidated!L82)*1000)*(1/0.79941)</f>
        <v/>
      </c>
      <c r="M82" s="211">
        <f>(([3]Consolidated!M82)*1000)*(1/0.79941)</f>
        <v/>
      </c>
      <c r="N82" s="206">
        <f>(([3]Consolidated!N82)*1000)*(1/0.79941)</f>
        <v/>
      </c>
    </row>
    <row r="83" ht="13.5" customHeight="1" s="150">
      <c r="C83" s="207" t="inlineStr">
        <is>
          <t>Overheads</t>
        </is>
      </c>
      <c r="D83" s="215">
        <f>(([3]Consolidated!D83)*1000)*(1/0.79941)</f>
        <v/>
      </c>
      <c r="E83" s="215">
        <f>(([3]Consolidated!E83)*1000)*(1/0.79941)</f>
        <v/>
      </c>
      <c r="F83" s="215">
        <f>(([3]Consolidated!F83)*1000)*(1/0.79941)</f>
        <v/>
      </c>
      <c r="G83" s="215">
        <f>(([3]Consolidated!G83)*1000)*(1/0.79941)</f>
        <v/>
      </c>
      <c r="H83" s="215">
        <f>(([3]Consolidated!H83)*1000)*(1/0.79941)</f>
        <v/>
      </c>
      <c r="I83" s="215">
        <f>(([3]Consolidated!I83)*1000)*(1/0.79941)</f>
        <v/>
      </c>
      <c r="J83" s="210">
        <f>(([3]Consolidated!J83)*1000)*(1/0.79941)</f>
        <v/>
      </c>
      <c r="K83" s="185" t="n"/>
      <c r="L83" s="210">
        <f>(([3]Consolidated!L83)*1000)*(1/0.79941)</f>
        <v/>
      </c>
      <c r="M83" s="215">
        <f>(([3]Consolidated!M83)*1000)*(1/0.79941)</f>
        <v/>
      </c>
      <c r="N83" s="210">
        <f>(([3]Consolidated!N83)*1000)*(1/0.79941)</f>
        <v/>
      </c>
    </row>
    <row r="84" ht="12.75" customHeight="1" s="150">
      <c r="C84" s="202" t="n"/>
      <c r="D84" s="211">
        <f>(([3]Consolidated!D84)*1000)*(1/0.79941)</f>
        <v/>
      </c>
      <c r="E84" s="211">
        <f>(([3]Consolidated!E84)*1000)*(1/0.79941)</f>
        <v/>
      </c>
      <c r="F84" s="211">
        <f>(([3]Consolidated!F84)*1000)*(1/0.79941)</f>
        <v/>
      </c>
      <c r="G84" s="211">
        <f>(([3]Consolidated!G84)*1000)*(1/0.79941)</f>
        <v/>
      </c>
      <c r="H84" s="211">
        <f>(([3]Consolidated!H84)*1000)*(1/0.79941)</f>
        <v/>
      </c>
      <c r="I84" s="211">
        <f>(([3]Consolidated!I84)*1000)*(1/0.79941)</f>
        <v/>
      </c>
      <c r="J84" s="218">
        <f>(([3]Consolidated!J84)*1000)*(1/0.79941)</f>
        <v/>
      </c>
      <c r="K84" s="185" t="n"/>
      <c r="L84" s="213">
        <f>(([3]Consolidated!L84)*1000)*(1/0.79941)</f>
        <v/>
      </c>
      <c r="M84" s="211">
        <f>(([3]Consolidated!M84)*1000)*(1/0.79941)</f>
        <v/>
      </c>
      <c r="N84" s="218">
        <f>(([3]Consolidated!N84)*1000)*(1/0.79941)</f>
        <v/>
      </c>
    </row>
    <row r="85" ht="13.5" customHeight="1" s="150">
      <c r="C85" s="207" t="inlineStr">
        <is>
          <t>Total Operating Costs (incl. O/H)</t>
        </is>
      </c>
      <c r="D85" s="215">
        <f>(([3]Consolidated!D85)*1000)*(1/0.79941)</f>
        <v/>
      </c>
      <c r="E85" s="215">
        <f>(([3]Consolidated!E85)*1000)*(1/0.79941)</f>
        <v/>
      </c>
      <c r="F85" s="215">
        <f>(([3]Consolidated!F85)*1000)*(1/0.79941)</f>
        <v/>
      </c>
      <c r="G85" s="215">
        <f>(([3]Consolidated!G85)*1000)*(1/0.79941)</f>
        <v/>
      </c>
      <c r="H85" s="215">
        <f>(([3]Consolidated!H85)*1000)*(1/0.79941)</f>
        <v/>
      </c>
      <c r="I85" s="215">
        <f>(([3]Consolidated!I85)*1000)*(1/0.79941)</f>
        <v/>
      </c>
      <c r="J85" s="210">
        <f>(([3]Consolidated!J85)*1000)*(1/0.79941)</f>
        <v/>
      </c>
      <c r="K85" s="185" t="n"/>
      <c r="L85" s="210">
        <f>(([3]Consolidated!L85)*1000)*(1/0.79941)</f>
        <v/>
      </c>
      <c r="M85" s="215">
        <f>(([3]Consolidated!M85)*1000)*(1/0.79941)</f>
        <v/>
      </c>
      <c r="N85" s="210">
        <f>(([3]Consolidated!N85)*1000)*(1/0.79941)</f>
        <v/>
      </c>
    </row>
    <row r="86"/>
    <row r="87"/>
    <row r="88" ht="13.5" customHeight="1" s="150"/>
    <row r="89" ht="45.75" customHeight="1" s="150">
      <c r="C89" s="219" t="inlineStr">
        <is>
          <t>PASS THROUGH COSTS
(US$  excl. VAT)</t>
        </is>
      </c>
      <c r="D89" s="220">
        <f>[3]Consolidated!D89</f>
        <v/>
      </c>
      <c r="E89" s="220">
        <f>[3]Consolidated!E89</f>
        <v/>
      </c>
      <c r="F89" s="220">
        <f>[3]Consolidated!F89</f>
        <v/>
      </c>
      <c r="G89" s="220">
        <f>[3]Consolidated!G89</f>
        <v/>
      </c>
      <c r="H89" s="220">
        <f>[3]Consolidated!H89</f>
        <v/>
      </c>
      <c r="I89" s="221">
        <f>[3]Consolidated!I89</f>
        <v/>
      </c>
      <c r="J89" s="222">
        <f>[3]Consolidated!J89</f>
        <v/>
      </c>
      <c r="K89" s="165" t="n"/>
      <c r="L89" s="220">
        <f>[3]Consolidated!L89</f>
        <v/>
      </c>
      <c r="M89" s="223">
        <f>[3]Consolidated!M89</f>
        <v/>
      </c>
      <c r="N89" s="220">
        <f>[3]Consolidated!N89</f>
        <v/>
      </c>
    </row>
    <row r="90" ht="12.75" customHeight="1" s="150">
      <c r="C90" s="224" t="inlineStr">
        <is>
          <t>Internal FTE</t>
        </is>
      </c>
      <c r="D90" s="231">
        <f>[3]Consolidated!D90</f>
        <v/>
      </c>
      <c r="E90" s="231">
        <f>[3]Consolidated!E90</f>
        <v/>
      </c>
      <c r="F90" s="231">
        <f>[3]Consolidated!F90</f>
        <v/>
      </c>
      <c r="G90" s="231">
        <f>[3]Consolidated!G90</f>
        <v/>
      </c>
      <c r="H90" s="231">
        <f>[3]Consolidated!H90</f>
        <v/>
      </c>
      <c r="I90" s="231">
        <f>[3]Consolidated!I90</f>
        <v/>
      </c>
      <c r="J90" s="232" t="n"/>
      <c r="K90" s="185" t="n"/>
      <c r="L90" s="233">
        <f>[3]Consolidated!L90</f>
        <v/>
      </c>
      <c r="M90" s="231">
        <f>[3]Consolidated!M90</f>
        <v/>
      </c>
      <c r="N90" s="234">
        <f>[3]Consolidated!N90</f>
        <v/>
      </c>
    </row>
    <row r="91" ht="12.75" customHeight="1" s="150">
      <c r="C91" s="224" t="inlineStr">
        <is>
          <t>External FTE</t>
        </is>
      </c>
      <c r="D91" s="231">
        <f>[3]Consolidated!D91</f>
        <v/>
      </c>
      <c r="E91" s="231">
        <f>[3]Consolidated!E91</f>
        <v/>
      </c>
      <c r="F91" s="231">
        <f>[3]Consolidated!F91</f>
        <v/>
      </c>
      <c r="G91" s="231">
        <f>[3]Consolidated!G91</f>
        <v/>
      </c>
      <c r="H91" s="231">
        <f>[3]Consolidated!H91</f>
        <v/>
      </c>
      <c r="I91" s="231">
        <f>[3]Consolidated!I91</f>
        <v/>
      </c>
      <c r="J91" s="232" t="n"/>
      <c r="K91" s="185" t="n"/>
      <c r="L91" s="233">
        <f>[3]Consolidated!L91</f>
        <v/>
      </c>
      <c r="M91" s="231">
        <f>[3]Consolidated!M91</f>
        <v/>
      </c>
      <c r="N91" s="234">
        <f>[3]Consolidated!N91</f>
        <v/>
      </c>
    </row>
    <row r="92" ht="13.5" customHeight="1" s="150">
      <c r="C92" s="228" t="inlineStr">
        <is>
          <t>Total FTE</t>
        </is>
      </c>
      <c r="D92" s="236">
        <f>[3]Consolidated!D92</f>
        <v/>
      </c>
      <c r="E92" s="236">
        <f>[3]Consolidated!E92</f>
        <v/>
      </c>
      <c r="F92" s="236">
        <f>[3]Consolidated!F92</f>
        <v/>
      </c>
      <c r="G92" s="236">
        <f>[3]Consolidated!G92</f>
        <v/>
      </c>
      <c r="H92" s="236">
        <f>[3]Consolidated!H92</f>
        <v/>
      </c>
      <c r="I92" s="236">
        <f>[3]Consolidated!I92</f>
        <v/>
      </c>
      <c r="J92" s="290" t="n"/>
      <c r="K92" s="185" t="n"/>
      <c r="L92" s="237">
        <f>[3]Consolidated!L92</f>
        <v/>
      </c>
      <c r="M92" s="236">
        <f>[3]Consolidated!M92</f>
        <v/>
      </c>
      <c r="N92" s="237">
        <f>[3]Consolidated!N92</f>
        <v/>
      </c>
    </row>
    <row r="93" ht="12.75" customHeight="1" s="150">
      <c r="C93" s="224" t="n"/>
      <c r="D93" s="231" t="n"/>
      <c r="E93" s="231" t="n"/>
      <c r="F93" s="231" t="n"/>
      <c r="G93" s="231" t="n"/>
      <c r="H93" s="231" t="n"/>
      <c r="I93" s="231" t="n"/>
      <c r="J93" s="232" t="n"/>
      <c r="K93" s="185" t="n"/>
      <c r="L93" s="233" t="n"/>
      <c r="M93" s="231" t="n"/>
      <c r="N93" s="234" t="n"/>
    </row>
    <row r="94" ht="12.75" customHeight="1" s="150">
      <c r="C94" s="224" t="inlineStr">
        <is>
          <t>Salaries</t>
        </is>
      </c>
      <c r="D94" s="231">
        <f>(([3]Consolidated!D94)*1000)*(1/0.79941)</f>
        <v/>
      </c>
      <c r="E94" s="231">
        <f>(([3]Consolidated!E94)*1000)*(1/0.79941)</f>
        <v/>
      </c>
      <c r="F94" s="231">
        <f>(([3]Consolidated!F94)*1000)*(1/0.79941)</f>
        <v/>
      </c>
      <c r="G94" s="231">
        <f>(([3]Consolidated!G94)*1000)*(1/0.79941)</f>
        <v/>
      </c>
      <c r="H94" s="231">
        <f>(([3]Consolidated!H94)*1000)*(1/0.79941)</f>
        <v/>
      </c>
      <c r="I94" s="231">
        <f>(([3]Consolidated!I94)*1000)*(1/0.79941)</f>
        <v/>
      </c>
      <c r="J94" s="233">
        <f>(([3]Consolidated!J94)*1000)*(1/0.79941)</f>
        <v/>
      </c>
      <c r="K94" s="185" t="n"/>
      <c r="L94" s="233">
        <f>(([3]Consolidated!L94)*1000)*(1/0.79941)</f>
        <v/>
      </c>
      <c r="M94" s="231">
        <f>(([3]Consolidated!M94)*1000)*(1/0.79941)</f>
        <v/>
      </c>
      <c r="N94" s="234">
        <f>(([3]Consolidated!N94)*1000)*(1/0.79941)</f>
        <v/>
      </c>
    </row>
    <row r="95" ht="12.75" customHeight="1" s="150">
      <c r="C95" s="224" t="inlineStr">
        <is>
          <t>Bonuses</t>
        </is>
      </c>
      <c r="D95" s="231">
        <f>(([3]Consolidated!D95)*1000)*(1/0.79941)</f>
        <v/>
      </c>
      <c r="E95" s="231">
        <f>(([3]Consolidated!E95)*1000)*(1/0.79941)</f>
        <v/>
      </c>
      <c r="F95" s="231">
        <f>(([3]Consolidated!F95)*1000)*(1/0.79941)</f>
        <v/>
      </c>
      <c r="G95" s="231">
        <f>(([3]Consolidated!G95)*1000)*(1/0.79941)</f>
        <v/>
      </c>
      <c r="H95" s="231">
        <f>(([3]Consolidated!H95)*1000)*(1/0.79941)</f>
        <v/>
      </c>
      <c r="I95" s="231">
        <f>(([3]Consolidated!I95)*1000)*(1/0.79941)</f>
        <v/>
      </c>
      <c r="J95" s="233">
        <f>(([3]Consolidated!J95)*1000)*(1/0.79941)</f>
        <v/>
      </c>
      <c r="K95" s="185" t="n"/>
      <c r="L95" s="233">
        <f>(([3]Consolidated!L95)*1000)*(1/0.79941)</f>
        <v/>
      </c>
      <c r="M95" s="231">
        <f>(([3]Consolidated!M95)*1000)*(1/0.79941)</f>
        <v/>
      </c>
      <c r="N95" s="234">
        <f>(([3]Consolidated!N95)*1000)*(1/0.79941)</f>
        <v/>
      </c>
    </row>
    <row r="96" ht="12.75" customHeight="1" s="150">
      <c r="C96" s="224" t="inlineStr">
        <is>
          <t>Third party staff, ex IT</t>
        </is>
      </c>
      <c r="D96" s="231">
        <f>(([3]Consolidated!D96)*1000)*(1/0.79941)</f>
        <v/>
      </c>
      <c r="E96" s="231">
        <f>(([3]Consolidated!E96)*1000)*(1/0.79941)</f>
        <v/>
      </c>
      <c r="F96" s="231">
        <f>(([3]Consolidated!F96)*1000)*(1/0.79941)</f>
        <v/>
      </c>
      <c r="G96" s="231">
        <f>(([3]Consolidated!G96)*1000)*(1/0.79941)</f>
        <v/>
      </c>
      <c r="H96" s="231">
        <f>(([3]Consolidated!H96)*1000)*(1/0.79941)</f>
        <v/>
      </c>
      <c r="I96" s="231">
        <f>(([3]Consolidated!I96)*1000)*(1/0.79941)</f>
        <v/>
      </c>
      <c r="J96" s="233">
        <f>(([3]Consolidated!J96)*1000)*(1/0.79941)</f>
        <v/>
      </c>
      <c r="K96" s="185" t="n"/>
      <c r="L96" s="233">
        <f>(([3]Consolidated!L96)*1000)*(1/0.79941)</f>
        <v/>
      </c>
      <c r="M96" s="231">
        <f>(([3]Consolidated!M96)*1000)*(1/0.79941)</f>
        <v/>
      </c>
      <c r="N96" s="234">
        <f>(([3]Consolidated!N96)*1000)*(1/0.79941)</f>
        <v/>
      </c>
    </row>
    <row r="97" ht="12.75" customHeight="1" s="150">
      <c r="C97" s="224" t="inlineStr">
        <is>
          <t>Third party IT staff</t>
        </is>
      </c>
      <c r="D97" s="231">
        <f>(([3]Consolidated!D97)*1000)*(1/0.79941)</f>
        <v/>
      </c>
      <c r="E97" s="231">
        <f>(([3]Consolidated!E97)*1000)*(1/0.79941)</f>
        <v/>
      </c>
      <c r="F97" s="231">
        <f>(([3]Consolidated!F97)*1000)*(1/0.79941)</f>
        <v/>
      </c>
      <c r="G97" s="231">
        <f>(([3]Consolidated!G97)*1000)*(1/0.79941)</f>
        <v/>
      </c>
      <c r="H97" s="231">
        <f>(([3]Consolidated!H97)*1000)*(1/0.79941)</f>
        <v/>
      </c>
      <c r="I97" s="231">
        <f>(([3]Consolidated!I97)*1000)*(1/0.79941)</f>
        <v/>
      </c>
      <c r="J97" s="233">
        <f>(([3]Consolidated!J97)*1000)*(1/0.79941)</f>
        <v/>
      </c>
      <c r="K97" s="185" t="n"/>
      <c r="L97" s="233">
        <f>(([3]Consolidated!L97)*1000)*(1/0.79941)</f>
        <v/>
      </c>
      <c r="M97" s="231">
        <f>(([3]Consolidated!M97)*1000)*(1/0.79941)</f>
        <v/>
      </c>
      <c r="N97" s="234">
        <f>(([3]Consolidated!N97)*1000)*(1/0.79941)</f>
        <v/>
      </c>
    </row>
    <row r="98" ht="12.75" customHeight="1" s="150">
      <c r="C98" s="224" t="inlineStr">
        <is>
          <t>Employee education</t>
        </is>
      </c>
      <c r="D98" s="231">
        <f>(([3]Consolidated!D98)*1000)*(1/0.79941)</f>
        <v/>
      </c>
      <c r="E98" s="231">
        <f>(([3]Consolidated!E98)*1000)*(1/0.79941)</f>
        <v/>
      </c>
      <c r="F98" s="231">
        <f>(([3]Consolidated!F98)*1000)*(1/0.79941)</f>
        <v/>
      </c>
      <c r="G98" s="231">
        <f>(([3]Consolidated!G98)*1000)*(1/0.79941)</f>
        <v/>
      </c>
      <c r="H98" s="231">
        <f>(([3]Consolidated!H98)*1000)*(1/0.79941)</f>
        <v/>
      </c>
      <c r="I98" s="231">
        <f>(([3]Consolidated!I98)*1000)*(1/0.79941)</f>
        <v/>
      </c>
      <c r="J98" s="233">
        <f>(([3]Consolidated!J98)*1000)*(1/0.79941)</f>
        <v/>
      </c>
      <c r="K98" s="185" t="n"/>
      <c r="L98" s="233">
        <f>(([3]Consolidated!L98)*1000)*(1/0.79941)</f>
        <v/>
      </c>
      <c r="M98" s="231">
        <f>(([3]Consolidated!M98)*1000)*(1/0.79941)</f>
        <v/>
      </c>
      <c r="N98" s="234">
        <f>(([3]Consolidated!N98)*1000)*(1/0.79941)</f>
        <v/>
      </c>
    </row>
    <row r="99" ht="12.75" customHeight="1" s="150">
      <c r="C99" s="224" t="inlineStr">
        <is>
          <t>Other staff expenses</t>
        </is>
      </c>
      <c r="D99" s="231">
        <f>(([3]Consolidated!D99)*1000)*(1/0.79941)</f>
        <v/>
      </c>
      <c r="E99" s="231">
        <f>(([3]Consolidated!E99)*1000)*(1/0.79941)</f>
        <v/>
      </c>
      <c r="F99" s="231">
        <f>(([3]Consolidated!F99)*1000)*(1/0.79941)</f>
        <v/>
      </c>
      <c r="G99" s="231">
        <f>(([3]Consolidated!G99)*1000)*(1/0.79941)</f>
        <v/>
      </c>
      <c r="H99" s="231">
        <f>(([3]Consolidated!H99)*1000)*(1/0.79941)</f>
        <v/>
      </c>
      <c r="I99" s="231">
        <f>(([3]Consolidated!I99)*1000)*(1/0.79941)</f>
        <v/>
      </c>
      <c r="J99" s="235">
        <f>(([3]Consolidated!J99)*1000)*(1/0.79941)</f>
        <v/>
      </c>
      <c r="K99" s="185" t="n"/>
      <c r="L99" s="233">
        <f>(([3]Consolidated!L99)*1000)*(1/0.79941)</f>
        <v/>
      </c>
      <c r="M99" s="231">
        <f>(([3]Consolidated!M99)*1000)*(1/0.79941)</f>
        <v/>
      </c>
      <c r="N99" s="234">
        <f>(([3]Consolidated!N99)*1000)*(1/0.79941)</f>
        <v/>
      </c>
    </row>
    <row r="100" ht="13.5" customHeight="1" s="150">
      <c r="C100" s="228" t="inlineStr">
        <is>
          <t>Staff expenses</t>
        </is>
      </c>
      <c r="D100" s="236">
        <f>(([3]Consolidated!D100)*1000)*(1/0.79941)</f>
        <v/>
      </c>
      <c r="E100" s="236">
        <f>(([3]Consolidated!E100)*1000)*(1/0.79941)</f>
        <v/>
      </c>
      <c r="F100" s="236">
        <f>(([3]Consolidated!F100)*1000)*(1/0.79941)</f>
        <v/>
      </c>
      <c r="G100" s="236">
        <f>(([3]Consolidated!G100)*1000)*(1/0.79941)</f>
        <v/>
      </c>
      <c r="H100" s="236">
        <f>(([3]Consolidated!H100)*1000)*(1/0.79941)</f>
        <v/>
      </c>
      <c r="I100" s="236">
        <f>(([3]Consolidated!I100)*1000)*(1/0.79941)</f>
        <v/>
      </c>
      <c r="J100" s="237">
        <f>(([3]Consolidated!J100)*1000)*(1/0.79941)</f>
        <v/>
      </c>
      <c r="K100" s="185" t="n"/>
      <c r="L100" s="237">
        <f>(([3]Consolidated!L100)*1000)*(1/0.79941)</f>
        <v/>
      </c>
      <c r="M100" s="236">
        <f>(([3]Consolidated!M100)*1000)*(1/0.79941)</f>
        <v/>
      </c>
      <c r="N100" s="237">
        <f>(([3]Consolidated!N100)*1000)*(1/0.79941)</f>
        <v/>
      </c>
    </row>
    <row r="101" ht="12.75" customHeight="1" s="150">
      <c r="C101" s="224" t="inlineStr">
        <is>
          <t>Hardware expenses</t>
        </is>
      </c>
      <c r="D101" s="231">
        <f>(([3]Consolidated!D101)*1000)*(1/0.79941)</f>
        <v/>
      </c>
      <c r="E101" s="231">
        <f>(([3]Consolidated!E101)*1000)*(1/0.79941)</f>
        <v/>
      </c>
      <c r="F101" s="231">
        <f>(([3]Consolidated!F101)*1000)*(1/0.79941)</f>
        <v/>
      </c>
      <c r="G101" s="231">
        <f>(([3]Consolidated!G101)*1000)*(1/0.79941)</f>
        <v/>
      </c>
      <c r="H101" s="231">
        <f>(([3]Consolidated!H101)*1000)*(1/0.79941)</f>
        <v/>
      </c>
      <c r="I101" s="231">
        <f>(([3]Consolidated!I101)*1000)*(1/0.79941)</f>
        <v/>
      </c>
      <c r="J101" s="233">
        <f>(([3]Consolidated!J101)*1000)*(1/0.79941)</f>
        <v/>
      </c>
      <c r="K101" s="185" t="n"/>
      <c r="L101" s="233">
        <f>(([3]Consolidated!L101)*1000)*(1/0.79941)</f>
        <v/>
      </c>
      <c r="M101" s="231">
        <f>(([3]Consolidated!M101)*1000)*(1/0.79941)</f>
        <v/>
      </c>
      <c r="N101" s="234">
        <f>(([3]Consolidated!N101)*1000)*(1/0.79941)</f>
        <v/>
      </c>
    </row>
    <row r="102" ht="12.75" customHeight="1" s="150">
      <c r="C102" s="224" t="inlineStr">
        <is>
          <t>Leasing/renting hardware</t>
        </is>
      </c>
      <c r="D102" s="231">
        <f>(([3]Consolidated!D102)*1000)*(1/0.79941)</f>
        <v/>
      </c>
      <c r="E102" s="231">
        <f>(([3]Consolidated!E102)*1000)*(1/0.79941)</f>
        <v/>
      </c>
      <c r="F102" s="231">
        <f>(([3]Consolidated!F102)*1000)*(1/0.79941)</f>
        <v/>
      </c>
      <c r="G102" s="231">
        <f>(([3]Consolidated!G102)*1000)*(1/0.79941)</f>
        <v/>
      </c>
      <c r="H102" s="231">
        <f>(([3]Consolidated!H102)*1000)*(1/0.79941)</f>
        <v/>
      </c>
      <c r="I102" s="231">
        <f>(([3]Consolidated!I102)*1000)*(1/0.79941)</f>
        <v/>
      </c>
      <c r="J102" s="233">
        <f>(([3]Consolidated!J102)*1000)*(1/0.79941)</f>
        <v/>
      </c>
      <c r="K102" s="185" t="n"/>
      <c r="L102" s="233">
        <f>(([3]Consolidated!L102)*1000)*(1/0.79941)</f>
        <v/>
      </c>
      <c r="M102" s="231">
        <f>(([3]Consolidated!M102)*1000)*(1/0.79941)</f>
        <v/>
      </c>
      <c r="N102" s="234">
        <f>(([3]Consolidated!N102)*1000)*(1/0.79941)</f>
        <v/>
      </c>
    </row>
    <row r="103" ht="12.75" customHeight="1" s="150">
      <c r="C103" s="224" t="inlineStr">
        <is>
          <t>Software expenses</t>
        </is>
      </c>
      <c r="D103" s="231">
        <f>(([3]Consolidated!D103)*1000)*(1/0.79941)</f>
        <v/>
      </c>
      <c r="E103" s="231">
        <f>(([3]Consolidated!E103)*1000)*(1/0.79941)</f>
        <v/>
      </c>
      <c r="F103" s="231">
        <f>(([3]Consolidated!F103)*1000)*(1/0.79941)</f>
        <v/>
      </c>
      <c r="G103" s="231">
        <f>(([3]Consolidated!G103)*1000)*(1/0.79941)</f>
        <v/>
      </c>
      <c r="H103" s="231">
        <f>(([3]Consolidated!H103)*1000)*(1/0.79941)</f>
        <v/>
      </c>
      <c r="I103" s="231">
        <f>(([3]Consolidated!I103)*1000)*(1/0.79941)</f>
        <v/>
      </c>
      <c r="J103" s="233">
        <f>(([3]Consolidated!J103)*1000)*(1/0.79941)</f>
        <v/>
      </c>
      <c r="K103" s="185" t="n"/>
      <c r="L103" s="233">
        <f>(([3]Consolidated!L103)*1000)*(1/0.79941)</f>
        <v/>
      </c>
      <c r="M103" s="231">
        <f>(([3]Consolidated!M103)*1000)*(1/0.79941)</f>
        <v/>
      </c>
      <c r="N103" s="234">
        <f>(([3]Consolidated!N103)*1000)*(1/0.79941)</f>
        <v/>
      </c>
    </row>
    <row r="104" ht="12.75" customHeight="1" s="150">
      <c r="C104" s="224" t="inlineStr">
        <is>
          <t>Leasing/renting/licenses sw</t>
        </is>
      </c>
      <c r="D104" s="231">
        <f>(([3]Consolidated!D104)*1000)*(1/0.79941)</f>
        <v/>
      </c>
      <c r="E104" s="231">
        <f>(([3]Consolidated!E104)*1000)*(1/0.79941)</f>
        <v/>
      </c>
      <c r="F104" s="231">
        <f>(([3]Consolidated!F104)*1000)*(1/0.79941)</f>
        <v/>
      </c>
      <c r="G104" s="231">
        <f>(([3]Consolidated!G104)*1000)*(1/0.79941)</f>
        <v/>
      </c>
      <c r="H104" s="231">
        <f>(([3]Consolidated!H104)*1000)*(1/0.79941)</f>
        <v/>
      </c>
      <c r="I104" s="231">
        <f>(([3]Consolidated!I104)*1000)*(1/0.79941)</f>
        <v/>
      </c>
      <c r="J104" s="233">
        <f>(([3]Consolidated!J104)*1000)*(1/0.79941)</f>
        <v/>
      </c>
      <c r="K104" s="185" t="n"/>
      <c r="L104" s="233">
        <f>(([3]Consolidated!L104)*1000)*(1/0.79941)</f>
        <v/>
      </c>
      <c r="M104" s="231">
        <f>(([3]Consolidated!M104)*1000)*(1/0.79941)</f>
        <v/>
      </c>
      <c r="N104" s="234">
        <f>(([3]Consolidated!N104)*1000)*(1/0.79941)</f>
        <v/>
      </c>
    </row>
    <row r="105" ht="12.75" customHeight="1" s="150">
      <c r="C105" s="224" t="inlineStr">
        <is>
          <t>Depreciation hardware</t>
        </is>
      </c>
      <c r="D105" s="231">
        <f>(([3]Consolidated!D105)*1000)*(1/0.79941)</f>
        <v/>
      </c>
      <c r="E105" s="231">
        <f>(([3]Consolidated!E105)*1000)*(1/0.79941)</f>
        <v/>
      </c>
      <c r="F105" s="231">
        <f>(([3]Consolidated!F105)*1000)*(1/0.79941)</f>
        <v/>
      </c>
      <c r="G105" s="231">
        <f>(([3]Consolidated!G105)*1000)*(1/0.79941)</f>
        <v/>
      </c>
      <c r="H105" s="231">
        <f>(([3]Consolidated!H105)*1000)*(1/0.79941)</f>
        <v/>
      </c>
      <c r="I105" s="231">
        <f>(([3]Consolidated!I105)*1000)*(1/0.79941)</f>
        <v/>
      </c>
      <c r="J105" s="233">
        <f>(([3]Consolidated!J105)*1000)*(1/0.79941)</f>
        <v/>
      </c>
      <c r="K105" s="185" t="n"/>
      <c r="L105" s="233">
        <f>(([3]Consolidated!L105)*1000)*(1/0.79941)</f>
        <v/>
      </c>
      <c r="M105" s="231">
        <f>(([3]Consolidated!M105)*1000)*(1/0.79941)</f>
        <v/>
      </c>
      <c r="N105" s="234">
        <f>(([3]Consolidated!N105)*1000)*(1/0.79941)</f>
        <v/>
      </c>
    </row>
    <row r="106" ht="12.75" customHeight="1" s="150">
      <c r="C106" s="224" t="inlineStr">
        <is>
          <t>Depreciation software</t>
        </is>
      </c>
      <c r="D106" s="231">
        <f>(([3]Consolidated!D106)*1000)*(1/0.79941)</f>
        <v/>
      </c>
      <c r="E106" s="231">
        <f>(([3]Consolidated!E106)*1000)*(1/0.79941)</f>
        <v/>
      </c>
      <c r="F106" s="231">
        <f>(([3]Consolidated!F106)*1000)*(1/0.79941)</f>
        <v/>
      </c>
      <c r="G106" s="231">
        <f>(([3]Consolidated!G106)*1000)*(1/0.79941)</f>
        <v/>
      </c>
      <c r="H106" s="231">
        <f>(([3]Consolidated!H106)*1000)*(1/0.79941)</f>
        <v/>
      </c>
      <c r="I106" s="231">
        <f>(([3]Consolidated!I106)*1000)*(1/0.79941)</f>
        <v/>
      </c>
      <c r="J106" s="233">
        <f>(([3]Consolidated!J106)*1000)*(1/0.79941)</f>
        <v/>
      </c>
      <c r="K106" s="185" t="n"/>
      <c r="L106" s="233">
        <f>(([3]Consolidated!L106)*1000)*(1/0.79941)</f>
        <v/>
      </c>
      <c r="M106" s="231">
        <f>(([3]Consolidated!M106)*1000)*(1/0.79941)</f>
        <v/>
      </c>
      <c r="N106" s="234">
        <f>(([3]Consolidated!N106)*1000)*(1/0.79941)</f>
        <v/>
      </c>
    </row>
    <row r="107" ht="12.75" customHeight="1" s="150">
      <c r="C107" s="224" t="inlineStr">
        <is>
          <t>Outsourcing IT activities</t>
        </is>
      </c>
      <c r="D107" s="231">
        <f>(([3]Consolidated!D107)*1000)*(1/0.79941)</f>
        <v/>
      </c>
      <c r="E107" s="231">
        <f>(([3]Consolidated!E107)*1000)*(1/0.79941)</f>
        <v/>
      </c>
      <c r="F107" s="231">
        <f>(([3]Consolidated!F107)*1000)*(1/0.79941)</f>
        <v/>
      </c>
      <c r="G107" s="231">
        <f>(([3]Consolidated!G107)*1000)*(1/0.79941)</f>
        <v/>
      </c>
      <c r="H107" s="231">
        <f>(([3]Consolidated!H107)*1000)*(1/0.79941)</f>
        <v/>
      </c>
      <c r="I107" s="231">
        <f>(([3]Consolidated!I107)*1000)*(1/0.79941)</f>
        <v/>
      </c>
      <c r="J107" s="233">
        <f>(([3]Consolidated!J107)*1000)*(1/0.79941)</f>
        <v/>
      </c>
      <c r="K107" s="185" t="n"/>
      <c r="L107" s="233">
        <f>(([3]Consolidated!L107)*1000)*(1/0.79941)</f>
        <v/>
      </c>
      <c r="M107" s="231">
        <f>(([3]Consolidated!M107)*1000)*(1/0.79941)</f>
        <v/>
      </c>
      <c r="N107" s="234">
        <f>(([3]Consolidated!N107)*1000)*(1/0.79941)</f>
        <v/>
      </c>
    </row>
    <row r="108" ht="12.75" customHeight="1" s="150">
      <c r="C108" s="224" t="inlineStr">
        <is>
          <t>Other IT expenses</t>
        </is>
      </c>
      <c r="D108" s="231">
        <f>(([3]Consolidated!D108)*1000)*(1/0.79941)</f>
        <v/>
      </c>
      <c r="E108" s="231">
        <f>(([3]Consolidated!E108)*1000)*(1/0.79941)</f>
        <v/>
      </c>
      <c r="F108" s="231">
        <f>(([3]Consolidated!F108)*1000)*(1/0.79941)</f>
        <v/>
      </c>
      <c r="G108" s="231">
        <f>(([3]Consolidated!G108)*1000)*(1/0.79941)</f>
        <v/>
      </c>
      <c r="H108" s="231">
        <f>(([3]Consolidated!H108)*1000)*(1/0.79941)</f>
        <v/>
      </c>
      <c r="I108" s="231">
        <f>(([3]Consolidated!I108)*1000)*(1/0.79941)</f>
        <v/>
      </c>
      <c r="J108" s="233">
        <f>(([3]Consolidated!J108)*1000)*(1/0.79941)</f>
        <v/>
      </c>
      <c r="K108" s="185" t="n"/>
      <c r="L108" s="233">
        <f>(([3]Consolidated!L108)*1000)*(1/0.79941)</f>
        <v/>
      </c>
      <c r="M108" s="231">
        <f>(([3]Consolidated!M108)*1000)*(1/0.79941)</f>
        <v/>
      </c>
      <c r="N108" s="234">
        <f>(([3]Consolidated!N108)*1000)*(1/0.79941)</f>
        <v/>
      </c>
    </row>
    <row r="109" ht="13.5" customHeight="1" s="150">
      <c r="C109" s="228" t="inlineStr">
        <is>
          <t>EDP expenses</t>
        </is>
      </c>
      <c r="D109" s="236">
        <f>(([3]Consolidated!D109)*1000)*(1/0.79941)</f>
        <v/>
      </c>
      <c r="E109" s="236">
        <f>(([3]Consolidated!E109)*1000)*(1/0.79941)</f>
        <v/>
      </c>
      <c r="F109" s="236">
        <f>(([3]Consolidated!F109)*1000)*(1/0.79941)</f>
        <v/>
      </c>
      <c r="G109" s="236">
        <f>(([3]Consolidated!G109)*1000)*(1/0.79941)</f>
        <v/>
      </c>
      <c r="H109" s="236">
        <f>(([3]Consolidated!H109)*1000)*(1/0.79941)</f>
        <v/>
      </c>
      <c r="I109" s="236">
        <f>(([3]Consolidated!I109)*1000)*(1/0.79941)</f>
        <v/>
      </c>
      <c r="J109" s="237">
        <f>(([3]Consolidated!J109)*1000)*(1/0.79941)</f>
        <v/>
      </c>
      <c r="K109" s="185" t="n"/>
      <c r="L109" s="237">
        <f>(([3]Consolidated!L109)*1000)*(1/0.79941)</f>
        <v/>
      </c>
      <c r="M109" s="236">
        <f>(([3]Consolidated!M109)*1000)*(1/0.79941)</f>
        <v/>
      </c>
      <c r="N109" s="237">
        <f>(([3]Consolidated!N109)*1000)*(1/0.79941)</f>
        <v/>
      </c>
    </row>
    <row r="110" ht="12.75" customHeight="1" s="150">
      <c r="C110" s="224" t="inlineStr">
        <is>
          <t>Telecom expenses</t>
        </is>
      </c>
      <c r="D110" s="231">
        <f>(([3]Consolidated!D110)*1000)*(1/0.79941)</f>
        <v/>
      </c>
      <c r="E110" s="231">
        <f>(([3]Consolidated!E110)*1000)*(1/0.79941)</f>
        <v/>
      </c>
      <c r="F110" s="231">
        <f>(([3]Consolidated!F110)*1000)*(1/0.79941)</f>
        <v/>
      </c>
      <c r="G110" s="231">
        <f>(([3]Consolidated!G110)*1000)*(1/0.79941)</f>
        <v/>
      </c>
      <c r="H110" s="231">
        <f>(([3]Consolidated!H110)*1000)*(1/0.79941)</f>
        <v/>
      </c>
      <c r="I110" s="231">
        <f>(([3]Consolidated!I110)*1000)*(1/0.79941)</f>
        <v/>
      </c>
      <c r="J110" s="233">
        <f>(([3]Consolidated!J110)*1000)*(1/0.79941)</f>
        <v/>
      </c>
      <c r="K110" s="185" t="n"/>
      <c r="L110" s="233">
        <f>(([3]Consolidated!L110)*1000)*(1/0.79941)</f>
        <v/>
      </c>
      <c r="M110" s="231">
        <f>(([3]Consolidated!M110)*1000)*(1/0.79941)</f>
        <v/>
      </c>
      <c r="N110" s="234">
        <f>(([3]Consolidated!N110)*1000)*(1/0.79941)</f>
        <v/>
      </c>
    </row>
    <row r="111" ht="12.75" customHeight="1" s="150">
      <c r="C111" s="224" t="inlineStr">
        <is>
          <t>Office equipment and supplies</t>
        </is>
      </c>
      <c r="D111" s="231">
        <f>(([3]Consolidated!D111)*1000)*(1/0.79941)</f>
        <v/>
      </c>
      <c r="E111" s="231">
        <f>(([3]Consolidated!E111)*1000)*(1/0.79941)</f>
        <v/>
      </c>
      <c r="F111" s="231">
        <f>(([3]Consolidated!F111)*1000)*(1/0.79941)</f>
        <v/>
      </c>
      <c r="G111" s="231">
        <f>(([3]Consolidated!G111)*1000)*(1/0.79941)</f>
        <v/>
      </c>
      <c r="H111" s="231">
        <f>(([3]Consolidated!H111)*1000)*(1/0.79941)</f>
        <v/>
      </c>
      <c r="I111" s="231">
        <f>(([3]Consolidated!I111)*1000)*(1/0.79941)</f>
        <v/>
      </c>
      <c r="J111" s="233">
        <f>(([3]Consolidated!J111)*1000)*(1/0.79941)</f>
        <v/>
      </c>
      <c r="K111" s="185" t="n"/>
      <c r="L111" s="233">
        <f>(([3]Consolidated!L111)*1000)*(1/0.79941)</f>
        <v/>
      </c>
      <c r="M111" s="231">
        <f>(([3]Consolidated!M111)*1000)*(1/0.79941)</f>
        <v/>
      </c>
      <c r="N111" s="234">
        <f>(([3]Consolidated!N111)*1000)*(1/0.79941)</f>
        <v/>
      </c>
    </row>
    <row r="112" ht="12.75" customHeight="1" s="150">
      <c r="C112" s="224" t="inlineStr">
        <is>
          <t>Accomodation expenses</t>
        </is>
      </c>
      <c r="D112" s="231">
        <f>(([3]Consolidated!D112)*1000)*(1/0.79941)</f>
        <v/>
      </c>
      <c r="E112" s="231">
        <f>(([3]Consolidated!E112)*1000)*(1/0.79941)</f>
        <v/>
      </c>
      <c r="F112" s="231">
        <f>(([3]Consolidated!F112)*1000)*(1/0.79941)</f>
        <v/>
      </c>
      <c r="G112" s="231">
        <f>(([3]Consolidated!G112)*1000)*(1/0.79941)</f>
        <v/>
      </c>
      <c r="H112" s="231">
        <f>(([3]Consolidated!H112)*1000)*(1/0.79941)</f>
        <v/>
      </c>
      <c r="I112" s="231">
        <f>(([3]Consolidated!I112)*1000)*(1/0.79941)</f>
        <v/>
      </c>
      <c r="J112" s="233">
        <f>(([3]Consolidated!J112)*1000)*(1/0.79941)</f>
        <v/>
      </c>
      <c r="K112" s="185" t="n"/>
      <c r="L112" s="233">
        <f>(([3]Consolidated!L112)*1000)*(1/0.79941)</f>
        <v/>
      </c>
      <c r="M112" s="231">
        <f>(([3]Consolidated!M112)*1000)*(1/0.79941)</f>
        <v/>
      </c>
      <c r="N112" s="234">
        <f>(([3]Consolidated!N112)*1000)*(1/0.79941)</f>
        <v/>
      </c>
    </row>
    <row r="113" ht="12.75" customHeight="1" s="150">
      <c r="C113" s="224" t="inlineStr">
        <is>
          <t>Travel costs</t>
        </is>
      </c>
      <c r="D113" s="231">
        <f>(([3]Consolidated!D113)*1000)*(1/0.79941)</f>
        <v/>
      </c>
      <c r="E113" s="231">
        <f>(([3]Consolidated!E113)*1000)*(1/0.79941)</f>
        <v/>
      </c>
      <c r="F113" s="231">
        <f>(([3]Consolidated!F113)*1000)*(1/0.79941)</f>
        <v/>
      </c>
      <c r="G113" s="231">
        <f>(([3]Consolidated!G113)*1000)*(1/0.79941)</f>
        <v/>
      </c>
      <c r="H113" s="231">
        <f>(([3]Consolidated!H113)*1000)*(1/0.79941)</f>
        <v/>
      </c>
      <c r="I113" s="231">
        <f>(([3]Consolidated!I113)*1000)*(1/0.79941)</f>
        <v/>
      </c>
      <c r="J113" s="233">
        <f>(([3]Consolidated!J113)*1000)*(1/0.79941)</f>
        <v/>
      </c>
      <c r="K113" s="185" t="n"/>
      <c r="L113" s="233">
        <f>(([3]Consolidated!L113)*1000)*(1/0.79941)</f>
        <v/>
      </c>
      <c r="M113" s="231">
        <f>(([3]Consolidated!M113)*1000)*(1/0.79941)</f>
        <v/>
      </c>
      <c r="N113" s="234">
        <f>(([3]Consolidated!N113)*1000)*(1/0.79941)</f>
        <v/>
      </c>
    </row>
    <row r="114" ht="12.75" customHeight="1" s="150">
      <c r="C114" s="224" t="inlineStr">
        <is>
          <t>Postal and freight charges</t>
        </is>
      </c>
      <c r="D114" s="231">
        <f>(([3]Consolidated!D114)*1000)*(1/0.79941)</f>
        <v/>
      </c>
      <c r="E114" s="231">
        <f>(([3]Consolidated!E114)*1000)*(1/0.79941)</f>
        <v/>
      </c>
      <c r="F114" s="231">
        <f>(([3]Consolidated!F114)*1000)*(1/0.79941)</f>
        <v/>
      </c>
      <c r="G114" s="231">
        <f>(([3]Consolidated!G114)*1000)*(1/0.79941)</f>
        <v/>
      </c>
      <c r="H114" s="231">
        <f>(([3]Consolidated!H114)*1000)*(1/0.79941)</f>
        <v/>
      </c>
      <c r="I114" s="231">
        <f>(([3]Consolidated!I114)*1000)*(1/0.79941)</f>
        <v/>
      </c>
      <c r="J114" s="233">
        <f>(([3]Consolidated!J114)*1000)*(1/0.79941)</f>
        <v/>
      </c>
      <c r="K114" s="185" t="n"/>
      <c r="L114" s="233">
        <f>(([3]Consolidated!L114)*1000)*(1/0.79941)</f>
        <v/>
      </c>
      <c r="M114" s="231">
        <f>(([3]Consolidated!M114)*1000)*(1/0.79941)</f>
        <v/>
      </c>
      <c r="N114" s="234">
        <f>(([3]Consolidated!N114)*1000)*(1/0.79941)</f>
        <v/>
      </c>
    </row>
    <row r="115" ht="12.75" customHeight="1" s="150">
      <c r="C115" s="224" t="inlineStr">
        <is>
          <t>Prof serv and ext advisory fee</t>
        </is>
      </c>
      <c r="D115" s="231">
        <f>(([3]Consolidated!D115)*1000)*(1/0.79941)</f>
        <v/>
      </c>
      <c r="E115" s="231">
        <f>(([3]Consolidated!E115)*1000)*(1/0.79941)</f>
        <v/>
      </c>
      <c r="F115" s="231">
        <f>(([3]Consolidated!F115)*1000)*(1/0.79941)</f>
        <v/>
      </c>
      <c r="G115" s="231">
        <f>(([3]Consolidated!G115)*1000)*(1/0.79941)</f>
        <v/>
      </c>
      <c r="H115" s="231">
        <f>(([3]Consolidated!H115)*1000)*(1/0.79941)</f>
        <v/>
      </c>
      <c r="I115" s="231">
        <f>(([3]Consolidated!I115)*1000)*(1/0.79941)</f>
        <v/>
      </c>
      <c r="J115" s="233">
        <f>(([3]Consolidated!J115)*1000)*(1/0.79941)</f>
        <v/>
      </c>
      <c r="K115" s="185" t="n"/>
      <c r="L115" s="233">
        <f>(([3]Consolidated!L115)*1000)*(1/0.79941)</f>
        <v/>
      </c>
      <c r="M115" s="231">
        <f>(([3]Consolidated!M115)*1000)*(1/0.79941)</f>
        <v/>
      </c>
      <c r="N115" s="234">
        <f>(([3]Consolidated!N115)*1000)*(1/0.79941)</f>
        <v/>
      </c>
    </row>
    <row r="116" ht="12.75" customHeight="1" s="150">
      <c r="C116" s="224" t="inlineStr">
        <is>
          <t>Payment transfer expenses</t>
        </is>
      </c>
      <c r="D116" s="231">
        <f>(([3]Consolidated!D116)*1000)*(1/0.79941)</f>
        <v/>
      </c>
      <c r="E116" s="231">
        <f>(([3]Consolidated!E116)*1000)*(1/0.79941)</f>
        <v/>
      </c>
      <c r="F116" s="231">
        <f>(([3]Consolidated!F116)*1000)*(1/0.79941)</f>
        <v/>
      </c>
      <c r="G116" s="231">
        <f>(([3]Consolidated!G116)*1000)*(1/0.79941)</f>
        <v/>
      </c>
      <c r="H116" s="231">
        <f>(([3]Consolidated!H116)*1000)*(1/0.79941)</f>
        <v/>
      </c>
      <c r="I116" s="231">
        <f>(([3]Consolidated!I116)*1000)*(1/0.79941)</f>
        <v/>
      </c>
      <c r="J116" s="233">
        <f>(([3]Consolidated!J116)*1000)*(1/0.79941)</f>
        <v/>
      </c>
      <c r="K116" s="185" t="n"/>
      <c r="L116" s="233">
        <f>(([3]Consolidated!L116)*1000)*(1/0.79941)</f>
        <v/>
      </c>
      <c r="M116" s="231">
        <f>(([3]Consolidated!M116)*1000)*(1/0.79941)</f>
        <v/>
      </c>
      <c r="N116" s="234">
        <f>(([3]Consolidated!N116)*1000)*(1/0.79941)</f>
        <v/>
      </c>
    </row>
    <row r="117" ht="12.75" customHeight="1" s="150">
      <c r="C117" s="224" t="inlineStr">
        <is>
          <t>Other costs</t>
        </is>
      </c>
      <c r="D117" s="231">
        <f>(([3]Consolidated!D117)*1000)*(1/0.79941)</f>
        <v/>
      </c>
      <c r="E117" s="231">
        <f>(([3]Consolidated!E117)*1000)*(1/0.79941)</f>
        <v/>
      </c>
      <c r="F117" s="231">
        <f>(([3]Consolidated!F117)*1000)*(1/0.79941)</f>
        <v/>
      </c>
      <c r="G117" s="231">
        <f>(([3]Consolidated!G117)*1000)*(1/0.79941)</f>
        <v/>
      </c>
      <c r="H117" s="231">
        <f>(([3]Consolidated!H117)*1000)*(1/0.79941)</f>
        <v/>
      </c>
      <c r="I117" s="231">
        <f>(([3]Consolidated!I117)*1000)*(1/0.79941)</f>
        <v/>
      </c>
      <c r="J117" s="233">
        <f>(([3]Consolidated!J117)*1000)*(1/0.79941)</f>
        <v/>
      </c>
      <c r="K117" s="185" t="n"/>
      <c r="L117" s="233">
        <f>(([3]Consolidated!L117)*1000)*(1/0.79941)</f>
        <v/>
      </c>
      <c r="M117" s="231">
        <f>(([3]Consolidated!M117)*1000)*(1/0.79941)</f>
        <v/>
      </c>
      <c r="N117" s="234">
        <f>(([3]Consolidated!N117)*1000)*(1/0.79941)</f>
        <v/>
      </c>
    </row>
    <row r="118" ht="13.5" customHeight="1" s="150">
      <c r="C118" s="228" t="inlineStr">
        <is>
          <t>General expenses</t>
        </is>
      </c>
      <c r="D118" s="236">
        <f>(([3]Consolidated!D118)*1000)*(1/0.79941)</f>
        <v/>
      </c>
      <c r="E118" s="236">
        <f>(([3]Consolidated!E118)*1000)*(1/0.79941)</f>
        <v/>
      </c>
      <c r="F118" s="236">
        <f>(([3]Consolidated!F118)*1000)*(1/0.79941)</f>
        <v/>
      </c>
      <c r="G118" s="236">
        <f>(([3]Consolidated!G118)*1000)*(1/0.79941)</f>
        <v/>
      </c>
      <c r="H118" s="236">
        <f>(([3]Consolidated!H118)*1000)*(1/0.79941)</f>
        <v/>
      </c>
      <c r="I118" s="236">
        <f>(([3]Consolidated!I118)*1000)*(1/0.79941)</f>
        <v/>
      </c>
      <c r="J118" s="237">
        <f>(([3]Consolidated!J118)*1000)*(1/0.79941)</f>
        <v/>
      </c>
      <c r="K118" s="185" t="n"/>
      <c r="L118" s="237">
        <f>(([3]Consolidated!L118)*1000)*(1/0.79941)</f>
        <v/>
      </c>
      <c r="M118" s="236">
        <f>(([3]Consolidated!M118)*1000)*(1/0.79941)</f>
        <v/>
      </c>
      <c r="N118" s="237">
        <f>(([3]Consolidated!N118)*1000)*(1/0.79941)</f>
        <v/>
      </c>
    </row>
    <row r="119" ht="12.75" customHeight="1" s="150">
      <c r="C119" s="224" t="inlineStr">
        <is>
          <t>Own expenses</t>
        </is>
      </c>
      <c r="D119" s="231">
        <f>(([3]Consolidated!D119)*1000)*(1/0.79941)</f>
        <v/>
      </c>
      <c r="E119" s="231">
        <f>(([3]Consolidated!E119)*1000)*(1/0.79941)</f>
        <v/>
      </c>
      <c r="F119" s="231">
        <f>(([3]Consolidated!F119)*1000)*(1/0.79941)</f>
        <v/>
      </c>
      <c r="G119" s="231">
        <f>(([3]Consolidated!G119)*1000)*(1/0.79941)</f>
        <v/>
      </c>
      <c r="H119" s="231">
        <f>(([3]Consolidated!H119)*1000)*(1/0.79941)</f>
        <v/>
      </c>
      <c r="I119" s="231">
        <f>(([3]Consolidated!I119)*1000)*(1/0.79941)</f>
        <v/>
      </c>
      <c r="J119" s="233">
        <f>(([3]Consolidated!J119)*1000)*(1/0.79941)</f>
        <v/>
      </c>
      <c r="K119" s="185" t="n"/>
      <c r="L119" s="233">
        <f>(([3]Consolidated!L119)*1000)*(1/0.79941)</f>
        <v/>
      </c>
      <c r="M119" s="231">
        <f>(([3]Consolidated!M119)*1000)*(1/0.79941)</f>
        <v/>
      </c>
      <c r="N119" s="238">
        <f>(([3]Consolidated!N119)*1000)*(1/0.79941)</f>
        <v/>
      </c>
    </row>
    <row r="120" ht="12.75" customHeight="1" s="150">
      <c r="C120" s="224" t="inlineStr">
        <is>
          <t>Other expenses</t>
        </is>
      </c>
      <c r="D120" s="231">
        <f>(([3]Consolidated!D120)*1000)*(1/0.79941)</f>
        <v/>
      </c>
      <c r="E120" s="231">
        <f>(([3]Consolidated!E120)*1000)*(1/0.79941)</f>
        <v/>
      </c>
      <c r="F120" s="231">
        <f>(([3]Consolidated!F120)*1000)*(1/0.79941)</f>
        <v/>
      </c>
      <c r="G120" s="231">
        <f>(([3]Consolidated!G120)*1000)*(1/0.79941)</f>
        <v/>
      </c>
      <c r="H120" s="231">
        <f>(([3]Consolidated!H120)*1000)*(1/0.79941)</f>
        <v/>
      </c>
      <c r="I120" s="231">
        <f>(([3]Consolidated!I120)*1000)*(1/0.79941)</f>
        <v/>
      </c>
      <c r="J120" s="233">
        <f>(([3]Consolidated!J120)*1000)*(1/0.79941)</f>
        <v/>
      </c>
      <c r="K120" s="185" t="n"/>
      <c r="L120" s="233">
        <f>(([3]Consolidated!L120)*1000)*(1/0.79941)</f>
        <v/>
      </c>
      <c r="M120" s="231">
        <f>(([3]Consolidated!M120)*1000)*(1/0.79941)</f>
        <v/>
      </c>
      <c r="N120" s="234">
        <f>(([3]Consolidated!N120)*1000)*(1/0.79941)</f>
        <v/>
      </c>
    </row>
    <row r="121" ht="13.5" customHeight="1" s="150">
      <c r="C121" s="228" t="inlineStr">
        <is>
          <t xml:space="preserve">Operating expenses </t>
        </is>
      </c>
      <c r="D121" s="236">
        <f>(([3]Consolidated!D121)*1000)*(1/0.79941)</f>
        <v/>
      </c>
      <c r="E121" s="236">
        <f>(([3]Consolidated!E121)*1000)*(1/0.79941)</f>
        <v/>
      </c>
      <c r="F121" s="236">
        <f>(([3]Consolidated!F121)*1000)*(1/0.79941)</f>
        <v/>
      </c>
      <c r="G121" s="236">
        <f>(([3]Consolidated!G121)*1000)*(1/0.79941)</f>
        <v/>
      </c>
      <c r="H121" s="236">
        <f>(([3]Consolidated!H121)*1000)*(1/0.79941)</f>
        <v/>
      </c>
      <c r="I121" s="236">
        <f>(([3]Consolidated!I121)*1000)*(1/0.79941)</f>
        <v/>
      </c>
      <c r="J121" s="237">
        <f>(([3]Consolidated!J121)*1000)*(1/0.79941)</f>
        <v/>
      </c>
      <c r="K121" s="185" t="n"/>
      <c r="L121" s="237">
        <f>(([3]Consolidated!L121)*1000)*(1/0.79941)</f>
        <v/>
      </c>
      <c r="M121" s="236">
        <f>(([3]Consolidated!M121)*1000)*(1/0.79941)</f>
        <v/>
      </c>
      <c r="N121" s="237">
        <f>(([3]Consolidated!N121)*1000)*(1/0.79941)</f>
        <v/>
      </c>
    </row>
    <row r="122" ht="12.75" customHeight="1" s="150">
      <c r="C122" s="224" t="n"/>
      <c r="D122" s="231">
        <f>0*(1/0.79941)</f>
        <v/>
      </c>
      <c r="E122" s="231">
        <f>0*(1/0.79941)</f>
        <v/>
      </c>
      <c r="F122" s="231">
        <f>0*(1/0.79941)</f>
        <v/>
      </c>
      <c r="G122" s="231">
        <f>0*(1/0.79941)</f>
        <v/>
      </c>
      <c r="H122" s="231">
        <f>0*(1/0.79941)</f>
        <v/>
      </c>
      <c r="I122" s="231">
        <f>0*(1/0.79941)</f>
        <v/>
      </c>
      <c r="J122" s="239">
        <f>0*(1/0.79941)</f>
        <v/>
      </c>
      <c r="K122" s="185" t="n"/>
      <c r="L122" s="233">
        <f>0*(1/0.79941)</f>
        <v/>
      </c>
      <c r="M122" s="231">
        <f>0*(1/0.79941)</f>
        <v/>
      </c>
      <c r="N122" s="239">
        <f>0*(1/0.79941)</f>
        <v/>
      </c>
    </row>
    <row r="123" ht="12.75" customHeight="1" s="150">
      <c r="C123" s="224" t="inlineStr">
        <is>
          <t>HR &amp; Comms</t>
        </is>
      </c>
      <c r="D123" s="231">
        <f>(([3]Consolidated!D123)*1000)*(1/0.79941)</f>
        <v/>
      </c>
      <c r="E123" s="231">
        <f>(([3]Consolidated!E123)*1000)*(1/0.79941)</f>
        <v/>
      </c>
      <c r="F123" s="231">
        <f>(([3]Consolidated!F123)*1000)*(1/0.79941)</f>
        <v/>
      </c>
      <c r="G123" s="231">
        <f>(([3]Consolidated!G123)*1000)*(1/0.79941)</f>
        <v/>
      </c>
      <c r="H123" s="231">
        <f>(([3]Consolidated!H123)*1000)*(1/0.79941)</f>
        <v/>
      </c>
      <c r="I123" s="231">
        <f>(([3]Consolidated!I123)*1000)*(1/0.79941)</f>
        <v/>
      </c>
      <c r="J123" s="233">
        <f>(([3]Consolidated!J123)*1000)*(1/0.79941)</f>
        <v/>
      </c>
      <c r="K123" s="185" t="n"/>
      <c r="L123" s="233">
        <f>(([3]Consolidated!L123)*1000)*(1/0.79941)</f>
        <v/>
      </c>
      <c r="M123" s="231">
        <f>(([3]Consolidated!M123)*1000)*(1/0.79941)</f>
        <v/>
      </c>
      <c r="N123" s="234">
        <f>(([3]Consolidated!N123)*1000)*(1/0.79941)</f>
        <v/>
      </c>
    </row>
    <row r="124" ht="12.75" customHeight="1" s="150">
      <c r="C124" s="224" t="inlineStr">
        <is>
          <t>Finance &amp; Business Support</t>
        </is>
      </c>
      <c r="D124" s="231">
        <f>(([3]Consolidated!D124)*1000)*(1/0.79941)</f>
        <v/>
      </c>
      <c r="E124" s="231">
        <f>(([3]Consolidated!E124)*1000)*(1/0.79941)</f>
        <v/>
      </c>
      <c r="F124" s="231">
        <f>(([3]Consolidated!F124)*1000)*(1/0.79941)</f>
        <v/>
      </c>
      <c r="G124" s="231">
        <f>(([3]Consolidated!G124)*1000)*(1/0.79941)</f>
        <v/>
      </c>
      <c r="H124" s="231">
        <f>(([3]Consolidated!H124)*1000)*(1/0.79941)</f>
        <v/>
      </c>
      <c r="I124" s="231">
        <f>(([3]Consolidated!I124)*1000)*(1/0.79941)</f>
        <v/>
      </c>
      <c r="J124" s="233">
        <f>(([3]Consolidated!J124)*1000)*(1/0.79941)</f>
        <v/>
      </c>
      <c r="K124" s="185" t="n"/>
      <c r="L124" s="233">
        <f>(([3]Consolidated!L124)*1000)*(1/0.79941)</f>
        <v/>
      </c>
      <c r="M124" s="231">
        <f>(([3]Consolidated!M124)*1000)*(1/0.79941)</f>
        <v/>
      </c>
      <c r="N124" s="234">
        <f>(([3]Consolidated!N124)*1000)*(1/0.79941)</f>
        <v/>
      </c>
    </row>
    <row r="125" ht="12.75" customHeight="1" s="150">
      <c r="C125" s="224" t="inlineStr">
        <is>
          <t>IT alloc</t>
        </is>
      </c>
      <c r="D125" s="231">
        <f>(([3]Consolidated!D125)*1000)*(1/0.79941)</f>
        <v/>
      </c>
      <c r="E125" s="231">
        <f>(([3]Consolidated!E125)*1000)*(1/0.79941)</f>
        <v/>
      </c>
      <c r="F125" s="231">
        <f>(([3]Consolidated!F125)*1000)*(1/0.79941)</f>
        <v/>
      </c>
      <c r="G125" s="231">
        <f>(([3]Consolidated!G125)*1000)*(1/0.79941)</f>
        <v/>
      </c>
      <c r="H125" s="231">
        <f>(([3]Consolidated!H125)*1000)*(1/0.79941)</f>
        <v/>
      </c>
      <c r="I125" s="231">
        <f>(([3]Consolidated!I125)*1000)*(1/0.79941)</f>
        <v/>
      </c>
      <c r="J125" s="233">
        <f>(([3]Consolidated!J125)*1000)*(1/0.79941)</f>
        <v/>
      </c>
      <c r="K125" s="185" t="n"/>
      <c r="L125" s="233">
        <f>(([3]Consolidated!L125)*1000)*(1/0.79941)</f>
        <v/>
      </c>
      <c r="M125" s="231">
        <f>(([3]Consolidated!M125)*1000)*(1/0.79941)</f>
        <v/>
      </c>
      <c r="N125" s="234">
        <f>(([3]Consolidated!N125)*1000)*(1/0.79941)</f>
        <v/>
      </c>
    </row>
    <row r="126" ht="12.75" customHeight="1" s="150">
      <c r="C126" s="224" t="inlineStr">
        <is>
          <t>Facilities Management</t>
        </is>
      </c>
      <c r="D126" s="231">
        <f>(([3]Consolidated!D126)*1000)*(1/0.79941)</f>
        <v/>
      </c>
      <c r="E126" s="231">
        <f>(([3]Consolidated!E126)*1000)*(1/0.79941)</f>
        <v/>
      </c>
      <c r="F126" s="231">
        <f>(([3]Consolidated!F126)*1000)*(1/0.79941)</f>
        <v/>
      </c>
      <c r="G126" s="231">
        <f>(([3]Consolidated!G126)*1000)*(1/0.79941)</f>
        <v/>
      </c>
      <c r="H126" s="231">
        <f>(([3]Consolidated!H126)*1000)*(1/0.79941)</f>
        <v/>
      </c>
      <c r="I126" s="231">
        <f>(([3]Consolidated!I126)*1000)*(1/0.79941)</f>
        <v/>
      </c>
      <c r="J126" s="233">
        <f>(([3]Consolidated!J126)*1000)*(1/0.79941)</f>
        <v/>
      </c>
      <c r="K126" s="185" t="n"/>
      <c r="L126" s="233">
        <f>(([3]Consolidated!L126)*1000)*(1/0.79941)</f>
        <v/>
      </c>
      <c r="M126" s="231">
        <f>(([3]Consolidated!M126)*1000)*(1/0.79941)</f>
        <v/>
      </c>
      <c r="N126" s="234">
        <f>(([3]Consolidated!N126)*1000)*(1/0.79941)</f>
        <v/>
      </c>
    </row>
    <row r="127" ht="13.5" customHeight="1" s="150">
      <c r="C127" s="228" t="inlineStr">
        <is>
          <t>Overheads</t>
        </is>
      </c>
      <c r="D127" s="236">
        <f>(([3]Consolidated!D127)*1000)*(1/0.79941)</f>
        <v/>
      </c>
      <c r="E127" s="236">
        <f>(([3]Consolidated!E127)*1000)*(1/0.79941)</f>
        <v/>
      </c>
      <c r="F127" s="236">
        <f>(([3]Consolidated!F127)*1000)*(1/0.79941)</f>
        <v/>
      </c>
      <c r="G127" s="236">
        <f>(([3]Consolidated!G127)*1000)*(1/0.79941)</f>
        <v/>
      </c>
      <c r="H127" s="236">
        <f>(([3]Consolidated!H127)*1000)*(1/0.79941)</f>
        <v/>
      </c>
      <c r="I127" s="236">
        <f>(([3]Consolidated!I127)*1000)*(1/0.79941)</f>
        <v/>
      </c>
      <c r="J127" s="237">
        <f>(([3]Consolidated!J127)*1000)*(1/0.79941)</f>
        <v/>
      </c>
      <c r="K127" s="185" t="n"/>
      <c r="L127" s="237">
        <f>(([3]Consolidated!L127)*1000)*(1/0.79941)</f>
        <v/>
      </c>
      <c r="M127" s="236">
        <f>(([3]Consolidated!M127)*1000)*(1/0.79941)</f>
        <v/>
      </c>
      <c r="N127" s="237">
        <f>(([3]Consolidated!N127)*1000)*(1/0.79941)</f>
        <v/>
      </c>
    </row>
    <row r="128" ht="12.75" customHeight="1" s="150">
      <c r="C128" s="224" t="n"/>
      <c r="D128" s="231">
        <f>0*(1/0.79941)</f>
        <v/>
      </c>
      <c r="E128" s="231">
        <f>0*(1/0.79941)</f>
        <v/>
      </c>
      <c r="F128" s="231">
        <f>0*(1/0.79941)</f>
        <v/>
      </c>
      <c r="G128" s="231">
        <f>0*(1/0.79941)</f>
        <v/>
      </c>
      <c r="H128" s="231">
        <f>0*(1/0.79941)</f>
        <v/>
      </c>
      <c r="I128" s="231">
        <f>0*(1/0.79941)</f>
        <v/>
      </c>
      <c r="J128" s="239">
        <f>0*(1/0.79941)</f>
        <v/>
      </c>
      <c r="K128" s="185" t="n"/>
      <c r="L128" s="233">
        <f>0*(1/0.79941)</f>
        <v/>
      </c>
      <c r="M128" s="231">
        <f>0*(1/0.79941)</f>
        <v/>
      </c>
      <c r="N128" s="239">
        <f>0*(1/0.79941)</f>
        <v/>
      </c>
    </row>
    <row r="129" ht="13.5" customHeight="1" s="150">
      <c r="C129" s="228" t="inlineStr">
        <is>
          <t>Total Operating Costs (incl. O/H)</t>
        </is>
      </c>
      <c r="D129" s="236">
        <f>(([3]Consolidated!D129)*1000)*(1/0.79941)</f>
        <v/>
      </c>
      <c r="E129" s="236">
        <f>(([3]Consolidated!E129)*1000)*(1/0.79941)</f>
        <v/>
      </c>
      <c r="F129" s="236">
        <f>(([3]Consolidated!F129)*1000)*(1/0.79941)</f>
        <v/>
      </c>
      <c r="G129" s="236">
        <f>(([3]Consolidated!G129)*1000)*(1/0.79941)</f>
        <v/>
      </c>
      <c r="H129" s="236">
        <f>(([3]Consolidated!H129)*1000)*(1/0.79941)</f>
        <v/>
      </c>
      <c r="I129" s="236">
        <f>(([3]Consolidated!I129)*1000)*(1/0.79941)</f>
        <v/>
      </c>
      <c r="J129" s="237">
        <f>(([3]Consolidated!J129)*1000)*(1/0.79941)</f>
        <v/>
      </c>
      <c r="K129" s="185" t="n"/>
      <c r="L129" s="237">
        <f>(([3]Consolidated!L129)*1000)*(1/0.79941)</f>
        <v/>
      </c>
      <c r="M129" s="236">
        <f>(([3]Consolidated!M129)*1000)*(1/0.79941)</f>
        <v/>
      </c>
      <c r="N129" s="237">
        <f>(([3]Consolidated!N129)*1000)*(1/0.79941)</f>
        <v/>
      </c>
    </row>
    <row r="130"/>
    <row r="131" ht="13.5" customHeight="1" s="150"/>
    <row r="132" ht="42" customHeight="1" s="150">
      <c r="C132" s="240" t="inlineStr">
        <is>
          <t>RETAINED COSTS
(US$  excl. VAT)</t>
        </is>
      </c>
      <c r="D132" s="241">
        <f>[3]Consolidated!D132</f>
        <v/>
      </c>
      <c r="E132" s="241">
        <f>[3]Consolidated!E132</f>
        <v/>
      </c>
      <c r="F132" s="241">
        <f>[3]Consolidated!F132</f>
        <v/>
      </c>
      <c r="G132" s="241">
        <f>[3]Consolidated!G132</f>
        <v/>
      </c>
      <c r="H132" s="241">
        <f>[3]Consolidated!H132</f>
        <v/>
      </c>
      <c r="I132" s="242">
        <f>[3]Consolidated!I132</f>
        <v/>
      </c>
      <c r="J132" s="243">
        <f>[3]Consolidated!J132</f>
        <v/>
      </c>
      <c r="K132" s="165" t="n"/>
      <c r="L132" s="241">
        <f>[3]Consolidated!L132</f>
        <v/>
      </c>
      <c r="M132" s="244">
        <f>[3]Consolidated!M132</f>
        <v/>
      </c>
      <c r="N132" s="241">
        <f>[3]Consolidated!N132</f>
        <v/>
      </c>
    </row>
    <row r="133" ht="12.75" customHeight="1" s="150">
      <c r="C133" s="245" t="inlineStr">
        <is>
          <t>Internal FTE</t>
        </is>
      </c>
      <c r="D133" s="254">
        <f>[3]Consolidated!D133</f>
        <v/>
      </c>
      <c r="E133" s="254">
        <f>[3]Consolidated!E133</f>
        <v/>
      </c>
      <c r="F133" s="254">
        <f>[3]Consolidated!F133</f>
        <v/>
      </c>
      <c r="G133" s="254">
        <f>[3]Consolidated!G133</f>
        <v/>
      </c>
      <c r="H133" s="254">
        <f>[3]Consolidated!H133</f>
        <v/>
      </c>
      <c r="I133" s="254">
        <f>[3]Consolidated!I133</f>
        <v/>
      </c>
      <c r="J133" s="291" t="n"/>
      <c r="K133" s="185" t="n"/>
      <c r="L133" s="256">
        <f>[3]Consolidated!L133</f>
        <v/>
      </c>
      <c r="M133" s="254">
        <f>[3]Consolidated!M133</f>
        <v/>
      </c>
      <c r="N133" s="249">
        <f>[3]Consolidated!N133</f>
        <v/>
      </c>
    </row>
    <row r="134" ht="12.75" customHeight="1" s="150">
      <c r="C134" s="245" t="inlineStr">
        <is>
          <t>External FTE</t>
        </is>
      </c>
      <c r="D134" s="254">
        <f>[3]Consolidated!D134</f>
        <v/>
      </c>
      <c r="E134" s="254">
        <f>[3]Consolidated!E134</f>
        <v/>
      </c>
      <c r="F134" s="254">
        <f>[3]Consolidated!F134</f>
        <v/>
      </c>
      <c r="G134" s="254">
        <f>[3]Consolidated!G134</f>
        <v/>
      </c>
      <c r="H134" s="254">
        <f>[3]Consolidated!H134</f>
        <v/>
      </c>
      <c r="I134" s="254">
        <f>[3]Consolidated!I134</f>
        <v/>
      </c>
      <c r="J134" s="291" t="n"/>
      <c r="K134" s="185" t="n"/>
      <c r="L134" s="256">
        <f>[3]Consolidated!L134</f>
        <v/>
      </c>
      <c r="M134" s="254">
        <f>[3]Consolidated!M134</f>
        <v/>
      </c>
      <c r="N134" s="249">
        <f>[3]Consolidated!N134</f>
        <v/>
      </c>
    </row>
    <row r="135" ht="13.5" customHeight="1" s="150">
      <c r="C135" s="250" t="inlineStr">
        <is>
          <t>Total FTE</t>
        </is>
      </c>
      <c r="D135" s="258">
        <f>[3]Consolidated!D135</f>
        <v/>
      </c>
      <c r="E135" s="258">
        <f>[3]Consolidated!E135</f>
        <v/>
      </c>
      <c r="F135" s="258">
        <f>[3]Consolidated!F135</f>
        <v/>
      </c>
      <c r="G135" s="258">
        <f>[3]Consolidated!G135</f>
        <v/>
      </c>
      <c r="H135" s="258">
        <f>[3]Consolidated!H135</f>
        <v/>
      </c>
      <c r="I135" s="258">
        <f>[3]Consolidated!I135</f>
        <v/>
      </c>
      <c r="J135" s="292" t="n"/>
      <c r="K135" s="185" t="n"/>
      <c r="L135" s="253">
        <f>[3]Consolidated!L135</f>
        <v/>
      </c>
      <c r="M135" s="258">
        <f>[3]Consolidated!M135</f>
        <v/>
      </c>
      <c r="N135" s="253">
        <f>[3]Consolidated!N135</f>
        <v/>
      </c>
    </row>
    <row r="136" ht="12.75" customHeight="1" s="150">
      <c r="C136" s="245" t="n"/>
      <c r="D136" s="254" t="n"/>
      <c r="E136" s="254" t="n"/>
      <c r="F136" s="254" t="n"/>
      <c r="G136" s="254" t="n"/>
      <c r="H136" s="254" t="n"/>
      <c r="I136" s="254" t="n"/>
      <c r="J136" s="255" t="n"/>
      <c r="K136" s="185" t="n"/>
      <c r="L136" s="256" t="n"/>
      <c r="M136" s="254" t="n"/>
      <c r="N136" s="249" t="n"/>
    </row>
    <row r="137" ht="12.75" customHeight="1" s="150">
      <c r="C137" s="245" t="inlineStr">
        <is>
          <t>Salaries</t>
        </is>
      </c>
      <c r="D137" s="254">
        <f>(([3]Consolidated!D137)*1000)*(1/0.79941)</f>
        <v/>
      </c>
      <c r="E137" s="254">
        <f>(([3]Consolidated!E137)*1000)*(1/0.79941)</f>
        <v/>
      </c>
      <c r="F137" s="254">
        <f>(([3]Consolidated!F137)*1000)*(1/0.79941)</f>
        <v/>
      </c>
      <c r="G137" s="254">
        <f>(([3]Consolidated!G137)*1000)*(1/0.79941)</f>
        <v/>
      </c>
      <c r="H137" s="254">
        <f>(([3]Consolidated!H137)*1000)*(1/0.79941)</f>
        <v/>
      </c>
      <c r="I137" s="254">
        <f>(([3]Consolidated!I137)*1000)*(1/0.79941)</f>
        <v/>
      </c>
      <c r="J137" s="256">
        <f>(([3]Consolidated!J137)*1000)*(1/0.79941)</f>
        <v/>
      </c>
      <c r="K137" s="185" t="n"/>
      <c r="L137" s="256">
        <f>(([3]Consolidated!L137)*1000)*(1/0.79941)</f>
        <v/>
      </c>
      <c r="M137" s="254">
        <f>(([3]Consolidated!M137)*1000)*(1/0.79941)</f>
        <v/>
      </c>
      <c r="N137" s="249">
        <f>(([3]Consolidated!N137)*1000)*(1/0.79941)</f>
        <v/>
      </c>
    </row>
    <row r="138" ht="12.75" customHeight="1" s="150">
      <c r="C138" s="245" t="inlineStr">
        <is>
          <t>Bonuses</t>
        </is>
      </c>
      <c r="D138" s="254">
        <f>(([3]Consolidated!D138)*1000)*(1/0.79941)</f>
        <v/>
      </c>
      <c r="E138" s="254">
        <f>(([3]Consolidated!E138)*1000)*(1/0.79941)</f>
        <v/>
      </c>
      <c r="F138" s="254">
        <f>(([3]Consolidated!F138)*1000)*(1/0.79941)</f>
        <v/>
      </c>
      <c r="G138" s="254">
        <f>(([3]Consolidated!G138)*1000)*(1/0.79941)</f>
        <v/>
      </c>
      <c r="H138" s="254">
        <f>(([3]Consolidated!H138)*1000)*(1/0.79941)</f>
        <v/>
      </c>
      <c r="I138" s="254">
        <f>(([3]Consolidated!I138)*1000)*(1/0.79941)</f>
        <v/>
      </c>
      <c r="J138" s="256">
        <f>(([3]Consolidated!J138)*1000)*(1/0.79941)</f>
        <v/>
      </c>
      <c r="K138" s="185" t="n"/>
      <c r="L138" s="256">
        <f>(([3]Consolidated!L138)*1000)*(1/0.79941)</f>
        <v/>
      </c>
      <c r="M138" s="254">
        <f>(([3]Consolidated!M138)*1000)*(1/0.79941)</f>
        <v/>
      </c>
      <c r="N138" s="249">
        <f>(([3]Consolidated!N138)*1000)*(1/0.79941)</f>
        <v/>
      </c>
    </row>
    <row r="139" ht="12.75" customHeight="1" s="150">
      <c r="C139" s="245" t="inlineStr">
        <is>
          <t>Third party staff, ex IT</t>
        </is>
      </c>
      <c r="D139" s="254">
        <f>(([3]Consolidated!D139)*1000)*(1/0.79941)</f>
        <v/>
      </c>
      <c r="E139" s="254">
        <f>(([3]Consolidated!E139)*1000)*(1/0.79941)</f>
        <v/>
      </c>
      <c r="F139" s="254">
        <f>(([3]Consolidated!F139)*1000)*(1/0.79941)</f>
        <v/>
      </c>
      <c r="G139" s="254">
        <f>(([3]Consolidated!G139)*1000)*(1/0.79941)</f>
        <v/>
      </c>
      <c r="H139" s="254">
        <f>(([3]Consolidated!H139)*1000)*(1/0.79941)</f>
        <v/>
      </c>
      <c r="I139" s="254">
        <f>(([3]Consolidated!I139)*1000)*(1/0.79941)</f>
        <v/>
      </c>
      <c r="J139" s="256">
        <f>(([3]Consolidated!J139)*1000)*(1/0.79941)</f>
        <v/>
      </c>
      <c r="K139" s="185" t="n"/>
      <c r="L139" s="256">
        <f>(([3]Consolidated!L139)*1000)*(1/0.79941)</f>
        <v/>
      </c>
      <c r="M139" s="254">
        <f>(([3]Consolidated!M139)*1000)*(1/0.79941)</f>
        <v/>
      </c>
      <c r="N139" s="249">
        <f>(([3]Consolidated!N139)*1000)*(1/0.79941)</f>
        <v/>
      </c>
    </row>
    <row r="140" ht="12.75" customHeight="1" s="150">
      <c r="C140" s="245" t="inlineStr">
        <is>
          <t>Third party IT staff</t>
        </is>
      </c>
      <c r="D140" s="254">
        <f>(([3]Consolidated!D140)*1000)*(1/0.79941)</f>
        <v/>
      </c>
      <c r="E140" s="254">
        <f>(([3]Consolidated!E140)*1000)*(1/0.79941)</f>
        <v/>
      </c>
      <c r="F140" s="254">
        <f>(([3]Consolidated!F140)*1000)*(1/0.79941)</f>
        <v/>
      </c>
      <c r="G140" s="254">
        <f>(([3]Consolidated!G140)*1000)*(1/0.79941)</f>
        <v/>
      </c>
      <c r="H140" s="254">
        <f>(([3]Consolidated!H140)*1000)*(1/0.79941)</f>
        <v/>
      </c>
      <c r="I140" s="254">
        <f>(([3]Consolidated!I140)*1000)*(1/0.79941)</f>
        <v/>
      </c>
      <c r="J140" s="256">
        <f>(([3]Consolidated!J140)*1000)*(1/0.79941)</f>
        <v/>
      </c>
      <c r="K140" s="185" t="n"/>
      <c r="L140" s="256">
        <f>(([3]Consolidated!L140)*1000)*(1/0.79941)</f>
        <v/>
      </c>
      <c r="M140" s="254">
        <f>(([3]Consolidated!M140)*1000)*(1/0.79941)</f>
        <v/>
      </c>
      <c r="N140" s="249">
        <f>(([3]Consolidated!N140)*1000)*(1/0.79941)</f>
        <v/>
      </c>
    </row>
    <row r="141" ht="12.75" customHeight="1" s="150">
      <c r="C141" s="245" t="inlineStr">
        <is>
          <t>Employee education</t>
        </is>
      </c>
      <c r="D141" s="254">
        <f>(([3]Consolidated!D141)*1000)*(1/0.79941)</f>
        <v/>
      </c>
      <c r="E141" s="254">
        <f>(([3]Consolidated!E141)*1000)*(1/0.79941)</f>
        <v/>
      </c>
      <c r="F141" s="254">
        <f>(([3]Consolidated!F141)*1000)*(1/0.79941)</f>
        <v/>
      </c>
      <c r="G141" s="254">
        <f>(([3]Consolidated!G141)*1000)*(1/0.79941)</f>
        <v/>
      </c>
      <c r="H141" s="254">
        <f>(([3]Consolidated!H141)*1000)*(1/0.79941)</f>
        <v/>
      </c>
      <c r="I141" s="254">
        <f>(([3]Consolidated!I141)*1000)*(1/0.79941)</f>
        <v/>
      </c>
      <c r="J141" s="256">
        <f>(([3]Consolidated!J141)*1000)*(1/0.79941)</f>
        <v/>
      </c>
      <c r="K141" s="185" t="n"/>
      <c r="L141" s="256">
        <f>(([3]Consolidated!L141)*1000)*(1/0.79941)</f>
        <v/>
      </c>
      <c r="M141" s="254">
        <f>(([3]Consolidated!M141)*1000)*(1/0.79941)</f>
        <v/>
      </c>
      <c r="N141" s="249">
        <f>(([3]Consolidated!N141)*1000)*(1/0.79941)</f>
        <v/>
      </c>
    </row>
    <row r="142" ht="12.75" customHeight="1" s="150">
      <c r="C142" s="245" t="inlineStr">
        <is>
          <t>Other staff expenses</t>
        </is>
      </c>
      <c r="D142" s="254">
        <f>(([3]Consolidated!D142)*1000)*(1/0.79941)</f>
        <v/>
      </c>
      <c r="E142" s="254">
        <f>(([3]Consolidated!E142)*1000)*(1/0.79941)</f>
        <v/>
      </c>
      <c r="F142" s="254">
        <f>(([3]Consolidated!F142)*1000)*(1/0.79941)</f>
        <v/>
      </c>
      <c r="G142" s="254">
        <f>(([3]Consolidated!G142)*1000)*(1/0.79941)</f>
        <v/>
      </c>
      <c r="H142" s="254">
        <f>(([3]Consolidated!H142)*1000)*(1/0.79941)</f>
        <v/>
      </c>
      <c r="I142" s="254">
        <f>(([3]Consolidated!I142)*1000)*(1/0.79941)</f>
        <v/>
      </c>
      <c r="J142" s="257">
        <f>(([3]Consolidated!J142)*1000)*(1/0.79941)</f>
        <v/>
      </c>
      <c r="K142" s="185" t="n"/>
      <c r="L142" s="256">
        <f>(([3]Consolidated!L142)*1000)*(1/0.79941)</f>
        <v/>
      </c>
      <c r="M142" s="254">
        <f>(([3]Consolidated!M142)*1000)*(1/0.79941)</f>
        <v/>
      </c>
      <c r="N142" s="249">
        <f>(([3]Consolidated!N142)*1000)*(1/0.79941)</f>
        <v/>
      </c>
    </row>
    <row r="143" ht="13.5" customHeight="1" s="150">
      <c r="C143" s="250" t="inlineStr">
        <is>
          <t>Staff expenses</t>
        </is>
      </c>
      <c r="D143" s="258">
        <f>(([3]Consolidated!D143)*1000)*(1/0.79941)</f>
        <v/>
      </c>
      <c r="E143" s="258">
        <f>(([3]Consolidated!E143)*1000)*(1/0.79941)</f>
        <v/>
      </c>
      <c r="F143" s="258">
        <f>(([3]Consolidated!F143)*1000)*(1/0.79941)</f>
        <v/>
      </c>
      <c r="G143" s="258">
        <f>(([3]Consolidated!G143)*1000)*(1/0.79941)</f>
        <v/>
      </c>
      <c r="H143" s="258">
        <f>(([3]Consolidated!H143)*1000)*(1/0.79941)</f>
        <v/>
      </c>
      <c r="I143" s="258">
        <f>(([3]Consolidated!I143)*1000)*(1/0.79941)</f>
        <v/>
      </c>
      <c r="J143" s="253">
        <f>(([3]Consolidated!J143)*1000)*(1/0.79941)</f>
        <v/>
      </c>
      <c r="K143" s="185" t="n"/>
      <c r="L143" s="253">
        <f>(([3]Consolidated!L143)*1000)*(1/0.79941)</f>
        <v/>
      </c>
      <c r="M143" s="258">
        <f>(([3]Consolidated!M143)*1000)*(1/0.79941)</f>
        <v/>
      </c>
      <c r="N143" s="253">
        <f>(([3]Consolidated!N143)*1000)*(1/0.79941)</f>
        <v/>
      </c>
    </row>
    <row r="144" ht="12.75" customHeight="1" s="150">
      <c r="C144" s="245" t="inlineStr">
        <is>
          <t>Hardware expenses</t>
        </is>
      </c>
      <c r="D144" s="254">
        <f>(([3]Consolidated!D144)*1000)*(1/0.79941)</f>
        <v/>
      </c>
      <c r="E144" s="254">
        <f>(([3]Consolidated!E144)*1000)*(1/0.79941)</f>
        <v/>
      </c>
      <c r="F144" s="254">
        <f>(([3]Consolidated!F144)*1000)*(1/0.79941)</f>
        <v/>
      </c>
      <c r="G144" s="254">
        <f>(([3]Consolidated!G144)*1000)*(1/0.79941)</f>
        <v/>
      </c>
      <c r="H144" s="254">
        <f>(([3]Consolidated!H144)*1000)*(1/0.79941)</f>
        <v/>
      </c>
      <c r="I144" s="254">
        <f>(([3]Consolidated!I144)*1000)*(1/0.79941)</f>
        <v/>
      </c>
      <c r="J144" s="256">
        <f>(([3]Consolidated!J144)*1000)*(1/0.79941)</f>
        <v/>
      </c>
      <c r="K144" s="185" t="n"/>
      <c r="L144" s="256">
        <f>(([3]Consolidated!L144)*1000)*(1/0.79941)</f>
        <v/>
      </c>
      <c r="M144" s="254">
        <f>(([3]Consolidated!M144)*1000)*(1/0.79941)</f>
        <v/>
      </c>
      <c r="N144" s="249">
        <f>(([3]Consolidated!N144)*1000)*(1/0.79941)</f>
        <v/>
      </c>
    </row>
    <row r="145" ht="12.75" customHeight="1" s="150">
      <c r="C145" s="245" t="inlineStr">
        <is>
          <t>Leasing/renting hardware</t>
        </is>
      </c>
      <c r="D145" s="254">
        <f>(([3]Consolidated!D145)*1000)*(1/0.79941)</f>
        <v/>
      </c>
      <c r="E145" s="254">
        <f>(([3]Consolidated!E145)*1000)*(1/0.79941)</f>
        <v/>
      </c>
      <c r="F145" s="254">
        <f>(([3]Consolidated!F145)*1000)*(1/0.79941)</f>
        <v/>
      </c>
      <c r="G145" s="254">
        <f>(([3]Consolidated!G145)*1000)*(1/0.79941)</f>
        <v/>
      </c>
      <c r="H145" s="254">
        <f>(([3]Consolidated!H145)*1000)*(1/0.79941)</f>
        <v/>
      </c>
      <c r="I145" s="254">
        <f>(([3]Consolidated!I145)*1000)*(1/0.79941)</f>
        <v/>
      </c>
      <c r="J145" s="256">
        <f>(([3]Consolidated!J145)*1000)*(1/0.79941)</f>
        <v/>
      </c>
      <c r="K145" s="185" t="n"/>
      <c r="L145" s="256">
        <f>(([3]Consolidated!L145)*1000)*(1/0.79941)</f>
        <v/>
      </c>
      <c r="M145" s="254">
        <f>(([3]Consolidated!M145)*1000)*(1/0.79941)</f>
        <v/>
      </c>
      <c r="N145" s="249">
        <f>(([3]Consolidated!N145)*1000)*(1/0.79941)</f>
        <v/>
      </c>
    </row>
    <row r="146" ht="12.75" customHeight="1" s="150">
      <c r="C146" s="245" t="inlineStr">
        <is>
          <t>Software expenses</t>
        </is>
      </c>
      <c r="D146" s="254">
        <f>(([3]Consolidated!D146)*1000)*(1/0.79941)</f>
        <v/>
      </c>
      <c r="E146" s="254">
        <f>(([3]Consolidated!E146)*1000)*(1/0.79941)</f>
        <v/>
      </c>
      <c r="F146" s="254">
        <f>(([3]Consolidated!F146)*1000)*(1/0.79941)</f>
        <v/>
      </c>
      <c r="G146" s="254">
        <f>(([3]Consolidated!G146)*1000)*(1/0.79941)</f>
        <v/>
      </c>
      <c r="H146" s="254">
        <f>(([3]Consolidated!H146)*1000)*(1/0.79941)</f>
        <v/>
      </c>
      <c r="I146" s="254">
        <f>(([3]Consolidated!I146)*1000)*(1/0.79941)</f>
        <v/>
      </c>
      <c r="J146" s="256">
        <f>(([3]Consolidated!J146)*1000)*(1/0.79941)</f>
        <v/>
      </c>
      <c r="K146" s="185" t="n"/>
      <c r="L146" s="256">
        <f>(([3]Consolidated!L146)*1000)*(1/0.79941)</f>
        <v/>
      </c>
      <c r="M146" s="254">
        <f>(([3]Consolidated!M146)*1000)*(1/0.79941)</f>
        <v/>
      </c>
      <c r="N146" s="249">
        <f>(([3]Consolidated!N146)*1000)*(1/0.79941)</f>
        <v/>
      </c>
    </row>
    <row r="147" ht="12.75" customHeight="1" s="150">
      <c r="C147" s="245" t="inlineStr">
        <is>
          <t>Leasing/renting/licenses sw</t>
        </is>
      </c>
      <c r="D147" s="254">
        <f>(([3]Consolidated!D147)*1000)*(1/0.79941)</f>
        <v/>
      </c>
      <c r="E147" s="254">
        <f>(([3]Consolidated!E147)*1000)*(1/0.79941)</f>
        <v/>
      </c>
      <c r="F147" s="254">
        <f>(([3]Consolidated!F147)*1000)*(1/0.79941)</f>
        <v/>
      </c>
      <c r="G147" s="254">
        <f>(([3]Consolidated!G147)*1000)*(1/0.79941)</f>
        <v/>
      </c>
      <c r="H147" s="254">
        <f>(([3]Consolidated!H147)*1000)*(1/0.79941)</f>
        <v/>
      </c>
      <c r="I147" s="254">
        <f>(([3]Consolidated!I147)*1000)*(1/0.79941)</f>
        <v/>
      </c>
      <c r="J147" s="256">
        <f>(([3]Consolidated!J147)*1000)*(1/0.79941)</f>
        <v/>
      </c>
      <c r="K147" s="185" t="n"/>
      <c r="L147" s="256">
        <f>(([3]Consolidated!L147)*1000)*(1/0.79941)</f>
        <v/>
      </c>
      <c r="M147" s="254">
        <f>(([3]Consolidated!M147)*1000)*(1/0.79941)</f>
        <v/>
      </c>
      <c r="N147" s="249">
        <f>(([3]Consolidated!N147)*1000)*(1/0.79941)</f>
        <v/>
      </c>
    </row>
    <row r="148" ht="12.75" customHeight="1" s="150">
      <c r="C148" s="245" t="inlineStr">
        <is>
          <t>Depreciation hardware</t>
        </is>
      </c>
      <c r="D148" s="254">
        <f>(([3]Consolidated!D148)*1000)*(1/0.79941)</f>
        <v/>
      </c>
      <c r="E148" s="254">
        <f>(([3]Consolidated!E148)*1000)*(1/0.79941)</f>
        <v/>
      </c>
      <c r="F148" s="254">
        <f>(([3]Consolidated!F148)*1000)*(1/0.79941)</f>
        <v/>
      </c>
      <c r="G148" s="254">
        <f>(([3]Consolidated!G148)*1000)*(1/0.79941)</f>
        <v/>
      </c>
      <c r="H148" s="254">
        <f>(([3]Consolidated!H148)*1000)*(1/0.79941)</f>
        <v/>
      </c>
      <c r="I148" s="254">
        <f>(([3]Consolidated!I148)*1000)*(1/0.79941)</f>
        <v/>
      </c>
      <c r="J148" s="256">
        <f>(([3]Consolidated!J148)*1000)*(1/0.79941)</f>
        <v/>
      </c>
      <c r="K148" s="185" t="n"/>
      <c r="L148" s="256">
        <f>(([3]Consolidated!L148)*1000)*(1/0.79941)</f>
        <v/>
      </c>
      <c r="M148" s="254">
        <f>(([3]Consolidated!M148)*1000)*(1/0.79941)</f>
        <v/>
      </c>
      <c r="N148" s="249">
        <f>(([3]Consolidated!N148)*1000)*(1/0.79941)</f>
        <v/>
      </c>
    </row>
    <row r="149" ht="12.75" customHeight="1" s="150">
      <c r="C149" s="245" t="inlineStr">
        <is>
          <t>Depreciation software</t>
        </is>
      </c>
      <c r="D149" s="254">
        <f>(([3]Consolidated!D149)*1000)*(1/0.79941)</f>
        <v/>
      </c>
      <c r="E149" s="254">
        <f>(([3]Consolidated!E149)*1000)*(1/0.79941)</f>
        <v/>
      </c>
      <c r="F149" s="254">
        <f>(([3]Consolidated!F149)*1000)*(1/0.79941)</f>
        <v/>
      </c>
      <c r="G149" s="254">
        <f>(([3]Consolidated!G149)*1000)*(1/0.79941)</f>
        <v/>
      </c>
      <c r="H149" s="254">
        <f>(([3]Consolidated!H149)*1000)*(1/0.79941)</f>
        <v/>
      </c>
      <c r="I149" s="254">
        <f>(([3]Consolidated!I149)*1000)*(1/0.79941)</f>
        <v/>
      </c>
      <c r="J149" s="256">
        <f>(([3]Consolidated!J149)*1000)*(1/0.79941)</f>
        <v/>
      </c>
      <c r="K149" s="185" t="n"/>
      <c r="L149" s="256">
        <f>(([3]Consolidated!L149)*1000)*(1/0.79941)</f>
        <v/>
      </c>
      <c r="M149" s="254">
        <f>(([3]Consolidated!M149)*1000)*(1/0.79941)</f>
        <v/>
      </c>
      <c r="N149" s="249">
        <f>(([3]Consolidated!N149)*1000)*(1/0.79941)</f>
        <v/>
      </c>
    </row>
    <row r="150" ht="12.75" customHeight="1" s="150">
      <c r="C150" s="245" t="inlineStr">
        <is>
          <t>Outsourcing IT activities</t>
        </is>
      </c>
      <c r="D150" s="254">
        <f>(([3]Consolidated!D150)*1000)*(1/0.79941)</f>
        <v/>
      </c>
      <c r="E150" s="254">
        <f>(([3]Consolidated!E150)*1000)*(1/0.79941)</f>
        <v/>
      </c>
      <c r="F150" s="254">
        <f>(([3]Consolidated!F150)*1000)*(1/0.79941)</f>
        <v/>
      </c>
      <c r="G150" s="254">
        <f>(([3]Consolidated!G150)*1000)*(1/0.79941)</f>
        <v/>
      </c>
      <c r="H150" s="254">
        <f>(([3]Consolidated!H150)*1000)*(1/0.79941)</f>
        <v/>
      </c>
      <c r="I150" s="254">
        <f>(([3]Consolidated!I150)*1000)*(1/0.79941)</f>
        <v/>
      </c>
      <c r="J150" s="256">
        <f>(([3]Consolidated!J150)*1000)*(1/0.79941)</f>
        <v/>
      </c>
      <c r="K150" s="185" t="n"/>
      <c r="L150" s="256">
        <f>(([3]Consolidated!L150)*1000)*(1/0.79941)</f>
        <v/>
      </c>
      <c r="M150" s="254">
        <f>(([3]Consolidated!M150)*1000)*(1/0.79941)</f>
        <v/>
      </c>
      <c r="N150" s="249">
        <f>(([3]Consolidated!N150)*1000)*(1/0.79941)</f>
        <v/>
      </c>
    </row>
    <row r="151" ht="12.75" customHeight="1" s="150">
      <c r="C151" s="245" t="inlineStr">
        <is>
          <t>Other IT expenses</t>
        </is>
      </c>
      <c r="D151" s="254">
        <f>(([3]Consolidated!D151)*1000)*(1/0.79941)</f>
        <v/>
      </c>
      <c r="E151" s="254">
        <f>(([3]Consolidated!E151)*1000)*(1/0.79941)</f>
        <v/>
      </c>
      <c r="F151" s="254">
        <f>(([3]Consolidated!F151)*1000)*(1/0.79941)</f>
        <v/>
      </c>
      <c r="G151" s="254">
        <f>(([3]Consolidated!G151)*1000)*(1/0.79941)</f>
        <v/>
      </c>
      <c r="H151" s="254">
        <f>(([3]Consolidated!H151)*1000)*(1/0.79941)</f>
        <v/>
      </c>
      <c r="I151" s="254">
        <f>(([3]Consolidated!I151)*1000)*(1/0.79941)</f>
        <v/>
      </c>
      <c r="J151" s="256">
        <f>(([3]Consolidated!J151)*1000)*(1/0.79941)</f>
        <v/>
      </c>
      <c r="K151" s="185" t="n"/>
      <c r="L151" s="256">
        <f>(([3]Consolidated!L151)*1000)*(1/0.79941)</f>
        <v/>
      </c>
      <c r="M151" s="254">
        <f>(([3]Consolidated!M151)*1000)*(1/0.79941)</f>
        <v/>
      </c>
      <c r="N151" s="249">
        <f>(([3]Consolidated!N151)*1000)*(1/0.79941)</f>
        <v/>
      </c>
    </row>
    <row r="152" ht="13.5" customHeight="1" s="150">
      <c r="C152" s="250" t="inlineStr">
        <is>
          <t>EDP expenses</t>
        </is>
      </c>
      <c r="D152" s="258">
        <f>(([3]Consolidated!D152)*1000)*(1/0.79941)</f>
        <v/>
      </c>
      <c r="E152" s="258">
        <f>(([3]Consolidated!E152)*1000)*(1/0.79941)</f>
        <v/>
      </c>
      <c r="F152" s="258">
        <f>(([3]Consolidated!F152)*1000)*(1/0.79941)</f>
        <v/>
      </c>
      <c r="G152" s="258">
        <f>(([3]Consolidated!G152)*1000)*(1/0.79941)</f>
        <v/>
      </c>
      <c r="H152" s="258">
        <f>(([3]Consolidated!H152)*1000)*(1/0.79941)</f>
        <v/>
      </c>
      <c r="I152" s="258">
        <f>(([3]Consolidated!I152)*1000)*(1/0.79941)</f>
        <v/>
      </c>
      <c r="J152" s="253">
        <f>(([3]Consolidated!J152)*1000)*(1/0.79941)</f>
        <v/>
      </c>
      <c r="K152" s="185" t="n"/>
      <c r="L152" s="253">
        <f>(([3]Consolidated!L152)*1000)*(1/0.79941)</f>
        <v/>
      </c>
      <c r="M152" s="258">
        <f>(([3]Consolidated!M152)*1000)*(1/0.79941)</f>
        <v/>
      </c>
      <c r="N152" s="253">
        <f>(([3]Consolidated!N152)*1000)*(1/0.79941)</f>
        <v/>
      </c>
    </row>
    <row r="153" ht="12.75" customHeight="1" s="150">
      <c r="C153" s="245" t="inlineStr">
        <is>
          <t>Telecom expenses</t>
        </is>
      </c>
      <c r="D153" s="254">
        <f>(([3]Consolidated!D153)*1000)*(1/0.79941)</f>
        <v/>
      </c>
      <c r="E153" s="254">
        <f>(([3]Consolidated!E153)*1000)*(1/0.79941)</f>
        <v/>
      </c>
      <c r="F153" s="254">
        <f>(([3]Consolidated!F153)*1000)*(1/0.79941)</f>
        <v/>
      </c>
      <c r="G153" s="254">
        <f>(([3]Consolidated!G153)*1000)*(1/0.79941)</f>
        <v/>
      </c>
      <c r="H153" s="254">
        <f>(([3]Consolidated!H153)*1000)*(1/0.79941)</f>
        <v/>
      </c>
      <c r="I153" s="254">
        <f>(([3]Consolidated!I153)*1000)*(1/0.79941)</f>
        <v/>
      </c>
      <c r="J153" s="256">
        <f>(([3]Consolidated!J153)*1000)*(1/0.79941)</f>
        <v/>
      </c>
      <c r="K153" s="185" t="n"/>
      <c r="L153" s="256">
        <f>(([3]Consolidated!L153)*1000)*(1/0.79941)</f>
        <v/>
      </c>
      <c r="M153" s="254">
        <f>(([3]Consolidated!M153)*1000)*(1/0.79941)</f>
        <v/>
      </c>
      <c r="N153" s="249">
        <f>(([3]Consolidated!N153)*1000)*(1/0.79941)</f>
        <v/>
      </c>
    </row>
    <row r="154" ht="12.75" customHeight="1" s="150">
      <c r="C154" s="245" t="inlineStr">
        <is>
          <t>Office equipment and supplies</t>
        </is>
      </c>
      <c r="D154" s="254">
        <f>(([3]Consolidated!D154)*1000)*(1/0.79941)</f>
        <v/>
      </c>
      <c r="E154" s="254">
        <f>(([3]Consolidated!E154)*1000)*(1/0.79941)</f>
        <v/>
      </c>
      <c r="F154" s="254">
        <f>(([3]Consolidated!F154)*1000)*(1/0.79941)</f>
        <v/>
      </c>
      <c r="G154" s="254">
        <f>(([3]Consolidated!G154)*1000)*(1/0.79941)</f>
        <v/>
      </c>
      <c r="H154" s="254">
        <f>(([3]Consolidated!H154)*1000)*(1/0.79941)</f>
        <v/>
      </c>
      <c r="I154" s="254">
        <f>(([3]Consolidated!I154)*1000)*(1/0.79941)</f>
        <v/>
      </c>
      <c r="J154" s="256">
        <f>(([3]Consolidated!J154)*1000)*(1/0.79941)</f>
        <v/>
      </c>
      <c r="K154" s="185" t="n"/>
      <c r="L154" s="256">
        <f>(([3]Consolidated!L154)*1000)*(1/0.79941)</f>
        <v/>
      </c>
      <c r="M154" s="254">
        <f>(([3]Consolidated!M154)*1000)*(1/0.79941)</f>
        <v/>
      </c>
      <c r="N154" s="249">
        <f>(([3]Consolidated!N154)*1000)*(1/0.79941)</f>
        <v/>
      </c>
    </row>
    <row r="155" ht="12.75" customHeight="1" s="150">
      <c r="C155" s="245" t="inlineStr">
        <is>
          <t>Accomodation expenses</t>
        </is>
      </c>
      <c r="D155" s="254">
        <f>(([3]Consolidated!D155)*1000)*(1/0.79941)</f>
        <v/>
      </c>
      <c r="E155" s="254">
        <f>(([3]Consolidated!E155)*1000)*(1/0.79941)</f>
        <v/>
      </c>
      <c r="F155" s="254">
        <f>(([3]Consolidated!F155)*1000)*(1/0.79941)</f>
        <v/>
      </c>
      <c r="G155" s="254">
        <f>(([3]Consolidated!G155)*1000)*(1/0.79941)</f>
        <v/>
      </c>
      <c r="H155" s="254">
        <f>(([3]Consolidated!H155)*1000)*(1/0.79941)</f>
        <v/>
      </c>
      <c r="I155" s="254">
        <f>(([3]Consolidated!I155)*1000)*(1/0.79941)</f>
        <v/>
      </c>
      <c r="J155" s="256">
        <f>(([3]Consolidated!J155)*1000)*(1/0.79941)</f>
        <v/>
      </c>
      <c r="K155" s="185" t="n"/>
      <c r="L155" s="256">
        <f>(([3]Consolidated!L155)*1000)*(1/0.79941)</f>
        <v/>
      </c>
      <c r="M155" s="254">
        <f>(([3]Consolidated!M155)*1000)*(1/0.79941)</f>
        <v/>
      </c>
      <c r="N155" s="249">
        <f>(([3]Consolidated!N155)*1000)*(1/0.79941)</f>
        <v/>
      </c>
    </row>
    <row r="156" ht="12.75" customHeight="1" s="150">
      <c r="C156" s="245" t="inlineStr">
        <is>
          <t>Travel costs</t>
        </is>
      </c>
      <c r="D156" s="254">
        <f>(([3]Consolidated!D156)*1000)*(1/0.79941)</f>
        <v/>
      </c>
      <c r="E156" s="254">
        <f>(([3]Consolidated!E156)*1000)*(1/0.79941)</f>
        <v/>
      </c>
      <c r="F156" s="254">
        <f>(([3]Consolidated!F156)*1000)*(1/0.79941)</f>
        <v/>
      </c>
      <c r="G156" s="254">
        <f>(([3]Consolidated!G156)*1000)*(1/0.79941)</f>
        <v/>
      </c>
      <c r="H156" s="254">
        <f>(([3]Consolidated!H156)*1000)*(1/0.79941)</f>
        <v/>
      </c>
      <c r="I156" s="254">
        <f>(([3]Consolidated!I156)*1000)*(1/0.79941)</f>
        <v/>
      </c>
      <c r="J156" s="256">
        <f>(([3]Consolidated!J156)*1000)*(1/0.79941)</f>
        <v/>
      </c>
      <c r="K156" s="185" t="n"/>
      <c r="L156" s="256">
        <f>(([3]Consolidated!L156)*1000)*(1/0.79941)</f>
        <v/>
      </c>
      <c r="M156" s="254">
        <f>(([3]Consolidated!M156)*1000)*(1/0.79941)</f>
        <v/>
      </c>
      <c r="N156" s="249">
        <f>(([3]Consolidated!N156)*1000)*(1/0.79941)</f>
        <v/>
      </c>
    </row>
    <row r="157" ht="12.75" customHeight="1" s="150">
      <c r="C157" s="245" t="inlineStr">
        <is>
          <t>Postal and freight charges</t>
        </is>
      </c>
      <c r="D157" s="254">
        <f>(([3]Consolidated!D157)*1000)*(1/0.79941)</f>
        <v/>
      </c>
      <c r="E157" s="254">
        <f>(([3]Consolidated!E157)*1000)*(1/0.79941)</f>
        <v/>
      </c>
      <c r="F157" s="254">
        <f>(([3]Consolidated!F157)*1000)*(1/0.79941)</f>
        <v/>
      </c>
      <c r="G157" s="254">
        <f>(([3]Consolidated!G157)*1000)*(1/0.79941)</f>
        <v/>
      </c>
      <c r="H157" s="254">
        <f>(([3]Consolidated!H157)*1000)*(1/0.79941)</f>
        <v/>
      </c>
      <c r="I157" s="254">
        <f>(([3]Consolidated!I157)*1000)*(1/0.79941)</f>
        <v/>
      </c>
      <c r="J157" s="256">
        <f>(([3]Consolidated!J157)*1000)*(1/0.79941)</f>
        <v/>
      </c>
      <c r="K157" s="185" t="n"/>
      <c r="L157" s="256">
        <f>(([3]Consolidated!L157)*1000)*(1/0.79941)</f>
        <v/>
      </c>
      <c r="M157" s="254">
        <f>(([3]Consolidated!M157)*1000)*(1/0.79941)</f>
        <v/>
      </c>
      <c r="N157" s="249">
        <f>(([3]Consolidated!N157)*1000)*(1/0.79941)</f>
        <v/>
      </c>
    </row>
    <row r="158" ht="12.75" customHeight="1" s="150">
      <c r="C158" s="245" t="inlineStr">
        <is>
          <t>Prof serv and ext advisory fee</t>
        </is>
      </c>
      <c r="D158" s="254">
        <f>(([3]Consolidated!D158)*1000)*(1/0.79941)</f>
        <v/>
      </c>
      <c r="E158" s="254">
        <f>(([3]Consolidated!E158)*1000)*(1/0.79941)</f>
        <v/>
      </c>
      <c r="F158" s="254">
        <f>(([3]Consolidated!F158)*1000)*(1/0.79941)</f>
        <v/>
      </c>
      <c r="G158" s="254">
        <f>(([3]Consolidated!G158)*1000)*(1/0.79941)</f>
        <v/>
      </c>
      <c r="H158" s="254">
        <f>(([3]Consolidated!H158)*1000)*(1/0.79941)</f>
        <v/>
      </c>
      <c r="I158" s="254">
        <f>(([3]Consolidated!I158)*1000)*(1/0.79941)</f>
        <v/>
      </c>
      <c r="J158" s="256">
        <f>(([3]Consolidated!J158)*1000)*(1/0.79941)</f>
        <v/>
      </c>
      <c r="K158" s="185" t="n"/>
      <c r="L158" s="256">
        <f>(([3]Consolidated!L158)*1000)*(1/0.79941)</f>
        <v/>
      </c>
      <c r="M158" s="254">
        <f>(([3]Consolidated!M158)*1000)*(1/0.79941)</f>
        <v/>
      </c>
      <c r="N158" s="249">
        <f>(([3]Consolidated!N158)*1000)*(1/0.79941)</f>
        <v/>
      </c>
    </row>
    <row r="159" ht="12.75" customHeight="1" s="150">
      <c r="C159" s="245" t="inlineStr">
        <is>
          <t>Payment transfer expenses</t>
        </is>
      </c>
      <c r="D159" s="254">
        <f>(([3]Consolidated!D159)*1000)*(1/0.79941)</f>
        <v/>
      </c>
      <c r="E159" s="254">
        <f>(([3]Consolidated!E159)*1000)*(1/0.79941)</f>
        <v/>
      </c>
      <c r="F159" s="254">
        <f>(([3]Consolidated!F159)*1000)*(1/0.79941)</f>
        <v/>
      </c>
      <c r="G159" s="254">
        <f>(([3]Consolidated!G159)*1000)*(1/0.79941)</f>
        <v/>
      </c>
      <c r="H159" s="254">
        <f>(([3]Consolidated!H159)*1000)*(1/0.79941)</f>
        <v/>
      </c>
      <c r="I159" s="254">
        <f>(([3]Consolidated!I159)*1000)*(1/0.79941)</f>
        <v/>
      </c>
      <c r="J159" s="256">
        <f>(([3]Consolidated!J159)*1000)*(1/0.79941)</f>
        <v/>
      </c>
      <c r="K159" s="185" t="n"/>
      <c r="L159" s="256">
        <f>(([3]Consolidated!L159)*1000)*(1/0.79941)</f>
        <v/>
      </c>
      <c r="M159" s="254">
        <f>(([3]Consolidated!M159)*1000)*(1/0.79941)</f>
        <v/>
      </c>
      <c r="N159" s="249">
        <f>(([3]Consolidated!N159)*1000)*(1/0.79941)</f>
        <v/>
      </c>
    </row>
    <row r="160" ht="12.75" customHeight="1" s="150">
      <c r="C160" s="245" t="inlineStr">
        <is>
          <t>Other costs</t>
        </is>
      </c>
      <c r="D160" s="254">
        <f>(([3]Consolidated!D160)*1000)*(1/0.79941)</f>
        <v/>
      </c>
      <c r="E160" s="254">
        <f>(([3]Consolidated!E160)*1000)*(1/0.79941)</f>
        <v/>
      </c>
      <c r="F160" s="254">
        <f>(([3]Consolidated!F160)*1000)*(1/0.79941)</f>
        <v/>
      </c>
      <c r="G160" s="254">
        <f>(([3]Consolidated!G160)*1000)*(1/0.79941)</f>
        <v/>
      </c>
      <c r="H160" s="254">
        <f>(([3]Consolidated!H160)*1000)*(1/0.79941)</f>
        <v/>
      </c>
      <c r="I160" s="254">
        <f>(([3]Consolidated!I160)*1000)*(1/0.79941)</f>
        <v/>
      </c>
      <c r="J160" s="256">
        <f>(([3]Consolidated!J160)*1000)*(1/0.79941)</f>
        <v/>
      </c>
      <c r="K160" s="185" t="n"/>
      <c r="L160" s="256">
        <f>(([3]Consolidated!L160)*1000)*(1/0.79941)</f>
        <v/>
      </c>
      <c r="M160" s="254">
        <f>(([3]Consolidated!M160)*1000)*(1/0.79941)</f>
        <v/>
      </c>
      <c r="N160" s="249">
        <f>(([3]Consolidated!N160)*1000)*(1/0.79941)</f>
        <v/>
      </c>
    </row>
    <row r="161" ht="13.5" customHeight="1" s="150">
      <c r="C161" s="250" t="inlineStr">
        <is>
          <t>General expenses</t>
        </is>
      </c>
      <c r="D161" s="258">
        <f>(([3]Consolidated!D161)*1000)*(1/0.79941)</f>
        <v/>
      </c>
      <c r="E161" s="258">
        <f>(([3]Consolidated!E161)*1000)*(1/0.79941)</f>
        <v/>
      </c>
      <c r="F161" s="258">
        <f>(([3]Consolidated!F161)*1000)*(1/0.79941)</f>
        <v/>
      </c>
      <c r="G161" s="258">
        <f>(([3]Consolidated!G161)*1000)*(1/0.79941)</f>
        <v/>
      </c>
      <c r="H161" s="258">
        <f>(([3]Consolidated!H161)*1000)*(1/0.79941)</f>
        <v/>
      </c>
      <c r="I161" s="258">
        <f>(([3]Consolidated!I161)*1000)*(1/0.79941)</f>
        <v/>
      </c>
      <c r="J161" s="253">
        <f>(([3]Consolidated!J161)*1000)*(1/0.79941)</f>
        <v/>
      </c>
      <c r="K161" s="185" t="n"/>
      <c r="L161" s="253">
        <f>(([3]Consolidated!L161)*1000)*(1/0.79941)</f>
        <v/>
      </c>
      <c r="M161" s="258">
        <f>(([3]Consolidated!M161)*1000)*(1/0.79941)</f>
        <v/>
      </c>
      <c r="N161" s="253">
        <f>(([3]Consolidated!N161)*1000)*(1/0.79941)</f>
        <v/>
      </c>
    </row>
    <row r="162" ht="12.75" customHeight="1" s="150">
      <c r="C162" s="245" t="inlineStr">
        <is>
          <t>Own expenses</t>
        </is>
      </c>
      <c r="D162" s="254">
        <f>(([3]Consolidated!D162)*1000)*(1/0.79941)</f>
        <v/>
      </c>
      <c r="E162" s="254">
        <f>(([3]Consolidated!E162)*1000)*(1/0.79941)</f>
        <v/>
      </c>
      <c r="F162" s="254">
        <f>(([3]Consolidated!F162)*1000)*(1/0.79941)</f>
        <v/>
      </c>
      <c r="G162" s="254">
        <f>(([3]Consolidated!G162)*1000)*(1/0.79941)</f>
        <v/>
      </c>
      <c r="H162" s="254">
        <f>(([3]Consolidated!H162)*1000)*(1/0.79941)</f>
        <v/>
      </c>
      <c r="I162" s="254">
        <f>(([3]Consolidated!I162)*1000)*(1/0.79941)</f>
        <v/>
      </c>
      <c r="J162" s="256">
        <f>(([3]Consolidated!J162)*1000)*(1/0.79941)</f>
        <v/>
      </c>
      <c r="K162" s="185" t="n"/>
      <c r="L162" s="256">
        <f>(([3]Consolidated!L162)*1000)*(1/0.79941)</f>
        <v/>
      </c>
      <c r="M162" s="254">
        <f>(([3]Consolidated!M162)*1000)*(1/0.79941)</f>
        <v/>
      </c>
      <c r="N162" s="259">
        <f>(([3]Consolidated!N162)*1000)*(1/0.79941)</f>
        <v/>
      </c>
    </row>
    <row r="163" ht="12.75" customHeight="1" s="150">
      <c r="C163" s="245" t="inlineStr">
        <is>
          <t>Other expenses</t>
        </is>
      </c>
      <c r="D163" s="254">
        <f>(([3]Consolidated!D163)*1000)*(1/0.79941)</f>
        <v/>
      </c>
      <c r="E163" s="254">
        <f>(([3]Consolidated!E163)*1000)*(1/0.79941)</f>
        <v/>
      </c>
      <c r="F163" s="254">
        <f>(([3]Consolidated!F163)*1000)*(1/0.79941)</f>
        <v/>
      </c>
      <c r="G163" s="254">
        <f>(([3]Consolidated!G163)*1000)*(1/0.79941)</f>
        <v/>
      </c>
      <c r="H163" s="254">
        <f>(([3]Consolidated!H163)*1000)*(1/0.79941)</f>
        <v/>
      </c>
      <c r="I163" s="254">
        <f>(([3]Consolidated!I163)*1000)*(1/0.79941)</f>
        <v/>
      </c>
      <c r="J163" s="256">
        <f>(([3]Consolidated!J163)*1000)*(1/0.79941)</f>
        <v/>
      </c>
      <c r="K163" s="185" t="n"/>
      <c r="L163" s="256">
        <f>(([3]Consolidated!L163)*1000)*(1/0.79941)</f>
        <v/>
      </c>
      <c r="M163" s="254">
        <f>(([3]Consolidated!M163)*1000)*(1/0.79941)</f>
        <v/>
      </c>
      <c r="N163" s="249">
        <f>(([3]Consolidated!N163)*1000)*(1/0.79941)</f>
        <v/>
      </c>
    </row>
    <row r="164" ht="13.5" customHeight="1" s="150">
      <c r="C164" s="250" t="inlineStr">
        <is>
          <t xml:space="preserve">Operating expenses </t>
        </is>
      </c>
      <c r="D164" s="258">
        <f>(([3]Consolidated!D164)*1000)*(1/0.79941)</f>
        <v/>
      </c>
      <c r="E164" s="258">
        <f>(([3]Consolidated!E164)*1000)*(1/0.79941)</f>
        <v/>
      </c>
      <c r="F164" s="258">
        <f>(([3]Consolidated!F164)*1000)*(1/0.79941)</f>
        <v/>
      </c>
      <c r="G164" s="258">
        <f>(([3]Consolidated!G164)*1000)*(1/0.79941)</f>
        <v/>
      </c>
      <c r="H164" s="258">
        <f>(([3]Consolidated!H164)*1000)*(1/0.79941)</f>
        <v/>
      </c>
      <c r="I164" s="258">
        <f>(([3]Consolidated!I164)*1000)*(1/0.79941)</f>
        <v/>
      </c>
      <c r="J164" s="253">
        <f>(([3]Consolidated!J164)*1000)*(1/0.79941)</f>
        <v/>
      </c>
      <c r="K164" s="185" t="n"/>
      <c r="L164" s="253">
        <f>(([3]Consolidated!L164)*1000)*(1/0.79941)</f>
        <v/>
      </c>
      <c r="M164" s="258">
        <f>(([3]Consolidated!M164)*1000)*(1/0.79941)</f>
        <v/>
      </c>
      <c r="N164" s="253">
        <f>(([3]Consolidated!N164)*1000)*(1/0.79941)</f>
        <v/>
      </c>
    </row>
    <row r="165" ht="12.75" customHeight="1" s="150">
      <c r="C165" s="245" t="n"/>
      <c r="D165" s="254">
        <f>0*(1/0.79941)</f>
        <v/>
      </c>
      <c r="E165" s="254">
        <f>0*(1/0.79941)</f>
        <v/>
      </c>
      <c r="F165" s="254">
        <f>0*(1/0.79941)</f>
        <v/>
      </c>
      <c r="G165" s="254">
        <f>0*(1/0.79941)</f>
        <v/>
      </c>
      <c r="H165" s="254">
        <f>0*(1/0.79941)</f>
        <v/>
      </c>
      <c r="I165" s="254">
        <f>0*(1/0.79941)</f>
        <v/>
      </c>
      <c r="J165" s="260">
        <f>0*(1/0.79941)</f>
        <v/>
      </c>
      <c r="K165" s="185" t="n"/>
      <c r="L165" s="256">
        <f>0*(1/0.79941)</f>
        <v/>
      </c>
      <c r="M165" s="254">
        <f>0*(1/0.79941)</f>
        <v/>
      </c>
      <c r="N165" s="260">
        <f>0*(1/0.79941)</f>
        <v/>
      </c>
    </row>
    <row r="166" ht="12.75" customHeight="1" s="150">
      <c r="C166" s="245" t="inlineStr">
        <is>
          <t>HR &amp; Comms</t>
        </is>
      </c>
      <c r="D166" s="254">
        <f>(([3]Consolidated!D166)*1000)*(1/0.79941)</f>
        <v/>
      </c>
      <c r="E166" s="254">
        <f>(([3]Consolidated!E166)*1000)*(1/0.79941)</f>
        <v/>
      </c>
      <c r="F166" s="254">
        <f>(([3]Consolidated!F166)*1000)*(1/0.79941)</f>
        <v/>
      </c>
      <c r="G166" s="254">
        <f>(([3]Consolidated!G166)*1000)*(1/0.79941)</f>
        <v/>
      </c>
      <c r="H166" s="254">
        <f>(([3]Consolidated!H166)*1000)*(1/0.79941)</f>
        <v/>
      </c>
      <c r="I166" s="254">
        <f>(([3]Consolidated!I166)*1000)*(1/0.79941)</f>
        <v/>
      </c>
      <c r="J166" s="256">
        <f>(([3]Consolidated!J166)*1000)*(1/0.79941)</f>
        <v/>
      </c>
      <c r="K166" s="185" t="n"/>
      <c r="L166" s="256">
        <f>(([3]Consolidated!L166)*1000)*(1/0.79941)</f>
        <v/>
      </c>
      <c r="M166" s="254">
        <f>(([3]Consolidated!M166)*1000)*(1/0.79941)</f>
        <v/>
      </c>
      <c r="N166" s="249">
        <f>(([3]Consolidated!N166)*1000)*(1/0.79941)</f>
        <v/>
      </c>
    </row>
    <row r="167" ht="12.75" customHeight="1" s="150">
      <c r="C167" s="245" t="inlineStr">
        <is>
          <t>Finance &amp; Business Support</t>
        </is>
      </c>
      <c r="D167" s="254">
        <f>(([3]Consolidated!D167)*1000)*(1/0.79941)</f>
        <v/>
      </c>
      <c r="E167" s="254">
        <f>(([3]Consolidated!E167)*1000)*(1/0.79941)</f>
        <v/>
      </c>
      <c r="F167" s="254">
        <f>(([3]Consolidated!F167)*1000)*(1/0.79941)</f>
        <v/>
      </c>
      <c r="G167" s="254">
        <f>(([3]Consolidated!G167)*1000)*(1/0.79941)</f>
        <v/>
      </c>
      <c r="H167" s="254">
        <f>(([3]Consolidated!H167)*1000)*(1/0.79941)</f>
        <v/>
      </c>
      <c r="I167" s="254">
        <f>(([3]Consolidated!I167)*1000)*(1/0.79941)</f>
        <v/>
      </c>
      <c r="J167" s="256">
        <f>(([3]Consolidated!J167)*1000)*(1/0.79941)</f>
        <v/>
      </c>
      <c r="K167" s="185" t="n"/>
      <c r="L167" s="256">
        <f>(([3]Consolidated!L167)*1000)*(1/0.79941)</f>
        <v/>
      </c>
      <c r="M167" s="254">
        <f>(([3]Consolidated!M167)*1000)*(1/0.79941)</f>
        <v/>
      </c>
      <c r="N167" s="249">
        <f>(([3]Consolidated!N167)*1000)*(1/0.79941)</f>
        <v/>
      </c>
    </row>
    <row r="168" ht="12.75" customHeight="1" s="150">
      <c r="C168" s="245" t="inlineStr">
        <is>
          <t>IT alloc</t>
        </is>
      </c>
      <c r="D168" s="254">
        <f>(([3]Consolidated!D168)*1000)*(1/0.79941)</f>
        <v/>
      </c>
      <c r="E168" s="254">
        <f>(([3]Consolidated!E168)*1000)*(1/0.79941)</f>
        <v/>
      </c>
      <c r="F168" s="254">
        <f>(([3]Consolidated!F168)*1000)*(1/0.79941)</f>
        <v/>
      </c>
      <c r="G168" s="254">
        <f>(([3]Consolidated!G168)*1000)*(1/0.79941)</f>
        <v/>
      </c>
      <c r="H168" s="254">
        <f>(([3]Consolidated!H168)*1000)*(1/0.79941)</f>
        <v/>
      </c>
      <c r="I168" s="254">
        <f>(([3]Consolidated!I168)*1000)*(1/0.79941)</f>
        <v/>
      </c>
      <c r="J168" s="256">
        <f>(([3]Consolidated!J168)*1000)*(1/0.79941)</f>
        <v/>
      </c>
      <c r="K168" s="185" t="n"/>
      <c r="L168" s="256">
        <f>(([3]Consolidated!L168)*1000)*(1/0.79941)</f>
        <v/>
      </c>
      <c r="M168" s="254">
        <f>(([3]Consolidated!M168)*1000)*(1/0.79941)</f>
        <v/>
      </c>
      <c r="N168" s="249">
        <f>(([3]Consolidated!N168)*1000)*(1/0.79941)</f>
        <v/>
      </c>
    </row>
    <row r="169" ht="12.75" customHeight="1" s="150">
      <c r="C169" s="245" t="inlineStr">
        <is>
          <t>Facilities Management</t>
        </is>
      </c>
      <c r="D169" s="254">
        <f>(([3]Consolidated!D169)*1000)*(1/0.79941)</f>
        <v/>
      </c>
      <c r="E169" s="254">
        <f>(([3]Consolidated!E169)*1000)*(1/0.79941)</f>
        <v/>
      </c>
      <c r="F169" s="254">
        <f>(([3]Consolidated!F169)*1000)*(1/0.79941)</f>
        <v/>
      </c>
      <c r="G169" s="254">
        <f>(([3]Consolidated!G169)*1000)*(1/0.79941)</f>
        <v/>
      </c>
      <c r="H169" s="254">
        <f>(([3]Consolidated!H169)*1000)*(1/0.79941)</f>
        <v/>
      </c>
      <c r="I169" s="254">
        <f>(([3]Consolidated!I169)*1000)*(1/0.79941)</f>
        <v/>
      </c>
      <c r="J169" s="256">
        <f>(([3]Consolidated!J169)*1000)*(1/0.79941)</f>
        <v/>
      </c>
      <c r="K169" s="185" t="n"/>
      <c r="L169" s="256">
        <f>(([3]Consolidated!L169)*1000)*(1/0.79941)</f>
        <v/>
      </c>
      <c r="M169" s="254">
        <f>(([3]Consolidated!M169)*1000)*(1/0.79941)</f>
        <v/>
      </c>
      <c r="N169" s="249">
        <f>(([3]Consolidated!N169)*1000)*(1/0.79941)</f>
        <v/>
      </c>
    </row>
    <row r="170" ht="13.5" customHeight="1" s="150">
      <c r="C170" s="250" t="inlineStr">
        <is>
          <t>Overheads</t>
        </is>
      </c>
      <c r="D170" s="258">
        <f>(([3]Consolidated!D170)*1000)*(1/0.79941)</f>
        <v/>
      </c>
      <c r="E170" s="258">
        <f>(([3]Consolidated!E170)*1000)*(1/0.79941)</f>
        <v/>
      </c>
      <c r="F170" s="258">
        <f>(([3]Consolidated!F170)*1000)*(1/0.79941)</f>
        <v/>
      </c>
      <c r="G170" s="258">
        <f>(([3]Consolidated!G170)*1000)*(1/0.79941)</f>
        <v/>
      </c>
      <c r="H170" s="258">
        <f>(([3]Consolidated!H170)*1000)*(1/0.79941)</f>
        <v/>
      </c>
      <c r="I170" s="258">
        <f>(([3]Consolidated!I170)*1000)*(1/0.79941)</f>
        <v/>
      </c>
      <c r="J170" s="253">
        <f>(([3]Consolidated!J170)*1000)*(1/0.79941)</f>
        <v/>
      </c>
      <c r="K170" s="185" t="n"/>
      <c r="L170" s="253">
        <f>(([3]Consolidated!L170)*1000)*(1/0.79941)</f>
        <v/>
      </c>
      <c r="M170" s="258">
        <f>(([3]Consolidated!M170)*1000)*(1/0.79941)</f>
        <v/>
      </c>
      <c r="N170" s="253">
        <f>(([3]Consolidated!N170)*1000)*(1/0.79941)</f>
        <v/>
      </c>
    </row>
    <row r="171" ht="12.75" customHeight="1" s="150">
      <c r="C171" s="245" t="n"/>
      <c r="D171" s="254">
        <f>0*(1/0.79941)</f>
        <v/>
      </c>
      <c r="E171" s="254">
        <f>0*(1/0.79941)</f>
        <v/>
      </c>
      <c r="F171" s="254">
        <f>0*(1/0.79941)</f>
        <v/>
      </c>
      <c r="G171" s="254">
        <f>0*(1/0.79941)</f>
        <v/>
      </c>
      <c r="H171" s="254">
        <f>0*(1/0.79941)</f>
        <v/>
      </c>
      <c r="I171" s="254">
        <f>0*(1/0.79941)</f>
        <v/>
      </c>
      <c r="J171" s="260">
        <f>0*(1/0.79941)</f>
        <v/>
      </c>
      <c r="K171" s="185" t="n"/>
      <c r="L171" s="256">
        <f>0*(1/0.79941)</f>
        <v/>
      </c>
      <c r="M171" s="254">
        <f>0*(1/0.79941)</f>
        <v/>
      </c>
      <c r="N171" s="260">
        <f>0*(1/0.79941)</f>
        <v/>
      </c>
    </row>
    <row r="172" ht="13.5" customHeight="1" s="150">
      <c r="C172" s="250" t="inlineStr">
        <is>
          <t>Total Operating Costs (incl. O/H)</t>
        </is>
      </c>
      <c r="D172" s="258">
        <f>(([3]Consolidated!D172)*1000)*(1/0.79941)</f>
        <v/>
      </c>
      <c r="E172" s="258">
        <f>(([3]Consolidated!E172)*1000)*(1/0.79941)</f>
        <v/>
      </c>
      <c r="F172" s="258">
        <f>(([3]Consolidated!F172)*1000)*(1/0.79941)</f>
        <v/>
      </c>
      <c r="G172" s="258">
        <f>(([3]Consolidated!G172)*1000)*(1/0.79941)</f>
        <v/>
      </c>
      <c r="H172" s="258">
        <f>(([3]Consolidated!H172)*1000)*(1/0.79941)</f>
        <v/>
      </c>
      <c r="I172" s="258">
        <f>(([3]Consolidated!I172)*1000)*(1/0.79941)</f>
        <v/>
      </c>
      <c r="J172" s="253">
        <f>(([3]Consolidated!J172)*1000)*(1/0.79941)</f>
        <v/>
      </c>
      <c r="K172" s="185" t="n"/>
      <c r="L172" s="253">
        <f>(([3]Consolidated!L172)*1000)*(1/0.79941)</f>
        <v/>
      </c>
      <c r="M172" s="258">
        <f>(([3]Consolidated!M172)*1000)*(1/0.79941)</f>
        <v/>
      </c>
      <c r="N172" s="253">
        <f>(([3]Consolidated!N172)*1000)*(1/0.79941)</f>
        <v/>
      </c>
    </row>
  </sheetData>
  <printOptions horizontalCentered="0" verticalCentered="0" headings="0" gridLines="0" gridLinesSet="1"/>
  <pageMargins left="0.747916666666667" right="0.747916666666667" top="0.9840277777777779" bottom="0.9840277777777779"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tabColor rgb="FF00FFFF"/>
    <outlinePr summaryBelow="1" summaryRight="1"/>
    <pageSetUpPr fitToPage="0"/>
  </sheetPr>
  <dimension ref="A1:Q172"/>
  <sheetViews>
    <sheetView showFormulas="0" showGridLines="1" showRowColHeaders="1" showZeros="1" rightToLeft="0" tabSelected="0" showOutlineSymbols="1" defaultGridColor="1" view="normal" topLeftCell="B3" colorId="64" zoomScale="100" zoomScaleNormal="100" zoomScalePageLayoutView="100" workbookViewId="0">
      <selection pane="topLeft" activeCell="C3" activeCellId="0" sqref="C3"/>
    </sheetView>
  </sheetViews>
  <sheetFormatPr baseColWidth="8" defaultColWidth="9.13671875" defaultRowHeight="12.75" customHeight="1" zeroHeight="0" outlineLevelRow="0"/>
  <cols>
    <col hidden="1" width="26.13" customWidth="1" style="158" min="1" max="1"/>
    <col width="6.28" customWidth="1" style="158" min="2" max="2"/>
    <col width="27.56" customWidth="1" style="149" min="3" max="3"/>
    <col width="11.99" customWidth="1" style="149" min="4" max="7"/>
    <col width="12.85" customWidth="1" style="149" min="8" max="8"/>
    <col width="14.41" customWidth="1" style="149" min="9" max="9"/>
    <col width="11.99" customWidth="1" style="159" min="10" max="10"/>
    <col width="3.28" customWidth="1" style="160" min="11" max="11"/>
    <col width="12.85" customWidth="1" style="149" min="12" max="12"/>
    <col width="14.41" customWidth="1" style="149" min="13" max="13"/>
    <col width="13.56" customWidth="1" style="149" min="14" max="14"/>
    <col width="9.140000000000001" customWidth="1" style="149" min="15" max="257"/>
  </cols>
  <sheetData>
    <row r="1" ht="33" customHeight="1" s="150">
      <c r="C1" s="161" t="inlineStr">
        <is>
          <t>Spain (ES)</t>
        </is>
      </c>
    </row>
    <row r="2" ht="48.75" customHeight="1" s="150">
      <c r="C2" s="162" t="inlineStr">
        <is>
          <t>TOTAL COSTS 
(US$ excl. VAT)</t>
        </is>
      </c>
      <c r="D2" s="163">
        <f>[4]Consolidated!D2</f>
        <v/>
      </c>
      <c r="E2" s="163">
        <f>[4]Consolidated!E2</f>
        <v/>
      </c>
      <c r="F2" s="163">
        <f>[4]Consolidated!F2</f>
        <v/>
      </c>
      <c r="G2" s="163">
        <f>[4]Consolidated!G2</f>
        <v/>
      </c>
      <c r="H2" s="163">
        <f>[4]Consolidated!H2</f>
        <v/>
      </c>
      <c r="I2" s="163">
        <f>[4]Consolidated!I2</f>
        <v/>
      </c>
      <c r="J2" s="164">
        <f>[4]Consolidated!J2</f>
        <v/>
      </c>
      <c r="K2" s="165" t="n"/>
      <c r="L2" s="163">
        <f>[4]Consolidated!L2</f>
        <v/>
      </c>
      <c r="M2" s="166">
        <f>[4]Consolidated!M2</f>
        <v/>
      </c>
      <c r="N2" s="163">
        <f>[4]Consolidated!N2</f>
        <v/>
      </c>
    </row>
    <row r="3" ht="12.75" customHeight="1" s="150">
      <c r="A3" s="158" t="n"/>
      <c r="B3" s="158" t="n"/>
      <c r="C3" s="167" t="inlineStr">
        <is>
          <t>Internal FTE</t>
        </is>
      </c>
      <c r="D3" s="168">
        <f>[4]Consolidated!D3</f>
        <v/>
      </c>
      <c r="E3" s="168">
        <f>[4]Consolidated!E3</f>
        <v/>
      </c>
      <c r="F3" s="168">
        <f>[4]Consolidated!F3</f>
        <v/>
      </c>
      <c r="G3" s="168">
        <f>[4]Consolidated!G3</f>
        <v/>
      </c>
      <c r="H3" s="168">
        <f>[4]Consolidated!H3</f>
        <v/>
      </c>
      <c r="I3" s="168">
        <f>[4]Consolidated!I3</f>
        <v/>
      </c>
      <c r="J3" s="293" t="n"/>
      <c r="K3" s="185" t="n"/>
      <c r="L3" s="186">
        <f>[4]Consolidated!L3</f>
        <v/>
      </c>
      <c r="M3" s="182">
        <f>[4]Consolidated!M3</f>
        <v/>
      </c>
      <c r="N3" s="173">
        <f>[4]Consolidated!N3</f>
        <v/>
      </c>
    </row>
    <row r="4" ht="12.75" customHeight="1" s="150">
      <c r="A4" s="158" t="n"/>
      <c r="B4" s="158" t="n"/>
      <c r="C4" s="167" t="inlineStr">
        <is>
          <t>External FTE</t>
        </is>
      </c>
      <c r="D4" s="168">
        <f>[4]Consolidated!D4</f>
        <v/>
      </c>
      <c r="E4" s="168">
        <f>[4]Consolidated!E4</f>
        <v/>
      </c>
      <c r="F4" s="168">
        <f>[4]Consolidated!F4</f>
        <v/>
      </c>
      <c r="G4" s="168">
        <f>[4]Consolidated!G4</f>
        <v/>
      </c>
      <c r="H4" s="168">
        <f>[4]Consolidated!H4</f>
        <v/>
      </c>
      <c r="I4" s="174">
        <f>[4]Consolidated!I4</f>
        <v/>
      </c>
      <c r="J4" s="294" t="n"/>
      <c r="K4" s="185" t="n"/>
      <c r="L4" s="186">
        <f>[4]Consolidated!L4</f>
        <v/>
      </c>
      <c r="M4" s="182">
        <f>[4]Consolidated!M4</f>
        <v/>
      </c>
      <c r="N4" s="173">
        <f>[4]Consolidated!N4</f>
        <v/>
      </c>
    </row>
    <row r="5" ht="13.5" customHeight="1" s="150">
      <c r="A5" s="176" t="n"/>
      <c r="B5" s="176" t="n"/>
      <c r="C5" s="177" t="inlineStr">
        <is>
          <t>Total FTE</t>
        </is>
      </c>
      <c r="D5" s="178">
        <f>[4]Consolidated!D5</f>
        <v/>
      </c>
      <c r="E5" s="178">
        <f>[4]Consolidated!E5</f>
        <v/>
      </c>
      <c r="F5" s="178">
        <f>[4]Consolidated!F5</f>
        <v/>
      </c>
      <c r="G5" s="178">
        <f>[4]Consolidated!G5</f>
        <v/>
      </c>
      <c r="H5" s="178">
        <f>[4]Consolidated!H5</f>
        <v/>
      </c>
      <c r="I5" s="179">
        <f>[4]Consolidated!I5</f>
        <v/>
      </c>
      <c r="J5" s="295" t="n"/>
      <c r="K5" s="185" t="n"/>
      <c r="L5" s="181">
        <f>[4]Consolidated!L5</f>
        <v/>
      </c>
      <c r="M5" s="188">
        <f>[4]Consolidated!M5</f>
        <v/>
      </c>
      <c r="N5" s="181">
        <f>[4]Consolidated!N5</f>
        <v/>
      </c>
    </row>
    <row r="6" ht="12.75" customHeight="1" s="150">
      <c r="A6" s="158" t="n"/>
      <c r="B6" s="158" t="n"/>
      <c r="C6" s="167" t="n"/>
      <c r="D6" s="182" t="n"/>
      <c r="E6" s="182" t="n"/>
      <c r="F6" s="182" t="n"/>
      <c r="G6" s="182" t="n"/>
      <c r="H6" s="182" t="n"/>
      <c r="I6" s="183" t="n"/>
      <c r="J6" s="184" t="n"/>
      <c r="K6" s="185" t="n"/>
      <c r="L6" s="186" t="n"/>
      <c r="M6" s="182" t="n"/>
      <c r="N6" s="173" t="n"/>
    </row>
    <row r="7" ht="12.75" customHeight="1" s="150">
      <c r="A7" s="158" t="n"/>
      <c r="B7" s="158" t="n"/>
      <c r="C7" s="167" t="inlineStr">
        <is>
          <t>Salaries</t>
        </is>
      </c>
      <c r="D7" s="182">
        <f>([4]Consolidated!D7)*(1/0.79941)</f>
        <v/>
      </c>
      <c r="E7" s="182">
        <f>([4]Consolidated!E7)*(1/0.79941)</f>
        <v/>
      </c>
      <c r="F7" s="182">
        <f>([4]Consolidated!F7)*(1/0.79941)</f>
        <v/>
      </c>
      <c r="G7" s="182">
        <f>([4]Consolidated!G7)*(1/0.79941)</f>
        <v/>
      </c>
      <c r="H7" s="182">
        <f>([4]Consolidated!H7)*(1/0.79941)</f>
        <v/>
      </c>
      <c r="I7" s="183">
        <f>([4]Consolidated!I7)*(1/0.79941)</f>
        <v/>
      </c>
      <c r="J7" s="183">
        <f>([4]Consolidated!J7)*(1/0.79941)</f>
        <v/>
      </c>
      <c r="K7" s="185" t="n"/>
      <c r="L7" s="186">
        <f>([4]Consolidated!L7)*(1/0.79941)</f>
        <v/>
      </c>
      <c r="M7" s="182">
        <f>([4]Consolidated!M7)*(1/0.79941)</f>
        <v/>
      </c>
      <c r="N7" s="173">
        <f>([4]Consolidated!N7)*(1/0.79941)</f>
        <v/>
      </c>
      <c r="P7" s="149" t="n">
        <v>1000</v>
      </c>
    </row>
    <row r="8" ht="12.75" customHeight="1" s="150">
      <c r="A8" s="158" t="n"/>
      <c r="B8" s="158" t="n"/>
      <c r="C8" s="167" t="inlineStr">
        <is>
          <t>Bonuses</t>
        </is>
      </c>
      <c r="D8" s="182">
        <f>([4]Consolidated!D8)*(1/0.79941)</f>
        <v/>
      </c>
      <c r="E8" s="182">
        <f>([4]Consolidated!E8)*(1/0.79941)</f>
        <v/>
      </c>
      <c r="F8" s="182">
        <f>([4]Consolidated!F8)*(1/0.79941)</f>
        <v/>
      </c>
      <c r="G8" s="182">
        <f>([4]Consolidated!G8)*(1/0.79941)</f>
        <v/>
      </c>
      <c r="H8" s="182">
        <f>([4]Consolidated!H8)*(1/0.79941)</f>
        <v/>
      </c>
      <c r="I8" s="183">
        <f>([4]Consolidated!I8)*(1/0.79941)</f>
        <v/>
      </c>
      <c r="J8" s="183">
        <f>([4]Consolidated!J8)*(1/0.79941)</f>
        <v/>
      </c>
      <c r="K8" s="185" t="n"/>
      <c r="L8" s="186">
        <f>([4]Consolidated!L8)*(1/0.79941)</f>
        <v/>
      </c>
      <c r="M8" s="182">
        <f>([4]Consolidated!M8)*(1/0.79941)</f>
        <v/>
      </c>
      <c r="N8" s="173">
        <f>([4]Consolidated!N8)*(1/0.79941)</f>
        <v/>
      </c>
      <c r="P8" s="149">
        <f>1/0.79941</f>
        <v/>
      </c>
      <c r="Q8" s="149" t="inlineStr">
        <is>
          <t>Euro to Dollar Rate</t>
        </is>
      </c>
    </row>
    <row r="9" ht="12.75" customHeight="1" s="150">
      <c r="A9" s="158" t="n"/>
      <c r="B9" s="158" t="n"/>
      <c r="C9" s="167" t="inlineStr">
        <is>
          <t>Third party staff, ex IT</t>
        </is>
      </c>
      <c r="D9" s="182">
        <f>([4]Consolidated!D9)*(1/0.79941)</f>
        <v/>
      </c>
      <c r="E9" s="182">
        <f>([4]Consolidated!E9)*(1/0.79941)</f>
        <v/>
      </c>
      <c r="F9" s="182">
        <f>([4]Consolidated!F9)*(1/0.79941)</f>
        <v/>
      </c>
      <c r="G9" s="182">
        <f>([4]Consolidated!G9)*(1/0.79941)</f>
        <v/>
      </c>
      <c r="H9" s="182">
        <f>([4]Consolidated!H9)*(1/0.79941)</f>
        <v/>
      </c>
      <c r="I9" s="183">
        <f>([4]Consolidated!I9)*(1/0.79941)</f>
        <v/>
      </c>
      <c r="J9" s="183">
        <f>([4]Consolidated!J9)*(1/0.79941)</f>
        <v/>
      </c>
      <c r="K9" s="185" t="n"/>
      <c r="L9" s="186">
        <f>([4]Consolidated!L9)*(1/0.79941)</f>
        <v/>
      </c>
      <c r="M9" s="182">
        <f>([4]Consolidated!M9)*(1/0.79941)</f>
        <v/>
      </c>
      <c r="N9" s="173">
        <f>([4]Consolidated!N9)*(1/0.79941)</f>
        <v/>
      </c>
    </row>
    <row r="10" ht="12.75" customHeight="1" s="150">
      <c r="A10" s="158" t="n"/>
      <c r="B10" s="158" t="n"/>
      <c r="C10" s="167" t="inlineStr">
        <is>
          <t>Third party IT staff</t>
        </is>
      </c>
      <c r="D10" s="182">
        <f>([4]Consolidated!D10)*(1/0.79941)</f>
        <v/>
      </c>
      <c r="E10" s="182">
        <f>([4]Consolidated!E10)*(1/0.79941)</f>
        <v/>
      </c>
      <c r="F10" s="182">
        <f>([4]Consolidated!F10)*(1/0.79941)</f>
        <v/>
      </c>
      <c r="G10" s="182">
        <f>([4]Consolidated!G10)*(1/0.79941)</f>
        <v/>
      </c>
      <c r="H10" s="182">
        <f>([4]Consolidated!H10)*(1/0.79941)</f>
        <v/>
      </c>
      <c r="I10" s="183">
        <f>([4]Consolidated!I10)*(1/0.79941)</f>
        <v/>
      </c>
      <c r="J10" s="183">
        <f>([4]Consolidated!J10)*(1/0.79941)</f>
        <v/>
      </c>
      <c r="K10" s="185" t="n"/>
      <c r="L10" s="186">
        <f>([4]Consolidated!L10)*(1/0.79941)</f>
        <v/>
      </c>
      <c r="M10" s="182">
        <f>([4]Consolidated!M10)*(1/0.79941)</f>
        <v/>
      </c>
      <c r="N10" s="173">
        <f>([4]Consolidated!N10)*(1/0.79941)</f>
        <v/>
      </c>
    </row>
    <row r="11" ht="12.75" customHeight="1" s="150">
      <c r="A11" s="158" t="n"/>
      <c r="B11" s="158" t="n"/>
      <c r="C11" s="167" t="inlineStr">
        <is>
          <t>Employee education</t>
        </is>
      </c>
      <c r="D11" s="182">
        <f>([4]Consolidated!D11)*(1/0.79941)</f>
        <v/>
      </c>
      <c r="E11" s="182">
        <f>([4]Consolidated!E11)*(1/0.79941)</f>
        <v/>
      </c>
      <c r="F11" s="182">
        <f>([4]Consolidated!F11)*(1/0.79941)</f>
        <v/>
      </c>
      <c r="G11" s="182">
        <f>([4]Consolidated!G11)*(1/0.79941)</f>
        <v/>
      </c>
      <c r="H11" s="182">
        <f>([4]Consolidated!H11)*(1/0.79941)</f>
        <v/>
      </c>
      <c r="I11" s="183">
        <f>([4]Consolidated!I11)*(1/0.79941)</f>
        <v/>
      </c>
      <c r="J11" s="183">
        <f>([4]Consolidated!J11)*(1/0.79941)</f>
        <v/>
      </c>
      <c r="K11" s="185" t="n"/>
      <c r="L11" s="186">
        <f>([4]Consolidated!L11)*(1/0.79941)</f>
        <v/>
      </c>
      <c r="M11" s="182">
        <f>([4]Consolidated!M11)*(1/0.79941)</f>
        <v/>
      </c>
      <c r="N11" s="173">
        <f>([4]Consolidated!N11)*(1/0.79941)</f>
        <v/>
      </c>
    </row>
    <row r="12" ht="12.75" customHeight="1" s="150">
      <c r="A12" s="158" t="n"/>
      <c r="B12" s="158" t="n"/>
      <c r="C12" s="167" t="inlineStr">
        <is>
          <t>Other staff expenses</t>
        </is>
      </c>
      <c r="D12" s="182">
        <f>([4]Consolidated!D12)*(1/0.79941)</f>
        <v/>
      </c>
      <c r="E12" s="182">
        <f>([4]Consolidated!E12)*(1/0.79941)</f>
        <v/>
      </c>
      <c r="F12" s="182">
        <f>([4]Consolidated!F12)*(1/0.79941)</f>
        <v/>
      </c>
      <c r="G12" s="182">
        <f>([4]Consolidated!G12)*(1/0.79941)</f>
        <v/>
      </c>
      <c r="H12" s="182">
        <f>([4]Consolidated!H12)*(1/0.79941)</f>
        <v/>
      </c>
      <c r="I12" s="187">
        <f>([4]Consolidated!I12)*(1/0.79941)</f>
        <v/>
      </c>
      <c r="J12" s="187">
        <f>([4]Consolidated!J12)*(1/0.79941)</f>
        <v/>
      </c>
      <c r="K12" s="185" t="n"/>
      <c r="L12" s="186">
        <f>([4]Consolidated!L12)*(1/0.79941)</f>
        <v/>
      </c>
      <c r="M12" s="182">
        <f>([4]Consolidated!M12)*(1/0.79941)</f>
        <v/>
      </c>
      <c r="N12" s="173">
        <f>([4]Consolidated!N12)*(1/0.79941)</f>
        <v/>
      </c>
    </row>
    <row r="13" ht="13.5" customHeight="1" s="150">
      <c r="A13" s="176" t="n"/>
      <c r="B13" s="176" t="n"/>
      <c r="C13" s="177" t="inlineStr">
        <is>
          <t>Staff expenses</t>
        </is>
      </c>
      <c r="D13" s="188">
        <f>([4]Consolidated!D13)*(1/0.79941)</f>
        <v/>
      </c>
      <c r="E13" s="188">
        <f>([4]Consolidated!E13)*(1/0.79941)</f>
        <v/>
      </c>
      <c r="F13" s="188">
        <f>([4]Consolidated!F13)*(1/0.79941)</f>
        <v/>
      </c>
      <c r="G13" s="188">
        <f>([4]Consolidated!G13)*(1/0.79941)</f>
        <v/>
      </c>
      <c r="H13" s="188">
        <f>([4]Consolidated!H13)*(1/0.79941)</f>
        <v/>
      </c>
      <c r="I13" s="189">
        <f>([4]Consolidated!I13)*(1/0.79941)</f>
        <v/>
      </c>
      <c r="J13" s="189">
        <f>([4]Consolidated!J13)*(1/0.79941)</f>
        <v/>
      </c>
      <c r="K13" s="185" t="n"/>
      <c r="L13" s="181">
        <f>([4]Consolidated!L13)*(1/0.79941)</f>
        <v/>
      </c>
      <c r="M13" s="188">
        <f>([4]Consolidated!M13)*(1/0.79941)</f>
        <v/>
      </c>
      <c r="N13" s="181">
        <f>([4]Consolidated!N13)*(1/0.79941)</f>
        <v/>
      </c>
    </row>
    <row r="14" ht="12.75" customHeight="1" s="150">
      <c r="A14" s="158" t="n"/>
      <c r="B14" s="158" t="n"/>
      <c r="C14" s="167" t="inlineStr">
        <is>
          <t>Hardware expenses</t>
        </is>
      </c>
      <c r="D14" s="182">
        <f>([4]Consolidated!D14)*(1/0.79941)</f>
        <v/>
      </c>
      <c r="E14" s="182">
        <f>([4]Consolidated!E14)*(1/0.79941)</f>
        <v/>
      </c>
      <c r="F14" s="182">
        <f>([4]Consolidated!F14)*(1/0.79941)</f>
        <v/>
      </c>
      <c r="G14" s="182">
        <f>([4]Consolidated!G14)*(1/0.79941)</f>
        <v/>
      </c>
      <c r="H14" s="182">
        <f>([4]Consolidated!H14)*(1/0.79941)</f>
        <v/>
      </c>
      <c r="I14" s="183">
        <f>([4]Consolidated!I14)*(1/0.79941)</f>
        <v/>
      </c>
      <c r="J14" s="183">
        <f>([4]Consolidated!J14)*(1/0.79941)</f>
        <v/>
      </c>
      <c r="K14" s="185" t="n"/>
      <c r="L14" s="186">
        <f>([4]Consolidated!L14)*(1/0.79941)</f>
        <v/>
      </c>
      <c r="M14" s="182">
        <f>([4]Consolidated!M14)*(1/0.79941)</f>
        <v/>
      </c>
      <c r="N14" s="173">
        <f>([4]Consolidated!N14)*(1/0.79941)</f>
        <v/>
      </c>
    </row>
    <row r="15" ht="12.75" customHeight="1" s="150">
      <c r="A15" s="158" t="n"/>
      <c r="B15" s="158" t="n"/>
      <c r="C15" s="167" t="inlineStr">
        <is>
          <t>Leasing/renting hardware</t>
        </is>
      </c>
      <c r="D15" s="182">
        <f>([4]Consolidated!D15)*(1/0.79941)</f>
        <v/>
      </c>
      <c r="E15" s="182">
        <f>([4]Consolidated!E15)*(1/0.79941)</f>
        <v/>
      </c>
      <c r="F15" s="182">
        <f>([4]Consolidated!F15)*(1/0.79941)</f>
        <v/>
      </c>
      <c r="G15" s="182">
        <f>([4]Consolidated!G15)*(1/0.79941)</f>
        <v/>
      </c>
      <c r="H15" s="182">
        <f>([4]Consolidated!H15)*(1/0.79941)</f>
        <v/>
      </c>
      <c r="I15" s="183">
        <f>([4]Consolidated!I15)*(1/0.79941)</f>
        <v/>
      </c>
      <c r="J15" s="183">
        <f>([4]Consolidated!J15)*(1/0.79941)</f>
        <v/>
      </c>
      <c r="K15" s="185" t="n"/>
      <c r="L15" s="186">
        <f>([4]Consolidated!L15)*(1/0.79941)</f>
        <v/>
      </c>
      <c r="M15" s="182">
        <f>([4]Consolidated!M15)*(1/0.79941)</f>
        <v/>
      </c>
      <c r="N15" s="173">
        <f>([4]Consolidated!N15)*(1/0.79941)</f>
        <v/>
      </c>
    </row>
    <row r="16" ht="12.75" customHeight="1" s="150">
      <c r="A16" s="158" t="n"/>
      <c r="B16" s="158" t="n"/>
      <c r="C16" s="167" t="inlineStr">
        <is>
          <t>Software expenses</t>
        </is>
      </c>
      <c r="D16" s="182">
        <f>([4]Consolidated!D16)*(1/0.79941)</f>
        <v/>
      </c>
      <c r="E16" s="182">
        <f>([4]Consolidated!E16)*(1/0.79941)</f>
        <v/>
      </c>
      <c r="F16" s="182">
        <f>([4]Consolidated!F16)*(1/0.79941)</f>
        <v/>
      </c>
      <c r="G16" s="182">
        <f>([4]Consolidated!G16)*(1/0.79941)</f>
        <v/>
      </c>
      <c r="H16" s="182">
        <f>([4]Consolidated!H16)*(1/0.79941)</f>
        <v/>
      </c>
      <c r="I16" s="183">
        <f>([4]Consolidated!I16)*(1/0.79941)</f>
        <v/>
      </c>
      <c r="J16" s="183">
        <f>([4]Consolidated!J16)*(1/0.79941)</f>
        <v/>
      </c>
      <c r="K16" s="185" t="n"/>
      <c r="L16" s="186">
        <f>([4]Consolidated!L16)*(1/0.79941)</f>
        <v/>
      </c>
      <c r="M16" s="182">
        <f>([4]Consolidated!M16)*(1/0.79941)</f>
        <v/>
      </c>
      <c r="N16" s="173">
        <f>([4]Consolidated!N16)*(1/0.79941)</f>
        <v/>
      </c>
    </row>
    <row r="17" ht="12.75" customHeight="1" s="150">
      <c r="A17" s="158" t="n"/>
      <c r="B17" s="158" t="n"/>
      <c r="C17" s="167" t="inlineStr">
        <is>
          <t>Leasing/renting/licenses sw</t>
        </is>
      </c>
      <c r="D17" s="182">
        <f>([4]Consolidated!D17)*(1/0.79941)</f>
        <v/>
      </c>
      <c r="E17" s="182">
        <f>([4]Consolidated!E17)*(1/0.79941)</f>
        <v/>
      </c>
      <c r="F17" s="182">
        <f>([4]Consolidated!F17)*(1/0.79941)</f>
        <v/>
      </c>
      <c r="G17" s="182">
        <f>([4]Consolidated!G17)*(1/0.79941)</f>
        <v/>
      </c>
      <c r="H17" s="182">
        <f>([4]Consolidated!H17)*(1/0.79941)</f>
        <v/>
      </c>
      <c r="I17" s="183">
        <f>([4]Consolidated!I17)*(1/0.79941)</f>
        <v/>
      </c>
      <c r="J17" s="183">
        <f>([4]Consolidated!J17)*(1/0.79941)</f>
        <v/>
      </c>
      <c r="K17" s="185" t="n"/>
      <c r="L17" s="186">
        <f>([4]Consolidated!L17)*(1/0.79941)</f>
        <v/>
      </c>
      <c r="M17" s="182">
        <f>([4]Consolidated!M17)*(1/0.79941)</f>
        <v/>
      </c>
      <c r="N17" s="173">
        <f>([4]Consolidated!N17)*(1/0.79941)</f>
        <v/>
      </c>
    </row>
    <row r="18" ht="12.75" customHeight="1" s="150">
      <c r="A18" s="158" t="n"/>
      <c r="B18" s="158" t="n"/>
      <c r="C18" s="167" t="inlineStr">
        <is>
          <t>Depreciation hardware</t>
        </is>
      </c>
      <c r="D18" s="182">
        <f>([4]Consolidated!D18)*(1/0.79941)</f>
        <v/>
      </c>
      <c r="E18" s="182">
        <f>([4]Consolidated!E18)*(1/0.79941)</f>
        <v/>
      </c>
      <c r="F18" s="182">
        <f>([4]Consolidated!F18)*(1/0.79941)</f>
        <v/>
      </c>
      <c r="G18" s="182">
        <f>([4]Consolidated!G18)*(1/0.79941)</f>
        <v/>
      </c>
      <c r="H18" s="182">
        <f>([4]Consolidated!H18)*(1/0.79941)</f>
        <v/>
      </c>
      <c r="I18" s="183">
        <f>([4]Consolidated!I18)*(1/0.79941)</f>
        <v/>
      </c>
      <c r="J18" s="183">
        <f>([4]Consolidated!J18)*(1/0.79941)</f>
        <v/>
      </c>
      <c r="K18" s="185" t="n"/>
      <c r="L18" s="186">
        <f>([4]Consolidated!L18)*(1/0.79941)</f>
        <v/>
      </c>
      <c r="M18" s="182">
        <f>([4]Consolidated!M18)*(1/0.79941)</f>
        <v/>
      </c>
      <c r="N18" s="173">
        <f>([4]Consolidated!N18)*(1/0.79941)</f>
        <v/>
      </c>
    </row>
    <row r="19" ht="12.75" customHeight="1" s="150">
      <c r="A19" s="158" t="n"/>
      <c r="B19" s="158" t="n"/>
      <c r="C19" s="167" t="inlineStr">
        <is>
          <t>Depreciation software</t>
        </is>
      </c>
      <c r="D19" s="182">
        <f>([4]Consolidated!D19)*(1/0.79941)</f>
        <v/>
      </c>
      <c r="E19" s="182">
        <f>([4]Consolidated!E19)*(1/0.79941)</f>
        <v/>
      </c>
      <c r="F19" s="182">
        <f>([4]Consolidated!F19)*(1/0.79941)</f>
        <v/>
      </c>
      <c r="G19" s="182">
        <f>([4]Consolidated!G19)*(1/0.79941)</f>
        <v/>
      </c>
      <c r="H19" s="182">
        <f>([4]Consolidated!H19)*(1/0.79941)</f>
        <v/>
      </c>
      <c r="I19" s="183">
        <f>([4]Consolidated!I19)*(1/0.79941)</f>
        <v/>
      </c>
      <c r="J19" s="183">
        <f>([4]Consolidated!J19)*(1/0.79941)</f>
        <v/>
      </c>
      <c r="K19" s="185" t="n"/>
      <c r="L19" s="186">
        <f>([4]Consolidated!L19)*(1/0.79941)</f>
        <v/>
      </c>
      <c r="M19" s="182">
        <f>([4]Consolidated!M19)*(1/0.79941)</f>
        <v/>
      </c>
      <c r="N19" s="173">
        <f>([4]Consolidated!N19)*(1/0.79941)</f>
        <v/>
      </c>
    </row>
    <row r="20" ht="12.75" customHeight="1" s="150">
      <c r="A20" s="158" t="n"/>
      <c r="B20" s="158" t="n"/>
      <c r="C20" s="167" t="inlineStr">
        <is>
          <t>Outsourcing IT activities</t>
        </is>
      </c>
      <c r="D20" s="182">
        <f>([4]Consolidated!D20)*(1/0.79941)</f>
        <v/>
      </c>
      <c r="E20" s="182">
        <f>([4]Consolidated!E20)*(1/0.79941)</f>
        <v/>
      </c>
      <c r="F20" s="182">
        <f>([4]Consolidated!F20)*(1/0.79941)</f>
        <v/>
      </c>
      <c r="G20" s="182">
        <f>([4]Consolidated!G20)*(1/0.79941)</f>
        <v/>
      </c>
      <c r="H20" s="182">
        <f>([4]Consolidated!H20)*(1/0.79941)</f>
        <v/>
      </c>
      <c r="I20" s="183">
        <f>([4]Consolidated!I20)*(1/0.79941)</f>
        <v/>
      </c>
      <c r="J20" s="183">
        <f>([4]Consolidated!J20)*(1/0.79941)</f>
        <v/>
      </c>
      <c r="K20" s="185" t="n"/>
      <c r="L20" s="186">
        <f>([4]Consolidated!L20)*(1/0.79941)</f>
        <v/>
      </c>
      <c r="M20" s="182">
        <f>([4]Consolidated!M20)*(1/0.79941)</f>
        <v/>
      </c>
      <c r="N20" s="173">
        <f>([4]Consolidated!N20)*(1/0.79941)</f>
        <v/>
      </c>
    </row>
    <row r="21" ht="12.75" customHeight="1" s="150">
      <c r="A21" s="158" t="n"/>
      <c r="B21" s="158" t="n"/>
      <c r="C21" s="167" t="inlineStr">
        <is>
          <t>Other IT expenses</t>
        </is>
      </c>
      <c r="D21" s="182">
        <f>([4]Consolidated!D21)*(1/0.79941)</f>
        <v/>
      </c>
      <c r="E21" s="182">
        <f>([4]Consolidated!E21)*(1/0.79941)</f>
        <v/>
      </c>
      <c r="F21" s="182">
        <f>([4]Consolidated!F21)*(1/0.79941)</f>
        <v/>
      </c>
      <c r="G21" s="182">
        <f>([4]Consolidated!G21)*(1/0.79941)</f>
        <v/>
      </c>
      <c r="H21" s="182">
        <f>([4]Consolidated!H21)*(1/0.79941)</f>
        <v/>
      </c>
      <c r="I21" s="183">
        <f>([4]Consolidated!I21)*(1/0.79941)</f>
        <v/>
      </c>
      <c r="J21" s="183">
        <f>([4]Consolidated!J21)*(1/0.79941)</f>
        <v/>
      </c>
      <c r="K21" s="185" t="n"/>
      <c r="L21" s="186">
        <f>([4]Consolidated!L21)*(1/0.79941)</f>
        <v/>
      </c>
      <c r="M21" s="182">
        <f>([4]Consolidated!M21)*(1/0.79941)</f>
        <v/>
      </c>
      <c r="N21" s="173">
        <f>([4]Consolidated!N21)*(1/0.79941)</f>
        <v/>
      </c>
    </row>
    <row r="22" ht="13.5" customHeight="1" s="150">
      <c r="A22" s="176" t="n"/>
      <c r="B22" s="176" t="n"/>
      <c r="C22" s="177" t="inlineStr">
        <is>
          <t>EDP expenses</t>
        </is>
      </c>
      <c r="D22" s="188">
        <f>([4]Consolidated!D22)*(1/0.79941)</f>
        <v/>
      </c>
      <c r="E22" s="188">
        <f>([4]Consolidated!E22)*(1/0.79941)</f>
        <v/>
      </c>
      <c r="F22" s="188">
        <f>([4]Consolidated!F22)*(1/0.79941)</f>
        <v/>
      </c>
      <c r="G22" s="188">
        <f>([4]Consolidated!G22)*(1/0.79941)</f>
        <v/>
      </c>
      <c r="H22" s="188">
        <f>([4]Consolidated!H22)*(1/0.79941)</f>
        <v/>
      </c>
      <c r="I22" s="189">
        <f>([4]Consolidated!I22)*(1/0.79941)</f>
        <v/>
      </c>
      <c r="J22" s="189">
        <f>([4]Consolidated!J22)*(1/0.79941)</f>
        <v/>
      </c>
      <c r="K22" s="185" t="n"/>
      <c r="L22" s="181">
        <f>([4]Consolidated!L22)*(1/0.79941)</f>
        <v/>
      </c>
      <c r="M22" s="188">
        <f>([4]Consolidated!M22)*(1/0.79941)</f>
        <v/>
      </c>
      <c r="N22" s="181">
        <f>([4]Consolidated!N22)*(1/0.79941)</f>
        <v/>
      </c>
    </row>
    <row r="23" ht="12.75" customHeight="1" s="150">
      <c r="A23" s="158" t="n"/>
      <c r="B23" s="158" t="n"/>
      <c r="C23" s="167" t="inlineStr">
        <is>
          <t>Telecom expenses</t>
        </is>
      </c>
      <c r="D23" s="182">
        <f>([4]Consolidated!D23)*(1/0.79941)</f>
        <v/>
      </c>
      <c r="E23" s="182">
        <f>([4]Consolidated!E23)*(1/0.79941)</f>
        <v/>
      </c>
      <c r="F23" s="182">
        <f>([4]Consolidated!F23)*(1/0.79941)</f>
        <v/>
      </c>
      <c r="G23" s="182">
        <f>([4]Consolidated!G23)*(1/0.79941)</f>
        <v/>
      </c>
      <c r="H23" s="182">
        <f>([4]Consolidated!H23)*(1/0.79941)</f>
        <v/>
      </c>
      <c r="I23" s="183">
        <f>([4]Consolidated!I23)*(1/0.79941)</f>
        <v/>
      </c>
      <c r="J23" s="183">
        <f>([4]Consolidated!J23)*(1/0.79941)</f>
        <v/>
      </c>
      <c r="K23" s="185" t="n"/>
      <c r="L23" s="186">
        <f>([4]Consolidated!L23)*(1/0.79941)</f>
        <v/>
      </c>
      <c r="M23" s="182">
        <f>([4]Consolidated!M23)*(1/0.79941)</f>
        <v/>
      </c>
      <c r="N23" s="173">
        <f>([4]Consolidated!N23)*(1/0.79941)</f>
        <v/>
      </c>
    </row>
    <row r="24" ht="12.75" customHeight="1" s="150">
      <c r="A24" s="158" t="n"/>
      <c r="B24" s="158" t="n"/>
      <c r="C24" s="167" t="inlineStr">
        <is>
          <t>Office equipment and supplies</t>
        </is>
      </c>
      <c r="D24" s="182">
        <f>([4]Consolidated!D24)*(1/0.79941)</f>
        <v/>
      </c>
      <c r="E24" s="182">
        <f>([4]Consolidated!E24)*(1/0.79941)</f>
        <v/>
      </c>
      <c r="F24" s="182">
        <f>([4]Consolidated!F24)*(1/0.79941)</f>
        <v/>
      </c>
      <c r="G24" s="182">
        <f>([4]Consolidated!G24)*(1/0.79941)</f>
        <v/>
      </c>
      <c r="H24" s="182">
        <f>([4]Consolidated!H24)*(1/0.79941)</f>
        <v/>
      </c>
      <c r="I24" s="183">
        <f>([4]Consolidated!I24)*(1/0.79941)</f>
        <v/>
      </c>
      <c r="J24" s="183">
        <f>([4]Consolidated!J24)*(1/0.79941)</f>
        <v/>
      </c>
      <c r="K24" s="185" t="n"/>
      <c r="L24" s="186">
        <f>([4]Consolidated!L24)*(1/0.79941)</f>
        <v/>
      </c>
      <c r="M24" s="182">
        <f>([4]Consolidated!M24)*(1/0.79941)</f>
        <v/>
      </c>
      <c r="N24" s="173">
        <f>([4]Consolidated!N24)*(1/0.79941)</f>
        <v/>
      </c>
    </row>
    <row r="25" ht="12.75" customHeight="1" s="150">
      <c r="A25" s="158" t="n"/>
      <c r="B25" s="158" t="n"/>
      <c r="C25" s="167" t="inlineStr">
        <is>
          <t>Accomodation expenses</t>
        </is>
      </c>
      <c r="D25" s="182">
        <f>([4]Consolidated!D25)*(1/0.79941)</f>
        <v/>
      </c>
      <c r="E25" s="182">
        <f>([4]Consolidated!E25)*(1/0.79941)</f>
        <v/>
      </c>
      <c r="F25" s="182">
        <f>([4]Consolidated!F25)*(1/0.79941)</f>
        <v/>
      </c>
      <c r="G25" s="182">
        <f>([4]Consolidated!G25)*(1/0.79941)</f>
        <v/>
      </c>
      <c r="H25" s="182">
        <f>([4]Consolidated!H25)*(1/0.79941)</f>
        <v/>
      </c>
      <c r="I25" s="183">
        <f>([4]Consolidated!I25)*(1/0.79941)</f>
        <v/>
      </c>
      <c r="J25" s="183">
        <f>([4]Consolidated!J25)*(1/0.79941)</f>
        <v/>
      </c>
      <c r="K25" s="185" t="n"/>
      <c r="L25" s="186">
        <f>([4]Consolidated!L25)*(1/0.79941)</f>
        <v/>
      </c>
      <c r="M25" s="182">
        <f>([4]Consolidated!M25)*(1/0.79941)</f>
        <v/>
      </c>
      <c r="N25" s="173">
        <f>([4]Consolidated!N25)*(1/0.79941)</f>
        <v/>
      </c>
    </row>
    <row r="26" ht="12.75" customHeight="1" s="150">
      <c r="A26" s="158" t="n"/>
      <c r="B26" s="158" t="n"/>
      <c r="C26" s="167" t="inlineStr">
        <is>
          <t>Travel costs</t>
        </is>
      </c>
      <c r="D26" s="182">
        <f>([4]Consolidated!D26)*(1/0.79941)</f>
        <v/>
      </c>
      <c r="E26" s="182">
        <f>([4]Consolidated!E26)*(1/0.79941)</f>
        <v/>
      </c>
      <c r="F26" s="182">
        <f>([4]Consolidated!F26)*(1/0.79941)</f>
        <v/>
      </c>
      <c r="G26" s="182">
        <f>([4]Consolidated!G26)*(1/0.79941)</f>
        <v/>
      </c>
      <c r="H26" s="182">
        <f>([4]Consolidated!H26)*(1/0.79941)</f>
        <v/>
      </c>
      <c r="I26" s="183">
        <f>([4]Consolidated!I26)*(1/0.79941)</f>
        <v/>
      </c>
      <c r="J26" s="183">
        <f>([4]Consolidated!J26)*(1/0.79941)</f>
        <v/>
      </c>
      <c r="K26" s="185" t="n"/>
      <c r="L26" s="186">
        <f>([4]Consolidated!L26)*(1/0.79941)</f>
        <v/>
      </c>
      <c r="M26" s="182">
        <f>([4]Consolidated!M26)*(1/0.79941)</f>
        <v/>
      </c>
      <c r="N26" s="173">
        <f>([4]Consolidated!N26)*(1/0.79941)</f>
        <v/>
      </c>
    </row>
    <row r="27" ht="12.75" customHeight="1" s="150">
      <c r="A27" s="158" t="n"/>
      <c r="B27" s="158" t="n"/>
      <c r="C27" s="167" t="inlineStr">
        <is>
          <t>Postal and freight charges</t>
        </is>
      </c>
      <c r="D27" s="182">
        <f>([4]Consolidated!D27)*(1/0.79941)</f>
        <v/>
      </c>
      <c r="E27" s="182">
        <f>([4]Consolidated!E27)*(1/0.79941)</f>
        <v/>
      </c>
      <c r="F27" s="182">
        <f>([4]Consolidated!F27)*(1/0.79941)</f>
        <v/>
      </c>
      <c r="G27" s="182">
        <f>([4]Consolidated!G27)*(1/0.79941)</f>
        <v/>
      </c>
      <c r="H27" s="182">
        <f>([4]Consolidated!H27)*(1/0.79941)</f>
        <v/>
      </c>
      <c r="I27" s="183">
        <f>([4]Consolidated!I27)*(1/0.79941)</f>
        <v/>
      </c>
      <c r="J27" s="183">
        <f>([4]Consolidated!J27)*(1/0.79941)</f>
        <v/>
      </c>
      <c r="K27" s="185" t="n"/>
      <c r="L27" s="186">
        <f>([4]Consolidated!L27)*(1/0.79941)</f>
        <v/>
      </c>
      <c r="M27" s="182">
        <f>([4]Consolidated!M27)*(1/0.79941)</f>
        <v/>
      </c>
      <c r="N27" s="173">
        <f>([4]Consolidated!N27)*(1/0.79941)</f>
        <v/>
      </c>
    </row>
    <row r="28" ht="12.75" customHeight="1" s="150">
      <c r="A28" s="158" t="n"/>
      <c r="B28" s="158" t="n"/>
      <c r="C28" s="167" t="inlineStr">
        <is>
          <t>Prof serv and ext advisory fee</t>
        </is>
      </c>
      <c r="D28" s="182">
        <f>([4]Consolidated!D28)*(1/0.79941)</f>
        <v/>
      </c>
      <c r="E28" s="182">
        <f>([4]Consolidated!E28)*(1/0.79941)</f>
        <v/>
      </c>
      <c r="F28" s="182">
        <f>([4]Consolidated!F28)*(1/0.79941)</f>
        <v/>
      </c>
      <c r="G28" s="182">
        <f>([4]Consolidated!G28)*(1/0.79941)</f>
        <v/>
      </c>
      <c r="H28" s="182">
        <f>([4]Consolidated!H28)*(1/0.79941)</f>
        <v/>
      </c>
      <c r="I28" s="183">
        <f>([4]Consolidated!I28)*(1/0.79941)</f>
        <v/>
      </c>
      <c r="J28" s="183">
        <f>([4]Consolidated!J28)*(1/0.79941)</f>
        <v/>
      </c>
      <c r="K28" s="185" t="n"/>
      <c r="L28" s="186">
        <f>([4]Consolidated!L28)*(1/0.79941)</f>
        <v/>
      </c>
      <c r="M28" s="182">
        <f>([4]Consolidated!M28)*(1/0.79941)</f>
        <v/>
      </c>
      <c r="N28" s="173">
        <f>([4]Consolidated!N28)*(1/0.79941)</f>
        <v/>
      </c>
    </row>
    <row r="29" ht="12.75" customHeight="1" s="150">
      <c r="A29" s="158" t="n"/>
      <c r="B29" s="158" t="n"/>
      <c r="C29" s="167" t="inlineStr">
        <is>
          <t>Payment transfer expenses</t>
        </is>
      </c>
      <c r="D29" s="182">
        <f>([4]Consolidated!D29)*(1/0.79941)</f>
        <v/>
      </c>
      <c r="E29" s="182">
        <f>([4]Consolidated!E29)*(1/0.79941)</f>
        <v/>
      </c>
      <c r="F29" s="182">
        <f>([4]Consolidated!F29)*(1/0.79941)</f>
        <v/>
      </c>
      <c r="G29" s="182">
        <f>([4]Consolidated!G29)*(1/0.79941)</f>
        <v/>
      </c>
      <c r="H29" s="182">
        <f>([4]Consolidated!H29)*(1/0.79941)</f>
        <v/>
      </c>
      <c r="I29" s="183">
        <f>([4]Consolidated!I29)*(1/0.79941)</f>
        <v/>
      </c>
      <c r="J29" s="183">
        <f>([4]Consolidated!J29)*(1/0.79941)</f>
        <v/>
      </c>
      <c r="K29" s="185" t="n"/>
      <c r="L29" s="186">
        <f>([4]Consolidated!L29)*(1/0.79941)</f>
        <v/>
      </c>
      <c r="M29" s="182">
        <f>([4]Consolidated!M29)*(1/0.79941)</f>
        <v/>
      </c>
      <c r="N29" s="173">
        <f>([4]Consolidated!N29)*(1/0.79941)</f>
        <v/>
      </c>
    </row>
    <row r="30" ht="12.75" customHeight="1" s="150">
      <c r="A30" s="158" t="n"/>
      <c r="B30" s="158" t="n"/>
      <c r="C30" s="167" t="inlineStr">
        <is>
          <t>Other costs</t>
        </is>
      </c>
      <c r="D30" s="182">
        <f>([4]Consolidated!D30)*(1/0.79941)</f>
        <v/>
      </c>
      <c r="E30" s="182">
        <f>([4]Consolidated!E30)*(1/0.79941)</f>
        <v/>
      </c>
      <c r="F30" s="182">
        <f>([4]Consolidated!F30)*(1/0.79941)</f>
        <v/>
      </c>
      <c r="G30" s="182">
        <f>([4]Consolidated!G30)*(1/0.79941)</f>
        <v/>
      </c>
      <c r="H30" s="182">
        <f>([4]Consolidated!H30)*(1/0.79941)</f>
        <v/>
      </c>
      <c r="I30" s="183">
        <f>([4]Consolidated!I30)*(1/0.79941)</f>
        <v/>
      </c>
      <c r="J30" s="183">
        <f>([4]Consolidated!J30)*(1/0.79941)</f>
        <v/>
      </c>
      <c r="K30" s="185" t="n"/>
      <c r="L30" s="186">
        <f>([4]Consolidated!L30)*(1/0.79941)</f>
        <v/>
      </c>
      <c r="M30" s="182">
        <f>([4]Consolidated!M30)*(1/0.79941)</f>
        <v/>
      </c>
      <c r="N30" s="173">
        <f>([4]Consolidated!N30)*(1/0.79941)</f>
        <v/>
      </c>
    </row>
    <row r="31" ht="13.5" customHeight="1" s="150">
      <c r="A31" s="176" t="n"/>
      <c r="B31" s="176" t="n"/>
      <c r="C31" s="177" t="inlineStr">
        <is>
          <t>General expenses</t>
        </is>
      </c>
      <c r="D31" s="188">
        <f>([4]Consolidated!D31)*(1/0.79941)</f>
        <v/>
      </c>
      <c r="E31" s="188">
        <f>([4]Consolidated!E31)*(1/0.79941)</f>
        <v/>
      </c>
      <c r="F31" s="188">
        <f>([4]Consolidated!F31)*(1/0.79941)</f>
        <v/>
      </c>
      <c r="G31" s="188">
        <f>([4]Consolidated!G31)*(1/0.79941)</f>
        <v/>
      </c>
      <c r="H31" s="188">
        <f>([4]Consolidated!H31)*(1/0.79941)</f>
        <v/>
      </c>
      <c r="I31" s="189">
        <f>([4]Consolidated!I31)*(1/0.79941)</f>
        <v/>
      </c>
      <c r="J31" s="189">
        <f>([4]Consolidated!J31)*(1/0.79941)</f>
        <v/>
      </c>
      <c r="K31" s="185" t="n"/>
      <c r="L31" s="181">
        <f>([4]Consolidated!L31)*(1/0.79941)</f>
        <v/>
      </c>
      <c r="M31" s="188">
        <f>([4]Consolidated!M31)*(1/0.79941)</f>
        <v/>
      </c>
      <c r="N31" s="181">
        <f>([4]Consolidated!N31)*(1/0.79941)</f>
        <v/>
      </c>
    </row>
    <row r="32" ht="12.75" customHeight="1" s="150">
      <c r="A32" s="158" t="n"/>
      <c r="B32" s="158" t="n"/>
      <c r="C32" s="167" t="inlineStr">
        <is>
          <t>Own expenses</t>
        </is>
      </c>
      <c r="D32" s="182">
        <f>([4]Consolidated!D32)*(1/0.79941)</f>
        <v/>
      </c>
      <c r="E32" s="182">
        <f>([4]Consolidated!E32)*(1/0.79941)</f>
        <v/>
      </c>
      <c r="F32" s="182">
        <f>([4]Consolidated!F32)*(1/0.79941)</f>
        <v/>
      </c>
      <c r="G32" s="182">
        <f>([4]Consolidated!G32)*(1/0.79941)</f>
        <v/>
      </c>
      <c r="H32" s="182">
        <f>([4]Consolidated!H32)*(1/0.79941)</f>
        <v/>
      </c>
      <c r="I32" s="183">
        <f>([4]Consolidated!I32)*(1/0.79941)</f>
        <v/>
      </c>
      <c r="J32" s="183">
        <f>([4]Consolidated!J32)*(1/0.79941)</f>
        <v/>
      </c>
      <c r="K32" s="185" t="n"/>
      <c r="L32" s="186">
        <f>([4]Consolidated!L32)*(1/0.79941)</f>
        <v/>
      </c>
      <c r="M32" s="182">
        <f>([4]Consolidated!M32)*(1/0.79941)</f>
        <v/>
      </c>
      <c r="N32" s="190">
        <f>([4]Consolidated!N32)*(1/0.79941)</f>
        <v/>
      </c>
    </row>
    <row r="33" ht="12.75" customHeight="1" s="150">
      <c r="A33" s="158" t="n"/>
      <c r="B33" s="158" t="n"/>
      <c r="C33" s="167" t="inlineStr">
        <is>
          <t>Other expenses</t>
        </is>
      </c>
      <c r="D33" s="182">
        <f>([4]Consolidated!D33)*(1/0.79941)</f>
        <v/>
      </c>
      <c r="E33" s="182">
        <f>([4]Consolidated!E33)*(1/0.79941)</f>
        <v/>
      </c>
      <c r="F33" s="182">
        <f>([4]Consolidated!F33)*(1/0.79941)</f>
        <v/>
      </c>
      <c r="G33" s="182">
        <f>([4]Consolidated!G33)*(1/0.79941)</f>
        <v/>
      </c>
      <c r="H33" s="182">
        <f>([4]Consolidated!H33)*(1/0.79941)</f>
        <v/>
      </c>
      <c r="I33" s="183">
        <f>([4]Consolidated!I33)*(1/0.79941)</f>
        <v/>
      </c>
      <c r="J33" s="183">
        <f>([4]Consolidated!J33)*(1/0.79941)</f>
        <v/>
      </c>
      <c r="K33" s="185" t="n"/>
      <c r="L33" s="186">
        <f>([4]Consolidated!L33)*(1/0.79941)</f>
        <v/>
      </c>
      <c r="M33" s="182">
        <f>([4]Consolidated!M33)*(1/0.79941)</f>
        <v/>
      </c>
      <c r="N33" s="173">
        <f>([4]Consolidated!N33)*(1/0.79941)</f>
        <v/>
      </c>
    </row>
    <row r="34" ht="13.5" customHeight="1" s="150">
      <c r="A34" s="176" t="n"/>
      <c r="B34" s="176" t="n"/>
      <c r="C34" s="177" t="inlineStr">
        <is>
          <t>Operating expenses</t>
        </is>
      </c>
      <c r="D34" s="188">
        <f>([4]Consolidated!D34)*(1/0.79941)</f>
        <v/>
      </c>
      <c r="E34" s="188">
        <f>([4]Consolidated!E34)*(1/0.79941)</f>
        <v/>
      </c>
      <c r="F34" s="188">
        <f>([4]Consolidated!F34)*(1/0.79941)</f>
        <v/>
      </c>
      <c r="G34" s="188">
        <f>([4]Consolidated!G34)*(1/0.79941)</f>
        <v/>
      </c>
      <c r="H34" s="188">
        <f>([4]Consolidated!H34)*(1/0.79941)</f>
        <v/>
      </c>
      <c r="I34" s="189">
        <f>([4]Consolidated!I34)*(1/0.79941)</f>
        <v/>
      </c>
      <c r="J34" s="189">
        <f>([4]Consolidated!J34)*(1/0.79941)</f>
        <v/>
      </c>
      <c r="K34" s="185" t="n"/>
      <c r="L34" s="181">
        <f>([4]Consolidated!L34)*(1/0.79941)</f>
        <v/>
      </c>
      <c r="M34" s="188">
        <f>([4]Consolidated!M34)*(1/0.79941)</f>
        <v/>
      </c>
      <c r="N34" s="181">
        <f>([4]Consolidated!N34)*(1/0.79941)</f>
        <v/>
      </c>
    </row>
    <row r="35" ht="12.75" customHeight="1" s="150">
      <c r="A35" s="158" t="n"/>
      <c r="B35" s="158" t="n"/>
      <c r="C35" s="167" t="n"/>
      <c r="D35" s="182">
        <f>0*(1/0.79941)</f>
        <v/>
      </c>
      <c r="E35" s="182">
        <f>0*(1/0.79941)</f>
        <v/>
      </c>
      <c r="F35" s="182">
        <f>0*(1/0.79941)</f>
        <v/>
      </c>
      <c r="G35" s="182">
        <f>0*(1/0.79941)</f>
        <v/>
      </c>
      <c r="H35" s="182">
        <f>0*(1/0.79941)</f>
        <v/>
      </c>
      <c r="I35" s="183">
        <f>0*(1/0.79941)</f>
        <v/>
      </c>
      <c r="J35" s="191">
        <f>0*(1/0.79941)</f>
        <v/>
      </c>
      <c r="K35" s="185" t="n"/>
      <c r="L35" s="186">
        <f>0*(1/0.79941)</f>
        <v/>
      </c>
      <c r="M35" s="182">
        <f>0*(1/0.79941)</f>
        <v/>
      </c>
      <c r="N35" s="192">
        <f>0*(1/0.79941)</f>
        <v/>
      </c>
    </row>
    <row r="36" ht="12.75" customHeight="1" s="150">
      <c r="A36" s="158" t="n"/>
      <c r="B36" s="158" t="n"/>
      <c r="C36" s="167" t="inlineStr">
        <is>
          <t>HR &amp; Comms</t>
        </is>
      </c>
      <c r="D36" s="182">
        <f>([4]Consolidated!D36)*(1/0.79941)</f>
        <v/>
      </c>
      <c r="E36" s="182">
        <f>([4]Consolidated!E36)*(1/0.79941)</f>
        <v/>
      </c>
      <c r="F36" s="182">
        <f>([4]Consolidated!F36)*(1/0.79941)</f>
        <v/>
      </c>
      <c r="G36" s="182">
        <f>([4]Consolidated!G36)*(1/0.79941)</f>
        <v/>
      </c>
      <c r="H36" s="182">
        <f>([4]Consolidated!H36)*(1/0.79941)</f>
        <v/>
      </c>
      <c r="I36" s="183">
        <f>([4]Consolidated!I36)*(1/0.79941)</f>
        <v/>
      </c>
      <c r="J36" s="183">
        <f>([4]Consolidated!J36)*(1/0.79941)</f>
        <v/>
      </c>
      <c r="K36" s="185" t="n"/>
      <c r="L36" s="186">
        <f>([4]Consolidated!L36)*(1/0.79941)</f>
        <v/>
      </c>
      <c r="M36" s="182">
        <f>([4]Consolidated!M36)*(1/0.79941)</f>
        <v/>
      </c>
      <c r="N36" s="173">
        <f>([4]Consolidated!N36)*(1/0.79941)</f>
        <v/>
      </c>
    </row>
    <row r="37" ht="12.75" customHeight="1" s="150">
      <c r="A37" s="158" t="n"/>
      <c r="B37" s="158" t="n"/>
      <c r="C37" s="167" t="inlineStr">
        <is>
          <t>Finance &amp; Business Support</t>
        </is>
      </c>
      <c r="D37" s="182">
        <f>([4]Consolidated!D37)*(1/0.79941)</f>
        <v/>
      </c>
      <c r="E37" s="182">
        <f>([4]Consolidated!E37)*(1/0.79941)</f>
        <v/>
      </c>
      <c r="F37" s="182">
        <f>([4]Consolidated!F37)*(1/0.79941)</f>
        <v/>
      </c>
      <c r="G37" s="182">
        <f>([4]Consolidated!G37)*(1/0.79941)</f>
        <v/>
      </c>
      <c r="H37" s="182">
        <f>([4]Consolidated!H37)*(1/0.79941)</f>
        <v/>
      </c>
      <c r="I37" s="183">
        <f>([4]Consolidated!I37)*(1/0.79941)</f>
        <v/>
      </c>
      <c r="J37" s="183">
        <f>([4]Consolidated!J37)*(1/0.79941)</f>
        <v/>
      </c>
      <c r="K37" s="185" t="n"/>
      <c r="L37" s="186">
        <f>([4]Consolidated!L37)*(1/0.79941)</f>
        <v/>
      </c>
      <c r="M37" s="182">
        <f>([4]Consolidated!M37)*(1/0.79941)</f>
        <v/>
      </c>
      <c r="N37" s="173">
        <f>([4]Consolidated!N37)*(1/0.79941)</f>
        <v/>
      </c>
    </row>
    <row r="38" ht="12.75" customHeight="1" s="150">
      <c r="A38" s="158" t="n"/>
      <c r="B38" s="158" t="n"/>
      <c r="C38" s="167" t="inlineStr">
        <is>
          <t>IT alloc</t>
        </is>
      </c>
      <c r="D38" s="182">
        <f>([4]Consolidated!D38)*(1/0.79941)</f>
        <v/>
      </c>
      <c r="E38" s="182">
        <f>([4]Consolidated!E38)*(1/0.79941)</f>
        <v/>
      </c>
      <c r="F38" s="182">
        <f>([4]Consolidated!F38)*(1/0.79941)</f>
        <v/>
      </c>
      <c r="G38" s="182">
        <f>([4]Consolidated!G38)*(1/0.79941)</f>
        <v/>
      </c>
      <c r="H38" s="182">
        <f>([4]Consolidated!H38)*(1/0.79941)</f>
        <v/>
      </c>
      <c r="I38" s="183">
        <f>([4]Consolidated!I38)*(1/0.79941)</f>
        <v/>
      </c>
      <c r="J38" s="183">
        <f>([4]Consolidated!J38)*(1/0.79941)</f>
        <v/>
      </c>
      <c r="K38" s="185" t="n"/>
      <c r="L38" s="186">
        <f>([4]Consolidated!L38)*(1/0.79941)</f>
        <v/>
      </c>
      <c r="M38" s="182">
        <f>([4]Consolidated!M38)*(1/0.79941)</f>
        <v/>
      </c>
      <c r="N38" s="173">
        <f>([4]Consolidated!N38)*(1/0.79941)</f>
        <v/>
      </c>
    </row>
    <row r="39" ht="12.75" customHeight="1" s="150">
      <c r="A39" s="158" t="n"/>
      <c r="B39" s="158" t="n"/>
      <c r="C39" s="167" t="inlineStr">
        <is>
          <t>Facilities Management</t>
        </is>
      </c>
      <c r="D39" s="182">
        <f>([4]Consolidated!D39)*(1/0.79941)</f>
        <v/>
      </c>
      <c r="E39" s="182">
        <f>([4]Consolidated!E39)*(1/0.79941)</f>
        <v/>
      </c>
      <c r="F39" s="182">
        <f>([4]Consolidated!F39)*(1/0.79941)</f>
        <v/>
      </c>
      <c r="G39" s="182">
        <f>([4]Consolidated!G39)*(1/0.79941)</f>
        <v/>
      </c>
      <c r="H39" s="182">
        <f>([4]Consolidated!H39)*(1/0.79941)</f>
        <v/>
      </c>
      <c r="I39" s="183">
        <f>([4]Consolidated!I39)*(1/0.79941)</f>
        <v/>
      </c>
      <c r="J39" s="183">
        <f>([4]Consolidated!J39)*(1/0.79941)</f>
        <v/>
      </c>
      <c r="K39" s="185" t="n"/>
      <c r="L39" s="186">
        <f>([4]Consolidated!L39)*(1/0.79941)</f>
        <v/>
      </c>
      <c r="M39" s="182">
        <f>([4]Consolidated!M39)*(1/0.79941)</f>
        <v/>
      </c>
      <c r="N39" s="173">
        <f>([4]Consolidated!N39)*(1/0.79941)</f>
        <v/>
      </c>
    </row>
    <row r="40" ht="13.5" customHeight="1" s="150">
      <c r="A40" s="176" t="n"/>
      <c r="B40" s="176" t="n"/>
      <c r="C40" s="177" t="inlineStr">
        <is>
          <t>Overheads</t>
        </is>
      </c>
      <c r="D40" s="188">
        <f>([4]Consolidated!D40)*(1/0.79941)</f>
        <v/>
      </c>
      <c r="E40" s="188">
        <f>([4]Consolidated!E40)*(1/0.79941)</f>
        <v/>
      </c>
      <c r="F40" s="188">
        <f>([4]Consolidated!F40)*(1/0.79941)</f>
        <v/>
      </c>
      <c r="G40" s="188">
        <f>([4]Consolidated!G40)*(1/0.79941)</f>
        <v/>
      </c>
      <c r="H40" s="188">
        <f>([4]Consolidated!H40)*(1/0.79941)</f>
        <v/>
      </c>
      <c r="I40" s="189">
        <f>([4]Consolidated!I40)*(1/0.79941)</f>
        <v/>
      </c>
      <c r="J40" s="189">
        <f>([4]Consolidated!J40)*(1/0.79941)</f>
        <v/>
      </c>
      <c r="K40" s="185" t="n"/>
      <c r="L40" s="181">
        <f>([4]Consolidated!L40)*(1/0.79941)</f>
        <v/>
      </c>
      <c r="M40" s="188">
        <f>([4]Consolidated!M40)*(1/0.79941)</f>
        <v/>
      </c>
      <c r="N40" s="181">
        <f>([4]Consolidated!N40)*(1/0.79941)</f>
        <v/>
      </c>
    </row>
    <row r="41" ht="12.75" customHeight="1" s="150">
      <c r="A41" s="158" t="n"/>
      <c r="B41" s="158" t="n"/>
      <c r="C41" s="167" t="n">
        <v>0</v>
      </c>
      <c r="D41" s="182">
        <f>0*(1/0.79941)</f>
        <v/>
      </c>
      <c r="E41" s="182">
        <f>0*(1/0.79941)</f>
        <v/>
      </c>
      <c r="F41" s="182">
        <f>0*(1/0.79941)</f>
        <v/>
      </c>
      <c r="G41" s="182">
        <f>0*(1/0.79941)</f>
        <v/>
      </c>
      <c r="H41" s="182">
        <f>0*(1/0.79941)</f>
        <v/>
      </c>
      <c r="I41" s="183">
        <f>0*(1/0.79941)</f>
        <v/>
      </c>
      <c r="J41" s="191">
        <f>0*(1/0.79941)</f>
        <v/>
      </c>
      <c r="K41" s="185" t="n"/>
      <c r="L41" s="186">
        <f>0*(1/0.79941)</f>
        <v/>
      </c>
      <c r="M41" s="182">
        <f>0*(1/0.79941)</f>
        <v/>
      </c>
      <c r="N41" s="192">
        <f>0*(1/0.79941)</f>
        <v/>
      </c>
    </row>
    <row r="42" ht="13.5" customHeight="1" s="150">
      <c r="A42" s="176" t="n"/>
      <c r="B42" s="176" t="n"/>
      <c r="C42" s="177" t="inlineStr">
        <is>
          <t>Total Operating Costs (incl. O/H)</t>
        </is>
      </c>
      <c r="D42" s="188">
        <f>([4]Consolidated!D42)*(1/0.79941)</f>
        <v/>
      </c>
      <c r="E42" s="188">
        <f>([4]Consolidated!E42)*(1/0.79941)</f>
        <v/>
      </c>
      <c r="F42" s="188">
        <f>([4]Consolidated!F42)*(1/0.79941)</f>
        <v/>
      </c>
      <c r="G42" s="188">
        <f>([4]Consolidated!G42)*(1/0.79941)</f>
        <v/>
      </c>
      <c r="H42" s="188">
        <f>([4]Consolidated!H42)*(1/0.79941)</f>
        <v/>
      </c>
      <c r="I42" s="189">
        <f>([4]Consolidated!I42)*(1/0.79941)</f>
        <v/>
      </c>
      <c r="J42" s="189">
        <f>([4]Consolidated!J42)*(1/0.79941)</f>
        <v/>
      </c>
      <c r="K42" s="185" t="n"/>
      <c r="L42" s="181">
        <f>([4]Consolidated!L42)*(1/0.79941)</f>
        <v/>
      </c>
      <c r="M42" s="188">
        <f>([4]Consolidated!M42)*(1/0.79941)</f>
        <v/>
      </c>
      <c r="N42" s="181">
        <f>([4]Consolidated!N42)*(1/0.79941)</f>
        <v/>
      </c>
      <c r="O42" s="193" t="n"/>
    </row>
    <row r="43" ht="12.75" customHeight="1" s="150">
      <c r="J43" s="195" t="n"/>
      <c r="N43" s="196" t="n"/>
    </row>
    <row r="44" ht="13.5" customHeight="1" s="150"/>
    <row r="45" ht="54.75" customHeight="1" s="150">
      <c r="C45" s="197" t="inlineStr">
        <is>
          <t>SUPPLIER ASSUMED COSTS 
(US$  excl. VAT)</t>
        </is>
      </c>
      <c r="D45" s="198">
        <f>[4]Consolidated!D45</f>
        <v/>
      </c>
      <c r="E45" s="198">
        <f>[4]Consolidated!E45</f>
        <v/>
      </c>
      <c r="F45" s="198">
        <f>[4]Consolidated!F45</f>
        <v/>
      </c>
      <c r="G45" s="198">
        <f>[4]Consolidated!G45</f>
        <v/>
      </c>
      <c r="H45" s="198">
        <f>[4]Consolidated!H45</f>
        <v/>
      </c>
      <c r="I45" s="199">
        <f>[4]Consolidated!I45</f>
        <v/>
      </c>
      <c r="J45" s="200">
        <f>[4]Consolidated!J45</f>
        <v/>
      </c>
      <c r="K45" s="165" t="n"/>
      <c r="L45" s="198">
        <f>[4]Consolidated!L45</f>
        <v/>
      </c>
      <c r="M45" s="201">
        <f>[4]Consolidated!M45</f>
        <v/>
      </c>
      <c r="N45" s="198">
        <f>[4]Consolidated!N45</f>
        <v/>
      </c>
    </row>
    <row r="46" ht="12.75" customHeight="1" s="150">
      <c r="C46" s="202" t="inlineStr">
        <is>
          <t>Internal FTE</t>
        </is>
      </c>
      <c r="D46" s="211">
        <f>[4]Consolidated!D46</f>
        <v/>
      </c>
      <c r="E46" s="211">
        <f>[4]Consolidated!E46</f>
        <v/>
      </c>
      <c r="F46" s="211">
        <f>[4]Consolidated!F46</f>
        <v/>
      </c>
      <c r="G46" s="211">
        <f>[4]Consolidated!G46</f>
        <v/>
      </c>
      <c r="H46" s="211">
        <f>[4]Consolidated!H46</f>
        <v/>
      </c>
      <c r="I46" s="211">
        <f>[4]Consolidated!I46</f>
        <v/>
      </c>
      <c r="J46" s="288" t="n"/>
      <c r="K46" s="185" t="n"/>
      <c r="L46" s="213">
        <f>[4]Consolidated!L46</f>
        <v/>
      </c>
      <c r="M46" s="211">
        <f>[4]Consolidated!M46</f>
        <v/>
      </c>
      <c r="N46" s="206">
        <f>[4]Consolidated!N46</f>
        <v/>
      </c>
    </row>
    <row r="47" ht="12.75" customHeight="1" s="150">
      <c r="C47" s="202" t="inlineStr">
        <is>
          <t>External FTE</t>
        </is>
      </c>
      <c r="D47" s="211">
        <f>[4]Consolidated!D47</f>
        <v/>
      </c>
      <c r="E47" s="211">
        <f>[4]Consolidated!E47</f>
        <v/>
      </c>
      <c r="F47" s="211">
        <f>[4]Consolidated!F47</f>
        <v/>
      </c>
      <c r="G47" s="211">
        <f>[4]Consolidated!G47</f>
        <v/>
      </c>
      <c r="H47" s="211">
        <f>[4]Consolidated!H47</f>
        <v/>
      </c>
      <c r="I47" s="211">
        <f>[4]Consolidated!I47</f>
        <v/>
      </c>
      <c r="J47" s="288" t="n"/>
      <c r="K47" s="185" t="n"/>
      <c r="L47" s="213">
        <f>[4]Consolidated!L47</f>
        <v/>
      </c>
      <c r="M47" s="211">
        <f>[4]Consolidated!M47</f>
        <v/>
      </c>
      <c r="N47" s="206">
        <f>[4]Consolidated!N47</f>
        <v/>
      </c>
    </row>
    <row r="48" ht="13.5" customHeight="1" s="150">
      <c r="A48" s="176" t="n"/>
      <c r="B48" s="176" t="n"/>
      <c r="C48" s="207" t="inlineStr">
        <is>
          <t>Total FTE</t>
        </is>
      </c>
      <c r="D48" s="215">
        <f>[4]Consolidated!D48</f>
        <v/>
      </c>
      <c r="E48" s="215">
        <f>[4]Consolidated!E48</f>
        <v/>
      </c>
      <c r="F48" s="215">
        <f>[4]Consolidated!F48</f>
        <v/>
      </c>
      <c r="G48" s="215">
        <f>[4]Consolidated!G48</f>
        <v/>
      </c>
      <c r="H48" s="215">
        <f>[4]Consolidated!H48</f>
        <v/>
      </c>
      <c r="I48" s="215">
        <f>[4]Consolidated!I48</f>
        <v/>
      </c>
      <c r="J48" s="289" t="n"/>
      <c r="K48" s="185" t="n"/>
      <c r="L48" s="210">
        <f>[4]Consolidated!L48</f>
        <v/>
      </c>
      <c r="M48" s="215">
        <f>[4]Consolidated!M48</f>
        <v/>
      </c>
      <c r="N48" s="210">
        <f>[4]Consolidated!N48</f>
        <v/>
      </c>
    </row>
    <row r="49" ht="12.75" customHeight="1" s="150">
      <c r="C49" s="202" t="n"/>
      <c r="D49" s="211" t="n"/>
      <c r="E49" s="211" t="n"/>
      <c r="F49" s="211" t="n"/>
      <c r="G49" s="211" t="n"/>
      <c r="H49" s="211" t="n"/>
      <c r="I49" s="211" t="n"/>
      <c r="J49" s="212" t="n"/>
      <c r="K49" s="185" t="n"/>
      <c r="L49" s="213" t="n"/>
      <c r="M49" s="211" t="n"/>
      <c r="N49" s="206" t="n"/>
    </row>
    <row r="50" ht="12.75" customHeight="1" s="150">
      <c r="C50" s="202" t="inlineStr">
        <is>
          <t>Salaries</t>
        </is>
      </c>
      <c r="D50" s="211">
        <f>([4]Consolidated!D50)*(1/0.79941)</f>
        <v/>
      </c>
      <c r="E50" s="211">
        <f>([4]Consolidated!E50)*(1/0.79941)</f>
        <v/>
      </c>
      <c r="F50" s="211">
        <f>([4]Consolidated!F50)*(1/0.79941)</f>
        <v/>
      </c>
      <c r="G50" s="211">
        <f>([4]Consolidated!G50)*(1/0.79941)</f>
        <v/>
      </c>
      <c r="H50" s="211">
        <f>([4]Consolidated!H50)*(1/0.79941)</f>
        <v/>
      </c>
      <c r="I50" s="211">
        <f>([4]Consolidated!I50)*(1/0.79941)</f>
        <v/>
      </c>
      <c r="J50" s="213">
        <f>([4]Consolidated!J50)*(1/0.79941)</f>
        <v/>
      </c>
      <c r="K50" s="185" t="n"/>
      <c r="L50" s="213">
        <f>([4]Consolidated!L50)*(1/0.79941)</f>
        <v/>
      </c>
      <c r="M50" s="211">
        <f>([4]Consolidated!M50)*(1/0.79941)</f>
        <v/>
      </c>
      <c r="N50" s="206">
        <f>([4]Consolidated!N50)*(1/0.79941)</f>
        <v/>
      </c>
    </row>
    <row r="51" ht="12.75" customHeight="1" s="150">
      <c r="C51" s="202" t="inlineStr">
        <is>
          <t>Bonuses</t>
        </is>
      </c>
      <c r="D51" s="211">
        <f>([4]Consolidated!D51)*(1/0.79941)</f>
        <v/>
      </c>
      <c r="E51" s="211">
        <f>([4]Consolidated!E51)*(1/0.79941)</f>
        <v/>
      </c>
      <c r="F51" s="211">
        <f>([4]Consolidated!F51)*(1/0.79941)</f>
        <v/>
      </c>
      <c r="G51" s="211">
        <f>([4]Consolidated!G51)*(1/0.79941)</f>
        <v/>
      </c>
      <c r="H51" s="211">
        <f>([4]Consolidated!H51)*(1/0.79941)</f>
        <v/>
      </c>
      <c r="I51" s="211">
        <f>([4]Consolidated!I51)*(1/0.79941)</f>
        <v/>
      </c>
      <c r="J51" s="213">
        <f>([4]Consolidated!J51)*(1/0.79941)</f>
        <v/>
      </c>
      <c r="K51" s="185" t="n"/>
      <c r="L51" s="213">
        <f>([4]Consolidated!L51)*(1/0.79941)</f>
        <v/>
      </c>
      <c r="M51" s="211">
        <f>([4]Consolidated!M51)*(1/0.79941)</f>
        <v/>
      </c>
      <c r="N51" s="206">
        <f>([4]Consolidated!N51)*(1/0.79941)</f>
        <v/>
      </c>
    </row>
    <row r="52" ht="12.75" customHeight="1" s="150">
      <c r="C52" s="202" t="inlineStr">
        <is>
          <t>Third party staff, ex IT</t>
        </is>
      </c>
      <c r="D52" s="211">
        <f>([4]Consolidated!D52)*(1/0.79941)</f>
        <v/>
      </c>
      <c r="E52" s="211">
        <f>([4]Consolidated!E52)*(1/0.79941)</f>
        <v/>
      </c>
      <c r="F52" s="211">
        <f>([4]Consolidated!F52)*(1/0.79941)</f>
        <v/>
      </c>
      <c r="G52" s="211">
        <f>([4]Consolidated!G52)*(1/0.79941)</f>
        <v/>
      </c>
      <c r="H52" s="211">
        <f>([4]Consolidated!H52)*(1/0.79941)</f>
        <v/>
      </c>
      <c r="I52" s="211">
        <f>([4]Consolidated!I52)*(1/0.79941)</f>
        <v/>
      </c>
      <c r="J52" s="213">
        <f>([4]Consolidated!J52)*(1/0.79941)</f>
        <v/>
      </c>
      <c r="K52" s="185" t="n"/>
      <c r="L52" s="213">
        <f>([4]Consolidated!L52)*(1/0.79941)</f>
        <v/>
      </c>
      <c r="M52" s="211">
        <f>([4]Consolidated!M52)*(1/0.79941)</f>
        <v/>
      </c>
      <c r="N52" s="206">
        <f>([4]Consolidated!N52)*(1/0.79941)</f>
        <v/>
      </c>
    </row>
    <row r="53" ht="12.75" customHeight="1" s="150">
      <c r="C53" s="202" t="inlineStr">
        <is>
          <t>Third party IT staff</t>
        </is>
      </c>
      <c r="D53" s="211">
        <f>([4]Consolidated!D53)*(1/0.79941)</f>
        <v/>
      </c>
      <c r="E53" s="211">
        <f>([4]Consolidated!E53)*(1/0.79941)</f>
        <v/>
      </c>
      <c r="F53" s="211">
        <f>([4]Consolidated!F53)*(1/0.79941)</f>
        <v/>
      </c>
      <c r="G53" s="211">
        <f>([4]Consolidated!G53)*(1/0.79941)</f>
        <v/>
      </c>
      <c r="H53" s="211">
        <f>([4]Consolidated!H53)*(1/0.79941)</f>
        <v/>
      </c>
      <c r="I53" s="211">
        <f>([4]Consolidated!I53)*(1/0.79941)</f>
        <v/>
      </c>
      <c r="J53" s="213">
        <f>([4]Consolidated!J53)*(1/0.79941)</f>
        <v/>
      </c>
      <c r="K53" s="185" t="n"/>
      <c r="L53" s="213">
        <f>([4]Consolidated!L53)*(1/0.79941)</f>
        <v/>
      </c>
      <c r="M53" s="211">
        <f>([4]Consolidated!M53)*(1/0.79941)</f>
        <v/>
      </c>
      <c r="N53" s="206">
        <f>([4]Consolidated!N53)*(1/0.79941)</f>
        <v/>
      </c>
    </row>
    <row r="54" ht="12.75" customHeight="1" s="150">
      <c r="C54" s="202" t="inlineStr">
        <is>
          <t>Employee education</t>
        </is>
      </c>
      <c r="D54" s="211">
        <f>([4]Consolidated!D54)*(1/0.79941)</f>
        <v/>
      </c>
      <c r="E54" s="211">
        <f>([4]Consolidated!E54)*(1/0.79941)</f>
        <v/>
      </c>
      <c r="F54" s="211">
        <f>([4]Consolidated!F54)*(1/0.79941)</f>
        <v/>
      </c>
      <c r="G54" s="211">
        <f>([4]Consolidated!G54)*(1/0.79941)</f>
        <v/>
      </c>
      <c r="H54" s="211">
        <f>([4]Consolidated!H54)*(1/0.79941)</f>
        <v/>
      </c>
      <c r="I54" s="211">
        <f>([4]Consolidated!I54)*(1/0.79941)</f>
        <v/>
      </c>
      <c r="J54" s="213">
        <f>([4]Consolidated!J54)*(1/0.79941)</f>
        <v/>
      </c>
      <c r="K54" s="185" t="n"/>
      <c r="L54" s="213">
        <f>([4]Consolidated!L54)*(1/0.79941)</f>
        <v/>
      </c>
      <c r="M54" s="211">
        <f>([4]Consolidated!M54)*(1/0.79941)</f>
        <v/>
      </c>
      <c r="N54" s="206">
        <f>([4]Consolidated!N54)*(1/0.79941)</f>
        <v/>
      </c>
    </row>
    <row r="55" ht="12.75" customHeight="1" s="150">
      <c r="C55" s="202" t="inlineStr">
        <is>
          <t>Other staff expenses</t>
        </is>
      </c>
      <c r="D55" s="211">
        <f>([4]Consolidated!D55)*(1/0.79941)</f>
        <v/>
      </c>
      <c r="E55" s="211">
        <f>([4]Consolidated!E55)*(1/0.79941)</f>
        <v/>
      </c>
      <c r="F55" s="211">
        <f>([4]Consolidated!F55)*(1/0.79941)</f>
        <v/>
      </c>
      <c r="G55" s="211">
        <f>([4]Consolidated!G55)*(1/0.79941)</f>
        <v/>
      </c>
      <c r="H55" s="211">
        <f>([4]Consolidated!H55)*(1/0.79941)</f>
        <v/>
      </c>
      <c r="I55" s="211">
        <f>([4]Consolidated!I55)*(1/0.79941)</f>
        <v/>
      </c>
      <c r="J55" s="214">
        <f>([4]Consolidated!J55)*(1/0.79941)</f>
        <v/>
      </c>
      <c r="K55" s="185" t="n"/>
      <c r="L55" s="213">
        <f>([4]Consolidated!L55)*(1/0.79941)</f>
        <v/>
      </c>
      <c r="M55" s="211">
        <f>([4]Consolidated!M55)*(1/0.79941)</f>
        <v/>
      </c>
      <c r="N55" s="206">
        <f>([4]Consolidated!N55)*(1/0.79941)</f>
        <v/>
      </c>
    </row>
    <row r="56" ht="13.5" customHeight="1" s="150">
      <c r="C56" s="207" t="inlineStr">
        <is>
          <t>Staff expenses</t>
        </is>
      </c>
      <c r="D56" s="215">
        <f>([4]Consolidated!D56)*(1/0.79941)</f>
        <v/>
      </c>
      <c r="E56" s="215">
        <f>([4]Consolidated!E56)*(1/0.79941)</f>
        <v/>
      </c>
      <c r="F56" s="215">
        <f>([4]Consolidated!F56)*(1/0.79941)</f>
        <v/>
      </c>
      <c r="G56" s="215">
        <f>([4]Consolidated!G56)*(1/0.79941)</f>
        <v/>
      </c>
      <c r="H56" s="215">
        <f>([4]Consolidated!H56)*(1/0.79941)</f>
        <v/>
      </c>
      <c r="I56" s="215">
        <f>([4]Consolidated!I56)*(1/0.79941)</f>
        <v/>
      </c>
      <c r="J56" s="210">
        <f>([4]Consolidated!J56)*(1/0.79941)</f>
        <v/>
      </c>
      <c r="K56" s="185" t="n"/>
      <c r="L56" s="210">
        <f>([4]Consolidated!L56)*(1/0.79941)</f>
        <v/>
      </c>
      <c r="M56" s="215">
        <f>([4]Consolidated!M56)*(1/0.79941)</f>
        <v/>
      </c>
      <c r="N56" s="210">
        <f>([4]Consolidated!N56)*(1/0.79941)</f>
        <v/>
      </c>
    </row>
    <row r="57" ht="12.75" customHeight="1" s="150">
      <c r="B57" s="216" t="n"/>
      <c r="C57" s="202" t="inlineStr">
        <is>
          <t>Hardware expenses</t>
        </is>
      </c>
      <c r="D57" s="211">
        <f>([4]Consolidated!D57)*(1/0.79941)</f>
        <v/>
      </c>
      <c r="E57" s="211">
        <f>([4]Consolidated!E57)*(1/0.79941)</f>
        <v/>
      </c>
      <c r="F57" s="211">
        <f>([4]Consolidated!F57)*(1/0.79941)</f>
        <v/>
      </c>
      <c r="G57" s="211">
        <f>([4]Consolidated!G57)*(1/0.79941)</f>
        <v/>
      </c>
      <c r="H57" s="211">
        <f>([4]Consolidated!H57)*(1/0.79941)</f>
        <v/>
      </c>
      <c r="I57" s="211">
        <f>([4]Consolidated!I57)*(1/0.79941)</f>
        <v/>
      </c>
      <c r="J57" s="213">
        <f>([4]Consolidated!J57)*(1/0.79941)</f>
        <v/>
      </c>
      <c r="K57" s="185" t="n"/>
      <c r="L57" s="213">
        <f>([4]Consolidated!L57)*(1/0.79941)</f>
        <v/>
      </c>
      <c r="M57" s="211">
        <f>([4]Consolidated!M57)*(1/0.79941)</f>
        <v/>
      </c>
      <c r="N57" s="206">
        <f>([4]Consolidated!N57)*(1/0.79941)</f>
        <v/>
      </c>
    </row>
    <row r="58" ht="12.75" customHeight="1" s="150">
      <c r="C58" s="202" t="inlineStr">
        <is>
          <t>Leasing/renting hardware</t>
        </is>
      </c>
      <c r="D58" s="211">
        <f>([4]Consolidated!D58)*(1/0.79941)</f>
        <v/>
      </c>
      <c r="E58" s="211">
        <f>([4]Consolidated!E58)*(1/0.79941)</f>
        <v/>
      </c>
      <c r="F58" s="211">
        <f>([4]Consolidated!F58)*(1/0.79941)</f>
        <v/>
      </c>
      <c r="G58" s="211">
        <f>([4]Consolidated!G58)*(1/0.79941)</f>
        <v/>
      </c>
      <c r="H58" s="211">
        <f>([4]Consolidated!H58)*(1/0.79941)</f>
        <v/>
      </c>
      <c r="I58" s="211">
        <f>([4]Consolidated!I58)*(1/0.79941)</f>
        <v/>
      </c>
      <c r="J58" s="213">
        <f>([4]Consolidated!J58)*(1/0.79941)</f>
        <v/>
      </c>
      <c r="K58" s="185" t="n"/>
      <c r="L58" s="213">
        <f>([4]Consolidated!L58)*(1/0.79941)</f>
        <v/>
      </c>
      <c r="M58" s="211">
        <f>([4]Consolidated!M58)*(1/0.79941)</f>
        <v/>
      </c>
      <c r="N58" s="206">
        <f>([4]Consolidated!N58)*(1/0.79941)</f>
        <v/>
      </c>
    </row>
    <row r="59" ht="12.75" customHeight="1" s="150">
      <c r="C59" s="202" t="inlineStr">
        <is>
          <t>Software expenses</t>
        </is>
      </c>
      <c r="D59" s="211">
        <f>([4]Consolidated!D59)*(1/0.79941)</f>
        <v/>
      </c>
      <c r="E59" s="211">
        <f>([4]Consolidated!E59)*(1/0.79941)</f>
        <v/>
      </c>
      <c r="F59" s="211">
        <f>([4]Consolidated!F59)*(1/0.79941)</f>
        <v/>
      </c>
      <c r="G59" s="211">
        <f>([4]Consolidated!G59)*(1/0.79941)</f>
        <v/>
      </c>
      <c r="H59" s="211">
        <f>([4]Consolidated!H59)*(1/0.79941)</f>
        <v/>
      </c>
      <c r="I59" s="211">
        <f>([4]Consolidated!I59)*(1/0.79941)</f>
        <v/>
      </c>
      <c r="J59" s="213">
        <f>([4]Consolidated!J59)*(1/0.79941)</f>
        <v/>
      </c>
      <c r="K59" s="185" t="n"/>
      <c r="L59" s="213">
        <f>([4]Consolidated!L59)*(1/0.79941)</f>
        <v/>
      </c>
      <c r="M59" s="211">
        <f>([4]Consolidated!M59)*(1/0.79941)</f>
        <v/>
      </c>
      <c r="N59" s="206">
        <f>([4]Consolidated!N59)*(1/0.79941)</f>
        <v/>
      </c>
    </row>
    <row r="60" ht="12.75" customHeight="1" s="150">
      <c r="C60" s="202" t="inlineStr">
        <is>
          <t>Leasing/renting/licenses sw</t>
        </is>
      </c>
      <c r="D60" s="211">
        <f>([4]Consolidated!D60)*(1/0.79941)</f>
        <v/>
      </c>
      <c r="E60" s="211">
        <f>([4]Consolidated!E60)*(1/0.79941)</f>
        <v/>
      </c>
      <c r="F60" s="211">
        <f>([4]Consolidated!F60)*(1/0.79941)</f>
        <v/>
      </c>
      <c r="G60" s="211">
        <f>([4]Consolidated!G60)*(1/0.79941)</f>
        <v/>
      </c>
      <c r="H60" s="211">
        <f>([4]Consolidated!H60)*(1/0.79941)</f>
        <v/>
      </c>
      <c r="I60" s="211">
        <f>([4]Consolidated!I60)*(1/0.79941)</f>
        <v/>
      </c>
      <c r="J60" s="213">
        <f>([4]Consolidated!J60)*(1/0.79941)</f>
        <v/>
      </c>
      <c r="K60" s="185" t="n"/>
      <c r="L60" s="213">
        <f>([4]Consolidated!L60)*(1/0.79941)</f>
        <v/>
      </c>
      <c r="M60" s="211">
        <f>([4]Consolidated!M60)*(1/0.79941)</f>
        <v/>
      </c>
      <c r="N60" s="206">
        <f>([4]Consolidated!N60)*(1/0.79941)</f>
        <v/>
      </c>
    </row>
    <row r="61" ht="12.75" customHeight="1" s="150">
      <c r="C61" s="202" t="inlineStr">
        <is>
          <t>Depreciation hardware</t>
        </is>
      </c>
      <c r="D61" s="211">
        <f>([4]Consolidated!D61)*(1/0.79941)</f>
        <v/>
      </c>
      <c r="E61" s="211">
        <f>([4]Consolidated!E61)*(1/0.79941)</f>
        <v/>
      </c>
      <c r="F61" s="211">
        <f>([4]Consolidated!F61)*(1/0.79941)</f>
        <v/>
      </c>
      <c r="G61" s="211">
        <f>([4]Consolidated!G61)*(1/0.79941)</f>
        <v/>
      </c>
      <c r="H61" s="211">
        <f>([4]Consolidated!H61)*(1/0.79941)</f>
        <v/>
      </c>
      <c r="I61" s="211">
        <f>([4]Consolidated!I61)*(1/0.79941)</f>
        <v/>
      </c>
      <c r="J61" s="213">
        <f>([4]Consolidated!J61)*(1/0.79941)</f>
        <v/>
      </c>
      <c r="K61" s="185" t="n"/>
      <c r="L61" s="213">
        <f>([4]Consolidated!L61)*(1/0.79941)</f>
        <v/>
      </c>
      <c r="M61" s="211">
        <f>([4]Consolidated!M61)*(1/0.79941)</f>
        <v/>
      </c>
      <c r="N61" s="206">
        <f>([4]Consolidated!N61)*(1/0.79941)</f>
        <v/>
      </c>
    </row>
    <row r="62" ht="12.75" customHeight="1" s="150">
      <c r="C62" s="202" t="inlineStr">
        <is>
          <t>Depreciation software</t>
        </is>
      </c>
      <c r="D62" s="211">
        <f>([4]Consolidated!D62)*(1/0.79941)</f>
        <v/>
      </c>
      <c r="E62" s="211">
        <f>([4]Consolidated!E62)*(1/0.79941)</f>
        <v/>
      </c>
      <c r="F62" s="211">
        <f>([4]Consolidated!F62)*(1/0.79941)</f>
        <v/>
      </c>
      <c r="G62" s="211">
        <f>([4]Consolidated!G62)*(1/0.79941)</f>
        <v/>
      </c>
      <c r="H62" s="211">
        <f>([4]Consolidated!H62)*(1/0.79941)</f>
        <v/>
      </c>
      <c r="I62" s="211">
        <f>([4]Consolidated!I62)*(1/0.79941)</f>
        <v/>
      </c>
      <c r="J62" s="213">
        <f>([4]Consolidated!J62)*(1/0.79941)</f>
        <v/>
      </c>
      <c r="K62" s="185" t="n"/>
      <c r="L62" s="213">
        <f>([4]Consolidated!L62)*(1/0.79941)</f>
        <v/>
      </c>
      <c r="M62" s="211">
        <f>([4]Consolidated!M62)*(1/0.79941)</f>
        <v/>
      </c>
      <c r="N62" s="206">
        <f>([4]Consolidated!N62)*(1/0.79941)</f>
        <v/>
      </c>
    </row>
    <row r="63" ht="12.75" customHeight="1" s="150">
      <c r="C63" s="202" t="inlineStr">
        <is>
          <t>Outsourcing IT activities</t>
        </is>
      </c>
      <c r="D63" s="211">
        <f>([4]Consolidated!D63)*(1/0.79941)</f>
        <v/>
      </c>
      <c r="E63" s="211">
        <f>([4]Consolidated!E63)*(1/0.79941)</f>
        <v/>
      </c>
      <c r="F63" s="211">
        <f>([4]Consolidated!F63)*(1/0.79941)</f>
        <v/>
      </c>
      <c r="G63" s="211">
        <f>([4]Consolidated!G63)*(1/0.79941)</f>
        <v/>
      </c>
      <c r="H63" s="211">
        <f>([4]Consolidated!H63)*(1/0.79941)</f>
        <v/>
      </c>
      <c r="I63" s="211">
        <f>([4]Consolidated!I63)*(1/0.79941)</f>
        <v/>
      </c>
      <c r="J63" s="213">
        <f>([4]Consolidated!J63)*(1/0.79941)</f>
        <v/>
      </c>
      <c r="K63" s="185" t="n"/>
      <c r="L63" s="213">
        <f>([4]Consolidated!L63)*(1/0.79941)</f>
        <v/>
      </c>
      <c r="M63" s="211">
        <f>([4]Consolidated!M63)*(1/0.79941)</f>
        <v/>
      </c>
      <c r="N63" s="206">
        <f>([4]Consolidated!N63)*(1/0.79941)</f>
        <v/>
      </c>
    </row>
    <row r="64" ht="12.75" customHeight="1" s="150">
      <c r="C64" s="202" t="inlineStr">
        <is>
          <t>Other IT expenses</t>
        </is>
      </c>
      <c r="D64" s="211">
        <f>([4]Consolidated!D64)*(1/0.79941)</f>
        <v/>
      </c>
      <c r="E64" s="211">
        <f>([4]Consolidated!E64)*(1/0.79941)</f>
        <v/>
      </c>
      <c r="F64" s="211">
        <f>([4]Consolidated!F64)*(1/0.79941)</f>
        <v/>
      </c>
      <c r="G64" s="211">
        <f>([4]Consolidated!G64)*(1/0.79941)</f>
        <v/>
      </c>
      <c r="H64" s="211">
        <f>([4]Consolidated!H64)*(1/0.79941)</f>
        <v/>
      </c>
      <c r="I64" s="211">
        <f>([4]Consolidated!I64)*(1/0.79941)</f>
        <v/>
      </c>
      <c r="J64" s="213">
        <f>([4]Consolidated!J64)*(1/0.79941)</f>
        <v/>
      </c>
      <c r="K64" s="185" t="n"/>
      <c r="L64" s="213">
        <f>([4]Consolidated!L64)*(1/0.79941)</f>
        <v/>
      </c>
      <c r="M64" s="211">
        <f>([4]Consolidated!M64)*(1/0.79941)</f>
        <v/>
      </c>
      <c r="N64" s="206">
        <f>([4]Consolidated!N64)*(1/0.79941)</f>
        <v/>
      </c>
    </row>
    <row r="65" ht="13.5" customHeight="1" s="150">
      <c r="C65" s="207" t="inlineStr">
        <is>
          <t>EDP expenses</t>
        </is>
      </c>
      <c r="D65" s="215">
        <f>([4]Consolidated!D65)*(1/0.79941)</f>
        <v/>
      </c>
      <c r="E65" s="215">
        <f>([4]Consolidated!E65)*(1/0.79941)</f>
        <v/>
      </c>
      <c r="F65" s="215">
        <f>([4]Consolidated!F65)*(1/0.79941)</f>
        <v/>
      </c>
      <c r="G65" s="215">
        <f>([4]Consolidated!G65)*(1/0.79941)</f>
        <v/>
      </c>
      <c r="H65" s="215">
        <f>([4]Consolidated!H65)*(1/0.79941)</f>
        <v/>
      </c>
      <c r="I65" s="215">
        <f>([4]Consolidated!I65)*(1/0.79941)</f>
        <v/>
      </c>
      <c r="J65" s="210">
        <f>([4]Consolidated!J65)*(1/0.79941)</f>
        <v/>
      </c>
      <c r="K65" s="185" t="n"/>
      <c r="L65" s="210">
        <f>([4]Consolidated!L65)*(1/0.79941)</f>
        <v/>
      </c>
      <c r="M65" s="215">
        <f>([4]Consolidated!M65)*(1/0.79941)</f>
        <v/>
      </c>
      <c r="N65" s="210">
        <f>([4]Consolidated!N65)*(1/0.79941)</f>
        <v/>
      </c>
    </row>
    <row r="66" ht="12.75" customHeight="1" s="150">
      <c r="C66" s="202" t="inlineStr">
        <is>
          <t>Telecom expenses</t>
        </is>
      </c>
      <c r="D66" s="211">
        <f>([4]Consolidated!D66)*(1/0.79941)</f>
        <v/>
      </c>
      <c r="E66" s="211">
        <f>([4]Consolidated!E66)*(1/0.79941)</f>
        <v/>
      </c>
      <c r="F66" s="211">
        <f>([4]Consolidated!F66)*(1/0.79941)</f>
        <v/>
      </c>
      <c r="G66" s="211">
        <f>([4]Consolidated!G66)*(1/0.79941)</f>
        <v/>
      </c>
      <c r="H66" s="211">
        <f>([4]Consolidated!H66)*(1/0.79941)</f>
        <v/>
      </c>
      <c r="I66" s="211">
        <f>([4]Consolidated!I66)*(1/0.79941)</f>
        <v/>
      </c>
      <c r="J66" s="213">
        <f>([4]Consolidated!J66)*(1/0.79941)</f>
        <v/>
      </c>
      <c r="K66" s="185" t="n"/>
      <c r="L66" s="213">
        <f>([4]Consolidated!L66)*(1/0.79941)</f>
        <v/>
      </c>
      <c r="M66" s="211">
        <f>([4]Consolidated!M66)*(1/0.79941)</f>
        <v/>
      </c>
      <c r="N66" s="206">
        <f>([4]Consolidated!N66)*(1/0.79941)</f>
        <v/>
      </c>
    </row>
    <row r="67" ht="12.75" customHeight="1" s="150">
      <c r="C67" s="202" t="inlineStr">
        <is>
          <t>Office equipment and supplies</t>
        </is>
      </c>
      <c r="D67" s="211">
        <f>([4]Consolidated!D67)*(1/0.79941)</f>
        <v/>
      </c>
      <c r="E67" s="211">
        <f>([4]Consolidated!E67)*(1/0.79941)</f>
        <v/>
      </c>
      <c r="F67" s="211">
        <f>([4]Consolidated!F67)*(1/0.79941)</f>
        <v/>
      </c>
      <c r="G67" s="211">
        <f>([4]Consolidated!G67)*(1/0.79941)</f>
        <v/>
      </c>
      <c r="H67" s="211">
        <f>([4]Consolidated!H67)*(1/0.79941)</f>
        <v/>
      </c>
      <c r="I67" s="211">
        <f>([4]Consolidated!I67)*(1/0.79941)</f>
        <v/>
      </c>
      <c r="J67" s="213">
        <f>([4]Consolidated!J67)*(1/0.79941)</f>
        <v/>
      </c>
      <c r="K67" s="185" t="n"/>
      <c r="L67" s="213">
        <f>([4]Consolidated!L67)*(1/0.79941)</f>
        <v/>
      </c>
      <c r="M67" s="211">
        <f>([4]Consolidated!M67)*(1/0.79941)</f>
        <v/>
      </c>
      <c r="N67" s="206">
        <f>([4]Consolidated!N67)*(1/0.79941)</f>
        <v/>
      </c>
    </row>
    <row r="68" ht="12.75" customHeight="1" s="150">
      <c r="C68" s="202" t="inlineStr">
        <is>
          <t>Accomodation expenses</t>
        </is>
      </c>
      <c r="D68" s="211">
        <f>([4]Consolidated!D68)*(1/0.79941)</f>
        <v/>
      </c>
      <c r="E68" s="211">
        <f>([4]Consolidated!E68)*(1/0.79941)</f>
        <v/>
      </c>
      <c r="F68" s="211">
        <f>([4]Consolidated!F68)*(1/0.79941)</f>
        <v/>
      </c>
      <c r="G68" s="211">
        <f>([4]Consolidated!G68)*(1/0.79941)</f>
        <v/>
      </c>
      <c r="H68" s="211">
        <f>([4]Consolidated!H68)*(1/0.79941)</f>
        <v/>
      </c>
      <c r="I68" s="211">
        <f>([4]Consolidated!I68)*(1/0.79941)</f>
        <v/>
      </c>
      <c r="J68" s="213">
        <f>([4]Consolidated!J68)*(1/0.79941)</f>
        <v/>
      </c>
      <c r="K68" s="185" t="n"/>
      <c r="L68" s="213">
        <f>([4]Consolidated!L68)*(1/0.79941)</f>
        <v/>
      </c>
      <c r="M68" s="211">
        <f>([4]Consolidated!M68)*(1/0.79941)</f>
        <v/>
      </c>
      <c r="N68" s="206">
        <f>([4]Consolidated!N68)*(1/0.79941)</f>
        <v/>
      </c>
    </row>
    <row r="69" ht="12.75" customHeight="1" s="150">
      <c r="C69" s="202" t="inlineStr">
        <is>
          <t>Travel costs</t>
        </is>
      </c>
      <c r="D69" s="211">
        <f>([4]Consolidated!D69)*(1/0.79941)</f>
        <v/>
      </c>
      <c r="E69" s="211">
        <f>([4]Consolidated!E69)*(1/0.79941)</f>
        <v/>
      </c>
      <c r="F69" s="211">
        <f>([4]Consolidated!F69)*(1/0.79941)</f>
        <v/>
      </c>
      <c r="G69" s="211">
        <f>([4]Consolidated!G69)*(1/0.79941)</f>
        <v/>
      </c>
      <c r="H69" s="211">
        <f>([4]Consolidated!H69)*(1/0.79941)</f>
        <v/>
      </c>
      <c r="I69" s="211">
        <f>([4]Consolidated!I69)*(1/0.79941)</f>
        <v/>
      </c>
      <c r="J69" s="213">
        <f>([4]Consolidated!J69)*(1/0.79941)</f>
        <v/>
      </c>
      <c r="K69" s="185" t="n"/>
      <c r="L69" s="213">
        <f>([4]Consolidated!L69)*(1/0.79941)</f>
        <v/>
      </c>
      <c r="M69" s="211">
        <f>([4]Consolidated!M69)*(1/0.79941)</f>
        <v/>
      </c>
      <c r="N69" s="206">
        <f>([4]Consolidated!N69)*(1/0.79941)</f>
        <v/>
      </c>
    </row>
    <row r="70" ht="12.75" customHeight="1" s="150">
      <c r="C70" s="202" t="inlineStr">
        <is>
          <t>Postal and freight charges</t>
        </is>
      </c>
      <c r="D70" s="211">
        <f>([4]Consolidated!D70)*(1/0.79941)</f>
        <v/>
      </c>
      <c r="E70" s="211">
        <f>([4]Consolidated!E70)*(1/0.79941)</f>
        <v/>
      </c>
      <c r="F70" s="211">
        <f>([4]Consolidated!F70)*(1/0.79941)</f>
        <v/>
      </c>
      <c r="G70" s="211">
        <f>([4]Consolidated!G70)*(1/0.79941)</f>
        <v/>
      </c>
      <c r="H70" s="211">
        <f>([4]Consolidated!H70)*(1/0.79941)</f>
        <v/>
      </c>
      <c r="I70" s="211">
        <f>([4]Consolidated!I70)*(1/0.79941)</f>
        <v/>
      </c>
      <c r="J70" s="213">
        <f>([4]Consolidated!J70)*(1/0.79941)</f>
        <v/>
      </c>
      <c r="K70" s="185" t="n"/>
      <c r="L70" s="213">
        <f>([4]Consolidated!L70)*(1/0.79941)</f>
        <v/>
      </c>
      <c r="M70" s="211">
        <f>([4]Consolidated!M70)*(1/0.79941)</f>
        <v/>
      </c>
      <c r="N70" s="206">
        <f>([4]Consolidated!N70)*(1/0.79941)</f>
        <v/>
      </c>
    </row>
    <row r="71" ht="12.75" customHeight="1" s="150">
      <c r="C71" s="202" t="inlineStr">
        <is>
          <t>Prof serv and ext advisory fee</t>
        </is>
      </c>
      <c r="D71" s="211">
        <f>([4]Consolidated!D71)*(1/0.79941)</f>
        <v/>
      </c>
      <c r="E71" s="211">
        <f>([4]Consolidated!E71)*(1/0.79941)</f>
        <v/>
      </c>
      <c r="F71" s="211">
        <f>([4]Consolidated!F71)*(1/0.79941)</f>
        <v/>
      </c>
      <c r="G71" s="211">
        <f>([4]Consolidated!G71)*(1/0.79941)</f>
        <v/>
      </c>
      <c r="H71" s="211">
        <f>([4]Consolidated!H71)*(1/0.79941)</f>
        <v/>
      </c>
      <c r="I71" s="211">
        <f>([4]Consolidated!I71)*(1/0.79941)</f>
        <v/>
      </c>
      <c r="J71" s="213">
        <f>([4]Consolidated!J71)*(1/0.79941)</f>
        <v/>
      </c>
      <c r="K71" s="185" t="n"/>
      <c r="L71" s="213">
        <f>([4]Consolidated!L71)*(1/0.79941)</f>
        <v/>
      </c>
      <c r="M71" s="211">
        <f>([4]Consolidated!M71)*(1/0.79941)</f>
        <v/>
      </c>
      <c r="N71" s="206">
        <f>([4]Consolidated!N71)*(1/0.79941)</f>
        <v/>
      </c>
    </row>
    <row r="72" ht="12.75" customHeight="1" s="150">
      <c r="C72" s="202" t="inlineStr">
        <is>
          <t>Payment transfer expenses</t>
        </is>
      </c>
      <c r="D72" s="211">
        <f>([4]Consolidated!D72)*(1/0.79941)</f>
        <v/>
      </c>
      <c r="E72" s="211">
        <f>([4]Consolidated!E72)*(1/0.79941)</f>
        <v/>
      </c>
      <c r="F72" s="211">
        <f>([4]Consolidated!F72)*(1/0.79941)</f>
        <v/>
      </c>
      <c r="G72" s="211">
        <f>([4]Consolidated!G72)*(1/0.79941)</f>
        <v/>
      </c>
      <c r="H72" s="211">
        <f>([4]Consolidated!H72)*(1/0.79941)</f>
        <v/>
      </c>
      <c r="I72" s="211">
        <f>([4]Consolidated!I72)*(1/0.79941)</f>
        <v/>
      </c>
      <c r="J72" s="213">
        <f>([4]Consolidated!J72)*(1/0.79941)</f>
        <v/>
      </c>
      <c r="K72" s="185" t="n"/>
      <c r="L72" s="213">
        <f>([4]Consolidated!L72)*(1/0.79941)</f>
        <v/>
      </c>
      <c r="M72" s="211">
        <f>([4]Consolidated!M72)*(1/0.79941)</f>
        <v/>
      </c>
      <c r="N72" s="206">
        <f>([4]Consolidated!N72)*(1/0.79941)</f>
        <v/>
      </c>
    </row>
    <row r="73" ht="12.75" customHeight="1" s="150">
      <c r="C73" s="202" t="inlineStr">
        <is>
          <t>Other costs</t>
        </is>
      </c>
      <c r="D73" s="211">
        <f>([4]Consolidated!D73)*(1/0.79941)</f>
        <v/>
      </c>
      <c r="E73" s="211">
        <f>([4]Consolidated!E73)*(1/0.79941)</f>
        <v/>
      </c>
      <c r="F73" s="211">
        <f>([4]Consolidated!F73)*(1/0.79941)</f>
        <v/>
      </c>
      <c r="G73" s="211">
        <f>([4]Consolidated!G73)*(1/0.79941)</f>
        <v/>
      </c>
      <c r="H73" s="211">
        <f>([4]Consolidated!H73)*(1/0.79941)</f>
        <v/>
      </c>
      <c r="I73" s="211">
        <f>([4]Consolidated!I73)*(1/0.79941)</f>
        <v/>
      </c>
      <c r="J73" s="213">
        <f>([4]Consolidated!J73)*(1/0.79941)</f>
        <v/>
      </c>
      <c r="K73" s="185" t="n"/>
      <c r="L73" s="213">
        <f>([4]Consolidated!L73)*(1/0.79941)</f>
        <v/>
      </c>
      <c r="M73" s="211">
        <f>([4]Consolidated!M73)*(1/0.79941)</f>
        <v/>
      </c>
      <c r="N73" s="206">
        <f>([4]Consolidated!N73)*(1/0.79941)</f>
        <v/>
      </c>
    </row>
    <row r="74" ht="13.5" customHeight="1" s="150">
      <c r="C74" s="207" t="inlineStr">
        <is>
          <t>General expenses</t>
        </is>
      </c>
      <c r="D74" s="215">
        <f>([4]Consolidated!D74)*(1/0.79941)</f>
        <v/>
      </c>
      <c r="E74" s="215">
        <f>([4]Consolidated!E74)*(1/0.79941)</f>
        <v/>
      </c>
      <c r="F74" s="215">
        <f>([4]Consolidated!F74)*(1/0.79941)</f>
        <v/>
      </c>
      <c r="G74" s="215">
        <f>([4]Consolidated!G74)*(1/0.79941)</f>
        <v/>
      </c>
      <c r="H74" s="215">
        <f>([4]Consolidated!H74)*(1/0.79941)</f>
        <v/>
      </c>
      <c r="I74" s="215">
        <f>([4]Consolidated!I74)*(1/0.79941)</f>
        <v/>
      </c>
      <c r="J74" s="210">
        <f>([4]Consolidated!J74)*(1/0.79941)</f>
        <v/>
      </c>
      <c r="K74" s="185" t="n"/>
      <c r="L74" s="210">
        <f>([4]Consolidated!L74)*(1/0.79941)</f>
        <v/>
      </c>
      <c r="M74" s="215">
        <f>([4]Consolidated!M74)*(1/0.79941)</f>
        <v/>
      </c>
      <c r="N74" s="210">
        <f>([4]Consolidated!N74)*(1/0.79941)</f>
        <v/>
      </c>
    </row>
    <row r="75" ht="12.75" customHeight="1" s="150">
      <c r="C75" s="202" t="inlineStr">
        <is>
          <t>Own expenses</t>
        </is>
      </c>
      <c r="D75" s="211">
        <f>([4]Consolidated!D75)*(1/0.79941)</f>
        <v/>
      </c>
      <c r="E75" s="211">
        <f>([4]Consolidated!E75)*(1/0.79941)</f>
        <v/>
      </c>
      <c r="F75" s="211">
        <f>([4]Consolidated!F75)*(1/0.79941)</f>
        <v/>
      </c>
      <c r="G75" s="211">
        <f>([4]Consolidated!G75)*(1/0.79941)</f>
        <v/>
      </c>
      <c r="H75" s="211">
        <f>([4]Consolidated!H75)*(1/0.79941)</f>
        <v/>
      </c>
      <c r="I75" s="211">
        <f>([4]Consolidated!I75)*(1/0.79941)</f>
        <v/>
      </c>
      <c r="J75" s="213">
        <f>([4]Consolidated!J75)*(1/0.79941)</f>
        <v/>
      </c>
      <c r="K75" s="185" t="n"/>
      <c r="L75" s="213">
        <f>([4]Consolidated!L75)*(1/0.79941)</f>
        <v/>
      </c>
      <c r="M75" s="211">
        <f>([4]Consolidated!M75)*(1/0.79941)</f>
        <v/>
      </c>
      <c r="N75" s="217">
        <f>([4]Consolidated!N75)*(1/0.79941)</f>
        <v/>
      </c>
    </row>
    <row r="76" ht="12.75" customHeight="1" s="150">
      <c r="C76" s="202" t="inlineStr">
        <is>
          <t>Other expenses</t>
        </is>
      </c>
      <c r="D76" s="211">
        <f>([4]Consolidated!D76)*(1/0.79941)</f>
        <v/>
      </c>
      <c r="E76" s="211">
        <f>([4]Consolidated!E76)*(1/0.79941)</f>
        <v/>
      </c>
      <c r="F76" s="211">
        <f>([4]Consolidated!F76)*(1/0.79941)</f>
        <v/>
      </c>
      <c r="G76" s="211">
        <f>([4]Consolidated!G76)*(1/0.79941)</f>
        <v/>
      </c>
      <c r="H76" s="211">
        <f>([4]Consolidated!H76)*(1/0.79941)</f>
        <v/>
      </c>
      <c r="I76" s="211">
        <f>([4]Consolidated!I76)*(1/0.79941)</f>
        <v/>
      </c>
      <c r="J76" s="213">
        <f>([4]Consolidated!J76)*(1/0.79941)</f>
        <v/>
      </c>
      <c r="K76" s="185" t="n"/>
      <c r="L76" s="213">
        <f>([4]Consolidated!L76)*(1/0.79941)</f>
        <v/>
      </c>
      <c r="M76" s="211">
        <f>([4]Consolidated!M76)*(1/0.79941)</f>
        <v/>
      </c>
      <c r="N76" s="206">
        <f>([4]Consolidated!N76)*(1/0.79941)</f>
        <v/>
      </c>
    </row>
    <row r="77" ht="13.5" customHeight="1" s="150">
      <c r="A77" s="176" t="n"/>
      <c r="B77" s="176" t="n"/>
      <c r="C77" s="207" t="inlineStr">
        <is>
          <t xml:space="preserve">Operating expenses </t>
        </is>
      </c>
      <c r="D77" s="215">
        <f>([4]Consolidated!D77)*(1/0.79941)</f>
        <v/>
      </c>
      <c r="E77" s="215">
        <f>([4]Consolidated!E77)*(1/0.79941)</f>
        <v/>
      </c>
      <c r="F77" s="215">
        <f>([4]Consolidated!F77)*(1/0.79941)</f>
        <v/>
      </c>
      <c r="G77" s="215">
        <f>([4]Consolidated!G77)*(1/0.79941)</f>
        <v/>
      </c>
      <c r="H77" s="215">
        <f>([4]Consolidated!H77)*(1/0.79941)</f>
        <v/>
      </c>
      <c r="I77" s="215">
        <f>([4]Consolidated!I77)*(1/0.79941)</f>
        <v/>
      </c>
      <c r="J77" s="210">
        <f>([4]Consolidated!J77)*(1/0.79941)</f>
        <v/>
      </c>
      <c r="K77" s="185" t="n"/>
      <c r="L77" s="210">
        <f>([4]Consolidated!L77)*(1/0.79941)</f>
        <v/>
      </c>
      <c r="M77" s="215">
        <f>([4]Consolidated!M77)*(1/0.79941)</f>
        <v/>
      </c>
      <c r="N77" s="210">
        <f>([4]Consolidated!N77)*(1/0.79941)</f>
        <v/>
      </c>
    </row>
    <row r="78" ht="12.75" customHeight="1" s="150">
      <c r="C78" s="202" t="n"/>
      <c r="D78" s="211">
        <f>0*(1/0.79941)</f>
        <v/>
      </c>
      <c r="E78" s="211">
        <f>0*(1/0.79941)</f>
        <v/>
      </c>
      <c r="F78" s="211">
        <f>0*(1/0.79941)</f>
        <v/>
      </c>
      <c r="G78" s="211">
        <f>0*(1/0.79941)</f>
        <v/>
      </c>
      <c r="H78" s="211">
        <f>0*(1/0.79941)</f>
        <v/>
      </c>
      <c r="I78" s="211">
        <f>0*(1/0.79941)</f>
        <v/>
      </c>
      <c r="J78" s="218">
        <f>0*(1/0.79941)</f>
        <v/>
      </c>
      <c r="K78" s="185" t="n"/>
      <c r="L78" s="213">
        <f>0*(1/0.79941)</f>
        <v/>
      </c>
      <c r="M78" s="211">
        <f>0*(1/0.79941)</f>
        <v/>
      </c>
      <c r="N78" s="218">
        <f>0*(1/0.79941)</f>
        <v/>
      </c>
    </row>
    <row r="79" ht="12.75" customHeight="1" s="150">
      <c r="C79" s="202" t="inlineStr">
        <is>
          <t>HR &amp; Comms</t>
        </is>
      </c>
      <c r="D79" s="211">
        <f>([4]Consolidated!D79)*(1/0.79941)</f>
        <v/>
      </c>
      <c r="E79" s="211">
        <f>([4]Consolidated!E79)*(1/0.79941)</f>
        <v/>
      </c>
      <c r="F79" s="211">
        <f>([4]Consolidated!F79)*(1/0.79941)</f>
        <v/>
      </c>
      <c r="G79" s="211">
        <f>([4]Consolidated!G79)*(1/0.79941)</f>
        <v/>
      </c>
      <c r="H79" s="211">
        <f>([4]Consolidated!H79)*(1/0.79941)</f>
        <v/>
      </c>
      <c r="I79" s="211">
        <f>([4]Consolidated!I79)*(1/0.79941)</f>
        <v/>
      </c>
      <c r="J79" s="213">
        <f>([4]Consolidated!J79)*(1/0.79941)</f>
        <v/>
      </c>
      <c r="K79" s="185" t="n"/>
      <c r="L79" s="213">
        <f>([4]Consolidated!L79)*(1/0.79941)</f>
        <v/>
      </c>
      <c r="M79" s="211">
        <f>([4]Consolidated!M79)*(1/0.79941)</f>
        <v/>
      </c>
      <c r="N79" s="206">
        <f>([4]Consolidated!N79)*(1/0.79941)</f>
        <v/>
      </c>
    </row>
    <row r="80" ht="12.75" customHeight="1" s="150">
      <c r="C80" s="202" t="inlineStr">
        <is>
          <t>Finance &amp; Business Support</t>
        </is>
      </c>
      <c r="D80" s="211">
        <f>([4]Consolidated!D80)*(1/0.79941)</f>
        <v/>
      </c>
      <c r="E80" s="211">
        <f>([4]Consolidated!E80)*(1/0.79941)</f>
        <v/>
      </c>
      <c r="F80" s="211">
        <f>([4]Consolidated!F80)*(1/0.79941)</f>
        <v/>
      </c>
      <c r="G80" s="211">
        <f>([4]Consolidated!G80)*(1/0.79941)</f>
        <v/>
      </c>
      <c r="H80" s="211">
        <f>([4]Consolidated!H80)*(1/0.79941)</f>
        <v/>
      </c>
      <c r="I80" s="211">
        <f>([4]Consolidated!I80)*(1/0.79941)</f>
        <v/>
      </c>
      <c r="J80" s="213">
        <f>([4]Consolidated!J80)*(1/0.79941)</f>
        <v/>
      </c>
      <c r="K80" s="185" t="n"/>
      <c r="L80" s="213">
        <f>([4]Consolidated!L80)*(1/0.79941)</f>
        <v/>
      </c>
      <c r="M80" s="211">
        <f>([4]Consolidated!M80)*(1/0.79941)</f>
        <v/>
      </c>
      <c r="N80" s="206">
        <f>([4]Consolidated!N80)*(1/0.79941)</f>
        <v/>
      </c>
    </row>
    <row r="81" ht="12.75" customHeight="1" s="150">
      <c r="C81" s="202" t="inlineStr">
        <is>
          <t>IT alloc</t>
        </is>
      </c>
      <c r="D81" s="211">
        <f>([4]Consolidated!D81)*(1/0.79941)</f>
        <v/>
      </c>
      <c r="E81" s="211">
        <f>([4]Consolidated!E81)*(1/0.79941)</f>
        <v/>
      </c>
      <c r="F81" s="211">
        <f>([4]Consolidated!F81)*(1/0.79941)</f>
        <v/>
      </c>
      <c r="G81" s="211">
        <f>([4]Consolidated!G81)*(1/0.79941)</f>
        <v/>
      </c>
      <c r="H81" s="211">
        <f>([4]Consolidated!H81)*(1/0.79941)</f>
        <v/>
      </c>
      <c r="I81" s="211">
        <f>([4]Consolidated!I81)*(1/0.79941)</f>
        <v/>
      </c>
      <c r="J81" s="213">
        <f>([4]Consolidated!J81)*(1/0.79941)</f>
        <v/>
      </c>
      <c r="K81" s="185" t="n"/>
      <c r="L81" s="213">
        <f>([4]Consolidated!L81)*(1/0.79941)</f>
        <v/>
      </c>
      <c r="M81" s="211">
        <f>([4]Consolidated!M81)*(1/0.79941)</f>
        <v/>
      </c>
      <c r="N81" s="206">
        <f>([4]Consolidated!N81)*(1/0.79941)</f>
        <v/>
      </c>
    </row>
    <row r="82" ht="12.75" customHeight="1" s="150">
      <c r="C82" s="202" t="inlineStr">
        <is>
          <t>Facilities Management</t>
        </is>
      </c>
      <c r="D82" s="211">
        <f>([4]Consolidated!D82)*(1/0.79941)</f>
        <v/>
      </c>
      <c r="E82" s="211">
        <f>([4]Consolidated!E82)*(1/0.79941)</f>
        <v/>
      </c>
      <c r="F82" s="211">
        <f>([4]Consolidated!F82)*(1/0.79941)</f>
        <v/>
      </c>
      <c r="G82" s="211">
        <f>([4]Consolidated!G82)*(1/0.79941)</f>
        <v/>
      </c>
      <c r="H82" s="211">
        <f>([4]Consolidated!H82)*(1/0.79941)</f>
        <v/>
      </c>
      <c r="I82" s="211">
        <f>([4]Consolidated!I82)*(1/0.79941)</f>
        <v/>
      </c>
      <c r="J82" s="213">
        <f>([4]Consolidated!J82)*(1/0.79941)</f>
        <v/>
      </c>
      <c r="K82" s="185" t="n"/>
      <c r="L82" s="213">
        <f>([4]Consolidated!L82)*(1/0.79941)</f>
        <v/>
      </c>
      <c r="M82" s="211">
        <f>([4]Consolidated!M82)*(1/0.79941)</f>
        <v/>
      </c>
      <c r="N82" s="206">
        <f>([4]Consolidated!N82)*(1/0.79941)</f>
        <v/>
      </c>
    </row>
    <row r="83" ht="13.5" customHeight="1" s="150">
      <c r="C83" s="207" t="inlineStr">
        <is>
          <t>Overheads</t>
        </is>
      </c>
      <c r="D83" s="215">
        <f>([4]Consolidated!D83)*(1/0.79941)</f>
        <v/>
      </c>
      <c r="E83" s="215">
        <f>([4]Consolidated!E83)*(1/0.79941)</f>
        <v/>
      </c>
      <c r="F83" s="215">
        <f>([4]Consolidated!F83)*(1/0.79941)</f>
        <v/>
      </c>
      <c r="G83" s="215">
        <f>([4]Consolidated!G83)*(1/0.79941)</f>
        <v/>
      </c>
      <c r="H83" s="215">
        <f>([4]Consolidated!H83)*(1/0.79941)</f>
        <v/>
      </c>
      <c r="I83" s="215">
        <f>([4]Consolidated!I83)*(1/0.79941)</f>
        <v/>
      </c>
      <c r="J83" s="210">
        <f>([4]Consolidated!J83)*(1/0.79941)</f>
        <v/>
      </c>
      <c r="K83" s="185" t="n"/>
      <c r="L83" s="210">
        <f>([4]Consolidated!L83)*(1/0.79941)</f>
        <v/>
      </c>
      <c r="M83" s="215">
        <f>([4]Consolidated!M83)*(1/0.79941)</f>
        <v/>
      </c>
      <c r="N83" s="210">
        <f>([4]Consolidated!N83)*(1/0.79941)</f>
        <v/>
      </c>
    </row>
    <row r="84" ht="12.75" customHeight="1" s="150">
      <c r="C84" s="202" t="n"/>
      <c r="D84" s="211">
        <f>0*(1/0.79941)</f>
        <v/>
      </c>
      <c r="E84" s="211">
        <f>0*(1/0.79941)</f>
        <v/>
      </c>
      <c r="F84" s="211">
        <f>0*(1/0.79941)</f>
        <v/>
      </c>
      <c r="G84" s="211">
        <f>0*(1/0.79941)</f>
        <v/>
      </c>
      <c r="H84" s="211">
        <f>0*(1/0.79941)</f>
        <v/>
      </c>
      <c r="I84" s="211">
        <f>0*(1/0.79941)</f>
        <v/>
      </c>
      <c r="J84" s="218">
        <f>0*(1/0.79941)</f>
        <v/>
      </c>
      <c r="K84" s="185" t="n"/>
      <c r="L84" s="213">
        <f>0*(1/0.79941)</f>
        <v/>
      </c>
      <c r="M84" s="211">
        <f>0*(1/0.79941)</f>
        <v/>
      </c>
      <c r="N84" s="218">
        <f>0*(1/0.79941)</f>
        <v/>
      </c>
    </row>
    <row r="85" ht="13.5" customHeight="1" s="150">
      <c r="C85" s="207" t="inlineStr">
        <is>
          <t>Total Operating Costs (incl. O/H)</t>
        </is>
      </c>
      <c r="D85" s="215">
        <f>([4]Consolidated!D85)*(1/0.79941)</f>
        <v/>
      </c>
      <c r="E85" s="215">
        <f>([4]Consolidated!E85)*(1/0.79941)</f>
        <v/>
      </c>
      <c r="F85" s="215">
        <f>([4]Consolidated!F85)*(1/0.79941)</f>
        <v/>
      </c>
      <c r="G85" s="215">
        <f>([4]Consolidated!G85)*(1/0.79941)</f>
        <v/>
      </c>
      <c r="H85" s="215">
        <f>([4]Consolidated!H85)*(1/0.79941)</f>
        <v/>
      </c>
      <c r="I85" s="215">
        <f>([4]Consolidated!I85)*(1/0.79941)</f>
        <v/>
      </c>
      <c r="J85" s="210">
        <f>([4]Consolidated!J85)*(1/0.79941)</f>
        <v/>
      </c>
      <c r="K85" s="185" t="n"/>
      <c r="L85" s="210">
        <f>([4]Consolidated!L85)*(1/0.79941)</f>
        <v/>
      </c>
      <c r="M85" s="215">
        <f>([4]Consolidated!M85)*(1/0.79941)</f>
        <v/>
      </c>
      <c r="N85" s="210">
        <f>([4]Consolidated!N85)*(1/0.79941)</f>
        <v/>
      </c>
    </row>
    <row r="86"/>
    <row r="87"/>
    <row r="88" ht="13.5" customHeight="1" s="150"/>
    <row r="89" ht="45.75" customHeight="1" s="150">
      <c r="C89" s="219" t="inlineStr">
        <is>
          <t>PASS THROUGH COSTS
(US$  excl. VAT)</t>
        </is>
      </c>
      <c r="D89" s="220">
        <f>[4]Consolidated!D89</f>
        <v/>
      </c>
      <c r="E89" s="220">
        <f>[4]Consolidated!E89</f>
        <v/>
      </c>
      <c r="F89" s="220">
        <f>[4]Consolidated!F89</f>
        <v/>
      </c>
      <c r="G89" s="220">
        <f>[4]Consolidated!G89</f>
        <v/>
      </c>
      <c r="H89" s="220">
        <f>[4]Consolidated!H89</f>
        <v/>
      </c>
      <c r="I89" s="221">
        <f>[4]Consolidated!I89</f>
        <v/>
      </c>
      <c r="J89" s="222">
        <f>[4]Consolidated!J89</f>
        <v/>
      </c>
      <c r="K89" s="165" t="n"/>
      <c r="L89" s="220">
        <f>[4]Consolidated!L89</f>
        <v/>
      </c>
      <c r="M89" s="223">
        <f>[4]Consolidated!M89</f>
        <v/>
      </c>
      <c r="N89" s="220">
        <f>[4]Consolidated!N89</f>
        <v/>
      </c>
    </row>
    <row r="90" ht="12.75" customHeight="1" s="150">
      <c r="C90" s="224" t="inlineStr">
        <is>
          <t>Internal FTE</t>
        </is>
      </c>
      <c r="D90" s="231">
        <f>[4]Consolidated!D90</f>
        <v/>
      </c>
      <c r="E90" s="231">
        <f>[4]Consolidated!E90</f>
        <v/>
      </c>
      <c r="F90" s="231">
        <f>[4]Consolidated!F90</f>
        <v/>
      </c>
      <c r="G90" s="231">
        <f>[4]Consolidated!G90</f>
        <v/>
      </c>
      <c r="H90" s="231">
        <f>[4]Consolidated!H90</f>
        <v/>
      </c>
      <c r="I90" s="231">
        <f>[4]Consolidated!I90</f>
        <v/>
      </c>
      <c r="J90" s="232" t="n"/>
      <c r="K90" s="185" t="n"/>
      <c r="L90" s="233">
        <f>[4]Consolidated!L90</f>
        <v/>
      </c>
      <c r="M90" s="231">
        <f>[4]Consolidated!M90</f>
        <v/>
      </c>
      <c r="N90" s="234" t="n"/>
    </row>
    <row r="91" ht="12.75" customHeight="1" s="150">
      <c r="C91" s="224" t="inlineStr">
        <is>
          <t>External FTE</t>
        </is>
      </c>
      <c r="D91" s="231">
        <f>[4]Consolidated!D91</f>
        <v/>
      </c>
      <c r="E91" s="231">
        <f>[4]Consolidated!E91</f>
        <v/>
      </c>
      <c r="F91" s="231">
        <f>[4]Consolidated!F91</f>
        <v/>
      </c>
      <c r="G91" s="231">
        <f>[4]Consolidated!G91</f>
        <v/>
      </c>
      <c r="H91" s="231">
        <f>[4]Consolidated!H91</f>
        <v/>
      </c>
      <c r="I91" s="231">
        <f>[4]Consolidated!I91</f>
        <v/>
      </c>
      <c r="J91" s="232" t="n"/>
      <c r="K91" s="185" t="n"/>
      <c r="L91" s="233">
        <f>[4]Consolidated!L91</f>
        <v/>
      </c>
      <c r="M91" s="231">
        <f>[4]Consolidated!M91</f>
        <v/>
      </c>
      <c r="N91" s="234" t="n"/>
    </row>
    <row r="92" ht="13.5" customHeight="1" s="150">
      <c r="C92" s="228" t="inlineStr">
        <is>
          <t>Total FTE</t>
        </is>
      </c>
      <c r="D92" s="236">
        <f>[4]Consolidated!D92</f>
        <v/>
      </c>
      <c r="E92" s="236">
        <f>[4]Consolidated!E92</f>
        <v/>
      </c>
      <c r="F92" s="236">
        <f>[4]Consolidated!F92</f>
        <v/>
      </c>
      <c r="G92" s="236">
        <f>[4]Consolidated!G92</f>
        <v/>
      </c>
      <c r="H92" s="236">
        <f>[4]Consolidated!H92</f>
        <v/>
      </c>
      <c r="I92" s="236">
        <f>[4]Consolidated!I92</f>
        <v/>
      </c>
      <c r="J92" s="290" t="n"/>
      <c r="K92" s="185" t="n"/>
      <c r="L92" s="237">
        <f>[4]Consolidated!L92</f>
        <v/>
      </c>
      <c r="M92" s="236">
        <f>[4]Consolidated!M92</f>
        <v/>
      </c>
      <c r="N92" s="237" t="n"/>
    </row>
    <row r="93" ht="12.75" customHeight="1" s="150">
      <c r="C93" s="224" t="n"/>
      <c r="D93" s="231" t="n"/>
      <c r="E93" s="231" t="n"/>
      <c r="F93" s="231" t="n"/>
      <c r="G93" s="231" t="n"/>
      <c r="H93" s="231" t="n"/>
      <c r="I93" s="231" t="n"/>
      <c r="J93" s="232" t="n"/>
      <c r="K93" s="185" t="n"/>
      <c r="L93" s="233" t="n"/>
      <c r="M93" s="231" t="n"/>
      <c r="N93" s="234" t="n"/>
    </row>
    <row r="94" ht="12.75" customHeight="1" s="150">
      <c r="C94" s="224" t="inlineStr">
        <is>
          <t>Salaries</t>
        </is>
      </c>
      <c r="D94" s="231">
        <f>([4]Consolidated!D94)*(1/0.79941)</f>
        <v/>
      </c>
      <c r="E94" s="231">
        <f>([4]Consolidated!E94)*(1/0.79941)</f>
        <v/>
      </c>
      <c r="F94" s="231">
        <f>([4]Consolidated!F94)*(1/0.79941)</f>
        <v/>
      </c>
      <c r="G94" s="231">
        <f>([4]Consolidated!G94)*(1/0.79941)</f>
        <v/>
      </c>
      <c r="H94" s="231">
        <f>([4]Consolidated!H94)*(1/0.79941)</f>
        <v/>
      </c>
      <c r="I94" s="231">
        <f>([4]Consolidated!I94)*(1/0.79941)</f>
        <v/>
      </c>
      <c r="J94" s="233">
        <f>([4]Consolidated!J94)*(1/0.79941)</f>
        <v/>
      </c>
      <c r="K94" s="185" t="n"/>
      <c r="L94" s="233">
        <f>([4]Consolidated!L94)*(1/0.79941)</f>
        <v/>
      </c>
      <c r="M94" s="231">
        <f>([4]Consolidated!M94)*(1/0.79941)</f>
        <v/>
      </c>
      <c r="N94" s="234">
        <f>([4]Consolidated!N94)*(1/0.79941)</f>
        <v/>
      </c>
    </row>
    <row r="95" ht="12.75" customHeight="1" s="150">
      <c r="C95" s="224" t="inlineStr">
        <is>
          <t>Bonuses</t>
        </is>
      </c>
      <c r="D95" s="231">
        <f>([4]Consolidated!D95)*(1/0.79941)</f>
        <v/>
      </c>
      <c r="E95" s="231">
        <f>([4]Consolidated!E95)*(1/0.79941)</f>
        <v/>
      </c>
      <c r="F95" s="231">
        <f>([4]Consolidated!F95)*(1/0.79941)</f>
        <v/>
      </c>
      <c r="G95" s="231">
        <f>([4]Consolidated!G95)*(1/0.79941)</f>
        <v/>
      </c>
      <c r="H95" s="231">
        <f>([4]Consolidated!H95)*(1/0.79941)</f>
        <v/>
      </c>
      <c r="I95" s="231">
        <f>([4]Consolidated!I95)*(1/0.79941)</f>
        <v/>
      </c>
      <c r="J95" s="233">
        <f>([4]Consolidated!J95)*(1/0.79941)</f>
        <v/>
      </c>
      <c r="K95" s="185" t="n"/>
      <c r="L95" s="233">
        <f>([4]Consolidated!L95)*(1/0.79941)</f>
        <v/>
      </c>
      <c r="M95" s="231">
        <f>([4]Consolidated!M95)*(1/0.79941)</f>
        <v/>
      </c>
      <c r="N95" s="234">
        <f>([4]Consolidated!N95)*(1/0.79941)</f>
        <v/>
      </c>
    </row>
    <row r="96" ht="12.75" customHeight="1" s="150">
      <c r="C96" s="224" t="inlineStr">
        <is>
          <t>Third party staff, ex IT</t>
        </is>
      </c>
      <c r="D96" s="231">
        <f>([4]Consolidated!D96)*(1/0.79941)</f>
        <v/>
      </c>
      <c r="E96" s="231">
        <f>([4]Consolidated!E96)*(1/0.79941)</f>
        <v/>
      </c>
      <c r="F96" s="231">
        <f>([4]Consolidated!F96)*(1/0.79941)</f>
        <v/>
      </c>
      <c r="G96" s="231">
        <f>([4]Consolidated!G96)*(1/0.79941)</f>
        <v/>
      </c>
      <c r="H96" s="231">
        <f>([4]Consolidated!H96)*(1/0.79941)</f>
        <v/>
      </c>
      <c r="I96" s="231">
        <f>([4]Consolidated!I96)*(1/0.79941)</f>
        <v/>
      </c>
      <c r="J96" s="233">
        <f>([4]Consolidated!J96)*(1/0.79941)</f>
        <v/>
      </c>
      <c r="K96" s="185" t="n"/>
      <c r="L96" s="233">
        <f>([4]Consolidated!L96)*(1/0.79941)</f>
        <v/>
      </c>
      <c r="M96" s="231">
        <f>([4]Consolidated!M96)*(1/0.79941)</f>
        <v/>
      </c>
      <c r="N96" s="234">
        <f>([4]Consolidated!N96)*(1/0.79941)</f>
        <v/>
      </c>
    </row>
    <row r="97" ht="12.75" customHeight="1" s="150">
      <c r="C97" s="224" t="inlineStr">
        <is>
          <t>Third party IT staff</t>
        </is>
      </c>
      <c r="D97" s="231">
        <f>([4]Consolidated!D97)*(1/0.79941)</f>
        <v/>
      </c>
      <c r="E97" s="231">
        <f>([4]Consolidated!E97)*(1/0.79941)</f>
        <v/>
      </c>
      <c r="F97" s="231">
        <f>([4]Consolidated!F97)*(1/0.79941)</f>
        <v/>
      </c>
      <c r="G97" s="231">
        <f>([4]Consolidated!G97)*(1/0.79941)</f>
        <v/>
      </c>
      <c r="H97" s="231">
        <f>([4]Consolidated!H97)*(1/0.79941)</f>
        <v/>
      </c>
      <c r="I97" s="231">
        <f>([4]Consolidated!I97)*(1/0.79941)</f>
        <v/>
      </c>
      <c r="J97" s="233">
        <f>([4]Consolidated!J97)*(1/0.79941)</f>
        <v/>
      </c>
      <c r="K97" s="185" t="n"/>
      <c r="L97" s="233">
        <f>([4]Consolidated!L97)*(1/0.79941)</f>
        <v/>
      </c>
      <c r="M97" s="231">
        <f>([4]Consolidated!M97)*(1/0.79941)</f>
        <v/>
      </c>
      <c r="N97" s="234">
        <f>([4]Consolidated!N97)*(1/0.79941)</f>
        <v/>
      </c>
    </row>
    <row r="98" ht="12.75" customHeight="1" s="150">
      <c r="C98" s="224" t="inlineStr">
        <is>
          <t>Employee education</t>
        </is>
      </c>
      <c r="D98" s="231">
        <f>([4]Consolidated!D98)*(1/0.79941)</f>
        <v/>
      </c>
      <c r="E98" s="231">
        <f>([4]Consolidated!E98)*(1/0.79941)</f>
        <v/>
      </c>
      <c r="F98" s="231">
        <f>([4]Consolidated!F98)*(1/0.79941)</f>
        <v/>
      </c>
      <c r="G98" s="231">
        <f>([4]Consolidated!G98)*(1/0.79941)</f>
        <v/>
      </c>
      <c r="H98" s="231">
        <f>([4]Consolidated!H98)*(1/0.79941)</f>
        <v/>
      </c>
      <c r="I98" s="231">
        <f>([4]Consolidated!I98)*(1/0.79941)</f>
        <v/>
      </c>
      <c r="J98" s="233">
        <f>([4]Consolidated!J98)*(1/0.79941)</f>
        <v/>
      </c>
      <c r="K98" s="185" t="n"/>
      <c r="L98" s="233">
        <f>([4]Consolidated!L98)*(1/0.79941)</f>
        <v/>
      </c>
      <c r="M98" s="231">
        <f>([4]Consolidated!M98)*(1/0.79941)</f>
        <v/>
      </c>
      <c r="N98" s="234">
        <f>([4]Consolidated!N98)*(1/0.79941)</f>
        <v/>
      </c>
    </row>
    <row r="99" ht="12.75" customHeight="1" s="150">
      <c r="C99" s="224" t="inlineStr">
        <is>
          <t>Other staff expenses</t>
        </is>
      </c>
      <c r="D99" s="231">
        <f>([4]Consolidated!D99)*(1/0.79941)</f>
        <v/>
      </c>
      <c r="E99" s="231">
        <f>([4]Consolidated!E99)*(1/0.79941)</f>
        <v/>
      </c>
      <c r="F99" s="231">
        <f>([4]Consolidated!F99)*(1/0.79941)</f>
        <v/>
      </c>
      <c r="G99" s="231">
        <f>([4]Consolidated!G99)*(1/0.79941)</f>
        <v/>
      </c>
      <c r="H99" s="231">
        <f>([4]Consolidated!H99)*(1/0.79941)</f>
        <v/>
      </c>
      <c r="I99" s="231">
        <f>([4]Consolidated!I99)*(1/0.79941)</f>
        <v/>
      </c>
      <c r="J99" s="235">
        <f>([4]Consolidated!J99)*(1/0.79941)</f>
        <v/>
      </c>
      <c r="K99" s="185" t="n"/>
      <c r="L99" s="233">
        <f>([4]Consolidated!L99)*(1/0.79941)</f>
        <v/>
      </c>
      <c r="M99" s="231">
        <f>([4]Consolidated!M99)*(1/0.79941)</f>
        <v/>
      </c>
      <c r="N99" s="234">
        <f>([4]Consolidated!N99)*(1/0.79941)</f>
        <v/>
      </c>
    </row>
    <row r="100" ht="13.5" customHeight="1" s="150">
      <c r="C100" s="228" t="inlineStr">
        <is>
          <t>Staff expenses</t>
        </is>
      </c>
      <c r="D100" s="236">
        <f>([4]Consolidated!D100)*(1/0.79941)</f>
        <v/>
      </c>
      <c r="E100" s="236">
        <f>([4]Consolidated!E100)*(1/0.79941)</f>
        <v/>
      </c>
      <c r="F100" s="236">
        <f>([4]Consolidated!F100)*(1/0.79941)</f>
        <v/>
      </c>
      <c r="G100" s="236">
        <f>([4]Consolidated!G100)*(1/0.79941)</f>
        <v/>
      </c>
      <c r="H100" s="236">
        <f>([4]Consolidated!H100)*(1/0.79941)</f>
        <v/>
      </c>
      <c r="I100" s="236">
        <f>([4]Consolidated!I100)*(1/0.79941)</f>
        <v/>
      </c>
      <c r="J100" s="237">
        <f>([4]Consolidated!J100)*(1/0.79941)</f>
        <v/>
      </c>
      <c r="K100" s="185" t="n"/>
      <c r="L100" s="237">
        <f>([4]Consolidated!L100)*(1/0.79941)</f>
        <v/>
      </c>
      <c r="M100" s="236">
        <f>([4]Consolidated!M100)*(1/0.79941)</f>
        <v/>
      </c>
      <c r="N100" s="237">
        <f>([4]Consolidated!N100)*(1/0.79941)</f>
        <v/>
      </c>
    </row>
    <row r="101" ht="12.75" customHeight="1" s="150">
      <c r="C101" s="224" t="inlineStr">
        <is>
          <t>Hardware expenses</t>
        </is>
      </c>
      <c r="D101" s="231">
        <f>([4]Consolidated!D101)*(1/0.79941)</f>
        <v/>
      </c>
      <c r="E101" s="231">
        <f>([4]Consolidated!E101)*(1/0.79941)</f>
        <v/>
      </c>
      <c r="F101" s="231">
        <f>([4]Consolidated!F101)*(1/0.79941)</f>
        <v/>
      </c>
      <c r="G101" s="231">
        <f>([4]Consolidated!G101)*(1/0.79941)</f>
        <v/>
      </c>
      <c r="H101" s="231">
        <f>([4]Consolidated!H101)*(1/0.79941)</f>
        <v/>
      </c>
      <c r="I101" s="231">
        <f>([4]Consolidated!I101)*(1/0.79941)</f>
        <v/>
      </c>
      <c r="J101" s="233">
        <f>([4]Consolidated!J101)*(1/0.79941)</f>
        <v/>
      </c>
      <c r="K101" s="185" t="n"/>
      <c r="L101" s="233">
        <f>([4]Consolidated!L101)*(1/0.79941)</f>
        <v/>
      </c>
      <c r="M101" s="231">
        <f>([4]Consolidated!M101)*(1/0.79941)</f>
        <v/>
      </c>
      <c r="N101" s="234">
        <f>([4]Consolidated!N101)*(1/0.79941)</f>
        <v/>
      </c>
    </row>
    <row r="102" ht="12.75" customHeight="1" s="150">
      <c r="C102" s="224" t="inlineStr">
        <is>
          <t>Leasing/renting hardware</t>
        </is>
      </c>
      <c r="D102" s="231">
        <f>([4]Consolidated!D102)*(1/0.79941)</f>
        <v/>
      </c>
      <c r="E102" s="231">
        <f>([4]Consolidated!E102)*(1/0.79941)</f>
        <v/>
      </c>
      <c r="F102" s="231">
        <f>([4]Consolidated!F102)*(1/0.79941)</f>
        <v/>
      </c>
      <c r="G102" s="231">
        <f>([4]Consolidated!G102)*(1/0.79941)</f>
        <v/>
      </c>
      <c r="H102" s="231">
        <f>([4]Consolidated!H102)*(1/0.79941)</f>
        <v/>
      </c>
      <c r="I102" s="231">
        <f>([4]Consolidated!I102)*(1/0.79941)</f>
        <v/>
      </c>
      <c r="J102" s="233">
        <f>([4]Consolidated!J102)*(1/0.79941)</f>
        <v/>
      </c>
      <c r="K102" s="185" t="n"/>
      <c r="L102" s="233">
        <f>([4]Consolidated!L102)*(1/0.79941)</f>
        <v/>
      </c>
      <c r="M102" s="231">
        <f>([4]Consolidated!M102)*(1/0.79941)</f>
        <v/>
      </c>
      <c r="N102" s="234">
        <f>([4]Consolidated!N102)*(1/0.79941)</f>
        <v/>
      </c>
    </row>
    <row r="103" ht="12.75" customHeight="1" s="150">
      <c r="C103" s="224" t="inlineStr">
        <is>
          <t>Software expenses</t>
        </is>
      </c>
      <c r="D103" s="231">
        <f>([4]Consolidated!D103)*(1/0.79941)</f>
        <v/>
      </c>
      <c r="E103" s="231">
        <f>([4]Consolidated!E103)*(1/0.79941)</f>
        <v/>
      </c>
      <c r="F103" s="231">
        <f>([4]Consolidated!F103)*(1/0.79941)</f>
        <v/>
      </c>
      <c r="G103" s="231">
        <f>([4]Consolidated!G103)*(1/0.79941)</f>
        <v/>
      </c>
      <c r="H103" s="231">
        <f>([4]Consolidated!H103)*(1/0.79941)</f>
        <v/>
      </c>
      <c r="I103" s="231">
        <f>([4]Consolidated!I103)*(1/0.79941)</f>
        <v/>
      </c>
      <c r="J103" s="233">
        <f>([4]Consolidated!J103)*(1/0.79941)</f>
        <v/>
      </c>
      <c r="K103" s="185" t="n"/>
      <c r="L103" s="233">
        <f>([4]Consolidated!L103)*(1/0.79941)</f>
        <v/>
      </c>
      <c r="M103" s="231">
        <f>([4]Consolidated!M103)*(1/0.79941)</f>
        <v/>
      </c>
      <c r="N103" s="234">
        <f>([4]Consolidated!N103)*(1/0.79941)</f>
        <v/>
      </c>
    </row>
    <row r="104" ht="12.75" customHeight="1" s="150">
      <c r="C104" s="224" t="inlineStr">
        <is>
          <t>Leasing/renting/licenses sw</t>
        </is>
      </c>
      <c r="D104" s="231">
        <f>([4]Consolidated!D104)*(1/0.79941)</f>
        <v/>
      </c>
      <c r="E104" s="231">
        <f>([4]Consolidated!E104)*(1/0.79941)</f>
        <v/>
      </c>
      <c r="F104" s="231">
        <f>([4]Consolidated!F104)*(1/0.79941)</f>
        <v/>
      </c>
      <c r="G104" s="231">
        <f>([4]Consolidated!G104)*(1/0.79941)</f>
        <v/>
      </c>
      <c r="H104" s="231">
        <f>([4]Consolidated!H104)*(1/0.79941)</f>
        <v/>
      </c>
      <c r="I104" s="231">
        <f>([4]Consolidated!I104)*(1/0.79941)</f>
        <v/>
      </c>
      <c r="J104" s="233">
        <f>([4]Consolidated!J104)*(1/0.79941)</f>
        <v/>
      </c>
      <c r="K104" s="185" t="n"/>
      <c r="L104" s="233">
        <f>([4]Consolidated!L104)*(1/0.79941)</f>
        <v/>
      </c>
      <c r="M104" s="231">
        <f>([4]Consolidated!M104)*(1/0.79941)</f>
        <v/>
      </c>
      <c r="N104" s="234">
        <f>([4]Consolidated!N104)*(1/0.79941)</f>
        <v/>
      </c>
    </row>
    <row r="105" ht="12.75" customHeight="1" s="150">
      <c r="C105" s="224" t="inlineStr">
        <is>
          <t>Depreciation hardware</t>
        </is>
      </c>
      <c r="D105" s="231">
        <f>([4]Consolidated!D105)*(1/0.79941)</f>
        <v/>
      </c>
      <c r="E105" s="231">
        <f>([4]Consolidated!E105)*(1/0.79941)</f>
        <v/>
      </c>
      <c r="F105" s="231">
        <f>([4]Consolidated!F105)*(1/0.79941)</f>
        <v/>
      </c>
      <c r="G105" s="231">
        <f>([4]Consolidated!G105)*(1/0.79941)</f>
        <v/>
      </c>
      <c r="H105" s="231">
        <f>([4]Consolidated!H105)*(1/0.79941)</f>
        <v/>
      </c>
      <c r="I105" s="231">
        <f>([4]Consolidated!I105)*(1/0.79941)</f>
        <v/>
      </c>
      <c r="J105" s="233">
        <f>([4]Consolidated!J105)*(1/0.79941)</f>
        <v/>
      </c>
      <c r="K105" s="185" t="n"/>
      <c r="L105" s="233">
        <f>([4]Consolidated!L105)*(1/0.79941)</f>
        <v/>
      </c>
      <c r="M105" s="231">
        <f>([4]Consolidated!M105)*(1/0.79941)</f>
        <v/>
      </c>
      <c r="N105" s="234">
        <f>([4]Consolidated!N105)*(1/0.79941)</f>
        <v/>
      </c>
    </row>
    <row r="106" ht="12.75" customHeight="1" s="150">
      <c r="C106" s="224" t="inlineStr">
        <is>
          <t>Depreciation software</t>
        </is>
      </c>
      <c r="D106" s="231">
        <f>([4]Consolidated!D106)*(1/0.79941)</f>
        <v/>
      </c>
      <c r="E106" s="231">
        <f>([4]Consolidated!E106)*(1/0.79941)</f>
        <v/>
      </c>
      <c r="F106" s="231">
        <f>([4]Consolidated!F106)*(1/0.79941)</f>
        <v/>
      </c>
      <c r="G106" s="231">
        <f>([4]Consolidated!G106)*(1/0.79941)</f>
        <v/>
      </c>
      <c r="H106" s="231">
        <f>([4]Consolidated!H106)*(1/0.79941)</f>
        <v/>
      </c>
      <c r="I106" s="231">
        <f>([4]Consolidated!I106)*(1/0.79941)</f>
        <v/>
      </c>
      <c r="J106" s="233">
        <f>([4]Consolidated!J106)*(1/0.79941)</f>
        <v/>
      </c>
      <c r="K106" s="185" t="n"/>
      <c r="L106" s="233">
        <f>([4]Consolidated!L106)*(1/0.79941)</f>
        <v/>
      </c>
      <c r="M106" s="231">
        <f>([4]Consolidated!M106)*(1/0.79941)</f>
        <v/>
      </c>
      <c r="N106" s="234">
        <f>([4]Consolidated!N106)*(1/0.79941)</f>
        <v/>
      </c>
    </row>
    <row r="107" ht="12.75" customHeight="1" s="150">
      <c r="C107" s="224" t="inlineStr">
        <is>
          <t>Outsourcing IT activities</t>
        </is>
      </c>
      <c r="D107" s="231">
        <f>([4]Consolidated!D107)*(1/0.79941)</f>
        <v/>
      </c>
      <c r="E107" s="231">
        <f>([4]Consolidated!E107)*(1/0.79941)</f>
        <v/>
      </c>
      <c r="F107" s="231">
        <f>([4]Consolidated!F107)*(1/0.79941)</f>
        <v/>
      </c>
      <c r="G107" s="231">
        <f>([4]Consolidated!G107)*(1/0.79941)</f>
        <v/>
      </c>
      <c r="H107" s="231">
        <f>([4]Consolidated!H107)*(1/0.79941)</f>
        <v/>
      </c>
      <c r="I107" s="231">
        <f>([4]Consolidated!I107)*(1/0.79941)</f>
        <v/>
      </c>
      <c r="J107" s="233">
        <f>([4]Consolidated!J107)*(1/0.79941)</f>
        <v/>
      </c>
      <c r="K107" s="185" t="n"/>
      <c r="L107" s="233">
        <f>([4]Consolidated!L107)*(1/0.79941)</f>
        <v/>
      </c>
      <c r="M107" s="231">
        <f>([4]Consolidated!M107)*(1/0.79941)</f>
        <v/>
      </c>
      <c r="N107" s="234">
        <f>([4]Consolidated!N107)*(1/0.79941)</f>
        <v/>
      </c>
    </row>
    <row r="108" ht="12.75" customHeight="1" s="150">
      <c r="C108" s="224" t="inlineStr">
        <is>
          <t>Other IT expenses</t>
        </is>
      </c>
      <c r="D108" s="231">
        <f>([4]Consolidated!D108)*(1/0.79941)</f>
        <v/>
      </c>
      <c r="E108" s="231">
        <f>([4]Consolidated!E108)*(1/0.79941)</f>
        <v/>
      </c>
      <c r="F108" s="231">
        <f>([4]Consolidated!F108)*(1/0.79941)</f>
        <v/>
      </c>
      <c r="G108" s="231">
        <f>([4]Consolidated!G108)*(1/0.79941)</f>
        <v/>
      </c>
      <c r="H108" s="231">
        <f>([4]Consolidated!H108)*(1/0.79941)</f>
        <v/>
      </c>
      <c r="I108" s="231">
        <f>([4]Consolidated!I108)*(1/0.79941)</f>
        <v/>
      </c>
      <c r="J108" s="233">
        <f>([4]Consolidated!J108)*(1/0.79941)</f>
        <v/>
      </c>
      <c r="K108" s="185" t="n"/>
      <c r="L108" s="233">
        <f>([4]Consolidated!L108)*(1/0.79941)</f>
        <v/>
      </c>
      <c r="M108" s="231">
        <f>([4]Consolidated!M108)*(1/0.79941)</f>
        <v/>
      </c>
      <c r="N108" s="234">
        <f>([4]Consolidated!N108)*(1/0.79941)</f>
        <v/>
      </c>
    </row>
    <row r="109" ht="13.5" customHeight="1" s="150">
      <c r="C109" s="228" t="inlineStr">
        <is>
          <t>EDP expenses</t>
        </is>
      </c>
      <c r="D109" s="236">
        <f>([4]Consolidated!D109)*(1/0.79941)</f>
        <v/>
      </c>
      <c r="E109" s="236">
        <f>([4]Consolidated!E109)*(1/0.79941)</f>
        <v/>
      </c>
      <c r="F109" s="236">
        <f>([4]Consolidated!F109)*(1/0.79941)</f>
        <v/>
      </c>
      <c r="G109" s="236">
        <f>([4]Consolidated!G109)*(1/0.79941)</f>
        <v/>
      </c>
      <c r="H109" s="236">
        <f>([4]Consolidated!H109)*(1/0.79941)</f>
        <v/>
      </c>
      <c r="I109" s="236">
        <f>([4]Consolidated!I109)*(1/0.79941)</f>
        <v/>
      </c>
      <c r="J109" s="237">
        <f>([4]Consolidated!J109)*(1/0.79941)</f>
        <v/>
      </c>
      <c r="K109" s="185" t="n"/>
      <c r="L109" s="237">
        <f>([4]Consolidated!L109)*(1/0.79941)</f>
        <v/>
      </c>
      <c r="M109" s="236">
        <f>([4]Consolidated!M109)*(1/0.79941)</f>
        <v/>
      </c>
      <c r="N109" s="237">
        <f>([4]Consolidated!N109)*(1/0.79941)</f>
        <v/>
      </c>
    </row>
    <row r="110" ht="12.75" customHeight="1" s="150">
      <c r="C110" s="224" t="inlineStr">
        <is>
          <t>Telecom expenses</t>
        </is>
      </c>
      <c r="D110" s="231">
        <f>([4]Consolidated!D110)*(1/0.79941)</f>
        <v/>
      </c>
      <c r="E110" s="231">
        <f>([4]Consolidated!E110)*(1/0.79941)</f>
        <v/>
      </c>
      <c r="F110" s="231">
        <f>([4]Consolidated!F110)*(1/0.79941)</f>
        <v/>
      </c>
      <c r="G110" s="231">
        <f>([4]Consolidated!G110)*(1/0.79941)</f>
        <v/>
      </c>
      <c r="H110" s="231">
        <f>([4]Consolidated!H110)*(1/0.79941)</f>
        <v/>
      </c>
      <c r="I110" s="231">
        <f>([4]Consolidated!I110)*(1/0.79941)</f>
        <v/>
      </c>
      <c r="J110" s="233">
        <f>([4]Consolidated!J110)*(1/0.79941)</f>
        <v/>
      </c>
      <c r="K110" s="185" t="n"/>
      <c r="L110" s="233">
        <f>([4]Consolidated!L110)*(1/0.79941)</f>
        <v/>
      </c>
      <c r="M110" s="231">
        <f>([4]Consolidated!M110)*(1/0.79941)</f>
        <v/>
      </c>
      <c r="N110" s="234">
        <f>([4]Consolidated!N110)*(1/0.79941)</f>
        <v/>
      </c>
    </row>
    <row r="111" ht="12.75" customHeight="1" s="150">
      <c r="C111" s="224" t="inlineStr">
        <is>
          <t>Office equipment and supplies</t>
        </is>
      </c>
      <c r="D111" s="231">
        <f>([4]Consolidated!D111)*(1/0.79941)</f>
        <v/>
      </c>
      <c r="E111" s="231">
        <f>([4]Consolidated!E111)*(1/0.79941)</f>
        <v/>
      </c>
      <c r="F111" s="231">
        <f>([4]Consolidated!F111)*(1/0.79941)</f>
        <v/>
      </c>
      <c r="G111" s="231">
        <f>([4]Consolidated!G111)*(1/0.79941)</f>
        <v/>
      </c>
      <c r="H111" s="231">
        <f>([4]Consolidated!H111)*(1/0.79941)</f>
        <v/>
      </c>
      <c r="I111" s="231">
        <f>([4]Consolidated!I111)*(1/0.79941)</f>
        <v/>
      </c>
      <c r="J111" s="233">
        <f>([4]Consolidated!J111)*(1/0.79941)</f>
        <v/>
      </c>
      <c r="K111" s="185" t="n"/>
      <c r="L111" s="233">
        <f>([4]Consolidated!L111)*(1/0.79941)</f>
        <v/>
      </c>
      <c r="M111" s="231">
        <f>([4]Consolidated!M111)*(1/0.79941)</f>
        <v/>
      </c>
      <c r="N111" s="234">
        <f>([4]Consolidated!N111)*(1/0.79941)</f>
        <v/>
      </c>
    </row>
    <row r="112" ht="12.75" customHeight="1" s="150">
      <c r="C112" s="224" t="inlineStr">
        <is>
          <t>Accomodation expenses</t>
        </is>
      </c>
      <c r="D112" s="231">
        <f>([4]Consolidated!D112)*(1/0.79941)</f>
        <v/>
      </c>
      <c r="E112" s="231">
        <f>([4]Consolidated!E112)*(1/0.79941)</f>
        <v/>
      </c>
      <c r="F112" s="231">
        <f>([4]Consolidated!F112)*(1/0.79941)</f>
        <v/>
      </c>
      <c r="G112" s="231">
        <f>([4]Consolidated!G112)*(1/0.79941)</f>
        <v/>
      </c>
      <c r="H112" s="231">
        <f>([4]Consolidated!H112)*(1/0.79941)</f>
        <v/>
      </c>
      <c r="I112" s="231">
        <f>([4]Consolidated!I112)*(1/0.79941)</f>
        <v/>
      </c>
      <c r="J112" s="233">
        <f>([4]Consolidated!J112)*(1/0.79941)</f>
        <v/>
      </c>
      <c r="K112" s="185" t="n"/>
      <c r="L112" s="233">
        <f>([4]Consolidated!L112)*(1/0.79941)</f>
        <v/>
      </c>
      <c r="M112" s="231">
        <f>([4]Consolidated!M112)*(1/0.79941)</f>
        <v/>
      </c>
      <c r="N112" s="234">
        <f>([4]Consolidated!N112)*(1/0.79941)</f>
        <v/>
      </c>
    </row>
    <row r="113" ht="12.75" customHeight="1" s="150">
      <c r="C113" s="224" t="inlineStr">
        <is>
          <t>Travel costs</t>
        </is>
      </c>
      <c r="D113" s="231">
        <f>([4]Consolidated!D113)*(1/0.79941)</f>
        <v/>
      </c>
      <c r="E113" s="231">
        <f>([4]Consolidated!E113)*(1/0.79941)</f>
        <v/>
      </c>
      <c r="F113" s="231">
        <f>([4]Consolidated!F113)*(1/0.79941)</f>
        <v/>
      </c>
      <c r="G113" s="231">
        <f>([4]Consolidated!G113)*(1/0.79941)</f>
        <v/>
      </c>
      <c r="H113" s="231">
        <f>([4]Consolidated!H113)*(1/0.79941)</f>
        <v/>
      </c>
      <c r="I113" s="231">
        <f>([4]Consolidated!I113)*(1/0.79941)</f>
        <v/>
      </c>
      <c r="J113" s="233">
        <f>([4]Consolidated!J113)*(1/0.79941)</f>
        <v/>
      </c>
      <c r="K113" s="185" t="n"/>
      <c r="L113" s="233">
        <f>([4]Consolidated!L113)*(1/0.79941)</f>
        <v/>
      </c>
      <c r="M113" s="231">
        <f>([4]Consolidated!M113)*(1/0.79941)</f>
        <v/>
      </c>
      <c r="N113" s="234">
        <f>([4]Consolidated!N113)*(1/0.79941)</f>
        <v/>
      </c>
    </row>
    <row r="114" ht="12.75" customHeight="1" s="150">
      <c r="C114" s="224" t="inlineStr">
        <is>
          <t>Postal and freight charges</t>
        </is>
      </c>
      <c r="D114" s="231">
        <f>([4]Consolidated!D114)*(1/0.79941)</f>
        <v/>
      </c>
      <c r="E114" s="231">
        <f>([4]Consolidated!E114)*(1/0.79941)</f>
        <v/>
      </c>
      <c r="F114" s="231">
        <f>([4]Consolidated!F114)*(1/0.79941)</f>
        <v/>
      </c>
      <c r="G114" s="231">
        <f>([4]Consolidated!G114)*(1/0.79941)</f>
        <v/>
      </c>
      <c r="H114" s="231">
        <f>([4]Consolidated!H114)*(1/0.79941)</f>
        <v/>
      </c>
      <c r="I114" s="231">
        <f>([4]Consolidated!I114)*(1/0.79941)</f>
        <v/>
      </c>
      <c r="J114" s="233">
        <f>([4]Consolidated!J114)*(1/0.79941)</f>
        <v/>
      </c>
      <c r="K114" s="185" t="n"/>
      <c r="L114" s="233">
        <f>([4]Consolidated!L114)*(1/0.79941)</f>
        <v/>
      </c>
      <c r="M114" s="231">
        <f>([4]Consolidated!M114)*(1/0.79941)</f>
        <v/>
      </c>
      <c r="N114" s="234">
        <f>([4]Consolidated!N114)*(1/0.79941)</f>
        <v/>
      </c>
    </row>
    <row r="115" ht="12.75" customHeight="1" s="150">
      <c r="C115" s="224" t="inlineStr">
        <is>
          <t>Prof serv and ext advisory fee</t>
        </is>
      </c>
      <c r="D115" s="231">
        <f>([4]Consolidated!D115)*(1/0.79941)</f>
        <v/>
      </c>
      <c r="E115" s="231">
        <f>([4]Consolidated!E115)*(1/0.79941)</f>
        <v/>
      </c>
      <c r="F115" s="231">
        <f>([4]Consolidated!F115)*(1/0.79941)</f>
        <v/>
      </c>
      <c r="G115" s="231">
        <f>([4]Consolidated!G115)*(1/0.79941)</f>
        <v/>
      </c>
      <c r="H115" s="231">
        <f>([4]Consolidated!H115)*(1/0.79941)</f>
        <v/>
      </c>
      <c r="I115" s="231">
        <f>([4]Consolidated!I115)*(1/0.79941)</f>
        <v/>
      </c>
      <c r="J115" s="233">
        <f>([4]Consolidated!J115)*(1/0.79941)</f>
        <v/>
      </c>
      <c r="K115" s="185" t="n"/>
      <c r="L115" s="233">
        <f>([4]Consolidated!L115)*(1/0.79941)</f>
        <v/>
      </c>
      <c r="M115" s="231">
        <f>([4]Consolidated!M115)*(1/0.79941)</f>
        <v/>
      </c>
      <c r="N115" s="234">
        <f>([4]Consolidated!N115)*(1/0.79941)</f>
        <v/>
      </c>
    </row>
    <row r="116" ht="12.75" customHeight="1" s="150">
      <c r="C116" s="224" t="inlineStr">
        <is>
          <t>Payment transfer expenses</t>
        </is>
      </c>
      <c r="D116" s="231">
        <f>([4]Consolidated!D116)*(1/0.79941)</f>
        <v/>
      </c>
      <c r="E116" s="231">
        <f>([4]Consolidated!E116)*(1/0.79941)</f>
        <v/>
      </c>
      <c r="F116" s="231">
        <f>([4]Consolidated!F116)*(1/0.79941)</f>
        <v/>
      </c>
      <c r="G116" s="231">
        <f>([4]Consolidated!G116)*(1/0.79941)</f>
        <v/>
      </c>
      <c r="H116" s="231">
        <f>([4]Consolidated!H116)*(1/0.79941)</f>
        <v/>
      </c>
      <c r="I116" s="231">
        <f>([4]Consolidated!I116)*(1/0.79941)</f>
        <v/>
      </c>
      <c r="J116" s="233">
        <f>([4]Consolidated!J116)*(1/0.79941)</f>
        <v/>
      </c>
      <c r="K116" s="185" t="n"/>
      <c r="L116" s="233">
        <f>([4]Consolidated!L116)*(1/0.79941)</f>
        <v/>
      </c>
      <c r="M116" s="231">
        <f>([4]Consolidated!M116)*(1/0.79941)</f>
        <v/>
      </c>
      <c r="N116" s="234">
        <f>([4]Consolidated!N116)*(1/0.79941)</f>
        <v/>
      </c>
    </row>
    <row r="117" ht="12.75" customHeight="1" s="150">
      <c r="C117" s="224" t="inlineStr">
        <is>
          <t>Other costs</t>
        </is>
      </c>
      <c r="D117" s="231">
        <f>([4]Consolidated!D117)*(1/0.79941)</f>
        <v/>
      </c>
      <c r="E117" s="231">
        <f>([4]Consolidated!E117)*(1/0.79941)</f>
        <v/>
      </c>
      <c r="F117" s="231">
        <f>([4]Consolidated!F117)*(1/0.79941)</f>
        <v/>
      </c>
      <c r="G117" s="231">
        <f>([4]Consolidated!G117)*(1/0.79941)</f>
        <v/>
      </c>
      <c r="H117" s="231">
        <f>([4]Consolidated!H117)*(1/0.79941)</f>
        <v/>
      </c>
      <c r="I117" s="231">
        <f>([4]Consolidated!I117)*(1/0.79941)</f>
        <v/>
      </c>
      <c r="J117" s="233">
        <f>([4]Consolidated!J117)*(1/0.79941)</f>
        <v/>
      </c>
      <c r="K117" s="185" t="n"/>
      <c r="L117" s="233">
        <f>([4]Consolidated!L117)*(1/0.79941)</f>
        <v/>
      </c>
      <c r="M117" s="231">
        <f>([4]Consolidated!M117)*(1/0.79941)</f>
        <v/>
      </c>
      <c r="N117" s="234">
        <f>([4]Consolidated!N117)*(1/0.79941)</f>
        <v/>
      </c>
    </row>
    <row r="118" ht="13.5" customHeight="1" s="150">
      <c r="C118" s="228" t="inlineStr">
        <is>
          <t>General expenses</t>
        </is>
      </c>
      <c r="D118" s="236">
        <f>([4]Consolidated!D118)*(1/0.79941)</f>
        <v/>
      </c>
      <c r="E118" s="236">
        <f>([4]Consolidated!E118)*(1/0.79941)</f>
        <v/>
      </c>
      <c r="F118" s="236">
        <f>([4]Consolidated!F118)*(1/0.79941)</f>
        <v/>
      </c>
      <c r="G118" s="236">
        <f>([4]Consolidated!G118)*(1/0.79941)</f>
        <v/>
      </c>
      <c r="H118" s="236">
        <f>([4]Consolidated!H118)*(1/0.79941)</f>
        <v/>
      </c>
      <c r="I118" s="236">
        <f>([4]Consolidated!I118)*(1/0.79941)</f>
        <v/>
      </c>
      <c r="J118" s="237">
        <f>([4]Consolidated!J118)*(1/0.79941)</f>
        <v/>
      </c>
      <c r="K118" s="185" t="n"/>
      <c r="L118" s="237">
        <f>([4]Consolidated!L118)*(1/0.79941)</f>
        <v/>
      </c>
      <c r="M118" s="236">
        <f>([4]Consolidated!M118)*(1/0.79941)</f>
        <v/>
      </c>
      <c r="N118" s="237">
        <f>([4]Consolidated!N118)*(1/0.79941)</f>
        <v/>
      </c>
    </row>
    <row r="119" ht="12.75" customHeight="1" s="150">
      <c r="C119" s="224" t="inlineStr">
        <is>
          <t>Own expenses</t>
        </is>
      </c>
      <c r="D119" s="231">
        <f>([4]Consolidated!D119)*(1/0.79941)</f>
        <v/>
      </c>
      <c r="E119" s="231">
        <f>([4]Consolidated!E119)*(1/0.79941)</f>
        <v/>
      </c>
      <c r="F119" s="231">
        <f>([4]Consolidated!F119)*(1/0.79941)</f>
        <v/>
      </c>
      <c r="G119" s="231">
        <f>([4]Consolidated!G119)*(1/0.79941)</f>
        <v/>
      </c>
      <c r="H119" s="231">
        <f>([4]Consolidated!H119)*(1/0.79941)</f>
        <v/>
      </c>
      <c r="I119" s="231">
        <f>([4]Consolidated!I119)*(1/0.79941)</f>
        <v/>
      </c>
      <c r="J119" s="233">
        <f>([4]Consolidated!J119)*(1/0.79941)</f>
        <v/>
      </c>
      <c r="K119" s="185" t="n"/>
      <c r="L119" s="233">
        <f>([4]Consolidated!L119)*(1/0.79941)</f>
        <v/>
      </c>
      <c r="M119" s="231">
        <f>([4]Consolidated!M119)*(1/0.79941)</f>
        <v/>
      </c>
      <c r="N119" s="238">
        <f>([4]Consolidated!N119)*(1/0.79941)</f>
        <v/>
      </c>
    </row>
    <row r="120" ht="12.75" customHeight="1" s="150">
      <c r="C120" s="224" t="inlineStr">
        <is>
          <t>Other expenses</t>
        </is>
      </c>
      <c r="D120" s="231">
        <f>([4]Consolidated!D120)*(1/0.79941)</f>
        <v/>
      </c>
      <c r="E120" s="231">
        <f>([4]Consolidated!E120)*(1/0.79941)</f>
        <v/>
      </c>
      <c r="F120" s="231">
        <f>([4]Consolidated!F120)*(1/0.79941)</f>
        <v/>
      </c>
      <c r="G120" s="231">
        <f>([4]Consolidated!G120)*(1/0.79941)</f>
        <v/>
      </c>
      <c r="H120" s="231">
        <f>([4]Consolidated!H120)*(1/0.79941)</f>
        <v/>
      </c>
      <c r="I120" s="231">
        <f>([4]Consolidated!I120)*(1/0.79941)</f>
        <v/>
      </c>
      <c r="J120" s="233">
        <f>([4]Consolidated!J120)*(1/0.79941)</f>
        <v/>
      </c>
      <c r="K120" s="185" t="n"/>
      <c r="L120" s="233">
        <f>([4]Consolidated!L120)*(1/0.79941)</f>
        <v/>
      </c>
      <c r="M120" s="231">
        <f>([4]Consolidated!M120)*(1/0.79941)</f>
        <v/>
      </c>
      <c r="N120" s="234">
        <f>([4]Consolidated!N120)*(1/0.79941)</f>
        <v/>
      </c>
    </row>
    <row r="121" ht="13.5" customHeight="1" s="150">
      <c r="C121" s="228" t="inlineStr">
        <is>
          <t xml:space="preserve">Operating expenses </t>
        </is>
      </c>
      <c r="D121" s="236">
        <f>([4]Consolidated!D121)*(1/0.79941)</f>
        <v/>
      </c>
      <c r="E121" s="236">
        <f>([4]Consolidated!E121)*(1/0.79941)</f>
        <v/>
      </c>
      <c r="F121" s="236">
        <f>([4]Consolidated!F121)*(1/0.79941)</f>
        <v/>
      </c>
      <c r="G121" s="236">
        <f>([4]Consolidated!G121)*(1/0.79941)</f>
        <v/>
      </c>
      <c r="H121" s="236">
        <f>([4]Consolidated!H121)*(1/0.79941)</f>
        <v/>
      </c>
      <c r="I121" s="236">
        <f>([4]Consolidated!I121)*(1/0.79941)</f>
        <v/>
      </c>
      <c r="J121" s="237">
        <f>([4]Consolidated!J121)*(1/0.79941)</f>
        <v/>
      </c>
      <c r="K121" s="185" t="n"/>
      <c r="L121" s="237">
        <f>([4]Consolidated!L121)*(1/0.79941)</f>
        <v/>
      </c>
      <c r="M121" s="236">
        <f>([4]Consolidated!M121)*(1/0.79941)</f>
        <v/>
      </c>
      <c r="N121" s="237">
        <f>([4]Consolidated!N121)*(1/0.79941)</f>
        <v/>
      </c>
    </row>
    <row r="122" ht="12.75" customHeight="1" s="150">
      <c r="C122" s="224" t="n"/>
      <c r="D122" s="231">
        <f>0*(1/0.79941)</f>
        <v/>
      </c>
      <c r="E122" s="231">
        <f>0*(1/0.79941)</f>
        <v/>
      </c>
      <c r="F122" s="231">
        <f>0*(1/0.79941)</f>
        <v/>
      </c>
      <c r="G122" s="231">
        <f>0*(1/0.79941)</f>
        <v/>
      </c>
      <c r="H122" s="231">
        <f>0*(1/0.79941)</f>
        <v/>
      </c>
      <c r="I122" s="231">
        <f>0*(1/0.79941)</f>
        <v/>
      </c>
      <c r="J122" s="239">
        <f>0*(1/0.79941)</f>
        <v/>
      </c>
      <c r="K122" s="185" t="n"/>
      <c r="L122" s="233">
        <f>0*(1/0.79941)</f>
        <v/>
      </c>
      <c r="M122" s="231">
        <f>0*(1/0.79941)</f>
        <v/>
      </c>
      <c r="N122" s="239">
        <f>0*(1/0.79941)</f>
        <v/>
      </c>
    </row>
    <row r="123" ht="12.75" customHeight="1" s="150">
      <c r="C123" s="224" t="inlineStr">
        <is>
          <t>HR &amp; Comms</t>
        </is>
      </c>
      <c r="D123" s="231">
        <f>([4]Consolidated!D123)*(1/0.79941)</f>
        <v/>
      </c>
      <c r="E123" s="231">
        <f>([4]Consolidated!E123)*(1/0.79941)</f>
        <v/>
      </c>
      <c r="F123" s="231">
        <f>([4]Consolidated!F123)*(1/0.79941)</f>
        <v/>
      </c>
      <c r="G123" s="231">
        <f>([4]Consolidated!G123)*(1/0.79941)</f>
        <v/>
      </c>
      <c r="H123" s="231">
        <f>([4]Consolidated!H123)*(1/0.79941)</f>
        <v/>
      </c>
      <c r="I123" s="231">
        <f>([4]Consolidated!I123)*(1/0.79941)</f>
        <v/>
      </c>
      <c r="J123" s="233">
        <f>([4]Consolidated!J123)*(1/0.79941)</f>
        <v/>
      </c>
      <c r="K123" s="185" t="n"/>
      <c r="L123" s="233">
        <f>([4]Consolidated!L123)*(1/0.79941)</f>
        <v/>
      </c>
      <c r="M123" s="231">
        <f>([4]Consolidated!M123)*(1/0.79941)</f>
        <v/>
      </c>
      <c r="N123" s="234">
        <f>([4]Consolidated!N123)*(1/0.79941)</f>
        <v/>
      </c>
    </row>
    <row r="124" ht="12.75" customHeight="1" s="150">
      <c r="C124" s="224" t="inlineStr">
        <is>
          <t>Finance &amp; Business Support</t>
        </is>
      </c>
      <c r="D124" s="231">
        <f>([4]Consolidated!D124)*(1/0.79941)</f>
        <v/>
      </c>
      <c r="E124" s="231">
        <f>([4]Consolidated!E124)*(1/0.79941)</f>
        <v/>
      </c>
      <c r="F124" s="231">
        <f>([4]Consolidated!F124)*(1/0.79941)</f>
        <v/>
      </c>
      <c r="G124" s="231">
        <f>([4]Consolidated!G124)*(1/0.79941)</f>
        <v/>
      </c>
      <c r="H124" s="231">
        <f>([4]Consolidated!H124)*(1/0.79941)</f>
        <v/>
      </c>
      <c r="I124" s="231">
        <f>([4]Consolidated!I124)*(1/0.79941)</f>
        <v/>
      </c>
      <c r="J124" s="233">
        <f>([4]Consolidated!J124)*(1/0.79941)</f>
        <v/>
      </c>
      <c r="K124" s="185" t="n"/>
      <c r="L124" s="233">
        <f>([4]Consolidated!L124)*(1/0.79941)</f>
        <v/>
      </c>
      <c r="M124" s="231">
        <f>([4]Consolidated!M124)*(1/0.79941)</f>
        <v/>
      </c>
      <c r="N124" s="234">
        <f>([4]Consolidated!N124)*(1/0.79941)</f>
        <v/>
      </c>
    </row>
    <row r="125" ht="12.75" customHeight="1" s="150">
      <c r="C125" s="224" t="inlineStr">
        <is>
          <t>IT alloc</t>
        </is>
      </c>
      <c r="D125" s="231">
        <f>([4]Consolidated!D125)*(1/0.79941)</f>
        <v/>
      </c>
      <c r="E125" s="231">
        <f>([4]Consolidated!E125)*(1/0.79941)</f>
        <v/>
      </c>
      <c r="F125" s="231">
        <f>([4]Consolidated!F125)*(1/0.79941)</f>
        <v/>
      </c>
      <c r="G125" s="231">
        <f>([4]Consolidated!G125)*(1/0.79941)</f>
        <v/>
      </c>
      <c r="H125" s="231">
        <f>([4]Consolidated!H125)*(1/0.79941)</f>
        <v/>
      </c>
      <c r="I125" s="231">
        <f>([4]Consolidated!I125)*(1/0.79941)</f>
        <v/>
      </c>
      <c r="J125" s="233">
        <f>([4]Consolidated!J125)*(1/0.79941)</f>
        <v/>
      </c>
      <c r="K125" s="185" t="n"/>
      <c r="L125" s="233">
        <f>([4]Consolidated!L125)*(1/0.79941)</f>
        <v/>
      </c>
      <c r="M125" s="231">
        <f>([4]Consolidated!M125)*(1/0.79941)</f>
        <v/>
      </c>
      <c r="N125" s="234">
        <f>([4]Consolidated!N125)*(1/0.79941)</f>
        <v/>
      </c>
    </row>
    <row r="126" ht="12.75" customHeight="1" s="150">
      <c r="C126" s="224" t="inlineStr">
        <is>
          <t>Facilities Management</t>
        </is>
      </c>
      <c r="D126" s="231">
        <f>([4]Consolidated!D126)*(1/0.79941)</f>
        <v/>
      </c>
      <c r="E126" s="231">
        <f>([4]Consolidated!E126)*(1/0.79941)</f>
        <v/>
      </c>
      <c r="F126" s="231">
        <f>([4]Consolidated!F126)*(1/0.79941)</f>
        <v/>
      </c>
      <c r="G126" s="231">
        <f>([4]Consolidated!G126)*(1/0.79941)</f>
        <v/>
      </c>
      <c r="H126" s="231">
        <f>([4]Consolidated!H126)*(1/0.79941)</f>
        <v/>
      </c>
      <c r="I126" s="231">
        <f>([4]Consolidated!I126)*(1/0.79941)</f>
        <v/>
      </c>
      <c r="J126" s="233">
        <f>([4]Consolidated!J126)*(1/0.79941)</f>
        <v/>
      </c>
      <c r="K126" s="185" t="n"/>
      <c r="L126" s="233">
        <f>([4]Consolidated!L126)*(1/0.79941)</f>
        <v/>
      </c>
      <c r="M126" s="231">
        <f>([4]Consolidated!M126)*(1/0.79941)</f>
        <v/>
      </c>
      <c r="N126" s="234">
        <f>([4]Consolidated!N126)*(1/0.79941)</f>
        <v/>
      </c>
    </row>
    <row r="127" ht="13.5" customHeight="1" s="150">
      <c r="C127" s="228" t="inlineStr">
        <is>
          <t>Overheads</t>
        </is>
      </c>
      <c r="D127" s="236">
        <f>([4]Consolidated!D127)*(1/0.79941)</f>
        <v/>
      </c>
      <c r="E127" s="236">
        <f>([4]Consolidated!E127)*(1/0.79941)</f>
        <v/>
      </c>
      <c r="F127" s="236">
        <f>([4]Consolidated!F127)*(1/0.79941)</f>
        <v/>
      </c>
      <c r="G127" s="236">
        <f>([4]Consolidated!G127)*(1/0.79941)</f>
        <v/>
      </c>
      <c r="H127" s="236">
        <f>([4]Consolidated!H127)*(1/0.79941)</f>
        <v/>
      </c>
      <c r="I127" s="236">
        <f>([4]Consolidated!I127)*(1/0.79941)</f>
        <v/>
      </c>
      <c r="J127" s="237">
        <f>([4]Consolidated!J127)*(1/0.79941)</f>
        <v/>
      </c>
      <c r="K127" s="185" t="n"/>
      <c r="L127" s="237">
        <f>([4]Consolidated!L127)*(1/0.79941)</f>
        <v/>
      </c>
      <c r="M127" s="236">
        <f>([4]Consolidated!M127)*(1/0.79941)</f>
        <v/>
      </c>
      <c r="N127" s="237">
        <f>([4]Consolidated!N127)*(1/0.79941)</f>
        <v/>
      </c>
    </row>
    <row r="128" ht="12.75" customHeight="1" s="150">
      <c r="C128" s="224" t="n"/>
      <c r="D128" s="231">
        <f>0*(1/0.79941)</f>
        <v/>
      </c>
      <c r="E128" s="231">
        <f>0*(1/0.79941)</f>
        <v/>
      </c>
      <c r="F128" s="231">
        <f>0*(1/0.79941)</f>
        <v/>
      </c>
      <c r="G128" s="231">
        <f>0*(1/0.79941)</f>
        <v/>
      </c>
      <c r="H128" s="231">
        <f>0*(1/0.79941)</f>
        <v/>
      </c>
      <c r="I128" s="231">
        <f>0*(1/0.79941)</f>
        <v/>
      </c>
      <c r="J128" s="239">
        <f>0*(1/0.79941)</f>
        <v/>
      </c>
      <c r="K128" s="185" t="n"/>
      <c r="L128" s="233">
        <f>0*(1/0.79941)</f>
        <v/>
      </c>
      <c r="M128" s="231">
        <f>0*(1/0.79941)</f>
        <v/>
      </c>
      <c r="N128" s="239">
        <f>0*(1/0.79941)</f>
        <v/>
      </c>
    </row>
    <row r="129" ht="13.5" customHeight="1" s="150">
      <c r="C129" s="228" t="inlineStr">
        <is>
          <t>Total Operating Costs (incl. O/H)</t>
        </is>
      </c>
      <c r="D129" s="236">
        <f>([4]Consolidated!D129)*(1/0.79941)</f>
        <v/>
      </c>
      <c r="E129" s="236">
        <f>([4]Consolidated!E129)*(1/0.79941)</f>
        <v/>
      </c>
      <c r="F129" s="236">
        <f>([4]Consolidated!F129)*(1/0.79941)</f>
        <v/>
      </c>
      <c r="G129" s="236">
        <f>([4]Consolidated!G129)*(1/0.79941)</f>
        <v/>
      </c>
      <c r="H129" s="236">
        <f>([4]Consolidated!H129)*(1/0.79941)</f>
        <v/>
      </c>
      <c r="I129" s="236">
        <f>([4]Consolidated!I129)*(1/0.79941)</f>
        <v/>
      </c>
      <c r="J129" s="237">
        <f>([4]Consolidated!J129)*(1/0.79941)</f>
        <v/>
      </c>
      <c r="K129" s="185" t="n"/>
      <c r="L129" s="237">
        <f>([4]Consolidated!L129)*(1/0.79941)</f>
        <v/>
      </c>
      <c r="M129" s="236">
        <f>([4]Consolidated!M129)*(1/0.79941)</f>
        <v/>
      </c>
      <c r="N129" s="237">
        <f>([4]Consolidated!N129)*(1/0.79941)</f>
        <v/>
      </c>
    </row>
    <row r="130"/>
    <row r="131" ht="13.5" customHeight="1" s="150"/>
    <row r="132" ht="42" customHeight="1" s="150">
      <c r="C132" s="240" t="inlineStr">
        <is>
          <t>RETAINED COSTS
(US$  excl. VAT)</t>
        </is>
      </c>
      <c r="D132" s="241">
        <f>[4]Consolidated!D132</f>
        <v/>
      </c>
      <c r="E132" s="241">
        <f>[4]Consolidated!E132</f>
        <v/>
      </c>
      <c r="F132" s="241">
        <f>[4]Consolidated!F132</f>
        <v/>
      </c>
      <c r="G132" s="241">
        <f>[4]Consolidated!G132</f>
        <v/>
      </c>
      <c r="H132" s="241">
        <f>[4]Consolidated!H132</f>
        <v/>
      </c>
      <c r="I132" s="242">
        <f>[4]Consolidated!I132</f>
        <v/>
      </c>
      <c r="J132" s="243">
        <f>[4]Consolidated!J132</f>
        <v/>
      </c>
      <c r="K132" s="165" t="n"/>
      <c r="L132" s="241">
        <f>[4]Consolidated!L132</f>
        <v/>
      </c>
      <c r="M132" s="244">
        <f>[4]Consolidated!M132</f>
        <v/>
      </c>
      <c r="N132" s="241">
        <f>[4]Consolidated!N132</f>
        <v/>
      </c>
    </row>
    <row r="133" ht="12.75" customHeight="1" s="150">
      <c r="C133" s="245" t="inlineStr">
        <is>
          <t>Internal FTE</t>
        </is>
      </c>
      <c r="D133" s="254">
        <f>[4]Consolidated!D133</f>
        <v/>
      </c>
      <c r="E133" s="254">
        <f>[4]Consolidated!E133</f>
        <v/>
      </c>
      <c r="F133" s="254">
        <f>[4]Consolidated!F133</f>
        <v/>
      </c>
      <c r="G133" s="254">
        <f>[4]Consolidated!G133</f>
        <v/>
      </c>
      <c r="H133" s="254">
        <f>[4]Consolidated!H133</f>
        <v/>
      </c>
      <c r="I133" s="254">
        <f>[4]Consolidated!I133</f>
        <v/>
      </c>
      <c r="J133" s="291" t="n"/>
      <c r="K133" s="185" t="n"/>
      <c r="L133" s="256">
        <f>[4]Consolidated!L133</f>
        <v/>
      </c>
      <c r="M133" s="254">
        <f>[4]Consolidated!M133</f>
        <v/>
      </c>
      <c r="N133" s="249">
        <f>[4]Consolidated!N133</f>
        <v/>
      </c>
    </row>
    <row r="134" ht="12.75" customHeight="1" s="150">
      <c r="C134" s="245" t="inlineStr">
        <is>
          <t>External FTE</t>
        </is>
      </c>
      <c r="D134" s="254">
        <f>[4]Consolidated!D134</f>
        <v/>
      </c>
      <c r="E134" s="254">
        <f>[4]Consolidated!E134</f>
        <v/>
      </c>
      <c r="F134" s="254">
        <f>[4]Consolidated!F134</f>
        <v/>
      </c>
      <c r="G134" s="254">
        <f>[4]Consolidated!G134</f>
        <v/>
      </c>
      <c r="H134" s="254">
        <f>[4]Consolidated!H134</f>
        <v/>
      </c>
      <c r="I134" s="254">
        <f>[4]Consolidated!I134</f>
        <v/>
      </c>
      <c r="J134" s="291" t="n"/>
      <c r="K134" s="185" t="n"/>
      <c r="L134" s="256">
        <f>[4]Consolidated!L134</f>
        <v/>
      </c>
      <c r="M134" s="254">
        <f>[4]Consolidated!M134</f>
        <v/>
      </c>
      <c r="N134" s="249">
        <f>[4]Consolidated!N134</f>
        <v/>
      </c>
    </row>
    <row r="135" ht="13.5" customHeight="1" s="150">
      <c r="C135" s="250" t="inlineStr">
        <is>
          <t>Total FTE</t>
        </is>
      </c>
      <c r="D135" s="258">
        <f>[4]Consolidated!D135</f>
        <v/>
      </c>
      <c r="E135" s="258">
        <f>[4]Consolidated!E135</f>
        <v/>
      </c>
      <c r="F135" s="258">
        <f>[4]Consolidated!F135</f>
        <v/>
      </c>
      <c r="G135" s="258">
        <f>[4]Consolidated!G135</f>
        <v/>
      </c>
      <c r="H135" s="258">
        <f>[4]Consolidated!H135</f>
        <v/>
      </c>
      <c r="I135" s="258">
        <f>[4]Consolidated!I135</f>
        <v/>
      </c>
      <c r="J135" s="292" t="n"/>
      <c r="K135" s="185" t="n"/>
      <c r="L135" s="253">
        <f>[4]Consolidated!L135</f>
        <v/>
      </c>
      <c r="M135" s="258">
        <f>[4]Consolidated!M135</f>
        <v/>
      </c>
      <c r="N135" s="253">
        <f>[4]Consolidated!N135</f>
        <v/>
      </c>
    </row>
    <row r="136" ht="12.75" customHeight="1" s="150">
      <c r="C136" s="245" t="n"/>
      <c r="D136" s="254" t="n"/>
      <c r="E136" s="254" t="n"/>
      <c r="F136" s="254" t="n"/>
      <c r="G136" s="254" t="n"/>
      <c r="H136" s="254" t="n"/>
      <c r="I136" s="254" t="n"/>
      <c r="J136" s="255" t="n"/>
      <c r="K136" s="185" t="n"/>
      <c r="L136" s="256" t="n"/>
      <c r="M136" s="254" t="n"/>
      <c r="N136" s="249" t="n"/>
    </row>
    <row r="137" ht="12.75" customHeight="1" s="150">
      <c r="C137" s="245" t="inlineStr">
        <is>
          <t>Salaries</t>
        </is>
      </c>
      <c r="D137" s="254">
        <f>([4]Consolidated!D137)*(1/0.79941)</f>
        <v/>
      </c>
      <c r="E137" s="254">
        <f>([4]Consolidated!E137)*(1/0.79941)</f>
        <v/>
      </c>
      <c r="F137" s="254">
        <f>([4]Consolidated!F137)*(1/0.79941)</f>
        <v/>
      </c>
      <c r="G137" s="254">
        <f>([4]Consolidated!G137)*(1/0.79941)</f>
        <v/>
      </c>
      <c r="H137" s="254">
        <f>([4]Consolidated!H137)*(1/0.79941)</f>
        <v/>
      </c>
      <c r="I137" s="254">
        <f>([4]Consolidated!I137)*(1/0.79941)</f>
        <v/>
      </c>
      <c r="J137" s="256">
        <f>([4]Consolidated!J137)*(1/0.79941)</f>
        <v/>
      </c>
      <c r="K137" s="185" t="n"/>
      <c r="L137" s="256">
        <f>([4]Consolidated!L137)*(1/0.79941)</f>
        <v/>
      </c>
      <c r="M137" s="254">
        <f>([4]Consolidated!M137)*(1/0.79941)</f>
        <v/>
      </c>
      <c r="N137" s="249">
        <f>([4]Consolidated!N137)*(1/0.79941)</f>
        <v/>
      </c>
    </row>
    <row r="138" ht="12.75" customHeight="1" s="150">
      <c r="C138" s="245" t="inlineStr">
        <is>
          <t>Bonuses</t>
        </is>
      </c>
      <c r="D138" s="254">
        <f>([4]Consolidated!D138)*(1/0.79941)</f>
        <v/>
      </c>
      <c r="E138" s="254">
        <f>([4]Consolidated!E138)*(1/0.79941)</f>
        <v/>
      </c>
      <c r="F138" s="254">
        <f>([4]Consolidated!F138)*(1/0.79941)</f>
        <v/>
      </c>
      <c r="G138" s="254">
        <f>([4]Consolidated!G138)*(1/0.79941)</f>
        <v/>
      </c>
      <c r="H138" s="254">
        <f>([4]Consolidated!H138)*(1/0.79941)</f>
        <v/>
      </c>
      <c r="I138" s="254">
        <f>([4]Consolidated!I138)*(1/0.79941)</f>
        <v/>
      </c>
      <c r="J138" s="256">
        <f>([4]Consolidated!J138)*(1/0.79941)</f>
        <v/>
      </c>
      <c r="K138" s="185" t="n"/>
      <c r="L138" s="256">
        <f>([4]Consolidated!L138)*(1/0.79941)</f>
        <v/>
      </c>
      <c r="M138" s="254">
        <f>([4]Consolidated!M138)*(1/0.79941)</f>
        <v/>
      </c>
      <c r="N138" s="249">
        <f>([4]Consolidated!N138)*(1/0.79941)</f>
        <v/>
      </c>
    </row>
    <row r="139" ht="12.75" customHeight="1" s="150">
      <c r="C139" s="245" t="inlineStr">
        <is>
          <t>Third party staff, ex IT</t>
        </is>
      </c>
      <c r="D139" s="254">
        <f>([4]Consolidated!D139)*(1/0.79941)</f>
        <v/>
      </c>
      <c r="E139" s="254">
        <f>([4]Consolidated!E139)*(1/0.79941)</f>
        <v/>
      </c>
      <c r="F139" s="254">
        <f>([4]Consolidated!F139)*(1/0.79941)</f>
        <v/>
      </c>
      <c r="G139" s="254">
        <f>([4]Consolidated!G139)*(1/0.79941)</f>
        <v/>
      </c>
      <c r="H139" s="254">
        <f>([4]Consolidated!H139)*(1/0.79941)</f>
        <v/>
      </c>
      <c r="I139" s="254">
        <f>([4]Consolidated!I139)*(1/0.79941)</f>
        <v/>
      </c>
      <c r="J139" s="256">
        <f>([4]Consolidated!J139)*(1/0.79941)</f>
        <v/>
      </c>
      <c r="K139" s="185" t="n"/>
      <c r="L139" s="256">
        <f>([4]Consolidated!L139)*(1/0.79941)</f>
        <v/>
      </c>
      <c r="M139" s="254">
        <f>([4]Consolidated!M139)*(1/0.79941)</f>
        <v/>
      </c>
      <c r="N139" s="249">
        <f>([4]Consolidated!N139)*(1/0.79941)</f>
        <v/>
      </c>
    </row>
    <row r="140" ht="12.75" customHeight="1" s="150">
      <c r="C140" s="245" t="inlineStr">
        <is>
          <t>Third party IT staff</t>
        </is>
      </c>
      <c r="D140" s="254">
        <f>([4]Consolidated!D140)*(1/0.79941)</f>
        <v/>
      </c>
      <c r="E140" s="254">
        <f>([4]Consolidated!E140)*(1/0.79941)</f>
        <v/>
      </c>
      <c r="F140" s="254">
        <f>([4]Consolidated!F140)*(1/0.79941)</f>
        <v/>
      </c>
      <c r="G140" s="254">
        <f>([4]Consolidated!G140)*(1/0.79941)</f>
        <v/>
      </c>
      <c r="H140" s="254">
        <f>([4]Consolidated!H140)*(1/0.79941)</f>
        <v/>
      </c>
      <c r="I140" s="254">
        <f>([4]Consolidated!I140)*(1/0.79941)</f>
        <v/>
      </c>
      <c r="J140" s="256">
        <f>([4]Consolidated!J140)*(1/0.79941)</f>
        <v/>
      </c>
      <c r="K140" s="185" t="n"/>
      <c r="L140" s="256">
        <f>([4]Consolidated!L140)*(1/0.79941)</f>
        <v/>
      </c>
      <c r="M140" s="254">
        <f>([4]Consolidated!M140)*(1/0.79941)</f>
        <v/>
      </c>
      <c r="N140" s="249">
        <f>([4]Consolidated!N140)*(1/0.79941)</f>
        <v/>
      </c>
    </row>
    <row r="141" ht="12.75" customHeight="1" s="150">
      <c r="C141" s="245" t="inlineStr">
        <is>
          <t>Employee education</t>
        </is>
      </c>
      <c r="D141" s="254">
        <f>([4]Consolidated!D141)*(1/0.79941)</f>
        <v/>
      </c>
      <c r="E141" s="254">
        <f>([4]Consolidated!E141)*(1/0.79941)</f>
        <v/>
      </c>
      <c r="F141" s="254">
        <f>([4]Consolidated!F141)*(1/0.79941)</f>
        <v/>
      </c>
      <c r="G141" s="254">
        <f>([4]Consolidated!G141)*(1/0.79941)</f>
        <v/>
      </c>
      <c r="H141" s="254">
        <f>([4]Consolidated!H141)*(1/0.79941)</f>
        <v/>
      </c>
      <c r="I141" s="254">
        <f>([4]Consolidated!I141)*(1/0.79941)</f>
        <v/>
      </c>
      <c r="J141" s="256">
        <f>([4]Consolidated!J141)*(1/0.79941)</f>
        <v/>
      </c>
      <c r="K141" s="185" t="n"/>
      <c r="L141" s="256">
        <f>([4]Consolidated!L141)*(1/0.79941)</f>
        <v/>
      </c>
      <c r="M141" s="254">
        <f>([4]Consolidated!M141)*(1/0.79941)</f>
        <v/>
      </c>
      <c r="N141" s="249">
        <f>([4]Consolidated!N141)*(1/0.79941)</f>
        <v/>
      </c>
    </row>
    <row r="142" ht="12.75" customHeight="1" s="150">
      <c r="C142" s="245" t="inlineStr">
        <is>
          <t>Other staff expenses</t>
        </is>
      </c>
      <c r="D142" s="254">
        <f>([4]Consolidated!D142)*(1/0.79941)</f>
        <v/>
      </c>
      <c r="E142" s="254">
        <f>([4]Consolidated!E142)*(1/0.79941)</f>
        <v/>
      </c>
      <c r="F142" s="254">
        <f>([4]Consolidated!F142)*(1/0.79941)</f>
        <v/>
      </c>
      <c r="G142" s="254">
        <f>([4]Consolidated!G142)*(1/0.79941)</f>
        <v/>
      </c>
      <c r="H142" s="254">
        <f>([4]Consolidated!H142)*(1/0.79941)</f>
        <v/>
      </c>
      <c r="I142" s="254">
        <f>([4]Consolidated!I142)*(1/0.79941)</f>
        <v/>
      </c>
      <c r="J142" s="257">
        <f>([4]Consolidated!J142)*(1/0.79941)</f>
        <v/>
      </c>
      <c r="K142" s="185" t="n"/>
      <c r="L142" s="256">
        <f>([4]Consolidated!L142)*(1/0.79941)</f>
        <v/>
      </c>
      <c r="M142" s="254">
        <f>([4]Consolidated!M142)*(1/0.79941)</f>
        <v/>
      </c>
      <c r="N142" s="249">
        <f>([4]Consolidated!N142)*(1/0.79941)</f>
        <v/>
      </c>
    </row>
    <row r="143" ht="13.5" customHeight="1" s="150">
      <c r="C143" s="250" t="inlineStr">
        <is>
          <t>Staff expenses</t>
        </is>
      </c>
      <c r="D143" s="258">
        <f>([4]Consolidated!D143)*(1/0.79941)</f>
        <v/>
      </c>
      <c r="E143" s="258">
        <f>([4]Consolidated!E143)*(1/0.79941)</f>
        <v/>
      </c>
      <c r="F143" s="258">
        <f>([4]Consolidated!F143)*(1/0.79941)</f>
        <v/>
      </c>
      <c r="G143" s="258">
        <f>([4]Consolidated!G143)*(1/0.79941)</f>
        <v/>
      </c>
      <c r="H143" s="258">
        <f>([4]Consolidated!H143)*(1/0.79941)</f>
        <v/>
      </c>
      <c r="I143" s="258">
        <f>([4]Consolidated!I143)*(1/0.79941)</f>
        <v/>
      </c>
      <c r="J143" s="253">
        <f>([4]Consolidated!J143)*(1/0.79941)</f>
        <v/>
      </c>
      <c r="K143" s="185" t="n"/>
      <c r="L143" s="253">
        <f>([4]Consolidated!L143)*(1/0.79941)</f>
        <v/>
      </c>
      <c r="M143" s="258">
        <f>([4]Consolidated!M143)*(1/0.79941)</f>
        <v/>
      </c>
      <c r="N143" s="253">
        <f>([4]Consolidated!N143)*(1/0.79941)</f>
        <v/>
      </c>
    </row>
    <row r="144" ht="12.75" customHeight="1" s="150">
      <c r="C144" s="245" t="inlineStr">
        <is>
          <t>Hardware expenses</t>
        </is>
      </c>
      <c r="D144" s="254">
        <f>([4]Consolidated!D144)*(1/0.79941)</f>
        <v/>
      </c>
      <c r="E144" s="254">
        <f>([4]Consolidated!E144)*(1/0.79941)</f>
        <v/>
      </c>
      <c r="F144" s="254">
        <f>([4]Consolidated!F144)*(1/0.79941)</f>
        <v/>
      </c>
      <c r="G144" s="254">
        <f>([4]Consolidated!G144)*(1/0.79941)</f>
        <v/>
      </c>
      <c r="H144" s="254">
        <f>([4]Consolidated!H144)*(1/0.79941)</f>
        <v/>
      </c>
      <c r="I144" s="254">
        <f>([4]Consolidated!I144)*(1/0.79941)</f>
        <v/>
      </c>
      <c r="J144" s="256">
        <f>([4]Consolidated!J144)*(1/0.79941)</f>
        <v/>
      </c>
      <c r="K144" s="185" t="n"/>
      <c r="L144" s="256">
        <f>([4]Consolidated!L144)*(1/0.79941)</f>
        <v/>
      </c>
      <c r="M144" s="254">
        <f>([4]Consolidated!M144)*(1/0.79941)</f>
        <v/>
      </c>
      <c r="N144" s="249">
        <f>([4]Consolidated!N144)*(1/0.79941)</f>
        <v/>
      </c>
    </row>
    <row r="145" ht="12.75" customHeight="1" s="150">
      <c r="C145" s="245" t="inlineStr">
        <is>
          <t>Leasing/renting hardware</t>
        </is>
      </c>
      <c r="D145" s="254">
        <f>([4]Consolidated!D145)*(1/0.79941)</f>
        <v/>
      </c>
      <c r="E145" s="254">
        <f>([4]Consolidated!E145)*(1/0.79941)</f>
        <v/>
      </c>
      <c r="F145" s="254">
        <f>([4]Consolidated!F145)*(1/0.79941)</f>
        <v/>
      </c>
      <c r="G145" s="254">
        <f>([4]Consolidated!G145)*(1/0.79941)</f>
        <v/>
      </c>
      <c r="H145" s="254">
        <f>([4]Consolidated!H145)*(1/0.79941)</f>
        <v/>
      </c>
      <c r="I145" s="254">
        <f>([4]Consolidated!I145)*(1/0.79941)</f>
        <v/>
      </c>
      <c r="J145" s="256">
        <f>([4]Consolidated!J145)*(1/0.79941)</f>
        <v/>
      </c>
      <c r="K145" s="185" t="n"/>
      <c r="L145" s="256">
        <f>([4]Consolidated!L145)*(1/0.79941)</f>
        <v/>
      </c>
      <c r="M145" s="254">
        <f>([4]Consolidated!M145)*(1/0.79941)</f>
        <v/>
      </c>
      <c r="N145" s="249">
        <f>([4]Consolidated!N145)*(1/0.79941)</f>
        <v/>
      </c>
    </row>
    <row r="146" ht="12.75" customHeight="1" s="150">
      <c r="C146" s="245" t="inlineStr">
        <is>
          <t>Software expenses</t>
        </is>
      </c>
      <c r="D146" s="254">
        <f>([4]Consolidated!D146)*(1/0.79941)</f>
        <v/>
      </c>
      <c r="E146" s="254">
        <f>([4]Consolidated!E146)*(1/0.79941)</f>
        <v/>
      </c>
      <c r="F146" s="254">
        <f>([4]Consolidated!F146)*(1/0.79941)</f>
        <v/>
      </c>
      <c r="G146" s="254">
        <f>([4]Consolidated!G146)*(1/0.79941)</f>
        <v/>
      </c>
      <c r="H146" s="254">
        <f>([4]Consolidated!H146)*(1/0.79941)</f>
        <v/>
      </c>
      <c r="I146" s="254">
        <f>([4]Consolidated!I146)*(1/0.79941)</f>
        <v/>
      </c>
      <c r="J146" s="256">
        <f>([4]Consolidated!J146)*(1/0.79941)</f>
        <v/>
      </c>
      <c r="K146" s="185" t="n"/>
      <c r="L146" s="256">
        <f>([4]Consolidated!L146)*(1/0.79941)</f>
        <v/>
      </c>
      <c r="M146" s="254">
        <f>([4]Consolidated!M146)*(1/0.79941)</f>
        <v/>
      </c>
      <c r="N146" s="249">
        <f>([4]Consolidated!N146)*(1/0.79941)</f>
        <v/>
      </c>
    </row>
    <row r="147" ht="12.75" customHeight="1" s="150">
      <c r="C147" s="245" t="inlineStr">
        <is>
          <t>Leasing/renting/licenses sw</t>
        </is>
      </c>
      <c r="D147" s="254">
        <f>([4]Consolidated!D147)*(1/0.79941)</f>
        <v/>
      </c>
      <c r="E147" s="254">
        <f>([4]Consolidated!E147)*(1/0.79941)</f>
        <v/>
      </c>
      <c r="F147" s="254">
        <f>([4]Consolidated!F147)*(1/0.79941)</f>
        <v/>
      </c>
      <c r="G147" s="254">
        <f>([4]Consolidated!G147)*(1/0.79941)</f>
        <v/>
      </c>
      <c r="H147" s="254">
        <f>([4]Consolidated!H147)*(1/0.79941)</f>
        <v/>
      </c>
      <c r="I147" s="254">
        <f>([4]Consolidated!I147)*(1/0.79941)</f>
        <v/>
      </c>
      <c r="J147" s="256">
        <f>([4]Consolidated!J147)*(1/0.79941)</f>
        <v/>
      </c>
      <c r="K147" s="185" t="n"/>
      <c r="L147" s="256">
        <f>([4]Consolidated!L147)*(1/0.79941)</f>
        <v/>
      </c>
      <c r="M147" s="254">
        <f>([4]Consolidated!M147)*(1/0.79941)</f>
        <v/>
      </c>
      <c r="N147" s="249">
        <f>([4]Consolidated!N147)*(1/0.79941)</f>
        <v/>
      </c>
    </row>
    <row r="148" ht="12.75" customHeight="1" s="150">
      <c r="C148" s="245" t="inlineStr">
        <is>
          <t>Depreciation hardware</t>
        </is>
      </c>
      <c r="D148" s="254">
        <f>([4]Consolidated!D148)*(1/0.79941)</f>
        <v/>
      </c>
      <c r="E148" s="254">
        <f>([4]Consolidated!E148)*(1/0.79941)</f>
        <v/>
      </c>
      <c r="F148" s="254">
        <f>([4]Consolidated!F148)*(1/0.79941)</f>
        <v/>
      </c>
      <c r="G148" s="254">
        <f>([4]Consolidated!G148)*(1/0.79941)</f>
        <v/>
      </c>
      <c r="H148" s="254">
        <f>([4]Consolidated!H148)*(1/0.79941)</f>
        <v/>
      </c>
      <c r="I148" s="254">
        <f>([4]Consolidated!I148)*(1/0.79941)</f>
        <v/>
      </c>
      <c r="J148" s="256">
        <f>([4]Consolidated!J148)*(1/0.79941)</f>
        <v/>
      </c>
      <c r="K148" s="185" t="n"/>
      <c r="L148" s="256">
        <f>([4]Consolidated!L148)*(1/0.79941)</f>
        <v/>
      </c>
      <c r="M148" s="254">
        <f>([4]Consolidated!M148)*(1/0.79941)</f>
        <v/>
      </c>
      <c r="N148" s="249">
        <f>([4]Consolidated!N148)*(1/0.79941)</f>
        <v/>
      </c>
    </row>
    <row r="149" ht="12.75" customHeight="1" s="150">
      <c r="C149" s="245" t="inlineStr">
        <is>
          <t>Depreciation software</t>
        </is>
      </c>
      <c r="D149" s="254">
        <f>([4]Consolidated!D149)*(1/0.79941)</f>
        <v/>
      </c>
      <c r="E149" s="254">
        <f>([4]Consolidated!E149)*(1/0.79941)</f>
        <v/>
      </c>
      <c r="F149" s="254">
        <f>([4]Consolidated!F149)*(1/0.79941)</f>
        <v/>
      </c>
      <c r="G149" s="254">
        <f>([4]Consolidated!G149)*(1/0.79941)</f>
        <v/>
      </c>
      <c r="H149" s="254">
        <f>([4]Consolidated!H149)*(1/0.79941)</f>
        <v/>
      </c>
      <c r="I149" s="254">
        <f>([4]Consolidated!I149)*(1/0.79941)</f>
        <v/>
      </c>
      <c r="J149" s="256">
        <f>([4]Consolidated!J149)*(1/0.79941)</f>
        <v/>
      </c>
      <c r="K149" s="185" t="n"/>
      <c r="L149" s="256">
        <f>([4]Consolidated!L149)*(1/0.79941)</f>
        <v/>
      </c>
      <c r="M149" s="254">
        <f>([4]Consolidated!M149)*(1/0.79941)</f>
        <v/>
      </c>
      <c r="N149" s="249">
        <f>([4]Consolidated!N149)*(1/0.79941)</f>
        <v/>
      </c>
    </row>
    <row r="150" ht="12.75" customHeight="1" s="150">
      <c r="C150" s="245" t="inlineStr">
        <is>
          <t>Outsourcing IT activities</t>
        </is>
      </c>
      <c r="D150" s="254">
        <f>([4]Consolidated!D150)*(1/0.79941)</f>
        <v/>
      </c>
      <c r="E150" s="254">
        <f>([4]Consolidated!E150)*(1/0.79941)</f>
        <v/>
      </c>
      <c r="F150" s="254">
        <f>([4]Consolidated!F150)*(1/0.79941)</f>
        <v/>
      </c>
      <c r="G150" s="254">
        <f>([4]Consolidated!G150)*(1/0.79941)</f>
        <v/>
      </c>
      <c r="H150" s="254">
        <f>([4]Consolidated!H150)*(1/0.79941)</f>
        <v/>
      </c>
      <c r="I150" s="254">
        <f>([4]Consolidated!I150)*(1/0.79941)</f>
        <v/>
      </c>
      <c r="J150" s="256">
        <f>([4]Consolidated!J150)*(1/0.79941)</f>
        <v/>
      </c>
      <c r="K150" s="185" t="n"/>
      <c r="L150" s="256">
        <f>([4]Consolidated!L150)*(1/0.79941)</f>
        <v/>
      </c>
      <c r="M150" s="254">
        <f>([4]Consolidated!M150)*(1/0.79941)</f>
        <v/>
      </c>
      <c r="N150" s="249">
        <f>([4]Consolidated!N150)*(1/0.79941)</f>
        <v/>
      </c>
    </row>
    <row r="151" ht="12.75" customHeight="1" s="150">
      <c r="C151" s="245" t="inlineStr">
        <is>
          <t>Other IT expenses</t>
        </is>
      </c>
      <c r="D151" s="254">
        <f>([4]Consolidated!D151)*(1/0.79941)</f>
        <v/>
      </c>
      <c r="E151" s="254">
        <f>([4]Consolidated!E151)*(1/0.79941)</f>
        <v/>
      </c>
      <c r="F151" s="254">
        <f>([4]Consolidated!F151)*(1/0.79941)</f>
        <v/>
      </c>
      <c r="G151" s="254">
        <f>([4]Consolidated!G151)*(1/0.79941)</f>
        <v/>
      </c>
      <c r="H151" s="254">
        <f>([4]Consolidated!H151)*(1/0.79941)</f>
        <v/>
      </c>
      <c r="I151" s="254">
        <f>([4]Consolidated!I151)*(1/0.79941)</f>
        <v/>
      </c>
      <c r="J151" s="256">
        <f>([4]Consolidated!J151)*(1/0.79941)</f>
        <v/>
      </c>
      <c r="K151" s="185" t="n"/>
      <c r="L151" s="256">
        <f>([4]Consolidated!L151)*(1/0.79941)</f>
        <v/>
      </c>
      <c r="M151" s="254">
        <f>([4]Consolidated!M151)*(1/0.79941)</f>
        <v/>
      </c>
      <c r="N151" s="249">
        <f>([4]Consolidated!N151)*(1/0.79941)</f>
        <v/>
      </c>
    </row>
    <row r="152" ht="13.5" customHeight="1" s="150">
      <c r="C152" s="250" t="inlineStr">
        <is>
          <t>EDP expenses</t>
        </is>
      </c>
      <c r="D152" s="258">
        <f>([4]Consolidated!D152)*(1/0.79941)</f>
        <v/>
      </c>
      <c r="E152" s="258">
        <f>([4]Consolidated!E152)*(1/0.79941)</f>
        <v/>
      </c>
      <c r="F152" s="258">
        <f>([4]Consolidated!F152)*(1/0.79941)</f>
        <v/>
      </c>
      <c r="G152" s="258">
        <f>([4]Consolidated!G152)*(1/0.79941)</f>
        <v/>
      </c>
      <c r="H152" s="258">
        <f>([4]Consolidated!H152)*(1/0.79941)</f>
        <v/>
      </c>
      <c r="I152" s="258">
        <f>([4]Consolidated!I152)*(1/0.79941)</f>
        <v/>
      </c>
      <c r="J152" s="253">
        <f>([4]Consolidated!J152)*(1/0.79941)</f>
        <v/>
      </c>
      <c r="K152" s="185" t="n"/>
      <c r="L152" s="253">
        <f>([4]Consolidated!L152)*(1/0.79941)</f>
        <v/>
      </c>
      <c r="M152" s="258">
        <f>([4]Consolidated!M152)*(1/0.79941)</f>
        <v/>
      </c>
      <c r="N152" s="253">
        <f>([4]Consolidated!N152)*(1/0.79941)</f>
        <v/>
      </c>
    </row>
    <row r="153" ht="12.75" customHeight="1" s="150">
      <c r="C153" s="245" t="inlineStr">
        <is>
          <t>Telecom expenses</t>
        </is>
      </c>
      <c r="D153" s="254">
        <f>([4]Consolidated!D153)*(1/0.79941)</f>
        <v/>
      </c>
      <c r="E153" s="254">
        <f>([4]Consolidated!E153)*(1/0.79941)</f>
        <v/>
      </c>
      <c r="F153" s="254">
        <f>([4]Consolidated!F153)*(1/0.79941)</f>
        <v/>
      </c>
      <c r="G153" s="254">
        <f>([4]Consolidated!G153)*(1/0.79941)</f>
        <v/>
      </c>
      <c r="H153" s="254">
        <f>([4]Consolidated!H153)*(1/0.79941)</f>
        <v/>
      </c>
      <c r="I153" s="254">
        <f>([4]Consolidated!I153)*(1/0.79941)</f>
        <v/>
      </c>
      <c r="J153" s="256">
        <f>([4]Consolidated!J153)*(1/0.79941)</f>
        <v/>
      </c>
      <c r="K153" s="185" t="n"/>
      <c r="L153" s="256">
        <f>([4]Consolidated!L153)*(1/0.79941)</f>
        <v/>
      </c>
      <c r="M153" s="254">
        <f>([4]Consolidated!M153)*(1/0.79941)</f>
        <v/>
      </c>
      <c r="N153" s="249">
        <f>([4]Consolidated!N153)*(1/0.79941)</f>
        <v/>
      </c>
    </row>
    <row r="154" ht="12.75" customHeight="1" s="150">
      <c r="C154" s="245" t="inlineStr">
        <is>
          <t>Office equipment and supplies</t>
        </is>
      </c>
      <c r="D154" s="254">
        <f>([4]Consolidated!D154)*(1/0.79941)</f>
        <v/>
      </c>
      <c r="E154" s="254">
        <f>([4]Consolidated!E154)*(1/0.79941)</f>
        <v/>
      </c>
      <c r="F154" s="254">
        <f>([4]Consolidated!F154)*(1/0.79941)</f>
        <v/>
      </c>
      <c r="G154" s="254">
        <f>([4]Consolidated!G154)*(1/0.79941)</f>
        <v/>
      </c>
      <c r="H154" s="254">
        <f>([4]Consolidated!H154)*(1/0.79941)</f>
        <v/>
      </c>
      <c r="I154" s="254">
        <f>([4]Consolidated!I154)*(1/0.79941)</f>
        <v/>
      </c>
      <c r="J154" s="256">
        <f>([4]Consolidated!J154)*(1/0.79941)</f>
        <v/>
      </c>
      <c r="K154" s="185" t="n"/>
      <c r="L154" s="256">
        <f>([4]Consolidated!L154)*(1/0.79941)</f>
        <v/>
      </c>
      <c r="M154" s="254">
        <f>([4]Consolidated!M154)*(1/0.79941)</f>
        <v/>
      </c>
      <c r="N154" s="249">
        <f>([4]Consolidated!N154)*(1/0.79941)</f>
        <v/>
      </c>
    </row>
    <row r="155" ht="12.75" customHeight="1" s="150">
      <c r="C155" s="245" t="inlineStr">
        <is>
          <t>Accomodation expenses</t>
        </is>
      </c>
      <c r="D155" s="254">
        <f>([4]Consolidated!D155)*(1/0.79941)</f>
        <v/>
      </c>
      <c r="E155" s="254">
        <f>([4]Consolidated!E155)*(1/0.79941)</f>
        <v/>
      </c>
      <c r="F155" s="254">
        <f>([4]Consolidated!F155)*(1/0.79941)</f>
        <v/>
      </c>
      <c r="G155" s="254">
        <f>([4]Consolidated!G155)*(1/0.79941)</f>
        <v/>
      </c>
      <c r="H155" s="254">
        <f>([4]Consolidated!H155)*(1/0.79941)</f>
        <v/>
      </c>
      <c r="I155" s="254">
        <f>([4]Consolidated!I155)*(1/0.79941)</f>
        <v/>
      </c>
      <c r="J155" s="256">
        <f>([4]Consolidated!J155)*(1/0.79941)</f>
        <v/>
      </c>
      <c r="K155" s="185" t="n"/>
      <c r="L155" s="256">
        <f>([4]Consolidated!L155)*(1/0.79941)</f>
        <v/>
      </c>
      <c r="M155" s="254">
        <f>([4]Consolidated!M155)*(1/0.79941)</f>
        <v/>
      </c>
      <c r="N155" s="249">
        <f>([4]Consolidated!N155)*(1/0.79941)</f>
        <v/>
      </c>
    </row>
    <row r="156" ht="12.75" customHeight="1" s="150">
      <c r="C156" s="245" t="inlineStr">
        <is>
          <t>Travel costs</t>
        </is>
      </c>
      <c r="D156" s="254">
        <f>([4]Consolidated!D156)*(1/0.79941)</f>
        <v/>
      </c>
      <c r="E156" s="254">
        <f>([4]Consolidated!E156)*(1/0.79941)</f>
        <v/>
      </c>
      <c r="F156" s="254">
        <f>([4]Consolidated!F156)*(1/0.79941)</f>
        <v/>
      </c>
      <c r="G156" s="254">
        <f>([4]Consolidated!G156)*(1/0.79941)</f>
        <v/>
      </c>
      <c r="H156" s="254">
        <f>([4]Consolidated!H156)*(1/0.79941)</f>
        <v/>
      </c>
      <c r="I156" s="254">
        <f>([4]Consolidated!I156)*(1/0.79941)</f>
        <v/>
      </c>
      <c r="J156" s="256">
        <f>([4]Consolidated!J156)*(1/0.79941)</f>
        <v/>
      </c>
      <c r="K156" s="185" t="n"/>
      <c r="L156" s="256">
        <f>([4]Consolidated!L156)*(1/0.79941)</f>
        <v/>
      </c>
      <c r="M156" s="254">
        <f>([4]Consolidated!M156)*(1/0.79941)</f>
        <v/>
      </c>
      <c r="N156" s="249">
        <f>([4]Consolidated!N156)*(1/0.79941)</f>
        <v/>
      </c>
    </row>
    <row r="157" ht="12.75" customHeight="1" s="150">
      <c r="C157" s="245" t="inlineStr">
        <is>
          <t>Postal and freight charges</t>
        </is>
      </c>
      <c r="D157" s="254">
        <f>([4]Consolidated!D157)*(1/0.79941)</f>
        <v/>
      </c>
      <c r="E157" s="254">
        <f>([4]Consolidated!E157)*(1/0.79941)</f>
        <v/>
      </c>
      <c r="F157" s="254">
        <f>([4]Consolidated!F157)*(1/0.79941)</f>
        <v/>
      </c>
      <c r="G157" s="254">
        <f>([4]Consolidated!G157)*(1/0.79941)</f>
        <v/>
      </c>
      <c r="H157" s="254">
        <f>([4]Consolidated!H157)*(1/0.79941)</f>
        <v/>
      </c>
      <c r="I157" s="254">
        <f>([4]Consolidated!I157)*(1/0.79941)</f>
        <v/>
      </c>
      <c r="J157" s="256">
        <f>([4]Consolidated!J157)*(1/0.79941)</f>
        <v/>
      </c>
      <c r="K157" s="185" t="n"/>
      <c r="L157" s="256">
        <f>([4]Consolidated!L157)*(1/0.79941)</f>
        <v/>
      </c>
      <c r="M157" s="254">
        <f>([4]Consolidated!M157)*(1/0.79941)</f>
        <v/>
      </c>
      <c r="N157" s="249">
        <f>([4]Consolidated!N157)*(1/0.79941)</f>
        <v/>
      </c>
    </row>
    <row r="158" ht="12.75" customHeight="1" s="150">
      <c r="C158" s="245" t="inlineStr">
        <is>
          <t>Prof serv and ext advisory fee</t>
        </is>
      </c>
      <c r="D158" s="254">
        <f>([4]Consolidated!D158)*(1/0.79941)</f>
        <v/>
      </c>
      <c r="E158" s="254">
        <f>([4]Consolidated!E158)*(1/0.79941)</f>
        <v/>
      </c>
      <c r="F158" s="254">
        <f>([4]Consolidated!F158)*(1/0.79941)</f>
        <v/>
      </c>
      <c r="G158" s="254">
        <f>([4]Consolidated!G158)*(1/0.79941)</f>
        <v/>
      </c>
      <c r="H158" s="254">
        <f>([4]Consolidated!H158)*(1/0.79941)</f>
        <v/>
      </c>
      <c r="I158" s="254">
        <f>([4]Consolidated!I158)*(1/0.79941)</f>
        <v/>
      </c>
      <c r="J158" s="256">
        <f>([4]Consolidated!J158)*(1/0.79941)</f>
        <v/>
      </c>
      <c r="K158" s="185" t="n"/>
      <c r="L158" s="256">
        <f>([4]Consolidated!L158)*(1/0.79941)</f>
        <v/>
      </c>
      <c r="M158" s="254">
        <f>([4]Consolidated!M158)*(1/0.79941)</f>
        <v/>
      </c>
      <c r="N158" s="249">
        <f>([4]Consolidated!N158)*(1/0.79941)</f>
        <v/>
      </c>
    </row>
    <row r="159" ht="12.75" customHeight="1" s="150">
      <c r="C159" s="245" t="inlineStr">
        <is>
          <t>Payment transfer expenses</t>
        </is>
      </c>
      <c r="D159" s="254">
        <f>([4]Consolidated!D159)*(1/0.79941)</f>
        <v/>
      </c>
      <c r="E159" s="254">
        <f>([4]Consolidated!E159)*(1/0.79941)</f>
        <v/>
      </c>
      <c r="F159" s="254">
        <f>([4]Consolidated!F159)*(1/0.79941)</f>
        <v/>
      </c>
      <c r="G159" s="254">
        <f>([4]Consolidated!G159)*(1/0.79941)</f>
        <v/>
      </c>
      <c r="H159" s="254">
        <f>([4]Consolidated!H159)*(1/0.79941)</f>
        <v/>
      </c>
      <c r="I159" s="254">
        <f>([4]Consolidated!I159)*(1/0.79941)</f>
        <v/>
      </c>
      <c r="J159" s="256">
        <f>([4]Consolidated!J159)*(1/0.79941)</f>
        <v/>
      </c>
      <c r="K159" s="185" t="n"/>
      <c r="L159" s="256">
        <f>([4]Consolidated!L159)*(1/0.79941)</f>
        <v/>
      </c>
      <c r="M159" s="254">
        <f>([4]Consolidated!M159)*(1/0.79941)</f>
        <v/>
      </c>
      <c r="N159" s="249">
        <f>([4]Consolidated!N159)*(1/0.79941)</f>
        <v/>
      </c>
    </row>
    <row r="160" ht="12.75" customHeight="1" s="150">
      <c r="C160" s="245" t="inlineStr">
        <is>
          <t>Other costs</t>
        </is>
      </c>
      <c r="D160" s="254">
        <f>([4]Consolidated!D160)*(1/0.79941)</f>
        <v/>
      </c>
      <c r="E160" s="254">
        <f>([4]Consolidated!E160)*(1/0.79941)</f>
        <v/>
      </c>
      <c r="F160" s="254">
        <f>([4]Consolidated!F160)*(1/0.79941)</f>
        <v/>
      </c>
      <c r="G160" s="254">
        <f>([4]Consolidated!G160)*(1/0.79941)</f>
        <v/>
      </c>
      <c r="H160" s="254">
        <f>([4]Consolidated!H160)*(1/0.79941)</f>
        <v/>
      </c>
      <c r="I160" s="254">
        <f>([4]Consolidated!I160)*(1/0.79941)</f>
        <v/>
      </c>
      <c r="J160" s="256">
        <f>([4]Consolidated!J160)*(1/0.79941)</f>
        <v/>
      </c>
      <c r="K160" s="185" t="n"/>
      <c r="L160" s="256">
        <f>([4]Consolidated!L160)*(1/0.79941)</f>
        <v/>
      </c>
      <c r="M160" s="254">
        <f>([4]Consolidated!M160)*(1/0.79941)</f>
        <v/>
      </c>
      <c r="N160" s="249">
        <f>([4]Consolidated!N160)*(1/0.79941)</f>
        <v/>
      </c>
    </row>
    <row r="161" ht="13.5" customHeight="1" s="150">
      <c r="C161" s="250" t="inlineStr">
        <is>
          <t>General expenses</t>
        </is>
      </c>
      <c r="D161" s="258">
        <f>([4]Consolidated!D161)*(1/0.79941)</f>
        <v/>
      </c>
      <c r="E161" s="258">
        <f>([4]Consolidated!E161)*(1/0.79941)</f>
        <v/>
      </c>
      <c r="F161" s="258">
        <f>([4]Consolidated!F161)*(1/0.79941)</f>
        <v/>
      </c>
      <c r="G161" s="258">
        <f>([4]Consolidated!G161)*(1/0.79941)</f>
        <v/>
      </c>
      <c r="H161" s="258">
        <f>([4]Consolidated!H161)*(1/0.79941)</f>
        <v/>
      </c>
      <c r="I161" s="258">
        <f>([4]Consolidated!I161)*(1/0.79941)</f>
        <v/>
      </c>
      <c r="J161" s="253">
        <f>([4]Consolidated!J161)*(1/0.79941)</f>
        <v/>
      </c>
      <c r="K161" s="185" t="n"/>
      <c r="L161" s="253">
        <f>([4]Consolidated!L161)*(1/0.79941)</f>
        <v/>
      </c>
      <c r="M161" s="258">
        <f>([4]Consolidated!M161)*(1/0.79941)</f>
        <v/>
      </c>
      <c r="N161" s="253">
        <f>([4]Consolidated!N161)*(1/0.79941)</f>
        <v/>
      </c>
    </row>
    <row r="162" ht="12.75" customHeight="1" s="150">
      <c r="C162" s="245" t="inlineStr">
        <is>
          <t>Own expenses</t>
        </is>
      </c>
      <c r="D162" s="254">
        <f>([4]Consolidated!D162)*(1/0.79941)</f>
        <v/>
      </c>
      <c r="E162" s="254">
        <f>([4]Consolidated!E162)*(1/0.79941)</f>
        <v/>
      </c>
      <c r="F162" s="254">
        <f>([4]Consolidated!F162)*(1/0.79941)</f>
        <v/>
      </c>
      <c r="G162" s="254">
        <f>([4]Consolidated!G162)*(1/0.79941)</f>
        <v/>
      </c>
      <c r="H162" s="254">
        <f>([4]Consolidated!H162)*(1/0.79941)</f>
        <v/>
      </c>
      <c r="I162" s="254">
        <f>([4]Consolidated!I162)*(1/0.79941)</f>
        <v/>
      </c>
      <c r="J162" s="256">
        <f>([4]Consolidated!J162)*(1/0.79941)</f>
        <v/>
      </c>
      <c r="K162" s="185" t="n"/>
      <c r="L162" s="256">
        <f>([4]Consolidated!L162)*(1/0.79941)</f>
        <v/>
      </c>
      <c r="M162" s="254">
        <f>([4]Consolidated!M162)*(1/0.79941)</f>
        <v/>
      </c>
      <c r="N162" s="259">
        <f>([4]Consolidated!N162)*(1/0.79941)</f>
        <v/>
      </c>
    </row>
    <row r="163" ht="12.75" customHeight="1" s="150">
      <c r="C163" s="245" t="inlineStr">
        <is>
          <t>Other expenses</t>
        </is>
      </c>
      <c r="D163" s="254">
        <f>([4]Consolidated!D163)*(1/0.79941)</f>
        <v/>
      </c>
      <c r="E163" s="254">
        <f>([4]Consolidated!E163)*(1/0.79941)</f>
        <v/>
      </c>
      <c r="F163" s="254">
        <f>([4]Consolidated!F163)*(1/0.79941)</f>
        <v/>
      </c>
      <c r="G163" s="254">
        <f>([4]Consolidated!G163)*(1/0.79941)</f>
        <v/>
      </c>
      <c r="H163" s="254">
        <f>([4]Consolidated!H163)*(1/0.79941)</f>
        <v/>
      </c>
      <c r="I163" s="254">
        <f>([4]Consolidated!I163)*(1/0.79941)</f>
        <v/>
      </c>
      <c r="J163" s="256">
        <f>([4]Consolidated!J163)*(1/0.79941)</f>
        <v/>
      </c>
      <c r="K163" s="185" t="n"/>
      <c r="L163" s="256">
        <f>([4]Consolidated!L163)*(1/0.79941)</f>
        <v/>
      </c>
      <c r="M163" s="254">
        <f>([4]Consolidated!M163)*(1/0.79941)</f>
        <v/>
      </c>
      <c r="N163" s="249">
        <f>([4]Consolidated!N163)*(1/0.79941)</f>
        <v/>
      </c>
    </row>
    <row r="164" ht="13.5" customHeight="1" s="150">
      <c r="C164" s="250" t="inlineStr">
        <is>
          <t xml:space="preserve">Operating expenses </t>
        </is>
      </c>
      <c r="D164" s="258">
        <f>([4]Consolidated!D164)*(1/0.79941)</f>
        <v/>
      </c>
      <c r="E164" s="258">
        <f>([4]Consolidated!E164)*(1/0.79941)</f>
        <v/>
      </c>
      <c r="F164" s="258">
        <f>([4]Consolidated!F164)*(1/0.79941)</f>
        <v/>
      </c>
      <c r="G164" s="258">
        <f>([4]Consolidated!G164)*(1/0.79941)</f>
        <v/>
      </c>
      <c r="H164" s="258">
        <f>([4]Consolidated!H164)*(1/0.79941)</f>
        <v/>
      </c>
      <c r="I164" s="258">
        <f>([4]Consolidated!I164)*(1/0.79941)</f>
        <v/>
      </c>
      <c r="J164" s="253">
        <f>([4]Consolidated!J164)*(1/0.79941)</f>
        <v/>
      </c>
      <c r="K164" s="185" t="n"/>
      <c r="L164" s="253">
        <f>([4]Consolidated!L164)*(1/0.79941)</f>
        <v/>
      </c>
      <c r="M164" s="258">
        <f>([4]Consolidated!M164)*(1/0.79941)</f>
        <v/>
      </c>
      <c r="N164" s="253">
        <f>([4]Consolidated!N164)*(1/0.79941)</f>
        <v/>
      </c>
    </row>
    <row r="165" ht="12.75" customHeight="1" s="150">
      <c r="C165" s="245" t="n"/>
      <c r="D165" s="254">
        <f>0*(1/0.79941)</f>
        <v/>
      </c>
      <c r="E165" s="254">
        <f>0*(1/0.79941)</f>
        <v/>
      </c>
      <c r="F165" s="254">
        <f>0*(1/0.79941)</f>
        <v/>
      </c>
      <c r="G165" s="254">
        <f>0*(1/0.79941)</f>
        <v/>
      </c>
      <c r="H165" s="254">
        <f>0*(1/0.79941)</f>
        <v/>
      </c>
      <c r="I165" s="254">
        <f>0*(1/0.79941)</f>
        <v/>
      </c>
      <c r="J165" s="260">
        <f>0*(1/0.79941)</f>
        <v/>
      </c>
      <c r="K165" s="185" t="n"/>
      <c r="L165" s="256">
        <f>0*(1/0.79941)</f>
        <v/>
      </c>
      <c r="M165" s="254">
        <f>0*(1/0.79941)</f>
        <v/>
      </c>
      <c r="N165" s="260">
        <f>0*(1/0.79941)</f>
        <v/>
      </c>
    </row>
    <row r="166" ht="12.75" customHeight="1" s="150">
      <c r="C166" s="245" t="inlineStr">
        <is>
          <t>HR &amp; Comms</t>
        </is>
      </c>
      <c r="D166" s="254">
        <f>([4]Consolidated!D166)*(1/0.79941)</f>
        <v/>
      </c>
      <c r="E166" s="254">
        <f>([4]Consolidated!E166)*(1/0.79941)</f>
        <v/>
      </c>
      <c r="F166" s="254">
        <f>([4]Consolidated!F166)*(1/0.79941)</f>
        <v/>
      </c>
      <c r="G166" s="254">
        <f>([4]Consolidated!G166)*(1/0.79941)</f>
        <v/>
      </c>
      <c r="H166" s="254">
        <f>([4]Consolidated!H166)*(1/0.79941)</f>
        <v/>
      </c>
      <c r="I166" s="254">
        <f>([4]Consolidated!I166)*(1/0.79941)</f>
        <v/>
      </c>
      <c r="J166" s="256">
        <f>([4]Consolidated!J166)*(1/0.79941)</f>
        <v/>
      </c>
      <c r="K166" s="185" t="n"/>
      <c r="L166" s="256">
        <f>([4]Consolidated!L166)*(1/0.79941)</f>
        <v/>
      </c>
      <c r="M166" s="254">
        <f>([4]Consolidated!M166)*(1/0.79941)</f>
        <v/>
      </c>
      <c r="N166" s="249">
        <f>([4]Consolidated!N166)*(1/0.79941)</f>
        <v/>
      </c>
    </row>
    <row r="167" ht="12.75" customHeight="1" s="150">
      <c r="C167" s="245" t="inlineStr">
        <is>
          <t>Finance &amp; Business Support</t>
        </is>
      </c>
      <c r="D167" s="254">
        <f>([4]Consolidated!D167)*(1/0.79941)</f>
        <v/>
      </c>
      <c r="E167" s="254">
        <f>([4]Consolidated!E167)*(1/0.79941)</f>
        <v/>
      </c>
      <c r="F167" s="254">
        <f>([4]Consolidated!F167)*(1/0.79941)</f>
        <v/>
      </c>
      <c r="G167" s="254">
        <f>([4]Consolidated!G167)*(1/0.79941)</f>
        <v/>
      </c>
      <c r="H167" s="254">
        <f>([4]Consolidated!H167)*(1/0.79941)</f>
        <v/>
      </c>
      <c r="I167" s="254">
        <f>([4]Consolidated!I167)*(1/0.79941)</f>
        <v/>
      </c>
      <c r="J167" s="256">
        <f>([4]Consolidated!J167)*(1/0.79941)</f>
        <v/>
      </c>
      <c r="K167" s="185" t="n"/>
      <c r="L167" s="256">
        <f>([4]Consolidated!L167)*(1/0.79941)</f>
        <v/>
      </c>
      <c r="M167" s="254">
        <f>([4]Consolidated!M167)*(1/0.79941)</f>
        <v/>
      </c>
      <c r="N167" s="249">
        <f>([4]Consolidated!N167)*(1/0.79941)</f>
        <v/>
      </c>
    </row>
    <row r="168" ht="12.75" customHeight="1" s="150">
      <c r="C168" s="245" t="inlineStr">
        <is>
          <t>IT alloc</t>
        </is>
      </c>
      <c r="D168" s="254">
        <f>([4]Consolidated!D168)*(1/0.79941)</f>
        <v/>
      </c>
      <c r="E168" s="254">
        <f>([4]Consolidated!E168)*(1/0.79941)</f>
        <v/>
      </c>
      <c r="F168" s="254">
        <f>([4]Consolidated!F168)*(1/0.79941)</f>
        <v/>
      </c>
      <c r="G168" s="254">
        <f>([4]Consolidated!G168)*(1/0.79941)</f>
        <v/>
      </c>
      <c r="H168" s="254">
        <f>([4]Consolidated!H168)*(1/0.79941)</f>
        <v/>
      </c>
      <c r="I168" s="254">
        <f>([4]Consolidated!I168)*(1/0.79941)</f>
        <v/>
      </c>
      <c r="J168" s="256">
        <f>([4]Consolidated!J168)*(1/0.79941)</f>
        <v/>
      </c>
      <c r="K168" s="185" t="n"/>
      <c r="L168" s="256">
        <f>([4]Consolidated!L168)*(1/0.79941)</f>
        <v/>
      </c>
      <c r="M168" s="254">
        <f>([4]Consolidated!M168)*(1/0.79941)</f>
        <v/>
      </c>
      <c r="N168" s="249">
        <f>([4]Consolidated!N168)*(1/0.79941)</f>
        <v/>
      </c>
    </row>
    <row r="169" ht="12.75" customHeight="1" s="150">
      <c r="C169" s="245" t="inlineStr">
        <is>
          <t>Facilities Management</t>
        </is>
      </c>
      <c r="D169" s="254">
        <f>([4]Consolidated!D169)*(1/0.79941)</f>
        <v/>
      </c>
      <c r="E169" s="254">
        <f>([4]Consolidated!E169)*(1/0.79941)</f>
        <v/>
      </c>
      <c r="F169" s="254">
        <f>([4]Consolidated!F169)*(1/0.79941)</f>
        <v/>
      </c>
      <c r="G169" s="254">
        <f>([4]Consolidated!G169)*(1/0.79941)</f>
        <v/>
      </c>
      <c r="H169" s="254">
        <f>([4]Consolidated!H169)*(1/0.79941)</f>
        <v/>
      </c>
      <c r="I169" s="254">
        <f>([4]Consolidated!I169)*(1/0.79941)</f>
        <v/>
      </c>
      <c r="J169" s="256">
        <f>([4]Consolidated!J169)*(1/0.79941)</f>
        <v/>
      </c>
      <c r="K169" s="185" t="n"/>
      <c r="L169" s="256">
        <f>([4]Consolidated!L169)*(1/0.79941)</f>
        <v/>
      </c>
      <c r="M169" s="254">
        <f>([4]Consolidated!M169)*(1/0.79941)</f>
        <v/>
      </c>
      <c r="N169" s="249">
        <f>([4]Consolidated!N169)*(1/0.79941)</f>
        <v/>
      </c>
    </row>
    <row r="170" ht="13.5" customHeight="1" s="150">
      <c r="C170" s="250" t="inlineStr">
        <is>
          <t>Overheads</t>
        </is>
      </c>
      <c r="D170" s="258">
        <f>([4]Consolidated!D170)*(1/0.79941)</f>
        <v/>
      </c>
      <c r="E170" s="258">
        <f>([4]Consolidated!E170)*(1/0.79941)</f>
        <v/>
      </c>
      <c r="F170" s="258">
        <f>([4]Consolidated!F170)*(1/0.79941)</f>
        <v/>
      </c>
      <c r="G170" s="258">
        <f>([4]Consolidated!G170)*(1/0.79941)</f>
        <v/>
      </c>
      <c r="H170" s="258">
        <f>([4]Consolidated!H170)*(1/0.79941)</f>
        <v/>
      </c>
      <c r="I170" s="258">
        <f>([4]Consolidated!I170)*(1/0.79941)</f>
        <v/>
      </c>
      <c r="J170" s="253">
        <f>([4]Consolidated!J170)*(1/0.79941)</f>
        <v/>
      </c>
      <c r="K170" s="185" t="n"/>
      <c r="L170" s="253">
        <f>([4]Consolidated!L170)*(1/0.79941)</f>
        <v/>
      </c>
      <c r="M170" s="258">
        <f>([4]Consolidated!M170)*(1/0.79941)</f>
        <v/>
      </c>
      <c r="N170" s="253">
        <f>([4]Consolidated!N170)*(1/0.79941)</f>
        <v/>
      </c>
    </row>
    <row r="171" ht="12.75" customHeight="1" s="150">
      <c r="C171" s="245" t="n"/>
      <c r="D171" s="254">
        <f>0*(1/0.79941)</f>
        <v/>
      </c>
      <c r="E171" s="254">
        <f>0*(1/0.79941)</f>
        <v/>
      </c>
      <c r="F171" s="254">
        <f>0*(1/0.79941)</f>
        <v/>
      </c>
      <c r="G171" s="254">
        <f>0*(1/0.79941)</f>
        <v/>
      </c>
      <c r="H171" s="254">
        <f>0*(1/0.79941)</f>
        <v/>
      </c>
      <c r="I171" s="254">
        <f>0*(1/0.79941)</f>
        <v/>
      </c>
      <c r="J171" s="260">
        <f>0*(1/0.79941)</f>
        <v/>
      </c>
      <c r="K171" s="185" t="n"/>
      <c r="L171" s="256">
        <f>0*(1/0.79941)</f>
        <v/>
      </c>
      <c r="M171" s="254">
        <f>0*(1/0.79941)</f>
        <v/>
      </c>
      <c r="N171" s="260">
        <f>0*(1/0.79941)</f>
        <v/>
      </c>
    </row>
    <row r="172" ht="13.5" customHeight="1" s="150">
      <c r="C172" s="250" t="inlineStr">
        <is>
          <t>Total Operating Costs (incl. O/H)</t>
        </is>
      </c>
      <c r="D172" s="258">
        <f>([4]Consolidated!D172)*(1/0.79941)</f>
        <v/>
      </c>
      <c r="E172" s="258">
        <f>([4]Consolidated!E172)*(1/0.79941)</f>
        <v/>
      </c>
      <c r="F172" s="258">
        <f>([4]Consolidated!F172)*(1/0.79941)</f>
        <v/>
      </c>
      <c r="G172" s="258">
        <f>([4]Consolidated!G172)*(1/0.79941)</f>
        <v/>
      </c>
      <c r="H172" s="258">
        <f>([4]Consolidated!H172)*(1/0.79941)</f>
        <v/>
      </c>
      <c r="I172" s="258">
        <f>([4]Consolidated!I172)*(1/0.79941)</f>
        <v/>
      </c>
      <c r="J172" s="253">
        <f>([4]Consolidated!J172)*(1/0.79941)</f>
        <v/>
      </c>
      <c r="K172" s="185" t="n"/>
      <c r="L172" s="253">
        <f>([4]Consolidated!L172)*(1/0.79941)</f>
        <v/>
      </c>
      <c r="M172" s="258">
        <f>([4]Consolidated!M172)*(1/0.79941)</f>
        <v/>
      </c>
      <c r="N172" s="253">
        <f>([4]Consolidated!N172)*(1/0.79941)</f>
        <v/>
      </c>
    </row>
  </sheetData>
  <printOptions horizontalCentered="0" verticalCentered="0" headings="0" gridLines="0" gridLinesSet="1"/>
  <pageMargins left="0.747916666666667" right="0.747916666666667" top="0.9840277777777779" bottom="0.9840277777777779" header="0.511811023622047" footer="0.511811023622047"/>
  <pageSetup orientation="portrait" paperSize="9" scale="100" fitToHeight="1" fitToWidth="1" pageOrder="downThenOver" blackAndWhite="0" draft="0" horizontalDpi="300" verticalDpi="300" copies="1"/>
</worksheet>
</file>

<file path=xl/worksheets/sheet7.xml><?xml version="1.0" encoding="utf-8"?>
<worksheet xmlns="http://schemas.openxmlformats.org/spreadsheetml/2006/main">
  <sheetPr filterMode="0">
    <tabColor rgb="FF00FFFF"/>
    <outlinePr summaryBelow="1" summaryRight="1"/>
    <pageSetUpPr fitToPage="0"/>
  </sheetPr>
  <dimension ref="A1:Q172"/>
  <sheetViews>
    <sheetView showFormulas="0" showGridLines="1" showRowColHeaders="1" showZeros="1" rightToLeft="0" tabSelected="0" showOutlineSymbols="1" defaultGridColor="1" view="normal" topLeftCell="B1" colorId="64" zoomScale="100" zoomScaleNormal="100" zoomScalePageLayoutView="100" workbookViewId="0">
      <selection pane="topLeft" activeCell="C16" activeCellId="0" sqref="C16"/>
    </sheetView>
  </sheetViews>
  <sheetFormatPr baseColWidth="8" defaultColWidth="9.13671875" defaultRowHeight="12.75" customHeight="1" zeroHeight="0" outlineLevelRow="0"/>
  <cols>
    <col hidden="1" width="26.13" customWidth="1" style="158" min="1" max="1"/>
    <col width="6.28" customWidth="1" style="158" min="2" max="2"/>
    <col width="27.56" customWidth="1" style="149" min="3" max="3"/>
    <col width="11.99" customWidth="1" style="149" min="4" max="7"/>
    <col width="12.85" customWidth="1" style="149" min="8" max="8"/>
    <col width="14.41" customWidth="1" style="149" min="9" max="9"/>
    <col width="11.99" customWidth="1" style="159" min="10" max="10"/>
    <col width="3.28" customWidth="1" style="160" min="11" max="11"/>
    <col width="12.85" customWidth="1" style="149" min="12" max="12"/>
    <col width="14.41" customWidth="1" style="149" min="13" max="13"/>
    <col width="13.56" customWidth="1" style="149" min="14" max="14"/>
    <col width="9.140000000000001" customWidth="1" style="149" min="15" max="257"/>
  </cols>
  <sheetData>
    <row r="1" ht="33" customHeight="1" s="150">
      <c r="C1" s="161" t="inlineStr">
        <is>
          <t>Italy</t>
        </is>
      </c>
    </row>
    <row r="2" ht="48.75" customHeight="1" s="150">
      <c r="C2" s="162" t="inlineStr">
        <is>
          <t>TOTAL COSTS 
(US$ excl. VAT)</t>
        </is>
      </c>
      <c r="D2" s="163">
        <f>[5]Consolidated!D2</f>
        <v/>
      </c>
      <c r="E2" s="163">
        <f>[5]Consolidated!E2</f>
        <v/>
      </c>
      <c r="F2" s="163">
        <f>[5]Consolidated!F2</f>
        <v/>
      </c>
      <c r="G2" s="163">
        <f>[5]Consolidated!G2</f>
        <v/>
      </c>
      <c r="H2" s="163">
        <f>[5]Consolidated!H2</f>
        <v/>
      </c>
      <c r="I2" s="163">
        <f>[5]Consolidated!I2</f>
        <v/>
      </c>
      <c r="J2" s="164">
        <f>[5]Consolidated!J2</f>
        <v/>
      </c>
      <c r="K2" s="165" t="n"/>
      <c r="L2" s="163">
        <f>[5]Consolidated!L2</f>
        <v/>
      </c>
      <c r="M2" s="166">
        <f>[5]Consolidated!M2</f>
        <v/>
      </c>
      <c r="N2" s="163">
        <f>[5]Consolidated!N2</f>
        <v/>
      </c>
    </row>
    <row r="3" ht="12.75" customHeight="1" s="150">
      <c r="A3" s="158" t="n"/>
      <c r="B3" s="158" t="n"/>
      <c r="C3" s="167" t="inlineStr">
        <is>
          <t>Internal FTE</t>
        </is>
      </c>
      <c r="D3" s="168">
        <f>[5]Consolidated!D3</f>
        <v/>
      </c>
      <c r="E3" s="168">
        <f>[5]Consolidated!E3</f>
        <v/>
      </c>
      <c r="F3" s="168">
        <f>[5]Consolidated!F3</f>
        <v/>
      </c>
      <c r="G3" s="168">
        <f>[5]Consolidated!G3</f>
        <v/>
      </c>
      <c r="H3" s="168">
        <f>[5]Consolidated!H3</f>
        <v/>
      </c>
      <c r="I3" s="168">
        <f>[5]Consolidated!I3</f>
        <v/>
      </c>
      <c r="J3" s="286" t="n"/>
      <c r="K3" s="171" t="n"/>
      <c r="L3" s="175">
        <f>[5]Consolidated!L3</f>
        <v/>
      </c>
      <c r="M3" s="168">
        <f>[5]Consolidated!M3</f>
        <v/>
      </c>
      <c r="N3" s="173" t="n"/>
    </row>
    <row r="4" ht="12.75" customHeight="1" s="150">
      <c r="A4" s="158" t="n"/>
      <c r="B4" s="158" t="n"/>
      <c r="C4" s="167" t="inlineStr">
        <is>
          <t>External FTE</t>
        </is>
      </c>
      <c r="D4" s="168">
        <f>[5]Consolidated!D4</f>
        <v/>
      </c>
      <c r="E4" s="168">
        <f>[5]Consolidated!E4</f>
        <v/>
      </c>
      <c r="F4" s="168">
        <f>[5]Consolidated!F4</f>
        <v/>
      </c>
      <c r="G4" s="168">
        <f>[5]Consolidated!G4</f>
        <v/>
      </c>
      <c r="H4" s="168">
        <f>[5]Consolidated!H4</f>
        <v/>
      </c>
      <c r="I4" s="174">
        <f>[5]Consolidated!I4</f>
        <v/>
      </c>
      <c r="J4" s="170" t="n"/>
      <c r="K4" s="171" t="n"/>
      <c r="L4" s="175">
        <f>[5]Consolidated!L4</f>
        <v/>
      </c>
      <c r="M4" s="168">
        <f>[5]Consolidated!M4</f>
        <v/>
      </c>
      <c r="N4" s="173" t="n"/>
    </row>
    <row r="5" ht="13.5" customHeight="1" s="150">
      <c r="A5" s="176" t="n"/>
      <c r="B5" s="176" t="n"/>
      <c r="C5" s="177" t="inlineStr">
        <is>
          <t>Total FTE</t>
        </is>
      </c>
      <c r="D5" s="178">
        <f>[5]Consolidated!D5</f>
        <v/>
      </c>
      <c r="E5" s="178">
        <f>[5]Consolidated!E5</f>
        <v/>
      </c>
      <c r="F5" s="178">
        <f>[5]Consolidated!F5</f>
        <v/>
      </c>
      <c r="G5" s="178">
        <f>[5]Consolidated!G5</f>
        <v/>
      </c>
      <c r="H5" s="178">
        <f>[5]Consolidated!H5</f>
        <v/>
      </c>
      <c r="I5" s="179">
        <f>[5]Consolidated!I5</f>
        <v/>
      </c>
      <c r="J5" s="179" t="n"/>
      <c r="K5" s="171" t="n"/>
      <c r="L5" s="180">
        <f>[5]Consolidated!L5</f>
        <v/>
      </c>
      <c r="M5" s="178">
        <f>[5]Consolidated!M5</f>
        <v/>
      </c>
      <c r="N5" s="181" t="n"/>
    </row>
    <row r="6" ht="12.75" customHeight="1" s="150">
      <c r="A6" s="158" t="n"/>
      <c r="B6" s="158" t="n"/>
      <c r="C6" s="167" t="n"/>
      <c r="D6" s="182" t="n"/>
      <c r="E6" s="182" t="n"/>
      <c r="F6" s="182" t="n"/>
      <c r="G6" s="182" t="n"/>
      <c r="H6" s="182" t="n"/>
      <c r="I6" s="183" t="n"/>
      <c r="J6" s="184" t="n"/>
      <c r="K6" s="185" t="n"/>
      <c r="L6" s="186" t="n"/>
      <c r="M6" s="182" t="n"/>
      <c r="N6" s="173" t="n"/>
    </row>
    <row r="7" ht="12.75" customHeight="1" s="150">
      <c r="A7" s="158" t="n"/>
      <c r="B7" s="158" t="n"/>
      <c r="C7" s="167" t="inlineStr">
        <is>
          <t>Salaries</t>
        </is>
      </c>
      <c r="D7" s="182">
        <f>([5]Consolidated!D7)*(1/0.79941)</f>
        <v/>
      </c>
      <c r="E7" s="182">
        <f>([5]Consolidated!E7)*(1/0.79941)</f>
        <v/>
      </c>
      <c r="F7" s="182">
        <f>([5]Consolidated!F7)*(1/0.79941)</f>
        <v/>
      </c>
      <c r="G7" s="182">
        <f>([5]Consolidated!G7)*(1/0.79941)</f>
        <v/>
      </c>
      <c r="H7" s="182">
        <f>([5]Consolidated!H7)*(1/0.79941)</f>
        <v/>
      </c>
      <c r="I7" s="183">
        <f>([5]Consolidated!I7)*(1/0.79941)</f>
        <v/>
      </c>
      <c r="J7" s="183">
        <f>([5]Consolidated!J7)*(1/0.79941)</f>
        <v/>
      </c>
      <c r="K7" s="185" t="n"/>
      <c r="L7" s="186">
        <f>([5]Consolidated!L7)*(1/0.79941)</f>
        <v/>
      </c>
      <c r="M7" s="182">
        <f>([5]Consolidated!M7)*(1/0.79941)</f>
        <v/>
      </c>
      <c r="N7" s="173">
        <f>([5]Consolidated!N7)*(1/0.79941)</f>
        <v/>
      </c>
      <c r="P7" s="149" t="n">
        <v>1000</v>
      </c>
    </row>
    <row r="8" ht="12.75" customHeight="1" s="150">
      <c r="A8" s="158" t="n"/>
      <c r="B8" s="158" t="n"/>
      <c r="C8" s="167" t="inlineStr">
        <is>
          <t>Bonuses</t>
        </is>
      </c>
      <c r="D8" s="182">
        <f>([5]Consolidated!D8)*(1/0.79941)</f>
        <v/>
      </c>
      <c r="E8" s="182">
        <f>([5]Consolidated!E8)*(1/0.79941)</f>
        <v/>
      </c>
      <c r="F8" s="182">
        <f>([5]Consolidated!F8)*(1/0.79941)</f>
        <v/>
      </c>
      <c r="G8" s="182">
        <f>([5]Consolidated!G8)*(1/0.79941)</f>
        <v/>
      </c>
      <c r="H8" s="182">
        <f>([5]Consolidated!H8)*(1/0.79941)</f>
        <v/>
      </c>
      <c r="I8" s="183">
        <f>([5]Consolidated!I8)*(1/0.79941)</f>
        <v/>
      </c>
      <c r="J8" s="183">
        <f>([5]Consolidated!J8)*(1/0.79941)</f>
        <v/>
      </c>
      <c r="K8" s="185" t="n"/>
      <c r="L8" s="186">
        <f>([5]Consolidated!L8)*(1/0.79941)</f>
        <v/>
      </c>
      <c r="M8" s="182">
        <f>([5]Consolidated!M8)*(1/0.79941)</f>
        <v/>
      </c>
      <c r="N8" s="173">
        <f>([5]Consolidated!N8)*(1/0.79941)</f>
        <v/>
      </c>
      <c r="P8" s="149">
        <f>1/0.79941</f>
        <v/>
      </c>
      <c r="Q8" s="149" t="inlineStr">
        <is>
          <t>Euro to Dollar Rate</t>
        </is>
      </c>
    </row>
    <row r="9" ht="12.75" customHeight="1" s="150">
      <c r="A9" s="158" t="n"/>
      <c r="B9" s="158" t="n"/>
      <c r="C9" s="167" t="inlineStr">
        <is>
          <t>Third party staff, ex IT</t>
        </is>
      </c>
      <c r="D9" s="182">
        <f>([5]Consolidated!D9)*(1/0.79941)</f>
        <v/>
      </c>
      <c r="E9" s="182">
        <f>([5]Consolidated!E9)*(1/0.79941)</f>
        <v/>
      </c>
      <c r="F9" s="182">
        <f>([5]Consolidated!F9)*(1/0.79941)</f>
        <v/>
      </c>
      <c r="G9" s="182">
        <f>([5]Consolidated!G9)*(1/0.79941)</f>
        <v/>
      </c>
      <c r="H9" s="182">
        <f>([5]Consolidated!H9)*(1/0.79941)</f>
        <v/>
      </c>
      <c r="I9" s="183">
        <f>([5]Consolidated!I9)*(1/0.79941)</f>
        <v/>
      </c>
      <c r="J9" s="183">
        <f>([5]Consolidated!J9)*(1/0.79941)</f>
        <v/>
      </c>
      <c r="K9" s="185" t="n"/>
      <c r="L9" s="186">
        <f>([5]Consolidated!L9)*(1/0.79941)</f>
        <v/>
      </c>
      <c r="M9" s="182">
        <f>([5]Consolidated!M9)*(1/0.79941)</f>
        <v/>
      </c>
      <c r="N9" s="173">
        <f>([5]Consolidated!N9)*(1/0.79941)</f>
        <v/>
      </c>
    </row>
    <row r="10" ht="12.75" customHeight="1" s="150">
      <c r="A10" s="158" t="n"/>
      <c r="B10" s="158" t="n"/>
      <c r="C10" s="167" t="inlineStr">
        <is>
          <t>Third party IT staff</t>
        </is>
      </c>
      <c r="D10" s="182">
        <f>([5]Consolidated!D10)*(1/0.79941)</f>
        <v/>
      </c>
      <c r="E10" s="182">
        <f>([5]Consolidated!E10)*(1/0.79941)</f>
        <v/>
      </c>
      <c r="F10" s="182">
        <f>([5]Consolidated!F10)*(1/0.79941)</f>
        <v/>
      </c>
      <c r="G10" s="182">
        <f>([5]Consolidated!G10)*(1/0.79941)</f>
        <v/>
      </c>
      <c r="H10" s="182">
        <f>([5]Consolidated!H10)*(1/0.79941)</f>
        <v/>
      </c>
      <c r="I10" s="183">
        <f>([5]Consolidated!I10)*(1/0.79941)</f>
        <v/>
      </c>
      <c r="J10" s="183">
        <f>([5]Consolidated!J10)*(1/0.79941)</f>
        <v/>
      </c>
      <c r="K10" s="185" t="n"/>
      <c r="L10" s="186">
        <f>([5]Consolidated!L10)*(1/0.79941)</f>
        <v/>
      </c>
      <c r="M10" s="182">
        <f>([5]Consolidated!M10)*(1/0.79941)</f>
        <v/>
      </c>
      <c r="N10" s="173">
        <f>([5]Consolidated!N10)*(1/0.79941)</f>
        <v/>
      </c>
    </row>
    <row r="11" ht="12.75" customHeight="1" s="150">
      <c r="A11" s="158" t="n"/>
      <c r="B11" s="158" t="n"/>
      <c r="C11" s="167" t="inlineStr">
        <is>
          <t>Employee education</t>
        </is>
      </c>
      <c r="D11" s="182">
        <f>([5]Consolidated!D11)*(1/0.79941)</f>
        <v/>
      </c>
      <c r="E11" s="182">
        <f>([5]Consolidated!E11)*(1/0.79941)</f>
        <v/>
      </c>
      <c r="F11" s="182">
        <f>([5]Consolidated!F11)*(1/0.79941)</f>
        <v/>
      </c>
      <c r="G11" s="182">
        <f>([5]Consolidated!G11)*(1/0.79941)</f>
        <v/>
      </c>
      <c r="H11" s="182">
        <f>([5]Consolidated!H11)*(1/0.79941)</f>
        <v/>
      </c>
      <c r="I11" s="183">
        <f>([5]Consolidated!I11)*(1/0.79941)</f>
        <v/>
      </c>
      <c r="J11" s="183">
        <f>([5]Consolidated!J11)*(1/0.79941)</f>
        <v/>
      </c>
      <c r="K11" s="185" t="n"/>
      <c r="L11" s="186">
        <f>([5]Consolidated!L11)*(1/0.79941)</f>
        <v/>
      </c>
      <c r="M11" s="182">
        <f>([5]Consolidated!M11)*(1/0.79941)</f>
        <v/>
      </c>
      <c r="N11" s="173">
        <f>([5]Consolidated!N11)*(1/0.79941)</f>
        <v/>
      </c>
    </row>
    <row r="12" ht="12.75" customHeight="1" s="150">
      <c r="A12" s="158" t="n"/>
      <c r="B12" s="158" t="n"/>
      <c r="C12" s="167" t="inlineStr">
        <is>
          <t>Other staff expenses</t>
        </is>
      </c>
      <c r="D12" s="182">
        <f>([5]Consolidated!D12)*(1/0.79941)</f>
        <v/>
      </c>
      <c r="E12" s="182">
        <f>([5]Consolidated!E12)*(1/0.79941)</f>
        <v/>
      </c>
      <c r="F12" s="182">
        <f>([5]Consolidated!F12)*(1/0.79941)</f>
        <v/>
      </c>
      <c r="G12" s="182">
        <f>([5]Consolidated!G12)*(1/0.79941)</f>
        <v/>
      </c>
      <c r="H12" s="182">
        <f>([5]Consolidated!H12)*(1/0.79941)</f>
        <v/>
      </c>
      <c r="I12" s="187">
        <f>([5]Consolidated!I12)*(1/0.79941)</f>
        <v/>
      </c>
      <c r="J12" s="187">
        <f>([5]Consolidated!J12)*(1/0.79941)</f>
        <v/>
      </c>
      <c r="K12" s="185" t="n"/>
      <c r="L12" s="186">
        <f>([5]Consolidated!L12)*(1/0.79941)</f>
        <v/>
      </c>
      <c r="M12" s="182">
        <f>([5]Consolidated!M12)*(1/0.79941)</f>
        <v/>
      </c>
      <c r="N12" s="173">
        <f>([5]Consolidated!N12)*(1/0.79941)</f>
        <v/>
      </c>
    </row>
    <row r="13" ht="13.5" customHeight="1" s="150">
      <c r="A13" s="176" t="n"/>
      <c r="B13" s="176" t="n"/>
      <c r="C13" s="177" t="inlineStr">
        <is>
          <t>Staff expenses</t>
        </is>
      </c>
      <c r="D13" s="188">
        <f>([5]Consolidated!D13)*(1/0.79941)</f>
        <v/>
      </c>
      <c r="E13" s="188">
        <f>([5]Consolidated!E13)*(1/0.79941)</f>
        <v/>
      </c>
      <c r="F13" s="188">
        <f>([5]Consolidated!F13)*(1/0.79941)</f>
        <v/>
      </c>
      <c r="G13" s="188">
        <f>([5]Consolidated!G13)*(1/0.79941)</f>
        <v/>
      </c>
      <c r="H13" s="188">
        <f>([5]Consolidated!H13)*(1/0.79941)</f>
        <v/>
      </c>
      <c r="I13" s="189">
        <f>([5]Consolidated!I13)*(1/0.79941)</f>
        <v/>
      </c>
      <c r="J13" s="189">
        <f>([5]Consolidated!J13)*(1/0.79941)</f>
        <v/>
      </c>
      <c r="K13" s="185" t="n"/>
      <c r="L13" s="181">
        <f>([5]Consolidated!L13)*(1/0.79941)</f>
        <v/>
      </c>
      <c r="M13" s="188">
        <f>([5]Consolidated!M13)*(1/0.79941)</f>
        <v/>
      </c>
      <c r="N13" s="181">
        <f>([5]Consolidated!N13)*(1/0.79941)</f>
        <v/>
      </c>
    </row>
    <row r="14" ht="12.75" customHeight="1" s="150">
      <c r="A14" s="158" t="n"/>
      <c r="B14" s="158" t="n"/>
      <c r="C14" s="167" t="inlineStr">
        <is>
          <t>Hardware expenses</t>
        </is>
      </c>
      <c r="D14" s="182">
        <f>([5]Consolidated!D14)*(1/0.79941)</f>
        <v/>
      </c>
      <c r="E14" s="182">
        <f>([5]Consolidated!E14)*(1/0.79941)</f>
        <v/>
      </c>
      <c r="F14" s="182">
        <f>([5]Consolidated!F14)*(1/0.79941)</f>
        <v/>
      </c>
      <c r="G14" s="182">
        <f>([5]Consolidated!G14)*(1/0.79941)</f>
        <v/>
      </c>
      <c r="H14" s="182">
        <f>([5]Consolidated!H14)*(1/0.79941)</f>
        <v/>
      </c>
      <c r="I14" s="183">
        <f>([5]Consolidated!I14)*(1/0.79941)</f>
        <v/>
      </c>
      <c r="J14" s="183">
        <f>([5]Consolidated!J14)*(1/0.79941)</f>
        <v/>
      </c>
      <c r="K14" s="185" t="n"/>
      <c r="L14" s="186">
        <f>([5]Consolidated!L14)*(1/0.79941)</f>
        <v/>
      </c>
      <c r="M14" s="182">
        <f>([5]Consolidated!M14)*(1/0.79941)</f>
        <v/>
      </c>
      <c r="N14" s="173">
        <f>([5]Consolidated!N14)*(1/0.79941)</f>
        <v/>
      </c>
    </row>
    <row r="15" ht="12.75" customHeight="1" s="150">
      <c r="A15" s="158" t="n"/>
      <c r="B15" s="158" t="n"/>
      <c r="C15" s="167" t="inlineStr">
        <is>
          <t>Leasing/renting hardware</t>
        </is>
      </c>
      <c r="D15" s="182">
        <f>([5]Consolidated!D15)*(1/0.79941)</f>
        <v/>
      </c>
      <c r="E15" s="182">
        <f>([5]Consolidated!E15)*(1/0.79941)</f>
        <v/>
      </c>
      <c r="F15" s="182">
        <f>([5]Consolidated!F15)*(1/0.79941)</f>
        <v/>
      </c>
      <c r="G15" s="182">
        <f>([5]Consolidated!G15)*(1/0.79941)</f>
        <v/>
      </c>
      <c r="H15" s="182">
        <f>([5]Consolidated!H15)*(1/0.79941)</f>
        <v/>
      </c>
      <c r="I15" s="183">
        <f>([5]Consolidated!I15)*(1/0.79941)</f>
        <v/>
      </c>
      <c r="J15" s="183">
        <f>([5]Consolidated!J15)*(1/0.79941)</f>
        <v/>
      </c>
      <c r="K15" s="185" t="n"/>
      <c r="L15" s="186">
        <f>([5]Consolidated!L15)*(1/0.79941)</f>
        <v/>
      </c>
      <c r="M15" s="182">
        <f>([5]Consolidated!M15)*(1/0.79941)</f>
        <v/>
      </c>
      <c r="N15" s="173">
        <f>([5]Consolidated!N15)*(1/0.79941)</f>
        <v/>
      </c>
    </row>
    <row r="16" ht="12.75" customHeight="1" s="150">
      <c r="A16" s="158" t="n"/>
      <c r="B16" s="158" t="n"/>
      <c r="C16" s="167" t="inlineStr">
        <is>
          <t>Software expenses</t>
        </is>
      </c>
      <c r="D16" s="182">
        <f>([5]Consolidated!D16)*(1/0.79941)</f>
        <v/>
      </c>
      <c r="E16" s="182">
        <f>([5]Consolidated!E16)*(1/0.79941)</f>
        <v/>
      </c>
      <c r="F16" s="182">
        <f>([5]Consolidated!F16)*(1/0.79941)</f>
        <v/>
      </c>
      <c r="G16" s="182">
        <f>([5]Consolidated!G16)*(1/0.79941)</f>
        <v/>
      </c>
      <c r="H16" s="182">
        <f>([5]Consolidated!H16)*(1/0.79941)</f>
        <v/>
      </c>
      <c r="I16" s="183">
        <f>([5]Consolidated!I16)*(1/0.79941)</f>
        <v/>
      </c>
      <c r="J16" s="183">
        <f>([5]Consolidated!J16)*(1/0.79941)</f>
        <v/>
      </c>
      <c r="K16" s="185" t="n"/>
      <c r="L16" s="186">
        <f>([5]Consolidated!L16)*(1/0.79941)</f>
        <v/>
      </c>
      <c r="M16" s="182">
        <f>([5]Consolidated!M16)*(1/0.79941)</f>
        <v/>
      </c>
      <c r="N16" s="173">
        <f>([5]Consolidated!N16)*(1/0.79941)</f>
        <v/>
      </c>
    </row>
    <row r="17" ht="12.75" customHeight="1" s="150">
      <c r="A17" s="158" t="n"/>
      <c r="B17" s="158" t="n"/>
      <c r="C17" s="167" t="inlineStr">
        <is>
          <t>Leasing/renting/licenses sw</t>
        </is>
      </c>
      <c r="D17" s="182">
        <f>([5]Consolidated!D17)*(1/0.79941)</f>
        <v/>
      </c>
      <c r="E17" s="182">
        <f>([5]Consolidated!E17)*(1/0.79941)</f>
        <v/>
      </c>
      <c r="F17" s="182">
        <f>([5]Consolidated!F17)*(1/0.79941)</f>
        <v/>
      </c>
      <c r="G17" s="182">
        <f>([5]Consolidated!G17)*(1/0.79941)</f>
        <v/>
      </c>
      <c r="H17" s="182">
        <f>([5]Consolidated!H17)*(1/0.79941)</f>
        <v/>
      </c>
      <c r="I17" s="183">
        <f>([5]Consolidated!I17)*(1/0.79941)</f>
        <v/>
      </c>
      <c r="J17" s="183">
        <f>([5]Consolidated!J17)*(1/0.79941)</f>
        <v/>
      </c>
      <c r="K17" s="185" t="n"/>
      <c r="L17" s="186">
        <f>([5]Consolidated!L17)*(1/0.79941)</f>
        <v/>
      </c>
      <c r="M17" s="182">
        <f>([5]Consolidated!M17)*(1/0.79941)</f>
        <v/>
      </c>
      <c r="N17" s="173">
        <f>([5]Consolidated!N17)*(1/0.79941)</f>
        <v/>
      </c>
    </row>
    <row r="18" ht="12.75" customHeight="1" s="150">
      <c r="A18" s="158" t="n"/>
      <c r="B18" s="158" t="n"/>
      <c r="C18" s="167" t="inlineStr">
        <is>
          <t>Depreciation hardware</t>
        </is>
      </c>
      <c r="D18" s="182">
        <f>([5]Consolidated!D18)*(1/0.79941)</f>
        <v/>
      </c>
      <c r="E18" s="182">
        <f>([5]Consolidated!E18)*(1/0.79941)</f>
        <v/>
      </c>
      <c r="F18" s="182">
        <f>([5]Consolidated!F18)*(1/0.79941)</f>
        <v/>
      </c>
      <c r="G18" s="182">
        <f>([5]Consolidated!G18)*(1/0.79941)</f>
        <v/>
      </c>
      <c r="H18" s="182">
        <f>([5]Consolidated!H18)*(1/0.79941)</f>
        <v/>
      </c>
      <c r="I18" s="183">
        <f>([5]Consolidated!I18)*(1/0.79941)</f>
        <v/>
      </c>
      <c r="J18" s="183">
        <f>([5]Consolidated!J18)*(1/0.79941)</f>
        <v/>
      </c>
      <c r="K18" s="185" t="n"/>
      <c r="L18" s="186">
        <f>([5]Consolidated!L18)*(1/0.79941)</f>
        <v/>
      </c>
      <c r="M18" s="182">
        <f>([5]Consolidated!M18)*(1/0.79941)</f>
        <v/>
      </c>
      <c r="N18" s="173">
        <f>([5]Consolidated!N18)*(1/0.79941)</f>
        <v/>
      </c>
    </row>
    <row r="19" ht="12.75" customHeight="1" s="150">
      <c r="A19" s="158" t="n"/>
      <c r="B19" s="158" t="n"/>
      <c r="C19" s="167" t="inlineStr">
        <is>
          <t>Depreciation software</t>
        </is>
      </c>
      <c r="D19" s="182">
        <f>([5]Consolidated!D19)*(1/0.79941)</f>
        <v/>
      </c>
      <c r="E19" s="182">
        <f>([5]Consolidated!E19)*(1/0.79941)</f>
        <v/>
      </c>
      <c r="F19" s="182">
        <f>([5]Consolidated!F19)*(1/0.79941)</f>
        <v/>
      </c>
      <c r="G19" s="182">
        <f>([5]Consolidated!G19)*(1/0.79941)</f>
        <v/>
      </c>
      <c r="H19" s="182">
        <f>([5]Consolidated!H19)*(1/0.79941)</f>
        <v/>
      </c>
      <c r="I19" s="183">
        <f>([5]Consolidated!I19)*(1/0.79941)</f>
        <v/>
      </c>
      <c r="J19" s="183">
        <f>([5]Consolidated!J19)*(1/0.79941)</f>
        <v/>
      </c>
      <c r="K19" s="185" t="n"/>
      <c r="L19" s="186">
        <f>([5]Consolidated!L19)*(1/0.79941)</f>
        <v/>
      </c>
      <c r="M19" s="182">
        <f>([5]Consolidated!M19)*(1/0.79941)</f>
        <v/>
      </c>
      <c r="N19" s="173">
        <f>([5]Consolidated!N19)*(1/0.79941)</f>
        <v/>
      </c>
    </row>
    <row r="20" ht="12.75" customHeight="1" s="150">
      <c r="A20" s="158" t="n"/>
      <c r="B20" s="158" t="n"/>
      <c r="C20" s="167" t="inlineStr">
        <is>
          <t>Outsourcing IT activities</t>
        </is>
      </c>
      <c r="D20" s="182">
        <f>([5]Consolidated!D20)*(1/0.79941)</f>
        <v/>
      </c>
      <c r="E20" s="182">
        <f>([5]Consolidated!E20)*(1/0.79941)</f>
        <v/>
      </c>
      <c r="F20" s="182">
        <f>([5]Consolidated!F20)*(1/0.79941)</f>
        <v/>
      </c>
      <c r="G20" s="182">
        <f>([5]Consolidated!G20)*(1/0.79941)</f>
        <v/>
      </c>
      <c r="H20" s="182">
        <f>([5]Consolidated!H20)*(1/0.79941)</f>
        <v/>
      </c>
      <c r="I20" s="183">
        <f>([5]Consolidated!I20)*(1/0.79941)</f>
        <v/>
      </c>
      <c r="J20" s="183">
        <f>([5]Consolidated!J20)*(1/0.79941)</f>
        <v/>
      </c>
      <c r="K20" s="185" t="n"/>
      <c r="L20" s="186">
        <f>([5]Consolidated!L20)*(1/0.79941)</f>
        <v/>
      </c>
      <c r="M20" s="182">
        <f>([5]Consolidated!M20)*(1/0.79941)</f>
        <v/>
      </c>
      <c r="N20" s="173">
        <f>([5]Consolidated!N20)*(1/0.79941)</f>
        <v/>
      </c>
    </row>
    <row r="21" ht="12.75" customHeight="1" s="150">
      <c r="A21" s="158" t="n"/>
      <c r="B21" s="158" t="n"/>
      <c r="C21" s="167" t="inlineStr">
        <is>
          <t>Other IT expenses</t>
        </is>
      </c>
      <c r="D21" s="182">
        <f>([5]Consolidated!D21)*(1/0.79941)</f>
        <v/>
      </c>
      <c r="E21" s="182">
        <f>([5]Consolidated!E21)*(1/0.79941)</f>
        <v/>
      </c>
      <c r="F21" s="182">
        <f>([5]Consolidated!F21)*(1/0.79941)</f>
        <v/>
      </c>
      <c r="G21" s="182">
        <f>([5]Consolidated!G21)*(1/0.79941)</f>
        <v/>
      </c>
      <c r="H21" s="182">
        <f>([5]Consolidated!H21)*(1/0.79941)</f>
        <v/>
      </c>
      <c r="I21" s="183">
        <f>([5]Consolidated!I21)*(1/0.79941)</f>
        <v/>
      </c>
      <c r="J21" s="183">
        <f>([5]Consolidated!J21)*(1/0.79941)</f>
        <v/>
      </c>
      <c r="K21" s="185" t="n"/>
      <c r="L21" s="186">
        <f>([5]Consolidated!L21)*(1/0.79941)</f>
        <v/>
      </c>
      <c r="M21" s="182">
        <f>([5]Consolidated!M21)*(1/0.79941)</f>
        <v/>
      </c>
      <c r="N21" s="173">
        <f>([5]Consolidated!N21)*(1/0.79941)</f>
        <v/>
      </c>
    </row>
    <row r="22" ht="13.5" customHeight="1" s="150">
      <c r="A22" s="176" t="n"/>
      <c r="B22" s="176" t="n"/>
      <c r="C22" s="177" t="inlineStr">
        <is>
          <t>EDP expenses</t>
        </is>
      </c>
      <c r="D22" s="188">
        <f>([5]Consolidated!D22)*(1/0.79941)</f>
        <v/>
      </c>
      <c r="E22" s="188">
        <f>([5]Consolidated!E22)*(1/0.79941)</f>
        <v/>
      </c>
      <c r="F22" s="188">
        <f>([5]Consolidated!F22)*(1/0.79941)</f>
        <v/>
      </c>
      <c r="G22" s="188">
        <f>([5]Consolidated!G22)*(1/0.79941)</f>
        <v/>
      </c>
      <c r="H22" s="188">
        <f>([5]Consolidated!H22)*(1/0.79941)</f>
        <v/>
      </c>
      <c r="I22" s="189">
        <f>([5]Consolidated!I22)*(1/0.79941)</f>
        <v/>
      </c>
      <c r="J22" s="189">
        <f>([5]Consolidated!J22)*(1/0.79941)</f>
        <v/>
      </c>
      <c r="K22" s="185" t="n"/>
      <c r="L22" s="181">
        <f>([5]Consolidated!L22)*(1/0.79941)</f>
        <v/>
      </c>
      <c r="M22" s="188">
        <f>([5]Consolidated!M22)*(1/0.79941)</f>
        <v/>
      </c>
      <c r="N22" s="181">
        <f>([5]Consolidated!N22)*(1/0.79941)</f>
        <v/>
      </c>
    </row>
    <row r="23" ht="12.75" customHeight="1" s="150">
      <c r="A23" s="158" t="n"/>
      <c r="B23" s="158" t="n"/>
      <c r="C23" s="167" t="inlineStr">
        <is>
          <t>Telecom expenses</t>
        </is>
      </c>
      <c r="D23" s="182">
        <f>([5]Consolidated!D23)*(1/0.79941)</f>
        <v/>
      </c>
      <c r="E23" s="182">
        <f>([5]Consolidated!E23)*(1/0.79941)</f>
        <v/>
      </c>
      <c r="F23" s="182">
        <f>([5]Consolidated!F23)*(1/0.79941)</f>
        <v/>
      </c>
      <c r="G23" s="182">
        <f>([5]Consolidated!G23)*(1/0.79941)</f>
        <v/>
      </c>
      <c r="H23" s="182">
        <f>([5]Consolidated!H23)*(1/0.79941)</f>
        <v/>
      </c>
      <c r="I23" s="183">
        <f>([5]Consolidated!I23)*(1/0.79941)</f>
        <v/>
      </c>
      <c r="J23" s="183">
        <f>([5]Consolidated!J23)*(1/0.79941)</f>
        <v/>
      </c>
      <c r="K23" s="185" t="n"/>
      <c r="L23" s="186">
        <f>([5]Consolidated!L23)*(1/0.79941)</f>
        <v/>
      </c>
      <c r="M23" s="182">
        <f>([5]Consolidated!M23)*(1/0.79941)</f>
        <v/>
      </c>
      <c r="N23" s="173">
        <f>([5]Consolidated!N23)*(1/0.79941)</f>
        <v/>
      </c>
    </row>
    <row r="24" ht="12.75" customHeight="1" s="150">
      <c r="A24" s="158" t="n"/>
      <c r="B24" s="158" t="n"/>
      <c r="C24" s="167" t="inlineStr">
        <is>
          <t>Office equipment and supplies</t>
        </is>
      </c>
      <c r="D24" s="182">
        <f>([5]Consolidated!D24)*(1/0.79941)</f>
        <v/>
      </c>
      <c r="E24" s="182">
        <f>([5]Consolidated!E24)*(1/0.79941)</f>
        <v/>
      </c>
      <c r="F24" s="182">
        <f>([5]Consolidated!F24)*(1/0.79941)</f>
        <v/>
      </c>
      <c r="G24" s="182">
        <f>([5]Consolidated!G24)*(1/0.79941)</f>
        <v/>
      </c>
      <c r="H24" s="182">
        <f>([5]Consolidated!H24)*(1/0.79941)</f>
        <v/>
      </c>
      <c r="I24" s="183">
        <f>([5]Consolidated!I24)*(1/0.79941)</f>
        <v/>
      </c>
      <c r="J24" s="183">
        <f>([5]Consolidated!J24)*(1/0.79941)</f>
        <v/>
      </c>
      <c r="K24" s="185" t="n"/>
      <c r="L24" s="186">
        <f>([5]Consolidated!L24)*(1/0.79941)</f>
        <v/>
      </c>
      <c r="M24" s="182">
        <f>([5]Consolidated!M24)*(1/0.79941)</f>
        <v/>
      </c>
      <c r="N24" s="173">
        <f>([5]Consolidated!N24)*(1/0.79941)</f>
        <v/>
      </c>
    </row>
    <row r="25" ht="12.75" customHeight="1" s="150">
      <c r="A25" s="158" t="n"/>
      <c r="B25" s="158" t="n"/>
      <c r="C25" s="167" t="inlineStr">
        <is>
          <t>Accomodation expenses</t>
        </is>
      </c>
      <c r="D25" s="182">
        <f>([5]Consolidated!D25)*(1/0.79941)</f>
        <v/>
      </c>
      <c r="E25" s="182">
        <f>([5]Consolidated!E25)*(1/0.79941)</f>
        <v/>
      </c>
      <c r="F25" s="182">
        <f>([5]Consolidated!F25)*(1/0.79941)</f>
        <v/>
      </c>
      <c r="G25" s="182">
        <f>([5]Consolidated!G25)*(1/0.79941)</f>
        <v/>
      </c>
      <c r="H25" s="182">
        <f>([5]Consolidated!H25)*(1/0.79941)</f>
        <v/>
      </c>
      <c r="I25" s="183">
        <f>([5]Consolidated!I25)*(1/0.79941)</f>
        <v/>
      </c>
      <c r="J25" s="183">
        <f>([5]Consolidated!J25)*(1/0.79941)</f>
        <v/>
      </c>
      <c r="K25" s="185" t="n"/>
      <c r="L25" s="186">
        <f>([5]Consolidated!L25)*(1/0.79941)</f>
        <v/>
      </c>
      <c r="M25" s="182">
        <f>([5]Consolidated!M25)*(1/0.79941)</f>
        <v/>
      </c>
      <c r="N25" s="173">
        <f>([5]Consolidated!N25)*(1/0.79941)</f>
        <v/>
      </c>
    </row>
    <row r="26" ht="12.75" customHeight="1" s="150">
      <c r="A26" s="158" t="n"/>
      <c r="B26" s="158" t="n"/>
      <c r="C26" s="167" t="inlineStr">
        <is>
          <t>Travel costs</t>
        </is>
      </c>
      <c r="D26" s="182">
        <f>([5]Consolidated!D26)*(1/0.79941)</f>
        <v/>
      </c>
      <c r="E26" s="182">
        <f>([5]Consolidated!E26)*(1/0.79941)</f>
        <v/>
      </c>
      <c r="F26" s="182">
        <f>([5]Consolidated!F26)*(1/0.79941)</f>
        <v/>
      </c>
      <c r="G26" s="182">
        <f>([5]Consolidated!G26)*(1/0.79941)</f>
        <v/>
      </c>
      <c r="H26" s="182">
        <f>([5]Consolidated!H26)*(1/0.79941)</f>
        <v/>
      </c>
      <c r="I26" s="183">
        <f>([5]Consolidated!I26)*(1/0.79941)</f>
        <v/>
      </c>
      <c r="J26" s="183">
        <f>([5]Consolidated!J26)*(1/0.79941)</f>
        <v/>
      </c>
      <c r="K26" s="185" t="n"/>
      <c r="L26" s="186">
        <f>([5]Consolidated!L26)*(1/0.79941)</f>
        <v/>
      </c>
      <c r="M26" s="182">
        <f>([5]Consolidated!M26)*(1/0.79941)</f>
        <v/>
      </c>
      <c r="N26" s="173">
        <f>([5]Consolidated!N26)*(1/0.79941)</f>
        <v/>
      </c>
    </row>
    <row r="27" ht="12.75" customHeight="1" s="150">
      <c r="A27" s="158" t="n"/>
      <c r="B27" s="158" t="n"/>
      <c r="C27" s="167" t="inlineStr">
        <is>
          <t>Postal and freight charges</t>
        </is>
      </c>
      <c r="D27" s="182">
        <f>([5]Consolidated!D27)*(1/0.79941)</f>
        <v/>
      </c>
      <c r="E27" s="182">
        <f>([5]Consolidated!E27)*(1/0.79941)</f>
        <v/>
      </c>
      <c r="F27" s="182">
        <f>([5]Consolidated!F27)*(1/0.79941)</f>
        <v/>
      </c>
      <c r="G27" s="182">
        <f>([5]Consolidated!G27)*(1/0.79941)</f>
        <v/>
      </c>
      <c r="H27" s="182">
        <f>([5]Consolidated!H27)*(1/0.79941)</f>
        <v/>
      </c>
      <c r="I27" s="183">
        <f>([5]Consolidated!I27)*(1/0.79941)</f>
        <v/>
      </c>
      <c r="J27" s="183">
        <f>([5]Consolidated!J27)*(1/0.79941)</f>
        <v/>
      </c>
      <c r="K27" s="185" t="n"/>
      <c r="L27" s="186">
        <f>([5]Consolidated!L27)*(1/0.79941)</f>
        <v/>
      </c>
      <c r="M27" s="182">
        <f>([5]Consolidated!M27)*(1/0.79941)</f>
        <v/>
      </c>
      <c r="N27" s="173">
        <f>([5]Consolidated!N27)*(1/0.79941)</f>
        <v/>
      </c>
    </row>
    <row r="28" ht="12.75" customHeight="1" s="150">
      <c r="A28" s="158" t="n"/>
      <c r="B28" s="158" t="n"/>
      <c r="C28" s="167" t="inlineStr">
        <is>
          <t>Prof serv and ext advisory fee</t>
        </is>
      </c>
      <c r="D28" s="182">
        <f>([5]Consolidated!D28)*(1/0.79941)</f>
        <v/>
      </c>
      <c r="E28" s="182">
        <f>([5]Consolidated!E28)*(1/0.79941)</f>
        <v/>
      </c>
      <c r="F28" s="182">
        <f>([5]Consolidated!F28)*(1/0.79941)</f>
        <v/>
      </c>
      <c r="G28" s="182">
        <f>([5]Consolidated!G28)*(1/0.79941)</f>
        <v/>
      </c>
      <c r="H28" s="182">
        <f>([5]Consolidated!H28)*(1/0.79941)</f>
        <v/>
      </c>
      <c r="I28" s="183">
        <f>([5]Consolidated!I28)*(1/0.79941)</f>
        <v/>
      </c>
      <c r="J28" s="183">
        <f>([5]Consolidated!J28)*(1/0.79941)</f>
        <v/>
      </c>
      <c r="K28" s="185" t="n"/>
      <c r="L28" s="186">
        <f>([5]Consolidated!L28)*(1/0.79941)</f>
        <v/>
      </c>
      <c r="M28" s="182">
        <f>([5]Consolidated!M28)*(1/0.79941)</f>
        <v/>
      </c>
      <c r="N28" s="173">
        <f>([5]Consolidated!N28)*(1/0.79941)</f>
        <v/>
      </c>
    </row>
    <row r="29" ht="12.75" customHeight="1" s="150">
      <c r="A29" s="158" t="n"/>
      <c r="B29" s="158" t="n"/>
      <c r="C29" s="167" t="inlineStr">
        <is>
          <t>Payment transfer expenses</t>
        </is>
      </c>
      <c r="D29" s="182">
        <f>([5]Consolidated!D29)*(1/0.79941)</f>
        <v/>
      </c>
      <c r="E29" s="182">
        <f>([5]Consolidated!E29)*(1/0.79941)</f>
        <v/>
      </c>
      <c r="F29" s="182">
        <f>([5]Consolidated!F29)*(1/0.79941)</f>
        <v/>
      </c>
      <c r="G29" s="182">
        <f>([5]Consolidated!G29)*(1/0.79941)</f>
        <v/>
      </c>
      <c r="H29" s="182">
        <f>([5]Consolidated!H29)*(1/0.79941)</f>
        <v/>
      </c>
      <c r="I29" s="183">
        <f>([5]Consolidated!I29)*(1/0.79941)</f>
        <v/>
      </c>
      <c r="J29" s="183">
        <f>([5]Consolidated!J29)*(1/0.79941)</f>
        <v/>
      </c>
      <c r="K29" s="185" t="n"/>
      <c r="L29" s="186">
        <f>([5]Consolidated!L29)*(1/0.79941)</f>
        <v/>
      </c>
      <c r="M29" s="182">
        <f>([5]Consolidated!M29)*(1/0.79941)</f>
        <v/>
      </c>
      <c r="N29" s="173">
        <f>([5]Consolidated!N29)*(1/0.79941)</f>
        <v/>
      </c>
    </row>
    <row r="30" ht="12.75" customHeight="1" s="150">
      <c r="A30" s="158" t="n"/>
      <c r="B30" s="158" t="n"/>
      <c r="C30" s="167" t="inlineStr">
        <is>
          <t>Other costs</t>
        </is>
      </c>
      <c r="D30" s="182">
        <f>([5]Consolidated!D30)*(1/0.79941)</f>
        <v/>
      </c>
      <c r="E30" s="182">
        <f>([5]Consolidated!E30)*(1/0.79941)</f>
        <v/>
      </c>
      <c r="F30" s="182">
        <f>([5]Consolidated!F30)*(1/0.79941)</f>
        <v/>
      </c>
      <c r="G30" s="182">
        <f>([5]Consolidated!G30)*(1/0.79941)</f>
        <v/>
      </c>
      <c r="H30" s="182">
        <f>([5]Consolidated!H30)*(1/0.79941)</f>
        <v/>
      </c>
      <c r="I30" s="183">
        <f>([5]Consolidated!I30)*(1/0.79941)</f>
        <v/>
      </c>
      <c r="J30" s="183">
        <f>([5]Consolidated!J30)*(1/0.79941)</f>
        <v/>
      </c>
      <c r="K30" s="185" t="n"/>
      <c r="L30" s="186">
        <f>([5]Consolidated!L30)*(1/0.79941)</f>
        <v/>
      </c>
      <c r="M30" s="182">
        <f>([5]Consolidated!M30)*(1/0.79941)</f>
        <v/>
      </c>
      <c r="N30" s="173">
        <f>([5]Consolidated!N30)*(1/0.79941)</f>
        <v/>
      </c>
    </row>
    <row r="31" ht="13.5" customHeight="1" s="150">
      <c r="A31" s="176" t="n"/>
      <c r="B31" s="176" t="n"/>
      <c r="C31" s="177" t="inlineStr">
        <is>
          <t>General expenses</t>
        </is>
      </c>
      <c r="D31" s="188">
        <f>([5]Consolidated!D31)*(1/0.79941)</f>
        <v/>
      </c>
      <c r="E31" s="188">
        <f>([5]Consolidated!E31)*(1/0.79941)</f>
        <v/>
      </c>
      <c r="F31" s="188">
        <f>([5]Consolidated!F31)*(1/0.79941)</f>
        <v/>
      </c>
      <c r="G31" s="188">
        <f>([5]Consolidated!G31)*(1/0.79941)</f>
        <v/>
      </c>
      <c r="H31" s="188">
        <f>([5]Consolidated!H31)*(1/0.79941)</f>
        <v/>
      </c>
      <c r="I31" s="189">
        <f>([5]Consolidated!I31)*(1/0.79941)</f>
        <v/>
      </c>
      <c r="J31" s="189">
        <f>([5]Consolidated!J31)*(1/0.79941)</f>
        <v/>
      </c>
      <c r="K31" s="185" t="n"/>
      <c r="L31" s="181">
        <f>([5]Consolidated!L31)*(1/0.79941)</f>
        <v/>
      </c>
      <c r="M31" s="188">
        <f>([5]Consolidated!M31)*(1/0.79941)</f>
        <v/>
      </c>
      <c r="N31" s="181">
        <f>([5]Consolidated!N31)*(1/0.79941)</f>
        <v/>
      </c>
    </row>
    <row r="32" ht="12.75" customHeight="1" s="150">
      <c r="A32" s="158" t="n"/>
      <c r="B32" s="158" t="n"/>
      <c r="C32" s="167" t="inlineStr">
        <is>
          <t>Own expenses</t>
        </is>
      </c>
      <c r="D32" s="182">
        <f>([5]Consolidated!D32)*(1/0.79941)</f>
        <v/>
      </c>
      <c r="E32" s="182">
        <f>([5]Consolidated!E32)*(1/0.79941)</f>
        <v/>
      </c>
      <c r="F32" s="182">
        <f>([5]Consolidated!F32)*(1/0.79941)</f>
        <v/>
      </c>
      <c r="G32" s="182">
        <f>([5]Consolidated!G32)*(1/0.79941)</f>
        <v/>
      </c>
      <c r="H32" s="182">
        <f>([5]Consolidated!H32)*(1/0.79941)</f>
        <v/>
      </c>
      <c r="I32" s="183">
        <f>([5]Consolidated!I32)*(1/0.79941)</f>
        <v/>
      </c>
      <c r="J32" s="183">
        <f>([5]Consolidated!J32)*(1/0.79941)</f>
        <v/>
      </c>
      <c r="K32" s="185" t="n"/>
      <c r="L32" s="186">
        <f>([5]Consolidated!L32)*(1/0.79941)</f>
        <v/>
      </c>
      <c r="M32" s="182">
        <f>([5]Consolidated!M32)*(1/0.79941)</f>
        <v/>
      </c>
      <c r="N32" s="190">
        <f>([5]Consolidated!N32)*(1/0.79941)</f>
        <v/>
      </c>
    </row>
    <row r="33" ht="12.75" customHeight="1" s="150">
      <c r="A33" s="158" t="n"/>
      <c r="B33" s="158" t="n"/>
      <c r="C33" s="167" t="inlineStr">
        <is>
          <t>Other expenses</t>
        </is>
      </c>
      <c r="D33" s="182">
        <f>([5]Consolidated!D33)*(1/0.79941)</f>
        <v/>
      </c>
      <c r="E33" s="182">
        <f>([5]Consolidated!E33)*(1/0.79941)</f>
        <v/>
      </c>
      <c r="F33" s="182">
        <f>([5]Consolidated!F33)*(1/0.79941)</f>
        <v/>
      </c>
      <c r="G33" s="182">
        <f>([5]Consolidated!G33)*(1/0.79941)</f>
        <v/>
      </c>
      <c r="H33" s="182">
        <f>([5]Consolidated!H33)*(1/0.79941)</f>
        <v/>
      </c>
      <c r="I33" s="183">
        <f>([5]Consolidated!I33)*(1/0.79941)</f>
        <v/>
      </c>
      <c r="J33" s="183">
        <f>([5]Consolidated!J33)*(1/0.79941)</f>
        <v/>
      </c>
      <c r="K33" s="185" t="n"/>
      <c r="L33" s="186">
        <f>([5]Consolidated!L33)*(1/0.79941)</f>
        <v/>
      </c>
      <c r="M33" s="182">
        <f>([5]Consolidated!M33)*(1/0.79941)</f>
        <v/>
      </c>
      <c r="N33" s="173">
        <f>([5]Consolidated!N33)*(1/0.79941)</f>
        <v/>
      </c>
    </row>
    <row r="34" ht="13.5" customHeight="1" s="150">
      <c r="A34" s="176" t="n"/>
      <c r="B34" s="176" t="n"/>
      <c r="C34" s="177" t="inlineStr">
        <is>
          <t>Operating expenses</t>
        </is>
      </c>
      <c r="D34" s="188">
        <f>([5]Consolidated!D34)*(1/0.79941)</f>
        <v/>
      </c>
      <c r="E34" s="188">
        <f>([5]Consolidated!E34)*(1/0.79941)</f>
        <v/>
      </c>
      <c r="F34" s="188">
        <f>([5]Consolidated!F34)*(1/0.79941)</f>
        <v/>
      </c>
      <c r="G34" s="188">
        <f>([5]Consolidated!G34)*(1/0.79941)</f>
        <v/>
      </c>
      <c r="H34" s="188">
        <f>([5]Consolidated!H34)*(1/0.79941)</f>
        <v/>
      </c>
      <c r="I34" s="189">
        <f>([5]Consolidated!I34)*(1/0.79941)</f>
        <v/>
      </c>
      <c r="J34" s="189">
        <f>([5]Consolidated!J34)*(1/0.79941)</f>
        <v/>
      </c>
      <c r="K34" s="185" t="n"/>
      <c r="L34" s="181">
        <f>([5]Consolidated!L34)*(1/0.79941)</f>
        <v/>
      </c>
      <c r="M34" s="188">
        <f>([5]Consolidated!M34)*(1/0.79941)</f>
        <v/>
      </c>
      <c r="N34" s="181">
        <f>([5]Consolidated!N34)*(1/0.79941)</f>
        <v/>
      </c>
    </row>
    <row r="35" ht="12.75" customHeight="1" s="150">
      <c r="A35" s="158" t="n"/>
      <c r="B35" s="158" t="n"/>
      <c r="C35" s="167" t="n"/>
      <c r="D35" s="182">
        <f>0*(1/0.79941)</f>
        <v/>
      </c>
      <c r="E35" s="182">
        <f>0*(1/0.79941)</f>
        <v/>
      </c>
      <c r="F35" s="182">
        <f>0*(1/0.79941)</f>
        <v/>
      </c>
      <c r="G35" s="182">
        <f>0*(1/0.79941)</f>
        <v/>
      </c>
      <c r="H35" s="182">
        <f>0*(1/0.79941)</f>
        <v/>
      </c>
      <c r="I35" s="183">
        <f>0*(1/0.79941)</f>
        <v/>
      </c>
      <c r="J35" s="191">
        <f>0*(1/0.79941)</f>
        <v/>
      </c>
      <c r="K35" s="185" t="n"/>
      <c r="L35" s="186">
        <f>0*(1/0.79941)</f>
        <v/>
      </c>
      <c r="M35" s="182">
        <f>0*(1/0.79941)</f>
        <v/>
      </c>
      <c r="N35" s="192">
        <f>0*(1/0.79941)</f>
        <v/>
      </c>
    </row>
    <row r="36" ht="12.75" customHeight="1" s="150">
      <c r="A36" s="158" t="n"/>
      <c r="B36" s="158" t="n"/>
      <c r="C36" s="167" t="inlineStr">
        <is>
          <t>HR &amp; Comms</t>
        </is>
      </c>
      <c r="D36" s="182">
        <f>([5]Consolidated!D36)*(1/0.79941)</f>
        <v/>
      </c>
      <c r="E36" s="182">
        <f>([5]Consolidated!E36)*(1/0.79941)</f>
        <v/>
      </c>
      <c r="F36" s="182">
        <f>([5]Consolidated!F36)*(1/0.79941)</f>
        <v/>
      </c>
      <c r="G36" s="182">
        <f>([5]Consolidated!G36)*(1/0.79941)</f>
        <v/>
      </c>
      <c r="H36" s="182">
        <f>([5]Consolidated!H36)*(1/0.79941)</f>
        <v/>
      </c>
      <c r="I36" s="183">
        <f>([5]Consolidated!I36)*(1/0.79941)</f>
        <v/>
      </c>
      <c r="J36" s="183">
        <f>([5]Consolidated!J36)*(1/0.79941)</f>
        <v/>
      </c>
      <c r="K36" s="185" t="n"/>
      <c r="L36" s="186">
        <f>([5]Consolidated!L36)*(1/0.79941)</f>
        <v/>
      </c>
      <c r="M36" s="182">
        <f>([5]Consolidated!M36)*(1/0.79941)</f>
        <v/>
      </c>
      <c r="N36" s="173">
        <f>([5]Consolidated!N36)*(1/0.79941)</f>
        <v/>
      </c>
    </row>
    <row r="37" ht="12.75" customHeight="1" s="150">
      <c r="A37" s="158" t="n"/>
      <c r="B37" s="158" t="n"/>
      <c r="C37" s="167" t="inlineStr">
        <is>
          <t>Finance &amp; Business Support</t>
        </is>
      </c>
      <c r="D37" s="182">
        <f>([5]Consolidated!D37)*(1/0.79941)</f>
        <v/>
      </c>
      <c r="E37" s="182">
        <f>([5]Consolidated!E37)*(1/0.79941)</f>
        <v/>
      </c>
      <c r="F37" s="182">
        <f>([5]Consolidated!F37)*(1/0.79941)</f>
        <v/>
      </c>
      <c r="G37" s="182">
        <f>([5]Consolidated!G37)*(1/0.79941)</f>
        <v/>
      </c>
      <c r="H37" s="182">
        <f>([5]Consolidated!H37)*(1/0.79941)</f>
        <v/>
      </c>
      <c r="I37" s="183">
        <f>([5]Consolidated!I37)*(1/0.79941)</f>
        <v/>
      </c>
      <c r="J37" s="183">
        <f>([5]Consolidated!J37)*(1/0.79941)</f>
        <v/>
      </c>
      <c r="K37" s="185" t="n"/>
      <c r="L37" s="186">
        <f>([5]Consolidated!L37)*(1/0.79941)</f>
        <v/>
      </c>
      <c r="M37" s="182">
        <f>([5]Consolidated!M37)*(1/0.79941)</f>
        <v/>
      </c>
      <c r="N37" s="173">
        <f>([5]Consolidated!N37)*(1/0.79941)</f>
        <v/>
      </c>
    </row>
    <row r="38" ht="12.75" customHeight="1" s="150">
      <c r="A38" s="158" t="n"/>
      <c r="B38" s="158" t="n"/>
      <c r="C38" s="167" t="inlineStr">
        <is>
          <t>IT alloc</t>
        </is>
      </c>
      <c r="D38" s="182">
        <f>([5]Consolidated!D38)*(1/0.79941)</f>
        <v/>
      </c>
      <c r="E38" s="182">
        <f>([5]Consolidated!E38)*(1/0.79941)</f>
        <v/>
      </c>
      <c r="F38" s="182">
        <f>([5]Consolidated!F38)*(1/0.79941)</f>
        <v/>
      </c>
      <c r="G38" s="182">
        <f>([5]Consolidated!G38)*(1/0.79941)</f>
        <v/>
      </c>
      <c r="H38" s="182">
        <f>([5]Consolidated!H38)*(1/0.79941)</f>
        <v/>
      </c>
      <c r="I38" s="183">
        <f>([5]Consolidated!I38)*(1/0.79941)</f>
        <v/>
      </c>
      <c r="J38" s="183">
        <f>([5]Consolidated!J38)*(1/0.79941)</f>
        <v/>
      </c>
      <c r="K38" s="185" t="n"/>
      <c r="L38" s="186">
        <f>([5]Consolidated!L38)*(1/0.79941)</f>
        <v/>
      </c>
      <c r="M38" s="182">
        <f>([5]Consolidated!M38)*(1/0.79941)</f>
        <v/>
      </c>
      <c r="N38" s="173">
        <f>([5]Consolidated!N38)*(1/0.79941)</f>
        <v/>
      </c>
    </row>
    <row r="39" ht="12.75" customHeight="1" s="150">
      <c r="A39" s="158" t="n"/>
      <c r="B39" s="158" t="n"/>
      <c r="C39" s="167" t="inlineStr">
        <is>
          <t>Facilities Management</t>
        </is>
      </c>
      <c r="D39" s="182">
        <f>([5]Consolidated!D39)*(1/0.79941)</f>
        <v/>
      </c>
      <c r="E39" s="182">
        <f>([5]Consolidated!E39)*(1/0.79941)</f>
        <v/>
      </c>
      <c r="F39" s="182">
        <f>([5]Consolidated!F39)*(1/0.79941)</f>
        <v/>
      </c>
      <c r="G39" s="182">
        <f>([5]Consolidated!G39)*(1/0.79941)</f>
        <v/>
      </c>
      <c r="H39" s="182">
        <f>([5]Consolidated!H39)*(1/0.79941)</f>
        <v/>
      </c>
      <c r="I39" s="183">
        <f>([5]Consolidated!I39)*(1/0.79941)</f>
        <v/>
      </c>
      <c r="J39" s="183">
        <f>([5]Consolidated!J39)*(1/0.79941)</f>
        <v/>
      </c>
      <c r="K39" s="185" t="n"/>
      <c r="L39" s="186">
        <f>([5]Consolidated!L39)*(1/0.79941)</f>
        <v/>
      </c>
      <c r="M39" s="182">
        <f>([5]Consolidated!M39)*(1/0.79941)</f>
        <v/>
      </c>
      <c r="N39" s="173">
        <f>([5]Consolidated!N39)*(1/0.79941)</f>
        <v/>
      </c>
    </row>
    <row r="40" ht="13.5" customHeight="1" s="150">
      <c r="A40" s="176" t="n"/>
      <c r="B40" s="176" t="n"/>
      <c r="C40" s="177" t="inlineStr">
        <is>
          <t>Overheads</t>
        </is>
      </c>
      <c r="D40" s="188">
        <f>([5]Consolidated!D40)*(1/0.79941)</f>
        <v/>
      </c>
      <c r="E40" s="188">
        <f>([5]Consolidated!E40)*(1/0.79941)</f>
        <v/>
      </c>
      <c r="F40" s="188">
        <f>([5]Consolidated!F40)*(1/0.79941)</f>
        <v/>
      </c>
      <c r="G40" s="188">
        <f>([5]Consolidated!G40)*(1/0.79941)</f>
        <v/>
      </c>
      <c r="H40" s="188">
        <f>([5]Consolidated!H40)*(1/0.79941)</f>
        <v/>
      </c>
      <c r="I40" s="189">
        <f>([5]Consolidated!I40)*(1/0.79941)</f>
        <v/>
      </c>
      <c r="J40" s="189">
        <f>([5]Consolidated!J40)*(1/0.79941)</f>
        <v/>
      </c>
      <c r="K40" s="185" t="n"/>
      <c r="L40" s="181">
        <f>([5]Consolidated!L40)*(1/0.79941)</f>
        <v/>
      </c>
      <c r="M40" s="188">
        <f>([5]Consolidated!M40)*(1/0.79941)</f>
        <v/>
      </c>
      <c r="N40" s="181">
        <f>([5]Consolidated!N40)*(1/0.79941)</f>
        <v/>
      </c>
    </row>
    <row r="41" ht="12.75" customHeight="1" s="150">
      <c r="A41" s="158" t="n"/>
      <c r="B41" s="158" t="n"/>
      <c r="C41" s="167" t="n">
        <v>0</v>
      </c>
      <c r="D41" s="182">
        <f>0*(1/0.79941)</f>
        <v/>
      </c>
      <c r="E41" s="182">
        <f>0*(1/0.79941)</f>
        <v/>
      </c>
      <c r="F41" s="182">
        <f>0*(1/0.79941)</f>
        <v/>
      </c>
      <c r="G41" s="182">
        <f>0*(1/0.79941)</f>
        <v/>
      </c>
      <c r="H41" s="182">
        <f>0*(1/0.79941)</f>
        <v/>
      </c>
      <c r="I41" s="183">
        <f>0*(1/0.79941)</f>
        <v/>
      </c>
      <c r="J41" s="191">
        <f>0*(1/0.79941)</f>
        <v/>
      </c>
      <c r="K41" s="185" t="n"/>
      <c r="L41" s="186">
        <f>0*(1/0.79941)</f>
        <v/>
      </c>
      <c r="M41" s="182">
        <f>0*(1/0.79941)</f>
        <v/>
      </c>
      <c r="N41" s="192">
        <f>0*(1/0.79941)</f>
        <v/>
      </c>
    </row>
    <row r="42" ht="13.5" customHeight="1" s="150">
      <c r="A42" s="176" t="n"/>
      <c r="B42" s="176" t="n"/>
      <c r="C42" s="177" t="inlineStr">
        <is>
          <t>Total Operating Costs (incl. O/H)</t>
        </is>
      </c>
      <c r="D42" s="188">
        <f>([5]Consolidated!D42)*(1/0.79941)</f>
        <v/>
      </c>
      <c r="E42" s="188">
        <f>([5]Consolidated!E42)*(1/0.79941)</f>
        <v/>
      </c>
      <c r="F42" s="188">
        <f>([5]Consolidated!F42)*(1/0.79941)</f>
        <v/>
      </c>
      <c r="G42" s="188">
        <f>([5]Consolidated!G42)*(1/0.79941)</f>
        <v/>
      </c>
      <c r="H42" s="188">
        <f>([5]Consolidated!H42)*(1/0.79941)</f>
        <v/>
      </c>
      <c r="I42" s="189">
        <f>([5]Consolidated!I42)*(1/0.79941)</f>
        <v/>
      </c>
      <c r="J42" s="189">
        <f>([5]Consolidated!J42)*(1/0.79941)</f>
        <v/>
      </c>
      <c r="K42" s="185" t="n"/>
      <c r="L42" s="181">
        <f>([5]Consolidated!L42)*(1/0.79941)</f>
        <v/>
      </c>
      <c r="M42" s="188">
        <f>([5]Consolidated!M42)*(1/0.79941)</f>
        <v/>
      </c>
      <c r="N42" s="181">
        <f>([5]Consolidated!N42)*(1/0.79941)</f>
        <v/>
      </c>
      <c r="O42" s="193" t="n"/>
    </row>
    <row r="43" ht="12.75" customHeight="1" s="150">
      <c r="J43" s="195" t="n"/>
      <c r="N43" s="196" t="n"/>
    </row>
    <row r="44" ht="13.5" customHeight="1" s="150"/>
    <row r="45" ht="54.75" customHeight="1" s="150">
      <c r="C45" s="197" t="inlineStr">
        <is>
          <t>SUPPLIER ASSUMED COSTS 
(US$  excl. VAT)</t>
        </is>
      </c>
      <c r="D45" s="198">
        <f>[5]Consolidated!D45</f>
        <v/>
      </c>
      <c r="E45" s="198">
        <f>[5]Consolidated!E45</f>
        <v/>
      </c>
      <c r="F45" s="198">
        <f>[5]Consolidated!F45</f>
        <v/>
      </c>
      <c r="G45" s="198">
        <f>[5]Consolidated!G45</f>
        <v/>
      </c>
      <c r="H45" s="198">
        <f>[5]Consolidated!H45</f>
        <v/>
      </c>
      <c r="I45" s="199">
        <f>[5]Consolidated!I45</f>
        <v/>
      </c>
      <c r="J45" s="200">
        <f>[5]Consolidated!J45</f>
        <v/>
      </c>
      <c r="K45" s="165" t="n"/>
      <c r="L45" s="198">
        <f>[5]Consolidated!L45</f>
        <v/>
      </c>
      <c r="M45" s="201">
        <f>[5]Consolidated!M45</f>
        <v/>
      </c>
      <c r="N45" s="198">
        <f>[5]Consolidated!N45</f>
        <v/>
      </c>
    </row>
    <row r="46" ht="12.75" customHeight="1" s="150">
      <c r="C46" s="202" t="inlineStr">
        <is>
          <t>Internal FTE</t>
        </is>
      </c>
      <c r="D46" s="211">
        <f>[5]Consolidated!D46</f>
        <v/>
      </c>
      <c r="E46" s="211">
        <f>[5]Consolidated!E46</f>
        <v/>
      </c>
      <c r="F46" s="211">
        <f>[5]Consolidated!F46</f>
        <v/>
      </c>
      <c r="G46" s="211">
        <f>[5]Consolidated!G46</f>
        <v/>
      </c>
      <c r="H46" s="211">
        <f>[5]Consolidated!H46</f>
        <v/>
      </c>
      <c r="I46" s="211">
        <f>[5]Consolidated!I46</f>
        <v/>
      </c>
      <c r="J46" s="288" t="n"/>
      <c r="K46" s="185" t="n"/>
      <c r="L46" s="213">
        <f>[5]Consolidated!L46</f>
        <v/>
      </c>
      <c r="M46" s="211">
        <f>[5]Consolidated!M46</f>
        <v/>
      </c>
      <c r="N46" s="206" t="n"/>
    </row>
    <row r="47" ht="12.75" customHeight="1" s="150">
      <c r="C47" s="202" t="inlineStr">
        <is>
          <t>External FTE</t>
        </is>
      </c>
      <c r="D47" s="211">
        <f>[5]Consolidated!D47</f>
        <v/>
      </c>
      <c r="E47" s="211">
        <f>[5]Consolidated!E47</f>
        <v/>
      </c>
      <c r="F47" s="211">
        <f>[5]Consolidated!F47</f>
        <v/>
      </c>
      <c r="G47" s="211">
        <f>[5]Consolidated!G47</f>
        <v/>
      </c>
      <c r="H47" s="211">
        <f>[5]Consolidated!H47</f>
        <v/>
      </c>
      <c r="I47" s="211">
        <f>[5]Consolidated!I47</f>
        <v/>
      </c>
      <c r="J47" s="288" t="n"/>
      <c r="K47" s="185" t="n"/>
      <c r="L47" s="213">
        <f>[5]Consolidated!L47</f>
        <v/>
      </c>
      <c r="M47" s="211">
        <f>[5]Consolidated!M47</f>
        <v/>
      </c>
      <c r="N47" s="206" t="n"/>
    </row>
    <row r="48" ht="13.5" customHeight="1" s="150">
      <c r="A48" s="176" t="n"/>
      <c r="B48" s="176" t="n"/>
      <c r="C48" s="207" t="inlineStr">
        <is>
          <t>Total FTE</t>
        </is>
      </c>
      <c r="D48" s="215">
        <f>[5]Consolidated!D48</f>
        <v/>
      </c>
      <c r="E48" s="215">
        <f>[5]Consolidated!E48</f>
        <v/>
      </c>
      <c r="F48" s="215">
        <f>[5]Consolidated!F48</f>
        <v/>
      </c>
      <c r="G48" s="215">
        <f>[5]Consolidated!G48</f>
        <v/>
      </c>
      <c r="H48" s="215">
        <f>[5]Consolidated!H48</f>
        <v/>
      </c>
      <c r="I48" s="215">
        <f>[5]Consolidated!I48</f>
        <v/>
      </c>
      <c r="J48" s="289" t="n"/>
      <c r="K48" s="185" t="n"/>
      <c r="L48" s="210">
        <f>[5]Consolidated!L48</f>
        <v/>
      </c>
      <c r="M48" s="215">
        <f>[5]Consolidated!M48</f>
        <v/>
      </c>
      <c r="N48" s="210" t="n"/>
    </row>
    <row r="49" ht="12.75" customHeight="1" s="150">
      <c r="C49" s="202" t="n"/>
      <c r="D49" s="211" t="n"/>
      <c r="E49" s="211" t="n"/>
      <c r="F49" s="211" t="n"/>
      <c r="G49" s="211" t="n"/>
      <c r="H49" s="211" t="n"/>
      <c r="I49" s="211" t="n"/>
      <c r="J49" s="212" t="n"/>
      <c r="K49" s="185" t="n"/>
      <c r="L49" s="213" t="n"/>
      <c r="M49" s="211" t="n"/>
      <c r="N49" s="206" t="n"/>
    </row>
    <row r="50" ht="12.75" customHeight="1" s="150">
      <c r="C50" s="202" t="inlineStr">
        <is>
          <t>Salaries</t>
        </is>
      </c>
      <c r="D50" s="211">
        <f>([5]Consolidated!D50)*(1/0.79941)</f>
        <v/>
      </c>
      <c r="E50" s="211">
        <f>([5]Consolidated!E50)*(1/0.79941)</f>
        <v/>
      </c>
      <c r="F50" s="211">
        <f>([5]Consolidated!F50)*(1/0.79941)</f>
        <v/>
      </c>
      <c r="G50" s="211">
        <f>([5]Consolidated!G50)*(1/0.79941)</f>
        <v/>
      </c>
      <c r="H50" s="211">
        <f>([5]Consolidated!H50)*(1/0.79941)</f>
        <v/>
      </c>
      <c r="I50" s="211">
        <f>([5]Consolidated!I50)*(1/0.79941)</f>
        <v/>
      </c>
      <c r="J50" s="213">
        <f>([5]Consolidated!J50)*(1/0.79941)</f>
        <v/>
      </c>
      <c r="K50" s="185" t="n"/>
      <c r="L50" s="213">
        <f>([5]Consolidated!L50)*(1/0.79941)</f>
        <v/>
      </c>
      <c r="M50" s="211">
        <f>([5]Consolidated!M50)*(1/0.79941)</f>
        <v/>
      </c>
      <c r="N50" s="206">
        <f>([5]Consolidated!N50)*(1/0.79941)</f>
        <v/>
      </c>
    </row>
    <row r="51" ht="12.75" customHeight="1" s="150">
      <c r="C51" s="202" t="inlineStr">
        <is>
          <t>Bonuses</t>
        </is>
      </c>
      <c r="D51" s="211">
        <f>([5]Consolidated!D51)*(1/0.79941)</f>
        <v/>
      </c>
      <c r="E51" s="211">
        <f>([5]Consolidated!E51)*(1/0.79941)</f>
        <v/>
      </c>
      <c r="F51" s="211">
        <f>([5]Consolidated!F51)*(1/0.79941)</f>
        <v/>
      </c>
      <c r="G51" s="211">
        <f>([5]Consolidated!G51)*(1/0.79941)</f>
        <v/>
      </c>
      <c r="H51" s="211">
        <f>([5]Consolidated!H51)*(1/0.79941)</f>
        <v/>
      </c>
      <c r="I51" s="211">
        <f>([5]Consolidated!I51)*(1/0.79941)</f>
        <v/>
      </c>
      <c r="J51" s="213">
        <f>([5]Consolidated!J51)*(1/0.79941)</f>
        <v/>
      </c>
      <c r="K51" s="185" t="n"/>
      <c r="L51" s="213">
        <f>([5]Consolidated!L51)*(1/0.79941)</f>
        <v/>
      </c>
      <c r="M51" s="211">
        <f>([5]Consolidated!M51)*(1/0.79941)</f>
        <v/>
      </c>
      <c r="N51" s="206">
        <f>([5]Consolidated!N51)*(1/0.79941)</f>
        <v/>
      </c>
    </row>
    <row r="52" ht="12.75" customHeight="1" s="150">
      <c r="C52" s="202" t="inlineStr">
        <is>
          <t>Third party staff, ex IT</t>
        </is>
      </c>
      <c r="D52" s="211">
        <f>([5]Consolidated!D52)*(1/0.79941)</f>
        <v/>
      </c>
      <c r="E52" s="211">
        <f>([5]Consolidated!E52)*(1/0.79941)</f>
        <v/>
      </c>
      <c r="F52" s="211">
        <f>([5]Consolidated!F52)*(1/0.79941)</f>
        <v/>
      </c>
      <c r="G52" s="211">
        <f>([5]Consolidated!G52)*(1/0.79941)</f>
        <v/>
      </c>
      <c r="H52" s="211">
        <f>([5]Consolidated!H52)*(1/0.79941)</f>
        <v/>
      </c>
      <c r="I52" s="211">
        <f>([5]Consolidated!I52)*(1/0.79941)</f>
        <v/>
      </c>
      <c r="J52" s="213">
        <f>([5]Consolidated!J52)*(1/0.79941)</f>
        <v/>
      </c>
      <c r="K52" s="185" t="n"/>
      <c r="L52" s="213">
        <f>([5]Consolidated!L52)*(1/0.79941)</f>
        <v/>
      </c>
      <c r="M52" s="211">
        <f>([5]Consolidated!M52)*(1/0.79941)</f>
        <v/>
      </c>
      <c r="N52" s="206">
        <f>([5]Consolidated!N52)*(1/0.79941)</f>
        <v/>
      </c>
    </row>
    <row r="53" ht="12.75" customHeight="1" s="150">
      <c r="C53" s="202" t="inlineStr">
        <is>
          <t>Third party IT staff</t>
        </is>
      </c>
      <c r="D53" s="211">
        <f>([5]Consolidated!D53)*(1/0.79941)</f>
        <v/>
      </c>
      <c r="E53" s="211">
        <f>([5]Consolidated!E53)*(1/0.79941)</f>
        <v/>
      </c>
      <c r="F53" s="211">
        <f>([5]Consolidated!F53)*(1/0.79941)</f>
        <v/>
      </c>
      <c r="G53" s="211">
        <f>([5]Consolidated!G53)*(1/0.79941)</f>
        <v/>
      </c>
      <c r="H53" s="211">
        <f>([5]Consolidated!H53)*(1/0.79941)</f>
        <v/>
      </c>
      <c r="I53" s="211">
        <f>([5]Consolidated!I53)*(1/0.79941)</f>
        <v/>
      </c>
      <c r="J53" s="213">
        <f>([5]Consolidated!J53)*(1/0.79941)</f>
        <v/>
      </c>
      <c r="K53" s="185" t="n"/>
      <c r="L53" s="213">
        <f>([5]Consolidated!L53)*(1/0.79941)</f>
        <v/>
      </c>
      <c r="M53" s="211">
        <f>([5]Consolidated!M53)*(1/0.79941)</f>
        <v/>
      </c>
      <c r="N53" s="206">
        <f>([5]Consolidated!N53)*(1/0.79941)</f>
        <v/>
      </c>
    </row>
    <row r="54" ht="12.75" customHeight="1" s="150">
      <c r="C54" s="202" t="inlineStr">
        <is>
          <t>Employee education</t>
        </is>
      </c>
      <c r="D54" s="211">
        <f>([5]Consolidated!D54)*(1/0.79941)</f>
        <v/>
      </c>
      <c r="E54" s="211">
        <f>([5]Consolidated!E54)*(1/0.79941)</f>
        <v/>
      </c>
      <c r="F54" s="211">
        <f>([5]Consolidated!F54)*(1/0.79941)</f>
        <v/>
      </c>
      <c r="G54" s="211">
        <f>([5]Consolidated!G54)*(1/0.79941)</f>
        <v/>
      </c>
      <c r="H54" s="211">
        <f>([5]Consolidated!H54)*(1/0.79941)</f>
        <v/>
      </c>
      <c r="I54" s="211">
        <f>([5]Consolidated!I54)*(1/0.79941)</f>
        <v/>
      </c>
      <c r="J54" s="213">
        <f>([5]Consolidated!J54)*(1/0.79941)</f>
        <v/>
      </c>
      <c r="K54" s="185" t="n"/>
      <c r="L54" s="213">
        <f>([5]Consolidated!L54)*(1/0.79941)</f>
        <v/>
      </c>
      <c r="M54" s="211">
        <f>([5]Consolidated!M54)*(1/0.79941)</f>
        <v/>
      </c>
      <c r="N54" s="206">
        <f>([5]Consolidated!N54)*(1/0.79941)</f>
        <v/>
      </c>
    </row>
    <row r="55" ht="12.75" customHeight="1" s="150">
      <c r="C55" s="202" t="inlineStr">
        <is>
          <t>Other staff expenses</t>
        </is>
      </c>
      <c r="D55" s="211">
        <f>([5]Consolidated!D55)*(1/0.79941)</f>
        <v/>
      </c>
      <c r="E55" s="211">
        <f>([5]Consolidated!E55)*(1/0.79941)</f>
        <v/>
      </c>
      <c r="F55" s="211">
        <f>([5]Consolidated!F55)*(1/0.79941)</f>
        <v/>
      </c>
      <c r="G55" s="211">
        <f>([5]Consolidated!G55)*(1/0.79941)</f>
        <v/>
      </c>
      <c r="H55" s="211">
        <f>([5]Consolidated!H55)*(1/0.79941)</f>
        <v/>
      </c>
      <c r="I55" s="211">
        <f>([5]Consolidated!I55)*(1/0.79941)</f>
        <v/>
      </c>
      <c r="J55" s="214">
        <f>([5]Consolidated!J55)*(1/0.79941)</f>
        <v/>
      </c>
      <c r="K55" s="185" t="n"/>
      <c r="L55" s="213">
        <f>([5]Consolidated!L55)*(1/0.79941)</f>
        <v/>
      </c>
      <c r="M55" s="211">
        <f>([5]Consolidated!M55)*(1/0.79941)</f>
        <v/>
      </c>
      <c r="N55" s="206">
        <f>([5]Consolidated!N55)*(1/0.79941)</f>
        <v/>
      </c>
    </row>
    <row r="56" ht="13.5" customHeight="1" s="150">
      <c r="C56" s="207" t="inlineStr">
        <is>
          <t>Staff expenses</t>
        </is>
      </c>
      <c r="D56" s="215">
        <f>([5]Consolidated!D56)*(1/0.79941)</f>
        <v/>
      </c>
      <c r="E56" s="215">
        <f>([5]Consolidated!E56)*(1/0.79941)</f>
        <v/>
      </c>
      <c r="F56" s="215">
        <f>([5]Consolidated!F56)*(1/0.79941)</f>
        <v/>
      </c>
      <c r="G56" s="215">
        <f>([5]Consolidated!G56)*(1/0.79941)</f>
        <v/>
      </c>
      <c r="H56" s="215">
        <f>([5]Consolidated!H56)*(1/0.79941)</f>
        <v/>
      </c>
      <c r="I56" s="215">
        <f>([5]Consolidated!I56)*(1/0.79941)</f>
        <v/>
      </c>
      <c r="J56" s="210">
        <f>([5]Consolidated!J56)*(1/0.79941)</f>
        <v/>
      </c>
      <c r="K56" s="185" t="n"/>
      <c r="L56" s="210">
        <f>([5]Consolidated!L56)*(1/0.79941)</f>
        <v/>
      </c>
      <c r="M56" s="215">
        <f>([5]Consolidated!M56)*(1/0.79941)</f>
        <v/>
      </c>
      <c r="N56" s="210">
        <f>([5]Consolidated!N56)*(1/0.79941)</f>
        <v/>
      </c>
    </row>
    <row r="57" ht="12.75" customHeight="1" s="150">
      <c r="B57" s="216" t="n"/>
      <c r="C57" s="202" t="inlineStr">
        <is>
          <t>Hardware expenses</t>
        </is>
      </c>
      <c r="D57" s="211">
        <f>([5]Consolidated!D57)*(1/0.79941)</f>
        <v/>
      </c>
      <c r="E57" s="211">
        <f>([5]Consolidated!E57)*(1/0.79941)</f>
        <v/>
      </c>
      <c r="F57" s="211">
        <f>([5]Consolidated!F57)*(1/0.79941)</f>
        <v/>
      </c>
      <c r="G57" s="211">
        <f>([5]Consolidated!G57)*(1/0.79941)</f>
        <v/>
      </c>
      <c r="H57" s="211">
        <f>([5]Consolidated!H57)*(1/0.79941)</f>
        <v/>
      </c>
      <c r="I57" s="211">
        <f>([5]Consolidated!I57)*(1/0.79941)</f>
        <v/>
      </c>
      <c r="J57" s="213">
        <f>([5]Consolidated!J57)*(1/0.79941)</f>
        <v/>
      </c>
      <c r="K57" s="185" t="n"/>
      <c r="L57" s="213">
        <f>([5]Consolidated!L57)*(1/0.79941)</f>
        <v/>
      </c>
      <c r="M57" s="211">
        <f>([5]Consolidated!M57)*(1/0.79941)</f>
        <v/>
      </c>
      <c r="N57" s="206">
        <f>([5]Consolidated!N57)*(1/0.79941)</f>
        <v/>
      </c>
    </row>
    <row r="58" ht="12.75" customHeight="1" s="150">
      <c r="C58" s="202" t="inlineStr">
        <is>
          <t>Leasing/renting hardware</t>
        </is>
      </c>
      <c r="D58" s="211">
        <f>([5]Consolidated!D58)*(1/0.79941)</f>
        <v/>
      </c>
      <c r="E58" s="211">
        <f>([5]Consolidated!E58)*(1/0.79941)</f>
        <v/>
      </c>
      <c r="F58" s="211">
        <f>([5]Consolidated!F58)*(1/0.79941)</f>
        <v/>
      </c>
      <c r="G58" s="211">
        <f>([5]Consolidated!G58)*(1/0.79941)</f>
        <v/>
      </c>
      <c r="H58" s="211">
        <f>([5]Consolidated!H58)*(1/0.79941)</f>
        <v/>
      </c>
      <c r="I58" s="211">
        <f>([5]Consolidated!I58)*(1/0.79941)</f>
        <v/>
      </c>
      <c r="J58" s="213">
        <f>([5]Consolidated!J58)*(1/0.79941)</f>
        <v/>
      </c>
      <c r="K58" s="185" t="n"/>
      <c r="L58" s="213">
        <f>([5]Consolidated!L58)*(1/0.79941)</f>
        <v/>
      </c>
      <c r="M58" s="211">
        <f>([5]Consolidated!M58)*(1/0.79941)</f>
        <v/>
      </c>
      <c r="N58" s="206">
        <f>([5]Consolidated!N58)*(1/0.79941)</f>
        <v/>
      </c>
    </row>
    <row r="59" ht="12.75" customHeight="1" s="150">
      <c r="C59" s="202" t="inlineStr">
        <is>
          <t>Software expenses</t>
        </is>
      </c>
      <c r="D59" s="211">
        <f>([5]Consolidated!D59)*(1/0.79941)</f>
        <v/>
      </c>
      <c r="E59" s="211">
        <f>([5]Consolidated!E59)*(1/0.79941)</f>
        <v/>
      </c>
      <c r="F59" s="211">
        <f>([5]Consolidated!F59)*(1/0.79941)</f>
        <v/>
      </c>
      <c r="G59" s="211">
        <f>([5]Consolidated!G59)*(1/0.79941)</f>
        <v/>
      </c>
      <c r="H59" s="211">
        <f>([5]Consolidated!H59)*(1/0.79941)</f>
        <v/>
      </c>
      <c r="I59" s="211">
        <f>([5]Consolidated!I59)*(1/0.79941)</f>
        <v/>
      </c>
      <c r="J59" s="213">
        <f>([5]Consolidated!J59)*(1/0.79941)</f>
        <v/>
      </c>
      <c r="K59" s="185" t="n"/>
      <c r="L59" s="213">
        <f>([5]Consolidated!L59)*(1/0.79941)</f>
        <v/>
      </c>
      <c r="M59" s="211">
        <f>([5]Consolidated!M59)*(1/0.79941)</f>
        <v/>
      </c>
      <c r="N59" s="206">
        <f>([5]Consolidated!N59)*(1/0.79941)</f>
        <v/>
      </c>
    </row>
    <row r="60" ht="12.75" customHeight="1" s="150">
      <c r="C60" s="202" t="inlineStr">
        <is>
          <t>Leasing/renting/licenses sw</t>
        </is>
      </c>
      <c r="D60" s="211">
        <f>([5]Consolidated!D60)*(1/0.79941)</f>
        <v/>
      </c>
      <c r="E60" s="211">
        <f>([5]Consolidated!E60)*(1/0.79941)</f>
        <v/>
      </c>
      <c r="F60" s="211">
        <f>([5]Consolidated!F60)*(1/0.79941)</f>
        <v/>
      </c>
      <c r="G60" s="211">
        <f>([5]Consolidated!G60)*(1/0.79941)</f>
        <v/>
      </c>
      <c r="H60" s="211">
        <f>([5]Consolidated!H60)*(1/0.79941)</f>
        <v/>
      </c>
      <c r="I60" s="211">
        <f>([5]Consolidated!I60)*(1/0.79941)</f>
        <v/>
      </c>
      <c r="J60" s="213">
        <f>([5]Consolidated!J60)*(1/0.79941)</f>
        <v/>
      </c>
      <c r="K60" s="185" t="n"/>
      <c r="L60" s="213">
        <f>([5]Consolidated!L60)*(1/0.79941)</f>
        <v/>
      </c>
      <c r="M60" s="211">
        <f>([5]Consolidated!M60)*(1/0.79941)</f>
        <v/>
      </c>
      <c r="N60" s="206">
        <f>([5]Consolidated!N60)*(1/0.79941)</f>
        <v/>
      </c>
    </row>
    <row r="61" ht="12.75" customHeight="1" s="150">
      <c r="C61" s="202" t="inlineStr">
        <is>
          <t>Depreciation hardware</t>
        </is>
      </c>
      <c r="D61" s="211">
        <f>([5]Consolidated!D61)*(1/0.79941)</f>
        <v/>
      </c>
      <c r="E61" s="211">
        <f>([5]Consolidated!E61)*(1/0.79941)</f>
        <v/>
      </c>
      <c r="F61" s="211">
        <f>([5]Consolidated!F61)*(1/0.79941)</f>
        <v/>
      </c>
      <c r="G61" s="211">
        <f>([5]Consolidated!G61)*(1/0.79941)</f>
        <v/>
      </c>
      <c r="H61" s="211">
        <f>([5]Consolidated!H61)*(1/0.79941)</f>
        <v/>
      </c>
      <c r="I61" s="211">
        <f>([5]Consolidated!I61)*(1/0.79941)</f>
        <v/>
      </c>
      <c r="J61" s="213">
        <f>([5]Consolidated!J61)*(1/0.79941)</f>
        <v/>
      </c>
      <c r="K61" s="185" t="n"/>
      <c r="L61" s="213">
        <f>([5]Consolidated!L61)*(1/0.79941)</f>
        <v/>
      </c>
      <c r="M61" s="211">
        <f>([5]Consolidated!M61)*(1/0.79941)</f>
        <v/>
      </c>
      <c r="N61" s="206">
        <f>([5]Consolidated!N61)*(1/0.79941)</f>
        <v/>
      </c>
    </row>
    <row r="62" ht="12.75" customHeight="1" s="150">
      <c r="C62" s="202" t="inlineStr">
        <is>
          <t>Depreciation software</t>
        </is>
      </c>
      <c r="D62" s="211">
        <f>([5]Consolidated!D62)*(1/0.79941)</f>
        <v/>
      </c>
      <c r="E62" s="211">
        <f>([5]Consolidated!E62)*(1/0.79941)</f>
        <v/>
      </c>
      <c r="F62" s="211">
        <f>([5]Consolidated!F62)*(1/0.79941)</f>
        <v/>
      </c>
      <c r="G62" s="211">
        <f>([5]Consolidated!G62)*(1/0.79941)</f>
        <v/>
      </c>
      <c r="H62" s="211">
        <f>([5]Consolidated!H62)*(1/0.79941)</f>
        <v/>
      </c>
      <c r="I62" s="211">
        <f>([5]Consolidated!I62)*(1/0.79941)</f>
        <v/>
      </c>
      <c r="J62" s="213">
        <f>([5]Consolidated!J62)*(1/0.79941)</f>
        <v/>
      </c>
      <c r="K62" s="185" t="n"/>
      <c r="L62" s="213">
        <f>([5]Consolidated!L62)*(1/0.79941)</f>
        <v/>
      </c>
      <c r="M62" s="211">
        <f>([5]Consolidated!M62)*(1/0.79941)</f>
        <v/>
      </c>
      <c r="N62" s="206">
        <f>([5]Consolidated!N62)*(1/0.79941)</f>
        <v/>
      </c>
    </row>
    <row r="63" ht="12.75" customHeight="1" s="150">
      <c r="C63" s="202" t="inlineStr">
        <is>
          <t>Outsourcing IT activities</t>
        </is>
      </c>
      <c r="D63" s="211">
        <f>([5]Consolidated!D63)*(1/0.79941)</f>
        <v/>
      </c>
      <c r="E63" s="211">
        <f>([5]Consolidated!E63)*(1/0.79941)</f>
        <v/>
      </c>
      <c r="F63" s="211">
        <f>([5]Consolidated!F63)*(1/0.79941)</f>
        <v/>
      </c>
      <c r="G63" s="211">
        <f>([5]Consolidated!G63)*(1/0.79941)</f>
        <v/>
      </c>
      <c r="H63" s="211">
        <f>([5]Consolidated!H63)*(1/0.79941)</f>
        <v/>
      </c>
      <c r="I63" s="211">
        <f>([5]Consolidated!I63)*(1/0.79941)</f>
        <v/>
      </c>
      <c r="J63" s="213">
        <f>([5]Consolidated!J63)*(1/0.79941)</f>
        <v/>
      </c>
      <c r="K63" s="185" t="n"/>
      <c r="L63" s="213">
        <f>([5]Consolidated!L63)*(1/0.79941)</f>
        <v/>
      </c>
      <c r="M63" s="211">
        <f>([5]Consolidated!M63)*(1/0.79941)</f>
        <v/>
      </c>
      <c r="N63" s="206">
        <f>([5]Consolidated!N63)*(1/0.79941)</f>
        <v/>
      </c>
    </row>
    <row r="64" ht="12.75" customHeight="1" s="150">
      <c r="C64" s="202" t="inlineStr">
        <is>
          <t>Other IT expenses</t>
        </is>
      </c>
      <c r="D64" s="211">
        <f>([5]Consolidated!D64)*(1/0.79941)</f>
        <v/>
      </c>
      <c r="E64" s="211">
        <f>([5]Consolidated!E64)*(1/0.79941)</f>
        <v/>
      </c>
      <c r="F64" s="211">
        <f>([5]Consolidated!F64)*(1/0.79941)</f>
        <v/>
      </c>
      <c r="G64" s="211">
        <f>([5]Consolidated!G64)*(1/0.79941)</f>
        <v/>
      </c>
      <c r="H64" s="211">
        <f>([5]Consolidated!H64)*(1/0.79941)</f>
        <v/>
      </c>
      <c r="I64" s="211">
        <f>([5]Consolidated!I64)*(1/0.79941)</f>
        <v/>
      </c>
      <c r="J64" s="213">
        <f>([5]Consolidated!J64)*(1/0.79941)</f>
        <v/>
      </c>
      <c r="K64" s="185" t="n"/>
      <c r="L64" s="213">
        <f>([5]Consolidated!L64)*(1/0.79941)</f>
        <v/>
      </c>
      <c r="M64" s="211">
        <f>([5]Consolidated!M64)*(1/0.79941)</f>
        <v/>
      </c>
      <c r="N64" s="206">
        <f>([5]Consolidated!N64)*(1/0.79941)</f>
        <v/>
      </c>
    </row>
    <row r="65" ht="13.5" customHeight="1" s="150">
      <c r="C65" s="207" t="inlineStr">
        <is>
          <t>EDP expenses</t>
        </is>
      </c>
      <c r="D65" s="215">
        <f>([5]Consolidated!D65)*(1/0.79941)</f>
        <v/>
      </c>
      <c r="E65" s="215">
        <f>([5]Consolidated!E65)*(1/0.79941)</f>
        <v/>
      </c>
      <c r="F65" s="215">
        <f>([5]Consolidated!F65)*(1/0.79941)</f>
        <v/>
      </c>
      <c r="G65" s="215">
        <f>([5]Consolidated!G65)*(1/0.79941)</f>
        <v/>
      </c>
      <c r="H65" s="215">
        <f>([5]Consolidated!H65)*(1/0.79941)</f>
        <v/>
      </c>
      <c r="I65" s="215">
        <f>([5]Consolidated!I65)*(1/0.79941)</f>
        <v/>
      </c>
      <c r="J65" s="210">
        <f>([5]Consolidated!J65)*(1/0.79941)</f>
        <v/>
      </c>
      <c r="K65" s="185" t="n"/>
      <c r="L65" s="210">
        <f>([5]Consolidated!L65)*(1/0.79941)</f>
        <v/>
      </c>
      <c r="M65" s="215">
        <f>([5]Consolidated!M65)*(1/0.79941)</f>
        <v/>
      </c>
      <c r="N65" s="210">
        <f>([5]Consolidated!N65)*(1/0.79941)</f>
        <v/>
      </c>
    </row>
    <row r="66" ht="12.75" customHeight="1" s="150">
      <c r="C66" s="202" t="inlineStr">
        <is>
          <t>Telecom expenses</t>
        </is>
      </c>
      <c r="D66" s="211">
        <f>([5]Consolidated!D66)*(1/0.79941)</f>
        <v/>
      </c>
      <c r="E66" s="211">
        <f>([5]Consolidated!E66)*(1/0.79941)</f>
        <v/>
      </c>
      <c r="F66" s="211">
        <f>([5]Consolidated!F66)*(1/0.79941)</f>
        <v/>
      </c>
      <c r="G66" s="211">
        <f>([5]Consolidated!G66)*(1/0.79941)</f>
        <v/>
      </c>
      <c r="H66" s="211">
        <f>([5]Consolidated!H66)*(1/0.79941)</f>
        <v/>
      </c>
      <c r="I66" s="211">
        <f>([5]Consolidated!I66)*(1/0.79941)</f>
        <v/>
      </c>
      <c r="J66" s="213">
        <f>([5]Consolidated!J66)*(1/0.79941)</f>
        <v/>
      </c>
      <c r="K66" s="185" t="n"/>
      <c r="L66" s="213">
        <f>([5]Consolidated!L66)*(1/0.79941)</f>
        <v/>
      </c>
      <c r="M66" s="211">
        <f>([5]Consolidated!M66)*(1/0.79941)</f>
        <v/>
      </c>
      <c r="N66" s="206">
        <f>([5]Consolidated!N66)*(1/0.79941)</f>
        <v/>
      </c>
    </row>
    <row r="67" ht="12.75" customHeight="1" s="150">
      <c r="C67" s="202" t="inlineStr">
        <is>
          <t>Office equipment and supplies</t>
        </is>
      </c>
      <c r="D67" s="211">
        <f>([5]Consolidated!D67)*(1/0.79941)</f>
        <v/>
      </c>
      <c r="E67" s="211">
        <f>([5]Consolidated!E67)*(1/0.79941)</f>
        <v/>
      </c>
      <c r="F67" s="211">
        <f>([5]Consolidated!F67)*(1/0.79941)</f>
        <v/>
      </c>
      <c r="G67" s="211">
        <f>([5]Consolidated!G67)*(1/0.79941)</f>
        <v/>
      </c>
      <c r="H67" s="211">
        <f>([5]Consolidated!H67)*(1/0.79941)</f>
        <v/>
      </c>
      <c r="I67" s="211">
        <f>([5]Consolidated!I67)*(1/0.79941)</f>
        <v/>
      </c>
      <c r="J67" s="213">
        <f>([5]Consolidated!J67)*(1/0.79941)</f>
        <v/>
      </c>
      <c r="K67" s="185" t="n"/>
      <c r="L67" s="213">
        <f>([5]Consolidated!L67)*(1/0.79941)</f>
        <v/>
      </c>
      <c r="M67" s="211">
        <f>([5]Consolidated!M67)*(1/0.79941)</f>
        <v/>
      </c>
      <c r="N67" s="206">
        <f>([5]Consolidated!N67)*(1/0.79941)</f>
        <v/>
      </c>
    </row>
    <row r="68" ht="12.75" customHeight="1" s="150">
      <c r="C68" s="202" t="inlineStr">
        <is>
          <t>Accomodation expenses</t>
        </is>
      </c>
      <c r="D68" s="211">
        <f>([5]Consolidated!D68)*(1/0.79941)</f>
        <v/>
      </c>
      <c r="E68" s="211">
        <f>([5]Consolidated!E68)*(1/0.79941)</f>
        <v/>
      </c>
      <c r="F68" s="211">
        <f>([5]Consolidated!F68)*(1/0.79941)</f>
        <v/>
      </c>
      <c r="G68" s="211">
        <f>([5]Consolidated!G68)*(1/0.79941)</f>
        <v/>
      </c>
      <c r="H68" s="211">
        <f>([5]Consolidated!H68)*(1/0.79941)</f>
        <v/>
      </c>
      <c r="I68" s="211">
        <f>([5]Consolidated!I68)*(1/0.79941)</f>
        <v/>
      </c>
      <c r="J68" s="213">
        <f>([5]Consolidated!J68)*(1/0.79941)</f>
        <v/>
      </c>
      <c r="K68" s="185" t="n"/>
      <c r="L68" s="213">
        <f>([5]Consolidated!L68)*(1/0.79941)</f>
        <v/>
      </c>
      <c r="M68" s="211">
        <f>([5]Consolidated!M68)*(1/0.79941)</f>
        <v/>
      </c>
      <c r="N68" s="206">
        <f>([5]Consolidated!N68)*(1/0.79941)</f>
        <v/>
      </c>
    </row>
    <row r="69" ht="12.75" customHeight="1" s="150">
      <c r="C69" s="202" t="inlineStr">
        <is>
          <t>Travel costs</t>
        </is>
      </c>
      <c r="D69" s="211">
        <f>([5]Consolidated!D69)*(1/0.79941)</f>
        <v/>
      </c>
      <c r="E69" s="211">
        <f>([5]Consolidated!E69)*(1/0.79941)</f>
        <v/>
      </c>
      <c r="F69" s="211">
        <f>([5]Consolidated!F69)*(1/0.79941)</f>
        <v/>
      </c>
      <c r="G69" s="211">
        <f>([5]Consolidated!G69)*(1/0.79941)</f>
        <v/>
      </c>
      <c r="H69" s="211">
        <f>([5]Consolidated!H69)*(1/0.79941)</f>
        <v/>
      </c>
      <c r="I69" s="211">
        <f>([5]Consolidated!I69)*(1/0.79941)</f>
        <v/>
      </c>
      <c r="J69" s="213">
        <f>([5]Consolidated!J69)*(1/0.79941)</f>
        <v/>
      </c>
      <c r="K69" s="185" t="n"/>
      <c r="L69" s="213">
        <f>([5]Consolidated!L69)*(1/0.79941)</f>
        <v/>
      </c>
      <c r="M69" s="211">
        <f>([5]Consolidated!M69)*(1/0.79941)</f>
        <v/>
      </c>
      <c r="N69" s="206">
        <f>([5]Consolidated!N69)*(1/0.79941)</f>
        <v/>
      </c>
    </row>
    <row r="70" ht="12.75" customHeight="1" s="150">
      <c r="C70" s="202" t="inlineStr">
        <is>
          <t>Postal and freight charges</t>
        </is>
      </c>
      <c r="D70" s="211">
        <f>([5]Consolidated!D70)*(1/0.79941)</f>
        <v/>
      </c>
      <c r="E70" s="211">
        <f>([5]Consolidated!E70)*(1/0.79941)</f>
        <v/>
      </c>
      <c r="F70" s="211">
        <f>([5]Consolidated!F70)*(1/0.79941)</f>
        <v/>
      </c>
      <c r="G70" s="211">
        <f>([5]Consolidated!G70)*(1/0.79941)</f>
        <v/>
      </c>
      <c r="H70" s="211">
        <f>([5]Consolidated!H70)*(1/0.79941)</f>
        <v/>
      </c>
      <c r="I70" s="211">
        <f>([5]Consolidated!I70)*(1/0.79941)</f>
        <v/>
      </c>
      <c r="J70" s="213">
        <f>([5]Consolidated!J70)*(1/0.79941)</f>
        <v/>
      </c>
      <c r="K70" s="185" t="n"/>
      <c r="L70" s="213">
        <f>([5]Consolidated!L70)*(1/0.79941)</f>
        <v/>
      </c>
      <c r="M70" s="211">
        <f>([5]Consolidated!M70)*(1/0.79941)</f>
        <v/>
      </c>
      <c r="N70" s="206">
        <f>([5]Consolidated!N70)*(1/0.79941)</f>
        <v/>
      </c>
    </row>
    <row r="71" ht="12.75" customHeight="1" s="150">
      <c r="C71" s="202" t="inlineStr">
        <is>
          <t>Prof serv and ext advisory fee</t>
        </is>
      </c>
      <c r="D71" s="211">
        <f>([5]Consolidated!D71)*(1/0.79941)</f>
        <v/>
      </c>
      <c r="E71" s="211">
        <f>([5]Consolidated!E71)*(1/0.79941)</f>
        <v/>
      </c>
      <c r="F71" s="211">
        <f>([5]Consolidated!F71)*(1/0.79941)</f>
        <v/>
      </c>
      <c r="G71" s="211">
        <f>([5]Consolidated!G71)*(1/0.79941)</f>
        <v/>
      </c>
      <c r="H71" s="211">
        <f>([5]Consolidated!H71)*(1/0.79941)</f>
        <v/>
      </c>
      <c r="I71" s="211">
        <f>([5]Consolidated!I71)*(1/0.79941)</f>
        <v/>
      </c>
      <c r="J71" s="213">
        <f>([5]Consolidated!J71)*(1/0.79941)</f>
        <v/>
      </c>
      <c r="K71" s="185" t="n"/>
      <c r="L71" s="213">
        <f>([5]Consolidated!L71)*(1/0.79941)</f>
        <v/>
      </c>
      <c r="M71" s="211">
        <f>([5]Consolidated!M71)*(1/0.79941)</f>
        <v/>
      </c>
      <c r="N71" s="206">
        <f>([5]Consolidated!N71)*(1/0.79941)</f>
        <v/>
      </c>
    </row>
    <row r="72" ht="12.75" customHeight="1" s="150">
      <c r="C72" s="202" t="inlineStr">
        <is>
          <t>Payment transfer expenses</t>
        </is>
      </c>
      <c r="D72" s="211">
        <f>([5]Consolidated!D72)*(1/0.79941)</f>
        <v/>
      </c>
      <c r="E72" s="211">
        <f>([5]Consolidated!E72)*(1/0.79941)</f>
        <v/>
      </c>
      <c r="F72" s="211">
        <f>([5]Consolidated!F72)*(1/0.79941)</f>
        <v/>
      </c>
      <c r="G72" s="211">
        <f>([5]Consolidated!G72)*(1/0.79941)</f>
        <v/>
      </c>
      <c r="H72" s="211">
        <f>([5]Consolidated!H72)*(1/0.79941)</f>
        <v/>
      </c>
      <c r="I72" s="211">
        <f>([5]Consolidated!I72)*(1/0.79941)</f>
        <v/>
      </c>
      <c r="J72" s="213">
        <f>([5]Consolidated!J72)*(1/0.79941)</f>
        <v/>
      </c>
      <c r="K72" s="185" t="n"/>
      <c r="L72" s="213">
        <f>([5]Consolidated!L72)*(1/0.79941)</f>
        <v/>
      </c>
      <c r="M72" s="211">
        <f>([5]Consolidated!M72)*(1/0.79941)</f>
        <v/>
      </c>
      <c r="N72" s="206">
        <f>([5]Consolidated!N72)*(1/0.79941)</f>
        <v/>
      </c>
    </row>
    <row r="73" ht="12.75" customHeight="1" s="150">
      <c r="C73" s="202" t="inlineStr">
        <is>
          <t>Other costs</t>
        </is>
      </c>
      <c r="D73" s="211">
        <f>([5]Consolidated!D73)*(1/0.79941)</f>
        <v/>
      </c>
      <c r="E73" s="211">
        <f>([5]Consolidated!E73)*(1/0.79941)</f>
        <v/>
      </c>
      <c r="F73" s="211">
        <f>([5]Consolidated!F73)*(1/0.79941)</f>
        <v/>
      </c>
      <c r="G73" s="211">
        <f>([5]Consolidated!G73)*(1/0.79941)</f>
        <v/>
      </c>
      <c r="H73" s="211">
        <f>([5]Consolidated!H73)*(1/0.79941)</f>
        <v/>
      </c>
      <c r="I73" s="211">
        <f>([5]Consolidated!I73)*(1/0.79941)</f>
        <v/>
      </c>
      <c r="J73" s="213">
        <f>([5]Consolidated!J73)*(1/0.79941)</f>
        <v/>
      </c>
      <c r="K73" s="185" t="n"/>
      <c r="L73" s="213">
        <f>([5]Consolidated!L73)*(1/0.79941)</f>
        <v/>
      </c>
      <c r="M73" s="211">
        <f>([5]Consolidated!M73)*(1/0.79941)</f>
        <v/>
      </c>
      <c r="N73" s="206">
        <f>([5]Consolidated!N73)*(1/0.79941)</f>
        <v/>
      </c>
    </row>
    <row r="74" ht="13.5" customHeight="1" s="150">
      <c r="C74" s="207" t="inlineStr">
        <is>
          <t>General expenses</t>
        </is>
      </c>
      <c r="D74" s="215">
        <f>([5]Consolidated!D74)*(1/0.79941)</f>
        <v/>
      </c>
      <c r="E74" s="215">
        <f>([5]Consolidated!E74)*(1/0.79941)</f>
        <v/>
      </c>
      <c r="F74" s="215">
        <f>([5]Consolidated!F74)*(1/0.79941)</f>
        <v/>
      </c>
      <c r="G74" s="215">
        <f>([5]Consolidated!G74)*(1/0.79941)</f>
        <v/>
      </c>
      <c r="H74" s="215">
        <f>([5]Consolidated!H74)*(1/0.79941)</f>
        <v/>
      </c>
      <c r="I74" s="215">
        <f>([5]Consolidated!I74)*(1/0.79941)</f>
        <v/>
      </c>
      <c r="J74" s="210">
        <f>([5]Consolidated!J74)*(1/0.79941)</f>
        <v/>
      </c>
      <c r="K74" s="185" t="n"/>
      <c r="L74" s="210">
        <f>([5]Consolidated!L74)*(1/0.79941)</f>
        <v/>
      </c>
      <c r="M74" s="215">
        <f>([5]Consolidated!M74)*(1/0.79941)</f>
        <v/>
      </c>
      <c r="N74" s="210">
        <f>([5]Consolidated!N74)*(1/0.79941)</f>
        <v/>
      </c>
    </row>
    <row r="75" ht="12.75" customHeight="1" s="150">
      <c r="C75" s="202" t="inlineStr">
        <is>
          <t>Own expenses</t>
        </is>
      </c>
      <c r="D75" s="211">
        <f>([5]Consolidated!D75)*(1/0.79941)</f>
        <v/>
      </c>
      <c r="E75" s="211">
        <f>([5]Consolidated!E75)*(1/0.79941)</f>
        <v/>
      </c>
      <c r="F75" s="211">
        <f>([5]Consolidated!F75)*(1/0.79941)</f>
        <v/>
      </c>
      <c r="G75" s="211">
        <f>([5]Consolidated!G75)*(1/0.79941)</f>
        <v/>
      </c>
      <c r="H75" s="211">
        <f>([5]Consolidated!H75)*(1/0.79941)</f>
        <v/>
      </c>
      <c r="I75" s="211">
        <f>([5]Consolidated!I75)*(1/0.79941)</f>
        <v/>
      </c>
      <c r="J75" s="213">
        <f>([5]Consolidated!J75)*(1/0.79941)</f>
        <v/>
      </c>
      <c r="K75" s="185" t="n"/>
      <c r="L75" s="213">
        <f>([5]Consolidated!L75)*(1/0.79941)</f>
        <v/>
      </c>
      <c r="M75" s="211">
        <f>([5]Consolidated!M75)*(1/0.79941)</f>
        <v/>
      </c>
      <c r="N75" s="217">
        <f>([5]Consolidated!N75)*(1/0.79941)</f>
        <v/>
      </c>
    </row>
    <row r="76" ht="12.75" customHeight="1" s="150">
      <c r="C76" s="202" t="inlineStr">
        <is>
          <t>Other expenses</t>
        </is>
      </c>
      <c r="D76" s="211">
        <f>([5]Consolidated!D76)*(1/0.79941)</f>
        <v/>
      </c>
      <c r="E76" s="211">
        <f>([5]Consolidated!E76)*(1/0.79941)</f>
        <v/>
      </c>
      <c r="F76" s="211">
        <f>([5]Consolidated!F76)*(1/0.79941)</f>
        <v/>
      </c>
      <c r="G76" s="211">
        <f>([5]Consolidated!G76)*(1/0.79941)</f>
        <v/>
      </c>
      <c r="H76" s="211">
        <f>([5]Consolidated!H76)*(1/0.79941)</f>
        <v/>
      </c>
      <c r="I76" s="211">
        <f>([5]Consolidated!I76)*(1/0.79941)</f>
        <v/>
      </c>
      <c r="J76" s="213">
        <f>([5]Consolidated!J76)*(1/0.79941)</f>
        <v/>
      </c>
      <c r="K76" s="185" t="n"/>
      <c r="L76" s="213">
        <f>([5]Consolidated!L76)*(1/0.79941)</f>
        <v/>
      </c>
      <c r="M76" s="211">
        <f>([5]Consolidated!M76)*(1/0.79941)</f>
        <v/>
      </c>
      <c r="N76" s="206">
        <f>([5]Consolidated!N76)*(1/0.79941)</f>
        <v/>
      </c>
    </row>
    <row r="77" ht="13.5" customHeight="1" s="150">
      <c r="A77" s="176" t="n"/>
      <c r="B77" s="176" t="n"/>
      <c r="C77" s="207" t="inlineStr">
        <is>
          <t xml:space="preserve">Operating expenses </t>
        </is>
      </c>
      <c r="D77" s="215">
        <f>([5]Consolidated!D77)*(1/0.79941)</f>
        <v/>
      </c>
      <c r="E77" s="215">
        <f>([5]Consolidated!E77)*(1/0.79941)</f>
        <v/>
      </c>
      <c r="F77" s="215">
        <f>([5]Consolidated!F77)*(1/0.79941)</f>
        <v/>
      </c>
      <c r="G77" s="215">
        <f>([5]Consolidated!G77)*(1/0.79941)</f>
        <v/>
      </c>
      <c r="H77" s="215">
        <f>([5]Consolidated!H77)*(1/0.79941)</f>
        <v/>
      </c>
      <c r="I77" s="215">
        <f>([5]Consolidated!I77)*(1/0.79941)</f>
        <v/>
      </c>
      <c r="J77" s="210">
        <f>([5]Consolidated!J77)*(1/0.79941)</f>
        <v/>
      </c>
      <c r="K77" s="185" t="n"/>
      <c r="L77" s="210">
        <f>([5]Consolidated!L77)*(1/0.79941)</f>
        <v/>
      </c>
      <c r="M77" s="215">
        <f>([5]Consolidated!M77)*(1/0.79941)</f>
        <v/>
      </c>
      <c r="N77" s="210">
        <f>([5]Consolidated!N77)*(1/0.79941)</f>
        <v/>
      </c>
    </row>
    <row r="78" ht="12.75" customHeight="1" s="150">
      <c r="C78" s="202" t="n"/>
      <c r="D78" s="211">
        <f>0*(1/0.79941)</f>
        <v/>
      </c>
      <c r="E78" s="211">
        <f>0*(1/0.79941)</f>
        <v/>
      </c>
      <c r="F78" s="211">
        <f>0*(1/0.79941)</f>
        <v/>
      </c>
      <c r="G78" s="211">
        <f>0*(1/0.79941)</f>
        <v/>
      </c>
      <c r="H78" s="211">
        <f>0*(1/0.79941)</f>
        <v/>
      </c>
      <c r="I78" s="211">
        <f>0*(1/0.79941)</f>
        <v/>
      </c>
      <c r="J78" s="218">
        <f>0*(1/0.79941)</f>
        <v/>
      </c>
      <c r="K78" s="185" t="n"/>
      <c r="L78" s="213">
        <f>0*(1/0.79941)</f>
        <v/>
      </c>
      <c r="M78" s="211">
        <f>0*(1/0.79941)</f>
        <v/>
      </c>
      <c r="N78" s="218">
        <f>0*(1/0.79941)</f>
        <v/>
      </c>
    </row>
    <row r="79" ht="12.75" customHeight="1" s="150">
      <c r="C79" s="202" t="inlineStr">
        <is>
          <t>HR &amp; Comms</t>
        </is>
      </c>
      <c r="D79" s="211">
        <f>([5]Consolidated!D79)*(1/0.79941)</f>
        <v/>
      </c>
      <c r="E79" s="211">
        <f>([5]Consolidated!E79)*(1/0.79941)</f>
        <v/>
      </c>
      <c r="F79" s="211">
        <f>([5]Consolidated!F79)*(1/0.79941)</f>
        <v/>
      </c>
      <c r="G79" s="211">
        <f>([5]Consolidated!G79)*(1/0.79941)</f>
        <v/>
      </c>
      <c r="H79" s="211">
        <f>([5]Consolidated!H79)*(1/0.79941)</f>
        <v/>
      </c>
      <c r="I79" s="211">
        <f>([5]Consolidated!I79)*(1/0.79941)</f>
        <v/>
      </c>
      <c r="J79" s="213">
        <f>([5]Consolidated!J79)*(1/0.79941)</f>
        <v/>
      </c>
      <c r="K79" s="185" t="n"/>
      <c r="L79" s="213">
        <f>([5]Consolidated!L79)*(1/0.79941)</f>
        <v/>
      </c>
      <c r="M79" s="211">
        <f>([5]Consolidated!M79)*(1/0.79941)</f>
        <v/>
      </c>
      <c r="N79" s="206">
        <f>([5]Consolidated!N79)*(1/0.79941)</f>
        <v/>
      </c>
    </row>
    <row r="80" ht="12.75" customHeight="1" s="150">
      <c r="C80" s="202" t="inlineStr">
        <is>
          <t>Finance &amp; Business Support</t>
        </is>
      </c>
      <c r="D80" s="211">
        <f>([5]Consolidated!D80)*(1/0.79941)</f>
        <v/>
      </c>
      <c r="E80" s="211">
        <f>([5]Consolidated!E80)*(1/0.79941)</f>
        <v/>
      </c>
      <c r="F80" s="211">
        <f>([5]Consolidated!F80)*(1/0.79941)</f>
        <v/>
      </c>
      <c r="G80" s="211">
        <f>([5]Consolidated!G80)*(1/0.79941)</f>
        <v/>
      </c>
      <c r="H80" s="211">
        <f>([5]Consolidated!H80)*(1/0.79941)</f>
        <v/>
      </c>
      <c r="I80" s="211">
        <f>([5]Consolidated!I80)*(1/0.79941)</f>
        <v/>
      </c>
      <c r="J80" s="213">
        <f>([5]Consolidated!J80)*(1/0.79941)</f>
        <v/>
      </c>
      <c r="K80" s="185" t="n"/>
      <c r="L80" s="213">
        <f>([5]Consolidated!L80)*(1/0.79941)</f>
        <v/>
      </c>
      <c r="M80" s="211">
        <f>([5]Consolidated!M80)*(1/0.79941)</f>
        <v/>
      </c>
      <c r="N80" s="206">
        <f>([5]Consolidated!N80)*(1/0.79941)</f>
        <v/>
      </c>
    </row>
    <row r="81" ht="12.75" customHeight="1" s="150">
      <c r="C81" s="202" t="inlineStr">
        <is>
          <t>IT alloc</t>
        </is>
      </c>
      <c r="D81" s="211">
        <f>([5]Consolidated!D81)*(1/0.79941)</f>
        <v/>
      </c>
      <c r="E81" s="211">
        <f>([5]Consolidated!E81)*(1/0.79941)</f>
        <v/>
      </c>
      <c r="F81" s="211">
        <f>([5]Consolidated!F81)*(1/0.79941)</f>
        <v/>
      </c>
      <c r="G81" s="211">
        <f>([5]Consolidated!G81)*(1/0.79941)</f>
        <v/>
      </c>
      <c r="H81" s="211">
        <f>([5]Consolidated!H81)*(1/0.79941)</f>
        <v/>
      </c>
      <c r="I81" s="211">
        <f>([5]Consolidated!I81)*(1/0.79941)</f>
        <v/>
      </c>
      <c r="J81" s="213">
        <f>([5]Consolidated!J81)*(1/0.79941)</f>
        <v/>
      </c>
      <c r="K81" s="185" t="n"/>
      <c r="L81" s="213">
        <f>([5]Consolidated!L81)*(1/0.79941)</f>
        <v/>
      </c>
      <c r="M81" s="211">
        <f>([5]Consolidated!M81)*(1/0.79941)</f>
        <v/>
      </c>
      <c r="N81" s="206">
        <f>([5]Consolidated!N81)*(1/0.79941)</f>
        <v/>
      </c>
    </row>
    <row r="82" ht="12.75" customHeight="1" s="150">
      <c r="C82" s="202" t="inlineStr">
        <is>
          <t>Facilities Management</t>
        </is>
      </c>
      <c r="D82" s="211">
        <f>([5]Consolidated!D82)*(1/0.79941)</f>
        <v/>
      </c>
      <c r="E82" s="211">
        <f>([5]Consolidated!E82)*(1/0.79941)</f>
        <v/>
      </c>
      <c r="F82" s="211">
        <f>([5]Consolidated!F82)*(1/0.79941)</f>
        <v/>
      </c>
      <c r="G82" s="211">
        <f>([5]Consolidated!G82)*(1/0.79941)</f>
        <v/>
      </c>
      <c r="H82" s="211">
        <f>([5]Consolidated!H82)*(1/0.79941)</f>
        <v/>
      </c>
      <c r="I82" s="211">
        <f>([5]Consolidated!I82)*(1/0.79941)</f>
        <v/>
      </c>
      <c r="J82" s="213">
        <f>([5]Consolidated!J82)*(1/0.79941)</f>
        <v/>
      </c>
      <c r="K82" s="185" t="n"/>
      <c r="L82" s="213">
        <f>([5]Consolidated!L82)*(1/0.79941)</f>
        <v/>
      </c>
      <c r="M82" s="211">
        <f>([5]Consolidated!M82)*(1/0.79941)</f>
        <v/>
      </c>
      <c r="N82" s="206">
        <f>([5]Consolidated!N82)*(1/0.79941)</f>
        <v/>
      </c>
    </row>
    <row r="83" ht="13.5" customHeight="1" s="150">
      <c r="C83" s="207" t="inlineStr">
        <is>
          <t>Overheads</t>
        </is>
      </c>
      <c r="D83" s="215">
        <f>([5]Consolidated!D83)*(1/0.79941)</f>
        <v/>
      </c>
      <c r="E83" s="215">
        <f>([5]Consolidated!E83)*(1/0.79941)</f>
        <v/>
      </c>
      <c r="F83" s="215">
        <f>([5]Consolidated!F83)*(1/0.79941)</f>
        <v/>
      </c>
      <c r="G83" s="215">
        <f>([5]Consolidated!G83)*(1/0.79941)</f>
        <v/>
      </c>
      <c r="H83" s="215">
        <f>([5]Consolidated!H83)*(1/0.79941)</f>
        <v/>
      </c>
      <c r="I83" s="215">
        <f>([5]Consolidated!I83)*(1/0.79941)</f>
        <v/>
      </c>
      <c r="J83" s="210">
        <f>([5]Consolidated!J83)*(1/0.79941)</f>
        <v/>
      </c>
      <c r="K83" s="185" t="n"/>
      <c r="L83" s="210">
        <f>([5]Consolidated!L83)*(1/0.79941)</f>
        <v/>
      </c>
      <c r="M83" s="215">
        <f>([5]Consolidated!M83)*(1/0.79941)</f>
        <v/>
      </c>
      <c r="N83" s="210">
        <f>([5]Consolidated!N83)*(1/0.79941)</f>
        <v/>
      </c>
    </row>
    <row r="84" ht="12.75" customHeight="1" s="150">
      <c r="C84" s="202" t="n"/>
      <c r="D84" s="211">
        <f>0*(1/0.79941)</f>
        <v/>
      </c>
      <c r="E84" s="211">
        <f>0*(1/0.79941)</f>
        <v/>
      </c>
      <c r="F84" s="211">
        <f>0*(1/0.79941)</f>
        <v/>
      </c>
      <c r="G84" s="211">
        <f>0*(1/0.79941)</f>
        <v/>
      </c>
      <c r="H84" s="211">
        <f>0*(1/0.79941)</f>
        <v/>
      </c>
      <c r="I84" s="211">
        <f>0*(1/0.79941)</f>
        <v/>
      </c>
      <c r="J84" s="218">
        <f>0*(1/0.79941)</f>
        <v/>
      </c>
      <c r="K84" s="185" t="n"/>
      <c r="L84" s="213">
        <f>0*(1/0.79941)</f>
        <v/>
      </c>
      <c r="M84" s="211">
        <f>0*(1/0.79941)</f>
        <v/>
      </c>
      <c r="N84" s="218">
        <f>0*(1/0.79941)</f>
        <v/>
      </c>
    </row>
    <row r="85" ht="13.5" customHeight="1" s="150">
      <c r="C85" s="207" t="inlineStr">
        <is>
          <t>Total Operating Costs (incl. O/H)</t>
        </is>
      </c>
      <c r="D85" s="215">
        <f>([5]Consolidated!D85)*(1/0.79941)</f>
        <v/>
      </c>
      <c r="E85" s="215">
        <f>([5]Consolidated!E85)*(1/0.79941)</f>
        <v/>
      </c>
      <c r="F85" s="215">
        <f>([5]Consolidated!F85)*(1/0.79941)</f>
        <v/>
      </c>
      <c r="G85" s="215">
        <f>([5]Consolidated!G85)*(1/0.79941)</f>
        <v/>
      </c>
      <c r="H85" s="215">
        <f>([5]Consolidated!H85)*(1/0.79941)</f>
        <v/>
      </c>
      <c r="I85" s="215">
        <f>([5]Consolidated!I85)*(1/0.79941)</f>
        <v/>
      </c>
      <c r="J85" s="210">
        <f>([5]Consolidated!J85)*(1/0.79941)</f>
        <v/>
      </c>
      <c r="K85" s="185" t="n"/>
      <c r="L85" s="210">
        <f>([5]Consolidated!L85)*(1/0.79941)</f>
        <v/>
      </c>
      <c r="M85" s="215">
        <f>([5]Consolidated!M85)*(1/0.79941)</f>
        <v/>
      </c>
      <c r="N85" s="210">
        <f>([5]Consolidated!N85)*(1/0.79941)</f>
        <v/>
      </c>
    </row>
    <row r="86"/>
    <row r="87"/>
    <row r="88" ht="13.5" customHeight="1" s="150"/>
    <row r="89" ht="45.75" customHeight="1" s="150">
      <c r="C89" s="219" t="inlineStr">
        <is>
          <t>PASS THROUGH COSTS
(US$  excl. VAT)</t>
        </is>
      </c>
      <c r="D89" s="220">
        <f>[5]Consolidated!D89</f>
        <v/>
      </c>
      <c r="E89" s="220">
        <f>[5]Consolidated!E89</f>
        <v/>
      </c>
      <c r="F89" s="220">
        <f>[5]Consolidated!F89</f>
        <v/>
      </c>
      <c r="G89" s="220">
        <f>[5]Consolidated!G89</f>
        <v/>
      </c>
      <c r="H89" s="220">
        <f>[5]Consolidated!H89</f>
        <v/>
      </c>
      <c r="I89" s="221">
        <f>[5]Consolidated!I89</f>
        <v/>
      </c>
      <c r="J89" s="222">
        <f>[5]Consolidated!J89</f>
        <v/>
      </c>
      <c r="K89" s="165" t="n"/>
      <c r="L89" s="220">
        <f>[5]Consolidated!L89</f>
        <v/>
      </c>
      <c r="M89" s="223">
        <f>[5]Consolidated!M89</f>
        <v/>
      </c>
      <c r="N89" s="220">
        <f>[5]Consolidated!N89</f>
        <v/>
      </c>
    </row>
    <row r="90" ht="12.75" customHeight="1" s="150">
      <c r="C90" s="224" t="inlineStr">
        <is>
          <t>Internal FTE</t>
        </is>
      </c>
      <c r="D90" s="231">
        <f>[5]Consolidated!D90</f>
        <v/>
      </c>
      <c r="E90" s="231">
        <f>[5]Consolidated!E90</f>
        <v/>
      </c>
      <c r="F90" s="231">
        <f>[5]Consolidated!F90</f>
        <v/>
      </c>
      <c r="G90" s="231">
        <f>[5]Consolidated!G90</f>
        <v/>
      </c>
      <c r="H90" s="231">
        <f>[5]Consolidated!H90</f>
        <v/>
      </c>
      <c r="I90" s="231">
        <f>[5]Consolidated!I90</f>
        <v/>
      </c>
      <c r="J90" s="232" t="n"/>
      <c r="K90" s="185" t="n"/>
      <c r="L90" s="233">
        <f>[5]Consolidated!L90</f>
        <v/>
      </c>
      <c r="M90" s="231">
        <f>[5]Consolidated!M90</f>
        <v/>
      </c>
      <c r="N90" s="234">
        <f>[5]Consolidated!N90</f>
        <v/>
      </c>
    </row>
    <row r="91" ht="12.75" customHeight="1" s="150">
      <c r="C91" s="224" t="inlineStr">
        <is>
          <t>External FTE</t>
        </is>
      </c>
      <c r="D91" s="231">
        <f>[5]Consolidated!D91</f>
        <v/>
      </c>
      <c r="E91" s="231">
        <f>[5]Consolidated!E91</f>
        <v/>
      </c>
      <c r="F91" s="231">
        <f>[5]Consolidated!F91</f>
        <v/>
      </c>
      <c r="G91" s="231">
        <f>[5]Consolidated!G91</f>
        <v/>
      </c>
      <c r="H91" s="231">
        <f>[5]Consolidated!H91</f>
        <v/>
      </c>
      <c r="I91" s="231">
        <f>[5]Consolidated!I91</f>
        <v/>
      </c>
      <c r="J91" s="232" t="n"/>
      <c r="K91" s="185" t="n"/>
      <c r="L91" s="233">
        <f>[5]Consolidated!L91</f>
        <v/>
      </c>
      <c r="M91" s="231">
        <f>[5]Consolidated!M91</f>
        <v/>
      </c>
      <c r="N91" s="234">
        <f>[5]Consolidated!N91</f>
        <v/>
      </c>
    </row>
    <row r="92" ht="13.5" customHeight="1" s="150">
      <c r="C92" s="228" t="inlineStr">
        <is>
          <t>Total FTE</t>
        </is>
      </c>
      <c r="D92" s="236">
        <f>[5]Consolidated!D92</f>
        <v/>
      </c>
      <c r="E92" s="236">
        <f>[5]Consolidated!E92</f>
        <v/>
      </c>
      <c r="F92" s="236">
        <f>[5]Consolidated!F92</f>
        <v/>
      </c>
      <c r="G92" s="236">
        <f>[5]Consolidated!G92</f>
        <v/>
      </c>
      <c r="H92" s="236">
        <f>[5]Consolidated!H92</f>
        <v/>
      </c>
      <c r="I92" s="236">
        <f>[5]Consolidated!I92</f>
        <v/>
      </c>
      <c r="J92" s="290" t="n"/>
      <c r="K92" s="185" t="n"/>
      <c r="L92" s="237">
        <f>[5]Consolidated!L92</f>
        <v/>
      </c>
      <c r="M92" s="236">
        <f>[5]Consolidated!M92</f>
        <v/>
      </c>
      <c r="N92" s="237">
        <f>[5]Consolidated!N92</f>
        <v/>
      </c>
    </row>
    <row r="93" ht="12.75" customHeight="1" s="150">
      <c r="C93" s="224" t="n"/>
      <c r="D93" s="231" t="n"/>
      <c r="E93" s="231" t="n"/>
      <c r="F93" s="231" t="n"/>
      <c r="G93" s="231" t="n"/>
      <c r="H93" s="231" t="n"/>
      <c r="I93" s="231" t="n"/>
      <c r="J93" s="232" t="n"/>
      <c r="K93" s="185" t="n"/>
      <c r="L93" s="233" t="n"/>
      <c r="M93" s="231" t="n"/>
      <c r="N93" s="234" t="n"/>
    </row>
    <row r="94" ht="12.75" customHeight="1" s="150">
      <c r="C94" s="224" t="inlineStr">
        <is>
          <t>Salaries</t>
        </is>
      </c>
      <c r="D94" s="231">
        <f>([5]Consolidated!D94)*(1/0.79941)</f>
        <v/>
      </c>
      <c r="E94" s="231">
        <f>([5]Consolidated!E94)*(1/0.79941)</f>
        <v/>
      </c>
      <c r="F94" s="231">
        <f>([5]Consolidated!F94)*(1/0.79941)</f>
        <v/>
      </c>
      <c r="G94" s="231">
        <f>([5]Consolidated!G94)*(1/0.79941)</f>
        <v/>
      </c>
      <c r="H94" s="231">
        <f>([5]Consolidated!H94)*(1/0.79941)</f>
        <v/>
      </c>
      <c r="I94" s="231">
        <f>([5]Consolidated!I94)*(1/0.79941)</f>
        <v/>
      </c>
      <c r="J94" s="233">
        <f>([5]Consolidated!J94)*(1/0.79941)</f>
        <v/>
      </c>
      <c r="K94" s="185" t="n"/>
      <c r="L94" s="233">
        <f>([5]Consolidated!L94)*(1/0.79941)</f>
        <v/>
      </c>
      <c r="M94" s="231">
        <f>([5]Consolidated!M94)*(1/0.79941)</f>
        <v/>
      </c>
      <c r="N94" s="234">
        <f>([5]Consolidated!N94)*(1/0.79941)</f>
        <v/>
      </c>
    </row>
    <row r="95" ht="12.75" customHeight="1" s="150">
      <c r="C95" s="224" t="inlineStr">
        <is>
          <t>Bonuses</t>
        </is>
      </c>
      <c r="D95" s="231">
        <f>([5]Consolidated!D95)*(1/0.79941)</f>
        <v/>
      </c>
      <c r="E95" s="231">
        <f>([5]Consolidated!E95)*(1/0.79941)</f>
        <v/>
      </c>
      <c r="F95" s="231">
        <f>([5]Consolidated!F95)*(1/0.79941)</f>
        <v/>
      </c>
      <c r="G95" s="231">
        <f>([5]Consolidated!G95)*(1/0.79941)</f>
        <v/>
      </c>
      <c r="H95" s="231">
        <f>([5]Consolidated!H95)*(1/0.79941)</f>
        <v/>
      </c>
      <c r="I95" s="231">
        <f>([5]Consolidated!I95)*(1/0.79941)</f>
        <v/>
      </c>
      <c r="J95" s="233">
        <f>([5]Consolidated!J95)*(1/0.79941)</f>
        <v/>
      </c>
      <c r="K95" s="185" t="n"/>
      <c r="L95" s="233">
        <f>([5]Consolidated!L95)*(1/0.79941)</f>
        <v/>
      </c>
      <c r="M95" s="231">
        <f>([5]Consolidated!M95)*(1/0.79941)</f>
        <v/>
      </c>
      <c r="N95" s="234">
        <f>([5]Consolidated!N95)*(1/0.79941)</f>
        <v/>
      </c>
    </row>
    <row r="96" ht="12.75" customHeight="1" s="150">
      <c r="C96" s="224" t="inlineStr">
        <is>
          <t>Third party staff, ex IT</t>
        </is>
      </c>
      <c r="D96" s="231">
        <f>([5]Consolidated!D96)*(1/0.79941)</f>
        <v/>
      </c>
      <c r="E96" s="231">
        <f>([5]Consolidated!E96)*(1/0.79941)</f>
        <v/>
      </c>
      <c r="F96" s="231">
        <f>([5]Consolidated!F96)*(1/0.79941)</f>
        <v/>
      </c>
      <c r="G96" s="231">
        <f>([5]Consolidated!G96)*(1/0.79941)</f>
        <v/>
      </c>
      <c r="H96" s="231">
        <f>([5]Consolidated!H96)*(1/0.79941)</f>
        <v/>
      </c>
      <c r="I96" s="231">
        <f>([5]Consolidated!I96)*(1/0.79941)</f>
        <v/>
      </c>
      <c r="J96" s="233">
        <f>([5]Consolidated!J96)*(1/0.79941)</f>
        <v/>
      </c>
      <c r="K96" s="185" t="n"/>
      <c r="L96" s="233">
        <f>([5]Consolidated!L96)*(1/0.79941)</f>
        <v/>
      </c>
      <c r="M96" s="231">
        <f>([5]Consolidated!M96)*(1/0.79941)</f>
        <v/>
      </c>
      <c r="N96" s="234">
        <f>([5]Consolidated!N96)*(1/0.79941)</f>
        <v/>
      </c>
    </row>
    <row r="97" ht="12.75" customHeight="1" s="150">
      <c r="C97" s="224" t="inlineStr">
        <is>
          <t>Third party IT staff</t>
        </is>
      </c>
      <c r="D97" s="231">
        <f>([5]Consolidated!D97)*(1/0.79941)</f>
        <v/>
      </c>
      <c r="E97" s="231">
        <f>([5]Consolidated!E97)*(1/0.79941)</f>
        <v/>
      </c>
      <c r="F97" s="231">
        <f>([5]Consolidated!F97)*(1/0.79941)</f>
        <v/>
      </c>
      <c r="G97" s="231">
        <f>([5]Consolidated!G97)*(1/0.79941)</f>
        <v/>
      </c>
      <c r="H97" s="231">
        <f>([5]Consolidated!H97)*(1/0.79941)</f>
        <v/>
      </c>
      <c r="I97" s="231">
        <f>([5]Consolidated!I97)*(1/0.79941)</f>
        <v/>
      </c>
      <c r="J97" s="233">
        <f>([5]Consolidated!J97)*(1/0.79941)</f>
        <v/>
      </c>
      <c r="K97" s="185" t="n"/>
      <c r="L97" s="233">
        <f>([5]Consolidated!L97)*(1/0.79941)</f>
        <v/>
      </c>
      <c r="M97" s="231">
        <f>([5]Consolidated!M97)*(1/0.79941)</f>
        <v/>
      </c>
      <c r="N97" s="234">
        <f>([5]Consolidated!N97)*(1/0.79941)</f>
        <v/>
      </c>
    </row>
    <row r="98" ht="12.75" customHeight="1" s="150">
      <c r="C98" s="224" t="inlineStr">
        <is>
          <t>Employee education</t>
        </is>
      </c>
      <c r="D98" s="231">
        <f>([5]Consolidated!D98)*(1/0.79941)</f>
        <v/>
      </c>
      <c r="E98" s="231">
        <f>([5]Consolidated!E98)*(1/0.79941)</f>
        <v/>
      </c>
      <c r="F98" s="231">
        <f>([5]Consolidated!F98)*(1/0.79941)</f>
        <v/>
      </c>
      <c r="G98" s="231">
        <f>([5]Consolidated!G98)*(1/0.79941)</f>
        <v/>
      </c>
      <c r="H98" s="231">
        <f>([5]Consolidated!H98)*(1/0.79941)</f>
        <v/>
      </c>
      <c r="I98" s="231">
        <f>([5]Consolidated!I98)*(1/0.79941)</f>
        <v/>
      </c>
      <c r="J98" s="233">
        <f>([5]Consolidated!J98)*(1/0.79941)</f>
        <v/>
      </c>
      <c r="K98" s="185" t="n"/>
      <c r="L98" s="233">
        <f>([5]Consolidated!L98)*(1/0.79941)</f>
        <v/>
      </c>
      <c r="M98" s="231">
        <f>([5]Consolidated!M98)*(1/0.79941)</f>
        <v/>
      </c>
      <c r="N98" s="234">
        <f>([5]Consolidated!N98)*(1/0.79941)</f>
        <v/>
      </c>
    </row>
    <row r="99" ht="12.75" customHeight="1" s="150">
      <c r="C99" s="224" t="inlineStr">
        <is>
          <t>Other staff expenses</t>
        </is>
      </c>
      <c r="D99" s="231">
        <f>([5]Consolidated!D99)*(1/0.79941)</f>
        <v/>
      </c>
      <c r="E99" s="231">
        <f>([5]Consolidated!E99)*(1/0.79941)</f>
        <v/>
      </c>
      <c r="F99" s="231">
        <f>([5]Consolidated!F99)*(1/0.79941)</f>
        <v/>
      </c>
      <c r="G99" s="231">
        <f>([5]Consolidated!G99)*(1/0.79941)</f>
        <v/>
      </c>
      <c r="H99" s="231">
        <f>([5]Consolidated!H99)*(1/0.79941)</f>
        <v/>
      </c>
      <c r="I99" s="231">
        <f>([5]Consolidated!I99)*(1/0.79941)</f>
        <v/>
      </c>
      <c r="J99" s="235">
        <f>([5]Consolidated!J99)*(1/0.79941)</f>
        <v/>
      </c>
      <c r="K99" s="185" t="n"/>
      <c r="L99" s="233">
        <f>([5]Consolidated!L99)*(1/0.79941)</f>
        <v/>
      </c>
      <c r="M99" s="231">
        <f>([5]Consolidated!M99)*(1/0.79941)</f>
        <v/>
      </c>
      <c r="N99" s="234">
        <f>([5]Consolidated!N99)*(1/0.79941)</f>
        <v/>
      </c>
    </row>
    <row r="100" ht="13.5" customHeight="1" s="150">
      <c r="C100" s="228" t="inlineStr">
        <is>
          <t>Staff expenses</t>
        </is>
      </c>
      <c r="D100" s="236">
        <f>([5]Consolidated!D100)*(1/0.79941)</f>
        <v/>
      </c>
      <c r="E100" s="236">
        <f>([5]Consolidated!E100)*(1/0.79941)</f>
        <v/>
      </c>
      <c r="F100" s="236">
        <f>([5]Consolidated!F100)*(1/0.79941)</f>
        <v/>
      </c>
      <c r="G100" s="236">
        <f>([5]Consolidated!G100)*(1/0.79941)</f>
        <v/>
      </c>
      <c r="H100" s="236">
        <f>([5]Consolidated!H100)*(1/0.79941)</f>
        <v/>
      </c>
      <c r="I100" s="236">
        <f>([5]Consolidated!I100)*(1/0.79941)</f>
        <v/>
      </c>
      <c r="J100" s="237">
        <f>([5]Consolidated!J100)*(1/0.79941)</f>
        <v/>
      </c>
      <c r="K100" s="185" t="n"/>
      <c r="L100" s="237">
        <f>([5]Consolidated!L100)*(1/0.79941)</f>
        <v/>
      </c>
      <c r="M100" s="236">
        <f>([5]Consolidated!M100)*(1/0.79941)</f>
        <v/>
      </c>
      <c r="N100" s="237">
        <f>([5]Consolidated!N100)*(1/0.79941)</f>
        <v/>
      </c>
    </row>
    <row r="101" ht="12.75" customHeight="1" s="150">
      <c r="C101" s="224" t="inlineStr">
        <is>
          <t>Hardware expenses</t>
        </is>
      </c>
      <c r="D101" s="231">
        <f>([5]Consolidated!D101)*(1/0.79941)</f>
        <v/>
      </c>
      <c r="E101" s="231">
        <f>([5]Consolidated!E101)*(1/0.79941)</f>
        <v/>
      </c>
      <c r="F101" s="231">
        <f>([5]Consolidated!F101)*(1/0.79941)</f>
        <v/>
      </c>
      <c r="G101" s="231">
        <f>([5]Consolidated!G101)*(1/0.79941)</f>
        <v/>
      </c>
      <c r="H101" s="231">
        <f>([5]Consolidated!H101)*(1/0.79941)</f>
        <v/>
      </c>
      <c r="I101" s="231">
        <f>([5]Consolidated!I101)*(1/0.79941)</f>
        <v/>
      </c>
      <c r="J101" s="233">
        <f>([5]Consolidated!J101)*(1/0.79941)</f>
        <v/>
      </c>
      <c r="K101" s="185" t="n"/>
      <c r="L101" s="233">
        <f>([5]Consolidated!L101)*(1/0.79941)</f>
        <v/>
      </c>
      <c r="M101" s="231">
        <f>([5]Consolidated!M101)*(1/0.79941)</f>
        <v/>
      </c>
      <c r="N101" s="234">
        <f>([5]Consolidated!N101)*(1/0.79941)</f>
        <v/>
      </c>
    </row>
    <row r="102" ht="12.75" customHeight="1" s="150">
      <c r="C102" s="224" t="inlineStr">
        <is>
          <t>Leasing/renting hardware</t>
        </is>
      </c>
      <c r="D102" s="231">
        <f>([5]Consolidated!D102)*(1/0.79941)</f>
        <v/>
      </c>
      <c r="E102" s="231">
        <f>([5]Consolidated!E102)*(1/0.79941)</f>
        <v/>
      </c>
      <c r="F102" s="231">
        <f>([5]Consolidated!F102)*(1/0.79941)</f>
        <v/>
      </c>
      <c r="G102" s="231">
        <f>([5]Consolidated!G102)*(1/0.79941)</f>
        <v/>
      </c>
      <c r="H102" s="231">
        <f>([5]Consolidated!H102)*(1/0.79941)</f>
        <v/>
      </c>
      <c r="I102" s="231">
        <f>([5]Consolidated!I102)*(1/0.79941)</f>
        <v/>
      </c>
      <c r="J102" s="233">
        <f>([5]Consolidated!J102)*(1/0.79941)</f>
        <v/>
      </c>
      <c r="K102" s="185" t="n"/>
      <c r="L102" s="233">
        <f>([5]Consolidated!L102)*(1/0.79941)</f>
        <v/>
      </c>
      <c r="M102" s="231">
        <f>([5]Consolidated!M102)*(1/0.79941)</f>
        <v/>
      </c>
      <c r="N102" s="234">
        <f>([5]Consolidated!N102)*(1/0.79941)</f>
        <v/>
      </c>
    </row>
    <row r="103" ht="12.75" customHeight="1" s="150">
      <c r="C103" s="224" t="inlineStr">
        <is>
          <t>Software expenses</t>
        </is>
      </c>
      <c r="D103" s="231">
        <f>([5]Consolidated!D103)*(1/0.79941)</f>
        <v/>
      </c>
      <c r="E103" s="231">
        <f>([5]Consolidated!E103)*(1/0.79941)</f>
        <v/>
      </c>
      <c r="F103" s="231">
        <f>([5]Consolidated!F103)*(1/0.79941)</f>
        <v/>
      </c>
      <c r="G103" s="231">
        <f>([5]Consolidated!G103)*(1/0.79941)</f>
        <v/>
      </c>
      <c r="H103" s="231">
        <f>([5]Consolidated!H103)*(1/0.79941)</f>
        <v/>
      </c>
      <c r="I103" s="231">
        <f>([5]Consolidated!I103)*(1/0.79941)</f>
        <v/>
      </c>
      <c r="J103" s="233">
        <f>([5]Consolidated!J103)*(1/0.79941)</f>
        <v/>
      </c>
      <c r="K103" s="185" t="n"/>
      <c r="L103" s="233">
        <f>([5]Consolidated!L103)*(1/0.79941)</f>
        <v/>
      </c>
      <c r="M103" s="231">
        <f>([5]Consolidated!M103)*(1/0.79941)</f>
        <v/>
      </c>
      <c r="N103" s="234">
        <f>([5]Consolidated!N103)*(1/0.79941)</f>
        <v/>
      </c>
    </row>
    <row r="104" ht="12.75" customHeight="1" s="150">
      <c r="C104" s="224" t="inlineStr">
        <is>
          <t>Leasing/renting/licenses sw</t>
        </is>
      </c>
      <c r="D104" s="231">
        <f>([5]Consolidated!D104)*(1/0.79941)</f>
        <v/>
      </c>
      <c r="E104" s="231">
        <f>([5]Consolidated!E104)*(1/0.79941)</f>
        <v/>
      </c>
      <c r="F104" s="231">
        <f>([5]Consolidated!F104)*(1/0.79941)</f>
        <v/>
      </c>
      <c r="G104" s="231">
        <f>([5]Consolidated!G104)*(1/0.79941)</f>
        <v/>
      </c>
      <c r="H104" s="231">
        <f>([5]Consolidated!H104)*(1/0.79941)</f>
        <v/>
      </c>
      <c r="I104" s="231">
        <f>([5]Consolidated!I104)*(1/0.79941)</f>
        <v/>
      </c>
      <c r="J104" s="233">
        <f>([5]Consolidated!J104)*(1/0.79941)</f>
        <v/>
      </c>
      <c r="K104" s="185" t="n"/>
      <c r="L104" s="233">
        <f>([5]Consolidated!L104)*(1/0.79941)</f>
        <v/>
      </c>
      <c r="M104" s="231">
        <f>([5]Consolidated!M104)*(1/0.79941)</f>
        <v/>
      </c>
      <c r="N104" s="234">
        <f>([5]Consolidated!N104)*(1/0.79941)</f>
        <v/>
      </c>
    </row>
    <row r="105" ht="12.75" customHeight="1" s="150">
      <c r="C105" s="224" t="inlineStr">
        <is>
          <t>Depreciation hardware</t>
        </is>
      </c>
      <c r="D105" s="231">
        <f>([5]Consolidated!D105)*(1/0.79941)</f>
        <v/>
      </c>
      <c r="E105" s="231">
        <f>([5]Consolidated!E105)*(1/0.79941)</f>
        <v/>
      </c>
      <c r="F105" s="231">
        <f>([5]Consolidated!F105)*(1/0.79941)</f>
        <v/>
      </c>
      <c r="G105" s="231">
        <f>([5]Consolidated!G105)*(1/0.79941)</f>
        <v/>
      </c>
      <c r="H105" s="231">
        <f>([5]Consolidated!H105)*(1/0.79941)</f>
        <v/>
      </c>
      <c r="I105" s="231">
        <f>([5]Consolidated!I105)*(1/0.79941)</f>
        <v/>
      </c>
      <c r="J105" s="233">
        <f>([5]Consolidated!J105)*(1/0.79941)</f>
        <v/>
      </c>
      <c r="K105" s="185" t="n"/>
      <c r="L105" s="233">
        <f>([5]Consolidated!L105)*(1/0.79941)</f>
        <v/>
      </c>
      <c r="M105" s="231">
        <f>([5]Consolidated!M105)*(1/0.79941)</f>
        <v/>
      </c>
      <c r="N105" s="234">
        <f>([5]Consolidated!N105)*(1/0.79941)</f>
        <v/>
      </c>
    </row>
    <row r="106" ht="12.75" customHeight="1" s="150">
      <c r="C106" s="224" t="inlineStr">
        <is>
          <t>Depreciation software</t>
        </is>
      </c>
      <c r="D106" s="231">
        <f>([5]Consolidated!D106)*(1/0.79941)</f>
        <v/>
      </c>
      <c r="E106" s="231">
        <f>([5]Consolidated!E106)*(1/0.79941)</f>
        <v/>
      </c>
      <c r="F106" s="231">
        <f>([5]Consolidated!F106)*(1/0.79941)</f>
        <v/>
      </c>
      <c r="G106" s="231">
        <f>([5]Consolidated!G106)*(1/0.79941)</f>
        <v/>
      </c>
      <c r="H106" s="231">
        <f>([5]Consolidated!H106)*(1/0.79941)</f>
        <v/>
      </c>
      <c r="I106" s="231">
        <f>([5]Consolidated!I106)*(1/0.79941)</f>
        <v/>
      </c>
      <c r="J106" s="233">
        <f>([5]Consolidated!J106)*(1/0.79941)</f>
        <v/>
      </c>
      <c r="K106" s="185" t="n"/>
      <c r="L106" s="233">
        <f>([5]Consolidated!L106)*(1/0.79941)</f>
        <v/>
      </c>
      <c r="M106" s="231">
        <f>([5]Consolidated!M106)*(1/0.79941)</f>
        <v/>
      </c>
      <c r="N106" s="234">
        <f>([5]Consolidated!N106)*(1/0.79941)</f>
        <v/>
      </c>
    </row>
    <row r="107" ht="12.75" customHeight="1" s="150">
      <c r="C107" s="224" t="inlineStr">
        <is>
          <t>Outsourcing IT activities</t>
        </is>
      </c>
      <c r="D107" s="231">
        <f>([5]Consolidated!D107)*(1/0.79941)</f>
        <v/>
      </c>
      <c r="E107" s="231">
        <f>([5]Consolidated!E107)*(1/0.79941)</f>
        <v/>
      </c>
      <c r="F107" s="231">
        <f>([5]Consolidated!F107)*(1/0.79941)</f>
        <v/>
      </c>
      <c r="G107" s="231">
        <f>([5]Consolidated!G107)*(1/0.79941)</f>
        <v/>
      </c>
      <c r="H107" s="231">
        <f>([5]Consolidated!H107)*(1/0.79941)</f>
        <v/>
      </c>
      <c r="I107" s="231">
        <f>([5]Consolidated!I107)*(1/0.79941)</f>
        <v/>
      </c>
      <c r="J107" s="233">
        <f>([5]Consolidated!J107)*(1/0.79941)</f>
        <v/>
      </c>
      <c r="K107" s="185" t="n"/>
      <c r="L107" s="233">
        <f>([5]Consolidated!L107)*(1/0.79941)</f>
        <v/>
      </c>
      <c r="M107" s="231">
        <f>([5]Consolidated!M107)*(1/0.79941)</f>
        <v/>
      </c>
      <c r="N107" s="234">
        <f>([5]Consolidated!N107)*(1/0.79941)</f>
        <v/>
      </c>
    </row>
    <row r="108" ht="12.75" customHeight="1" s="150">
      <c r="C108" s="224" t="inlineStr">
        <is>
          <t>Other IT expenses</t>
        </is>
      </c>
      <c r="D108" s="231">
        <f>([5]Consolidated!D108)*(1/0.79941)</f>
        <v/>
      </c>
      <c r="E108" s="231">
        <f>([5]Consolidated!E108)*(1/0.79941)</f>
        <v/>
      </c>
      <c r="F108" s="231">
        <f>([5]Consolidated!F108)*(1/0.79941)</f>
        <v/>
      </c>
      <c r="G108" s="231">
        <f>([5]Consolidated!G108)*(1/0.79941)</f>
        <v/>
      </c>
      <c r="H108" s="231">
        <f>([5]Consolidated!H108)*(1/0.79941)</f>
        <v/>
      </c>
      <c r="I108" s="231">
        <f>([5]Consolidated!I108)*(1/0.79941)</f>
        <v/>
      </c>
      <c r="J108" s="233">
        <f>([5]Consolidated!J108)*(1/0.79941)</f>
        <v/>
      </c>
      <c r="K108" s="185" t="n"/>
      <c r="L108" s="233">
        <f>([5]Consolidated!L108)*(1/0.79941)</f>
        <v/>
      </c>
      <c r="M108" s="231">
        <f>([5]Consolidated!M108)*(1/0.79941)</f>
        <v/>
      </c>
      <c r="N108" s="234">
        <f>([5]Consolidated!N108)*(1/0.79941)</f>
        <v/>
      </c>
    </row>
    <row r="109" ht="13.5" customHeight="1" s="150">
      <c r="C109" s="228" t="inlineStr">
        <is>
          <t>EDP expenses</t>
        </is>
      </c>
      <c r="D109" s="236">
        <f>([5]Consolidated!D109)*(1/0.79941)</f>
        <v/>
      </c>
      <c r="E109" s="236">
        <f>([5]Consolidated!E109)*(1/0.79941)</f>
        <v/>
      </c>
      <c r="F109" s="236">
        <f>([5]Consolidated!F109)*(1/0.79941)</f>
        <v/>
      </c>
      <c r="G109" s="236">
        <f>([5]Consolidated!G109)*(1/0.79941)</f>
        <v/>
      </c>
      <c r="H109" s="236">
        <f>([5]Consolidated!H109)*(1/0.79941)</f>
        <v/>
      </c>
      <c r="I109" s="236">
        <f>([5]Consolidated!I109)*(1/0.79941)</f>
        <v/>
      </c>
      <c r="J109" s="237">
        <f>([5]Consolidated!J109)*(1/0.79941)</f>
        <v/>
      </c>
      <c r="K109" s="185" t="n"/>
      <c r="L109" s="237">
        <f>([5]Consolidated!L109)*(1/0.79941)</f>
        <v/>
      </c>
      <c r="M109" s="236">
        <f>([5]Consolidated!M109)*(1/0.79941)</f>
        <v/>
      </c>
      <c r="N109" s="237">
        <f>([5]Consolidated!N109)*(1/0.79941)</f>
        <v/>
      </c>
    </row>
    <row r="110" ht="12.75" customHeight="1" s="150">
      <c r="C110" s="224" t="inlineStr">
        <is>
          <t>Telecom expenses</t>
        </is>
      </c>
      <c r="D110" s="231">
        <f>([5]Consolidated!D110)*(1/0.79941)</f>
        <v/>
      </c>
      <c r="E110" s="231">
        <f>([5]Consolidated!E110)*(1/0.79941)</f>
        <v/>
      </c>
      <c r="F110" s="231">
        <f>([5]Consolidated!F110)*(1/0.79941)</f>
        <v/>
      </c>
      <c r="G110" s="231">
        <f>([5]Consolidated!G110)*(1/0.79941)</f>
        <v/>
      </c>
      <c r="H110" s="231">
        <f>([5]Consolidated!H110)*(1/0.79941)</f>
        <v/>
      </c>
      <c r="I110" s="231">
        <f>([5]Consolidated!I110)*(1/0.79941)</f>
        <v/>
      </c>
      <c r="J110" s="233">
        <f>([5]Consolidated!J110)*(1/0.79941)</f>
        <v/>
      </c>
      <c r="K110" s="185" t="n"/>
      <c r="L110" s="233">
        <f>([5]Consolidated!L110)*(1/0.79941)</f>
        <v/>
      </c>
      <c r="M110" s="231">
        <f>([5]Consolidated!M110)*(1/0.79941)</f>
        <v/>
      </c>
      <c r="N110" s="234">
        <f>([5]Consolidated!N110)*(1/0.79941)</f>
        <v/>
      </c>
    </row>
    <row r="111" ht="12.75" customHeight="1" s="150">
      <c r="C111" s="224" t="inlineStr">
        <is>
          <t>Office equipment and supplies</t>
        </is>
      </c>
      <c r="D111" s="231">
        <f>([5]Consolidated!D111)*(1/0.79941)</f>
        <v/>
      </c>
      <c r="E111" s="231">
        <f>([5]Consolidated!E111)*(1/0.79941)</f>
        <v/>
      </c>
      <c r="F111" s="231">
        <f>([5]Consolidated!F111)*(1/0.79941)</f>
        <v/>
      </c>
      <c r="G111" s="231">
        <f>([5]Consolidated!G111)*(1/0.79941)</f>
        <v/>
      </c>
      <c r="H111" s="231">
        <f>([5]Consolidated!H111)*(1/0.79941)</f>
        <v/>
      </c>
      <c r="I111" s="231">
        <f>([5]Consolidated!I111)*(1/0.79941)</f>
        <v/>
      </c>
      <c r="J111" s="233">
        <f>([5]Consolidated!J111)*(1/0.79941)</f>
        <v/>
      </c>
      <c r="K111" s="185" t="n"/>
      <c r="L111" s="233">
        <f>([5]Consolidated!L111)*(1/0.79941)</f>
        <v/>
      </c>
      <c r="M111" s="231">
        <f>([5]Consolidated!M111)*(1/0.79941)</f>
        <v/>
      </c>
      <c r="N111" s="234">
        <f>([5]Consolidated!N111)*(1/0.79941)</f>
        <v/>
      </c>
    </row>
    <row r="112" ht="12.75" customHeight="1" s="150">
      <c r="C112" s="224" t="inlineStr">
        <is>
          <t>Accomodation expenses</t>
        </is>
      </c>
      <c r="D112" s="231">
        <f>([5]Consolidated!D112)*(1/0.79941)</f>
        <v/>
      </c>
      <c r="E112" s="231">
        <f>([5]Consolidated!E112)*(1/0.79941)</f>
        <v/>
      </c>
      <c r="F112" s="231">
        <f>([5]Consolidated!F112)*(1/0.79941)</f>
        <v/>
      </c>
      <c r="G112" s="231">
        <f>([5]Consolidated!G112)*(1/0.79941)</f>
        <v/>
      </c>
      <c r="H112" s="231">
        <f>([5]Consolidated!H112)*(1/0.79941)</f>
        <v/>
      </c>
      <c r="I112" s="231">
        <f>([5]Consolidated!I112)*(1/0.79941)</f>
        <v/>
      </c>
      <c r="J112" s="233">
        <f>([5]Consolidated!J112)*(1/0.79941)</f>
        <v/>
      </c>
      <c r="K112" s="185" t="n"/>
      <c r="L112" s="233">
        <f>([5]Consolidated!L112)*(1/0.79941)</f>
        <v/>
      </c>
      <c r="M112" s="231">
        <f>([5]Consolidated!M112)*(1/0.79941)</f>
        <v/>
      </c>
      <c r="N112" s="234">
        <f>([5]Consolidated!N112)*(1/0.79941)</f>
        <v/>
      </c>
    </row>
    <row r="113" ht="12.75" customHeight="1" s="150">
      <c r="C113" s="224" t="inlineStr">
        <is>
          <t>Travel costs</t>
        </is>
      </c>
      <c r="D113" s="231">
        <f>([5]Consolidated!D113)*(1/0.79941)</f>
        <v/>
      </c>
      <c r="E113" s="231">
        <f>([5]Consolidated!E113)*(1/0.79941)</f>
        <v/>
      </c>
      <c r="F113" s="231">
        <f>([5]Consolidated!F113)*(1/0.79941)</f>
        <v/>
      </c>
      <c r="G113" s="231">
        <f>([5]Consolidated!G113)*(1/0.79941)</f>
        <v/>
      </c>
      <c r="H113" s="231">
        <f>([5]Consolidated!H113)*(1/0.79941)</f>
        <v/>
      </c>
      <c r="I113" s="231">
        <f>([5]Consolidated!I113)*(1/0.79941)</f>
        <v/>
      </c>
      <c r="J113" s="233">
        <f>([5]Consolidated!J113)*(1/0.79941)</f>
        <v/>
      </c>
      <c r="K113" s="185" t="n"/>
      <c r="L113" s="233">
        <f>([5]Consolidated!L113)*(1/0.79941)</f>
        <v/>
      </c>
      <c r="M113" s="231">
        <f>([5]Consolidated!M113)*(1/0.79941)</f>
        <v/>
      </c>
      <c r="N113" s="234">
        <f>([5]Consolidated!N113)*(1/0.79941)</f>
        <v/>
      </c>
    </row>
    <row r="114" ht="12.75" customHeight="1" s="150">
      <c r="C114" s="224" t="inlineStr">
        <is>
          <t>Postal and freight charges</t>
        </is>
      </c>
      <c r="D114" s="231">
        <f>([5]Consolidated!D114)*(1/0.79941)</f>
        <v/>
      </c>
      <c r="E114" s="231">
        <f>([5]Consolidated!E114)*(1/0.79941)</f>
        <v/>
      </c>
      <c r="F114" s="231">
        <f>([5]Consolidated!F114)*(1/0.79941)</f>
        <v/>
      </c>
      <c r="G114" s="231">
        <f>([5]Consolidated!G114)*(1/0.79941)</f>
        <v/>
      </c>
      <c r="H114" s="231">
        <f>([5]Consolidated!H114)*(1/0.79941)</f>
        <v/>
      </c>
      <c r="I114" s="231">
        <f>([5]Consolidated!I114)*(1/0.79941)</f>
        <v/>
      </c>
      <c r="J114" s="233">
        <f>([5]Consolidated!J114)*(1/0.79941)</f>
        <v/>
      </c>
      <c r="K114" s="185" t="n"/>
      <c r="L114" s="233">
        <f>([5]Consolidated!L114)*(1/0.79941)</f>
        <v/>
      </c>
      <c r="M114" s="231">
        <f>([5]Consolidated!M114)*(1/0.79941)</f>
        <v/>
      </c>
      <c r="N114" s="234">
        <f>([5]Consolidated!N114)*(1/0.79941)</f>
        <v/>
      </c>
    </row>
    <row r="115" ht="12.75" customHeight="1" s="150">
      <c r="C115" s="224" t="inlineStr">
        <is>
          <t>Prof serv and ext advisory fee</t>
        </is>
      </c>
      <c r="D115" s="231">
        <f>([5]Consolidated!D115)*(1/0.79941)</f>
        <v/>
      </c>
      <c r="E115" s="231">
        <f>([5]Consolidated!E115)*(1/0.79941)</f>
        <v/>
      </c>
      <c r="F115" s="231">
        <f>([5]Consolidated!F115)*(1/0.79941)</f>
        <v/>
      </c>
      <c r="G115" s="231">
        <f>([5]Consolidated!G115)*(1/0.79941)</f>
        <v/>
      </c>
      <c r="H115" s="231">
        <f>([5]Consolidated!H115)*(1/0.79941)</f>
        <v/>
      </c>
      <c r="I115" s="231">
        <f>([5]Consolidated!I115)*(1/0.79941)</f>
        <v/>
      </c>
      <c r="J115" s="233">
        <f>([5]Consolidated!J115)*(1/0.79941)</f>
        <v/>
      </c>
      <c r="K115" s="185" t="n"/>
      <c r="L115" s="233">
        <f>([5]Consolidated!L115)*(1/0.79941)</f>
        <v/>
      </c>
      <c r="M115" s="231">
        <f>([5]Consolidated!M115)*(1/0.79941)</f>
        <v/>
      </c>
      <c r="N115" s="234">
        <f>([5]Consolidated!N115)*(1/0.79941)</f>
        <v/>
      </c>
    </row>
    <row r="116" ht="12.75" customHeight="1" s="150">
      <c r="C116" s="224" t="inlineStr">
        <is>
          <t>Payment transfer expenses</t>
        </is>
      </c>
      <c r="D116" s="231">
        <f>([5]Consolidated!D116)*(1/0.79941)</f>
        <v/>
      </c>
      <c r="E116" s="231">
        <f>([5]Consolidated!E116)*(1/0.79941)</f>
        <v/>
      </c>
      <c r="F116" s="231">
        <f>([5]Consolidated!F116)*(1/0.79941)</f>
        <v/>
      </c>
      <c r="G116" s="231">
        <f>([5]Consolidated!G116)*(1/0.79941)</f>
        <v/>
      </c>
      <c r="H116" s="231">
        <f>([5]Consolidated!H116)*(1/0.79941)</f>
        <v/>
      </c>
      <c r="I116" s="231">
        <f>([5]Consolidated!I116)*(1/0.79941)</f>
        <v/>
      </c>
      <c r="J116" s="233">
        <f>([5]Consolidated!J116)*(1/0.79941)</f>
        <v/>
      </c>
      <c r="K116" s="185" t="n"/>
      <c r="L116" s="233">
        <f>([5]Consolidated!L116)*(1/0.79941)</f>
        <v/>
      </c>
      <c r="M116" s="231">
        <f>([5]Consolidated!M116)*(1/0.79941)</f>
        <v/>
      </c>
      <c r="N116" s="234">
        <f>([5]Consolidated!N116)*(1/0.79941)</f>
        <v/>
      </c>
    </row>
    <row r="117" ht="12.75" customHeight="1" s="150">
      <c r="C117" s="224" t="inlineStr">
        <is>
          <t>Other costs</t>
        </is>
      </c>
      <c r="D117" s="231">
        <f>([5]Consolidated!D117)*(1/0.79941)</f>
        <v/>
      </c>
      <c r="E117" s="231">
        <f>([5]Consolidated!E117)*(1/0.79941)</f>
        <v/>
      </c>
      <c r="F117" s="231">
        <f>([5]Consolidated!F117)*(1/0.79941)</f>
        <v/>
      </c>
      <c r="G117" s="231">
        <f>([5]Consolidated!G117)*(1/0.79941)</f>
        <v/>
      </c>
      <c r="H117" s="231">
        <f>([5]Consolidated!H117)*(1/0.79941)</f>
        <v/>
      </c>
      <c r="I117" s="231">
        <f>([5]Consolidated!I117)*(1/0.79941)</f>
        <v/>
      </c>
      <c r="J117" s="233">
        <f>([5]Consolidated!J117)*(1/0.79941)</f>
        <v/>
      </c>
      <c r="K117" s="185" t="n"/>
      <c r="L117" s="233">
        <f>([5]Consolidated!L117)*(1/0.79941)</f>
        <v/>
      </c>
      <c r="M117" s="231">
        <f>([5]Consolidated!M117)*(1/0.79941)</f>
        <v/>
      </c>
      <c r="N117" s="234">
        <f>([5]Consolidated!N117)*(1/0.79941)</f>
        <v/>
      </c>
    </row>
    <row r="118" ht="13.5" customHeight="1" s="150">
      <c r="C118" s="228" t="inlineStr">
        <is>
          <t>General expenses</t>
        </is>
      </c>
      <c r="D118" s="236">
        <f>([5]Consolidated!D118)*(1/0.79941)</f>
        <v/>
      </c>
      <c r="E118" s="236">
        <f>([5]Consolidated!E118)*(1/0.79941)</f>
        <v/>
      </c>
      <c r="F118" s="236">
        <f>([5]Consolidated!F118)*(1/0.79941)</f>
        <v/>
      </c>
      <c r="G118" s="236">
        <f>([5]Consolidated!G118)*(1/0.79941)</f>
        <v/>
      </c>
      <c r="H118" s="236">
        <f>([5]Consolidated!H118)*(1/0.79941)</f>
        <v/>
      </c>
      <c r="I118" s="236">
        <f>([5]Consolidated!I118)*(1/0.79941)</f>
        <v/>
      </c>
      <c r="J118" s="237">
        <f>([5]Consolidated!J118)*(1/0.79941)</f>
        <v/>
      </c>
      <c r="K118" s="185" t="n"/>
      <c r="L118" s="237">
        <f>([5]Consolidated!L118)*(1/0.79941)</f>
        <v/>
      </c>
      <c r="M118" s="236">
        <f>([5]Consolidated!M118)*(1/0.79941)</f>
        <v/>
      </c>
      <c r="N118" s="237">
        <f>([5]Consolidated!N118)*(1/0.79941)</f>
        <v/>
      </c>
    </row>
    <row r="119" ht="12.75" customHeight="1" s="150">
      <c r="C119" s="224" t="inlineStr">
        <is>
          <t>Own expenses</t>
        </is>
      </c>
      <c r="D119" s="231">
        <f>([5]Consolidated!D119)*(1/0.79941)</f>
        <v/>
      </c>
      <c r="E119" s="231">
        <f>([5]Consolidated!E119)*(1/0.79941)</f>
        <v/>
      </c>
      <c r="F119" s="231">
        <f>([5]Consolidated!F119)*(1/0.79941)</f>
        <v/>
      </c>
      <c r="G119" s="231">
        <f>([5]Consolidated!G119)*(1/0.79941)</f>
        <v/>
      </c>
      <c r="H119" s="231">
        <f>([5]Consolidated!H119)*(1/0.79941)</f>
        <v/>
      </c>
      <c r="I119" s="231">
        <f>([5]Consolidated!I119)*(1/0.79941)</f>
        <v/>
      </c>
      <c r="J119" s="233">
        <f>([5]Consolidated!J119)*(1/0.79941)</f>
        <v/>
      </c>
      <c r="K119" s="185" t="n"/>
      <c r="L119" s="233">
        <f>([5]Consolidated!L119)*(1/0.79941)</f>
        <v/>
      </c>
      <c r="M119" s="231">
        <f>([5]Consolidated!M119)*(1/0.79941)</f>
        <v/>
      </c>
      <c r="N119" s="238">
        <f>([5]Consolidated!N119)*(1/0.79941)</f>
        <v/>
      </c>
    </row>
    <row r="120" ht="12.75" customHeight="1" s="150">
      <c r="C120" s="224" t="inlineStr">
        <is>
          <t>Other expenses</t>
        </is>
      </c>
      <c r="D120" s="231">
        <f>([5]Consolidated!D120)*(1/0.79941)</f>
        <v/>
      </c>
      <c r="E120" s="231">
        <f>([5]Consolidated!E120)*(1/0.79941)</f>
        <v/>
      </c>
      <c r="F120" s="231">
        <f>([5]Consolidated!F120)*(1/0.79941)</f>
        <v/>
      </c>
      <c r="G120" s="231">
        <f>([5]Consolidated!G120)*(1/0.79941)</f>
        <v/>
      </c>
      <c r="H120" s="231">
        <f>([5]Consolidated!H120)*(1/0.79941)</f>
        <v/>
      </c>
      <c r="I120" s="231">
        <f>([5]Consolidated!I120)*(1/0.79941)</f>
        <v/>
      </c>
      <c r="J120" s="233">
        <f>([5]Consolidated!J120)*(1/0.79941)</f>
        <v/>
      </c>
      <c r="K120" s="185" t="n"/>
      <c r="L120" s="233">
        <f>([5]Consolidated!L120)*(1/0.79941)</f>
        <v/>
      </c>
      <c r="M120" s="231">
        <f>([5]Consolidated!M120)*(1/0.79941)</f>
        <v/>
      </c>
      <c r="N120" s="234">
        <f>([5]Consolidated!N120)*(1/0.79941)</f>
        <v/>
      </c>
    </row>
    <row r="121" ht="13.5" customHeight="1" s="150">
      <c r="C121" s="228" t="inlineStr">
        <is>
          <t xml:space="preserve">Operating expenses </t>
        </is>
      </c>
      <c r="D121" s="236">
        <f>([5]Consolidated!D121)*(1/0.79941)</f>
        <v/>
      </c>
      <c r="E121" s="236">
        <f>([5]Consolidated!E121)*(1/0.79941)</f>
        <v/>
      </c>
      <c r="F121" s="236">
        <f>([5]Consolidated!F121)*(1/0.79941)</f>
        <v/>
      </c>
      <c r="G121" s="236">
        <f>([5]Consolidated!G121)*(1/0.79941)</f>
        <v/>
      </c>
      <c r="H121" s="236">
        <f>([5]Consolidated!H121)*(1/0.79941)</f>
        <v/>
      </c>
      <c r="I121" s="236">
        <f>([5]Consolidated!I121)*(1/0.79941)</f>
        <v/>
      </c>
      <c r="J121" s="237">
        <f>([5]Consolidated!J121)*(1/0.79941)</f>
        <v/>
      </c>
      <c r="K121" s="185" t="n"/>
      <c r="L121" s="237">
        <f>([5]Consolidated!L121)*(1/0.79941)</f>
        <v/>
      </c>
      <c r="M121" s="236">
        <f>([5]Consolidated!M121)*(1/0.79941)</f>
        <v/>
      </c>
      <c r="N121" s="237">
        <f>([5]Consolidated!N121)*(1/0.79941)</f>
        <v/>
      </c>
    </row>
    <row r="122" ht="12.75" customHeight="1" s="150">
      <c r="C122" s="224" t="n"/>
      <c r="D122" s="231">
        <f>0*(1/0.79941)</f>
        <v/>
      </c>
      <c r="E122" s="231">
        <f>0*(1/0.79941)</f>
        <v/>
      </c>
      <c r="F122" s="231">
        <f>0*(1/0.79941)</f>
        <v/>
      </c>
      <c r="G122" s="231">
        <f>0*(1/0.79941)</f>
        <v/>
      </c>
      <c r="H122" s="231">
        <f>0*(1/0.79941)</f>
        <v/>
      </c>
      <c r="I122" s="231">
        <f>0*(1/0.79941)</f>
        <v/>
      </c>
      <c r="J122" s="239">
        <f>0*(1/0.79941)</f>
        <v/>
      </c>
      <c r="K122" s="185" t="n"/>
      <c r="L122" s="233">
        <f>0*(1/0.79941)</f>
        <v/>
      </c>
      <c r="M122" s="231">
        <f>0*(1/0.79941)</f>
        <v/>
      </c>
      <c r="N122" s="239">
        <f>0*(1/0.79941)</f>
        <v/>
      </c>
    </row>
    <row r="123" ht="12.75" customHeight="1" s="150">
      <c r="C123" s="224" t="inlineStr">
        <is>
          <t>HR &amp; Comms</t>
        </is>
      </c>
      <c r="D123" s="231">
        <f>([5]Consolidated!D123)*(1/0.79941)</f>
        <v/>
      </c>
      <c r="E123" s="231">
        <f>([5]Consolidated!E123)*(1/0.79941)</f>
        <v/>
      </c>
      <c r="F123" s="231">
        <f>([5]Consolidated!F123)*(1/0.79941)</f>
        <v/>
      </c>
      <c r="G123" s="231">
        <f>([5]Consolidated!G123)*(1/0.79941)</f>
        <v/>
      </c>
      <c r="H123" s="231">
        <f>([5]Consolidated!H123)*(1/0.79941)</f>
        <v/>
      </c>
      <c r="I123" s="231">
        <f>([5]Consolidated!I123)*(1/0.79941)</f>
        <v/>
      </c>
      <c r="J123" s="233">
        <f>([5]Consolidated!J123)*(1/0.79941)</f>
        <v/>
      </c>
      <c r="K123" s="185" t="n"/>
      <c r="L123" s="233">
        <f>([5]Consolidated!L123)*(1/0.79941)</f>
        <v/>
      </c>
      <c r="M123" s="231">
        <f>([5]Consolidated!M123)*(1/0.79941)</f>
        <v/>
      </c>
      <c r="N123" s="234">
        <f>([5]Consolidated!N123)*(1/0.79941)</f>
        <v/>
      </c>
    </row>
    <row r="124" ht="12.75" customHeight="1" s="150">
      <c r="C124" s="224" t="inlineStr">
        <is>
          <t>Finance &amp; Business Support</t>
        </is>
      </c>
      <c r="D124" s="231">
        <f>([5]Consolidated!D124)*(1/0.79941)</f>
        <v/>
      </c>
      <c r="E124" s="231">
        <f>([5]Consolidated!E124)*(1/0.79941)</f>
        <v/>
      </c>
      <c r="F124" s="231">
        <f>([5]Consolidated!F124)*(1/0.79941)</f>
        <v/>
      </c>
      <c r="G124" s="231">
        <f>([5]Consolidated!G124)*(1/0.79941)</f>
        <v/>
      </c>
      <c r="H124" s="231">
        <f>([5]Consolidated!H124)*(1/0.79941)</f>
        <v/>
      </c>
      <c r="I124" s="231">
        <f>([5]Consolidated!I124)*(1/0.79941)</f>
        <v/>
      </c>
      <c r="J124" s="233">
        <f>([5]Consolidated!J124)*(1/0.79941)</f>
        <v/>
      </c>
      <c r="K124" s="185" t="n"/>
      <c r="L124" s="233">
        <f>([5]Consolidated!L124)*(1/0.79941)</f>
        <v/>
      </c>
      <c r="M124" s="231">
        <f>([5]Consolidated!M124)*(1/0.79941)</f>
        <v/>
      </c>
      <c r="N124" s="234">
        <f>([5]Consolidated!N124)*(1/0.79941)</f>
        <v/>
      </c>
    </row>
    <row r="125" ht="12.75" customHeight="1" s="150">
      <c r="C125" s="224" t="inlineStr">
        <is>
          <t>IT alloc</t>
        </is>
      </c>
      <c r="D125" s="231">
        <f>([5]Consolidated!D125)*(1/0.79941)</f>
        <v/>
      </c>
      <c r="E125" s="231">
        <f>([5]Consolidated!E125)*(1/0.79941)</f>
        <v/>
      </c>
      <c r="F125" s="231">
        <f>([5]Consolidated!F125)*(1/0.79941)</f>
        <v/>
      </c>
      <c r="G125" s="231">
        <f>([5]Consolidated!G125)*(1/0.79941)</f>
        <v/>
      </c>
      <c r="H125" s="231">
        <f>([5]Consolidated!H125)*(1/0.79941)</f>
        <v/>
      </c>
      <c r="I125" s="231">
        <f>([5]Consolidated!I125)*(1/0.79941)</f>
        <v/>
      </c>
      <c r="J125" s="233">
        <f>([5]Consolidated!J125)*(1/0.79941)</f>
        <v/>
      </c>
      <c r="K125" s="185" t="n"/>
      <c r="L125" s="233">
        <f>([5]Consolidated!L125)*(1/0.79941)</f>
        <v/>
      </c>
      <c r="M125" s="231">
        <f>([5]Consolidated!M125)*(1/0.79941)</f>
        <v/>
      </c>
      <c r="N125" s="234">
        <f>([5]Consolidated!N125)*(1/0.79941)</f>
        <v/>
      </c>
    </row>
    <row r="126" ht="12.75" customHeight="1" s="150">
      <c r="C126" s="224" t="inlineStr">
        <is>
          <t>Facilities Management</t>
        </is>
      </c>
      <c r="D126" s="231">
        <f>([5]Consolidated!D126)*(1/0.79941)</f>
        <v/>
      </c>
      <c r="E126" s="231">
        <f>([5]Consolidated!E126)*(1/0.79941)</f>
        <v/>
      </c>
      <c r="F126" s="231">
        <f>([5]Consolidated!F126)*(1/0.79941)</f>
        <v/>
      </c>
      <c r="G126" s="231">
        <f>([5]Consolidated!G126)*(1/0.79941)</f>
        <v/>
      </c>
      <c r="H126" s="231">
        <f>([5]Consolidated!H126)*(1/0.79941)</f>
        <v/>
      </c>
      <c r="I126" s="231">
        <f>([5]Consolidated!I126)*(1/0.79941)</f>
        <v/>
      </c>
      <c r="J126" s="233">
        <f>([5]Consolidated!J126)*(1/0.79941)</f>
        <v/>
      </c>
      <c r="K126" s="185" t="n"/>
      <c r="L126" s="233">
        <f>([5]Consolidated!L126)*(1/0.79941)</f>
        <v/>
      </c>
      <c r="M126" s="231">
        <f>([5]Consolidated!M126)*(1/0.79941)</f>
        <v/>
      </c>
      <c r="N126" s="234">
        <f>([5]Consolidated!N126)*(1/0.79941)</f>
        <v/>
      </c>
    </row>
    <row r="127" ht="13.5" customHeight="1" s="150">
      <c r="C127" s="228" t="inlineStr">
        <is>
          <t>Overheads</t>
        </is>
      </c>
      <c r="D127" s="236">
        <f>([5]Consolidated!D127)*(1/0.79941)</f>
        <v/>
      </c>
      <c r="E127" s="236">
        <f>([5]Consolidated!E127)*(1/0.79941)</f>
        <v/>
      </c>
      <c r="F127" s="236">
        <f>([5]Consolidated!F127)*(1/0.79941)</f>
        <v/>
      </c>
      <c r="G127" s="236">
        <f>([5]Consolidated!G127)*(1/0.79941)</f>
        <v/>
      </c>
      <c r="H127" s="236">
        <f>([5]Consolidated!H127)*(1/0.79941)</f>
        <v/>
      </c>
      <c r="I127" s="236">
        <f>([5]Consolidated!I127)*(1/0.79941)</f>
        <v/>
      </c>
      <c r="J127" s="237">
        <f>([5]Consolidated!J127)*(1/0.79941)</f>
        <v/>
      </c>
      <c r="K127" s="185" t="n"/>
      <c r="L127" s="237">
        <f>([5]Consolidated!L127)*(1/0.79941)</f>
        <v/>
      </c>
      <c r="M127" s="236">
        <f>([5]Consolidated!M127)*(1/0.79941)</f>
        <v/>
      </c>
      <c r="N127" s="237">
        <f>([5]Consolidated!N127)*(1/0.79941)</f>
        <v/>
      </c>
    </row>
    <row r="128" ht="12.75" customHeight="1" s="150">
      <c r="C128" s="224" t="n"/>
      <c r="D128" s="231">
        <f>0*(1/0.79941)</f>
        <v/>
      </c>
      <c r="E128" s="231">
        <f>0*(1/0.79941)</f>
        <v/>
      </c>
      <c r="F128" s="231">
        <f>0*(1/0.79941)</f>
        <v/>
      </c>
      <c r="G128" s="231">
        <f>0*(1/0.79941)</f>
        <v/>
      </c>
      <c r="H128" s="231">
        <f>0*(1/0.79941)</f>
        <v/>
      </c>
      <c r="I128" s="231">
        <f>0*(1/0.79941)</f>
        <v/>
      </c>
      <c r="J128" s="239">
        <f>0*(1/0.79941)</f>
        <v/>
      </c>
      <c r="K128" s="185" t="n"/>
      <c r="L128" s="233">
        <f>0*(1/0.79941)</f>
        <v/>
      </c>
      <c r="M128" s="231">
        <f>0*(1/0.79941)</f>
        <v/>
      </c>
      <c r="N128" s="239">
        <f>0*(1/0.79941)</f>
        <v/>
      </c>
    </row>
    <row r="129" ht="13.5" customHeight="1" s="150">
      <c r="C129" s="228" t="inlineStr">
        <is>
          <t>Total Operating Costs (incl. O/H)</t>
        </is>
      </c>
      <c r="D129" s="236">
        <f>([5]Consolidated!D129)*(1/0.79941)</f>
        <v/>
      </c>
      <c r="E129" s="236">
        <f>([5]Consolidated!E129)*(1/0.79941)</f>
        <v/>
      </c>
      <c r="F129" s="236">
        <f>([5]Consolidated!F129)*(1/0.79941)</f>
        <v/>
      </c>
      <c r="G129" s="236">
        <f>([5]Consolidated!G129)*(1/0.79941)</f>
        <v/>
      </c>
      <c r="H129" s="236">
        <f>([5]Consolidated!H129)*(1/0.79941)</f>
        <v/>
      </c>
      <c r="I129" s="236">
        <f>([5]Consolidated!I129)*(1/0.79941)</f>
        <v/>
      </c>
      <c r="J129" s="237">
        <f>([5]Consolidated!J129)*(1/0.79941)</f>
        <v/>
      </c>
      <c r="K129" s="185" t="n"/>
      <c r="L129" s="237">
        <f>([5]Consolidated!L129)*(1/0.79941)</f>
        <v/>
      </c>
      <c r="M129" s="236">
        <f>([5]Consolidated!M129)*(1/0.79941)</f>
        <v/>
      </c>
      <c r="N129" s="237">
        <f>([5]Consolidated!N129)*(1/0.79941)</f>
        <v/>
      </c>
    </row>
    <row r="130"/>
    <row r="131" ht="13.5" customHeight="1" s="150"/>
    <row r="132" ht="42" customHeight="1" s="150">
      <c r="C132" s="240" t="inlineStr">
        <is>
          <t>RETAINED COSTS
(US$  excl. VAT)</t>
        </is>
      </c>
      <c r="D132" s="241">
        <f>[5]Consolidated!D132</f>
        <v/>
      </c>
      <c r="E132" s="241">
        <f>[5]Consolidated!E132</f>
        <v/>
      </c>
      <c r="F132" s="241">
        <f>[5]Consolidated!F132</f>
        <v/>
      </c>
      <c r="G132" s="241">
        <f>[5]Consolidated!G132</f>
        <v/>
      </c>
      <c r="H132" s="241">
        <f>[5]Consolidated!H132</f>
        <v/>
      </c>
      <c r="I132" s="242">
        <f>[5]Consolidated!I132</f>
        <v/>
      </c>
      <c r="J132" s="243">
        <f>[5]Consolidated!J132</f>
        <v/>
      </c>
      <c r="K132" s="165" t="n"/>
      <c r="L132" s="241">
        <f>[5]Consolidated!L132</f>
        <v/>
      </c>
      <c r="M132" s="244">
        <f>[5]Consolidated!M132</f>
        <v/>
      </c>
      <c r="N132" s="241">
        <f>[5]Consolidated!N132</f>
        <v/>
      </c>
    </row>
    <row r="133" ht="12.75" customHeight="1" s="150">
      <c r="C133" s="245" t="inlineStr">
        <is>
          <t>Internal FTE</t>
        </is>
      </c>
      <c r="D133" s="254">
        <f>[5]Consolidated!D133</f>
        <v/>
      </c>
      <c r="E133" s="254">
        <f>[5]Consolidated!E133</f>
        <v/>
      </c>
      <c r="F133" s="254">
        <f>[5]Consolidated!F133</f>
        <v/>
      </c>
      <c r="G133" s="254">
        <f>[5]Consolidated!G133</f>
        <v/>
      </c>
      <c r="H133" s="254">
        <f>[5]Consolidated!H133</f>
        <v/>
      </c>
      <c r="I133" s="254">
        <f>[5]Consolidated!I133</f>
        <v/>
      </c>
      <c r="J133" s="291" t="n"/>
      <c r="K133" s="185" t="n"/>
      <c r="L133" s="256">
        <f>[5]Consolidated!L133</f>
        <v/>
      </c>
      <c r="M133" s="254">
        <f>[5]Consolidated!M133</f>
        <v/>
      </c>
      <c r="N133" s="249">
        <f>[5]Consolidated!N133</f>
        <v/>
      </c>
    </row>
    <row r="134" ht="12.75" customHeight="1" s="150">
      <c r="C134" s="245" t="inlineStr">
        <is>
          <t>External FTE</t>
        </is>
      </c>
      <c r="D134" s="254">
        <f>[5]Consolidated!D134</f>
        <v/>
      </c>
      <c r="E134" s="254">
        <f>[5]Consolidated!E134</f>
        <v/>
      </c>
      <c r="F134" s="254">
        <f>[5]Consolidated!F134</f>
        <v/>
      </c>
      <c r="G134" s="254">
        <f>[5]Consolidated!G134</f>
        <v/>
      </c>
      <c r="H134" s="254">
        <f>[5]Consolidated!H134</f>
        <v/>
      </c>
      <c r="I134" s="254">
        <f>[5]Consolidated!I134</f>
        <v/>
      </c>
      <c r="J134" s="291" t="n"/>
      <c r="K134" s="185" t="n"/>
      <c r="L134" s="256">
        <f>[5]Consolidated!L134</f>
        <v/>
      </c>
      <c r="M134" s="254">
        <f>[5]Consolidated!M134</f>
        <v/>
      </c>
      <c r="N134" s="249">
        <f>[5]Consolidated!N134</f>
        <v/>
      </c>
    </row>
    <row r="135" ht="13.5" customHeight="1" s="150">
      <c r="C135" s="250" t="inlineStr">
        <is>
          <t>Total FTE</t>
        </is>
      </c>
      <c r="D135" s="258">
        <f>[5]Consolidated!D135</f>
        <v/>
      </c>
      <c r="E135" s="258">
        <f>[5]Consolidated!E135</f>
        <v/>
      </c>
      <c r="F135" s="258">
        <f>[5]Consolidated!F135</f>
        <v/>
      </c>
      <c r="G135" s="258">
        <f>[5]Consolidated!G135</f>
        <v/>
      </c>
      <c r="H135" s="258">
        <f>[5]Consolidated!H135</f>
        <v/>
      </c>
      <c r="I135" s="258">
        <f>[5]Consolidated!I135</f>
        <v/>
      </c>
      <c r="J135" s="292" t="n"/>
      <c r="K135" s="185" t="n"/>
      <c r="L135" s="253">
        <f>[5]Consolidated!L135</f>
        <v/>
      </c>
      <c r="M135" s="258">
        <f>[5]Consolidated!M135</f>
        <v/>
      </c>
      <c r="N135" s="253">
        <f>[5]Consolidated!N135</f>
        <v/>
      </c>
    </row>
    <row r="136" ht="12.75" customHeight="1" s="150">
      <c r="C136" s="245" t="n"/>
      <c r="D136" s="254" t="n"/>
      <c r="E136" s="254" t="n"/>
      <c r="F136" s="254" t="n"/>
      <c r="G136" s="254" t="n"/>
      <c r="H136" s="254" t="n"/>
      <c r="I136" s="254" t="n"/>
      <c r="J136" s="255" t="n"/>
      <c r="K136" s="185" t="n"/>
      <c r="L136" s="256" t="n"/>
      <c r="M136" s="254" t="n"/>
      <c r="N136" s="249" t="n"/>
    </row>
    <row r="137" ht="12.75" customHeight="1" s="150">
      <c r="C137" s="245" t="inlineStr">
        <is>
          <t>Salaries</t>
        </is>
      </c>
      <c r="D137" s="254">
        <f>([5]Consolidated!D137)*(1/0.79941)</f>
        <v/>
      </c>
      <c r="E137" s="254">
        <f>([5]Consolidated!E137)*(1/0.79941)</f>
        <v/>
      </c>
      <c r="F137" s="254">
        <f>([5]Consolidated!F137)*(1/0.79941)</f>
        <v/>
      </c>
      <c r="G137" s="254">
        <f>([5]Consolidated!G137)*(1/0.79941)</f>
        <v/>
      </c>
      <c r="H137" s="254">
        <f>([5]Consolidated!H137)*(1/0.79941)</f>
        <v/>
      </c>
      <c r="I137" s="254">
        <f>([5]Consolidated!I137)*(1/0.79941)</f>
        <v/>
      </c>
      <c r="J137" s="256">
        <f>([5]Consolidated!J137)*(1/0.79941)</f>
        <v/>
      </c>
      <c r="K137" s="185" t="n"/>
      <c r="L137" s="256">
        <f>([5]Consolidated!L137)*(1/0.79941)</f>
        <v/>
      </c>
      <c r="M137" s="254">
        <f>([5]Consolidated!M137)*(1/0.79941)</f>
        <v/>
      </c>
      <c r="N137" s="249">
        <f>([5]Consolidated!N137)*(1/0.79941)</f>
        <v/>
      </c>
    </row>
    <row r="138" ht="12.75" customHeight="1" s="150">
      <c r="C138" s="245" t="inlineStr">
        <is>
          <t>Bonuses</t>
        </is>
      </c>
      <c r="D138" s="254">
        <f>([5]Consolidated!D138)*(1/0.79941)</f>
        <v/>
      </c>
      <c r="E138" s="254">
        <f>([5]Consolidated!E138)*(1/0.79941)</f>
        <v/>
      </c>
      <c r="F138" s="254">
        <f>([5]Consolidated!F138)*(1/0.79941)</f>
        <v/>
      </c>
      <c r="G138" s="254">
        <f>([5]Consolidated!G138)*(1/0.79941)</f>
        <v/>
      </c>
      <c r="H138" s="254">
        <f>([5]Consolidated!H138)*(1/0.79941)</f>
        <v/>
      </c>
      <c r="I138" s="254">
        <f>([5]Consolidated!I138)*(1/0.79941)</f>
        <v/>
      </c>
      <c r="J138" s="256">
        <f>([5]Consolidated!J138)*(1/0.79941)</f>
        <v/>
      </c>
      <c r="K138" s="185" t="n"/>
      <c r="L138" s="256">
        <f>([5]Consolidated!L138)*(1/0.79941)</f>
        <v/>
      </c>
      <c r="M138" s="254">
        <f>([5]Consolidated!M138)*(1/0.79941)</f>
        <v/>
      </c>
      <c r="N138" s="249">
        <f>([5]Consolidated!N138)*(1/0.79941)</f>
        <v/>
      </c>
    </row>
    <row r="139" ht="12.75" customHeight="1" s="150">
      <c r="C139" s="245" t="inlineStr">
        <is>
          <t>Third party staff, ex IT</t>
        </is>
      </c>
      <c r="D139" s="254">
        <f>([5]Consolidated!D139)*(1/0.79941)</f>
        <v/>
      </c>
      <c r="E139" s="254">
        <f>([5]Consolidated!E139)*(1/0.79941)</f>
        <v/>
      </c>
      <c r="F139" s="254">
        <f>([5]Consolidated!F139)*(1/0.79941)</f>
        <v/>
      </c>
      <c r="G139" s="254">
        <f>([5]Consolidated!G139)*(1/0.79941)</f>
        <v/>
      </c>
      <c r="H139" s="254">
        <f>([5]Consolidated!H139)*(1/0.79941)</f>
        <v/>
      </c>
      <c r="I139" s="254">
        <f>([5]Consolidated!I139)*(1/0.79941)</f>
        <v/>
      </c>
      <c r="J139" s="256">
        <f>([5]Consolidated!J139)*(1/0.79941)</f>
        <v/>
      </c>
      <c r="K139" s="185" t="n"/>
      <c r="L139" s="256">
        <f>([5]Consolidated!L139)*(1/0.79941)</f>
        <v/>
      </c>
      <c r="M139" s="254">
        <f>([5]Consolidated!M139)*(1/0.79941)</f>
        <v/>
      </c>
      <c r="N139" s="249">
        <f>([5]Consolidated!N139)*(1/0.79941)</f>
        <v/>
      </c>
    </row>
    <row r="140" ht="12.75" customHeight="1" s="150">
      <c r="C140" s="245" t="inlineStr">
        <is>
          <t>Third party IT staff</t>
        </is>
      </c>
      <c r="D140" s="254">
        <f>([5]Consolidated!D140)*(1/0.79941)</f>
        <v/>
      </c>
      <c r="E140" s="254">
        <f>([5]Consolidated!E140)*(1/0.79941)</f>
        <v/>
      </c>
      <c r="F140" s="254">
        <f>([5]Consolidated!F140)*(1/0.79941)</f>
        <v/>
      </c>
      <c r="G140" s="254">
        <f>([5]Consolidated!G140)*(1/0.79941)</f>
        <v/>
      </c>
      <c r="H140" s="254">
        <f>([5]Consolidated!H140)*(1/0.79941)</f>
        <v/>
      </c>
      <c r="I140" s="254">
        <f>([5]Consolidated!I140)*(1/0.79941)</f>
        <v/>
      </c>
      <c r="J140" s="256">
        <f>([5]Consolidated!J140)*(1/0.79941)</f>
        <v/>
      </c>
      <c r="K140" s="185" t="n"/>
      <c r="L140" s="256">
        <f>([5]Consolidated!L140)*(1/0.79941)</f>
        <v/>
      </c>
      <c r="M140" s="254">
        <f>([5]Consolidated!M140)*(1/0.79941)</f>
        <v/>
      </c>
      <c r="N140" s="249">
        <f>([5]Consolidated!N140)*(1/0.79941)</f>
        <v/>
      </c>
    </row>
    <row r="141" ht="12.75" customHeight="1" s="150">
      <c r="C141" s="245" t="inlineStr">
        <is>
          <t>Employee education</t>
        </is>
      </c>
      <c r="D141" s="254">
        <f>([5]Consolidated!D141)*(1/0.79941)</f>
        <v/>
      </c>
      <c r="E141" s="254">
        <f>([5]Consolidated!E141)*(1/0.79941)</f>
        <v/>
      </c>
      <c r="F141" s="254">
        <f>([5]Consolidated!F141)*(1/0.79941)</f>
        <v/>
      </c>
      <c r="G141" s="254">
        <f>([5]Consolidated!G141)*(1/0.79941)</f>
        <v/>
      </c>
      <c r="H141" s="254">
        <f>([5]Consolidated!H141)*(1/0.79941)</f>
        <v/>
      </c>
      <c r="I141" s="254">
        <f>([5]Consolidated!I141)*(1/0.79941)</f>
        <v/>
      </c>
      <c r="J141" s="256">
        <f>([5]Consolidated!J141)*(1/0.79941)</f>
        <v/>
      </c>
      <c r="K141" s="185" t="n"/>
      <c r="L141" s="256">
        <f>([5]Consolidated!L141)*(1/0.79941)</f>
        <v/>
      </c>
      <c r="M141" s="254">
        <f>([5]Consolidated!M141)*(1/0.79941)</f>
        <v/>
      </c>
      <c r="N141" s="249">
        <f>([5]Consolidated!N141)*(1/0.79941)</f>
        <v/>
      </c>
    </row>
    <row r="142" ht="12.75" customHeight="1" s="150">
      <c r="C142" s="245" t="inlineStr">
        <is>
          <t>Other staff expenses</t>
        </is>
      </c>
      <c r="D142" s="254">
        <f>([5]Consolidated!D142)*(1/0.79941)</f>
        <v/>
      </c>
      <c r="E142" s="254">
        <f>([5]Consolidated!E142)*(1/0.79941)</f>
        <v/>
      </c>
      <c r="F142" s="254">
        <f>([5]Consolidated!F142)*(1/0.79941)</f>
        <v/>
      </c>
      <c r="G142" s="254">
        <f>([5]Consolidated!G142)*(1/0.79941)</f>
        <v/>
      </c>
      <c r="H142" s="254">
        <f>([5]Consolidated!H142)*(1/0.79941)</f>
        <v/>
      </c>
      <c r="I142" s="254">
        <f>([5]Consolidated!I142)*(1/0.79941)</f>
        <v/>
      </c>
      <c r="J142" s="257">
        <f>([5]Consolidated!J142)*(1/0.79941)</f>
        <v/>
      </c>
      <c r="K142" s="185" t="n"/>
      <c r="L142" s="256">
        <f>([5]Consolidated!L142)*(1/0.79941)</f>
        <v/>
      </c>
      <c r="M142" s="254">
        <f>([5]Consolidated!M142)*(1/0.79941)</f>
        <v/>
      </c>
      <c r="N142" s="249">
        <f>([5]Consolidated!N142)*(1/0.79941)</f>
        <v/>
      </c>
    </row>
    <row r="143" ht="13.5" customHeight="1" s="150">
      <c r="C143" s="250" t="inlineStr">
        <is>
          <t>Staff expenses</t>
        </is>
      </c>
      <c r="D143" s="258">
        <f>([5]Consolidated!D143)*(1/0.79941)</f>
        <v/>
      </c>
      <c r="E143" s="258">
        <f>([5]Consolidated!E143)*(1/0.79941)</f>
        <v/>
      </c>
      <c r="F143" s="258">
        <f>([5]Consolidated!F143)*(1/0.79941)</f>
        <v/>
      </c>
      <c r="G143" s="258">
        <f>([5]Consolidated!G143)*(1/0.79941)</f>
        <v/>
      </c>
      <c r="H143" s="258">
        <f>([5]Consolidated!H143)*(1/0.79941)</f>
        <v/>
      </c>
      <c r="I143" s="258">
        <f>([5]Consolidated!I143)*(1/0.79941)</f>
        <v/>
      </c>
      <c r="J143" s="253">
        <f>([5]Consolidated!J143)*(1/0.79941)</f>
        <v/>
      </c>
      <c r="K143" s="185" t="n"/>
      <c r="L143" s="253">
        <f>([5]Consolidated!L143)*(1/0.79941)</f>
        <v/>
      </c>
      <c r="M143" s="258">
        <f>([5]Consolidated!M143)*(1/0.79941)</f>
        <v/>
      </c>
      <c r="N143" s="253">
        <f>([5]Consolidated!N143)*(1/0.79941)</f>
        <v/>
      </c>
    </row>
    <row r="144" ht="12.75" customHeight="1" s="150">
      <c r="C144" s="245" t="inlineStr">
        <is>
          <t>Hardware expenses</t>
        </is>
      </c>
      <c r="D144" s="254">
        <f>([5]Consolidated!D144)*(1/0.79941)</f>
        <v/>
      </c>
      <c r="E144" s="254">
        <f>([5]Consolidated!E144)*(1/0.79941)</f>
        <v/>
      </c>
      <c r="F144" s="254">
        <f>([5]Consolidated!F144)*(1/0.79941)</f>
        <v/>
      </c>
      <c r="G144" s="254">
        <f>([5]Consolidated!G144)*(1/0.79941)</f>
        <v/>
      </c>
      <c r="H144" s="254">
        <f>([5]Consolidated!H144)*(1/0.79941)</f>
        <v/>
      </c>
      <c r="I144" s="254">
        <f>([5]Consolidated!I144)*(1/0.79941)</f>
        <v/>
      </c>
      <c r="J144" s="256">
        <f>([5]Consolidated!J144)*(1/0.79941)</f>
        <v/>
      </c>
      <c r="K144" s="185" t="n"/>
      <c r="L144" s="256">
        <f>([5]Consolidated!L144)*(1/0.79941)</f>
        <v/>
      </c>
      <c r="M144" s="254">
        <f>([5]Consolidated!M144)*(1/0.79941)</f>
        <v/>
      </c>
      <c r="N144" s="249">
        <f>([5]Consolidated!N144)*(1/0.79941)</f>
        <v/>
      </c>
    </row>
    <row r="145" ht="12.75" customHeight="1" s="150">
      <c r="C145" s="245" t="inlineStr">
        <is>
          <t>Leasing/renting hardware</t>
        </is>
      </c>
      <c r="D145" s="254">
        <f>([5]Consolidated!D145)*(1/0.79941)</f>
        <v/>
      </c>
      <c r="E145" s="254">
        <f>([5]Consolidated!E145)*(1/0.79941)</f>
        <v/>
      </c>
      <c r="F145" s="254">
        <f>([5]Consolidated!F145)*(1/0.79941)</f>
        <v/>
      </c>
      <c r="G145" s="254">
        <f>([5]Consolidated!G145)*(1/0.79941)</f>
        <v/>
      </c>
      <c r="H145" s="254">
        <f>([5]Consolidated!H145)*(1/0.79941)</f>
        <v/>
      </c>
      <c r="I145" s="254">
        <f>([5]Consolidated!I145)*(1/0.79941)</f>
        <v/>
      </c>
      <c r="J145" s="256">
        <f>([5]Consolidated!J145)*(1/0.79941)</f>
        <v/>
      </c>
      <c r="K145" s="185" t="n"/>
      <c r="L145" s="256">
        <f>([5]Consolidated!L145)*(1/0.79941)</f>
        <v/>
      </c>
      <c r="M145" s="254">
        <f>([5]Consolidated!M145)*(1/0.79941)</f>
        <v/>
      </c>
      <c r="N145" s="249">
        <f>([5]Consolidated!N145)*(1/0.79941)</f>
        <v/>
      </c>
    </row>
    <row r="146" ht="12.75" customHeight="1" s="150">
      <c r="C146" s="245" t="inlineStr">
        <is>
          <t>Software expenses</t>
        </is>
      </c>
      <c r="D146" s="254">
        <f>([5]Consolidated!D146)*(1/0.79941)</f>
        <v/>
      </c>
      <c r="E146" s="254">
        <f>([5]Consolidated!E146)*(1/0.79941)</f>
        <v/>
      </c>
      <c r="F146" s="254">
        <f>([5]Consolidated!F146)*(1/0.79941)</f>
        <v/>
      </c>
      <c r="G146" s="254">
        <f>([5]Consolidated!G146)*(1/0.79941)</f>
        <v/>
      </c>
      <c r="H146" s="254">
        <f>([5]Consolidated!H146)*(1/0.79941)</f>
        <v/>
      </c>
      <c r="I146" s="254">
        <f>([5]Consolidated!I146)*(1/0.79941)</f>
        <v/>
      </c>
      <c r="J146" s="256">
        <f>([5]Consolidated!J146)*(1/0.79941)</f>
        <v/>
      </c>
      <c r="K146" s="185" t="n"/>
      <c r="L146" s="256">
        <f>([5]Consolidated!L146)*(1/0.79941)</f>
        <v/>
      </c>
      <c r="M146" s="254">
        <f>([5]Consolidated!M146)*(1/0.79941)</f>
        <v/>
      </c>
      <c r="N146" s="249">
        <f>([5]Consolidated!N146)*(1/0.79941)</f>
        <v/>
      </c>
    </row>
    <row r="147" ht="12.75" customHeight="1" s="150">
      <c r="C147" s="245" t="inlineStr">
        <is>
          <t>Leasing/renting/licenses sw</t>
        </is>
      </c>
      <c r="D147" s="254">
        <f>([5]Consolidated!D147)*(1/0.79941)</f>
        <v/>
      </c>
      <c r="E147" s="254">
        <f>([5]Consolidated!E147)*(1/0.79941)</f>
        <v/>
      </c>
      <c r="F147" s="254">
        <f>([5]Consolidated!F147)*(1/0.79941)</f>
        <v/>
      </c>
      <c r="G147" s="254">
        <f>([5]Consolidated!G147)*(1/0.79941)</f>
        <v/>
      </c>
      <c r="H147" s="254">
        <f>([5]Consolidated!H147)*(1/0.79941)</f>
        <v/>
      </c>
      <c r="I147" s="254">
        <f>([5]Consolidated!I147)*(1/0.79941)</f>
        <v/>
      </c>
      <c r="J147" s="256">
        <f>([5]Consolidated!J147)*(1/0.79941)</f>
        <v/>
      </c>
      <c r="K147" s="185" t="n"/>
      <c r="L147" s="256">
        <f>([5]Consolidated!L147)*(1/0.79941)</f>
        <v/>
      </c>
      <c r="M147" s="254">
        <f>([5]Consolidated!M147)*(1/0.79941)</f>
        <v/>
      </c>
      <c r="N147" s="249">
        <f>([5]Consolidated!N147)*(1/0.79941)</f>
        <v/>
      </c>
    </row>
    <row r="148" ht="12.75" customHeight="1" s="150">
      <c r="C148" s="245" t="inlineStr">
        <is>
          <t>Depreciation hardware</t>
        </is>
      </c>
      <c r="D148" s="254">
        <f>([5]Consolidated!D148)*(1/0.79941)</f>
        <v/>
      </c>
      <c r="E148" s="254">
        <f>([5]Consolidated!E148)*(1/0.79941)</f>
        <v/>
      </c>
      <c r="F148" s="254">
        <f>([5]Consolidated!F148)*(1/0.79941)</f>
        <v/>
      </c>
      <c r="G148" s="254">
        <f>([5]Consolidated!G148)*(1/0.79941)</f>
        <v/>
      </c>
      <c r="H148" s="254">
        <f>([5]Consolidated!H148)*(1/0.79941)</f>
        <v/>
      </c>
      <c r="I148" s="254">
        <f>([5]Consolidated!I148)*(1/0.79941)</f>
        <v/>
      </c>
      <c r="J148" s="256">
        <f>([5]Consolidated!J148)*(1/0.79941)</f>
        <v/>
      </c>
      <c r="K148" s="185" t="n"/>
      <c r="L148" s="256">
        <f>([5]Consolidated!L148)*(1/0.79941)</f>
        <v/>
      </c>
      <c r="M148" s="254">
        <f>([5]Consolidated!M148)*(1/0.79941)</f>
        <v/>
      </c>
      <c r="N148" s="249">
        <f>([5]Consolidated!N148)*(1/0.79941)</f>
        <v/>
      </c>
    </row>
    <row r="149" ht="12.75" customHeight="1" s="150">
      <c r="C149" s="245" t="inlineStr">
        <is>
          <t>Depreciation software</t>
        </is>
      </c>
      <c r="D149" s="254">
        <f>([5]Consolidated!D149)*(1/0.79941)</f>
        <v/>
      </c>
      <c r="E149" s="254">
        <f>([5]Consolidated!E149)*(1/0.79941)</f>
        <v/>
      </c>
      <c r="F149" s="254">
        <f>([5]Consolidated!F149)*(1/0.79941)</f>
        <v/>
      </c>
      <c r="G149" s="254">
        <f>([5]Consolidated!G149)*(1/0.79941)</f>
        <v/>
      </c>
      <c r="H149" s="254">
        <f>([5]Consolidated!H149)*(1/0.79941)</f>
        <v/>
      </c>
      <c r="I149" s="254">
        <f>([5]Consolidated!I149)*(1/0.79941)</f>
        <v/>
      </c>
      <c r="J149" s="256">
        <f>([5]Consolidated!J149)*(1/0.79941)</f>
        <v/>
      </c>
      <c r="K149" s="185" t="n"/>
      <c r="L149" s="256">
        <f>([5]Consolidated!L149)*(1/0.79941)</f>
        <v/>
      </c>
      <c r="M149" s="254">
        <f>([5]Consolidated!M149)*(1/0.79941)</f>
        <v/>
      </c>
      <c r="N149" s="249">
        <f>([5]Consolidated!N149)*(1/0.79941)</f>
        <v/>
      </c>
    </row>
    <row r="150" ht="12.75" customHeight="1" s="150">
      <c r="C150" s="245" t="inlineStr">
        <is>
          <t>Outsourcing IT activities</t>
        </is>
      </c>
      <c r="D150" s="254">
        <f>([5]Consolidated!D150)*(1/0.79941)</f>
        <v/>
      </c>
      <c r="E150" s="254">
        <f>([5]Consolidated!E150)*(1/0.79941)</f>
        <v/>
      </c>
      <c r="F150" s="254">
        <f>([5]Consolidated!F150)*(1/0.79941)</f>
        <v/>
      </c>
      <c r="G150" s="254">
        <f>([5]Consolidated!G150)*(1/0.79941)</f>
        <v/>
      </c>
      <c r="H150" s="254">
        <f>([5]Consolidated!H150)*(1/0.79941)</f>
        <v/>
      </c>
      <c r="I150" s="254">
        <f>([5]Consolidated!I150)*(1/0.79941)</f>
        <v/>
      </c>
      <c r="J150" s="256">
        <f>([5]Consolidated!J150)*(1/0.79941)</f>
        <v/>
      </c>
      <c r="K150" s="185" t="n"/>
      <c r="L150" s="256">
        <f>([5]Consolidated!L150)*(1/0.79941)</f>
        <v/>
      </c>
      <c r="M150" s="254">
        <f>([5]Consolidated!M150)*(1/0.79941)</f>
        <v/>
      </c>
      <c r="N150" s="249">
        <f>([5]Consolidated!N150)*(1/0.79941)</f>
        <v/>
      </c>
    </row>
    <row r="151" ht="12.75" customHeight="1" s="150">
      <c r="C151" s="245" t="inlineStr">
        <is>
          <t>Other IT expenses</t>
        </is>
      </c>
      <c r="D151" s="254">
        <f>([5]Consolidated!D151)*(1/0.79941)</f>
        <v/>
      </c>
      <c r="E151" s="254">
        <f>([5]Consolidated!E151)*(1/0.79941)</f>
        <v/>
      </c>
      <c r="F151" s="254">
        <f>([5]Consolidated!F151)*(1/0.79941)</f>
        <v/>
      </c>
      <c r="G151" s="254">
        <f>([5]Consolidated!G151)*(1/0.79941)</f>
        <v/>
      </c>
      <c r="H151" s="254">
        <f>([5]Consolidated!H151)*(1/0.79941)</f>
        <v/>
      </c>
      <c r="I151" s="254">
        <f>([5]Consolidated!I151)*(1/0.79941)</f>
        <v/>
      </c>
      <c r="J151" s="256">
        <f>([5]Consolidated!J151)*(1/0.79941)</f>
        <v/>
      </c>
      <c r="K151" s="185" t="n"/>
      <c r="L151" s="256">
        <f>([5]Consolidated!L151)*(1/0.79941)</f>
        <v/>
      </c>
      <c r="M151" s="254">
        <f>([5]Consolidated!M151)*(1/0.79941)</f>
        <v/>
      </c>
      <c r="N151" s="249">
        <f>([5]Consolidated!N151)*(1/0.79941)</f>
        <v/>
      </c>
    </row>
    <row r="152" ht="13.5" customHeight="1" s="150">
      <c r="C152" s="250" t="inlineStr">
        <is>
          <t>EDP expenses</t>
        </is>
      </c>
      <c r="D152" s="258">
        <f>([5]Consolidated!D152)*(1/0.79941)</f>
        <v/>
      </c>
      <c r="E152" s="258">
        <f>([5]Consolidated!E152)*(1/0.79941)</f>
        <v/>
      </c>
      <c r="F152" s="258">
        <f>([5]Consolidated!F152)*(1/0.79941)</f>
        <v/>
      </c>
      <c r="G152" s="258">
        <f>([5]Consolidated!G152)*(1/0.79941)</f>
        <v/>
      </c>
      <c r="H152" s="258">
        <f>([5]Consolidated!H152)*(1/0.79941)</f>
        <v/>
      </c>
      <c r="I152" s="258">
        <f>([5]Consolidated!I152)*(1/0.79941)</f>
        <v/>
      </c>
      <c r="J152" s="253">
        <f>([5]Consolidated!J152)*(1/0.79941)</f>
        <v/>
      </c>
      <c r="K152" s="185" t="n"/>
      <c r="L152" s="253">
        <f>([5]Consolidated!L152)*(1/0.79941)</f>
        <v/>
      </c>
      <c r="M152" s="258">
        <f>([5]Consolidated!M152)*(1/0.79941)</f>
        <v/>
      </c>
      <c r="N152" s="253">
        <f>([5]Consolidated!N152)*(1/0.79941)</f>
        <v/>
      </c>
    </row>
    <row r="153" ht="12.75" customHeight="1" s="150">
      <c r="C153" s="245" t="inlineStr">
        <is>
          <t>Telecom expenses</t>
        </is>
      </c>
      <c r="D153" s="254">
        <f>([5]Consolidated!D153)*(1/0.79941)</f>
        <v/>
      </c>
      <c r="E153" s="254">
        <f>([5]Consolidated!E153)*(1/0.79941)</f>
        <v/>
      </c>
      <c r="F153" s="254">
        <f>([5]Consolidated!F153)*(1/0.79941)</f>
        <v/>
      </c>
      <c r="G153" s="254">
        <f>([5]Consolidated!G153)*(1/0.79941)</f>
        <v/>
      </c>
      <c r="H153" s="254">
        <f>([5]Consolidated!H153)*(1/0.79941)</f>
        <v/>
      </c>
      <c r="I153" s="254">
        <f>([5]Consolidated!I153)*(1/0.79941)</f>
        <v/>
      </c>
      <c r="J153" s="256">
        <f>([5]Consolidated!J153)*(1/0.79941)</f>
        <v/>
      </c>
      <c r="K153" s="185" t="n"/>
      <c r="L153" s="256">
        <f>([5]Consolidated!L153)*(1/0.79941)</f>
        <v/>
      </c>
      <c r="M153" s="254">
        <f>([5]Consolidated!M153)*(1/0.79941)</f>
        <v/>
      </c>
      <c r="N153" s="249">
        <f>([5]Consolidated!N153)*(1/0.79941)</f>
        <v/>
      </c>
    </row>
    <row r="154" ht="12.75" customHeight="1" s="150">
      <c r="C154" s="245" t="inlineStr">
        <is>
          <t>Office equipment and supplies</t>
        </is>
      </c>
      <c r="D154" s="254">
        <f>([5]Consolidated!D154)*(1/0.79941)</f>
        <v/>
      </c>
      <c r="E154" s="254">
        <f>([5]Consolidated!E154)*(1/0.79941)</f>
        <v/>
      </c>
      <c r="F154" s="254">
        <f>([5]Consolidated!F154)*(1/0.79941)</f>
        <v/>
      </c>
      <c r="G154" s="254">
        <f>([5]Consolidated!G154)*(1/0.79941)</f>
        <v/>
      </c>
      <c r="H154" s="254">
        <f>([5]Consolidated!H154)*(1/0.79941)</f>
        <v/>
      </c>
      <c r="I154" s="254">
        <f>([5]Consolidated!I154)*(1/0.79941)</f>
        <v/>
      </c>
      <c r="J154" s="256">
        <f>([5]Consolidated!J154)*(1/0.79941)</f>
        <v/>
      </c>
      <c r="K154" s="185" t="n"/>
      <c r="L154" s="256">
        <f>([5]Consolidated!L154)*(1/0.79941)</f>
        <v/>
      </c>
      <c r="M154" s="254">
        <f>([5]Consolidated!M154)*(1/0.79941)</f>
        <v/>
      </c>
      <c r="N154" s="249">
        <f>([5]Consolidated!N154)*(1/0.79941)</f>
        <v/>
      </c>
    </row>
    <row r="155" ht="12.75" customHeight="1" s="150">
      <c r="C155" s="245" t="inlineStr">
        <is>
          <t>Accomodation expenses</t>
        </is>
      </c>
      <c r="D155" s="254">
        <f>([5]Consolidated!D155)*(1/0.79941)</f>
        <v/>
      </c>
      <c r="E155" s="254">
        <f>([5]Consolidated!E155)*(1/0.79941)</f>
        <v/>
      </c>
      <c r="F155" s="254">
        <f>([5]Consolidated!F155)*(1/0.79941)</f>
        <v/>
      </c>
      <c r="G155" s="254">
        <f>([5]Consolidated!G155)*(1/0.79941)</f>
        <v/>
      </c>
      <c r="H155" s="254">
        <f>([5]Consolidated!H155)*(1/0.79941)</f>
        <v/>
      </c>
      <c r="I155" s="254">
        <f>([5]Consolidated!I155)*(1/0.79941)</f>
        <v/>
      </c>
      <c r="J155" s="256">
        <f>([5]Consolidated!J155)*(1/0.79941)</f>
        <v/>
      </c>
      <c r="K155" s="185" t="n"/>
      <c r="L155" s="256">
        <f>([5]Consolidated!L155)*(1/0.79941)</f>
        <v/>
      </c>
      <c r="M155" s="254">
        <f>([5]Consolidated!M155)*(1/0.79941)</f>
        <v/>
      </c>
      <c r="N155" s="249">
        <f>([5]Consolidated!N155)*(1/0.79941)</f>
        <v/>
      </c>
    </row>
    <row r="156" ht="12.75" customHeight="1" s="150">
      <c r="C156" s="245" t="inlineStr">
        <is>
          <t>Travel costs</t>
        </is>
      </c>
      <c r="D156" s="254">
        <f>([5]Consolidated!D156)*(1/0.79941)</f>
        <v/>
      </c>
      <c r="E156" s="254">
        <f>([5]Consolidated!E156)*(1/0.79941)</f>
        <v/>
      </c>
      <c r="F156" s="254">
        <f>([5]Consolidated!F156)*(1/0.79941)</f>
        <v/>
      </c>
      <c r="G156" s="254">
        <f>([5]Consolidated!G156)*(1/0.79941)</f>
        <v/>
      </c>
      <c r="H156" s="254">
        <f>([5]Consolidated!H156)*(1/0.79941)</f>
        <v/>
      </c>
      <c r="I156" s="254">
        <f>([5]Consolidated!I156)*(1/0.79941)</f>
        <v/>
      </c>
      <c r="J156" s="256">
        <f>([5]Consolidated!J156)*(1/0.79941)</f>
        <v/>
      </c>
      <c r="K156" s="185" t="n"/>
      <c r="L156" s="256">
        <f>([5]Consolidated!L156)*(1/0.79941)</f>
        <v/>
      </c>
      <c r="M156" s="254">
        <f>([5]Consolidated!M156)*(1/0.79941)</f>
        <v/>
      </c>
      <c r="N156" s="249">
        <f>([5]Consolidated!N156)*(1/0.79941)</f>
        <v/>
      </c>
    </row>
    <row r="157" ht="12.75" customHeight="1" s="150">
      <c r="C157" s="245" t="inlineStr">
        <is>
          <t>Postal and freight charges</t>
        </is>
      </c>
      <c r="D157" s="254">
        <f>([5]Consolidated!D157)*(1/0.79941)</f>
        <v/>
      </c>
      <c r="E157" s="254">
        <f>([5]Consolidated!E157)*(1/0.79941)</f>
        <v/>
      </c>
      <c r="F157" s="254">
        <f>([5]Consolidated!F157)*(1/0.79941)</f>
        <v/>
      </c>
      <c r="G157" s="254">
        <f>([5]Consolidated!G157)*(1/0.79941)</f>
        <v/>
      </c>
      <c r="H157" s="254">
        <f>([5]Consolidated!H157)*(1/0.79941)</f>
        <v/>
      </c>
      <c r="I157" s="254">
        <f>([5]Consolidated!I157)*(1/0.79941)</f>
        <v/>
      </c>
      <c r="J157" s="256">
        <f>([5]Consolidated!J157)*(1/0.79941)</f>
        <v/>
      </c>
      <c r="K157" s="185" t="n"/>
      <c r="L157" s="256">
        <f>([5]Consolidated!L157)*(1/0.79941)</f>
        <v/>
      </c>
      <c r="M157" s="254">
        <f>([5]Consolidated!M157)*(1/0.79941)</f>
        <v/>
      </c>
      <c r="N157" s="249">
        <f>([5]Consolidated!N157)*(1/0.79941)</f>
        <v/>
      </c>
    </row>
    <row r="158" ht="12.75" customHeight="1" s="150">
      <c r="C158" s="245" t="inlineStr">
        <is>
          <t>Prof serv and ext advisory fee</t>
        </is>
      </c>
      <c r="D158" s="254">
        <f>([5]Consolidated!D158)*(1/0.79941)</f>
        <v/>
      </c>
      <c r="E158" s="254">
        <f>([5]Consolidated!E158)*(1/0.79941)</f>
        <v/>
      </c>
      <c r="F158" s="254">
        <f>([5]Consolidated!F158)*(1/0.79941)</f>
        <v/>
      </c>
      <c r="G158" s="254">
        <f>([5]Consolidated!G158)*(1/0.79941)</f>
        <v/>
      </c>
      <c r="H158" s="254">
        <f>([5]Consolidated!H158)*(1/0.79941)</f>
        <v/>
      </c>
      <c r="I158" s="254">
        <f>([5]Consolidated!I158)*(1/0.79941)</f>
        <v/>
      </c>
      <c r="J158" s="256">
        <f>([5]Consolidated!J158)*(1/0.79941)</f>
        <v/>
      </c>
      <c r="K158" s="185" t="n"/>
      <c r="L158" s="256">
        <f>([5]Consolidated!L158)*(1/0.79941)</f>
        <v/>
      </c>
      <c r="M158" s="254">
        <f>([5]Consolidated!M158)*(1/0.79941)</f>
        <v/>
      </c>
      <c r="N158" s="249">
        <f>([5]Consolidated!N158)*(1/0.79941)</f>
        <v/>
      </c>
    </row>
    <row r="159" ht="12.75" customHeight="1" s="150">
      <c r="C159" s="245" t="inlineStr">
        <is>
          <t>Payment transfer expenses</t>
        </is>
      </c>
      <c r="D159" s="254">
        <f>([5]Consolidated!D159)*(1/0.79941)</f>
        <v/>
      </c>
      <c r="E159" s="254">
        <f>([5]Consolidated!E159)*(1/0.79941)</f>
        <v/>
      </c>
      <c r="F159" s="254">
        <f>([5]Consolidated!F159)*(1/0.79941)</f>
        <v/>
      </c>
      <c r="G159" s="254">
        <f>([5]Consolidated!G159)*(1/0.79941)</f>
        <v/>
      </c>
      <c r="H159" s="254">
        <f>([5]Consolidated!H159)*(1/0.79941)</f>
        <v/>
      </c>
      <c r="I159" s="254">
        <f>([5]Consolidated!I159)*(1/0.79941)</f>
        <v/>
      </c>
      <c r="J159" s="256">
        <f>([5]Consolidated!J159)*(1/0.79941)</f>
        <v/>
      </c>
      <c r="K159" s="185" t="n"/>
      <c r="L159" s="256">
        <f>([5]Consolidated!L159)*(1/0.79941)</f>
        <v/>
      </c>
      <c r="M159" s="254">
        <f>([5]Consolidated!M159)*(1/0.79941)</f>
        <v/>
      </c>
      <c r="N159" s="249">
        <f>([5]Consolidated!N159)*(1/0.79941)</f>
        <v/>
      </c>
    </row>
    <row r="160" ht="12.75" customHeight="1" s="150">
      <c r="C160" s="245" t="inlineStr">
        <is>
          <t>Other costs</t>
        </is>
      </c>
      <c r="D160" s="254">
        <f>([5]Consolidated!D160)*(1/0.79941)</f>
        <v/>
      </c>
      <c r="E160" s="254">
        <f>([5]Consolidated!E160)*(1/0.79941)</f>
        <v/>
      </c>
      <c r="F160" s="254">
        <f>([5]Consolidated!F160)*(1/0.79941)</f>
        <v/>
      </c>
      <c r="G160" s="254">
        <f>([5]Consolidated!G160)*(1/0.79941)</f>
        <v/>
      </c>
      <c r="H160" s="254">
        <f>([5]Consolidated!H160)*(1/0.79941)</f>
        <v/>
      </c>
      <c r="I160" s="254">
        <f>([5]Consolidated!I160)*(1/0.79941)</f>
        <v/>
      </c>
      <c r="J160" s="256">
        <f>([5]Consolidated!J160)*(1/0.79941)</f>
        <v/>
      </c>
      <c r="K160" s="185" t="n"/>
      <c r="L160" s="256">
        <f>([5]Consolidated!L160)*(1/0.79941)</f>
        <v/>
      </c>
      <c r="M160" s="254">
        <f>([5]Consolidated!M160)*(1/0.79941)</f>
        <v/>
      </c>
      <c r="N160" s="249">
        <f>([5]Consolidated!N160)*(1/0.79941)</f>
        <v/>
      </c>
    </row>
    <row r="161" ht="13.5" customHeight="1" s="150">
      <c r="C161" s="250" t="inlineStr">
        <is>
          <t>General expenses</t>
        </is>
      </c>
      <c r="D161" s="258">
        <f>([5]Consolidated!D161)*(1/0.79941)</f>
        <v/>
      </c>
      <c r="E161" s="258">
        <f>([5]Consolidated!E161)*(1/0.79941)</f>
        <v/>
      </c>
      <c r="F161" s="258">
        <f>([5]Consolidated!F161)*(1/0.79941)</f>
        <v/>
      </c>
      <c r="G161" s="258">
        <f>([5]Consolidated!G161)*(1/0.79941)</f>
        <v/>
      </c>
      <c r="H161" s="258">
        <f>([5]Consolidated!H161)*(1/0.79941)</f>
        <v/>
      </c>
      <c r="I161" s="258">
        <f>([5]Consolidated!I161)*(1/0.79941)</f>
        <v/>
      </c>
      <c r="J161" s="253">
        <f>([5]Consolidated!J161)*(1/0.79941)</f>
        <v/>
      </c>
      <c r="K161" s="185" t="n"/>
      <c r="L161" s="253">
        <f>([5]Consolidated!L161)*(1/0.79941)</f>
        <v/>
      </c>
      <c r="M161" s="258">
        <f>([5]Consolidated!M161)*(1/0.79941)</f>
        <v/>
      </c>
      <c r="N161" s="253">
        <f>([5]Consolidated!N161)*(1/0.79941)</f>
        <v/>
      </c>
    </row>
    <row r="162" ht="12.75" customHeight="1" s="150">
      <c r="C162" s="245" t="inlineStr">
        <is>
          <t>Own expenses</t>
        </is>
      </c>
      <c r="D162" s="254">
        <f>([5]Consolidated!D162)*(1/0.79941)</f>
        <v/>
      </c>
      <c r="E162" s="254">
        <f>([5]Consolidated!E162)*(1/0.79941)</f>
        <v/>
      </c>
      <c r="F162" s="254">
        <f>([5]Consolidated!F162)*(1/0.79941)</f>
        <v/>
      </c>
      <c r="G162" s="254">
        <f>([5]Consolidated!G162)*(1/0.79941)</f>
        <v/>
      </c>
      <c r="H162" s="254">
        <f>([5]Consolidated!H162)*(1/0.79941)</f>
        <v/>
      </c>
      <c r="I162" s="254">
        <f>([5]Consolidated!I162)*(1/0.79941)</f>
        <v/>
      </c>
      <c r="J162" s="256">
        <f>([5]Consolidated!J162)*(1/0.79941)</f>
        <v/>
      </c>
      <c r="K162" s="185" t="n"/>
      <c r="L162" s="256">
        <f>([5]Consolidated!L162)*(1/0.79941)</f>
        <v/>
      </c>
      <c r="M162" s="254">
        <f>([5]Consolidated!M162)*(1/0.79941)</f>
        <v/>
      </c>
      <c r="N162" s="259">
        <f>([5]Consolidated!N162)*(1/0.79941)</f>
        <v/>
      </c>
    </row>
    <row r="163" ht="12.75" customHeight="1" s="150">
      <c r="C163" s="245" t="inlineStr">
        <is>
          <t>Other expenses</t>
        </is>
      </c>
      <c r="D163" s="254">
        <f>([5]Consolidated!D163)*(1/0.79941)</f>
        <v/>
      </c>
      <c r="E163" s="254">
        <f>([5]Consolidated!E163)*(1/0.79941)</f>
        <v/>
      </c>
      <c r="F163" s="254">
        <f>([5]Consolidated!F163)*(1/0.79941)</f>
        <v/>
      </c>
      <c r="G163" s="254">
        <f>([5]Consolidated!G163)*(1/0.79941)</f>
        <v/>
      </c>
      <c r="H163" s="254">
        <f>([5]Consolidated!H163)*(1/0.79941)</f>
        <v/>
      </c>
      <c r="I163" s="254">
        <f>([5]Consolidated!I163)*(1/0.79941)</f>
        <v/>
      </c>
      <c r="J163" s="256">
        <f>([5]Consolidated!J163)*(1/0.79941)</f>
        <v/>
      </c>
      <c r="K163" s="185" t="n"/>
      <c r="L163" s="256">
        <f>([5]Consolidated!L163)*(1/0.79941)</f>
        <v/>
      </c>
      <c r="M163" s="254">
        <f>([5]Consolidated!M163)*(1/0.79941)</f>
        <v/>
      </c>
      <c r="N163" s="249">
        <f>([5]Consolidated!N163)*(1/0.79941)</f>
        <v/>
      </c>
    </row>
    <row r="164" ht="13.5" customHeight="1" s="150">
      <c r="C164" s="250" t="inlineStr">
        <is>
          <t xml:space="preserve">Operating expenses </t>
        </is>
      </c>
      <c r="D164" s="258">
        <f>([5]Consolidated!D164)*(1/0.79941)</f>
        <v/>
      </c>
      <c r="E164" s="258">
        <f>([5]Consolidated!E164)*(1/0.79941)</f>
        <v/>
      </c>
      <c r="F164" s="258">
        <f>([5]Consolidated!F164)*(1/0.79941)</f>
        <v/>
      </c>
      <c r="G164" s="258">
        <f>([5]Consolidated!G164)*(1/0.79941)</f>
        <v/>
      </c>
      <c r="H164" s="258">
        <f>([5]Consolidated!H164)*(1/0.79941)</f>
        <v/>
      </c>
      <c r="I164" s="258">
        <f>([5]Consolidated!I164)*(1/0.79941)</f>
        <v/>
      </c>
      <c r="J164" s="253">
        <f>([5]Consolidated!J164)*(1/0.79941)</f>
        <v/>
      </c>
      <c r="K164" s="185" t="n"/>
      <c r="L164" s="253">
        <f>([5]Consolidated!L164)*(1/0.79941)</f>
        <v/>
      </c>
      <c r="M164" s="258">
        <f>([5]Consolidated!M164)*(1/0.79941)</f>
        <v/>
      </c>
      <c r="N164" s="253">
        <f>([5]Consolidated!N164)*(1/0.79941)</f>
        <v/>
      </c>
    </row>
    <row r="165" ht="12.75" customHeight="1" s="150">
      <c r="C165" s="245" t="n"/>
      <c r="D165" s="254">
        <f>0*(1/0.79941)</f>
        <v/>
      </c>
      <c r="E165" s="254">
        <f>0*(1/0.79941)</f>
        <v/>
      </c>
      <c r="F165" s="254">
        <f>0*(1/0.79941)</f>
        <v/>
      </c>
      <c r="G165" s="254">
        <f>0*(1/0.79941)</f>
        <v/>
      </c>
      <c r="H165" s="254">
        <f>0*(1/0.79941)</f>
        <v/>
      </c>
      <c r="I165" s="254">
        <f>0*(1/0.79941)</f>
        <v/>
      </c>
      <c r="J165" s="260">
        <f>0*(1/0.79941)</f>
        <v/>
      </c>
      <c r="K165" s="185" t="n"/>
      <c r="L165" s="256">
        <f>0*(1/0.79941)</f>
        <v/>
      </c>
      <c r="M165" s="254">
        <f>0*(1/0.79941)</f>
        <v/>
      </c>
      <c r="N165" s="260">
        <f>0*(1/0.79941)</f>
        <v/>
      </c>
    </row>
    <row r="166" ht="12.75" customHeight="1" s="150">
      <c r="C166" s="245" t="inlineStr">
        <is>
          <t>HR &amp; Comms</t>
        </is>
      </c>
      <c r="D166" s="254">
        <f>([5]Consolidated!D166)*(1/0.79941)</f>
        <v/>
      </c>
      <c r="E166" s="254">
        <f>([5]Consolidated!E166)*(1/0.79941)</f>
        <v/>
      </c>
      <c r="F166" s="254">
        <f>([5]Consolidated!F166)*(1/0.79941)</f>
        <v/>
      </c>
      <c r="G166" s="254">
        <f>([5]Consolidated!G166)*(1/0.79941)</f>
        <v/>
      </c>
      <c r="H166" s="254">
        <f>([5]Consolidated!H166)*(1/0.79941)</f>
        <v/>
      </c>
      <c r="I166" s="254">
        <f>([5]Consolidated!I166)*(1/0.79941)</f>
        <v/>
      </c>
      <c r="J166" s="256">
        <f>([5]Consolidated!J166)*(1/0.79941)</f>
        <v/>
      </c>
      <c r="K166" s="185" t="n"/>
      <c r="L166" s="256">
        <f>([5]Consolidated!L166)*(1/0.79941)</f>
        <v/>
      </c>
      <c r="M166" s="254">
        <f>([5]Consolidated!M166)*(1/0.79941)</f>
        <v/>
      </c>
      <c r="N166" s="249">
        <f>([5]Consolidated!N166)*(1/0.79941)</f>
        <v/>
      </c>
    </row>
    <row r="167" ht="12.75" customHeight="1" s="150">
      <c r="C167" s="245" t="inlineStr">
        <is>
          <t>Finance &amp; Business Support</t>
        </is>
      </c>
      <c r="D167" s="254">
        <f>([5]Consolidated!D167)*(1/0.79941)</f>
        <v/>
      </c>
      <c r="E167" s="254">
        <f>([5]Consolidated!E167)*(1/0.79941)</f>
        <v/>
      </c>
      <c r="F167" s="254">
        <f>([5]Consolidated!F167)*(1/0.79941)</f>
        <v/>
      </c>
      <c r="G167" s="254">
        <f>([5]Consolidated!G167)*(1/0.79941)</f>
        <v/>
      </c>
      <c r="H167" s="254">
        <f>([5]Consolidated!H167)*(1/0.79941)</f>
        <v/>
      </c>
      <c r="I167" s="254">
        <f>([5]Consolidated!I167)*(1/0.79941)</f>
        <v/>
      </c>
      <c r="J167" s="256">
        <f>([5]Consolidated!J167)*(1/0.79941)</f>
        <v/>
      </c>
      <c r="K167" s="185" t="n"/>
      <c r="L167" s="256">
        <f>([5]Consolidated!L167)*(1/0.79941)</f>
        <v/>
      </c>
      <c r="M167" s="254">
        <f>([5]Consolidated!M167)*(1/0.79941)</f>
        <v/>
      </c>
      <c r="N167" s="249">
        <f>([5]Consolidated!N167)*(1/0.79941)</f>
        <v/>
      </c>
    </row>
    <row r="168" ht="12.75" customHeight="1" s="150">
      <c r="C168" s="245" t="inlineStr">
        <is>
          <t>IT alloc</t>
        </is>
      </c>
      <c r="D168" s="254">
        <f>([5]Consolidated!D168)*(1/0.79941)</f>
        <v/>
      </c>
      <c r="E168" s="254">
        <f>([5]Consolidated!E168)*(1/0.79941)</f>
        <v/>
      </c>
      <c r="F168" s="254">
        <f>([5]Consolidated!F168)*(1/0.79941)</f>
        <v/>
      </c>
      <c r="G168" s="254">
        <f>([5]Consolidated!G168)*(1/0.79941)</f>
        <v/>
      </c>
      <c r="H168" s="254">
        <f>([5]Consolidated!H168)*(1/0.79941)</f>
        <v/>
      </c>
      <c r="I168" s="254">
        <f>([5]Consolidated!I168)*(1/0.79941)</f>
        <v/>
      </c>
      <c r="J168" s="256">
        <f>([5]Consolidated!J168)*(1/0.79941)</f>
        <v/>
      </c>
      <c r="K168" s="185" t="n"/>
      <c r="L168" s="256">
        <f>([5]Consolidated!L168)*(1/0.79941)</f>
        <v/>
      </c>
      <c r="M168" s="254">
        <f>([5]Consolidated!M168)*(1/0.79941)</f>
        <v/>
      </c>
      <c r="N168" s="249">
        <f>([5]Consolidated!N168)*(1/0.79941)</f>
        <v/>
      </c>
    </row>
    <row r="169" ht="12.75" customHeight="1" s="150">
      <c r="C169" s="245" t="inlineStr">
        <is>
          <t>Facilities Management</t>
        </is>
      </c>
      <c r="D169" s="254">
        <f>([5]Consolidated!D169)*(1/0.79941)</f>
        <v/>
      </c>
      <c r="E169" s="254">
        <f>([5]Consolidated!E169)*(1/0.79941)</f>
        <v/>
      </c>
      <c r="F169" s="254">
        <f>([5]Consolidated!F169)*(1/0.79941)</f>
        <v/>
      </c>
      <c r="G169" s="254">
        <f>([5]Consolidated!G169)*(1/0.79941)</f>
        <v/>
      </c>
      <c r="H169" s="254">
        <f>([5]Consolidated!H169)*(1/0.79941)</f>
        <v/>
      </c>
      <c r="I169" s="254">
        <f>([5]Consolidated!I169)*(1/0.79941)</f>
        <v/>
      </c>
      <c r="J169" s="256">
        <f>([5]Consolidated!J169)*(1/0.79941)</f>
        <v/>
      </c>
      <c r="K169" s="185" t="n"/>
      <c r="L169" s="256">
        <f>([5]Consolidated!L169)*(1/0.79941)</f>
        <v/>
      </c>
      <c r="M169" s="254">
        <f>([5]Consolidated!M169)*(1/0.79941)</f>
        <v/>
      </c>
      <c r="N169" s="249">
        <f>([5]Consolidated!N169)*(1/0.79941)</f>
        <v/>
      </c>
    </row>
    <row r="170" ht="13.5" customHeight="1" s="150">
      <c r="C170" s="250" t="inlineStr">
        <is>
          <t>Overheads</t>
        </is>
      </c>
      <c r="D170" s="258">
        <f>([5]Consolidated!D170)*(1/0.79941)</f>
        <v/>
      </c>
      <c r="E170" s="258">
        <f>([5]Consolidated!E170)*(1/0.79941)</f>
        <v/>
      </c>
      <c r="F170" s="258">
        <f>([5]Consolidated!F170)*(1/0.79941)</f>
        <v/>
      </c>
      <c r="G170" s="258">
        <f>([5]Consolidated!G170)*(1/0.79941)</f>
        <v/>
      </c>
      <c r="H170" s="258">
        <f>([5]Consolidated!H170)*(1/0.79941)</f>
        <v/>
      </c>
      <c r="I170" s="258">
        <f>([5]Consolidated!I170)*(1/0.79941)</f>
        <v/>
      </c>
      <c r="J170" s="253">
        <f>([5]Consolidated!J170)*(1/0.79941)</f>
        <v/>
      </c>
      <c r="K170" s="185" t="n"/>
      <c r="L170" s="253">
        <f>([5]Consolidated!L170)*(1/0.79941)</f>
        <v/>
      </c>
      <c r="M170" s="258">
        <f>([5]Consolidated!M170)*(1/0.79941)</f>
        <v/>
      </c>
      <c r="N170" s="253">
        <f>([5]Consolidated!N170)*(1/0.79941)</f>
        <v/>
      </c>
    </row>
    <row r="171" ht="12.75" customHeight="1" s="150">
      <c r="C171" s="245" t="n"/>
      <c r="D171" s="254">
        <f>0*(1/0.79941)</f>
        <v/>
      </c>
      <c r="E171" s="254">
        <f>0*(1/0.79941)</f>
        <v/>
      </c>
      <c r="F171" s="254">
        <f>0*(1/0.79941)</f>
        <v/>
      </c>
      <c r="G171" s="254">
        <f>0*(1/0.79941)</f>
        <v/>
      </c>
      <c r="H171" s="254">
        <f>0*(1/0.79941)</f>
        <v/>
      </c>
      <c r="I171" s="254">
        <f>0*(1/0.79941)</f>
        <v/>
      </c>
      <c r="J171" s="260">
        <f>0*(1/0.79941)</f>
        <v/>
      </c>
      <c r="K171" s="185" t="n"/>
      <c r="L171" s="256">
        <f>0*(1/0.79941)</f>
        <v/>
      </c>
      <c r="M171" s="254">
        <f>0*(1/0.79941)</f>
        <v/>
      </c>
      <c r="N171" s="260">
        <f>0*(1/0.79941)</f>
        <v/>
      </c>
    </row>
    <row r="172" ht="13.5" customHeight="1" s="150">
      <c r="C172" s="250" t="inlineStr">
        <is>
          <t>Total Operating Costs (incl. O/H)</t>
        </is>
      </c>
      <c r="D172" s="258">
        <f>([5]Consolidated!D172)*(1/0.79941)</f>
        <v/>
      </c>
      <c r="E172" s="258">
        <f>([5]Consolidated!E172)*(1/0.79941)</f>
        <v/>
      </c>
      <c r="F172" s="258">
        <f>([5]Consolidated!F172)*(1/0.79941)</f>
        <v/>
      </c>
      <c r="G172" s="258">
        <f>([5]Consolidated!G172)*(1/0.79941)</f>
        <v/>
      </c>
      <c r="H172" s="258">
        <f>([5]Consolidated!H172)*(1/0.79941)</f>
        <v/>
      </c>
      <c r="I172" s="258">
        <f>([5]Consolidated!I172)*(1/0.79941)</f>
        <v/>
      </c>
      <c r="J172" s="253">
        <f>([5]Consolidated!J172)*(1/0.79941)</f>
        <v/>
      </c>
      <c r="K172" s="185" t="n"/>
      <c r="L172" s="253">
        <f>([5]Consolidated!L172)*(1/0.79941)</f>
        <v/>
      </c>
      <c r="M172" s="258">
        <f>([5]Consolidated!M172)*(1/0.79941)</f>
        <v/>
      </c>
      <c r="N172" s="253">
        <f>([5]Consolidated!N172)*(1/0.79941)</f>
        <v/>
      </c>
    </row>
  </sheetData>
  <printOptions horizontalCentered="0" verticalCentered="0" headings="0" gridLines="0" gridLinesSet="1"/>
  <pageMargins left="0.747916666666667" right="0.747916666666667" top="0.9840277777777779" bottom="0.9840277777777779" header="0.511811023622047" footer="0.511811023622047"/>
  <pageSetup orientation="portrait" paperSize="9" scale="100" fitToHeight="1" fitToWidth="1" pageOrder="downThenOver" blackAndWhite="0" draft="0" horizontalDpi="300" verticalDpi="300" copies="1"/>
</worksheet>
</file>

<file path=xl/worksheets/sheet8.xml><?xml version="1.0" encoding="utf-8"?>
<worksheet xmlns="http://schemas.openxmlformats.org/spreadsheetml/2006/main">
  <sheetPr filterMode="0">
    <tabColor rgb="FF00FFFF"/>
    <outlinePr summaryBelow="1" summaryRight="1"/>
    <pageSetUpPr fitToPage="0"/>
  </sheetPr>
  <dimension ref="A1:T172"/>
  <sheetViews>
    <sheetView showFormulas="0" showGridLines="1" showRowColHeaders="1" showZeros="1" rightToLeft="0" tabSelected="0" showOutlineSymbols="1" defaultGridColor="1" view="normal" topLeftCell="B4" colorId="64" zoomScale="100" zoomScaleNormal="100" zoomScalePageLayoutView="100" workbookViewId="0">
      <selection pane="topLeft" activeCell="B4" activeCellId="0" sqref="B4"/>
    </sheetView>
  </sheetViews>
  <sheetFormatPr baseColWidth="8" defaultColWidth="9.13671875" defaultRowHeight="12.75" customHeight="1" zeroHeight="0" outlineLevelRow="0"/>
  <cols>
    <col hidden="1" width="26.13" customWidth="1" style="158" min="1" max="1"/>
    <col width="6.28" customWidth="1" style="158" min="2" max="2"/>
    <col width="27.56" customWidth="1" style="149" min="3" max="3"/>
    <col width="11.99" customWidth="1" style="149" min="4" max="7"/>
    <col width="12.85" customWidth="1" style="149" min="8" max="8"/>
    <col width="14.41" customWidth="1" style="149" min="9" max="9"/>
    <col width="11.99" customWidth="1" style="159" min="10" max="10"/>
    <col width="3.28" customWidth="1" style="160" min="11" max="11"/>
    <col width="12.85" customWidth="1" style="149" min="12" max="12"/>
    <col width="14.41" customWidth="1" style="149" min="13" max="13"/>
    <col width="13.56" customWidth="1" style="149" min="14" max="14"/>
    <col width="9.140000000000001" customWidth="1" style="149" min="15" max="257"/>
  </cols>
  <sheetData>
    <row r="1" ht="33" customHeight="1" s="150">
      <c r="C1" s="161" t="inlineStr">
        <is>
          <t>Zurich (CH)</t>
        </is>
      </c>
    </row>
    <row r="2" ht="48.75" customHeight="1" s="150">
      <c r="C2" s="162" t="inlineStr">
        <is>
          <t>TOTAL COSTS 
(US$ excl. VAT)</t>
        </is>
      </c>
      <c r="D2" s="163">
        <f>[6]Consolidated!D2</f>
        <v/>
      </c>
      <c r="E2" s="163">
        <f>[6]Consolidated!E2</f>
        <v/>
      </c>
      <c r="F2" s="163">
        <f>[6]Consolidated!F2</f>
        <v/>
      </c>
      <c r="G2" s="163">
        <f>[6]Consolidated!G2</f>
        <v/>
      </c>
      <c r="H2" s="163">
        <f>[6]Consolidated!H2</f>
        <v/>
      </c>
      <c r="I2" s="163">
        <f>[6]Consolidated!I2</f>
        <v/>
      </c>
      <c r="J2" s="164">
        <f>[6]Consolidated!J2</f>
        <v/>
      </c>
      <c r="K2" s="165" t="n"/>
      <c r="L2" s="163">
        <f>[6]Consolidated!L2</f>
        <v/>
      </c>
      <c r="M2" s="166">
        <f>[6]Consolidated!M2</f>
        <v/>
      </c>
      <c r="N2" s="163">
        <f>[6]Consolidated!N2</f>
        <v/>
      </c>
    </row>
    <row r="3" ht="12.75" customHeight="1" s="150">
      <c r="A3" s="158" t="n"/>
      <c r="B3" s="158" t="n"/>
      <c r="C3" s="167" t="inlineStr">
        <is>
          <t>Internal FTE</t>
        </is>
      </c>
      <c r="D3" s="182">
        <f>[6]Consolidated!D3</f>
        <v/>
      </c>
      <c r="E3" s="182">
        <f>[6]Consolidated!E3</f>
        <v/>
      </c>
      <c r="F3" s="182">
        <f>[6]Consolidated!F3</f>
        <v/>
      </c>
      <c r="G3" s="182">
        <f>[6]Consolidated!G3</f>
        <v/>
      </c>
      <c r="H3" s="182">
        <f>[6]Consolidated!H3</f>
        <v/>
      </c>
      <c r="I3" s="182">
        <f>[6]Consolidated!I3</f>
        <v/>
      </c>
      <c r="J3" s="293" t="n"/>
      <c r="K3" s="185" t="n"/>
      <c r="L3" s="186">
        <f>[6]Consolidated!L3</f>
        <v/>
      </c>
      <c r="M3" s="182">
        <f>[6]Consolidated!M3</f>
        <v/>
      </c>
      <c r="N3" s="173" t="n"/>
    </row>
    <row r="4" ht="12.75" customHeight="1" s="150">
      <c r="A4" s="158" t="n"/>
      <c r="B4" s="158" t="n"/>
      <c r="C4" s="167" t="inlineStr">
        <is>
          <t>External FTE</t>
        </is>
      </c>
      <c r="D4" s="182">
        <f>[6]Consolidated!D4</f>
        <v/>
      </c>
      <c r="E4" s="182">
        <f>[6]Consolidated!E4</f>
        <v/>
      </c>
      <c r="F4" s="182">
        <f>[6]Consolidated!F4</f>
        <v/>
      </c>
      <c r="G4" s="182">
        <f>[6]Consolidated!G4</f>
        <v/>
      </c>
      <c r="H4" s="182">
        <f>[6]Consolidated!H4</f>
        <v/>
      </c>
      <c r="I4" s="183">
        <f>[6]Consolidated!I4</f>
        <v/>
      </c>
      <c r="J4" s="294" t="n"/>
      <c r="K4" s="185" t="n"/>
      <c r="L4" s="186">
        <f>[6]Consolidated!L4</f>
        <v/>
      </c>
      <c r="M4" s="182">
        <f>[6]Consolidated!M4</f>
        <v/>
      </c>
      <c r="N4" s="173" t="n"/>
    </row>
    <row r="5" ht="13.5" customHeight="1" s="150">
      <c r="A5" s="176" t="n"/>
      <c r="B5" s="176" t="n"/>
      <c r="C5" s="177" t="inlineStr">
        <is>
          <t>Total FTE</t>
        </is>
      </c>
      <c r="D5" s="188">
        <f>[6]Consolidated!D5</f>
        <v/>
      </c>
      <c r="E5" s="188">
        <f>[6]Consolidated!E5</f>
        <v/>
      </c>
      <c r="F5" s="188">
        <f>[6]Consolidated!F5</f>
        <v/>
      </c>
      <c r="G5" s="188">
        <f>[6]Consolidated!G5</f>
        <v/>
      </c>
      <c r="H5" s="188">
        <f>[6]Consolidated!H5</f>
        <v/>
      </c>
      <c r="I5" s="189">
        <f>[6]Consolidated!I5</f>
        <v/>
      </c>
      <c r="J5" s="295" t="n"/>
      <c r="K5" s="185" t="n"/>
      <c r="L5" s="181">
        <f>[6]Consolidated!L5</f>
        <v/>
      </c>
      <c r="M5" s="188">
        <f>[6]Consolidated!M5</f>
        <v/>
      </c>
      <c r="N5" s="181" t="n"/>
    </row>
    <row r="6" ht="12.75" customHeight="1" s="150">
      <c r="A6" s="158" t="n"/>
      <c r="B6" s="158" t="n"/>
      <c r="C6" s="167" t="n"/>
      <c r="D6" s="182" t="n"/>
      <c r="E6" s="182" t="n"/>
      <c r="F6" s="182" t="n"/>
      <c r="G6" s="182" t="n"/>
      <c r="H6" s="182" t="n"/>
      <c r="I6" s="183" t="n"/>
      <c r="J6" s="184" t="n"/>
      <c r="K6" s="185" t="n"/>
      <c r="L6" s="186" t="n"/>
      <c r="M6" s="182" t="n"/>
      <c r="N6" s="173" t="n"/>
    </row>
    <row r="7" ht="12.75" customHeight="1" s="150">
      <c r="A7" s="158" t="n"/>
      <c r="B7" s="158" t="n"/>
      <c r="C7" s="167" t="inlineStr">
        <is>
          <t>Salaries</t>
        </is>
      </c>
      <c r="D7" s="182">
        <f>([6]Consolidated!D7)*(1/0.79941)</f>
        <v/>
      </c>
      <c r="E7" s="182">
        <f>([6]Consolidated!E7)*(1/0.79941)</f>
        <v/>
      </c>
      <c r="F7" s="182">
        <f>([6]Consolidated!F7)*(1/0.79941)</f>
        <v/>
      </c>
      <c r="G7" s="182">
        <f>([6]Consolidated!G7)*(1/0.79941)</f>
        <v/>
      </c>
      <c r="H7" s="182">
        <f>([6]Consolidated!H7)*(1/0.79941)</f>
        <v/>
      </c>
      <c r="I7" s="183">
        <f>([6]Consolidated!I7)*(1/0.79941)</f>
        <v/>
      </c>
      <c r="J7" s="183">
        <f>([6]Consolidated!J7)*(1/0.79941)</f>
        <v/>
      </c>
      <c r="K7" s="185" t="n"/>
      <c r="L7" s="186">
        <f>([6]Consolidated!L7)*(1/0.79941)</f>
        <v/>
      </c>
      <c r="M7" s="182">
        <f>([6]Consolidated!M7)*(1/0.79941)</f>
        <v/>
      </c>
      <c r="N7" s="173">
        <f>([6]Consolidated!N7)*(1/0.79941)</f>
        <v/>
      </c>
      <c r="P7" s="149" t="n">
        <v>1000</v>
      </c>
      <c r="T7" s="194" t="n"/>
    </row>
    <row r="8" ht="12.75" customHeight="1" s="150">
      <c r="A8" s="158" t="n"/>
      <c r="B8" s="158" t="n"/>
      <c r="C8" s="167" t="inlineStr">
        <is>
          <t>Bonuses</t>
        </is>
      </c>
      <c r="D8" s="182">
        <f>([6]Consolidated!D8)*(1/0.79941)</f>
        <v/>
      </c>
      <c r="E8" s="182">
        <f>([6]Consolidated!E8)*(1/0.79941)</f>
        <v/>
      </c>
      <c r="F8" s="182">
        <f>([6]Consolidated!F8)*(1/0.79941)</f>
        <v/>
      </c>
      <c r="G8" s="182">
        <f>([6]Consolidated!G8)*(1/0.79941)</f>
        <v/>
      </c>
      <c r="H8" s="182">
        <f>([6]Consolidated!H8)*(1/0.79941)</f>
        <v/>
      </c>
      <c r="I8" s="183">
        <f>([6]Consolidated!I8)*(1/0.79941)</f>
        <v/>
      </c>
      <c r="J8" s="183">
        <f>([6]Consolidated!J8)*(1/0.79941)</f>
        <v/>
      </c>
      <c r="K8" s="185" t="n"/>
      <c r="L8" s="186">
        <f>([6]Consolidated!L8)*(1/0.79941)</f>
        <v/>
      </c>
      <c r="M8" s="182">
        <f>([6]Consolidated!M8)*(1/0.79941)</f>
        <v/>
      </c>
      <c r="N8" s="173">
        <f>([6]Consolidated!N8)*(1/0.79941)</f>
        <v/>
      </c>
      <c r="P8" s="149">
        <f>1/0.79941</f>
        <v/>
      </c>
      <c r="Q8" s="149" t="inlineStr">
        <is>
          <t>Euro to Dollar Rate</t>
        </is>
      </c>
    </row>
    <row r="9" ht="12.75" customHeight="1" s="150">
      <c r="A9" s="158" t="n"/>
      <c r="B9" s="158" t="n"/>
      <c r="C9" s="167" t="inlineStr">
        <is>
          <t>Third party staff, ex IT</t>
        </is>
      </c>
      <c r="D9" s="182">
        <f>([6]Consolidated!D9)*(1/0.79941)</f>
        <v/>
      </c>
      <c r="E9" s="182">
        <f>([6]Consolidated!E9)*(1/0.79941)</f>
        <v/>
      </c>
      <c r="F9" s="182">
        <f>([6]Consolidated!F9)*(1/0.79941)</f>
        <v/>
      </c>
      <c r="G9" s="182">
        <f>([6]Consolidated!G9)*(1/0.79941)</f>
        <v/>
      </c>
      <c r="H9" s="182">
        <f>([6]Consolidated!H9)*(1/0.79941)</f>
        <v/>
      </c>
      <c r="I9" s="183">
        <f>([6]Consolidated!I9)*(1/0.79941)</f>
        <v/>
      </c>
      <c r="J9" s="183">
        <f>([6]Consolidated!J9)*(1/0.79941)</f>
        <v/>
      </c>
      <c r="K9" s="185" t="n"/>
      <c r="L9" s="186">
        <f>([6]Consolidated!L9)*(1/0.79941)</f>
        <v/>
      </c>
      <c r="M9" s="182">
        <f>([6]Consolidated!M9)*(1/0.79941)</f>
        <v/>
      </c>
      <c r="N9" s="173">
        <f>([6]Consolidated!N9)*(1/0.79941)</f>
        <v/>
      </c>
    </row>
    <row r="10" ht="12.75" customHeight="1" s="150">
      <c r="A10" s="158" t="n"/>
      <c r="B10" s="158" t="n"/>
      <c r="C10" s="167" t="inlineStr">
        <is>
          <t>Third party IT staff</t>
        </is>
      </c>
      <c r="D10" s="182">
        <f>([6]Consolidated!D10)*(1/0.79941)</f>
        <v/>
      </c>
      <c r="E10" s="182">
        <f>([6]Consolidated!E10)*(1/0.79941)</f>
        <v/>
      </c>
      <c r="F10" s="182">
        <f>([6]Consolidated!F10)*(1/0.79941)</f>
        <v/>
      </c>
      <c r="G10" s="182">
        <f>([6]Consolidated!G10)*(1/0.79941)</f>
        <v/>
      </c>
      <c r="H10" s="182">
        <f>([6]Consolidated!H10)*(1/0.79941)</f>
        <v/>
      </c>
      <c r="I10" s="183">
        <f>([6]Consolidated!I10)*(1/0.79941)</f>
        <v/>
      </c>
      <c r="J10" s="183">
        <f>([6]Consolidated!J10)*(1/0.79941)</f>
        <v/>
      </c>
      <c r="K10" s="185" t="n"/>
      <c r="L10" s="186">
        <f>([6]Consolidated!L10)*(1/0.79941)</f>
        <v/>
      </c>
      <c r="M10" s="182">
        <f>([6]Consolidated!M10)*(1/0.79941)</f>
        <v/>
      </c>
      <c r="N10" s="173">
        <f>([6]Consolidated!N10)*(1/0.79941)</f>
        <v/>
      </c>
    </row>
    <row r="11" ht="12.75" customHeight="1" s="150">
      <c r="A11" s="158" t="n"/>
      <c r="B11" s="158" t="n"/>
      <c r="C11" s="167" t="inlineStr">
        <is>
          <t>Employee education</t>
        </is>
      </c>
      <c r="D11" s="182">
        <f>([6]Consolidated!D11)*(1/0.79941)</f>
        <v/>
      </c>
      <c r="E11" s="182">
        <f>([6]Consolidated!E11)*(1/0.79941)</f>
        <v/>
      </c>
      <c r="F11" s="182">
        <f>([6]Consolidated!F11)*(1/0.79941)</f>
        <v/>
      </c>
      <c r="G11" s="182">
        <f>([6]Consolidated!G11)*(1/0.79941)</f>
        <v/>
      </c>
      <c r="H11" s="182">
        <f>([6]Consolidated!H11)*(1/0.79941)</f>
        <v/>
      </c>
      <c r="I11" s="183">
        <f>([6]Consolidated!I11)*(1/0.79941)</f>
        <v/>
      </c>
      <c r="J11" s="183">
        <f>([6]Consolidated!J11)*(1/0.79941)</f>
        <v/>
      </c>
      <c r="K11" s="185" t="n"/>
      <c r="L11" s="186">
        <f>([6]Consolidated!L11)*(1/0.79941)</f>
        <v/>
      </c>
      <c r="M11" s="182">
        <f>([6]Consolidated!M11)*(1/0.79941)</f>
        <v/>
      </c>
      <c r="N11" s="173">
        <f>([6]Consolidated!N11)*(1/0.79941)</f>
        <v/>
      </c>
    </row>
    <row r="12" ht="12.75" customHeight="1" s="150">
      <c r="A12" s="158" t="n"/>
      <c r="B12" s="158" t="n"/>
      <c r="C12" s="167" t="inlineStr">
        <is>
          <t>Other staff expenses</t>
        </is>
      </c>
      <c r="D12" s="182">
        <f>([6]Consolidated!D12)*(1/0.79941)</f>
        <v/>
      </c>
      <c r="E12" s="182">
        <f>([6]Consolidated!E12)*(1/0.79941)</f>
        <v/>
      </c>
      <c r="F12" s="182">
        <f>([6]Consolidated!F12)*(1/0.79941)</f>
        <v/>
      </c>
      <c r="G12" s="182">
        <f>([6]Consolidated!G12)*(1/0.79941)</f>
        <v/>
      </c>
      <c r="H12" s="182">
        <f>([6]Consolidated!H12)*(1/0.79941)</f>
        <v/>
      </c>
      <c r="I12" s="187">
        <f>([6]Consolidated!I12)*(1/0.79941)</f>
        <v/>
      </c>
      <c r="J12" s="187">
        <f>([6]Consolidated!J12)*(1/0.79941)</f>
        <v/>
      </c>
      <c r="K12" s="185" t="n"/>
      <c r="L12" s="186">
        <f>([6]Consolidated!L12)*(1/0.79941)</f>
        <v/>
      </c>
      <c r="M12" s="182">
        <f>([6]Consolidated!M12)*(1/0.79941)</f>
        <v/>
      </c>
      <c r="N12" s="173">
        <f>([6]Consolidated!N12)*(1/0.79941)</f>
        <v/>
      </c>
    </row>
    <row r="13" ht="13.5" customHeight="1" s="150">
      <c r="A13" s="176" t="n"/>
      <c r="B13" s="176" t="n"/>
      <c r="C13" s="177" t="inlineStr">
        <is>
          <t>Staff expenses</t>
        </is>
      </c>
      <c r="D13" s="188">
        <f>([6]Consolidated!D13)*(1/0.79941)</f>
        <v/>
      </c>
      <c r="E13" s="188">
        <f>([6]Consolidated!E13)*(1/0.79941)</f>
        <v/>
      </c>
      <c r="F13" s="188">
        <f>([6]Consolidated!F13)*(1/0.79941)</f>
        <v/>
      </c>
      <c r="G13" s="188">
        <f>([6]Consolidated!G13)*(1/0.79941)</f>
        <v/>
      </c>
      <c r="H13" s="188">
        <f>([6]Consolidated!H13)*(1/0.79941)</f>
        <v/>
      </c>
      <c r="I13" s="189">
        <f>([6]Consolidated!I13)*(1/0.79941)</f>
        <v/>
      </c>
      <c r="J13" s="189">
        <f>([6]Consolidated!J13)*(1/0.79941)</f>
        <v/>
      </c>
      <c r="K13" s="185" t="n"/>
      <c r="L13" s="181">
        <f>([6]Consolidated!L13)*(1/0.79941)</f>
        <v/>
      </c>
      <c r="M13" s="188">
        <f>([6]Consolidated!M13)*(1/0.79941)</f>
        <v/>
      </c>
      <c r="N13" s="181">
        <f>([6]Consolidated!N13)*(1/0.79941)</f>
        <v/>
      </c>
    </row>
    <row r="14" ht="12.75" customHeight="1" s="150">
      <c r="A14" s="158" t="n"/>
      <c r="B14" s="158" t="n"/>
      <c r="C14" s="167" t="inlineStr">
        <is>
          <t>Hardware expenses</t>
        </is>
      </c>
      <c r="D14" s="182">
        <f>([6]Consolidated!D14)*(1/0.79941)</f>
        <v/>
      </c>
      <c r="E14" s="182">
        <f>([6]Consolidated!E14)*(1/0.79941)</f>
        <v/>
      </c>
      <c r="F14" s="182">
        <f>([6]Consolidated!F14)*(1/0.79941)</f>
        <v/>
      </c>
      <c r="G14" s="182">
        <f>([6]Consolidated!G14)*(1/0.79941)</f>
        <v/>
      </c>
      <c r="H14" s="182">
        <f>([6]Consolidated!H14)*(1/0.79941)</f>
        <v/>
      </c>
      <c r="I14" s="183">
        <f>([6]Consolidated!I14)*(1/0.79941)</f>
        <v/>
      </c>
      <c r="J14" s="183">
        <f>([6]Consolidated!J14)*(1/0.79941)</f>
        <v/>
      </c>
      <c r="K14" s="185" t="n"/>
      <c r="L14" s="186">
        <f>([6]Consolidated!L14)*(1/0.79941)</f>
        <v/>
      </c>
      <c r="M14" s="182">
        <f>([6]Consolidated!M14)*(1/0.79941)</f>
        <v/>
      </c>
      <c r="N14" s="173">
        <f>([6]Consolidated!N14)*(1/0.79941)</f>
        <v/>
      </c>
    </row>
    <row r="15" ht="12.75" customHeight="1" s="150">
      <c r="A15" s="158" t="n"/>
      <c r="B15" s="158" t="n"/>
      <c r="C15" s="167" t="inlineStr">
        <is>
          <t>Leasing/renting hardware</t>
        </is>
      </c>
      <c r="D15" s="182">
        <f>([6]Consolidated!D15)*(1/0.79941)</f>
        <v/>
      </c>
      <c r="E15" s="182">
        <f>([6]Consolidated!E15)*(1/0.79941)</f>
        <v/>
      </c>
      <c r="F15" s="182">
        <f>([6]Consolidated!F15)*(1/0.79941)</f>
        <v/>
      </c>
      <c r="G15" s="182">
        <f>([6]Consolidated!G15)*(1/0.79941)</f>
        <v/>
      </c>
      <c r="H15" s="182">
        <f>([6]Consolidated!H15)*(1/0.79941)</f>
        <v/>
      </c>
      <c r="I15" s="183">
        <f>([6]Consolidated!I15)*(1/0.79941)</f>
        <v/>
      </c>
      <c r="J15" s="183">
        <f>([6]Consolidated!J15)*(1/0.79941)</f>
        <v/>
      </c>
      <c r="K15" s="185" t="n"/>
      <c r="L15" s="186">
        <f>([6]Consolidated!L15)*(1/0.79941)</f>
        <v/>
      </c>
      <c r="M15" s="182">
        <f>([6]Consolidated!M15)*(1/0.79941)</f>
        <v/>
      </c>
      <c r="N15" s="173">
        <f>([6]Consolidated!N15)*(1/0.79941)</f>
        <v/>
      </c>
    </row>
    <row r="16" ht="12.75" customHeight="1" s="150">
      <c r="A16" s="158" t="n"/>
      <c r="B16" s="158" t="n"/>
      <c r="C16" s="167" t="inlineStr">
        <is>
          <t>Software expenses</t>
        </is>
      </c>
      <c r="D16" s="182">
        <f>([6]Consolidated!D16)*(1/0.79941)</f>
        <v/>
      </c>
      <c r="E16" s="182">
        <f>([6]Consolidated!E16)*(1/0.79941)</f>
        <v/>
      </c>
      <c r="F16" s="182">
        <f>([6]Consolidated!F16)*(1/0.79941)</f>
        <v/>
      </c>
      <c r="G16" s="182">
        <f>([6]Consolidated!G16)*(1/0.79941)</f>
        <v/>
      </c>
      <c r="H16" s="182">
        <f>([6]Consolidated!H16)*(1/0.79941)</f>
        <v/>
      </c>
      <c r="I16" s="183">
        <f>([6]Consolidated!I16)*(1/0.79941)</f>
        <v/>
      </c>
      <c r="J16" s="183">
        <f>([6]Consolidated!J16)*(1/0.79941)</f>
        <v/>
      </c>
      <c r="K16" s="185" t="n"/>
      <c r="L16" s="186">
        <f>([6]Consolidated!L16)*(1/0.79941)</f>
        <v/>
      </c>
      <c r="M16" s="182">
        <f>([6]Consolidated!M16)*(1/0.79941)</f>
        <v/>
      </c>
      <c r="N16" s="173">
        <f>([6]Consolidated!N16)*(1/0.79941)</f>
        <v/>
      </c>
    </row>
    <row r="17" ht="12.75" customHeight="1" s="150">
      <c r="A17" s="158" t="n"/>
      <c r="B17" s="158" t="n"/>
      <c r="C17" s="167" t="inlineStr">
        <is>
          <t>Leasing/renting/licenses sw</t>
        </is>
      </c>
      <c r="D17" s="182">
        <f>([6]Consolidated!D17)*(1/0.79941)</f>
        <v/>
      </c>
      <c r="E17" s="182">
        <f>([6]Consolidated!E17)*(1/0.79941)</f>
        <v/>
      </c>
      <c r="F17" s="182">
        <f>([6]Consolidated!F17)*(1/0.79941)</f>
        <v/>
      </c>
      <c r="G17" s="182">
        <f>([6]Consolidated!G17)*(1/0.79941)</f>
        <v/>
      </c>
      <c r="H17" s="182">
        <f>([6]Consolidated!H17)*(1/0.79941)</f>
        <v/>
      </c>
      <c r="I17" s="183">
        <f>([6]Consolidated!I17)*(1/0.79941)</f>
        <v/>
      </c>
      <c r="J17" s="183">
        <f>([6]Consolidated!J17)*(1/0.79941)</f>
        <v/>
      </c>
      <c r="K17" s="185" t="n"/>
      <c r="L17" s="186">
        <f>([6]Consolidated!L17)*(1/0.79941)</f>
        <v/>
      </c>
      <c r="M17" s="182">
        <f>([6]Consolidated!M17)*(1/0.79941)</f>
        <v/>
      </c>
      <c r="N17" s="173">
        <f>([6]Consolidated!N17)*(1/0.79941)</f>
        <v/>
      </c>
    </row>
    <row r="18" ht="12.75" customHeight="1" s="150">
      <c r="A18" s="158" t="n"/>
      <c r="B18" s="158" t="n"/>
      <c r="C18" s="167" t="inlineStr">
        <is>
          <t>Depreciation hardware</t>
        </is>
      </c>
      <c r="D18" s="182">
        <f>([6]Consolidated!D18)*(1/0.79941)</f>
        <v/>
      </c>
      <c r="E18" s="182">
        <f>([6]Consolidated!E18)*(1/0.79941)</f>
        <v/>
      </c>
      <c r="F18" s="182">
        <f>([6]Consolidated!F18)*(1/0.79941)</f>
        <v/>
      </c>
      <c r="G18" s="182">
        <f>([6]Consolidated!G18)*(1/0.79941)</f>
        <v/>
      </c>
      <c r="H18" s="182">
        <f>([6]Consolidated!H18)*(1/0.79941)</f>
        <v/>
      </c>
      <c r="I18" s="183">
        <f>([6]Consolidated!I18)*(1/0.79941)</f>
        <v/>
      </c>
      <c r="J18" s="183">
        <f>([6]Consolidated!J18)*(1/0.79941)</f>
        <v/>
      </c>
      <c r="K18" s="185" t="n"/>
      <c r="L18" s="186">
        <f>([6]Consolidated!L18)*(1/0.79941)</f>
        <v/>
      </c>
      <c r="M18" s="182">
        <f>([6]Consolidated!M18)*(1/0.79941)</f>
        <v/>
      </c>
      <c r="N18" s="173">
        <f>([6]Consolidated!N18)*(1/0.79941)</f>
        <v/>
      </c>
    </row>
    <row r="19" ht="12.75" customHeight="1" s="150">
      <c r="A19" s="158" t="n"/>
      <c r="B19" s="158" t="n"/>
      <c r="C19" s="167" t="inlineStr">
        <is>
          <t>Depreciation software</t>
        </is>
      </c>
      <c r="D19" s="182">
        <f>([6]Consolidated!D19)*(1/0.79941)</f>
        <v/>
      </c>
      <c r="E19" s="182">
        <f>([6]Consolidated!E19)*(1/0.79941)</f>
        <v/>
      </c>
      <c r="F19" s="182">
        <f>([6]Consolidated!F19)*(1/0.79941)</f>
        <v/>
      </c>
      <c r="G19" s="182">
        <f>([6]Consolidated!G19)*(1/0.79941)</f>
        <v/>
      </c>
      <c r="H19" s="182">
        <f>([6]Consolidated!H19)*(1/0.79941)</f>
        <v/>
      </c>
      <c r="I19" s="183">
        <f>([6]Consolidated!I19)*(1/0.79941)</f>
        <v/>
      </c>
      <c r="J19" s="183">
        <f>([6]Consolidated!J19)*(1/0.79941)</f>
        <v/>
      </c>
      <c r="K19" s="185" t="n"/>
      <c r="L19" s="186">
        <f>([6]Consolidated!L19)*(1/0.79941)</f>
        <v/>
      </c>
      <c r="M19" s="182">
        <f>([6]Consolidated!M19)*(1/0.79941)</f>
        <v/>
      </c>
      <c r="N19" s="173">
        <f>([6]Consolidated!N19)*(1/0.79941)</f>
        <v/>
      </c>
    </row>
    <row r="20" ht="12.75" customHeight="1" s="150">
      <c r="A20" s="158" t="n"/>
      <c r="B20" s="158" t="n"/>
      <c r="C20" s="167" t="inlineStr">
        <is>
          <t>Outsourcing IT activities</t>
        </is>
      </c>
      <c r="D20" s="182">
        <f>([6]Consolidated!D20)*(1/0.79941)</f>
        <v/>
      </c>
      <c r="E20" s="182">
        <f>([6]Consolidated!E20)*(1/0.79941)</f>
        <v/>
      </c>
      <c r="F20" s="182">
        <f>([6]Consolidated!F20)*(1/0.79941)</f>
        <v/>
      </c>
      <c r="G20" s="182">
        <f>([6]Consolidated!G20)*(1/0.79941)</f>
        <v/>
      </c>
      <c r="H20" s="182">
        <f>([6]Consolidated!H20)*(1/0.79941)</f>
        <v/>
      </c>
      <c r="I20" s="183">
        <f>([6]Consolidated!I20)*(1/0.79941)</f>
        <v/>
      </c>
      <c r="J20" s="183">
        <f>([6]Consolidated!J20)*(1/0.79941)</f>
        <v/>
      </c>
      <c r="K20" s="185" t="n"/>
      <c r="L20" s="186">
        <f>([6]Consolidated!L20)*(1/0.79941)</f>
        <v/>
      </c>
      <c r="M20" s="182">
        <f>([6]Consolidated!M20)*(1/0.79941)</f>
        <v/>
      </c>
      <c r="N20" s="173">
        <f>([6]Consolidated!N20)*(1/0.79941)</f>
        <v/>
      </c>
    </row>
    <row r="21" ht="12.75" customHeight="1" s="150">
      <c r="A21" s="158" t="n"/>
      <c r="B21" s="158" t="n"/>
      <c r="C21" s="167" t="inlineStr">
        <is>
          <t>Other IT expenses</t>
        </is>
      </c>
      <c r="D21" s="182">
        <f>([6]Consolidated!D21)*(1/0.79941)</f>
        <v/>
      </c>
      <c r="E21" s="182">
        <f>([6]Consolidated!E21)*(1/0.79941)</f>
        <v/>
      </c>
      <c r="F21" s="182">
        <f>([6]Consolidated!F21)*(1/0.79941)</f>
        <v/>
      </c>
      <c r="G21" s="182">
        <f>([6]Consolidated!G21)*(1/0.79941)</f>
        <v/>
      </c>
      <c r="H21" s="182">
        <f>([6]Consolidated!H21)*(1/0.79941)</f>
        <v/>
      </c>
      <c r="I21" s="183">
        <f>([6]Consolidated!I21)*(1/0.79941)</f>
        <v/>
      </c>
      <c r="J21" s="183">
        <f>([6]Consolidated!J21)*(1/0.79941)</f>
        <v/>
      </c>
      <c r="K21" s="185" t="n"/>
      <c r="L21" s="186">
        <f>([6]Consolidated!L21)*(1/0.79941)</f>
        <v/>
      </c>
      <c r="M21" s="182">
        <f>([6]Consolidated!M21)*(1/0.79941)</f>
        <v/>
      </c>
      <c r="N21" s="173">
        <f>([6]Consolidated!N21)*(1/0.79941)</f>
        <v/>
      </c>
    </row>
    <row r="22" ht="13.5" customHeight="1" s="150">
      <c r="A22" s="176" t="n"/>
      <c r="B22" s="176" t="n"/>
      <c r="C22" s="177" t="inlineStr">
        <is>
          <t>EDP expenses</t>
        </is>
      </c>
      <c r="D22" s="188">
        <f>([6]Consolidated!D22)*(1/0.79941)</f>
        <v/>
      </c>
      <c r="E22" s="188">
        <f>([6]Consolidated!E22)*(1/0.79941)</f>
        <v/>
      </c>
      <c r="F22" s="188">
        <f>([6]Consolidated!F22)*(1/0.79941)</f>
        <v/>
      </c>
      <c r="G22" s="188">
        <f>([6]Consolidated!G22)*(1/0.79941)</f>
        <v/>
      </c>
      <c r="H22" s="188">
        <f>([6]Consolidated!H22)*(1/0.79941)</f>
        <v/>
      </c>
      <c r="I22" s="189">
        <f>([6]Consolidated!I22)*(1/0.79941)</f>
        <v/>
      </c>
      <c r="J22" s="189">
        <f>([6]Consolidated!J22)*(1/0.79941)</f>
        <v/>
      </c>
      <c r="K22" s="185" t="n"/>
      <c r="L22" s="181">
        <f>([6]Consolidated!L22)*(1/0.79941)</f>
        <v/>
      </c>
      <c r="M22" s="188">
        <f>([6]Consolidated!M22)*(1/0.79941)</f>
        <v/>
      </c>
      <c r="N22" s="181">
        <f>([6]Consolidated!N22)*(1/0.79941)</f>
        <v/>
      </c>
    </row>
    <row r="23" ht="12.75" customHeight="1" s="150">
      <c r="A23" s="158" t="n"/>
      <c r="B23" s="158" t="n"/>
      <c r="C23" s="167" t="inlineStr">
        <is>
          <t>Telecom expenses</t>
        </is>
      </c>
      <c r="D23" s="182">
        <f>([6]Consolidated!D23)*(1/0.79941)</f>
        <v/>
      </c>
      <c r="E23" s="182">
        <f>([6]Consolidated!E23)*(1/0.79941)</f>
        <v/>
      </c>
      <c r="F23" s="182">
        <f>([6]Consolidated!F23)*(1/0.79941)</f>
        <v/>
      </c>
      <c r="G23" s="182">
        <f>([6]Consolidated!G23)*(1/0.79941)</f>
        <v/>
      </c>
      <c r="H23" s="182">
        <f>([6]Consolidated!H23)*(1/0.79941)</f>
        <v/>
      </c>
      <c r="I23" s="183">
        <f>([6]Consolidated!I23)*(1/0.79941)</f>
        <v/>
      </c>
      <c r="J23" s="183">
        <f>([6]Consolidated!J23)*(1/0.79941)</f>
        <v/>
      </c>
      <c r="K23" s="185" t="n"/>
      <c r="L23" s="186">
        <f>([6]Consolidated!L23)*(1/0.79941)</f>
        <v/>
      </c>
      <c r="M23" s="182">
        <f>([6]Consolidated!M23)*(1/0.79941)</f>
        <v/>
      </c>
      <c r="N23" s="173">
        <f>([6]Consolidated!N23)*(1/0.79941)</f>
        <v/>
      </c>
    </row>
    <row r="24" ht="12.75" customHeight="1" s="150">
      <c r="A24" s="158" t="n"/>
      <c r="B24" s="158" t="n"/>
      <c r="C24" s="167" t="inlineStr">
        <is>
          <t>Office equipment and supplies</t>
        </is>
      </c>
      <c r="D24" s="182">
        <f>([6]Consolidated!D24)*(1/0.79941)</f>
        <v/>
      </c>
      <c r="E24" s="182">
        <f>([6]Consolidated!E24)*(1/0.79941)</f>
        <v/>
      </c>
      <c r="F24" s="182">
        <f>([6]Consolidated!F24)*(1/0.79941)</f>
        <v/>
      </c>
      <c r="G24" s="182">
        <f>([6]Consolidated!G24)*(1/0.79941)</f>
        <v/>
      </c>
      <c r="H24" s="182">
        <f>([6]Consolidated!H24)*(1/0.79941)</f>
        <v/>
      </c>
      <c r="I24" s="183">
        <f>([6]Consolidated!I24)*(1/0.79941)</f>
        <v/>
      </c>
      <c r="J24" s="183">
        <f>([6]Consolidated!J24)*(1/0.79941)</f>
        <v/>
      </c>
      <c r="K24" s="185" t="n"/>
      <c r="L24" s="186">
        <f>([6]Consolidated!L24)*(1/0.79941)</f>
        <v/>
      </c>
      <c r="M24" s="182">
        <f>([6]Consolidated!M24)*(1/0.79941)</f>
        <v/>
      </c>
      <c r="N24" s="173">
        <f>([6]Consolidated!N24)*(1/0.79941)</f>
        <v/>
      </c>
    </row>
    <row r="25" ht="12.75" customHeight="1" s="150">
      <c r="A25" s="158" t="n"/>
      <c r="B25" s="158" t="n"/>
      <c r="C25" s="167" t="inlineStr">
        <is>
          <t>Accomodation expenses</t>
        </is>
      </c>
      <c r="D25" s="182">
        <f>([6]Consolidated!D25)*(1/0.79941)</f>
        <v/>
      </c>
      <c r="E25" s="182">
        <f>([6]Consolidated!E25)*(1/0.79941)</f>
        <v/>
      </c>
      <c r="F25" s="182">
        <f>([6]Consolidated!F25)*(1/0.79941)</f>
        <v/>
      </c>
      <c r="G25" s="182">
        <f>([6]Consolidated!G25)*(1/0.79941)</f>
        <v/>
      </c>
      <c r="H25" s="182">
        <f>([6]Consolidated!H25)*(1/0.79941)</f>
        <v/>
      </c>
      <c r="I25" s="183">
        <f>([6]Consolidated!I25)*(1/0.79941)</f>
        <v/>
      </c>
      <c r="J25" s="183">
        <f>([6]Consolidated!J25)*(1/0.79941)</f>
        <v/>
      </c>
      <c r="K25" s="185" t="n"/>
      <c r="L25" s="186">
        <f>([6]Consolidated!L25)*(1/0.79941)</f>
        <v/>
      </c>
      <c r="M25" s="182">
        <f>([6]Consolidated!M25)*(1/0.79941)</f>
        <v/>
      </c>
      <c r="N25" s="173">
        <f>([6]Consolidated!N25)*(1/0.79941)</f>
        <v/>
      </c>
    </row>
    <row r="26" ht="12.75" customHeight="1" s="150">
      <c r="A26" s="158" t="n"/>
      <c r="B26" s="158" t="n"/>
      <c r="C26" s="167" t="inlineStr">
        <is>
          <t>Travel costs</t>
        </is>
      </c>
      <c r="D26" s="182">
        <f>([6]Consolidated!D26)*(1/0.79941)</f>
        <v/>
      </c>
      <c r="E26" s="182">
        <f>([6]Consolidated!E26)*(1/0.79941)</f>
        <v/>
      </c>
      <c r="F26" s="182">
        <f>([6]Consolidated!F26)*(1/0.79941)</f>
        <v/>
      </c>
      <c r="G26" s="182">
        <f>([6]Consolidated!G26)*(1/0.79941)</f>
        <v/>
      </c>
      <c r="H26" s="182">
        <f>([6]Consolidated!H26)*(1/0.79941)</f>
        <v/>
      </c>
      <c r="I26" s="183">
        <f>([6]Consolidated!I26)*(1/0.79941)</f>
        <v/>
      </c>
      <c r="J26" s="183">
        <f>([6]Consolidated!J26)*(1/0.79941)</f>
        <v/>
      </c>
      <c r="K26" s="185" t="n"/>
      <c r="L26" s="186">
        <f>([6]Consolidated!L26)*(1/0.79941)</f>
        <v/>
      </c>
      <c r="M26" s="182">
        <f>([6]Consolidated!M26)*(1/0.79941)</f>
        <v/>
      </c>
      <c r="N26" s="173">
        <f>([6]Consolidated!N26)*(1/0.79941)</f>
        <v/>
      </c>
    </row>
    <row r="27" ht="12.75" customHeight="1" s="150">
      <c r="A27" s="158" t="n"/>
      <c r="B27" s="158" t="n"/>
      <c r="C27" s="167" t="inlineStr">
        <is>
          <t>Postal and freight charges</t>
        </is>
      </c>
      <c r="D27" s="182">
        <f>([6]Consolidated!D27)*(1/0.79941)</f>
        <v/>
      </c>
      <c r="E27" s="182">
        <f>([6]Consolidated!E27)*(1/0.79941)</f>
        <v/>
      </c>
      <c r="F27" s="182">
        <f>([6]Consolidated!F27)*(1/0.79941)</f>
        <v/>
      </c>
      <c r="G27" s="182">
        <f>([6]Consolidated!G27)*(1/0.79941)</f>
        <v/>
      </c>
      <c r="H27" s="182">
        <f>([6]Consolidated!H27)*(1/0.79941)</f>
        <v/>
      </c>
      <c r="I27" s="183">
        <f>([6]Consolidated!I27)*(1/0.79941)</f>
        <v/>
      </c>
      <c r="J27" s="183">
        <f>([6]Consolidated!J27)*(1/0.79941)</f>
        <v/>
      </c>
      <c r="K27" s="185" t="n"/>
      <c r="L27" s="186">
        <f>([6]Consolidated!L27)*(1/0.79941)</f>
        <v/>
      </c>
      <c r="M27" s="182">
        <f>([6]Consolidated!M27)*(1/0.79941)</f>
        <v/>
      </c>
      <c r="N27" s="173">
        <f>([6]Consolidated!N27)*(1/0.79941)</f>
        <v/>
      </c>
    </row>
    <row r="28" ht="12.75" customHeight="1" s="150">
      <c r="A28" s="158" t="n"/>
      <c r="B28" s="158" t="n"/>
      <c r="C28" s="167" t="inlineStr">
        <is>
          <t>Prof serv and ext advisory fee</t>
        </is>
      </c>
      <c r="D28" s="182">
        <f>([6]Consolidated!D28)*(1/0.79941)</f>
        <v/>
      </c>
      <c r="E28" s="182">
        <f>([6]Consolidated!E28)*(1/0.79941)</f>
        <v/>
      </c>
      <c r="F28" s="182">
        <f>([6]Consolidated!F28)*(1/0.79941)</f>
        <v/>
      </c>
      <c r="G28" s="182">
        <f>([6]Consolidated!G28)*(1/0.79941)</f>
        <v/>
      </c>
      <c r="H28" s="182">
        <f>([6]Consolidated!H28)*(1/0.79941)</f>
        <v/>
      </c>
      <c r="I28" s="183">
        <f>([6]Consolidated!I28)*(1/0.79941)</f>
        <v/>
      </c>
      <c r="J28" s="183">
        <f>([6]Consolidated!J28)*(1/0.79941)</f>
        <v/>
      </c>
      <c r="K28" s="185" t="n"/>
      <c r="L28" s="186">
        <f>([6]Consolidated!L28)*(1/0.79941)</f>
        <v/>
      </c>
      <c r="M28" s="182">
        <f>([6]Consolidated!M28)*(1/0.79941)</f>
        <v/>
      </c>
      <c r="N28" s="173">
        <f>([6]Consolidated!N28)*(1/0.79941)</f>
        <v/>
      </c>
    </row>
    <row r="29" ht="12.75" customHeight="1" s="150">
      <c r="A29" s="158" t="n"/>
      <c r="B29" s="158" t="n"/>
      <c r="C29" s="167" t="inlineStr">
        <is>
          <t>Payment transfer expenses</t>
        </is>
      </c>
      <c r="D29" s="182">
        <f>([6]Consolidated!D29)*(1/0.79941)</f>
        <v/>
      </c>
      <c r="E29" s="182">
        <f>([6]Consolidated!E29)*(1/0.79941)</f>
        <v/>
      </c>
      <c r="F29" s="182">
        <f>([6]Consolidated!F29)*(1/0.79941)</f>
        <v/>
      </c>
      <c r="G29" s="182">
        <f>([6]Consolidated!G29)*(1/0.79941)</f>
        <v/>
      </c>
      <c r="H29" s="182">
        <f>([6]Consolidated!H29)*(1/0.79941)</f>
        <v/>
      </c>
      <c r="I29" s="183">
        <f>([6]Consolidated!I29)*(1/0.79941)</f>
        <v/>
      </c>
      <c r="J29" s="183">
        <f>([6]Consolidated!J29)*(1/0.79941)</f>
        <v/>
      </c>
      <c r="K29" s="185" t="n"/>
      <c r="L29" s="186">
        <f>([6]Consolidated!L29)*(1/0.79941)</f>
        <v/>
      </c>
      <c r="M29" s="182">
        <f>([6]Consolidated!M29)*(1/0.79941)</f>
        <v/>
      </c>
      <c r="N29" s="173">
        <f>([6]Consolidated!N29)*(1/0.79941)</f>
        <v/>
      </c>
    </row>
    <row r="30" ht="12.75" customHeight="1" s="150">
      <c r="A30" s="158" t="n"/>
      <c r="B30" s="158" t="n"/>
      <c r="C30" s="167" t="inlineStr">
        <is>
          <t>Other costs</t>
        </is>
      </c>
      <c r="D30" s="182">
        <f>([6]Consolidated!D30)*(1/0.79941)</f>
        <v/>
      </c>
      <c r="E30" s="182">
        <f>([6]Consolidated!E30)*(1/0.79941)</f>
        <v/>
      </c>
      <c r="F30" s="182">
        <f>([6]Consolidated!F30)*(1/0.79941)</f>
        <v/>
      </c>
      <c r="G30" s="182">
        <f>([6]Consolidated!G30)*(1/0.79941)</f>
        <v/>
      </c>
      <c r="H30" s="182">
        <f>([6]Consolidated!H30)*(1/0.79941)</f>
        <v/>
      </c>
      <c r="I30" s="183">
        <f>([6]Consolidated!I30)*(1/0.79941)</f>
        <v/>
      </c>
      <c r="J30" s="183">
        <f>([6]Consolidated!J30)*(1/0.79941)</f>
        <v/>
      </c>
      <c r="K30" s="185" t="n"/>
      <c r="L30" s="186">
        <f>([6]Consolidated!L30)*(1/0.79941)</f>
        <v/>
      </c>
      <c r="M30" s="182">
        <f>([6]Consolidated!M30)*(1/0.79941)</f>
        <v/>
      </c>
      <c r="N30" s="173">
        <f>([6]Consolidated!N30)*(1/0.79941)</f>
        <v/>
      </c>
    </row>
    <row r="31" ht="13.5" customHeight="1" s="150">
      <c r="A31" s="176" t="n"/>
      <c r="B31" s="176" t="n"/>
      <c r="C31" s="177" t="inlineStr">
        <is>
          <t>General expenses</t>
        </is>
      </c>
      <c r="D31" s="188">
        <f>([6]Consolidated!D31)*(1/0.79941)</f>
        <v/>
      </c>
      <c r="E31" s="188">
        <f>([6]Consolidated!E31)*(1/0.79941)</f>
        <v/>
      </c>
      <c r="F31" s="188">
        <f>([6]Consolidated!F31)*(1/0.79941)</f>
        <v/>
      </c>
      <c r="G31" s="188">
        <f>([6]Consolidated!G31)*(1/0.79941)</f>
        <v/>
      </c>
      <c r="H31" s="188">
        <f>([6]Consolidated!H31)*(1/0.79941)</f>
        <v/>
      </c>
      <c r="I31" s="189">
        <f>([6]Consolidated!I31)*(1/0.79941)</f>
        <v/>
      </c>
      <c r="J31" s="189">
        <f>([6]Consolidated!J31)*(1/0.79941)</f>
        <v/>
      </c>
      <c r="K31" s="185" t="n"/>
      <c r="L31" s="181">
        <f>([6]Consolidated!L31)*(1/0.79941)</f>
        <v/>
      </c>
      <c r="M31" s="188">
        <f>([6]Consolidated!M31)*(1/0.79941)</f>
        <v/>
      </c>
      <c r="N31" s="181">
        <f>([6]Consolidated!N31)*(1/0.79941)</f>
        <v/>
      </c>
    </row>
    <row r="32" ht="12.75" customHeight="1" s="150">
      <c r="A32" s="158" t="n"/>
      <c r="B32" s="158" t="n"/>
      <c r="C32" s="167" t="inlineStr">
        <is>
          <t>Own expenses</t>
        </is>
      </c>
      <c r="D32" s="182">
        <f>([6]Consolidated!D32)*(1/0.79941)</f>
        <v/>
      </c>
      <c r="E32" s="182">
        <f>([6]Consolidated!E32)*(1/0.79941)</f>
        <v/>
      </c>
      <c r="F32" s="182">
        <f>([6]Consolidated!F32)*(1/0.79941)</f>
        <v/>
      </c>
      <c r="G32" s="182">
        <f>([6]Consolidated!G32)*(1/0.79941)</f>
        <v/>
      </c>
      <c r="H32" s="182">
        <f>([6]Consolidated!H32)*(1/0.79941)</f>
        <v/>
      </c>
      <c r="I32" s="183">
        <f>([6]Consolidated!I32)*(1/0.79941)</f>
        <v/>
      </c>
      <c r="J32" s="183">
        <f>([6]Consolidated!J32)*(1/0.79941)</f>
        <v/>
      </c>
      <c r="K32" s="185" t="n"/>
      <c r="L32" s="186">
        <f>([6]Consolidated!L32)*(1/0.79941)</f>
        <v/>
      </c>
      <c r="M32" s="182">
        <f>([6]Consolidated!M32)*(1/0.79941)</f>
        <v/>
      </c>
      <c r="N32" s="190">
        <f>([6]Consolidated!N32)*(1/0.79941)</f>
        <v/>
      </c>
    </row>
    <row r="33" ht="12.75" customHeight="1" s="150">
      <c r="A33" s="158" t="n"/>
      <c r="B33" s="158" t="n"/>
      <c r="C33" s="167" t="inlineStr">
        <is>
          <t>Other expenses</t>
        </is>
      </c>
      <c r="D33" s="182">
        <f>([6]Consolidated!D33)*(1/0.79941)</f>
        <v/>
      </c>
      <c r="E33" s="182">
        <f>([6]Consolidated!E33)*(1/0.79941)</f>
        <v/>
      </c>
      <c r="F33" s="182">
        <f>([6]Consolidated!F33)*(1/0.79941)</f>
        <v/>
      </c>
      <c r="G33" s="182">
        <f>([6]Consolidated!G33)*(1/0.79941)</f>
        <v/>
      </c>
      <c r="H33" s="182">
        <f>([6]Consolidated!H33)*(1/0.79941)</f>
        <v/>
      </c>
      <c r="I33" s="183">
        <f>([6]Consolidated!I33)*(1/0.79941)</f>
        <v/>
      </c>
      <c r="J33" s="183">
        <f>([6]Consolidated!J33)*(1/0.79941)</f>
        <v/>
      </c>
      <c r="K33" s="185" t="n"/>
      <c r="L33" s="186">
        <f>([6]Consolidated!L33)*(1/0.79941)</f>
        <v/>
      </c>
      <c r="M33" s="182">
        <f>([6]Consolidated!M33)*(1/0.79941)</f>
        <v/>
      </c>
      <c r="N33" s="173">
        <f>([6]Consolidated!N33)*(1/0.79941)</f>
        <v/>
      </c>
    </row>
    <row r="34" ht="13.5" customHeight="1" s="150">
      <c r="A34" s="176" t="n"/>
      <c r="B34" s="176" t="n"/>
      <c r="C34" s="177" t="inlineStr">
        <is>
          <t>Operating expenses</t>
        </is>
      </c>
      <c r="D34" s="188">
        <f>([6]Consolidated!D34)*(1/0.79941)</f>
        <v/>
      </c>
      <c r="E34" s="188">
        <f>([6]Consolidated!E34)*(1/0.79941)</f>
        <v/>
      </c>
      <c r="F34" s="188">
        <f>([6]Consolidated!F34)*(1/0.79941)</f>
        <v/>
      </c>
      <c r="G34" s="188">
        <f>([6]Consolidated!G34)*(1/0.79941)</f>
        <v/>
      </c>
      <c r="H34" s="188">
        <f>([6]Consolidated!H34)*(1/0.79941)</f>
        <v/>
      </c>
      <c r="I34" s="189">
        <f>([6]Consolidated!I34)*(1/0.79941)</f>
        <v/>
      </c>
      <c r="J34" s="189">
        <f>([6]Consolidated!J34)*(1/0.79941)</f>
        <v/>
      </c>
      <c r="K34" s="185" t="n"/>
      <c r="L34" s="181">
        <f>([6]Consolidated!L34)*(1/0.79941)</f>
        <v/>
      </c>
      <c r="M34" s="188">
        <f>([6]Consolidated!M34)*(1/0.79941)</f>
        <v/>
      </c>
      <c r="N34" s="181">
        <f>([6]Consolidated!N34)*(1/0.79941)</f>
        <v/>
      </c>
    </row>
    <row r="35" ht="12.75" customHeight="1" s="150">
      <c r="A35" s="158" t="n"/>
      <c r="B35" s="158" t="n"/>
      <c r="C35" s="167" t="n"/>
      <c r="D35" s="182">
        <f>0*(1/0.79941)</f>
        <v/>
      </c>
      <c r="E35" s="182">
        <f>0*(1/0.79941)</f>
        <v/>
      </c>
      <c r="F35" s="182">
        <f>0*(1/0.79941)</f>
        <v/>
      </c>
      <c r="G35" s="182">
        <f>0*(1/0.79941)</f>
        <v/>
      </c>
      <c r="H35" s="182">
        <f>0*(1/0.79941)</f>
        <v/>
      </c>
      <c r="I35" s="183">
        <f>0*(1/0.79941)</f>
        <v/>
      </c>
      <c r="J35" s="191">
        <f>0*(1/0.79941)</f>
        <v/>
      </c>
      <c r="K35" s="185" t="n"/>
      <c r="L35" s="186">
        <f>0*(1/0.79941)</f>
        <v/>
      </c>
      <c r="M35" s="182">
        <f>0*(1/0.79941)</f>
        <v/>
      </c>
      <c r="N35" s="192">
        <f>0*(1/0.79941)</f>
        <v/>
      </c>
    </row>
    <row r="36" ht="12.75" customHeight="1" s="150">
      <c r="A36" s="158" t="n"/>
      <c r="B36" s="158" t="n"/>
      <c r="C36" s="167" t="inlineStr">
        <is>
          <t>HR &amp; Comms</t>
        </is>
      </c>
      <c r="D36" s="182">
        <f>([6]Consolidated!D36)*(1/0.79941)</f>
        <v/>
      </c>
      <c r="E36" s="182">
        <f>([6]Consolidated!E36)*(1/0.79941)</f>
        <v/>
      </c>
      <c r="F36" s="182">
        <f>([6]Consolidated!F36)*(1/0.79941)</f>
        <v/>
      </c>
      <c r="G36" s="182">
        <f>([6]Consolidated!G36)*(1/0.79941)</f>
        <v/>
      </c>
      <c r="H36" s="182">
        <f>([6]Consolidated!H36)*(1/0.79941)</f>
        <v/>
      </c>
      <c r="I36" s="183">
        <f>([6]Consolidated!I36)*(1/0.79941)</f>
        <v/>
      </c>
      <c r="J36" s="183">
        <f>([6]Consolidated!J36)*(1/0.79941)</f>
        <v/>
      </c>
      <c r="K36" s="185" t="n"/>
      <c r="L36" s="186">
        <f>([6]Consolidated!L36)*(1/0.79941)</f>
        <v/>
      </c>
      <c r="M36" s="182">
        <f>([6]Consolidated!M36)*(1/0.79941)</f>
        <v/>
      </c>
      <c r="N36" s="173">
        <f>([6]Consolidated!N36)*(1/0.79941)</f>
        <v/>
      </c>
    </row>
    <row r="37" ht="12.75" customHeight="1" s="150">
      <c r="A37" s="158" t="n"/>
      <c r="B37" s="158" t="n"/>
      <c r="C37" s="167" t="inlineStr">
        <is>
          <t>Finance &amp; Business Support</t>
        </is>
      </c>
      <c r="D37" s="182">
        <f>([6]Consolidated!D37)*(1/0.79941)</f>
        <v/>
      </c>
      <c r="E37" s="182">
        <f>([6]Consolidated!E37)*(1/0.79941)</f>
        <v/>
      </c>
      <c r="F37" s="182">
        <f>([6]Consolidated!F37)*(1/0.79941)</f>
        <v/>
      </c>
      <c r="G37" s="182">
        <f>([6]Consolidated!G37)*(1/0.79941)</f>
        <v/>
      </c>
      <c r="H37" s="182">
        <f>([6]Consolidated!H37)*(1/0.79941)</f>
        <v/>
      </c>
      <c r="I37" s="183">
        <f>([6]Consolidated!I37)*(1/0.79941)</f>
        <v/>
      </c>
      <c r="J37" s="183">
        <f>([6]Consolidated!J37)*(1/0.79941)</f>
        <v/>
      </c>
      <c r="K37" s="185" t="n"/>
      <c r="L37" s="186">
        <f>([6]Consolidated!L37)*(1/0.79941)</f>
        <v/>
      </c>
      <c r="M37" s="182">
        <f>([6]Consolidated!M37)*(1/0.79941)</f>
        <v/>
      </c>
      <c r="N37" s="173">
        <f>([6]Consolidated!N37)*(1/0.79941)</f>
        <v/>
      </c>
    </row>
    <row r="38" ht="12.75" customHeight="1" s="150">
      <c r="A38" s="158" t="n"/>
      <c r="B38" s="158" t="n"/>
      <c r="C38" s="167" t="inlineStr">
        <is>
          <t>IT alloc</t>
        </is>
      </c>
      <c r="D38" s="182">
        <f>([6]Consolidated!D38)*(1/0.79941)</f>
        <v/>
      </c>
      <c r="E38" s="182">
        <f>([6]Consolidated!E38)*(1/0.79941)</f>
        <v/>
      </c>
      <c r="F38" s="182">
        <f>([6]Consolidated!F38)*(1/0.79941)</f>
        <v/>
      </c>
      <c r="G38" s="182">
        <f>([6]Consolidated!G38)*(1/0.79941)</f>
        <v/>
      </c>
      <c r="H38" s="182">
        <f>([6]Consolidated!H38)*(1/0.79941)</f>
        <v/>
      </c>
      <c r="I38" s="183">
        <f>([6]Consolidated!I38)*(1/0.79941)</f>
        <v/>
      </c>
      <c r="J38" s="183">
        <f>([6]Consolidated!J38)*(1/0.79941)</f>
        <v/>
      </c>
      <c r="K38" s="185" t="n"/>
      <c r="L38" s="186">
        <f>([6]Consolidated!L38)*(1/0.79941)</f>
        <v/>
      </c>
      <c r="M38" s="182">
        <f>([6]Consolidated!M38)*(1/0.79941)</f>
        <v/>
      </c>
      <c r="N38" s="173">
        <f>([6]Consolidated!N38)*(1/0.79941)</f>
        <v/>
      </c>
    </row>
    <row r="39" ht="12.75" customHeight="1" s="150">
      <c r="A39" s="158" t="n"/>
      <c r="B39" s="158" t="n"/>
      <c r="C39" s="167" t="inlineStr">
        <is>
          <t>Facilities Management</t>
        </is>
      </c>
      <c r="D39" s="182">
        <f>([6]Consolidated!D39)*(1/0.79941)</f>
        <v/>
      </c>
      <c r="E39" s="182">
        <f>([6]Consolidated!E39)*(1/0.79941)</f>
        <v/>
      </c>
      <c r="F39" s="182">
        <f>([6]Consolidated!F39)*(1/0.79941)</f>
        <v/>
      </c>
      <c r="G39" s="182">
        <f>([6]Consolidated!G39)*(1/0.79941)</f>
        <v/>
      </c>
      <c r="H39" s="182">
        <f>([6]Consolidated!H39)*(1/0.79941)</f>
        <v/>
      </c>
      <c r="I39" s="183">
        <f>([6]Consolidated!I39)*(1/0.79941)</f>
        <v/>
      </c>
      <c r="J39" s="183">
        <f>([6]Consolidated!J39)*(1/0.79941)</f>
        <v/>
      </c>
      <c r="K39" s="185" t="n"/>
      <c r="L39" s="186">
        <f>([6]Consolidated!L39)*(1/0.79941)</f>
        <v/>
      </c>
      <c r="M39" s="182">
        <f>([6]Consolidated!M39)*(1/0.79941)</f>
        <v/>
      </c>
      <c r="N39" s="173">
        <f>([6]Consolidated!N39)*(1/0.79941)</f>
        <v/>
      </c>
    </row>
    <row r="40" ht="13.5" customHeight="1" s="150">
      <c r="A40" s="176" t="n"/>
      <c r="B40" s="176" t="n"/>
      <c r="C40" s="177" t="inlineStr">
        <is>
          <t>Overheads</t>
        </is>
      </c>
      <c r="D40" s="188">
        <f>([6]Consolidated!D40)*(1/0.79941)</f>
        <v/>
      </c>
      <c r="E40" s="188">
        <f>([6]Consolidated!E40)*(1/0.79941)</f>
        <v/>
      </c>
      <c r="F40" s="188">
        <f>([6]Consolidated!F40)*(1/0.79941)</f>
        <v/>
      </c>
      <c r="G40" s="188">
        <f>([6]Consolidated!G40)*(1/0.79941)</f>
        <v/>
      </c>
      <c r="H40" s="188">
        <f>([6]Consolidated!H40)*(1/0.79941)</f>
        <v/>
      </c>
      <c r="I40" s="189">
        <f>([6]Consolidated!I40)*(1/0.79941)</f>
        <v/>
      </c>
      <c r="J40" s="189">
        <f>([6]Consolidated!J40)*(1/0.79941)</f>
        <v/>
      </c>
      <c r="K40" s="185" t="n"/>
      <c r="L40" s="181">
        <f>([6]Consolidated!L40)*(1/0.79941)</f>
        <v/>
      </c>
      <c r="M40" s="188">
        <f>([6]Consolidated!M40)*(1/0.79941)</f>
        <v/>
      </c>
      <c r="N40" s="181">
        <f>([6]Consolidated!N40)*(1/0.79941)</f>
        <v/>
      </c>
    </row>
    <row r="41" ht="12.75" customHeight="1" s="150">
      <c r="A41" s="158" t="n"/>
      <c r="B41" s="158" t="n"/>
      <c r="C41" s="167" t="n">
        <v>0</v>
      </c>
      <c r="D41" s="182">
        <f>0*(1/0.79941)</f>
        <v/>
      </c>
      <c r="E41" s="182">
        <f>0*(1/0.79941)</f>
        <v/>
      </c>
      <c r="F41" s="182">
        <f>0*(1/0.79941)</f>
        <v/>
      </c>
      <c r="G41" s="182">
        <f>0*(1/0.79941)</f>
        <v/>
      </c>
      <c r="H41" s="182">
        <f>0*(1/0.79941)</f>
        <v/>
      </c>
      <c r="I41" s="183">
        <f>0*(1/0.79941)</f>
        <v/>
      </c>
      <c r="J41" s="191">
        <f>0*(1/0.79941)</f>
        <v/>
      </c>
      <c r="K41" s="185" t="n"/>
      <c r="L41" s="186">
        <f>0*(1/0.79941)</f>
        <v/>
      </c>
      <c r="M41" s="182">
        <f>0*(1/0.79941)</f>
        <v/>
      </c>
      <c r="N41" s="192">
        <f>0*(1/0.79941)</f>
        <v/>
      </c>
    </row>
    <row r="42" ht="13.5" customHeight="1" s="150">
      <c r="A42" s="176" t="n"/>
      <c r="B42" s="176" t="n"/>
      <c r="C42" s="177" t="inlineStr">
        <is>
          <t>Total Operating Costs (incl. O/H)</t>
        </is>
      </c>
      <c r="D42" s="188">
        <f>([6]Consolidated!D42)*(1/0.79941)</f>
        <v/>
      </c>
      <c r="E42" s="188">
        <f>([6]Consolidated!E42)*(1/0.79941)</f>
        <v/>
      </c>
      <c r="F42" s="188">
        <f>([6]Consolidated!F42)*(1/0.79941)</f>
        <v/>
      </c>
      <c r="G42" s="188">
        <f>([6]Consolidated!G42)*(1/0.79941)</f>
        <v/>
      </c>
      <c r="H42" s="188">
        <f>([6]Consolidated!H42)*(1/0.79941)</f>
        <v/>
      </c>
      <c r="I42" s="189">
        <f>([6]Consolidated!I42)*(1/0.79941)</f>
        <v/>
      </c>
      <c r="J42" s="189">
        <f>([6]Consolidated!J42)*(1/0.79941)</f>
        <v/>
      </c>
      <c r="K42" s="185" t="n"/>
      <c r="L42" s="181">
        <f>([6]Consolidated!L42)*(1/0.79941)</f>
        <v/>
      </c>
      <c r="M42" s="188">
        <f>([6]Consolidated!M42)*(1/0.79941)</f>
        <v/>
      </c>
      <c r="N42" s="181">
        <f>([6]Consolidated!N42)*(1/0.79941)</f>
        <v/>
      </c>
      <c r="O42" s="193" t="n"/>
    </row>
    <row r="43" ht="12.75" customHeight="1" s="150">
      <c r="J43" s="195" t="n"/>
      <c r="N43" s="196" t="n"/>
    </row>
    <row r="44" ht="13.5" customHeight="1" s="150"/>
    <row r="45" ht="54.75" customHeight="1" s="150">
      <c r="C45" s="197" t="inlineStr">
        <is>
          <t>SUPPLIER ASSUMED COSTS 
(US$  excl. VAT)</t>
        </is>
      </c>
      <c r="D45" s="198">
        <f>[6]Consolidated!D45</f>
        <v/>
      </c>
      <c r="E45" s="198">
        <f>[6]Consolidated!E45</f>
        <v/>
      </c>
      <c r="F45" s="198">
        <f>[6]Consolidated!F45</f>
        <v/>
      </c>
      <c r="G45" s="198">
        <f>[6]Consolidated!G45</f>
        <v/>
      </c>
      <c r="H45" s="198">
        <f>[6]Consolidated!H45</f>
        <v/>
      </c>
      <c r="I45" s="199">
        <f>[6]Consolidated!I45</f>
        <v/>
      </c>
      <c r="J45" s="200">
        <f>[6]Consolidated!J45</f>
        <v/>
      </c>
      <c r="K45" s="165" t="n"/>
      <c r="L45" s="198">
        <f>[6]Consolidated!L45</f>
        <v/>
      </c>
      <c r="M45" s="201">
        <f>[6]Consolidated!M45</f>
        <v/>
      </c>
      <c r="N45" s="198">
        <f>[6]Consolidated!N45</f>
        <v/>
      </c>
    </row>
    <row r="46" ht="12.75" customHeight="1" s="150">
      <c r="C46" s="202" t="inlineStr">
        <is>
          <t>Internal FTE</t>
        </is>
      </c>
      <c r="D46" s="211">
        <f>[6]Consolidated!D46</f>
        <v/>
      </c>
      <c r="E46" s="211">
        <f>[6]Consolidated!E46</f>
        <v/>
      </c>
      <c r="F46" s="211">
        <f>[6]Consolidated!F46</f>
        <v/>
      </c>
      <c r="G46" s="211">
        <f>[6]Consolidated!G46</f>
        <v/>
      </c>
      <c r="H46" s="211">
        <f>[6]Consolidated!H46</f>
        <v/>
      </c>
      <c r="I46" s="211">
        <f>[6]Consolidated!I46</f>
        <v/>
      </c>
      <c r="J46" s="288" t="n"/>
      <c r="K46" s="185" t="n"/>
      <c r="L46" s="213">
        <f>[6]Consolidated!L46</f>
        <v/>
      </c>
      <c r="M46" s="211">
        <f>[6]Consolidated!M46</f>
        <v/>
      </c>
      <c r="N46" s="206" t="n"/>
    </row>
    <row r="47" ht="12.75" customHeight="1" s="150">
      <c r="C47" s="202" t="inlineStr">
        <is>
          <t>External FTE</t>
        </is>
      </c>
      <c r="D47" s="211">
        <f>[6]Consolidated!D47</f>
        <v/>
      </c>
      <c r="E47" s="211">
        <f>[6]Consolidated!E47</f>
        <v/>
      </c>
      <c r="F47" s="211">
        <f>[6]Consolidated!F47</f>
        <v/>
      </c>
      <c r="G47" s="211">
        <f>[6]Consolidated!G47</f>
        <v/>
      </c>
      <c r="H47" s="211">
        <f>[6]Consolidated!H47</f>
        <v/>
      </c>
      <c r="I47" s="211">
        <f>[6]Consolidated!I47</f>
        <v/>
      </c>
      <c r="J47" s="288" t="n"/>
      <c r="K47" s="185" t="n"/>
      <c r="L47" s="213">
        <f>[6]Consolidated!L47</f>
        <v/>
      </c>
      <c r="M47" s="211">
        <f>[6]Consolidated!M47</f>
        <v/>
      </c>
      <c r="N47" s="206" t="n"/>
    </row>
    <row r="48" ht="13.5" customHeight="1" s="150">
      <c r="A48" s="176" t="n"/>
      <c r="B48" s="176" t="n"/>
      <c r="C48" s="207" t="inlineStr">
        <is>
          <t>Total FTE</t>
        </is>
      </c>
      <c r="D48" s="215">
        <f>[6]Consolidated!D48</f>
        <v/>
      </c>
      <c r="E48" s="215">
        <f>[6]Consolidated!E48</f>
        <v/>
      </c>
      <c r="F48" s="215">
        <f>[6]Consolidated!F48</f>
        <v/>
      </c>
      <c r="G48" s="215">
        <f>[6]Consolidated!G48</f>
        <v/>
      </c>
      <c r="H48" s="215">
        <f>[6]Consolidated!H48</f>
        <v/>
      </c>
      <c r="I48" s="215">
        <f>[6]Consolidated!I48</f>
        <v/>
      </c>
      <c r="J48" s="289" t="n"/>
      <c r="K48" s="185" t="n"/>
      <c r="L48" s="210">
        <f>[6]Consolidated!L48</f>
        <v/>
      </c>
      <c r="M48" s="215">
        <f>[6]Consolidated!M48</f>
        <v/>
      </c>
      <c r="N48" s="210" t="n"/>
    </row>
    <row r="49" ht="12.75" customHeight="1" s="150">
      <c r="C49" s="202" t="n"/>
      <c r="D49" s="211" t="n"/>
      <c r="E49" s="211" t="n"/>
      <c r="F49" s="211" t="n"/>
      <c r="G49" s="211" t="n"/>
      <c r="H49" s="211" t="n"/>
      <c r="I49" s="211" t="n"/>
      <c r="J49" s="212" t="n"/>
      <c r="K49" s="185" t="n"/>
      <c r="L49" s="213" t="n"/>
      <c r="M49" s="211" t="n"/>
      <c r="N49" s="206" t="n"/>
    </row>
    <row r="50" ht="12.75" customHeight="1" s="150">
      <c r="C50" s="202" t="inlineStr">
        <is>
          <t>Salaries</t>
        </is>
      </c>
      <c r="D50" s="211">
        <f>([6]Consolidated!D50)*(1/0.79941)</f>
        <v/>
      </c>
      <c r="E50" s="211">
        <f>([6]Consolidated!E50)*(1/0.79941)</f>
        <v/>
      </c>
      <c r="F50" s="211">
        <f>([6]Consolidated!F50)*(1/0.79941)</f>
        <v/>
      </c>
      <c r="G50" s="211">
        <f>([6]Consolidated!G50)*(1/0.79941)</f>
        <v/>
      </c>
      <c r="H50" s="211">
        <f>([6]Consolidated!H50)*(1/0.79941)</f>
        <v/>
      </c>
      <c r="I50" s="211">
        <f>([6]Consolidated!I50)*(1/0.79941)</f>
        <v/>
      </c>
      <c r="J50" s="213">
        <f>([6]Consolidated!J50)*(1/0.79941)</f>
        <v/>
      </c>
      <c r="K50" s="185" t="n"/>
      <c r="L50" s="213">
        <f>([6]Consolidated!L50)*(1/0.79941)</f>
        <v/>
      </c>
      <c r="M50" s="211">
        <f>([6]Consolidated!M50)*(1/0.79941)</f>
        <v/>
      </c>
      <c r="N50" s="206">
        <f>([6]Consolidated!N50)*(1/0.79941)</f>
        <v/>
      </c>
    </row>
    <row r="51" ht="12.75" customHeight="1" s="150">
      <c r="C51" s="202" t="inlineStr">
        <is>
          <t>Bonuses</t>
        </is>
      </c>
      <c r="D51" s="211">
        <f>([6]Consolidated!D51)*(1/0.79941)</f>
        <v/>
      </c>
      <c r="E51" s="211">
        <f>([6]Consolidated!E51)*(1/0.79941)</f>
        <v/>
      </c>
      <c r="F51" s="211">
        <f>([6]Consolidated!F51)*(1/0.79941)</f>
        <v/>
      </c>
      <c r="G51" s="211">
        <f>([6]Consolidated!G51)*(1/0.79941)</f>
        <v/>
      </c>
      <c r="H51" s="211">
        <f>([6]Consolidated!H51)*(1/0.79941)</f>
        <v/>
      </c>
      <c r="I51" s="211">
        <f>([6]Consolidated!I51)*(1/0.79941)</f>
        <v/>
      </c>
      <c r="J51" s="213">
        <f>([6]Consolidated!J51)*(1/0.79941)</f>
        <v/>
      </c>
      <c r="K51" s="185" t="n"/>
      <c r="L51" s="213">
        <f>([6]Consolidated!L51)*(1/0.79941)</f>
        <v/>
      </c>
      <c r="M51" s="211">
        <f>([6]Consolidated!M51)*(1/0.79941)</f>
        <v/>
      </c>
      <c r="N51" s="206">
        <f>([6]Consolidated!N51)*(1/0.79941)</f>
        <v/>
      </c>
    </row>
    <row r="52" ht="12.75" customHeight="1" s="150">
      <c r="C52" s="202" t="inlineStr">
        <is>
          <t>Third party staff, ex IT</t>
        </is>
      </c>
      <c r="D52" s="211">
        <f>([6]Consolidated!D52)*(1/0.79941)</f>
        <v/>
      </c>
      <c r="E52" s="211">
        <f>([6]Consolidated!E52)*(1/0.79941)</f>
        <v/>
      </c>
      <c r="F52" s="211">
        <f>([6]Consolidated!F52)*(1/0.79941)</f>
        <v/>
      </c>
      <c r="G52" s="211">
        <f>([6]Consolidated!G52)*(1/0.79941)</f>
        <v/>
      </c>
      <c r="H52" s="211">
        <f>([6]Consolidated!H52)*(1/0.79941)</f>
        <v/>
      </c>
      <c r="I52" s="211">
        <f>([6]Consolidated!I52)*(1/0.79941)</f>
        <v/>
      </c>
      <c r="J52" s="213">
        <f>([6]Consolidated!J52)*(1/0.79941)</f>
        <v/>
      </c>
      <c r="K52" s="185" t="n"/>
      <c r="L52" s="213">
        <f>([6]Consolidated!L52)*(1/0.79941)</f>
        <v/>
      </c>
      <c r="M52" s="211">
        <f>([6]Consolidated!M52)*(1/0.79941)</f>
        <v/>
      </c>
      <c r="N52" s="206">
        <f>([6]Consolidated!N52)*(1/0.79941)</f>
        <v/>
      </c>
    </row>
    <row r="53" ht="12.75" customHeight="1" s="150">
      <c r="C53" s="202" t="inlineStr">
        <is>
          <t>Third party IT staff</t>
        </is>
      </c>
      <c r="D53" s="211">
        <f>([6]Consolidated!D53)*(1/0.79941)</f>
        <v/>
      </c>
      <c r="E53" s="211">
        <f>([6]Consolidated!E53)*(1/0.79941)</f>
        <v/>
      </c>
      <c r="F53" s="211">
        <f>([6]Consolidated!F53)*(1/0.79941)</f>
        <v/>
      </c>
      <c r="G53" s="211">
        <f>([6]Consolidated!G53)*(1/0.79941)</f>
        <v/>
      </c>
      <c r="H53" s="211">
        <f>([6]Consolidated!H53)*(1/0.79941)</f>
        <v/>
      </c>
      <c r="I53" s="211">
        <f>([6]Consolidated!I53)*(1/0.79941)</f>
        <v/>
      </c>
      <c r="J53" s="213">
        <f>([6]Consolidated!J53)*(1/0.79941)</f>
        <v/>
      </c>
      <c r="K53" s="185" t="n"/>
      <c r="L53" s="213">
        <f>([6]Consolidated!L53)*(1/0.79941)</f>
        <v/>
      </c>
      <c r="M53" s="211">
        <f>([6]Consolidated!M53)*(1/0.79941)</f>
        <v/>
      </c>
      <c r="N53" s="206">
        <f>([6]Consolidated!N53)*(1/0.79941)</f>
        <v/>
      </c>
    </row>
    <row r="54" ht="12.75" customHeight="1" s="150">
      <c r="C54" s="202" t="inlineStr">
        <is>
          <t>Employee education</t>
        </is>
      </c>
      <c r="D54" s="211">
        <f>([6]Consolidated!D54)*(1/0.79941)</f>
        <v/>
      </c>
      <c r="E54" s="211">
        <f>([6]Consolidated!E54)*(1/0.79941)</f>
        <v/>
      </c>
      <c r="F54" s="211">
        <f>([6]Consolidated!F54)*(1/0.79941)</f>
        <v/>
      </c>
      <c r="G54" s="211">
        <f>([6]Consolidated!G54)*(1/0.79941)</f>
        <v/>
      </c>
      <c r="H54" s="211">
        <f>([6]Consolidated!H54)*(1/0.79941)</f>
        <v/>
      </c>
      <c r="I54" s="211">
        <f>([6]Consolidated!I54)*(1/0.79941)</f>
        <v/>
      </c>
      <c r="J54" s="213">
        <f>([6]Consolidated!J54)*(1/0.79941)</f>
        <v/>
      </c>
      <c r="K54" s="185" t="n"/>
      <c r="L54" s="213">
        <f>([6]Consolidated!L54)*(1/0.79941)</f>
        <v/>
      </c>
      <c r="M54" s="211">
        <f>([6]Consolidated!M54)*(1/0.79941)</f>
        <v/>
      </c>
      <c r="N54" s="206">
        <f>([6]Consolidated!N54)*(1/0.79941)</f>
        <v/>
      </c>
    </row>
    <row r="55" ht="12.75" customHeight="1" s="150">
      <c r="C55" s="202" t="inlineStr">
        <is>
          <t>Other staff expenses</t>
        </is>
      </c>
      <c r="D55" s="211">
        <f>([6]Consolidated!D55)*(1/0.79941)</f>
        <v/>
      </c>
      <c r="E55" s="211">
        <f>([6]Consolidated!E55)*(1/0.79941)</f>
        <v/>
      </c>
      <c r="F55" s="211">
        <f>([6]Consolidated!F55)*(1/0.79941)</f>
        <v/>
      </c>
      <c r="G55" s="211">
        <f>([6]Consolidated!G55)*(1/0.79941)</f>
        <v/>
      </c>
      <c r="H55" s="211">
        <f>([6]Consolidated!H55)*(1/0.79941)</f>
        <v/>
      </c>
      <c r="I55" s="211">
        <f>([6]Consolidated!I55)*(1/0.79941)</f>
        <v/>
      </c>
      <c r="J55" s="214">
        <f>([6]Consolidated!J55)*(1/0.79941)</f>
        <v/>
      </c>
      <c r="K55" s="185" t="n"/>
      <c r="L55" s="213">
        <f>([6]Consolidated!L55)*(1/0.79941)</f>
        <v/>
      </c>
      <c r="M55" s="211">
        <f>([6]Consolidated!M55)*(1/0.79941)</f>
        <v/>
      </c>
      <c r="N55" s="206">
        <f>([6]Consolidated!N55)*(1/0.79941)</f>
        <v/>
      </c>
    </row>
    <row r="56" ht="13.5" customHeight="1" s="150">
      <c r="C56" s="207" t="inlineStr">
        <is>
          <t>Staff expenses</t>
        </is>
      </c>
      <c r="D56" s="215">
        <f>([6]Consolidated!D56)*(1/0.79941)</f>
        <v/>
      </c>
      <c r="E56" s="215">
        <f>([6]Consolidated!E56)*(1/0.79941)</f>
        <v/>
      </c>
      <c r="F56" s="215">
        <f>([6]Consolidated!F56)*(1/0.79941)</f>
        <v/>
      </c>
      <c r="G56" s="215">
        <f>([6]Consolidated!G56)*(1/0.79941)</f>
        <v/>
      </c>
      <c r="H56" s="215">
        <f>([6]Consolidated!H56)*(1/0.79941)</f>
        <v/>
      </c>
      <c r="I56" s="215">
        <f>([6]Consolidated!I56)*(1/0.79941)</f>
        <v/>
      </c>
      <c r="J56" s="210">
        <f>([6]Consolidated!J56)*(1/0.79941)</f>
        <v/>
      </c>
      <c r="K56" s="185" t="n"/>
      <c r="L56" s="210">
        <f>([6]Consolidated!L56)*(1/0.79941)</f>
        <v/>
      </c>
      <c r="M56" s="215">
        <f>([6]Consolidated!M56)*(1/0.79941)</f>
        <v/>
      </c>
      <c r="N56" s="210">
        <f>([6]Consolidated!N56)*(1/0.79941)</f>
        <v/>
      </c>
    </row>
    <row r="57" ht="12.75" customHeight="1" s="150">
      <c r="B57" s="216" t="n"/>
      <c r="C57" s="202" t="inlineStr">
        <is>
          <t>Hardware expenses</t>
        </is>
      </c>
      <c r="D57" s="211">
        <f>([6]Consolidated!D57)*(1/0.79941)</f>
        <v/>
      </c>
      <c r="E57" s="211">
        <f>([6]Consolidated!E57)*(1/0.79941)</f>
        <v/>
      </c>
      <c r="F57" s="211">
        <f>([6]Consolidated!F57)*(1/0.79941)</f>
        <v/>
      </c>
      <c r="G57" s="211">
        <f>([6]Consolidated!G57)*(1/0.79941)</f>
        <v/>
      </c>
      <c r="H57" s="211">
        <f>([6]Consolidated!H57)*(1/0.79941)</f>
        <v/>
      </c>
      <c r="I57" s="211">
        <f>([6]Consolidated!I57)*(1/0.79941)</f>
        <v/>
      </c>
      <c r="J57" s="213">
        <f>([6]Consolidated!J57)*(1/0.79941)</f>
        <v/>
      </c>
      <c r="K57" s="185" t="n"/>
      <c r="L57" s="213">
        <f>([6]Consolidated!L57)*(1/0.79941)</f>
        <v/>
      </c>
      <c r="M57" s="211">
        <f>([6]Consolidated!M57)*(1/0.79941)</f>
        <v/>
      </c>
      <c r="N57" s="206">
        <f>([6]Consolidated!N57)*(1/0.79941)</f>
        <v/>
      </c>
    </row>
    <row r="58" ht="12.75" customHeight="1" s="150">
      <c r="C58" s="202" t="inlineStr">
        <is>
          <t>Leasing/renting hardware</t>
        </is>
      </c>
      <c r="D58" s="211">
        <f>([6]Consolidated!D58)*(1/0.79941)</f>
        <v/>
      </c>
      <c r="E58" s="211">
        <f>([6]Consolidated!E58)*(1/0.79941)</f>
        <v/>
      </c>
      <c r="F58" s="211">
        <f>([6]Consolidated!F58)*(1/0.79941)</f>
        <v/>
      </c>
      <c r="G58" s="211">
        <f>([6]Consolidated!G58)*(1/0.79941)</f>
        <v/>
      </c>
      <c r="H58" s="211">
        <f>([6]Consolidated!H58)*(1/0.79941)</f>
        <v/>
      </c>
      <c r="I58" s="211">
        <f>([6]Consolidated!I58)*(1/0.79941)</f>
        <v/>
      </c>
      <c r="J58" s="213">
        <f>([6]Consolidated!J58)*(1/0.79941)</f>
        <v/>
      </c>
      <c r="K58" s="185" t="n"/>
      <c r="L58" s="213">
        <f>([6]Consolidated!L58)*(1/0.79941)</f>
        <v/>
      </c>
      <c r="M58" s="211">
        <f>([6]Consolidated!M58)*(1/0.79941)</f>
        <v/>
      </c>
      <c r="N58" s="206">
        <f>([6]Consolidated!N58)*(1/0.79941)</f>
        <v/>
      </c>
    </row>
    <row r="59" ht="12.75" customHeight="1" s="150">
      <c r="C59" s="202" t="inlineStr">
        <is>
          <t>Software expenses</t>
        </is>
      </c>
      <c r="D59" s="211">
        <f>([6]Consolidated!D59)*(1/0.79941)</f>
        <v/>
      </c>
      <c r="E59" s="211">
        <f>([6]Consolidated!E59)*(1/0.79941)</f>
        <v/>
      </c>
      <c r="F59" s="211">
        <f>([6]Consolidated!F59)*(1/0.79941)</f>
        <v/>
      </c>
      <c r="G59" s="211">
        <f>([6]Consolidated!G59)*(1/0.79941)</f>
        <v/>
      </c>
      <c r="H59" s="211">
        <f>([6]Consolidated!H59)*(1/0.79941)</f>
        <v/>
      </c>
      <c r="I59" s="211">
        <f>([6]Consolidated!I59)*(1/0.79941)</f>
        <v/>
      </c>
      <c r="J59" s="213">
        <f>([6]Consolidated!J59)*(1/0.79941)</f>
        <v/>
      </c>
      <c r="K59" s="185" t="n"/>
      <c r="L59" s="213">
        <f>([6]Consolidated!L59)*(1/0.79941)</f>
        <v/>
      </c>
      <c r="M59" s="211">
        <f>([6]Consolidated!M59)*(1/0.79941)</f>
        <v/>
      </c>
      <c r="N59" s="206">
        <f>([6]Consolidated!N59)*(1/0.79941)</f>
        <v/>
      </c>
    </row>
    <row r="60" ht="12.75" customHeight="1" s="150">
      <c r="C60" s="202" t="inlineStr">
        <is>
          <t>Leasing/renting/licenses sw</t>
        </is>
      </c>
      <c r="D60" s="211">
        <f>([6]Consolidated!D60)*(1/0.79941)</f>
        <v/>
      </c>
      <c r="E60" s="211">
        <f>([6]Consolidated!E60)*(1/0.79941)</f>
        <v/>
      </c>
      <c r="F60" s="211">
        <f>([6]Consolidated!F60)*(1/0.79941)</f>
        <v/>
      </c>
      <c r="G60" s="211">
        <f>([6]Consolidated!G60)*(1/0.79941)</f>
        <v/>
      </c>
      <c r="H60" s="211">
        <f>([6]Consolidated!H60)*(1/0.79941)</f>
        <v/>
      </c>
      <c r="I60" s="211">
        <f>([6]Consolidated!I60)*(1/0.79941)</f>
        <v/>
      </c>
      <c r="J60" s="213">
        <f>([6]Consolidated!J60)*(1/0.79941)</f>
        <v/>
      </c>
      <c r="K60" s="185" t="n"/>
      <c r="L60" s="213">
        <f>([6]Consolidated!L60)*(1/0.79941)</f>
        <v/>
      </c>
      <c r="M60" s="211">
        <f>([6]Consolidated!M60)*(1/0.79941)</f>
        <v/>
      </c>
      <c r="N60" s="206">
        <f>([6]Consolidated!N60)*(1/0.79941)</f>
        <v/>
      </c>
    </row>
    <row r="61" ht="12.75" customHeight="1" s="150">
      <c r="C61" s="202" t="inlineStr">
        <is>
          <t>Depreciation hardware</t>
        </is>
      </c>
      <c r="D61" s="211">
        <f>([6]Consolidated!D61)*(1/0.79941)</f>
        <v/>
      </c>
      <c r="E61" s="211">
        <f>([6]Consolidated!E61)*(1/0.79941)</f>
        <v/>
      </c>
      <c r="F61" s="211">
        <f>([6]Consolidated!F61)*(1/0.79941)</f>
        <v/>
      </c>
      <c r="G61" s="211">
        <f>([6]Consolidated!G61)*(1/0.79941)</f>
        <v/>
      </c>
      <c r="H61" s="211">
        <f>([6]Consolidated!H61)*(1/0.79941)</f>
        <v/>
      </c>
      <c r="I61" s="211">
        <f>([6]Consolidated!I61)*(1/0.79941)</f>
        <v/>
      </c>
      <c r="J61" s="213">
        <f>([6]Consolidated!J61)*(1/0.79941)</f>
        <v/>
      </c>
      <c r="K61" s="185" t="n"/>
      <c r="L61" s="213">
        <f>([6]Consolidated!L61)*(1/0.79941)</f>
        <v/>
      </c>
      <c r="M61" s="211">
        <f>([6]Consolidated!M61)*(1/0.79941)</f>
        <v/>
      </c>
      <c r="N61" s="206">
        <f>([6]Consolidated!N61)*(1/0.79941)</f>
        <v/>
      </c>
    </row>
    <row r="62" ht="12.75" customHeight="1" s="150">
      <c r="C62" s="202" t="inlineStr">
        <is>
          <t>Depreciation software</t>
        </is>
      </c>
      <c r="D62" s="211">
        <f>([6]Consolidated!D62)*(1/0.79941)</f>
        <v/>
      </c>
      <c r="E62" s="211">
        <f>([6]Consolidated!E62)*(1/0.79941)</f>
        <v/>
      </c>
      <c r="F62" s="211">
        <f>([6]Consolidated!F62)*(1/0.79941)</f>
        <v/>
      </c>
      <c r="G62" s="211">
        <f>([6]Consolidated!G62)*(1/0.79941)</f>
        <v/>
      </c>
      <c r="H62" s="211">
        <f>([6]Consolidated!H62)*(1/0.79941)</f>
        <v/>
      </c>
      <c r="I62" s="211">
        <f>([6]Consolidated!I62)*(1/0.79941)</f>
        <v/>
      </c>
      <c r="J62" s="213">
        <f>([6]Consolidated!J62)*(1/0.79941)</f>
        <v/>
      </c>
      <c r="K62" s="185" t="n"/>
      <c r="L62" s="213">
        <f>([6]Consolidated!L62)*(1/0.79941)</f>
        <v/>
      </c>
      <c r="M62" s="211">
        <f>([6]Consolidated!M62)*(1/0.79941)</f>
        <v/>
      </c>
      <c r="N62" s="206">
        <f>([6]Consolidated!N62)*(1/0.79941)</f>
        <v/>
      </c>
    </row>
    <row r="63" ht="12.75" customHeight="1" s="150">
      <c r="C63" s="202" t="inlineStr">
        <is>
          <t>Outsourcing IT activities</t>
        </is>
      </c>
      <c r="D63" s="211">
        <f>([6]Consolidated!D63)*(1/0.79941)</f>
        <v/>
      </c>
      <c r="E63" s="211">
        <f>([6]Consolidated!E63)*(1/0.79941)</f>
        <v/>
      </c>
      <c r="F63" s="211">
        <f>([6]Consolidated!F63)*(1/0.79941)</f>
        <v/>
      </c>
      <c r="G63" s="211">
        <f>([6]Consolidated!G63)*(1/0.79941)</f>
        <v/>
      </c>
      <c r="H63" s="211">
        <f>([6]Consolidated!H63)*(1/0.79941)</f>
        <v/>
      </c>
      <c r="I63" s="211">
        <f>([6]Consolidated!I63)*(1/0.79941)</f>
        <v/>
      </c>
      <c r="J63" s="213">
        <f>([6]Consolidated!J63)*(1/0.79941)</f>
        <v/>
      </c>
      <c r="K63" s="185" t="n"/>
      <c r="L63" s="213">
        <f>([6]Consolidated!L63)*(1/0.79941)</f>
        <v/>
      </c>
      <c r="M63" s="211">
        <f>([6]Consolidated!M63)*(1/0.79941)</f>
        <v/>
      </c>
      <c r="N63" s="206">
        <f>([6]Consolidated!N63)*(1/0.79941)</f>
        <v/>
      </c>
    </row>
    <row r="64" ht="12.75" customHeight="1" s="150">
      <c r="C64" s="202" t="inlineStr">
        <is>
          <t>Other IT expenses</t>
        </is>
      </c>
      <c r="D64" s="211">
        <f>([6]Consolidated!D64)*(1/0.79941)</f>
        <v/>
      </c>
      <c r="E64" s="211">
        <f>([6]Consolidated!E64)*(1/0.79941)</f>
        <v/>
      </c>
      <c r="F64" s="211">
        <f>([6]Consolidated!F64)*(1/0.79941)</f>
        <v/>
      </c>
      <c r="G64" s="211">
        <f>([6]Consolidated!G64)*(1/0.79941)</f>
        <v/>
      </c>
      <c r="H64" s="211">
        <f>([6]Consolidated!H64)*(1/0.79941)</f>
        <v/>
      </c>
      <c r="I64" s="211">
        <f>([6]Consolidated!I64)*(1/0.79941)</f>
        <v/>
      </c>
      <c r="J64" s="213">
        <f>([6]Consolidated!J64)*(1/0.79941)</f>
        <v/>
      </c>
      <c r="K64" s="185" t="n"/>
      <c r="L64" s="213">
        <f>([6]Consolidated!L64)*(1/0.79941)</f>
        <v/>
      </c>
      <c r="M64" s="211">
        <f>([6]Consolidated!M64)*(1/0.79941)</f>
        <v/>
      </c>
      <c r="N64" s="206">
        <f>([6]Consolidated!N64)*(1/0.79941)</f>
        <v/>
      </c>
    </row>
    <row r="65" ht="13.5" customHeight="1" s="150">
      <c r="C65" s="207" t="inlineStr">
        <is>
          <t>EDP expenses</t>
        </is>
      </c>
      <c r="D65" s="215">
        <f>([6]Consolidated!D65)*(1/0.79941)</f>
        <v/>
      </c>
      <c r="E65" s="215">
        <f>([6]Consolidated!E65)*(1/0.79941)</f>
        <v/>
      </c>
      <c r="F65" s="215">
        <f>([6]Consolidated!F65)*(1/0.79941)</f>
        <v/>
      </c>
      <c r="G65" s="215">
        <f>([6]Consolidated!G65)*(1/0.79941)</f>
        <v/>
      </c>
      <c r="H65" s="215">
        <f>([6]Consolidated!H65)*(1/0.79941)</f>
        <v/>
      </c>
      <c r="I65" s="215">
        <f>([6]Consolidated!I65)*(1/0.79941)</f>
        <v/>
      </c>
      <c r="J65" s="210">
        <f>([6]Consolidated!J65)*(1/0.79941)</f>
        <v/>
      </c>
      <c r="K65" s="185" t="n"/>
      <c r="L65" s="210">
        <f>([6]Consolidated!L65)*(1/0.79941)</f>
        <v/>
      </c>
      <c r="M65" s="215">
        <f>([6]Consolidated!M65)*(1/0.79941)</f>
        <v/>
      </c>
      <c r="N65" s="210">
        <f>([6]Consolidated!N65)*(1/0.79941)</f>
        <v/>
      </c>
    </row>
    <row r="66" ht="12.75" customHeight="1" s="150">
      <c r="C66" s="202" t="inlineStr">
        <is>
          <t>Telecom expenses</t>
        </is>
      </c>
      <c r="D66" s="211">
        <f>([6]Consolidated!D66)*(1/0.79941)</f>
        <v/>
      </c>
      <c r="E66" s="211">
        <f>([6]Consolidated!E66)*(1/0.79941)</f>
        <v/>
      </c>
      <c r="F66" s="211">
        <f>([6]Consolidated!F66)*(1/0.79941)</f>
        <v/>
      </c>
      <c r="G66" s="211">
        <f>([6]Consolidated!G66)*(1/0.79941)</f>
        <v/>
      </c>
      <c r="H66" s="211">
        <f>([6]Consolidated!H66)*(1/0.79941)</f>
        <v/>
      </c>
      <c r="I66" s="211">
        <f>([6]Consolidated!I66)*(1/0.79941)</f>
        <v/>
      </c>
      <c r="J66" s="213">
        <f>([6]Consolidated!J66)*(1/0.79941)</f>
        <v/>
      </c>
      <c r="K66" s="185" t="n"/>
      <c r="L66" s="213">
        <f>([6]Consolidated!L66)*(1/0.79941)</f>
        <v/>
      </c>
      <c r="M66" s="211">
        <f>([6]Consolidated!M66)*(1/0.79941)</f>
        <v/>
      </c>
      <c r="N66" s="206">
        <f>([6]Consolidated!N66)*(1/0.79941)</f>
        <v/>
      </c>
    </row>
    <row r="67" ht="12.75" customHeight="1" s="150">
      <c r="C67" s="202" t="inlineStr">
        <is>
          <t>Office equipment and supplies</t>
        </is>
      </c>
      <c r="D67" s="211">
        <f>([6]Consolidated!D67)*(1/0.79941)</f>
        <v/>
      </c>
      <c r="E67" s="211">
        <f>([6]Consolidated!E67)*(1/0.79941)</f>
        <v/>
      </c>
      <c r="F67" s="211">
        <f>([6]Consolidated!F67)*(1/0.79941)</f>
        <v/>
      </c>
      <c r="G67" s="211">
        <f>([6]Consolidated!G67)*(1/0.79941)</f>
        <v/>
      </c>
      <c r="H67" s="211">
        <f>([6]Consolidated!H67)*(1/0.79941)</f>
        <v/>
      </c>
      <c r="I67" s="211">
        <f>([6]Consolidated!I67)*(1/0.79941)</f>
        <v/>
      </c>
      <c r="J67" s="213">
        <f>([6]Consolidated!J67)*(1/0.79941)</f>
        <v/>
      </c>
      <c r="K67" s="185" t="n"/>
      <c r="L67" s="213">
        <f>([6]Consolidated!L67)*(1/0.79941)</f>
        <v/>
      </c>
      <c r="M67" s="211">
        <f>([6]Consolidated!M67)*(1/0.79941)</f>
        <v/>
      </c>
      <c r="N67" s="206">
        <f>([6]Consolidated!N67)*(1/0.79941)</f>
        <v/>
      </c>
    </row>
    <row r="68" ht="12.75" customHeight="1" s="150">
      <c r="C68" s="202" t="inlineStr">
        <is>
          <t>Accomodation expenses</t>
        </is>
      </c>
      <c r="D68" s="211">
        <f>([6]Consolidated!D68)*(1/0.79941)</f>
        <v/>
      </c>
      <c r="E68" s="211">
        <f>([6]Consolidated!E68)*(1/0.79941)</f>
        <v/>
      </c>
      <c r="F68" s="211">
        <f>([6]Consolidated!F68)*(1/0.79941)</f>
        <v/>
      </c>
      <c r="G68" s="211">
        <f>([6]Consolidated!G68)*(1/0.79941)</f>
        <v/>
      </c>
      <c r="H68" s="211">
        <f>([6]Consolidated!H68)*(1/0.79941)</f>
        <v/>
      </c>
      <c r="I68" s="211">
        <f>([6]Consolidated!I68)*(1/0.79941)</f>
        <v/>
      </c>
      <c r="J68" s="213">
        <f>([6]Consolidated!J68)*(1/0.79941)</f>
        <v/>
      </c>
      <c r="K68" s="185" t="n"/>
      <c r="L68" s="213">
        <f>([6]Consolidated!L68)*(1/0.79941)</f>
        <v/>
      </c>
      <c r="M68" s="211">
        <f>([6]Consolidated!M68)*(1/0.79941)</f>
        <v/>
      </c>
      <c r="N68" s="206">
        <f>([6]Consolidated!N68)*(1/0.79941)</f>
        <v/>
      </c>
    </row>
    <row r="69" ht="12.75" customHeight="1" s="150">
      <c r="C69" s="202" t="inlineStr">
        <is>
          <t>Travel costs</t>
        </is>
      </c>
      <c r="D69" s="211">
        <f>([6]Consolidated!D69)*(1/0.79941)</f>
        <v/>
      </c>
      <c r="E69" s="211">
        <f>([6]Consolidated!E69)*(1/0.79941)</f>
        <v/>
      </c>
      <c r="F69" s="211">
        <f>([6]Consolidated!F69)*(1/0.79941)</f>
        <v/>
      </c>
      <c r="G69" s="211">
        <f>([6]Consolidated!G69)*(1/0.79941)</f>
        <v/>
      </c>
      <c r="H69" s="211">
        <f>([6]Consolidated!H69)*(1/0.79941)</f>
        <v/>
      </c>
      <c r="I69" s="211">
        <f>([6]Consolidated!I69)*(1/0.79941)</f>
        <v/>
      </c>
      <c r="J69" s="213">
        <f>([6]Consolidated!J69)*(1/0.79941)</f>
        <v/>
      </c>
      <c r="K69" s="185" t="n"/>
      <c r="L69" s="213">
        <f>([6]Consolidated!L69)*(1/0.79941)</f>
        <v/>
      </c>
      <c r="M69" s="211">
        <f>([6]Consolidated!M69)*(1/0.79941)</f>
        <v/>
      </c>
      <c r="N69" s="206">
        <f>([6]Consolidated!N69)*(1/0.79941)</f>
        <v/>
      </c>
    </row>
    <row r="70" ht="12.75" customHeight="1" s="150">
      <c r="C70" s="202" t="inlineStr">
        <is>
          <t>Postal and freight charges</t>
        </is>
      </c>
      <c r="D70" s="211">
        <f>([6]Consolidated!D70)*(1/0.79941)</f>
        <v/>
      </c>
      <c r="E70" s="211">
        <f>([6]Consolidated!E70)*(1/0.79941)</f>
        <v/>
      </c>
      <c r="F70" s="211">
        <f>([6]Consolidated!F70)*(1/0.79941)</f>
        <v/>
      </c>
      <c r="G70" s="211">
        <f>([6]Consolidated!G70)*(1/0.79941)</f>
        <v/>
      </c>
      <c r="H70" s="211">
        <f>([6]Consolidated!H70)*(1/0.79941)</f>
        <v/>
      </c>
      <c r="I70" s="211">
        <f>([6]Consolidated!I70)*(1/0.79941)</f>
        <v/>
      </c>
      <c r="J70" s="213">
        <f>([6]Consolidated!J70)*(1/0.79941)</f>
        <v/>
      </c>
      <c r="K70" s="185" t="n"/>
      <c r="L70" s="213">
        <f>([6]Consolidated!L70)*(1/0.79941)</f>
        <v/>
      </c>
      <c r="M70" s="211">
        <f>([6]Consolidated!M70)*(1/0.79941)</f>
        <v/>
      </c>
      <c r="N70" s="206">
        <f>([6]Consolidated!N70)*(1/0.79941)</f>
        <v/>
      </c>
    </row>
    <row r="71" ht="12.75" customHeight="1" s="150">
      <c r="C71" s="202" t="inlineStr">
        <is>
          <t>Prof serv and ext advisory fee</t>
        </is>
      </c>
      <c r="D71" s="211">
        <f>([6]Consolidated!D71)*(1/0.79941)</f>
        <v/>
      </c>
      <c r="E71" s="211">
        <f>([6]Consolidated!E71)*(1/0.79941)</f>
        <v/>
      </c>
      <c r="F71" s="211">
        <f>([6]Consolidated!F71)*(1/0.79941)</f>
        <v/>
      </c>
      <c r="G71" s="211">
        <f>([6]Consolidated!G71)*(1/0.79941)</f>
        <v/>
      </c>
      <c r="H71" s="211">
        <f>([6]Consolidated!H71)*(1/0.79941)</f>
        <v/>
      </c>
      <c r="I71" s="211">
        <f>([6]Consolidated!I71)*(1/0.79941)</f>
        <v/>
      </c>
      <c r="J71" s="213">
        <f>([6]Consolidated!J71)*(1/0.79941)</f>
        <v/>
      </c>
      <c r="K71" s="185" t="n"/>
      <c r="L71" s="213">
        <f>([6]Consolidated!L71)*(1/0.79941)</f>
        <v/>
      </c>
      <c r="M71" s="211">
        <f>([6]Consolidated!M71)*(1/0.79941)</f>
        <v/>
      </c>
      <c r="N71" s="206">
        <f>([6]Consolidated!N71)*(1/0.79941)</f>
        <v/>
      </c>
    </row>
    <row r="72" ht="12.75" customHeight="1" s="150">
      <c r="C72" s="202" t="inlineStr">
        <is>
          <t>Payment transfer expenses</t>
        </is>
      </c>
      <c r="D72" s="211">
        <f>([6]Consolidated!D72)*(1/0.79941)</f>
        <v/>
      </c>
      <c r="E72" s="211">
        <f>([6]Consolidated!E72)*(1/0.79941)</f>
        <v/>
      </c>
      <c r="F72" s="211">
        <f>([6]Consolidated!F72)*(1/0.79941)</f>
        <v/>
      </c>
      <c r="G72" s="211">
        <f>([6]Consolidated!G72)*(1/0.79941)</f>
        <v/>
      </c>
      <c r="H72" s="211">
        <f>([6]Consolidated!H72)*(1/0.79941)</f>
        <v/>
      </c>
      <c r="I72" s="211">
        <f>([6]Consolidated!I72)*(1/0.79941)</f>
        <v/>
      </c>
      <c r="J72" s="213">
        <f>([6]Consolidated!J72)*(1/0.79941)</f>
        <v/>
      </c>
      <c r="K72" s="185" t="n"/>
      <c r="L72" s="213">
        <f>([6]Consolidated!L72)*(1/0.79941)</f>
        <v/>
      </c>
      <c r="M72" s="211">
        <f>([6]Consolidated!M72)*(1/0.79941)</f>
        <v/>
      </c>
      <c r="N72" s="206">
        <f>([6]Consolidated!N72)*(1/0.79941)</f>
        <v/>
      </c>
    </row>
    <row r="73" ht="12.75" customHeight="1" s="150">
      <c r="C73" s="202" t="inlineStr">
        <is>
          <t>Other costs</t>
        </is>
      </c>
      <c r="D73" s="211">
        <f>([6]Consolidated!D73)*(1/0.79941)</f>
        <v/>
      </c>
      <c r="E73" s="211">
        <f>([6]Consolidated!E73)*(1/0.79941)</f>
        <v/>
      </c>
      <c r="F73" s="211">
        <f>([6]Consolidated!F73)*(1/0.79941)</f>
        <v/>
      </c>
      <c r="G73" s="211">
        <f>([6]Consolidated!G73)*(1/0.79941)</f>
        <v/>
      </c>
      <c r="H73" s="211">
        <f>([6]Consolidated!H73)*(1/0.79941)</f>
        <v/>
      </c>
      <c r="I73" s="211">
        <f>([6]Consolidated!I73)*(1/0.79941)</f>
        <v/>
      </c>
      <c r="J73" s="213">
        <f>([6]Consolidated!J73)*(1/0.79941)</f>
        <v/>
      </c>
      <c r="K73" s="185" t="n"/>
      <c r="L73" s="213">
        <f>([6]Consolidated!L73)*(1/0.79941)</f>
        <v/>
      </c>
      <c r="M73" s="211">
        <f>([6]Consolidated!M73)*(1/0.79941)</f>
        <v/>
      </c>
      <c r="N73" s="206">
        <f>([6]Consolidated!N73)*(1/0.79941)</f>
        <v/>
      </c>
    </row>
    <row r="74" ht="13.5" customHeight="1" s="150">
      <c r="C74" s="207" t="inlineStr">
        <is>
          <t>General expenses</t>
        </is>
      </c>
      <c r="D74" s="215">
        <f>([6]Consolidated!D74)*(1/0.79941)</f>
        <v/>
      </c>
      <c r="E74" s="215">
        <f>([6]Consolidated!E74)*(1/0.79941)</f>
        <v/>
      </c>
      <c r="F74" s="215">
        <f>([6]Consolidated!F74)*(1/0.79941)</f>
        <v/>
      </c>
      <c r="G74" s="215">
        <f>([6]Consolidated!G74)*(1/0.79941)</f>
        <v/>
      </c>
      <c r="H74" s="215">
        <f>([6]Consolidated!H74)*(1/0.79941)</f>
        <v/>
      </c>
      <c r="I74" s="215">
        <f>([6]Consolidated!I74)*(1/0.79941)</f>
        <v/>
      </c>
      <c r="J74" s="210">
        <f>([6]Consolidated!J74)*(1/0.79941)</f>
        <v/>
      </c>
      <c r="K74" s="185" t="n"/>
      <c r="L74" s="210">
        <f>([6]Consolidated!L74)*(1/0.79941)</f>
        <v/>
      </c>
      <c r="M74" s="215">
        <f>([6]Consolidated!M74)*(1/0.79941)</f>
        <v/>
      </c>
      <c r="N74" s="210">
        <f>([6]Consolidated!N74)*(1/0.79941)</f>
        <v/>
      </c>
    </row>
    <row r="75" ht="12.75" customHeight="1" s="150">
      <c r="C75" s="202" t="inlineStr">
        <is>
          <t>Own expenses</t>
        </is>
      </c>
      <c r="D75" s="211">
        <f>([6]Consolidated!D75)*(1/0.79941)</f>
        <v/>
      </c>
      <c r="E75" s="211">
        <f>([6]Consolidated!E75)*(1/0.79941)</f>
        <v/>
      </c>
      <c r="F75" s="211">
        <f>([6]Consolidated!F75)*(1/0.79941)</f>
        <v/>
      </c>
      <c r="G75" s="211">
        <f>([6]Consolidated!G75)*(1/0.79941)</f>
        <v/>
      </c>
      <c r="H75" s="211">
        <f>([6]Consolidated!H75)*(1/0.79941)</f>
        <v/>
      </c>
      <c r="I75" s="211">
        <f>([6]Consolidated!I75)*(1/0.79941)</f>
        <v/>
      </c>
      <c r="J75" s="213">
        <f>([6]Consolidated!J75)*(1/0.79941)</f>
        <v/>
      </c>
      <c r="K75" s="185" t="n"/>
      <c r="L75" s="213">
        <f>([6]Consolidated!L75)*(1/0.79941)</f>
        <v/>
      </c>
      <c r="M75" s="211">
        <f>([6]Consolidated!M75)*(1/0.79941)</f>
        <v/>
      </c>
      <c r="N75" s="217">
        <f>([6]Consolidated!N75)*(1/0.79941)</f>
        <v/>
      </c>
    </row>
    <row r="76" ht="12.75" customHeight="1" s="150">
      <c r="C76" s="202" t="inlineStr">
        <is>
          <t>Other expenses</t>
        </is>
      </c>
      <c r="D76" s="211">
        <f>([6]Consolidated!D76)*(1/0.79941)</f>
        <v/>
      </c>
      <c r="E76" s="211">
        <f>([6]Consolidated!E76)*(1/0.79941)</f>
        <v/>
      </c>
      <c r="F76" s="211">
        <f>([6]Consolidated!F76)*(1/0.79941)</f>
        <v/>
      </c>
      <c r="G76" s="211">
        <f>([6]Consolidated!G76)*(1/0.79941)</f>
        <v/>
      </c>
      <c r="H76" s="211">
        <f>([6]Consolidated!H76)*(1/0.79941)</f>
        <v/>
      </c>
      <c r="I76" s="211">
        <f>([6]Consolidated!I76)*(1/0.79941)</f>
        <v/>
      </c>
      <c r="J76" s="213">
        <f>([6]Consolidated!J76)*(1/0.79941)</f>
        <v/>
      </c>
      <c r="K76" s="185" t="n"/>
      <c r="L76" s="213">
        <f>([6]Consolidated!L76)*(1/0.79941)</f>
        <v/>
      </c>
      <c r="M76" s="211">
        <f>([6]Consolidated!M76)*(1/0.79941)</f>
        <v/>
      </c>
      <c r="N76" s="206">
        <f>([6]Consolidated!N76)*(1/0.79941)</f>
        <v/>
      </c>
    </row>
    <row r="77" ht="13.5" customHeight="1" s="150">
      <c r="A77" s="176" t="n"/>
      <c r="B77" s="176" t="n"/>
      <c r="C77" s="207" t="inlineStr">
        <is>
          <t xml:space="preserve">Operating expenses </t>
        </is>
      </c>
      <c r="D77" s="215">
        <f>([6]Consolidated!D77)*(1/0.79941)</f>
        <v/>
      </c>
      <c r="E77" s="215">
        <f>([6]Consolidated!E77)*(1/0.79941)</f>
        <v/>
      </c>
      <c r="F77" s="215">
        <f>([6]Consolidated!F77)*(1/0.79941)</f>
        <v/>
      </c>
      <c r="G77" s="215">
        <f>([6]Consolidated!G77)*(1/0.79941)</f>
        <v/>
      </c>
      <c r="H77" s="215">
        <f>([6]Consolidated!H77)*(1/0.79941)</f>
        <v/>
      </c>
      <c r="I77" s="215">
        <f>([6]Consolidated!I77)*(1/0.79941)</f>
        <v/>
      </c>
      <c r="J77" s="210">
        <f>([6]Consolidated!J77)*(1/0.79941)</f>
        <v/>
      </c>
      <c r="K77" s="185" t="n"/>
      <c r="L77" s="210">
        <f>([6]Consolidated!L77)*(1/0.79941)</f>
        <v/>
      </c>
      <c r="M77" s="215">
        <f>([6]Consolidated!M77)*(1/0.79941)</f>
        <v/>
      </c>
      <c r="N77" s="210">
        <f>([6]Consolidated!N77)*(1/0.79941)</f>
        <v/>
      </c>
    </row>
    <row r="78" ht="12.75" customHeight="1" s="150">
      <c r="C78" s="202" t="n"/>
      <c r="D78" s="211">
        <f>([6]Consolidated!D78)*(1/0.79941)</f>
        <v/>
      </c>
      <c r="E78" s="211">
        <f>([6]Consolidated!E78)*(1/0.79941)</f>
        <v/>
      </c>
      <c r="F78" s="211">
        <f>([6]Consolidated!F78)*(1/0.79941)</f>
        <v/>
      </c>
      <c r="G78" s="211">
        <f>([6]Consolidated!G78)*(1/0.79941)</f>
        <v/>
      </c>
      <c r="H78" s="211">
        <f>([6]Consolidated!H78)*(1/0.79941)</f>
        <v/>
      </c>
      <c r="I78" s="211">
        <f>([6]Consolidated!I78)*(1/0.79941)</f>
        <v/>
      </c>
      <c r="J78" s="218">
        <f>([6]Consolidated!J78)*(1/0.79941)</f>
        <v/>
      </c>
      <c r="K78" s="185" t="n"/>
      <c r="L78" s="213">
        <f>([6]Consolidated!L78)*(1/0.79941)</f>
        <v/>
      </c>
      <c r="M78" s="211">
        <f>([6]Consolidated!M78)*(1/0.79941)</f>
        <v/>
      </c>
      <c r="N78" s="218">
        <f>([6]Consolidated!N78)*(1/0.79941)</f>
        <v/>
      </c>
    </row>
    <row r="79" ht="12.75" customHeight="1" s="150">
      <c r="C79" s="202" t="inlineStr">
        <is>
          <t>HR &amp; Comms</t>
        </is>
      </c>
      <c r="D79" s="211">
        <f>([6]Consolidated!D79)*(1/0.79941)</f>
        <v/>
      </c>
      <c r="E79" s="211">
        <f>([6]Consolidated!E79)*(1/0.79941)</f>
        <v/>
      </c>
      <c r="F79" s="211">
        <f>([6]Consolidated!F79)*(1/0.79941)</f>
        <v/>
      </c>
      <c r="G79" s="211">
        <f>([6]Consolidated!G79)*(1/0.79941)</f>
        <v/>
      </c>
      <c r="H79" s="211">
        <f>([6]Consolidated!H79)*(1/0.79941)</f>
        <v/>
      </c>
      <c r="I79" s="211">
        <f>([6]Consolidated!I79)*(1/0.79941)</f>
        <v/>
      </c>
      <c r="J79" s="213">
        <f>([6]Consolidated!J79)*(1/0.79941)</f>
        <v/>
      </c>
      <c r="K79" s="185" t="n"/>
      <c r="L79" s="213">
        <f>([6]Consolidated!L79)*(1/0.79941)</f>
        <v/>
      </c>
      <c r="M79" s="211">
        <f>([6]Consolidated!M79)*(1/0.79941)</f>
        <v/>
      </c>
      <c r="N79" s="206">
        <f>([6]Consolidated!N79)*(1/0.79941)</f>
        <v/>
      </c>
    </row>
    <row r="80" ht="12.75" customHeight="1" s="150">
      <c r="C80" s="202" t="inlineStr">
        <is>
          <t>Finance &amp; Business Support</t>
        </is>
      </c>
      <c r="D80" s="211">
        <f>([6]Consolidated!D80)*(1/0.79941)</f>
        <v/>
      </c>
      <c r="E80" s="211">
        <f>([6]Consolidated!E80)*(1/0.79941)</f>
        <v/>
      </c>
      <c r="F80" s="211">
        <f>([6]Consolidated!F80)*(1/0.79941)</f>
        <v/>
      </c>
      <c r="G80" s="211">
        <f>([6]Consolidated!G80)*(1/0.79941)</f>
        <v/>
      </c>
      <c r="H80" s="211">
        <f>([6]Consolidated!H80)*(1/0.79941)</f>
        <v/>
      </c>
      <c r="I80" s="211">
        <f>([6]Consolidated!I80)*(1/0.79941)</f>
        <v/>
      </c>
      <c r="J80" s="213">
        <f>([6]Consolidated!J80)*(1/0.79941)</f>
        <v/>
      </c>
      <c r="K80" s="185" t="n"/>
      <c r="L80" s="213">
        <f>([6]Consolidated!L80)*(1/0.79941)</f>
        <v/>
      </c>
      <c r="M80" s="211">
        <f>([6]Consolidated!M80)*(1/0.79941)</f>
        <v/>
      </c>
      <c r="N80" s="206">
        <f>([6]Consolidated!N80)*(1/0.79941)</f>
        <v/>
      </c>
    </row>
    <row r="81" ht="12.75" customHeight="1" s="150">
      <c r="C81" s="202" t="inlineStr">
        <is>
          <t>IT alloc</t>
        </is>
      </c>
      <c r="D81" s="211">
        <f>([6]Consolidated!D81)*(1/0.79941)</f>
        <v/>
      </c>
      <c r="E81" s="211">
        <f>([6]Consolidated!E81)*(1/0.79941)</f>
        <v/>
      </c>
      <c r="F81" s="211">
        <f>([6]Consolidated!F81)*(1/0.79941)</f>
        <v/>
      </c>
      <c r="G81" s="211">
        <f>([6]Consolidated!G81)*(1/0.79941)</f>
        <v/>
      </c>
      <c r="H81" s="211">
        <f>([6]Consolidated!H81)*(1/0.79941)</f>
        <v/>
      </c>
      <c r="I81" s="211">
        <f>([6]Consolidated!I81)*(1/0.79941)</f>
        <v/>
      </c>
      <c r="J81" s="213">
        <f>([6]Consolidated!J81)*(1/0.79941)</f>
        <v/>
      </c>
      <c r="K81" s="185" t="n"/>
      <c r="L81" s="213">
        <f>([6]Consolidated!L81)*(1/0.79941)</f>
        <v/>
      </c>
      <c r="M81" s="211">
        <f>([6]Consolidated!M81)*(1/0.79941)</f>
        <v/>
      </c>
      <c r="N81" s="206">
        <f>([6]Consolidated!N81)*(1/0.79941)</f>
        <v/>
      </c>
    </row>
    <row r="82" ht="12.75" customHeight="1" s="150">
      <c r="C82" s="202" t="inlineStr">
        <is>
          <t>Facilities Management</t>
        </is>
      </c>
      <c r="D82" s="211">
        <f>([6]Consolidated!D82)*(1/0.79941)</f>
        <v/>
      </c>
      <c r="E82" s="211">
        <f>([6]Consolidated!E82)*(1/0.79941)</f>
        <v/>
      </c>
      <c r="F82" s="211">
        <f>([6]Consolidated!F82)*(1/0.79941)</f>
        <v/>
      </c>
      <c r="G82" s="211">
        <f>([6]Consolidated!G82)*(1/0.79941)</f>
        <v/>
      </c>
      <c r="H82" s="211">
        <f>([6]Consolidated!H82)*(1/0.79941)</f>
        <v/>
      </c>
      <c r="I82" s="211">
        <f>([6]Consolidated!I82)*(1/0.79941)</f>
        <v/>
      </c>
      <c r="J82" s="213">
        <f>([6]Consolidated!J82)*(1/0.79941)</f>
        <v/>
      </c>
      <c r="K82" s="185" t="n"/>
      <c r="L82" s="213">
        <f>([6]Consolidated!L82)*(1/0.79941)</f>
        <v/>
      </c>
      <c r="M82" s="211">
        <f>([6]Consolidated!M82)*(1/0.79941)</f>
        <v/>
      </c>
      <c r="N82" s="206">
        <f>([6]Consolidated!N82)*(1/0.79941)</f>
        <v/>
      </c>
    </row>
    <row r="83" ht="13.5" customHeight="1" s="150">
      <c r="C83" s="207" t="inlineStr">
        <is>
          <t>Overheads</t>
        </is>
      </c>
      <c r="D83" s="215">
        <f>([6]Consolidated!D83)*(1/0.79941)</f>
        <v/>
      </c>
      <c r="E83" s="215">
        <f>([6]Consolidated!E83)*(1/0.79941)</f>
        <v/>
      </c>
      <c r="F83" s="215">
        <f>([6]Consolidated!F83)*(1/0.79941)</f>
        <v/>
      </c>
      <c r="G83" s="215">
        <f>([6]Consolidated!G83)*(1/0.79941)</f>
        <v/>
      </c>
      <c r="H83" s="215">
        <f>([6]Consolidated!H83)*(1/0.79941)</f>
        <v/>
      </c>
      <c r="I83" s="215">
        <f>([6]Consolidated!I83)*(1/0.79941)</f>
        <v/>
      </c>
      <c r="J83" s="210">
        <f>([6]Consolidated!J83)*(1/0.79941)</f>
        <v/>
      </c>
      <c r="K83" s="185" t="n"/>
      <c r="L83" s="210">
        <f>([6]Consolidated!L83)*(1/0.79941)</f>
        <v/>
      </c>
      <c r="M83" s="215">
        <f>([6]Consolidated!M83)*(1/0.79941)</f>
        <v/>
      </c>
      <c r="N83" s="210">
        <f>([6]Consolidated!N83)*(1/0.79941)</f>
        <v/>
      </c>
    </row>
    <row r="84" ht="12.75" customHeight="1" s="150">
      <c r="C84" s="202" t="n"/>
      <c r="D84" s="211">
        <f>0*(1/0.79941)</f>
        <v/>
      </c>
      <c r="E84" s="211">
        <f>0*(1/0.79941)</f>
        <v/>
      </c>
      <c r="F84" s="211">
        <f>0*(1/0.79941)</f>
        <v/>
      </c>
      <c r="G84" s="211">
        <f>0*(1/0.79941)</f>
        <v/>
      </c>
      <c r="H84" s="211">
        <f>0*(1/0.79941)</f>
        <v/>
      </c>
      <c r="I84" s="211">
        <f>0*(1/0.79941)</f>
        <v/>
      </c>
      <c r="J84" s="218">
        <f>0*(1/0.79941)</f>
        <v/>
      </c>
      <c r="K84" s="185" t="n"/>
      <c r="L84" s="213">
        <f>0*(1/0.79941)</f>
        <v/>
      </c>
      <c r="M84" s="211">
        <f>0*(1/0.79941)</f>
        <v/>
      </c>
      <c r="N84" s="218">
        <f>0*(1/0.79941)</f>
        <v/>
      </c>
    </row>
    <row r="85" ht="13.5" customHeight="1" s="150">
      <c r="C85" s="207" t="inlineStr">
        <is>
          <t>Total Operating Costs (incl. O/H)</t>
        </is>
      </c>
      <c r="D85" s="215">
        <f>([6]Consolidated!D85)*(1/0.79941)</f>
        <v/>
      </c>
      <c r="E85" s="215">
        <f>([6]Consolidated!E85)*(1/0.79941)</f>
        <v/>
      </c>
      <c r="F85" s="215">
        <f>([6]Consolidated!F85)*(1/0.79941)</f>
        <v/>
      </c>
      <c r="G85" s="215">
        <f>([6]Consolidated!G85)*(1/0.79941)</f>
        <v/>
      </c>
      <c r="H85" s="215">
        <f>([6]Consolidated!H85)*(1/0.79941)</f>
        <v/>
      </c>
      <c r="I85" s="215">
        <f>([6]Consolidated!I85)*(1/0.79941)</f>
        <v/>
      </c>
      <c r="J85" s="210">
        <f>([6]Consolidated!J85)*(1/0.79941)</f>
        <v/>
      </c>
      <c r="K85" s="185" t="n"/>
      <c r="L85" s="210">
        <f>([6]Consolidated!L85)*(1/0.79941)</f>
        <v/>
      </c>
      <c r="M85" s="215">
        <f>([6]Consolidated!M85)*(1/0.79941)</f>
        <v/>
      </c>
      <c r="N85" s="210">
        <f>([6]Consolidated!N85)*(1/0.79941)</f>
        <v/>
      </c>
    </row>
    <row r="86"/>
    <row r="87"/>
    <row r="88" ht="13.5" customHeight="1" s="150"/>
    <row r="89" ht="45.75" customHeight="1" s="150">
      <c r="C89" s="219" t="inlineStr">
        <is>
          <t>PASS THROUGH COSTS
(US$  excl. VAT)</t>
        </is>
      </c>
      <c r="D89" s="220">
        <f>[6]Consolidated!D89</f>
        <v/>
      </c>
      <c r="E89" s="220">
        <f>[6]Consolidated!E89</f>
        <v/>
      </c>
      <c r="F89" s="220">
        <f>[6]Consolidated!F89</f>
        <v/>
      </c>
      <c r="G89" s="220">
        <f>[6]Consolidated!G89</f>
        <v/>
      </c>
      <c r="H89" s="220">
        <f>[6]Consolidated!H89</f>
        <v/>
      </c>
      <c r="I89" s="221">
        <f>[6]Consolidated!I89</f>
        <v/>
      </c>
      <c r="J89" s="222">
        <f>[6]Consolidated!J89</f>
        <v/>
      </c>
      <c r="K89" s="165" t="n"/>
      <c r="L89" s="220">
        <f>[6]Consolidated!L89</f>
        <v/>
      </c>
      <c r="M89" s="223">
        <f>[6]Consolidated!M89</f>
        <v/>
      </c>
      <c r="N89" s="220">
        <f>[6]Consolidated!N89</f>
        <v/>
      </c>
    </row>
    <row r="90" ht="12.75" customHeight="1" s="150">
      <c r="C90" s="224" t="inlineStr">
        <is>
          <t>Internal FTE</t>
        </is>
      </c>
      <c r="D90" s="231">
        <f>[6]Consolidated!D90</f>
        <v/>
      </c>
      <c r="E90" s="231">
        <f>[6]Consolidated!E90</f>
        <v/>
      </c>
      <c r="F90" s="231">
        <f>[6]Consolidated!F90</f>
        <v/>
      </c>
      <c r="G90" s="231">
        <f>[6]Consolidated!G90</f>
        <v/>
      </c>
      <c r="H90" s="231">
        <f>[6]Consolidated!H90</f>
        <v/>
      </c>
      <c r="I90" s="231">
        <f>[6]Consolidated!I90</f>
        <v/>
      </c>
      <c r="J90" s="232" t="n"/>
      <c r="K90" s="185" t="n"/>
      <c r="L90" s="233">
        <f>[6]Consolidated!L90</f>
        <v/>
      </c>
      <c r="M90" s="231">
        <f>[6]Consolidated!M90</f>
        <v/>
      </c>
      <c r="N90" s="234" t="n"/>
    </row>
    <row r="91" ht="12.75" customHeight="1" s="150">
      <c r="C91" s="224" t="inlineStr">
        <is>
          <t>External FTE</t>
        </is>
      </c>
      <c r="D91" s="231">
        <f>[6]Consolidated!D91</f>
        <v/>
      </c>
      <c r="E91" s="231">
        <f>[6]Consolidated!E91</f>
        <v/>
      </c>
      <c r="F91" s="231">
        <f>[6]Consolidated!F91</f>
        <v/>
      </c>
      <c r="G91" s="231">
        <f>[6]Consolidated!G91</f>
        <v/>
      </c>
      <c r="H91" s="231">
        <f>[6]Consolidated!H91</f>
        <v/>
      </c>
      <c r="I91" s="231">
        <f>[6]Consolidated!I91</f>
        <v/>
      </c>
      <c r="J91" s="232" t="n"/>
      <c r="K91" s="185" t="n"/>
      <c r="L91" s="233">
        <f>[6]Consolidated!L91</f>
        <v/>
      </c>
      <c r="M91" s="231">
        <f>[6]Consolidated!M91</f>
        <v/>
      </c>
      <c r="N91" s="234" t="n"/>
    </row>
    <row r="92" ht="13.5" customHeight="1" s="150">
      <c r="C92" s="228" t="inlineStr">
        <is>
          <t>Total FTE</t>
        </is>
      </c>
      <c r="D92" s="236">
        <f>[6]Consolidated!D92</f>
        <v/>
      </c>
      <c r="E92" s="236">
        <f>[6]Consolidated!E92</f>
        <v/>
      </c>
      <c r="F92" s="236">
        <f>[6]Consolidated!F92</f>
        <v/>
      </c>
      <c r="G92" s="236">
        <f>[6]Consolidated!G92</f>
        <v/>
      </c>
      <c r="H92" s="236">
        <f>[6]Consolidated!H92</f>
        <v/>
      </c>
      <c r="I92" s="236">
        <f>[6]Consolidated!I92</f>
        <v/>
      </c>
      <c r="J92" s="290" t="n"/>
      <c r="K92" s="185" t="n"/>
      <c r="L92" s="237">
        <f>[6]Consolidated!L92</f>
        <v/>
      </c>
      <c r="M92" s="236">
        <f>[6]Consolidated!M92</f>
        <v/>
      </c>
      <c r="N92" s="237" t="n"/>
    </row>
    <row r="93" ht="12.75" customHeight="1" s="150">
      <c r="C93" s="224" t="n"/>
      <c r="D93" s="231" t="n"/>
      <c r="E93" s="231" t="n"/>
      <c r="F93" s="231" t="n"/>
      <c r="G93" s="231" t="n"/>
      <c r="H93" s="231" t="n"/>
      <c r="I93" s="231" t="n"/>
      <c r="J93" s="232" t="n"/>
      <c r="K93" s="185" t="n"/>
      <c r="L93" s="233" t="n"/>
      <c r="M93" s="231" t="n"/>
      <c r="N93" s="234" t="n"/>
    </row>
    <row r="94" ht="12.75" customHeight="1" s="150">
      <c r="C94" s="224" t="inlineStr">
        <is>
          <t>Salaries</t>
        </is>
      </c>
      <c r="D94" s="231">
        <f>([6]Consolidated!D94)*(1/0.79941)</f>
        <v/>
      </c>
      <c r="E94" s="231">
        <f>([6]Consolidated!E94)*(1/0.79941)</f>
        <v/>
      </c>
      <c r="F94" s="231">
        <f>([6]Consolidated!F94)*(1/0.79941)</f>
        <v/>
      </c>
      <c r="G94" s="231">
        <f>([6]Consolidated!G94)*(1/0.79941)</f>
        <v/>
      </c>
      <c r="H94" s="231">
        <f>([6]Consolidated!H94)*(1/0.79941)</f>
        <v/>
      </c>
      <c r="I94" s="231">
        <f>([6]Consolidated!I94)*(1/0.79941)</f>
        <v/>
      </c>
      <c r="J94" s="233">
        <f>([6]Consolidated!J94)*(1/0.79941)</f>
        <v/>
      </c>
      <c r="K94" s="185" t="n"/>
      <c r="L94" s="233">
        <f>([6]Consolidated!L94)*(1/0.79941)</f>
        <v/>
      </c>
      <c r="M94" s="231">
        <f>([6]Consolidated!M94)*(1/0.79941)</f>
        <v/>
      </c>
      <c r="N94" s="234">
        <f>([6]Consolidated!N94)*(1/0.79941)</f>
        <v/>
      </c>
    </row>
    <row r="95" ht="12.75" customHeight="1" s="150">
      <c r="C95" s="224" t="inlineStr">
        <is>
          <t>Bonuses</t>
        </is>
      </c>
      <c r="D95" s="231">
        <f>([6]Consolidated!D95)*(1/0.79941)</f>
        <v/>
      </c>
      <c r="E95" s="231">
        <f>([6]Consolidated!E95)*(1/0.79941)</f>
        <v/>
      </c>
      <c r="F95" s="231">
        <f>([6]Consolidated!F95)*(1/0.79941)</f>
        <v/>
      </c>
      <c r="G95" s="231">
        <f>([6]Consolidated!G95)*(1/0.79941)</f>
        <v/>
      </c>
      <c r="H95" s="231">
        <f>([6]Consolidated!H95)*(1/0.79941)</f>
        <v/>
      </c>
      <c r="I95" s="231">
        <f>([6]Consolidated!I95)*(1/0.79941)</f>
        <v/>
      </c>
      <c r="J95" s="233">
        <f>([6]Consolidated!J95)*(1/0.79941)</f>
        <v/>
      </c>
      <c r="K95" s="185" t="n"/>
      <c r="L95" s="233">
        <f>([6]Consolidated!L95)*(1/0.79941)</f>
        <v/>
      </c>
      <c r="M95" s="231">
        <f>([6]Consolidated!M95)*(1/0.79941)</f>
        <v/>
      </c>
      <c r="N95" s="234">
        <f>([6]Consolidated!N95)*(1/0.79941)</f>
        <v/>
      </c>
    </row>
    <row r="96" ht="12.75" customHeight="1" s="150">
      <c r="C96" s="224" t="inlineStr">
        <is>
          <t>Third party staff, ex IT</t>
        </is>
      </c>
      <c r="D96" s="231">
        <f>([6]Consolidated!D96)*(1/0.79941)</f>
        <v/>
      </c>
      <c r="E96" s="231">
        <f>([6]Consolidated!E96)*(1/0.79941)</f>
        <v/>
      </c>
      <c r="F96" s="231">
        <f>([6]Consolidated!F96)*(1/0.79941)</f>
        <v/>
      </c>
      <c r="G96" s="231">
        <f>([6]Consolidated!G96)*(1/0.79941)</f>
        <v/>
      </c>
      <c r="H96" s="231">
        <f>([6]Consolidated!H96)*(1/0.79941)</f>
        <v/>
      </c>
      <c r="I96" s="231">
        <f>([6]Consolidated!I96)*(1/0.79941)</f>
        <v/>
      </c>
      <c r="J96" s="233">
        <f>([6]Consolidated!J96)*(1/0.79941)</f>
        <v/>
      </c>
      <c r="K96" s="185" t="n"/>
      <c r="L96" s="233">
        <f>([6]Consolidated!L96)*(1/0.79941)</f>
        <v/>
      </c>
      <c r="M96" s="231">
        <f>([6]Consolidated!M96)*(1/0.79941)</f>
        <v/>
      </c>
      <c r="N96" s="234">
        <f>([6]Consolidated!N96)*(1/0.79941)</f>
        <v/>
      </c>
    </row>
    <row r="97" ht="12.75" customHeight="1" s="150">
      <c r="C97" s="224" t="inlineStr">
        <is>
          <t>Third party IT staff</t>
        </is>
      </c>
      <c r="D97" s="231">
        <f>([6]Consolidated!D97)*(1/0.79941)</f>
        <v/>
      </c>
      <c r="E97" s="231">
        <f>([6]Consolidated!E97)*(1/0.79941)</f>
        <v/>
      </c>
      <c r="F97" s="231">
        <f>([6]Consolidated!F97)*(1/0.79941)</f>
        <v/>
      </c>
      <c r="G97" s="231">
        <f>([6]Consolidated!G97)*(1/0.79941)</f>
        <v/>
      </c>
      <c r="H97" s="231">
        <f>([6]Consolidated!H97)*(1/0.79941)</f>
        <v/>
      </c>
      <c r="I97" s="231">
        <f>([6]Consolidated!I97)*(1/0.79941)</f>
        <v/>
      </c>
      <c r="J97" s="233">
        <f>([6]Consolidated!J97)*(1/0.79941)</f>
        <v/>
      </c>
      <c r="K97" s="185" t="n"/>
      <c r="L97" s="233">
        <f>([6]Consolidated!L97)*(1/0.79941)</f>
        <v/>
      </c>
      <c r="M97" s="231">
        <f>([6]Consolidated!M97)*(1/0.79941)</f>
        <v/>
      </c>
      <c r="N97" s="234">
        <f>([6]Consolidated!N97)*(1/0.79941)</f>
        <v/>
      </c>
    </row>
    <row r="98" ht="12.75" customHeight="1" s="150">
      <c r="C98" s="224" t="inlineStr">
        <is>
          <t>Employee education</t>
        </is>
      </c>
      <c r="D98" s="231">
        <f>([6]Consolidated!D98)*(1/0.79941)</f>
        <v/>
      </c>
      <c r="E98" s="231">
        <f>([6]Consolidated!E98)*(1/0.79941)</f>
        <v/>
      </c>
      <c r="F98" s="231">
        <f>([6]Consolidated!F98)*(1/0.79941)</f>
        <v/>
      </c>
      <c r="G98" s="231">
        <f>([6]Consolidated!G98)*(1/0.79941)</f>
        <v/>
      </c>
      <c r="H98" s="231">
        <f>([6]Consolidated!H98)*(1/0.79941)</f>
        <v/>
      </c>
      <c r="I98" s="231">
        <f>([6]Consolidated!I98)*(1/0.79941)</f>
        <v/>
      </c>
      <c r="J98" s="233">
        <f>([6]Consolidated!J98)*(1/0.79941)</f>
        <v/>
      </c>
      <c r="K98" s="185" t="n"/>
      <c r="L98" s="233">
        <f>([6]Consolidated!L98)*(1/0.79941)</f>
        <v/>
      </c>
      <c r="M98" s="231">
        <f>([6]Consolidated!M98)*(1/0.79941)</f>
        <v/>
      </c>
      <c r="N98" s="234">
        <f>([6]Consolidated!N98)*(1/0.79941)</f>
        <v/>
      </c>
    </row>
    <row r="99" ht="12.75" customHeight="1" s="150">
      <c r="C99" s="224" t="inlineStr">
        <is>
          <t>Other staff expenses</t>
        </is>
      </c>
      <c r="D99" s="231">
        <f>([6]Consolidated!D99)*(1/0.79941)</f>
        <v/>
      </c>
      <c r="E99" s="231">
        <f>([6]Consolidated!E99)*(1/0.79941)</f>
        <v/>
      </c>
      <c r="F99" s="231">
        <f>([6]Consolidated!F99)*(1/0.79941)</f>
        <v/>
      </c>
      <c r="G99" s="231">
        <f>([6]Consolidated!G99)*(1/0.79941)</f>
        <v/>
      </c>
      <c r="H99" s="231">
        <f>([6]Consolidated!H99)*(1/0.79941)</f>
        <v/>
      </c>
      <c r="I99" s="231">
        <f>([6]Consolidated!I99)*(1/0.79941)</f>
        <v/>
      </c>
      <c r="J99" s="235">
        <f>([6]Consolidated!J99)*(1/0.79941)</f>
        <v/>
      </c>
      <c r="K99" s="185" t="n"/>
      <c r="L99" s="233">
        <f>([6]Consolidated!L99)*(1/0.79941)</f>
        <v/>
      </c>
      <c r="M99" s="231">
        <f>([6]Consolidated!M99)*(1/0.79941)</f>
        <v/>
      </c>
      <c r="N99" s="234">
        <f>([6]Consolidated!N99)*(1/0.79941)</f>
        <v/>
      </c>
    </row>
    <row r="100" ht="13.5" customHeight="1" s="150">
      <c r="C100" s="228" t="inlineStr">
        <is>
          <t>Staff expenses</t>
        </is>
      </c>
      <c r="D100" s="236">
        <f>([6]Consolidated!D100)*(1/0.79941)</f>
        <v/>
      </c>
      <c r="E100" s="236">
        <f>([6]Consolidated!E100)*(1/0.79941)</f>
        <v/>
      </c>
      <c r="F100" s="236">
        <f>([6]Consolidated!F100)*(1/0.79941)</f>
        <v/>
      </c>
      <c r="G100" s="236">
        <f>([6]Consolidated!G100)*(1/0.79941)</f>
        <v/>
      </c>
      <c r="H100" s="236">
        <f>([6]Consolidated!H100)*(1/0.79941)</f>
        <v/>
      </c>
      <c r="I100" s="236">
        <f>([6]Consolidated!I100)*(1/0.79941)</f>
        <v/>
      </c>
      <c r="J100" s="237">
        <f>([6]Consolidated!J100)*(1/0.79941)</f>
        <v/>
      </c>
      <c r="K100" s="185" t="n"/>
      <c r="L100" s="237">
        <f>([6]Consolidated!L100)*(1/0.79941)</f>
        <v/>
      </c>
      <c r="M100" s="236">
        <f>([6]Consolidated!M100)*(1/0.79941)</f>
        <v/>
      </c>
      <c r="N100" s="237">
        <f>([6]Consolidated!N100)*(1/0.79941)</f>
        <v/>
      </c>
    </row>
    <row r="101" ht="12.75" customHeight="1" s="150">
      <c r="C101" s="224" t="inlineStr">
        <is>
          <t>Hardware expenses</t>
        </is>
      </c>
      <c r="D101" s="231">
        <f>([6]Consolidated!D101)*(1/0.79941)</f>
        <v/>
      </c>
      <c r="E101" s="231">
        <f>([6]Consolidated!E101)*(1/0.79941)</f>
        <v/>
      </c>
      <c r="F101" s="231">
        <f>([6]Consolidated!F101)*(1/0.79941)</f>
        <v/>
      </c>
      <c r="G101" s="231">
        <f>([6]Consolidated!G101)*(1/0.79941)</f>
        <v/>
      </c>
      <c r="H101" s="231">
        <f>([6]Consolidated!H101)*(1/0.79941)</f>
        <v/>
      </c>
      <c r="I101" s="231">
        <f>([6]Consolidated!I101)*(1/0.79941)</f>
        <v/>
      </c>
      <c r="J101" s="233">
        <f>([6]Consolidated!J101)*(1/0.79941)</f>
        <v/>
      </c>
      <c r="K101" s="185" t="n"/>
      <c r="L101" s="233">
        <f>([6]Consolidated!L101)*(1/0.79941)</f>
        <v/>
      </c>
      <c r="M101" s="231">
        <f>([6]Consolidated!M101)*(1/0.79941)</f>
        <v/>
      </c>
      <c r="N101" s="234">
        <f>([6]Consolidated!N101)*(1/0.79941)</f>
        <v/>
      </c>
    </row>
    <row r="102" ht="12.75" customHeight="1" s="150">
      <c r="C102" s="224" t="inlineStr">
        <is>
          <t>Leasing/renting hardware</t>
        </is>
      </c>
      <c r="D102" s="231">
        <f>([6]Consolidated!D102)*(1/0.79941)</f>
        <v/>
      </c>
      <c r="E102" s="231">
        <f>([6]Consolidated!E102)*(1/0.79941)</f>
        <v/>
      </c>
      <c r="F102" s="231">
        <f>([6]Consolidated!F102)*(1/0.79941)</f>
        <v/>
      </c>
      <c r="G102" s="231">
        <f>([6]Consolidated!G102)*(1/0.79941)</f>
        <v/>
      </c>
      <c r="H102" s="231">
        <f>([6]Consolidated!H102)*(1/0.79941)</f>
        <v/>
      </c>
      <c r="I102" s="231">
        <f>([6]Consolidated!I102)*(1/0.79941)</f>
        <v/>
      </c>
      <c r="J102" s="233">
        <f>([6]Consolidated!J102)*(1/0.79941)</f>
        <v/>
      </c>
      <c r="K102" s="185" t="n"/>
      <c r="L102" s="233">
        <f>([6]Consolidated!L102)*(1/0.79941)</f>
        <v/>
      </c>
      <c r="M102" s="231">
        <f>([6]Consolidated!M102)*(1/0.79941)</f>
        <v/>
      </c>
      <c r="N102" s="234">
        <f>([6]Consolidated!N102)*(1/0.79941)</f>
        <v/>
      </c>
    </row>
    <row r="103" ht="12.75" customHeight="1" s="150">
      <c r="C103" s="224" t="inlineStr">
        <is>
          <t>Software expenses</t>
        </is>
      </c>
      <c r="D103" s="231">
        <f>([6]Consolidated!D103)*(1/0.79941)</f>
        <v/>
      </c>
      <c r="E103" s="231">
        <f>([6]Consolidated!E103)*(1/0.79941)</f>
        <v/>
      </c>
      <c r="F103" s="231">
        <f>([6]Consolidated!F103)*(1/0.79941)</f>
        <v/>
      </c>
      <c r="G103" s="231">
        <f>([6]Consolidated!G103)*(1/0.79941)</f>
        <v/>
      </c>
      <c r="H103" s="231">
        <f>([6]Consolidated!H103)*(1/0.79941)</f>
        <v/>
      </c>
      <c r="I103" s="231">
        <f>([6]Consolidated!I103)*(1/0.79941)</f>
        <v/>
      </c>
      <c r="J103" s="233">
        <f>([6]Consolidated!J103)*(1/0.79941)</f>
        <v/>
      </c>
      <c r="K103" s="185" t="n"/>
      <c r="L103" s="233">
        <f>([6]Consolidated!L103)*(1/0.79941)</f>
        <v/>
      </c>
      <c r="M103" s="231">
        <f>([6]Consolidated!M103)*(1/0.79941)</f>
        <v/>
      </c>
      <c r="N103" s="234">
        <f>([6]Consolidated!N103)*(1/0.79941)</f>
        <v/>
      </c>
    </row>
    <row r="104" ht="12.75" customHeight="1" s="150">
      <c r="C104" s="224" t="inlineStr">
        <is>
          <t>Leasing/renting/licenses sw</t>
        </is>
      </c>
      <c r="D104" s="231">
        <f>([6]Consolidated!D104)*(1/0.79941)</f>
        <v/>
      </c>
      <c r="E104" s="231">
        <f>([6]Consolidated!E104)*(1/0.79941)</f>
        <v/>
      </c>
      <c r="F104" s="231">
        <f>([6]Consolidated!F104)*(1/0.79941)</f>
        <v/>
      </c>
      <c r="G104" s="231">
        <f>([6]Consolidated!G104)*(1/0.79941)</f>
        <v/>
      </c>
      <c r="H104" s="231">
        <f>([6]Consolidated!H104)*(1/0.79941)</f>
        <v/>
      </c>
      <c r="I104" s="231">
        <f>([6]Consolidated!I104)*(1/0.79941)</f>
        <v/>
      </c>
      <c r="J104" s="233">
        <f>([6]Consolidated!J104)*(1/0.79941)</f>
        <v/>
      </c>
      <c r="K104" s="185" t="n"/>
      <c r="L104" s="233">
        <f>([6]Consolidated!L104)*(1/0.79941)</f>
        <v/>
      </c>
      <c r="M104" s="231">
        <f>([6]Consolidated!M104)*(1/0.79941)</f>
        <v/>
      </c>
      <c r="N104" s="234">
        <f>([6]Consolidated!N104)*(1/0.79941)</f>
        <v/>
      </c>
    </row>
    <row r="105" ht="12.75" customHeight="1" s="150">
      <c r="C105" s="224" t="inlineStr">
        <is>
          <t>Depreciation hardware</t>
        </is>
      </c>
      <c r="D105" s="231">
        <f>([6]Consolidated!D105)*(1/0.79941)</f>
        <v/>
      </c>
      <c r="E105" s="231">
        <f>([6]Consolidated!E105)*(1/0.79941)</f>
        <v/>
      </c>
      <c r="F105" s="231">
        <f>([6]Consolidated!F105)*(1/0.79941)</f>
        <v/>
      </c>
      <c r="G105" s="231">
        <f>([6]Consolidated!G105)*(1/0.79941)</f>
        <v/>
      </c>
      <c r="H105" s="231">
        <f>([6]Consolidated!H105)*(1/0.79941)</f>
        <v/>
      </c>
      <c r="I105" s="231">
        <f>([6]Consolidated!I105)*(1/0.79941)</f>
        <v/>
      </c>
      <c r="J105" s="233">
        <f>([6]Consolidated!J105)*(1/0.79941)</f>
        <v/>
      </c>
      <c r="K105" s="185" t="n"/>
      <c r="L105" s="233">
        <f>([6]Consolidated!L105)*(1/0.79941)</f>
        <v/>
      </c>
      <c r="M105" s="231">
        <f>([6]Consolidated!M105)*(1/0.79941)</f>
        <v/>
      </c>
      <c r="N105" s="234">
        <f>([6]Consolidated!N105)*(1/0.79941)</f>
        <v/>
      </c>
    </row>
    <row r="106" ht="12.75" customHeight="1" s="150">
      <c r="C106" s="224" t="inlineStr">
        <is>
          <t>Depreciation software</t>
        </is>
      </c>
      <c r="D106" s="231">
        <f>([6]Consolidated!D106)*(1/0.79941)</f>
        <v/>
      </c>
      <c r="E106" s="231">
        <f>([6]Consolidated!E106)*(1/0.79941)</f>
        <v/>
      </c>
      <c r="F106" s="231">
        <f>([6]Consolidated!F106)*(1/0.79941)</f>
        <v/>
      </c>
      <c r="G106" s="231">
        <f>([6]Consolidated!G106)*(1/0.79941)</f>
        <v/>
      </c>
      <c r="H106" s="231">
        <f>([6]Consolidated!H106)*(1/0.79941)</f>
        <v/>
      </c>
      <c r="I106" s="231">
        <f>([6]Consolidated!I106)*(1/0.79941)</f>
        <v/>
      </c>
      <c r="J106" s="233">
        <f>([6]Consolidated!J106)*(1/0.79941)</f>
        <v/>
      </c>
      <c r="K106" s="185" t="n"/>
      <c r="L106" s="233">
        <f>([6]Consolidated!L106)*(1/0.79941)</f>
        <v/>
      </c>
      <c r="M106" s="231">
        <f>([6]Consolidated!M106)*(1/0.79941)</f>
        <v/>
      </c>
      <c r="N106" s="234">
        <f>([6]Consolidated!N106)*(1/0.79941)</f>
        <v/>
      </c>
    </row>
    <row r="107" ht="12.75" customHeight="1" s="150">
      <c r="C107" s="224" t="inlineStr">
        <is>
          <t>Outsourcing IT activities</t>
        </is>
      </c>
      <c r="D107" s="231">
        <f>([6]Consolidated!D107)*(1/0.79941)</f>
        <v/>
      </c>
      <c r="E107" s="231">
        <f>([6]Consolidated!E107)*(1/0.79941)</f>
        <v/>
      </c>
      <c r="F107" s="231">
        <f>([6]Consolidated!F107)*(1/0.79941)</f>
        <v/>
      </c>
      <c r="G107" s="231">
        <f>([6]Consolidated!G107)*(1/0.79941)</f>
        <v/>
      </c>
      <c r="H107" s="231">
        <f>([6]Consolidated!H107)*(1/0.79941)</f>
        <v/>
      </c>
      <c r="I107" s="231">
        <f>([6]Consolidated!I107)*(1/0.79941)</f>
        <v/>
      </c>
      <c r="J107" s="233">
        <f>([6]Consolidated!J107)*(1/0.79941)</f>
        <v/>
      </c>
      <c r="K107" s="185" t="n"/>
      <c r="L107" s="233">
        <f>([6]Consolidated!L107)*(1/0.79941)</f>
        <v/>
      </c>
      <c r="M107" s="231">
        <f>([6]Consolidated!M107)*(1/0.79941)</f>
        <v/>
      </c>
      <c r="N107" s="234">
        <f>([6]Consolidated!N107)*(1/0.79941)</f>
        <v/>
      </c>
    </row>
    <row r="108" ht="12.75" customHeight="1" s="150">
      <c r="C108" s="224" t="inlineStr">
        <is>
          <t>Other IT expenses</t>
        </is>
      </c>
      <c r="D108" s="231">
        <f>([6]Consolidated!D108)*(1/0.79941)</f>
        <v/>
      </c>
      <c r="E108" s="231">
        <f>([6]Consolidated!E108)*(1/0.79941)</f>
        <v/>
      </c>
      <c r="F108" s="231">
        <f>([6]Consolidated!F108)*(1/0.79941)</f>
        <v/>
      </c>
      <c r="G108" s="231">
        <f>([6]Consolidated!G108)*(1/0.79941)</f>
        <v/>
      </c>
      <c r="H108" s="231">
        <f>([6]Consolidated!H108)*(1/0.79941)</f>
        <v/>
      </c>
      <c r="I108" s="231">
        <f>([6]Consolidated!I108)*(1/0.79941)</f>
        <v/>
      </c>
      <c r="J108" s="233">
        <f>([6]Consolidated!J108)*(1/0.79941)</f>
        <v/>
      </c>
      <c r="K108" s="185" t="n"/>
      <c r="L108" s="233">
        <f>([6]Consolidated!L108)*(1/0.79941)</f>
        <v/>
      </c>
      <c r="M108" s="231">
        <f>([6]Consolidated!M108)*(1/0.79941)</f>
        <v/>
      </c>
      <c r="N108" s="234">
        <f>([6]Consolidated!N108)*(1/0.79941)</f>
        <v/>
      </c>
    </row>
    <row r="109" ht="13.5" customHeight="1" s="150">
      <c r="C109" s="228" t="inlineStr">
        <is>
          <t>EDP expenses</t>
        </is>
      </c>
      <c r="D109" s="236">
        <f>([6]Consolidated!D109)*(1/0.79941)</f>
        <v/>
      </c>
      <c r="E109" s="236">
        <f>([6]Consolidated!E109)*(1/0.79941)</f>
        <v/>
      </c>
      <c r="F109" s="236">
        <f>([6]Consolidated!F109)*(1/0.79941)</f>
        <v/>
      </c>
      <c r="G109" s="236">
        <f>([6]Consolidated!G109)*(1/0.79941)</f>
        <v/>
      </c>
      <c r="H109" s="236">
        <f>([6]Consolidated!H109)*(1/0.79941)</f>
        <v/>
      </c>
      <c r="I109" s="236">
        <f>([6]Consolidated!I109)*(1/0.79941)</f>
        <v/>
      </c>
      <c r="J109" s="237">
        <f>([6]Consolidated!J109)*(1/0.79941)</f>
        <v/>
      </c>
      <c r="K109" s="185" t="n"/>
      <c r="L109" s="237">
        <f>([6]Consolidated!L109)*(1/0.79941)</f>
        <v/>
      </c>
      <c r="M109" s="236">
        <f>([6]Consolidated!M109)*(1/0.79941)</f>
        <v/>
      </c>
      <c r="N109" s="237">
        <f>([6]Consolidated!N109)*(1/0.79941)</f>
        <v/>
      </c>
    </row>
    <row r="110" ht="12.75" customHeight="1" s="150">
      <c r="C110" s="224" t="inlineStr">
        <is>
          <t>Telecom expenses</t>
        </is>
      </c>
      <c r="D110" s="231">
        <f>([6]Consolidated!D110)*(1/0.79941)</f>
        <v/>
      </c>
      <c r="E110" s="231">
        <f>([6]Consolidated!E110)*(1/0.79941)</f>
        <v/>
      </c>
      <c r="F110" s="231">
        <f>([6]Consolidated!F110)*(1/0.79941)</f>
        <v/>
      </c>
      <c r="G110" s="231">
        <f>([6]Consolidated!G110)*(1/0.79941)</f>
        <v/>
      </c>
      <c r="H110" s="231">
        <f>([6]Consolidated!H110)*(1/0.79941)</f>
        <v/>
      </c>
      <c r="I110" s="231">
        <f>([6]Consolidated!I110)*(1/0.79941)</f>
        <v/>
      </c>
      <c r="J110" s="233">
        <f>([6]Consolidated!J110)*(1/0.79941)</f>
        <v/>
      </c>
      <c r="K110" s="185" t="n"/>
      <c r="L110" s="233">
        <f>([6]Consolidated!L110)*(1/0.79941)</f>
        <v/>
      </c>
      <c r="M110" s="231">
        <f>([6]Consolidated!M110)*(1/0.79941)</f>
        <v/>
      </c>
      <c r="N110" s="234">
        <f>([6]Consolidated!N110)*(1/0.79941)</f>
        <v/>
      </c>
    </row>
    <row r="111" ht="12.75" customHeight="1" s="150">
      <c r="C111" s="224" t="inlineStr">
        <is>
          <t>Office equipment and supplies</t>
        </is>
      </c>
      <c r="D111" s="231">
        <f>([6]Consolidated!D111)*(1/0.79941)</f>
        <v/>
      </c>
      <c r="E111" s="231">
        <f>([6]Consolidated!E111)*(1/0.79941)</f>
        <v/>
      </c>
      <c r="F111" s="231">
        <f>([6]Consolidated!F111)*(1/0.79941)</f>
        <v/>
      </c>
      <c r="G111" s="231">
        <f>([6]Consolidated!G111)*(1/0.79941)</f>
        <v/>
      </c>
      <c r="H111" s="231">
        <f>([6]Consolidated!H111)*(1/0.79941)</f>
        <v/>
      </c>
      <c r="I111" s="231">
        <f>([6]Consolidated!I111)*(1/0.79941)</f>
        <v/>
      </c>
      <c r="J111" s="233">
        <f>([6]Consolidated!J111)*(1/0.79941)</f>
        <v/>
      </c>
      <c r="K111" s="185" t="n"/>
      <c r="L111" s="233">
        <f>([6]Consolidated!L111)*(1/0.79941)</f>
        <v/>
      </c>
      <c r="M111" s="231">
        <f>([6]Consolidated!M111)*(1/0.79941)</f>
        <v/>
      </c>
      <c r="N111" s="234">
        <f>([6]Consolidated!N111)*(1/0.79941)</f>
        <v/>
      </c>
    </row>
    <row r="112" ht="12.75" customHeight="1" s="150">
      <c r="C112" s="224" t="inlineStr">
        <is>
          <t>Accomodation expenses</t>
        </is>
      </c>
      <c r="D112" s="231">
        <f>([6]Consolidated!D112)*(1/0.79941)</f>
        <v/>
      </c>
      <c r="E112" s="231">
        <f>([6]Consolidated!E112)*(1/0.79941)</f>
        <v/>
      </c>
      <c r="F112" s="231">
        <f>([6]Consolidated!F112)*(1/0.79941)</f>
        <v/>
      </c>
      <c r="G112" s="231">
        <f>([6]Consolidated!G112)*(1/0.79941)</f>
        <v/>
      </c>
      <c r="H112" s="231">
        <f>([6]Consolidated!H112)*(1/0.79941)</f>
        <v/>
      </c>
      <c r="I112" s="231">
        <f>([6]Consolidated!I112)*(1/0.79941)</f>
        <v/>
      </c>
      <c r="J112" s="233">
        <f>([6]Consolidated!J112)*(1/0.79941)</f>
        <v/>
      </c>
      <c r="K112" s="185" t="n"/>
      <c r="L112" s="233">
        <f>([6]Consolidated!L112)*(1/0.79941)</f>
        <v/>
      </c>
      <c r="M112" s="231">
        <f>([6]Consolidated!M112)*(1/0.79941)</f>
        <v/>
      </c>
      <c r="N112" s="234">
        <f>([6]Consolidated!N112)*(1/0.79941)</f>
        <v/>
      </c>
    </row>
    <row r="113" ht="12.75" customHeight="1" s="150">
      <c r="C113" s="224" t="inlineStr">
        <is>
          <t>Travel costs</t>
        </is>
      </c>
      <c r="D113" s="231">
        <f>([6]Consolidated!D113)*(1/0.79941)</f>
        <v/>
      </c>
      <c r="E113" s="231">
        <f>([6]Consolidated!E113)*(1/0.79941)</f>
        <v/>
      </c>
      <c r="F113" s="231">
        <f>([6]Consolidated!F113)*(1/0.79941)</f>
        <v/>
      </c>
      <c r="G113" s="231">
        <f>([6]Consolidated!G113)*(1/0.79941)</f>
        <v/>
      </c>
      <c r="H113" s="231">
        <f>([6]Consolidated!H113)*(1/0.79941)</f>
        <v/>
      </c>
      <c r="I113" s="231">
        <f>([6]Consolidated!I113)*(1/0.79941)</f>
        <v/>
      </c>
      <c r="J113" s="233">
        <f>([6]Consolidated!J113)*(1/0.79941)</f>
        <v/>
      </c>
      <c r="K113" s="185" t="n"/>
      <c r="L113" s="233">
        <f>([6]Consolidated!L113)*(1/0.79941)</f>
        <v/>
      </c>
      <c r="M113" s="231">
        <f>([6]Consolidated!M113)*(1/0.79941)</f>
        <v/>
      </c>
      <c r="N113" s="234">
        <f>([6]Consolidated!N113)*(1/0.79941)</f>
        <v/>
      </c>
    </row>
    <row r="114" ht="12.75" customHeight="1" s="150">
      <c r="C114" s="224" t="inlineStr">
        <is>
          <t>Postal and freight charges</t>
        </is>
      </c>
      <c r="D114" s="231">
        <f>([6]Consolidated!D114)*(1/0.79941)</f>
        <v/>
      </c>
      <c r="E114" s="231">
        <f>([6]Consolidated!E114)*(1/0.79941)</f>
        <v/>
      </c>
      <c r="F114" s="231">
        <f>([6]Consolidated!F114)*(1/0.79941)</f>
        <v/>
      </c>
      <c r="G114" s="231">
        <f>([6]Consolidated!G114)*(1/0.79941)</f>
        <v/>
      </c>
      <c r="H114" s="231">
        <f>([6]Consolidated!H114)*(1/0.79941)</f>
        <v/>
      </c>
      <c r="I114" s="231">
        <f>([6]Consolidated!I114)*(1/0.79941)</f>
        <v/>
      </c>
      <c r="J114" s="233">
        <f>([6]Consolidated!J114)*(1/0.79941)</f>
        <v/>
      </c>
      <c r="K114" s="185" t="n"/>
      <c r="L114" s="233">
        <f>([6]Consolidated!L114)*(1/0.79941)</f>
        <v/>
      </c>
      <c r="M114" s="231">
        <f>([6]Consolidated!M114)*(1/0.79941)</f>
        <v/>
      </c>
      <c r="N114" s="234">
        <f>([6]Consolidated!N114)*(1/0.79941)</f>
        <v/>
      </c>
    </row>
    <row r="115" ht="12.75" customHeight="1" s="150">
      <c r="C115" s="224" t="inlineStr">
        <is>
          <t>Prof serv and ext advisory fee</t>
        </is>
      </c>
      <c r="D115" s="231">
        <f>([6]Consolidated!D115)*(1/0.79941)</f>
        <v/>
      </c>
      <c r="E115" s="231">
        <f>([6]Consolidated!E115)*(1/0.79941)</f>
        <v/>
      </c>
      <c r="F115" s="231">
        <f>([6]Consolidated!F115)*(1/0.79941)</f>
        <v/>
      </c>
      <c r="G115" s="231">
        <f>([6]Consolidated!G115)*(1/0.79941)</f>
        <v/>
      </c>
      <c r="H115" s="231">
        <f>([6]Consolidated!H115)*(1/0.79941)</f>
        <v/>
      </c>
      <c r="I115" s="231">
        <f>([6]Consolidated!I115)*(1/0.79941)</f>
        <v/>
      </c>
      <c r="J115" s="233">
        <f>([6]Consolidated!J115)*(1/0.79941)</f>
        <v/>
      </c>
      <c r="K115" s="185" t="n"/>
      <c r="L115" s="233">
        <f>([6]Consolidated!L115)*(1/0.79941)</f>
        <v/>
      </c>
      <c r="M115" s="231">
        <f>([6]Consolidated!M115)*(1/0.79941)</f>
        <v/>
      </c>
      <c r="N115" s="234">
        <f>([6]Consolidated!N115)*(1/0.79941)</f>
        <v/>
      </c>
    </row>
    <row r="116" ht="12.75" customHeight="1" s="150">
      <c r="C116" s="224" t="inlineStr">
        <is>
          <t>Payment transfer expenses</t>
        </is>
      </c>
      <c r="D116" s="231">
        <f>([6]Consolidated!D116)*(1/0.79941)</f>
        <v/>
      </c>
      <c r="E116" s="231">
        <f>([6]Consolidated!E116)*(1/0.79941)</f>
        <v/>
      </c>
      <c r="F116" s="231">
        <f>([6]Consolidated!F116)*(1/0.79941)</f>
        <v/>
      </c>
      <c r="G116" s="231">
        <f>([6]Consolidated!G116)*(1/0.79941)</f>
        <v/>
      </c>
      <c r="H116" s="231">
        <f>([6]Consolidated!H116)*(1/0.79941)</f>
        <v/>
      </c>
      <c r="I116" s="231">
        <f>([6]Consolidated!I116)*(1/0.79941)</f>
        <v/>
      </c>
      <c r="J116" s="233">
        <f>([6]Consolidated!J116)*(1/0.79941)</f>
        <v/>
      </c>
      <c r="K116" s="185" t="n"/>
      <c r="L116" s="233">
        <f>([6]Consolidated!L116)*(1/0.79941)</f>
        <v/>
      </c>
      <c r="M116" s="231">
        <f>([6]Consolidated!M116)*(1/0.79941)</f>
        <v/>
      </c>
      <c r="N116" s="234">
        <f>([6]Consolidated!N116)*(1/0.79941)</f>
        <v/>
      </c>
    </row>
    <row r="117" ht="12.75" customHeight="1" s="150">
      <c r="C117" s="224" t="inlineStr">
        <is>
          <t>Other costs</t>
        </is>
      </c>
      <c r="D117" s="231">
        <f>([6]Consolidated!D117)*(1/0.79941)</f>
        <v/>
      </c>
      <c r="E117" s="231">
        <f>([6]Consolidated!E117)*(1/0.79941)</f>
        <v/>
      </c>
      <c r="F117" s="231">
        <f>([6]Consolidated!F117)*(1/0.79941)</f>
        <v/>
      </c>
      <c r="G117" s="231">
        <f>([6]Consolidated!G117)*(1/0.79941)</f>
        <v/>
      </c>
      <c r="H117" s="231">
        <f>([6]Consolidated!H117)*(1/0.79941)</f>
        <v/>
      </c>
      <c r="I117" s="231">
        <f>([6]Consolidated!I117)*(1/0.79941)</f>
        <v/>
      </c>
      <c r="J117" s="233">
        <f>([6]Consolidated!J117)*(1/0.79941)</f>
        <v/>
      </c>
      <c r="K117" s="185" t="n"/>
      <c r="L117" s="233">
        <f>([6]Consolidated!L117)*(1/0.79941)</f>
        <v/>
      </c>
      <c r="M117" s="231">
        <f>([6]Consolidated!M117)*(1/0.79941)</f>
        <v/>
      </c>
      <c r="N117" s="234">
        <f>([6]Consolidated!N117)*(1/0.79941)</f>
        <v/>
      </c>
    </row>
    <row r="118" ht="13.5" customHeight="1" s="150">
      <c r="C118" s="228" t="inlineStr">
        <is>
          <t>General expenses</t>
        </is>
      </c>
      <c r="D118" s="236">
        <f>([6]Consolidated!D118)*(1/0.79941)</f>
        <v/>
      </c>
      <c r="E118" s="236">
        <f>([6]Consolidated!E118)*(1/0.79941)</f>
        <v/>
      </c>
      <c r="F118" s="236">
        <f>([6]Consolidated!F118)*(1/0.79941)</f>
        <v/>
      </c>
      <c r="G118" s="236">
        <f>([6]Consolidated!G118)*(1/0.79941)</f>
        <v/>
      </c>
      <c r="H118" s="236">
        <f>([6]Consolidated!H118)*(1/0.79941)</f>
        <v/>
      </c>
      <c r="I118" s="236">
        <f>([6]Consolidated!I118)*(1/0.79941)</f>
        <v/>
      </c>
      <c r="J118" s="237">
        <f>([6]Consolidated!J118)*(1/0.79941)</f>
        <v/>
      </c>
      <c r="K118" s="185" t="n"/>
      <c r="L118" s="237">
        <f>([6]Consolidated!L118)*(1/0.79941)</f>
        <v/>
      </c>
      <c r="M118" s="236">
        <f>([6]Consolidated!M118)*(1/0.79941)</f>
        <v/>
      </c>
      <c r="N118" s="237">
        <f>([6]Consolidated!N118)*(1/0.79941)</f>
        <v/>
      </c>
    </row>
    <row r="119" ht="12.75" customHeight="1" s="150">
      <c r="C119" s="224" t="inlineStr">
        <is>
          <t>Own expenses</t>
        </is>
      </c>
      <c r="D119" s="231">
        <f>([6]Consolidated!D119)*(1/0.79941)</f>
        <v/>
      </c>
      <c r="E119" s="231">
        <f>([6]Consolidated!E119)*(1/0.79941)</f>
        <v/>
      </c>
      <c r="F119" s="231">
        <f>([6]Consolidated!F119)*(1/0.79941)</f>
        <v/>
      </c>
      <c r="G119" s="231">
        <f>([6]Consolidated!G119)*(1/0.79941)</f>
        <v/>
      </c>
      <c r="H119" s="231">
        <f>([6]Consolidated!H119)*(1/0.79941)</f>
        <v/>
      </c>
      <c r="I119" s="231">
        <f>([6]Consolidated!I119)*(1/0.79941)</f>
        <v/>
      </c>
      <c r="J119" s="233">
        <f>([6]Consolidated!J119)*(1/0.79941)</f>
        <v/>
      </c>
      <c r="K119" s="185" t="n"/>
      <c r="L119" s="233">
        <f>([6]Consolidated!L119)*(1/0.79941)</f>
        <v/>
      </c>
      <c r="M119" s="231">
        <f>([6]Consolidated!M119)*(1/0.79941)</f>
        <v/>
      </c>
      <c r="N119" s="238">
        <f>([6]Consolidated!N119)*(1/0.79941)</f>
        <v/>
      </c>
    </row>
    <row r="120" ht="12.75" customHeight="1" s="150">
      <c r="C120" s="224" t="inlineStr">
        <is>
          <t>Other expenses</t>
        </is>
      </c>
      <c r="D120" s="231">
        <f>([6]Consolidated!D120)*(1/0.79941)</f>
        <v/>
      </c>
      <c r="E120" s="231">
        <f>([6]Consolidated!E120)*(1/0.79941)</f>
        <v/>
      </c>
      <c r="F120" s="231">
        <f>([6]Consolidated!F120)*(1/0.79941)</f>
        <v/>
      </c>
      <c r="G120" s="231">
        <f>([6]Consolidated!G120)*(1/0.79941)</f>
        <v/>
      </c>
      <c r="H120" s="231">
        <f>([6]Consolidated!H120)*(1/0.79941)</f>
        <v/>
      </c>
      <c r="I120" s="231">
        <f>([6]Consolidated!I120)*(1/0.79941)</f>
        <v/>
      </c>
      <c r="J120" s="233">
        <f>([6]Consolidated!J120)*(1/0.79941)</f>
        <v/>
      </c>
      <c r="K120" s="185" t="n"/>
      <c r="L120" s="233">
        <f>([6]Consolidated!L120)*(1/0.79941)</f>
        <v/>
      </c>
      <c r="M120" s="231">
        <f>([6]Consolidated!M120)*(1/0.79941)</f>
        <v/>
      </c>
      <c r="N120" s="234">
        <f>([6]Consolidated!N120)*(1/0.79941)</f>
        <v/>
      </c>
    </row>
    <row r="121" ht="13.5" customHeight="1" s="150">
      <c r="C121" s="228" t="inlineStr">
        <is>
          <t xml:space="preserve">Operating expenses </t>
        </is>
      </c>
      <c r="D121" s="236">
        <f>([6]Consolidated!D121)*(1/0.79941)</f>
        <v/>
      </c>
      <c r="E121" s="236">
        <f>([6]Consolidated!E121)*(1/0.79941)</f>
        <v/>
      </c>
      <c r="F121" s="236">
        <f>([6]Consolidated!F121)*(1/0.79941)</f>
        <v/>
      </c>
      <c r="G121" s="236">
        <f>([6]Consolidated!G121)*(1/0.79941)</f>
        <v/>
      </c>
      <c r="H121" s="236">
        <f>([6]Consolidated!H121)*(1/0.79941)</f>
        <v/>
      </c>
      <c r="I121" s="236">
        <f>([6]Consolidated!I121)*(1/0.79941)</f>
        <v/>
      </c>
      <c r="J121" s="237">
        <f>([6]Consolidated!J121)*(1/0.79941)</f>
        <v/>
      </c>
      <c r="K121" s="185" t="n"/>
      <c r="L121" s="237">
        <f>([6]Consolidated!L121)*(1/0.79941)</f>
        <v/>
      </c>
      <c r="M121" s="236">
        <f>([6]Consolidated!M121)*(1/0.79941)</f>
        <v/>
      </c>
      <c r="N121" s="237">
        <f>([6]Consolidated!N121)*(1/0.79941)</f>
        <v/>
      </c>
    </row>
    <row r="122" ht="12.75" customHeight="1" s="150">
      <c r="C122" s="224" t="n"/>
      <c r="D122" s="231">
        <f>0*(1/0.79941)</f>
        <v/>
      </c>
      <c r="E122" s="231">
        <f>0*(1/0.79941)</f>
        <v/>
      </c>
      <c r="F122" s="231">
        <f>0*(1/0.79941)</f>
        <v/>
      </c>
      <c r="G122" s="231">
        <f>0*(1/0.79941)</f>
        <v/>
      </c>
      <c r="H122" s="231">
        <f>0*(1/0.79941)</f>
        <v/>
      </c>
      <c r="I122" s="231">
        <f>0*(1/0.79941)</f>
        <v/>
      </c>
      <c r="J122" s="239">
        <f>0*(1/0.79941)</f>
        <v/>
      </c>
      <c r="K122" s="185" t="n"/>
      <c r="L122" s="233">
        <f>0*(1/0.79941)</f>
        <v/>
      </c>
      <c r="M122" s="231">
        <f>0*(1/0.79941)</f>
        <v/>
      </c>
      <c r="N122" s="239">
        <f>0*(1/0.79941)</f>
        <v/>
      </c>
    </row>
    <row r="123" ht="12.75" customHeight="1" s="150">
      <c r="C123" s="224" t="inlineStr">
        <is>
          <t>HR &amp; Comms</t>
        </is>
      </c>
      <c r="D123" s="231">
        <f>([6]Consolidated!D123)*(1/0.79941)</f>
        <v/>
      </c>
      <c r="E123" s="231">
        <f>([6]Consolidated!E123)*(1/0.79941)</f>
        <v/>
      </c>
      <c r="F123" s="231">
        <f>([6]Consolidated!F123)*(1/0.79941)</f>
        <v/>
      </c>
      <c r="G123" s="231">
        <f>([6]Consolidated!G123)*(1/0.79941)</f>
        <v/>
      </c>
      <c r="H123" s="231">
        <f>([6]Consolidated!H123)*(1/0.79941)</f>
        <v/>
      </c>
      <c r="I123" s="231">
        <f>([6]Consolidated!I123)*(1/0.79941)</f>
        <v/>
      </c>
      <c r="J123" s="233">
        <f>([6]Consolidated!J123)*(1/0.79941)</f>
        <v/>
      </c>
      <c r="K123" s="185" t="n"/>
      <c r="L123" s="233">
        <f>([6]Consolidated!L123)*(1/0.79941)</f>
        <v/>
      </c>
      <c r="M123" s="231">
        <f>([6]Consolidated!M123)*(1/0.79941)</f>
        <v/>
      </c>
      <c r="N123" s="234">
        <f>([6]Consolidated!N123)*(1/0.79941)</f>
        <v/>
      </c>
    </row>
    <row r="124" ht="12.75" customHeight="1" s="150">
      <c r="C124" s="224" t="inlineStr">
        <is>
          <t>Finance &amp; Business Support</t>
        </is>
      </c>
      <c r="D124" s="231">
        <f>([6]Consolidated!D124)*(1/0.79941)</f>
        <v/>
      </c>
      <c r="E124" s="231">
        <f>([6]Consolidated!E124)*(1/0.79941)</f>
        <v/>
      </c>
      <c r="F124" s="231">
        <f>([6]Consolidated!F124)*(1/0.79941)</f>
        <v/>
      </c>
      <c r="G124" s="231">
        <f>([6]Consolidated!G124)*(1/0.79941)</f>
        <v/>
      </c>
      <c r="H124" s="231">
        <f>([6]Consolidated!H124)*(1/0.79941)</f>
        <v/>
      </c>
      <c r="I124" s="231">
        <f>([6]Consolidated!I124)*(1/0.79941)</f>
        <v/>
      </c>
      <c r="J124" s="233">
        <f>([6]Consolidated!J124)*(1/0.79941)</f>
        <v/>
      </c>
      <c r="K124" s="185" t="n"/>
      <c r="L124" s="233">
        <f>([6]Consolidated!L124)*(1/0.79941)</f>
        <v/>
      </c>
      <c r="M124" s="231">
        <f>([6]Consolidated!M124)*(1/0.79941)</f>
        <v/>
      </c>
      <c r="N124" s="234">
        <f>([6]Consolidated!N124)*(1/0.79941)</f>
        <v/>
      </c>
    </row>
    <row r="125" ht="12.75" customHeight="1" s="150">
      <c r="C125" s="224" t="inlineStr">
        <is>
          <t>IT alloc</t>
        </is>
      </c>
      <c r="D125" s="231">
        <f>([6]Consolidated!D125)*(1/0.79941)</f>
        <v/>
      </c>
      <c r="E125" s="231">
        <f>([6]Consolidated!E125)*(1/0.79941)</f>
        <v/>
      </c>
      <c r="F125" s="231">
        <f>([6]Consolidated!F125)*(1/0.79941)</f>
        <v/>
      </c>
      <c r="G125" s="231">
        <f>([6]Consolidated!G125)*(1/0.79941)</f>
        <v/>
      </c>
      <c r="H125" s="231">
        <f>([6]Consolidated!H125)*(1/0.79941)</f>
        <v/>
      </c>
      <c r="I125" s="231">
        <f>([6]Consolidated!I125)*(1/0.79941)</f>
        <v/>
      </c>
      <c r="J125" s="233">
        <f>([6]Consolidated!J125)*(1/0.79941)</f>
        <v/>
      </c>
      <c r="K125" s="185" t="n"/>
      <c r="L125" s="233">
        <f>([6]Consolidated!L125)*(1/0.79941)</f>
        <v/>
      </c>
      <c r="M125" s="231">
        <f>([6]Consolidated!M125)*(1/0.79941)</f>
        <v/>
      </c>
      <c r="N125" s="234">
        <f>([6]Consolidated!N125)*(1/0.79941)</f>
        <v/>
      </c>
    </row>
    <row r="126" ht="12.75" customHeight="1" s="150">
      <c r="C126" s="224" t="inlineStr">
        <is>
          <t>Facilities Management</t>
        </is>
      </c>
      <c r="D126" s="231">
        <f>([6]Consolidated!D126)*(1/0.79941)</f>
        <v/>
      </c>
      <c r="E126" s="231">
        <f>([6]Consolidated!E126)*(1/0.79941)</f>
        <v/>
      </c>
      <c r="F126" s="231">
        <f>([6]Consolidated!F126)*(1/0.79941)</f>
        <v/>
      </c>
      <c r="G126" s="231">
        <f>([6]Consolidated!G126)*(1/0.79941)</f>
        <v/>
      </c>
      <c r="H126" s="231">
        <f>([6]Consolidated!H126)*(1/0.79941)</f>
        <v/>
      </c>
      <c r="I126" s="231">
        <f>([6]Consolidated!I126)*(1/0.79941)</f>
        <v/>
      </c>
      <c r="J126" s="233">
        <f>([6]Consolidated!J126)*(1/0.79941)</f>
        <v/>
      </c>
      <c r="K126" s="185" t="n"/>
      <c r="L126" s="233">
        <f>([6]Consolidated!L126)*(1/0.79941)</f>
        <v/>
      </c>
      <c r="M126" s="231">
        <f>([6]Consolidated!M126)*(1/0.79941)</f>
        <v/>
      </c>
      <c r="N126" s="234">
        <f>([6]Consolidated!N126)*(1/0.79941)</f>
        <v/>
      </c>
    </row>
    <row r="127" ht="13.5" customHeight="1" s="150">
      <c r="C127" s="228" t="inlineStr">
        <is>
          <t>Overheads</t>
        </is>
      </c>
      <c r="D127" s="236">
        <f>([6]Consolidated!D127)*(1/0.79941)</f>
        <v/>
      </c>
      <c r="E127" s="236">
        <f>([6]Consolidated!E127)*(1/0.79941)</f>
        <v/>
      </c>
      <c r="F127" s="236">
        <f>([6]Consolidated!F127)*(1/0.79941)</f>
        <v/>
      </c>
      <c r="G127" s="236">
        <f>([6]Consolidated!G127)*(1/0.79941)</f>
        <v/>
      </c>
      <c r="H127" s="236">
        <f>([6]Consolidated!H127)*(1/0.79941)</f>
        <v/>
      </c>
      <c r="I127" s="236">
        <f>([6]Consolidated!I127)*(1/0.79941)</f>
        <v/>
      </c>
      <c r="J127" s="237">
        <f>([6]Consolidated!J127)*(1/0.79941)</f>
        <v/>
      </c>
      <c r="K127" s="185" t="n"/>
      <c r="L127" s="237">
        <f>([6]Consolidated!L127)*(1/0.79941)</f>
        <v/>
      </c>
      <c r="M127" s="236">
        <f>([6]Consolidated!M127)*(1/0.79941)</f>
        <v/>
      </c>
      <c r="N127" s="237">
        <f>([6]Consolidated!N127)*(1/0.79941)</f>
        <v/>
      </c>
    </row>
    <row r="128" ht="12.75" customHeight="1" s="150">
      <c r="C128" s="224" t="n"/>
      <c r="D128" s="231">
        <f>0*(1/0.79941)</f>
        <v/>
      </c>
      <c r="E128" s="231">
        <f>0*(1/0.79941)</f>
        <v/>
      </c>
      <c r="F128" s="231">
        <f>0*(1/0.79941)</f>
        <v/>
      </c>
      <c r="G128" s="231">
        <f>0*(1/0.79941)</f>
        <v/>
      </c>
      <c r="H128" s="231">
        <f>0*(1/0.79941)</f>
        <v/>
      </c>
      <c r="I128" s="231">
        <f>0*(1/0.79941)</f>
        <v/>
      </c>
      <c r="J128" s="239">
        <f>0*(1/0.79941)</f>
        <v/>
      </c>
      <c r="K128" s="185" t="n"/>
      <c r="L128" s="233">
        <f>0*(1/0.79941)</f>
        <v/>
      </c>
      <c r="M128" s="231">
        <f>0*(1/0.79941)</f>
        <v/>
      </c>
      <c r="N128" s="239">
        <f>0*(1/0.79941)</f>
        <v/>
      </c>
    </row>
    <row r="129" ht="13.5" customHeight="1" s="150">
      <c r="C129" s="228" t="inlineStr">
        <is>
          <t>Total Operating Costs (incl. O/H)</t>
        </is>
      </c>
      <c r="D129" s="236">
        <f>([6]Consolidated!D129)*(1/0.79941)</f>
        <v/>
      </c>
      <c r="E129" s="236">
        <f>([6]Consolidated!E129)*(1/0.79941)</f>
        <v/>
      </c>
      <c r="F129" s="236">
        <f>([6]Consolidated!F129)*(1/0.79941)</f>
        <v/>
      </c>
      <c r="G129" s="236">
        <f>([6]Consolidated!G129)*(1/0.79941)</f>
        <v/>
      </c>
      <c r="H129" s="236">
        <f>([6]Consolidated!H129)*(1/0.79941)</f>
        <v/>
      </c>
      <c r="I129" s="236">
        <f>([6]Consolidated!I129)*(1/0.79941)</f>
        <v/>
      </c>
      <c r="J129" s="237">
        <f>([6]Consolidated!J129)*(1/0.79941)</f>
        <v/>
      </c>
      <c r="K129" s="185" t="n"/>
      <c r="L129" s="237">
        <f>([6]Consolidated!L129)*(1/0.79941)</f>
        <v/>
      </c>
      <c r="M129" s="236">
        <f>([6]Consolidated!M129)*(1/0.79941)</f>
        <v/>
      </c>
      <c r="N129" s="237">
        <f>([6]Consolidated!N129)*(1/0.79941)</f>
        <v/>
      </c>
    </row>
    <row r="130"/>
    <row r="131" ht="13.5" customHeight="1" s="150"/>
    <row r="132" ht="42" customHeight="1" s="150">
      <c r="C132" s="240" t="inlineStr">
        <is>
          <t>RETAINED COSTS
(US$  excl. VAT)</t>
        </is>
      </c>
      <c r="D132" s="241">
        <f>[6]Consolidated!D132</f>
        <v/>
      </c>
      <c r="E132" s="241">
        <f>[6]Consolidated!E132</f>
        <v/>
      </c>
      <c r="F132" s="241">
        <f>[6]Consolidated!F132</f>
        <v/>
      </c>
      <c r="G132" s="241">
        <f>[6]Consolidated!G132</f>
        <v/>
      </c>
      <c r="H132" s="241">
        <f>[6]Consolidated!H132</f>
        <v/>
      </c>
      <c r="I132" s="242">
        <f>[6]Consolidated!I132</f>
        <v/>
      </c>
      <c r="J132" s="243">
        <f>[6]Consolidated!J132</f>
        <v/>
      </c>
      <c r="K132" s="165" t="n"/>
      <c r="L132" s="241">
        <f>[6]Consolidated!L132</f>
        <v/>
      </c>
      <c r="M132" s="244">
        <f>[6]Consolidated!M132</f>
        <v/>
      </c>
      <c r="N132" s="241">
        <f>[6]Consolidated!N132</f>
        <v/>
      </c>
    </row>
    <row r="133" ht="12.75" customHeight="1" s="150">
      <c r="C133" s="245" t="inlineStr">
        <is>
          <t>Internal FTE</t>
        </is>
      </c>
      <c r="D133" s="254">
        <f>[6]Consolidated!D133</f>
        <v/>
      </c>
      <c r="E133" s="254">
        <f>[6]Consolidated!E133</f>
        <v/>
      </c>
      <c r="F133" s="254">
        <f>[6]Consolidated!F133</f>
        <v/>
      </c>
      <c r="G133" s="254">
        <f>[6]Consolidated!G133</f>
        <v/>
      </c>
      <c r="H133" s="254">
        <f>[6]Consolidated!H133</f>
        <v/>
      </c>
      <c r="I133" s="254">
        <f>[6]Consolidated!I133</f>
        <v/>
      </c>
      <c r="J133" s="291" t="n"/>
      <c r="K133" s="185" t="n"/>
      <c r="L133" s="256">
        <f>[6]Consolidated!L133</f>
        <v/>
      </c>
      <c r="M133" s="254">
        <f>[6]Consolidated!M133</f>
        <v/>
      </c>
      <c r="N133" s="249">
        <f>[6]Consolidated!N133</f>
        <v/>
      </c>
    </row>
    <row r="134" ht="12.75" customHeight="1" s="150">
      <c r="C134" s="245" t="inlineStr">
        <is>
          <t>External FTE</t>
        </is>
      </c>
      <c r="D134" s="254">
        <f>[6]Consolidated!D134</f>
        <v/>
      </c>
      <c r="E134" s="254">
        <f>[6]Consolidated!E134</f>
        <v/>
      </c>
      <c r="F134" s="254">
        <f>[6]Consolidated!F134</f>
        <v/>
      </c>
      <c r="G134" s="254">
        <f>[6]Consolidated!G134</f>
        <v/>
      </c>
      <c r="H134" s="254">
        <f>[6]Consolidated!H134</f>
        <v/>
      </c>
      <c r="I134" s="254">
        <f>[6]Consolidated!I134</f>
        <v/>
      </c>
      <c r="J134" s="291" t="n"/>
      <c r="K134" s="185" t="n"/>
      <c r="L134" s="256">
        <f>[6]Consolidated!L134</f>
        <v/>
      </c>
      <c r="M134" s="254">
        <f>[6]Consolidated!M134</f>
        <v/>
      </c>
      <c r="N134" s="249">
        <f>[6]Consolidated!N134</f>
        <v/>
      </c>
    </row>
    <row r="135" ht="13.5" customHeight="1" s="150">
      <c r="C135" s="250" t="inlineStr">
        <is>
          <t>Total FTE</t>
        </is>
      </c>
      <c r="D135" s="258">
        <f>[6]Consolidated!D135</f>
        <v/>
      </c>
      <c r="E135" s="258">
        <f>[6]Consolidated!E135</f>
        <v/>
      </c>
      <c r="F135" s="258">
        <f>[6]Consolidated!F135</f>
        <v/>
      </c>
      <c r="G135" s="258">
        <f>[6]Consolidated!G135</f>
        <v/>
      </c>
      <c r="H135" s="258">
        <f>[6]Consolidated!H135</f>
        <v/>
      </c>
      <c r="I135" s="258">
        <f>[6]Consolidated!I135</f>
        <v/>
      </c>
      <c r="J135" s="292" t="n"/>
      <c r="K135" s="185" t="n"/>
      <c r="L135" s="253">
        <f>[6]Consolidated!L135</f>
        <v/>
      </c>
      <c r="M135" s="258">
        <f>[6]Consolidated!M135</f>
        <v/>
      </c>
      <c r="N135" s="253">
        <f>[6]Consolidated!N135</f>
        <v/>
      </c>
    </row>
    <row r="136" ht="12.75" customHeight="1" s="150">
      <c r="C136" s="245" t="n"/>
      <c r="D136" s="254" t="n"/>
      <c r="E136" s="254" t="n"/>
      <c r="F136" s="254" t="n"/>
      <c r="G136" s="254" t="n"/>
      <c r="H136" s="254" t="n"/>
      <c r="I136" s="254" t="n"/>
      <c r="J136" s="255" t="n"/>
      <c r="K136" s="185" t="n"/>
      <c r="L136" s="256" t="n"/>
      <c r="M136" s="254" t="n"/>
      <c r="N136" s="249" t="n"/>
    </row>
    <row r="137" ht="12.75" customHeight="1" s="150">
      <c r="C137" s="245" t="inlineStr">
        <is>
          <t>Salaries</t>
        </is>
      </c>
      <c r="D137" s="254">
        <f>([6]Consolidated!D137)*(1/0.79941)</f>
        <v/>
      </c>
      <c r="E137" s="254">
        <f>([6]Consolidated!E137)*(1/0.79941)</f>
        <v/>
      </c>
      <c r="F137" s="254">
        <f>([6]Consolidated!F137)*(1/0.79941)</f>
        <v/>
      </c>
      <c r="G137" s="254">
        <f>([6]Consolidated!G137)*(1/0.79941)</f>
        <v/>
      </c>
      <c r="H137" s="254">
        <f>([6]Consolidated!H137)*(1/0.79941)</f>
        <v/>
      </c>
      <c r="I137" s="254">
        <f>([6]Consolidated!I137)*(1/0.79941)</f>
        <v/>
      </c>
      <c r="J137" s="256">
        <f>([6]Consolidated!J137)*(1/0.79941)</f>
        <v/>
      </c>
      <c r="K137" s="185" t="n"/>
      <c r="L137" s="256">
        <f>([6]Consolidated!L137)*(1/0.79941)</f>
        <v/>
      </c>
      <c r="M137" s="254">
        <f>([6]Consolidated!M137)*(1/0.79941)</f>
        <v/>
      </c>
      <c r="N137" s="249">
        <f>([6]Consolidated!N137)*(1/0.79941)</f>
        <v/>
      </c>
    </row>
    <row r="138" ht="12.75" customHeight="1" s="150">
      <c r="C138" s="245" t="inlineStr">
        <is>
          <t>Bonuses</t>
        </is>
      </c>
      <c r="D138" s="254">
        <f>([6]Consolidated!D138)*(1/0.79941)</f>
        <v/>
      </c>
      <c r="E138" s="254">
        <f>([6]Consolidated!E138)*(1/0.79941)</f>
        <v/>
      </c>
      <c r="F138" s="254">
        <f>([6]Consolidated!F138)*(1/0.79941)</f>
        <v/>
      </c>
      <c r="G138" s="254">
        <f>([6]Consolidated!G138)*(1/0.79941)</f>
        <v/>
      </c>
      <c r="H138" s="254">
        <f>([6]Consolidated!H138)*(1/0.79941)</f>
        <v/>
      </c>
      <c r="I138" s="254">
        <f>([6]Consolidated!I138)*(1/0.79941)</f>
        <v/>
      </c>
      <c r="J138" s="256">
        <f>([6]Consolidated!J138)*(1/0.79941)</f>
        <v/>
      </c>
      <c r="K138" s="185" t="n"/>
      <c r="L138" s="256">
        <f>([6]Consolidated!L138)*(1/0.79941)</f>
        <v/>
      </c>
      <c r="M138" s="254">
        <f>([6]Consolidated!M138)*(1/0.79941)</f>
        <v/>
      </c>
      <c r="N138" s="249">
        <f>([6]Consolidated!N138)*(1/0.79941)</f>
        <v/>
      </c>
    </row>
    <row r="139" ht="12.75" customHeight="1" s="150">
      <c r="C139" s="245" t="inlineStr">
        <is>
          <t>Third party staff, ex IT</t>
        </is>
      </c>
      <c r="D139" s="254">
        <f>([6]Consolidated!D139)*(1/0.79941)</f>
        <v/>
      </c>
      <c r="E139" s="254">
        <f>([6]Consolidated!E139)*(1/0.79941)</f>
        <v/>
      </c>
      <c r="F139" s="254">
        <f>([6]Consolidated!F139)*(1/0.79941)</f>
        <v/>
      </c>
      <c r="G139" s="254">
        <f>([6]Consolidated!G139)*(1/0.79941)</f>
        <v/>
      </c>
      <c r="H139" s="254">
        <f>([6]Consolidated!H139)*(1/0.79941)</f>
        <v/>
      </c>
      <c r="I139" s="254">
        <f>([6]Consolidated!I139)*(1/0.79941)</f>
        <v/>
      </c>
      <c r="J139" s="256">
        <f>([6]Consolidated!J139)*(1/0.79941)</f>
        <v/>
      </c>
      <c r="K139" s="185" t="n"/>
      <c r="L139" s="256">
        <f>([6]Consolidated!L139)*(1/0.79941)</f>
        <v/>
      </c>
      <c r="M139" s="254">
        <f>([6]Consolidated!M139)*(1/0.79941)</f>
        <v/>
      </c>
      <c r="N139" s="249">
        <f>([6]Consolidated!N139)*(1/0.79941)</f>
        <v/>
      </c>
    </row>
    <row r="140" ht="12.75" customHeight="1" s="150">
      <c r="C140" s="245" t="inlineStr">
        <is>
          <t>Third party IT staff</t>
        </is>
      </c>
      <c r="D140" s="254">
        <f>([6]Consolidated!D140)*(1/0.79941)</f>
        <v/>
      </c>
      <c r="E140" s="254">
        <f>([6]Consolidated!E140)*(1/0.79941)</f>
        <v/>
      </c>
      <c r="F140" s="254">
        <f>([6]Consolidated!F140)*(1/0.79941)</f>
        <v/>
      </c>
      <c r="G140" s="254">
        <f>([6]Consolidated!G140)*(1/0.79941)</f>
        <v/>
      </c>
      <c r="H140" s="254">
        <f>([6]Consolidated!H140)*(1/0.79941)</f>
        <v/>
      </c>
      <c r="I140" s="254">
        <f>([6]Consolidated!I140)*(1/0.79941)</f>
        <v/>
      </c>
      <c r="J140" s="256">
        <f>([6]Consolidated!J140)*(1/0.79941)</f>
        <v/>
      </c>
      <c r="K140" s="185" t="n"/>
      <c r="L140" s="256">
        <f>([6]Consolidated!L140)*(1/0.79941)</f>
        <v/>
      </c>
      <c r="M140" s="254">
        <f>([6]Consolidated!M140)*(1/0.79941)</f>
        <v/>
      </c>
      <c r="N140" s="249">
        <f>([6]Consolidated!N140)*(1/0.79941)</f>
        <v/>
      </c>
    </row>
    <row r="141" ht="12.75" customHeight="1" s="150">
      <c r="C141" s="245" t="inlineStr">
        <is>
          <t>Employee education</t>
        </is>
      </c>
      <c r="D141" s="254">
        <f>([6]Consolidated!D141)*(1/0.79941)</f>
        <v/>
      </c>
      <c r="E141" s="254">
        <f>([6]Consolidated!E141)*(1/0.79941)</f>
        <v/>
      </c>
      <c r="F141" s="254">
        <f>([6]Consolidated!F141)*(1/0.79941)</f>
        <v/>
      </c>
      <c r="G141" s="254">
        <f>([6]Consolidated!G141)*(1/0.79941)</f>
        <v/>
      </c>
      <c r="H141" s="254">
        <f>([6]Consolidated!H141)*(1/0.79941)</f>
        <v/>
      </c>
      <c r="I141" s="254">
        <f>([6]Consolidated!I141)*(1/0.79941)</f>
        <v/>
      </c>
      <c r="J141" s="256">
        <f>([6]Consolidated!J141)*(1/0.79941)</f>
        <v/>
      </c>
      <c r="K141" s="185" t="n"/>
      <c r="L141" s="256">
        <f>([6]Consolidated!L141)*(1/0.79941)</f>
        <v/>
      </c>
      <c r="M141" s="254">
        <f>([6]Consolidated!M141)*(1/0.79941)</f>
        <v/>
      </c>
      <c r="N141" s="249">
        <f>([6]Consolidated!N141)*(1/0.79941)</f>
        <v/>
      </c>
    </row>
    <row r="142" ht="12.75" customHeight="1" s="150">
      <c r="C142" s="245" t="inlineStr">
        <is>
          <t>Other staff expenses</t>
        </is>
      </c>
      <c r="D142" s="254">
        <f>([6]Consolidated!D142)*(1/0.79941)</f>
        <v/>
      </c>
      <c r="E142" s="254">
        <f>([6]Consolidated!E142)*(1/0.79941)</f>
        <v/>
      </c>
      <c r="F142" s="254">
        <f>([6]Consolidated!F142)*(1/0.79941)</f>
        <v/>
      </c>
      <c r="G142" s="254">
        <f>([6]Consolidated!G142)*(1/0.79941)</f>
        <v/>
      </c>
      <c r="H142" s="254">
        <f>([6]Consolidated!H142)*(1/0.79941)</f>
        <v/>
      </c>
      <c r="I142" s="254">
        <f>([6]Consolidated!I142)*(1/0.79941)</f>
        <v/>
      </c>
      <c r="J142" s="257">
        <f>([6]Consolidated!J142)*(1/0.79941)</f>
        <v/>
      </c>
      <c r="K142" s="185" t="n"/>
      <c r="L142" s="256">
        <f>([6]Consolidated!L142)*(1/0.79941)</f>
        <v/>
      </c>
      <c r="M142" s="254">
        <f>([6]Consolidated!M142)*(1/0.79941)</f>
        <v/>
      </c>
      <c r="N142" s="249">
        <f>([6]Consolidated!N142)*(1/0.79941)</f>
        <v/>
      </c>
    </row>
    <row r="143" ht="13.5" customHeight="1" s="150">
      <c r="C143" s="250" t="inlineStr">
        <is>
          <t>Staff expenses</t>
        </is>
      </c>
      <c r="D143" s="258">
        <f>([6]Consolidated!D143)*(1/0.79941)</f>
        <v/>
      </c>
      <c r="E143" s="258">
        <f>([6]Consolidated!E143)*(1/0.79941)</f>
        <v/>
      </c>
      <c r="F143" s="258">
        <f>([6]Consolidated!F143)*(1/0.79941)</f>
        <v/>
      </c>
      <c r="G143" s="258">
        <f>([6]Consolidated!G143)*(1/0.79941)</f>
        <v/>
      </c>
      <c r="H143" s="258">
        <f>([6]Consolidated!H143)*(1/0.79941)</f>
        <v/>
      </c>
      <c r="I143" s="258">
        <f>([6]Consolidated!I143)*(1/0.79941)</f>
        <v/>
      </c>
      <c r="J143" s="253">
        <f>([6]Consolidated!J143)*(1/0.79941)</f>
        <v/>
      </c>
      <c r="K143" s="185" t="n"/>
      <c r="L143" s="253">
        <f>([6]Consolidated!L143)*(1/0.79941)</f>
        <v/>
      </c>
      <c r="M143" s="258">
        <f>([6]Consolidated!M143)*(1/0.79941)</f>
        <v/>
      </c>
      <c r="N143" s="253">
        <f>([6]Consolidated!N143)*(1/0.79941)</f>
        <v/>
      </c>
    </row>
    <row r="144" ht="12.75" customHeight="1" s="150">
      <c r="C144" s="245" t="inlineStr">
        <is>
          <t>Hardware expenses</t>
        </is>
      </c>
      <c r="D144" s="254">
        <f>([6]Consolidated!D144)*(1/0.79941)</f>
        <v/>
      </c>
      <c r="E144" s="254">
        <f>([6]Consolidated!E144)*(1/0.79941)</f>
        <v/>
      </c>
      <c r="F144" s="254">
        <f>([6]Consolidated!F144)*(1/0.79941)</f>
        <v/>
      </c>
      <c r="G144" s="254">
        <f>([6]Consolidated!G144)*(1/0.79941)</f>
        <v/>
      </c>
      <c r="H144" s="254">
        <f>([6]Consolidated!H144)*(1/0.79941)</f>
        <v/>
      </c>
      <c r="I144" s="254">
        <f>([6]Consolidated!I144)*(1/0.79941)</f>
        <v/>
      </c>
      <c r="J144" s="256">
        <f>([6]Consolidated!J144)*(1/0.79941)</f>
        <v/>
      </c>
      <c r="K144" s="185" t="n"/>
      <c r="L144" s="256">
        <f>([6]Consolidated!L144)*(1/0.79941)</f>
        <v/>
      </c>
      <c r="M144" s="254">
        <f>([6]Consolidated!M144)*(1/0.79941)</f>
        <v/>
      </c>
      <c r="N144" s="249">
        <f>([6]Consolidated!N144)*(1/0.79941)</f>
        <v/>
      </c>
    </row>
    <row r="145" ht="12.75" customHeight="1" s="150">
      <c r="C145" s="245" t="inlineStr">
        <is>
          <t>Leasing/renting hardware</t>
        </is>
      </c>
      <c r="D145" s="254">
        <f>([6]Consolidated!D145)*(1/0.79941)</f>
        <v/>
      </c>
      <c r="E145" s="254">
        <f>([6]Consolidated!E145)*(1/0.79941)</f>
        <v/>
      </c>
      <c r="F145" s="254">
        <f>([6]Consolidated!F145)*(1/0.79941)</f>
        <v/>
      </c>
      <c r="G145" s="254">
        <f>([6]Consolidated!G145)*(1/0.79941)</f>
        <v/>
      </c>
      <c r="H145" s="254">
        <f>([6]Consolidated!H145)*(1/0.79941)</f>
        <v/>
      </c>
      <c r="I145" s="254">
        <f>([6]Consolidated!I145)*(1/0.79941)</f>
        <v/>
      </c>
      <c r="J145" s="256">
        <f>([6]Consolidated!J145)*(1/0.79941)</f>
        <v/>
      </c>
      <c r="K145" s="185" t="n"/>
      <c r="L145" s="256">
        <f>([6]Consolidated!L145)*(1/0.79941)</f>
        <v/>
      </c>
      <c r="M145" s="254">
        <f>([6]Consolidated!M145)*(1/0.79941)</f>
        <v/>
      </c>
      <c r="N145" s="249">
        <f>([6]Consolidated!N145)*(1/0.79941)</f>
        <v/>
      </c>
    </row>
    <row r="146" ht="12.75" customHeight="1" s="150">
      <c r="C146" s="245" t="inlineStr">
        <is>
          <t>Software expenses</t>
        </is>
      </c>
      <c r="D146" s="254">
        <f>([6]Consolidated!D146)*(1/0.79941)</f>
        <v/>
      </c>
      <c r="E146" s="254">
        <f>([6]Consolidated!E146)*(1/0.79941)</f>
        <v/>
      </c>
      <c r="F146" s="254">
        <f>([6]Consolidated!F146)*(1/0.79941)</f>
        <v/>
      </c>
      <c r="G146" s="254">
        <f>([6]Consolidated!G146)*(1/0.79941)</f>
        <v/>
      </c>
      <c r="H146" s="254">
        <f>([6]Consolidated!H146)*(1/0.79941)</f>
        <v/>
      </c>
      <c r="I146" s="254">
        <f>([6]Consolidated!I146)*(1/0.79941)</f>
        <v/>
      </c>
      <c r="J146" s="256">
        <f>([6]Consolidated!J146)*(1/0.79941)</f>
        <v/>
      </c>
      <c r="K146" s="185" t="n"/>
      <c r="L146" s="256">
        <f>([6]Consolidated!L146)*(1/0.79941)</f>
        <v/>
      </c>
      <c r="M146" s="254">
        <f>([6]Consolidated!M146)*(1/0.79941)</f>
        <v/>
      </c>
      <c r="N146" s="249">
        <f>([6]Consolidated!N146)*(1/0.79941)</f>
        <v/>
      </c>
    </row>
    <row r="147" ht="12.75" customHeight="1" s="150">
      <c r="C147" s="245" t="inlineStr">
        <is>
          <t>Leasing/renting/licenses sw</t>
        </is>
      </c>
      <c r="D147" s="254">
        <f>([6]Consolidated!D147)*(1/0.79941)</f>
        <v/>
      </c>
      <c r="E147" s="254">
        <f>([6]Consolidated!E147)*(1/0.79941)</f>
        <v/>
      </c>
      <c r="F147" s="254">
        <f>([6]Consolidated!F147)*(1/0.79941)</f>
        <v/>
      </c>
      <c r="G147" s="254">
        <f>([6]Consolidated!G147)*(1/0.79941)</f>
        <v/>
      </c>
      <c r="H147" s="254">
        <f>([6]Consolidated!H147)*(1/0.79941)</f>
        <v/>
      </c>
      <c r="I147" s="254">
        <f>([6]Consolidated!I147)*(1/0.79941)</f>
        <v/>
      </c>
      <c r="J147" s="256">
        <f>([6]Consolidated!J147)*(1/0.79941)</f>
        <v/>
      </c>
      <c r="K147" s="185" t="n"/>
      <c r="L147" s="256">
        <f>([6]Consolidated!L147)*(1/0.79941)</f>
        <v/>
      </c>
      <c r="M147" s="254">
        <f>([6]Consolidated!M147)*(1/0.79941)</f>
        <v/>
      </c>
      <c r="N147" s="249">
        <f>([6]Consolidated!N147)*(1/0.79941)</f>
        <v/>
      </c>
    </row>
    <row r="148" ht="12.75" customHeight="1" s="150">
      <c r="C148" s="245" t="inlineStr">
        <is>
          <t>Depreciation hardware</t>
        </is>
      </c>
      <c r="D148" s="254">
        <f>([6]Consolidated!D148)*(1/0.79941)</f>
        <v/>
      </c>
      <c r="E148" s="254">
        <f>([6]Consolidated!E148)*(1/0.79941)</f>
        <v/>
      </c>
      <c r="F148" s="254">
        <f>([6]Consolidated!F148)*(1/0.79941)</f>
        <v/>
      </c>
      <c r="G148" s="254">
        <f>([6]Consolidated!G148)*(1/0.79941)</f>
        <v/>
      </c>
      <c r="H148" s="254">
        <f>([6]Consolidated!H148)*(1/0.79941)</f>
        <v/>
      </c>
      <c r="I148" s="254">
        <f>([6]Consolidated!I148)*(1/0.79941)</f>
        <v/>
      </c>
      <c r="J148" s="256">
        <f>([6]Consolidated!J148)*(1/0.79941)</f>
        <v/>
      </c>
      <c r="K148" s="185" t="n"/>
      <c r="L148" s="256">
        <f>([6]Consolidated!L148)*(1/0.79941)</f>
        <v/>
      </c>
      <c r="M148" s="254">
        <f>([6]Consolidated!M148)*(1/0.79941)</f>
        <v/>
      </c>
      <c r="N148" s="249">
        <f>([6]Consolidated!N148)*(1/0.79941)</f>
        <v/>
      </c>
    </row>
    <row r="149" ht="12.75" customHeight="1" s="150">
      <c r="C149" s="245" t="inlineStr">
        <is>
          <t>Depreciation software</t>
        </is>
      </c>
      <c r="D149" s="254">
        <f>([6]Consolidated!D149)*(1/0.79941)</f>
        <v/>
      </c>
      <c r="E149" s="254">
        <f>([6]Consolidated!E149)*(1/0.79941)</f>
        <v/>
      </c>
      <c r="F149" s="254">
        <f>([6]Consolidated!F149)*(1/0.79941)</f>
        <v/>
      </c>
      <c r="G149" s="254">
        <f>([6]Consolidated!G149)*(1/0.79941)</f>
        <v/>
      </c>
      <c r="H149" s="254">
        <f>([6]Consolidated!H149)*(1/0.79941)</f>
        <v/>
      </c>
      <c r="I149" s="254">
        <f>([6]Consolidated!I149)*(1/0.79941)</f>
        <v/>
      </c>
      <c r="J149" s="256">
        <f>([6]Consolidated!J149)*(1/0.79941)</f>
        <v/>
      </c>
      <c r="K149" s="185" t="n"/>
      <c r="L149" s="256">
        <f>([6]Consolidated!L149)*(1/0.79941)</f>
        <v/>
      </c>
      <c r="M149" s="254">
        <f>([6]Consolidated!M149)*(1/0.79941)</f>
        <v/>
      </c>
      <c r="N149" s="249">
        <f>([6]Consolidated!N149)*(1/0.79941)</f>
        <v/>
      </c>
    </row>
    <row r="150" ht="12.75" customHeight="1" s="150">
      <c r="C150" s="245" t="inlineStr">
        <is>
          <t>Outsourcing IT activities</t>
        </is>
      </c>
      <c r="D150" s="254">
        <f>([6]Consolidated!D150)*(1/0.79941)</f>
        <v/>
      </c>
      <c r="E150" s="254">
        <f>([6]Consolidated!E150)*(1/0.79941)</f>
        <v/>
      </c>
      <c r="F150" s="254">
        <f>([6]Consolidated!F150)*(1/0.79941)</f>
        <v/>
      </c>
      <c r="G150" s="254">
        <f>([6]Consolidated!G150)*(1/0.79941)</f>
        <v/>
      </c>
      <c r="H150" s="254">
        <f>([6]Consolidated!H150)*(1/0.79941)</f>
        <v/>
      </c>
      <c r="I150" s="254">
        <f>([6]Consolidated!I150)*(1/0.79941)</f>
        <v/>
      </c>
      <c r="J150" s="256">
        <f>([6]Consolidated!J150)*(1/0.79941)</f>
        <v/>
      </c>
      <c r="K150" s="185" t="n"/>
      <c r="L150" s="256">
        <f>([6]Consolidated!L150)*(1/0.79941)</f>
        <v/>
      </c>
      <c r="M150" s="254">
        <f>([6]Consolidated!M150)*(1/0.79941)</f>
        <v/>
      </c>
      <c r="N150" s="249">
        <f>([6]Consolidated!N150)*(1/0.79941)</f>
        <v/>
      </c>
    </row>
    <row r="151" ht="12.75" customHeight="1" s="150">
      <c r="C151" s="245" t="inlineStr">
        <is>
          <t>Other IT expenses</t>
        </is>
      </c>
      <c r="D151" s="254">
        <f>([6]Consolidated!D151)*(1/0.79941)</f>
        <v/>
      </c>
      <c r="E151" s="254">
        <f>([6]Consolidated!E151)*(1/0.79941)</f>
        <v/>
      </c>
      <c r="F151" s="254">
        <f>([6]Consolidated!F151)*(1/0.79941)</f>
        <v/>
      </c>
      <c r="G151" s="254">
        <f>([6]Consolidated!G151)*(1/0.79941)</f>
        <v/>
      </c>
      <c r="H151" s="254">
        <f>([6]Consolidated!H151)*(1/0.79941)</f>
        <v/>
      </c>
      <c r="I151" s="254">
        <f>([6]Consolidated!I151)*(1/0.79941)</f>
        <v/>
      </c>
      <c r="J151" s="256">
        <f>([6]Consolidated!J151)*(1/0.79941)</f>
        <v/>
      </c>
      <c r="K151" s="185" t="n"/>
      <c r="L151" s="256">
        <f>([6]Consolidated!L151)*(1/0.79941)</f>
        <v/>
      </c>
      <c r="M151" s="254">
        <f>([6]Consolidated!M151)*(1/0.79941)</f>
        <v/>
      </c>
      <c r="N151" s="249">
        <f>([6]Consolidated!N151)*(1/0.79941)</f>
        <v/>
      </c>
    </row>
    <row r="152" ht="13.5" customHeight="1" s="150">
      <c r="C152" s="250" t="inlineStr">
        <is>
          <t>EDP expenses</t>
        </is>
      </c>
      <c r="D152" s="258">
        <f>([6]Consolidated!D152)*(1/0.79941)</f>
        <v/>
      </c>
      <c r="E152" s="258">
        <f>([6]Consolidated!E152)*(1/0.79941)</f>
        <v/>
      </c>
      <c r="F152" s="258">
        <f>([6]Consolidated!F152)*(1/0.79941)</f>
        <v/>
      </c>
      <c r="G152" s="258">
        <f>([6]Consolidated!G152)*(1/0.79941)</f>
        <v/>
      </c>
      <c r="H152" s="258">
        <f>([6]Consolidated!H152)*(1/0.79941)</f>
        <v/>
      </c>
      <c r="I152" s="258">
        <f>([6]Consolidated!I152)*(1/0.79941)</f>
        <v/>
      </c>
      <c r="J152" s="253">
        <f>([6]Consolidated!J152)*(1/0.79941)</f>
        <v/>
      </c>
      <c r="K152" s="185" t="n"/>
      <c r="L152" s="253">
        <f>([6]Consolidated!L152)*(1/0.79941)</f>
        <v/>
      </c>
      <c r="M152" s="258">
        <f>([6]Consolidated!M152)*(1/0.79941)</f>
        <v/>
      </c>
      <c r="N152" s="253">
        <f>([6]Consolidated!N152)*(1/0.79941)</f>
        <v/>
      </c>
    </row>
    <row r="153" ht="12.75" customHeight="1" s="150">
      <c r="C153" s="245" t="inlineStr">
        <is>
          <t>Telecom expenses</t>
        </is>
      </c>
      <c r="D153" s="254">
        <f>([6]Consolidated!D153)*(1/0.79941)</f>
        <v/>
      </c>
      <c r="E153" s="254">
        <f>([6]Consolidated!E153)*(1/0.79941)</f>
        <v/>
      </c>
      <c r="F153" s="254">
        <f>([6]Consolidated!F153)*(1/0.79941)</f>
        <v/>
      </c>
      <c r="G153" s="254">
        <f>([6]Consolidated!G153)*(1/0.79941)</f>
        <v/>
      </c>
      <c r="H153" s="254">
        <f>([6]Consolidated!H153)*(1/0.79941)</f>
        <v/>
      </c>
      <c r="I153" s="254">
        <f>([6]Consolidated!I153)*(1/0.79941)</f>
        <v/>
      </c>
      <c r="J153" s="256">
        <f>([6]Consolidated!J153)*(1/0.79941)</f>
        <v/>
      </c>
      <c r="K153" s="185" t="n"/>
      <c r="L153" s="256">
        <f>([6]Consolidated!L153)*(1/0.79941)</f>
        <v/>
      </c>
      <c r="M153" s="254">
        <f>([6]Consolidated!M153)*(1/0.79941)</f>
        <v/>
      </c>
      <c r="N153" s="249">
        <f>([6]Consolidated!N153)*(1/0.79941)</f>
        <v/>
      </c>
    </row>
    <row r="154" ht="12.75" customHeight="1" s="150">
      <c r="C154" s="245" t="inlineStr">
        <is>
          <t>Office equipment and supplies</t>
        </is>
      </c>
      <c r="D154" s="254">
        <f>([6]Consolidated!D154)*(1/0.79941)</f>
        <v/>
      </c>
      <c r="E154" s="254">
        <f>([6]Consolidated!E154)*(1/0.79941)</f>
        <v/>
      </c>
      <c r="F154" s="254">
        <f>([6]Consolidated!F154)*(1/0.79941)</f>
        <v/>
      </c>
      <c r="G154" s="254">
        <f>([6]Consolidated!G154)*(1/0.79941)</f>
        <v/>
      </c>
      <c r="H154" s="254">
        <f>([6]Consolidated!H154)*(1/0.79941)</f>
        <v/>
      </c>
      <c r="I154" s="254">
        <f>([6]Consolidated!I154)*(1/0.79941)</f>
        <v/>
      </c>
      <c r="J154" s="256">
        <f>([6]Consolidated!J154)*(1/0.79941)</f>
        <v/>
      </c>
      <c r="K154" s="185" t="n"/>
      <c r="L154" s="256">
        <f>([6]Consolidated!L154)*(1/0.79941)</f>
        <v/>
      </c>
      <c r="M154" s="254">
        <f>([6]Consolidated!M154)*(1/0.79941)</f>
        <v/>
      </c>
      <c r="N154" s="249">
        <f>([6]Consolidated!N154)*(1/0.79941)</f>
        <v/>
      </c>
    </row>
    <row r="155" ht="12.75" customHeight="1" s="150">
      <c r="C155" s="245" t="inlineStr">
        <is>
          <t>Accomodation expenses</t>
        </is>
      </c>
      <c r="D155" s="254">
        <f>([6]Consolidated!D155)*(1/0.79941)</f>
        <v/>
      </c>
      <c r="E155" s="254">
        <f>([6]Consolidated!E155)*(1/0.79941)</f>
        <v/>
      </c>
      <c r="F155" s="254">
        <f>([6]Consolidated!F155)*(1/0.79941)</f>
        <v/>
      </c>
      <c r="G155" s="254">
        <f>([6]Consolidated!G155)*(1/0.79941)</f>
        <v/>
      </c>
      <c r="H155" s="254">
        <f>([6]Consolidated!H155)*(1/0.79941)</f>
        <v/>
      </c>
      <c r="I155" s="254">
        <f>([6]Consolidated!I155)*(1/0.79941)</f>
        <v/>
      </c>
      <c r="J155" s="256">
        <f>([6]Consolidated!J155)*(1/0.79941)</f>
        <v/>
      </c>
      <c r="K155" s="185" t="n"/>
      <c r="L155" s="256">
        <f>([6]Consolidated!L155)*(1/0.79941)</f>
        <v/>
      </c>
      <c r="M155" s="254">
        <f>([6]Consolidated!M155)*(1/0.79941)</f>
        <v/>
      </c>
      <c r="N155" s="249">
        <f>([6]Consolidated!N155)*(1/0.79941)</f>
        <v/>
      </c>
    </row>
    <row r="156" ht="12.75" customHeight="1" s="150">
      <c r="C156" s="245" t="inlineStr">
        <is>
          <t>Travel costs</t>
        </is>
      </c>
      <c r="D156" s="254">
        <f>([6]Consolidated!D156)*(1/0.79941)</f>
        <v/>
      </c>
      <c r="E156" s="254">
        <f>([6]Consolidated!E156)*(1/0.79941)</f>
        <v/>
      </c>
      <c r="F156" s="254">
        <f>([6]Consolidated!F156)*(1/0.79941)</f>
        <v/>
      </c>
      <c r="G156" s="254">
        <f>([6]Consolidated!G156)*(1/0.79941)</f>
        <v/>
      </c>
      <c r="H156" s="254">
        <f>([6]Consolidated!H156)*(1/0.79941)</f>
        <v/>
      </c>
      <c r="I156" s="254">
        <f>([6]Consolidated!I156)*(1/0.79941)</f>
        <v/>
      </c>
      <c r="J156" s="256">
        <f>([6]Consolidated!J156)*(1/0.79941)</f>
        <v/>
      </c>
      <c r="K156" s="185" t="n"/>
      <c r="L156" s="256">
        <f>([6]Consolidated!L156)*(1/0.79941)</f>
        <v/>
      </c>
      <c r="M156" s="254">
        <f>([6]Consolidated!M156)*(1/0.79941)</f>
        <v/>
      </c>
      <c r="N156" s="249">
        <f>([6]Consolidated!N156)*(1/0.79941)</f>
        <v/>
      </c>
    </row>
    <row r="157" ht="12.75" customHeight="1" s="150">
      <c r="C157" s="245" t="inlineStr">
        <is>
          <t>Postal and freight charges</t>
        </is>
      </c>
      <c r="D157" s="254">
        <f>([6]Consolidated!D157)*(1/0.79941)</f>
        <v/>
      </c>
      <c r="E157" s="254">
        <f>([6]Consolidated!E157)*(1/0.79941)</f>
        <v/>
      </c>
      <c r="F157" s="254">
        <f>([6]Consolidated!F157)*(1/0.79941)</f>
        <v/>
      </c>
      <c r="G157" s="254">
        <f>([6]Consolidated!G157)*(1/0.79941)</f>
        <v/>
      </c>
      <c r="H157" s="254">
        <f>([6]Consolidated!H157)*(1/0.79941)</f>
        <v/>
      </c>
      <c r="I157" s="254">
        <f>([6]Consolidated!I157)*(1/0.79941)</f>
        <v/>
      </c>
      <c r="J157" s="256">
        <f>([6]Consolidated!J157)*(1/0.79941)</f>
        <v/>
      </c>
      <c r="K157" s="185" t="n"/>
      <c r="L157" s="256">
        <f>([6]Consolidated!L157)*(1/0.79941)</f>
        <v/>
      </c>
      <c r="M157" s="254">
        <f>([6]Consolidated!M157)*(1/0.79941)</f>
        <v/>
      </c>
      <c r="N157" s="249">
        <f>([6]Consolidated!N157)*(1/0.79941)</f>
        <v/>
      </c>
    </row>
    <row r="158" ht="12.75" customHeight="1" s="150">
      <c r="C158" s="245" t="inlineStr">
        <is>
          <t>Prof serv and ext advisory fee</t>
        </is>
      </c>
      <c r="D158" s="254">
        <f>([6]Consolidated!D158)*(1/0.79941)</f>
        <v/>
      </c>
      <c r="E158" s="254">
        <f>([6]Consolidated!E158)*(1/0.79941)</f>
        <v/>
      </c>
      <c r="F158" s="254">
        <f>([6]Consolidated!F158)*(1/0.79941)</f>
        <v/>
      </c>
      <c r="G158" s="254">
        <f>([6]Consolidated!G158)*(1/0.79941)</f>
        <v/>
      </c>
      <c r="H158" s="254">
        <f>([6]Consolidated!H158)*(1/0.79941)</f>
        <v/>
      </c>
      <c r="I158" s="254">
        <f>([6]Consolidated!I158)*(1/0.79941)</f>
        <v/>
      </c>
      <c r="J158" s="256">
        <f>([6]Consolidated!J158)*(1/0.79941)</f>
        <v/>
      </c>
      <c r="K158" s="185" t="n"/>
      <c r="L158" s="256">
        <f>([6]Consolidated!L158)*(1/0.79941)</f>
        <v/>
      </c>
      <c r="M158" s="254">
        <f>([6]Consolidated!M158)*(1/0.79941)</f>
        <v/>
      </c>
      <c r="N158" s="249">
        <f>([6]Consolidated!N158)*(1/0.79941)</f>
        <v/>
      </c>
    </row>
    <row r="159" ht="12.75" customHeight="1" s="150">
      <c r="C159" s="245" t="inlineStr">
        <is>
          <t>Payment transfer expenses</t>
        </is>
      </c>
      <c r="D159" s="254">
        <f>([6]Consolidated!D159)*(1/0.79941)</f>
        <v/>
      </c>
      <c r="E159" s="254">
        <f>([6]Consolidated!E159)*(1/0.79941)</f>
        <v/>
      </c>
      <c r="F159" s="254">
        <f>([6]Consolidated!F159)*(1/0.79941)</f>
        <v/>
      </c>
      <c r="G159" s="254">
        <f>([6]Consolidated!G159)*(1/0.79941)</f>
        <v/>
      </c>
      <c r="H159" s="254">
        <f>([6]Consolidated!H159)*(1/0.79941)</f>
        <v/>
      </c>
      <c r="I159" s="254">
        <f>([6]Consolidated!I159)*(1/0.79941)</f>
        <v/>
      </c>
      <c r="J159" s="256">
        <f>([6]Consolidated!J159)*(1/0.79941)</f>
        <v/>
      </c>
      <c r="K159" s="185" t="n"/>
      <c r="L159" s="256">
        <f>([6]Consolidated!L159)*(1/0.79941)</f>
        <v/>
      </c>
      <c r="M159" s="254">
        <f>([6]Consolidated!M159)*(1/0.79941)</f>
        <v/>
      </c>
      <c r="N159" s="249">
        <f>([6]Consolidated!N159)*(1/0.79941)</f>
        <v/>
      </c>
    </row>
    <row r="160" ht="12.75" customHeight="1" s="150">
      <c r="C160" s="245" t="inlineStr">
        <is>
          <t>Other costs</t>
        </is>
      </c>
      <c r="D160" s="254">
        <f>([6]Consolidated!D160)*(1/0.79941)</f>
        <v/>
      </c>
      <c r="E160" s="254">
        <f>([6]Consolidated!E160)*(1/0.79941)</f>
        <v/>
      </c>
      <c r="F160" s="254">
        <f>([6]Consolidated!F160)*(1/0.79941)</f>
        <v/>
      </c>
      <c r="G160" s="254">
        <f>([6]Consolidated!G160)*(1/0.79941)</f>
        <v/>
      </c>
      <c r="H160" s="254">
        <f>([6]Consolidated!H160)*(1/0.79941)</f>
        <v/>
      </c>
      <c r="I160" s="254">
        <f>([6]Consolidated!I160)*(1/0.79941)</f>
        <v/>
      </c>
      <c r="J160" s="256">
        <f>([6]Consolidated!J160)*(1/0.79941)</f>
        <v/>
      </c>
      <c r="K160" s="185" t="n"/>
      <c r="L160" s="256">
        <f>([6]Consolidated!L160)*(1/0.79941)</f>
        <v/>
      </c>
      <c r="M160" s="254">
        <f>([6]Consolidated!M160)*(1/0.79941)</f>
        <v/>
      </c>
      <c r="N160" s="249">
        <f>([6]Consolidated!N160)*(1/0.79941)</f>
        <v/>
      </c>
    </row>
    <row r="161" ht="13.5" customHeight="1" s="150">
      <c r="C161" s="250" t="inlineStr">
        <is>
          <t>General expenses</t>
        </is>
      </c>
      <c r="D161" s="258">
        <f>([6]Consolidated!D161)*(1/0.79941)</f>
        <v/>
      </c>
      <c r="E161" s="258">
        <f>([6]Consolidated!E161)*(1/0.79941)</f>
        <v/>
      </c>
      <c r="F161" s="258">
        <f>([6]Consolidated!F161)*(1/0.79941)</f>
        <v/>
      </c>
      <c r="G161" s="258">
        <f>([6]Consolidated!G161)*(1/0.79941)</f>
        <v/>
      </c>
      <c r="H161" s="258">
        <f>([6]Consolidated!H161)*(1/0.79941)</f>
        <v/>
      </c>
      <c r="I161" s="258">
        <f>([6]Consolidated!I161)*(1/0.79941)</f>
        <v/>
      </c>
      <c r="J161" s="253">
        <f>([6]Consolidated!J161)*(1/0.79941)</f>
        <v/>
      </c>
      <c r="K161" s="185" t="n"/>
      <c r="L161" s="253">
        <f>([6]Consolidated!L161)*(1/0.79941)</f>
        <v/>
      </c>
      <c r="M161" s="258">
        <f>([6]Consolidated!M161)*(1/0.79941)</f>
        <v/>
      </c>
      <c r="N161" s="253">
        <f>([6]Consolidated!N161)*(1/0.79941)</f>
        <v/>
      </c>
    </row>
    <row r="162" ht="12.75" customHeight="1" s="150">
      <c r="C162" s="245" t="inlineStr">
        <is>
          <t>Own expenses</t>
        </is>
      </c>
      <c r="D162" s="254">
        <f>([6]Consolidated!D162)*(1/0.79941)</f>
        <v/>
      </c>
      <c r="E162" s="254">
        <f>([6]Consolidated!E162)*(1/0.79941)</f>
        <v/>
      </c>
      <c r="F162" s="254">
        <f>([6]Consolidated!F162)*(1/0.79941)</f>
        <v/>
      </c>
      <c r="G162" s="254">
        <f>([6]Consolidated!G162)*(1/0.79941)</f>
        <v/>
      </c>
      <c r="H162" s="254">
        <f>([6]Consolidated!H162)*(1/0.79941)</f>
        <v/>
      </c>
      <c r="I162" s="254">
        <f>([6]Consolidated!I162)*(1/0.79941)</f>
        <v/>
      </c>
      <c r="J162" s="256">
        <f>([6]Consolidated!J162)*(1/0.79941)</f>
        <v/>
      </c>
      <c r="K162" s="185" t="n"/>
      <c r="L162" s="256">
        <f>([6]Consolidated!L162)*(1/0.79941)</f>
        <v/>
      </c>
      <c r="M162" s="254">
        <f>([6]Consolidated!M162)*(1/0.79941)</f>
        <v/>
      </c>
      <c r="N162" s="259">
        <f>([6]Consolidated!N162)*(1/0.79941)</f>
        <v/>
      </c>
    </row>
    <row r="163" ht="12.75" customHeight="1" s="150">
      <c r="C163" s="245" t="inlineStr">
        <is>
          <t>Other expenses</t>
        </is>
      </c>
      <c r="D163" s="254">
        <f>([6]Consolidated!D163)*(1/0.79941)</f>
        <v/>
      </c>
      <c r="E163" s="254">
        <f>([6]Consolidated!E163)*(1/0.79941)</f>
        <v/>
      </c>
      <c r="F163" s="254">
        <f>([6]Consolidated!F163)*(1/0.79941)</f>
        <v/>
      </c>
      <c r="G163" s="254">
        <f>([6]Consolidated!G163)*(1/0.79941)</f>
        <v/>
      </c>
      <c r="H163" s="254">
        <f>([6]Consolidated!H163)*(1/0.79941)</f>
        <v/>
      </c>
      <c r="I163" s="254">
        <f>([6]Consolidated!I163)*(1/0.79941)</f>
        <v/>
      </c>
      <c r="J163" s="256">
        <f>([6]Consolidated!J163)*(1/0.79941)</f>
        <v/>
      </c>
      <c r="K163" s="185" t="n"/>
      <c r="L163" s="256">
        <f>([6]Consolidated!L163)*(1/0.79941)</f>
        <v/>
      </c>
      <c r="M163" s="254">
        <f>([6]Consolidated!M163)*(1/0.79941)</f>
        <v/>
      </c>
      <c r="N163" s="249">
        <f>([6]Consolidated!N163)*(1/0.79941)</f>
        <v/>
      </c>
    </row>
    <row r="164" ht="13.5" customHeight="1" s="150">
      <c r="C164" s="250" t="inlineStr">
        <is>
          <t xml:space="preserve">Operating expenses </t>
        </is>
      </c>
      <c r="D164" s="258">
        <f>([6]Consolidated!D164)*(1/0.79941)</f>
        <v/>
      </c>
      <c r="E164" s="258">
        <f>([6]Consolidated!E164)*(1/0.79941)</f>
        <v/>
      </c>
      <c r="F164" s="258">
        <f>([6]Consolidated!F164)*(1/0.79941)</f>
        <v/>
      </c>
      <c r="G164" s="258">
        <f>([6]Consolidated!G164)*(1/0.79941)</f>
        <v/>
      </c>
      <c r="H164" s="258">
        <f>([6]Consolidated!H164)*(1/0.79941)</f>
        <v/>
      </c>
      <c r="I164" s="258">
        <f>([6]Consolidated!I164)*(1/0.79941)</f>
        <v/>
      </c>
      <c r="J164" s="253">
        <f>([6]Consolidated!J164)*(1/0.79941)</f>
        <v/>
      </c>
      <c r="K164" s="185" t="n"/>
      <c r="L164" s="253">
        <f>([6]Consolidated!L164)*(1/0.79941)</f>
        <v/>
      </c>
      <c r="M164" s="258">
        <f>([6]Consolidated!M164)*(1/0.79941)</f>
        <v/>
      </c>
      <c r="N164" s="253">
        <f>([6]Consolidated!N164)*(1/0.79941)</f>
        <v/>
      </c>
    </row>
    <row r="165" ht="12.75" customHeight="1" s="150">
      <c r="C165" s="245" t="n"/>
      <c r="D165" s="254">
        <f>0*(1/0.79941)</f>
        <v/>
      </c>
      <c r="E165" s="254">
        <f>0*(1/0.79941)</f>
        <v/>
      </c>
      <c r="F165" s="254">
        <f>0*(1/0.79941)</f>
        <v/>
      </c>
      <c r="G165" s="254">
        <f>0*(1/0.79941)</f>
        <v/>
      </c>
      <c r="H165" s="254">
        <f>0*(1/0.79941)</f>
        <v/>
      </c>
      <c r="I165" s="254">
        <f>0*(1/0.79941)</f>
        <v/>
      </c>
      <c r="J165" s="260">
        <f>0*(1/0.79941)</f>
        <v/>
      </c>
      <c r="K165" s="185" t="n"/>
      <c r="L165" s="256">
        <f>0*(1/0.79941)</f>
        <v/>
      </c>
      <c r="M165" s="254">
        <f>0*(1/0.79941)</f>
        <v/>
      </c>
      <c r="N165" s="260">
        <f>0*(1/0.79941)</f>
        <v/>
      </c>
    </row>
    <row r="166" ht="12.75" customHeight="1" s="150">
      <c r="C166" s="245" t="inlineStr">
        <is>
          <t>HR &amp; Comms</t>
        </is>
      </c>
      <c r="D166" s="254">
        <f>([6]Consolidated!D166)*(1/0.79941)</f>
        <v/>
      </c>
      <c r="E166" s="254">
        <f>([6]Consolidated!E166)*(1/0.79941)</f>
        <v/>
      </c>
      <c r="F166" s="254">
        <f>([6]Consolidated!F166)*(1/0.79941)</f>
        <v/>
      </c>
      <c r="G166" s="254">
        <f>([6]Consolidated!G166)*(1/0.79941)</f>
        <v/>
      </c>
      <c r="H166" s="254">
        <f>([6]Consolidated!H166)*(1/0.79941)</f>
        <v/>
      </c>
      <c r="I166" s="254">
        <f>([6]Consolidated!I166)*(1/0.79941)</f>
        <v/>
      </c>
      <c r="J166" s="256">
        <f>([6]Consolidated!J166)*(1/0.79941)</f>
        <v/>
      </c>
      <c r="K166" s="185" t="n"/>
      <c r="L166" s="256">
        <f>([6]Consolidated!L166)*(1/0.79941)</f>
        <v/>
      </c>
      <c r="M166" s="254">
        <f>([6]Consolidated!M166)*(1/0.79941)</f>
        <v/>
      </c>
      <c r="N166" s="249">
        <f>([6]Consolidated!N166)*(1/0.79941)</f>
        <v/>
      </c>
    </row>
    <row r="167" ht="12.75" customHeight="1" s="150">
      <c r="C167" s="245" t="inlineStr">
        <is>
          <t>Finance &amp; Business Support</t>
        </is>
      </c>
      <c r="D167" s="254">
        <f>([6]Consolidated!D167)*(1/0.79941)</f>
        <v/>
      </c>
      <c r="E167" s="254">
        <f>([6]Consolidated!E167)*(1/0.79941)</f>
        <v/>
      </c>
      <c r="F167" s="254">
        <f>([6]Consolidated!F167)*(1/0.79941)</f>
        <v/>
      </c>
      <c r="G167" s="254">
        <f>([6]Consolidated!G167)*(1/0.79941)</f>
        <v/>
      </c>
      <c r="H167" s="254">
        <f>([6]Consolidated!H167)*(1/0.79941)</f>
        <v/>
      </c>
      <c r="I167" s="254">
        <f>([6]Consolidated!I167)*(1/0.79941)</f>
        <v/>
      </c>
      <c r="J167" s="256">
        <f>([6]Consolidated!J167)*(1/0.79941)</f>
        <v/>
      </c>
      <c r="K167" s="185" t="n"/>
      <c r="L167" s="256">
        <f>([6]Consolidated!L167)*(1/0.79941)</f>
        <v/>
      </c>
      <c r="M167" s="254">
        <f>([6]Consolidated!M167)*(1/0.79941)</f>
        <v/>
      </c>
      <c r="N167" s="249">
        <f>([6]Consolidated!N167)*(1/0.79941)</f>
        <v/>
      </c>
    </row>
    <row r="168" ht="12.75" customHeight="1" s="150">
      <c r="C168" s="245" t="inlineStr">
        <is>
          <t>IT alloc</t>
        </is>
      </c>
      <c r="D168" s="254">
        <f>([6]Consolidated!D168)*(1/0.79941)</f>
        <v/>
      </c>
      <c r="E168" s="254">
        <f>([6]Consolidated!E168)*(1/0.79941)</f>
        <v/>
      </c>
      <c r="F168" s="254">
        <f>([6]Consolidated!F168)*(1/0.79941)</f>
        <v/>
      </c>
      <c r="G168" s="254">
        <f>([6]Consolidated!G168)*(1/0.79941)</f>
        <v/>
      </c>
      <c r="H168" s="254">
        <f>([6]Consolidated!H168)*(1/0.79941)</f>
        <v/>
      </c>
      <c r="I168" s="254">
        <f>([6]Consolidated!I168)*(1/0.79941)</f>
        <v/>
      </c>
      <c r="J168" s="256">
        <f>([6]Consolidated!J168)*(1/0.79941)</f>
        <v/>
      </c>
      <c r="K168" s="185" t="n"/>
      <c r="L168" s="256">
        <f>([6]Consolidated!L168)*(1/0.79941)</f>
        <v/>
      </c>
      <c r="M168" s="254">
        <f>([6]Consolidated!M168)*(1/0.79941)</f>
        <v/>
      </c>
      <c r="N168" s="249">
        <f>([6]Consolidated!N168)*(1/0.79941)</f>
        <v/>
      </c>
    </row>
    <row r="169" ht="12.75" customHeight="1" s="150">
      <c r="C169" s="245" t="inlineStr">
        <is>
          <t>Facilities Management</t>
        </is>
      </c>
      <c r="D169" s="254">
        <f>([6]Consolidated!D169)*(1/0.79941)</f>
        <v/>
      </c>
      <c r="E169" s="254">
        <f>([6]Consolidated!E169)*(1/0.79941)</f>
        <v/>
      </c>
      <c r="F169" s="254">
        <f>([6]Consolidated!F169)*(1/0.79941)</f>
        <v/>
      </c>
      <c r="G169" s="254">
        <f>([6]Consolidated!G169)*(1/0.79941)</f>
        <v/>
      </c>
      <c r="H169" s="254">
        <f>([6]Consolidated!H169)*(1/0.79941)</f>
        <v/>
      </c>
      <c r="I169" s="254">
        <f>([6]Consolidated!I169)*(1/0.79941)</f>
        <v/>
      </c>
      <c r="J169" s="256">
        <f>([6]Consolidated!J169)*(1/0.79941)</f>
        <v/>
      </c>
      <c r="K169" s="185" t="n"/>
      <c r="L169" s="256">
        <f>([6]Consolidated!L169)*(1/0.79941)</f>
        <v/>
      </c>
      <c r="M169" s="254">
        <f>([6]Consolidated!M169)*(1/0.79941)</f>
        <v/>
      </c>
      <c r="N169" s="249">
        <f>([6]Consolidated!N169)*(1/0.79941)</f>
        <v/>
      </c>
    </row>
    <row r="170" ht="13.5" customHeight="1" s="150">
      <c r="C170" s="250" t="inlineStr">
        <is>
          <t>Overheads</t>
        </is>
      </c>
      <c r="D170" s="258">
        <f>([6]Consolidated!D170)*(1/0.79941)</f>
        <v/>
      </c>
      <c r="E170" s="258">
        <f>([6]Consolidated!E170)*(1/0.79941)</f>
        <v/>
      </c>
      <c r="F170" s="258">
        <f>([6]Consolidated!F170)*(1/0.79941)</f>
        <v/>
      </c>
      <c r="G170" s="258">
        <f>([6]Consolidated!G170)*(1/0.79941)</f>
        <v/>
      </c>
      <c r="H170" s="258">
        <f>([6]Consolidated!H170)*(1/0.79941)</f>
        <v/>
      </c>
      <c r="I170" s="258">
        <f>([6]Consolidated!I170)*(1/0.79941)</f>
        <v/>
      </c>
      <c r="J170" s="253">
        <f>([6]Consolidated!J170)*(1/0.79941)</f>
        <v/>
      </c>
      <c r="K170" s="185" t="n"/>
      <c r="L170" s="253">
        <f>([6]Consolidated!L170)*(1/0.79941)</f>
        <v/>
      </c>
      <c r="M170" s="258">
        <f>([6]Consolidated!M170)*(1/0.79941)</f>
        <v/>
      </c>
      <c r="N170" s="253">
        <f>([6]Consolidated!N170)*(1/0.79941)</f>
        <v/>
      </c>
    </row>
    <row r="171" ht="12.75" customHeight="1" s="150">
      <c r="C171" s="245" t="n"/>
      <c r="D171" s="254">
        <f>0*(1/0.79941)</f>
        <v/>
      </c>
      <c r="E171" s="254">
        <f>0*(1/0.79941)</f>
        <v/>
      </c>
      <c r="F171" s="254">
        <f>0*(1/0.79941)</f>
        <v/>
      </c>
      <c r="G171" s="254">
        <f>0*(1/0.79941)</f>
        <v/>
      </c>
      <c r="H171" s="254">
        <f>0*(1/0.79941)</f>
        <v/>
      </c>
      <c r="I171" s="254">
        <f>0*(1/0.79941)</f>
        <v/>
      </c>
      <c r="J171" s="260">
        <f>0*(1/0.79941)</f>
        <v/>
      </c>
      <c r="K171" s="185" t="n"/>
      <c r="L171" s="256">
        <f>0*(1/0.79941)</f>
        <v/>
      </c>
      <c r="M171" s="254">
        <f>0*(1/0.79941)</f>
        <v/>
      </c>
      <c r="N171" s="260">
        <f>0*(1/0.79941)</f>
        <v/>
      </c>
    </row>
    <row r="172" ht="13.5" customHeight="1" s="150">
      <c r="C172" s="250" t="inlineStr">
        <is>
          <t>Total Operating Costs (incl. O/H)</t>
        </is>
      </c>
      <c r="D172" s="258">
        <f>([6]Consolidated!D172)*(1/0.79941)</f>
        <v/>
      </c>
      <c r="E172" s="258">
        <f>([6]Consolidated!E172)*(1/0.79941)</f>
        <v/>
      </c>
      <c r="F172" s="258">
        <f>([6]Consolidated!F172)*(1/0.79941)</f>
        <v/>
      </c>
      <c r="G172" s="258">
        <f>([6]Consolidated!G172)*(1/0.79941)</f>
        <v/>
      </c>
      <c r="H172" s="258">
        <f>([6]Consolidated!H172)*(1/0.79941)</f>
        <v/>
      </c>
      <c r="I172" s="258">
        <f>([6]Consolidated!I172)*(1/0.79941)</f>
        <v/>
      </c>
      <c r="J172" s="253">
        <f>([6]Consolidated!J172)*(1/0.79941)</f>
        <v/>
      </c>
      <c r="K172" s="185" t="n"/>
      <c r="L172" s="253">
        <f>([6]Consolidated!L172)*(1/0.79941)</f>
        <v/>
      </c>
      <c r="M172" s="258">
        <f>([6]Consolidated!M172)*(1/0.79941)</f>
        <v/>
      </c>
      <c r="N172" s="253">
        <f>([6]Consolidated!N172)*(1/0.79941)</f>
        <v/>
      </c>
    </row>
  </sheetData>
  <printOptions horizontalCentered="0" verticalCentered="0" headings="0" gridLines="0" gridLinesSet="1"/>
  <pageMargins left="0.747916666666667" right="0.747916666666667" top="0.9840277777777779" bottom="0.9840277777777779" header="0.511811023622047" footer="0.511811023622047"/>
  <pageSetup orientation="portrait" paperSize="9" scale="100" fitToHeight="1" fitToWidth="1" pageOrder="downThenOver" blackAndWhite="0" draft="0" horizontalDpi="300" verticalDpi="300" copies="1"/>
</worksheet>
</file>

<file path=xl/worksheets/sheet9.xml><?xml version="1.0" encoding="utf-8"?>
<worksheet xmlns="http://schemas.openxmlformats.org/spreadsheetml/2006/main">
  <sheetPr filterMode="0">
    <tabColor rgb="FF00FFFF"/>
    <outlinePr summaryBelow="1" summaryRight="1"/>
    <pageSetUpPr fitToPage="0"/>
  </sheetPr>
  <dimension ref="A1:T172"/>
  <sheetViews>
    <sheetView showFormulas="0" showGridLines="1" showRowColHeaders="1" showZeros="1" rightToLeft="0" tabSelected="0" showOutlineSymbols="1" defaultGridColor="1" view="normal" topLeftCell="B6" colorId="64" zoomScale="100" zoomScaleNormal="100" zoomScalePageLayoutView="100" workbookViewId="0">
      <selection pane="topLeft" activeCell="B6" activeCellId="0" sqref="B6"/>
    </sheetView>
  </sheetViews>
  <sheetFormatPr baseColWidth="8" defaultColWidth="9.13671875" defaultRowHeight="12.75" customHeight="1" zeroHeight="0" outlineLevelRow="0"/>
  <cols>
    <col hidden="1" width="26.13" customWidth="1" style="158" min="1" max="1"/>
    <col width="6.28" customWidth="1" style="158" min="2" max="2"/>
    <col width="27.56" customWidth="1" style="149" min="3" max="3"/>
    <col width="11.99" customWidth="1" style="149" min="4" max="7"/>
    <col width="12.85" customWidth="1" style="149" min="8" max="8"/>
    <col width="14.41" customWidth="1" style="149" min="9" max="9"/>
    <col width="11.99" customWidth="1" style="159" min="10" max="10"/>
    <col width="3.28" customWidth="1" style="160" min="11" max="11"/>
    <col width="12.85" customWidth="1" style="149" min="12" max="12"/>
    <col width="14.41" customWidth="1" style="149" min="13" max="13"/>
    <col width="13.56" customWidth="1" style="149" min="14" max="14"/>
    <col width="9.140000000000001" customWidth="1" style="149" min="15" max="257"/>
  </cols>
  <sheetData>
    <row r="1" ht="33" customHeight="1" s="150">
      <c r="C1" s="161" t="inlineStr">
        <is>
          <t>Germany (Wehr)</t>
        </is>
      </c>
    </row>
    <row r="2" ht="48.75" customHeight="1" s="150">
      <c r="C2" s="162" t="inlineStr">
        <is>
          <t>TOTAL COSTS 
(US$ excl. VAT)</t>
        </is>
      </c>
      <c r="D2" s="163">
        <f>[7]Consolidated!D2</f>
        <v/>
      </c>
      <c r="E2" s="163">
        <f>[7]Consolidated!E2</f>
        <v/>
      </c>
      <c r="F2" s="163">
        <f>[7]Consolidated!F2</f>
        <v/>
      </c>
      <c r="G2" s="163">
        <f>[7]Consolidated!G2</f>
        <v/>
      </c>
      <c r="H2" s="163">
        <f>[7]Consolidated!H2</f>
        <v/>
      </c>
      <c r="I2" s="163">
        <f>[7]Consolidated!I2</f>
        <v/>
      </c>
      <c r="J2" s="164">
        <f>[7]Consolidated!J2</f>
        <v/>
      </c>
      <c r="K2" s="165" t="n"/>
      <c r="L2" s="163">
        <f>[7]Consolidated!L2</f>
        <v/>
      </c>
      <c r="M2" s="166">
        <f>[7]Consolidated!M2</f>
        <v/>
      </c>
      <c r="N2" s="163">
        <f>[7]Consolidated!N2</f>
        <v/>
      </c>
    </row>
    <row r="3" ht="12.75" customHeight="1" s="150">
      <c r="A3" s="158" t="n"/>
      <c r="B3" s="158" t="n"/>
      <c r="C3" s="167" t="inlineStr">
        <is>
          <t>Internal FTE</t>
        </is>
      </c>
      <c r="D3" s="182">
        <f>[7]Consolidated!D3</f>
        <v/>
      </c>
      <c r="E3" s="182">
        <f>[7]Consolidated!E3</f>
        <v/>
      </c>
      <c r="F3" s="182">
        <f>[7]Consolidated!F3</f>
        <v/>
      </c>
      <c r="G3" s="182">
        <f>[7]Consolidated!G3</f>
        <v/>
      </c>
      <c r="H3" s="182">
        <f>[7]Consolidated!H3</f>
        <v/>
      </c>
      <c r="I3" s="182">
        <f>[7]Consolidated!I3</f>
        <v/>
      </c>
      <c r="J3" s="293" t="n"/>
      <c r="K3" s="185" t="n"/>
      <c r="L3" s="186">
        <f>[7]Consolidated!L3</f>
        <v/>
      </c>
      <c r="M3" s="182">
        <f>[7]Consolidated!M3</f>
        <v/>
      </c>
      <c r="N3" s="173" t="n"/>
    </row>
    <row r="4" ht="12.75" customHeight="1" s="150">
      <c r="A4" s="158" t="n"/>
      <c r="B4" s="158" t="n"/>
      <c r="C4" s="167" t="inlineStr">
        <is>
          <t>External FTE</t>
        </is>
      </c>
      <c r="D4" s="182">
        <f>[7]Consolidated!D4</f>
        <v/>
      </c>
      <c r="E4" s="182">
        <f>[7]Consolidated!E4</f>
        <v/>
      </c>
      <c r="F4" s="182">
        <f>[7]Consolidated!F4</f>
        <v/>
      </c>
      <c r="G4" s="182">
        <f>[7]Consolidated!G4</f>
        <v/>
      </c>
      <c r="H4" s="182">
        <f>[7]Consolidated!H4</f>
        <v/>
      </c>
      <c r="I4" s="183">
        <f>[7]Consolidated!I4</f>
        <v/>
      </c>
      <c r="J4" s="294" t="n"/>
      <c r="K4" s="185" t="n"/>
      <c r="L4" s="186">
        <f>[7]Consolidated!L4</f>
        <v/>
      </c>
      <c r="M4" s="182">
        <f>[7]Consolidated!M4</f>
        <v/>
      </c>
      <c r="N4" s="173" t="n"/>
    </row>
    <row r="5" ht="13.5" customHeight="1" s="150">
      <c r="A5" s="176" t="n"/>
      <c r="B5" s="176" t="n"/>
      <c r="C5" s="177" t="inlineStr">
        <is>
          <t>Total FTE</t>
        </is>
      </c>
      <c r="D5" s="188">
        <f>[7]Consolidated!D5</f>
        <v/>
      </c>
      <c r="E5" s="188">
        <f>[7]Consolidated!E5</f>
        <v/>
      </c>
      <c r="F5" s="188">
        <f>[7]Consolidated!F5</f>
        <v/>
      </c>
      <c r="G5" s="188">
        <f>[7]Consolidated!G5</f>
        <v/>
      </c>
      <c r="H5" s="188">
        <f>[7]Consolidated!H5</f>
        <v/>
      </c>
      <c r="I5" s="189">
        <f>[7]Consolidated!I5</f>
        <v/>
      </c>
      <c r="J5" s="295" t="n"/>
      <c r="K5" s="185" t="n"/>
      <c r="L5" s="181">
        <f>[7]Consolidated!L5</f>
        <v/>
      </c>
      <c r="M5" s="188">
        <f>[7]Consolidated!M5</f>
        <v/>
      </c>
      <c r="N5" s="181" t="n"/>
    </row>
    <row r="6" ht="12.75" customHeight="1" s="150">
      <c r="A6" s="158" t="n"/>
      <c r="B6" s="158" t="n"/>
      <c r="C6" s="167" t="n"/>
      <c r="D6" s="182" t="n"/>
      <c r="E6" s="182" t="n"/>
      <c r="F6" s="182" t="n"/>
      <c r="G6" s="182" t="n"/>
      <c r="H6" s="182" t="n"/>
      <c r="I6" s="183" t="n"/>
      <c r="J6" s="184" t="n"/>
      <c r="K6" s="185" t="n"/>
      <c r="L6" s="186" t="n"/>
      <c r="M6" s="182" t="n"/>
      <c r="N6" s="173" t="n"/>
    </row>
    <row r="7" ht="12.75" customHeight="1" s="150">
      <c r="A7" s="158" t="n"/>
      <c r="B7" s="158" t="n"/>
      <c r="C7" s="167" t="inlineStr">
        <is>
          <t>Salaries</t>
        </is>
      </c>
      <c r="D7" s="182">
        <f>(([7]Consolidated!D7)*1000)*(1/0.79941)</f>
        <v/>
      </c>
      <c r="E7" s="182">
        <f>(([7]Consolidated!E7)*1000)*(1/0.79941)</f>
        <v/>
      </c>
      <c r="F7" s="182">
        <f>(([7]Consolidated!F7)*1000)*(1/0.79941)</f>
        <v/>
      </c>
      <c r="G7" s="182">
        <f>(([7]Consolidated!G7)*1000)*(1/0.79941)</f>
        <v/>
      </c>
      <c r="H7" s="182">
        <f>(([7]Consolidated!H7)*1000)*(1/0.79941)</f>
        <v/>
      </c>
      <c r="I7" s="183">
        <f>(([7]Consolidated!I7)*1000)*(1/0.79941)</f>
        <v/>
      </c>
      <c r="J7" s="183">
        <f>(([7]Consolidated!J7)*1000)*(1/0.79941)</f>
        <v/>
      </c>
      <c r="K7" s="185" t="n"/>
      <c r="L7" s="186">
        <f>(([7]Consolidated!L7)*1000)*(1/0.79941)</f>
        <v/>
      </c>
      <c r="M7" s="182">
        <f>(([7]Consolidated!M7)*1000)*(1/0.79941)</f>
        <v/>
      </c>
      <c r="N7" s="173">
        <f>(([7]Consolidated!N7)*1000)*(1/0.79941)</f>
        <v/>
      </c>
      <c r="P7" s="149" t="n">
        <v>1000</v>
      </c>
      <c r="T7" s="194" t="n"/>
    </row>
    <row r="8" ht="12.75" customHeight="1" s="150">
      <c r="A8" s="158" t="n"/>
      <c r="B8" s="158" t="n"/>
      <c r="C8" s="167" t="inlineStr">
        <is>
          <t>Bonuses</t>
        </is>
      </c>
      <c r="D8" s="182">
        <f>(([7]Consolidated!D8)*1000)*(1/0.79941)</f>
        <v/>
      </c>
      <c r="E8" s="182">
        <f>(([7]Consolidated!E8)*1000)*(1/0.79941)</f>
        <v/>
      </c>
      <c r="F8" s="182">
        <f>(([7]Consolidated!F8)*1000)*(1/0.79941)</f>
        <v/>
      </c>
      <c r="G8" s="182">
        <f>(([7]Consolidated!G8)*1000)*(1/0.79941)</f>
        <v/>
      </c>
      <c r="H8" s="182">
        <f>(([7]Consolidated!H8)*1000)*(1/0.79941)</f>
        <v/>
      </c>
      <c r="I8" s="183">
        <f>(([7]Consolidated!I8)*1000)*(1/0.79941)</f>
        <v/>
      </c>
      <c r="J8" s="183">
        <f>(([7]Consolidated!J8)*1000)*(1/0.79941)</f>
        <v/>
      </c>
      <c r="K8" s="185" t="n"/>
      <c r="L8" s="186">
        <f>(([7]Consolidated!L8)*1000)*(1/0.79941)</f>
        <v/>
      </c>
      <c r="M8" s="182">
        <f>(([7]Consolidated!M8)*1000)*(1/0.79941)</f>
        <v/>
      </c>
      <c r="N8" s="173">
        <f>(([7]Consolidated!N8)*1000)*(1/0.79941)</f>
        <v/>
      </c>
      <c r="P8" s="149">
        <f>1/0.79941</f>
        <v/>
      </c>
      <c r="Q8" s="149" t="inlineStr">
        <is>
          <t>Euro to Dollar Rate</t>
        </is>
      </c>
    </row>
    <row r="9" ht="12.75" customHeight="1" s="150">
      <c r="A9" s="158" t="n"/>
      <c r="B9" s="158" t="n"/>
      <c r="C9" s="167" t="inlineStr">
        <is>
          <t>Third party staff, ex IT</t>
        </is>
      </c>
      <c r="D9" s="182">
        <f>(([7]Consolidated!D9)*1000)*(1/0.79941)</f>
        <v/>
      </c>
      <c r="E9" s="182">
        <f>(([7]Consolidated!E9)*1000)*(1/0.79941)</f>
        <v/>
      </c>
      <c r="F9" s="182">
        <f>(([7]Consolidated!F9)*1000)*(1/0.79941)</f>
        <v/>
      </c>
      <c r="G9" s="182">
        <f>(([7]Consolidated!G9)*1000)*(1/0.79941)</f>
        <v/>
      </c>
      <c r="H9" s="182">
        <f>(([7]Consolidated!H9)*1000)*(1/0.79941)</f>
        <v/>
      </c>
      <c r="I9" s="183">
        <f>(([7]Consolidated!I9)*1000)*(1/0.79941)</f>
        <v/>
      </c>
      <c r="J9" s="183">
        <f>(([7]Consolidated!J9)*1000)*(1/0.79941)</f>
        <v/>
      </c>
      <c r="K9" s="185" t="n"/>
      <c r="L9" s="186">
        <f>(([7]Consolidated!L9)*1000)*(1/0.79941)</f>
        <v/>
      </c>
      <c r="M9" s="182">
        <f>(([7]Consolidated!M9)*1000)*(1/0.79941)</f>
        <v/>
      </c>
      <c r="N9" s="173">
        <f>(([7]Consolidated!N9)*1000)*(1/0.79941)</f>
        <v/>
      </c>
    </row>
    <row r="10" ht="12.75" customHeight="1" s="150">
      <c r="A10" s="158" t="n"/>
      <c r="B10" s="158" t="n"/>
      <c r="C10" s="167" t="inlineStr">
        <is>
          <t>Third party IT staff</t>
        </is>
      </c>
      <c r="D10" s="182">
        <f>(([7]Consolidated!D10)*1000)*(1/0.79941)</f>
        <v/>
      </c>
      <c r="E10" s="182">
        <f>(([7]Consolidated!E10)*1000)*(1/0.79941)</f>
        <v/>
      </c>
      <c r="F10" s="182">
        <f>(([7]Consolidated!F10)*1000)*(1/0.79941)</f>
        <v/>
      </c>
      <c r="G10" s="182">
        <f>(([7]Consolidated!G10)*1000)*(1/0.79941)</f>
        <v/>
      </c>
      <c r="H10" s="182">
        <f>(([7]Consolidated!H10)*1000)*(1/0.79941)</f>
        <v/>
      </c>
      <c r="I10" s="183">
        <f>(([7]Consolidated!I10)*1000)*(1/0.79941)</f>
        <v/>
      </c>
      <c r="J10" s="183">
        <f>(([7]Consolidated!J10)*1000)*(1/0.79941)</f>
        <v/>
      </c>
      <c r="K10" s="185" t="n"/>
      <c r="L10" s="186">
        <f>(([7]Consolidated!L10)*1000)*(1/0.79941)</f>
        <v/>
      </c>
      <c r="M10" s="182">
        <f>(([7]Consolidated!M10)*1000)*(1/0.79941)</f>
        <v/>
      </c>
      <c r="N10" s="173">
        <f>(([7]Consolidated!N10)*1000)*(1/0.79941)</f>
        <v/>
      </c>
    </row>
    <row r="11" ht="12.75" customHeight="1" s="150">
      <c r="A11" s="158" t="n"/>
      <c r="B11" s="158" t="n"/>
      <c r="C11" s="167" t="inlineStr">
        <is>
          <t>Employee education</t>
        </is>
      </c>
      <c r="D11" s="182">
        <f>(([7]Consolidated!D11)*1000)*(1/0.79941)</f>
        <v/>
      </c>
      <c r="E11" s="182">
        <f>(([7]Consolidated!E11)*1000)*(1/0.79941)</f>
        <v/>
      </c>
      <c r="F11" s="182">
        <f>(([7]Consolidated!F11)*1000)*(1/0.79941)</f>
        <v/>
      </c>
      <c r="G11" s="182">
        <f>(([7]Consolidated!G11)*1000)*(1/0.79941)</f>
        <v/>
      </c>
      <c r="H11" s="182">
        <f>(([7]Consolidated!H11)*1000)*(1/0.79941)</f>
        <v/>
      </c>
      <c r="I11" s="183">
        <f>(([7]Consolidated!I11)*1000)*(1/0.79941)</f>
        <v/>
      </c>
      <c r="J11" s="183">
        <f>(([7]Consolidated!J11)*1000)*(1/0.79941)</f>
        <v/>
      </c>
      <c r="K11" s="185" t="n"/>
      <c r="L11" s="186">
        <f>(([7]Consolidated!L11)*1000)*(1/0.79941)</f>
        <v/>
      </c>
      <c r="M11" s="182">
        <f>(([7]Consolidated!M11)*1000)*(1/0.79941)</f>
        <v/>
      </c>
      <c r="N11" s="173">
        <f>(([7]Consolidated!N11)*1000)*(1/0.79941)</f>
        <v/>
      </c>
    </row>
    <row r="12" ht="12.75" customHeight="1" s="150">
      <c r="A12" s="158" t="n"/>
      <c r="B12" s="158" t="n"/>
      <c r="C12" s="167" t="inlineStr">
        <is>
          <t>Other staff expenses</t>
        </is>
      </c>
      <c r="D12" s="182">
        <f>(([7]Consolidated!D12)*1000)*(1/0.79941)</f>
        <v/>
      </c>
      <c r="E12" s="182">
        <f>(([7]Consolidated!E12)*1000)*(1/0.79941)</f>
        <v/>
      </c>
      <c r="F12" s="182">
        <f>(([7]Consolidated!F12)*1000)*(1/0.79941)</f>
        <v/>
      </c>
      <c r="G12" s="182">
        <f>(([7]Consolidated!G12)*1000)*(1/0.79941)</f>
        <v/>
      </c>
      <c r="H12" s="182">
        <f>(([7]Consolidated!H12)*1000)*(1/0.79941)</f>
        <v/>
      </c>
      <c r="I12" s="187">
        <f>(([7]Consolidated!I12)*1000)*(1/0.79941)</f>
        <v/>
      </c>
      <c r="J12" s="187">
        <f>(([7]Consolidated!J12)*1000)*(1/0.79941)</f>
        <v/>
      </c>
      <c r="K12" s="185" t="n"/>
      <c r="L12" s="186">
        <f>(([7]Consolidated!L12)*1000)*(1/0.79941)</f>
        <v/>
      </c>
      <c r="M12" s="182">
        <f>(([7]Consolidated!M12)*1000)*(1/0.79941)</f>
        <v/>
      </c>
      <c r="N12" s="173">
        <f>(([7]Consolidated!N12)*1000)*(1/0.79941)</f>
        <v/>
      </c>
    </row>
    <row r="13" ht="13.5" customHeight="1" s="150">
      <c r="A13" s="176" t="n"/>
      <c r="B13" s="176" t="n"/>
      <c r="C13" s="177" t="inlineStr">
        <is>
          <t>Staff expenses</t>
        </is>
      </c>
      <c r="D13" s="188">
        <f>(([7]Consolidated!D13)*1000)*(1/0.79941)</f>
        <v/>
      </c>
      <c r="E13" s="188">
        <f>(([7]Consolidated!E13)*1000)*(1/0.79941)</f>
        <v/>
      </c>
      <c r="F13" s="188">
        <f>(([7]Consolidated!F13)*1000)*(1/0.79941)</f>
        <v/>
      </c>
      <c r="G13" s="188">
        <f>(([7]Consolidated!G13)*1000)*(1/0.79941)</f>
        <v/>
      </c>
      <c r="H13" s="188">
        <f>(([7]Consolidated!H13)*1000)*(1/0.79941)</f>
        <v/>
      </c>
      <c r="I13" s="189">
        <f>(([7]Consolidated!I13)*1000)*(1/0.79941)</f>
        <v/>
      </c>
      <c r="J13" s="189">
        <f>(([7]Consolidated!J13)*1000)*(1/0.79941)</f>
        <v/>
      </c>
      <c r="K13" s="185" t="n"/>
      <c r="L13" s="181">
        <f>(([7]Consolidated!L13)*1000)*(1/0.79941)</f>
        <v/>
      </c>
      <c r="M13" s="188">
        <f>(([7]Consolidated!M13)*1000)*(1/0.79941)</f>
        <v/>
      </c>
      <c r="N13" s="181">
        <f>(([7]Consolidated!N13)*1000)*(1/0.79941)</f>
        <v/>
      </c>
    </row>
    <row r="14" ht="12.75" customHeight="1" s="150">
      <c r="A14" s="158" t="n"/>
      <c r="B14" s="158" t="n"/>
      <c r="C14" s="167" t="inlineStr">
        <is>
          <t>Hardware expenses</t>
        </is>
      </c>
      <c r="D14" s="182">
        <f>(([7]Consolidated!D14)*1000)*(1/0.79941)</f>
        <v/>
      </c>
      <c r="E14" s="182">
        <f>(([7]Consolidated!E14)*1000)*(1/0.79941)</f>
        <v/>
      </c>
      <c r="F14" s="182">
        <f>(([7]Consolidated!F14)*1000)*(1/0.79941)</f>
        <v/>
      </c>
      <c r="G14" s="182">
        <f>(([7]Consolidated!G14)*1000)*(1/0.79941)</f>
        <v/>
      </c>
      <c r="H14" s="182">
        <f>(([7]Consolidated!H14)*1000)*(1/0.79941)</f>
        <v/>
      </c>
      <c r="I14" s="183">
        <f>(([7]Consolidated!I14)*1000)*(1/0.79941)</f>
        <v/>
      </c>
      <c r="J14" s="183">
        <f>(([7]Consolidated!J14)*1000)*(1/0.79941)</f>
        <v/>
      </c>
      <c r="K14" s="185" t="n"/>
      <c r="L14" s="186">
        <f>(([7]Consolidated!L14)*1000)*(1/0.79941)</f>
        <v/>
      </c>
      <c r="M14" s="182">
        <f>(([7]Consolidated!M14)*1000)*(1/0.79941)</f>
        <v/>
      </c>
      <c r="N14" s="173">
        <f>(([7]Consolidated!N14)*1000)*(1/0.79941)</f>
        <v/>
      </c>
    </row>
    <row r="15" ht="12.75" customHeight="1" s="150">
      <c r="A15" s="158" t="n"/>
      <c r="B15" s="158" t="n"/>
      <c r="C15" s="167" t="inlineStr">
        <is>
          <t>Leasing/renting hardware</t>
        </is>
      </c>
      <c r="D15" s="182">
        <f>(([7]Consolidated!D15)*1000)*(1/0.79941)</f>
        <v/>
      </c>
      <c r="E15" s="182">
        <f>(([7]Consolidated!E15)*1000)*(1/0.79941)</f>
        <v/>
      </c>
      <c r="F15" s="182">
        <f>(([7]Consolidated!F15)*1000)*(1/0.79941)</f>
        <v/>
      </c>
      <c r="G15" s="182">
        <f>(([7]Consolidated!G15)*1000)*(1/0.79941)</f>
        <v/>
      </c>
      <c r="H15" s="182">
        <f>(([7]Consolidated!H15)*1000)*(1/0.79941)</f>
        <v/>
      </c>
      <c r="I15" s="183">
        <f>(([7]Consolidated!I15)*1000)*(1/0.79941)</f>
        <v/>
      </c>
      <c r="J15" s="183">
        <f>(([7]Consolidated!J15)*1000)*(1/0.79941)</f>
        <v/>
      </c>
      <c r="K15" s="185" t="n"/>
      <c r="L15" s="186">
        <f>(([7]Consolidated!L15)*1000)*(1/0.79941)</f>
        <v/>
      </c>
      <c r="M15" s="182">
        <f>(([7]Consolidated!M15)*1000)*(1/0.79941)</f>
        <v/>
      </c>
      <c r="N15" s="173">
        <f>(([7]Consolidated!N15)*1000)*(1/0.79941)</f>
        <v/>
      </c>
    </row>
    <row r="16" ht="12.75" customHeight="1" s="150">
      <c r="A16" s="158" t="n"/>
      <c r="B16" s="158" t="n"/>
      <c r="C16" s="167" t="inlineStr">
        <is>
          <t>Software expenses</t>
        </is>
      </c>
      <c r="D16" s="182">
        <f>(([7]Consolidated!D16)*1000)*(1/0.79941)</f>
        <v/>
      </c>
      <c r="E16" s="182">
        <f>(([7]Consolidated!E16)*1000)*(1/0.79941)</f>
        <v/>
      </c>
      <c r="F16" s="182">
        <f>(([7]Consolidated!F16)*1000)*(1/0.79941)</f>
        <v/>
      </c>
      <c r="G16" s="182">
        <f>(([7]Consolidated!G16)*1000)*(1/0.79941)</f>
        <v/>
      </c>
      <c r="H16" s="182">
        <f>(([7]Consolidated!H16)*1000)*(1/0.79941)</f>
        <v/>
      </c>
      <c r="I16" s="183">
        <f>(([7]Consolidated!I16)*1000)*(1/0.79941)</f>
        <v/>
      </c>
      <c r="J16" s="183">
        <f>(([7]Consolidated!J16)*1000)*(1/0.79941)</f>
        <v/>
      </c>
      <c r="K16" s="185" t="n"/>
      <c r="L16" s="186">
        <f>(([7]Consolidated!L16)*1000)*(1/0.79941)</f>
        <v/>
      </c>
      <c r="M16" s="182">
        <f>(([7]Consolidated!M16)*1000)*(1/0.79941)</f>
        <v/>
      </c>
      <c r="N16" s="173">
        <f>(([7]Consolidated!N16)*1000)*(1/0.79941)</f>
        <v/>
      </c>
    </row>
    <row r="17" ht="12.75" customHeight="1" s="150">
      <c r="A17" s="158" t="n"/>
      <c r="B17" s="158" t="n"/>
      <c r="C17" s="167" t="inlineStr">
        <is>
          <t>Leasing/renting/licenses sw</t>
        </is>
      </c>
      <c r="D17" s="182">
        <f>(([7]Consolidated!D17)*1000)*(1/0.79941)</f>
        <v/>
      </c>
      <c r="E17" s="182">
        <f>(([7]Consolidated!E17)*1000)*(1/0.79941)</f>
        <v/>
      </c>
      <c r="F17" s="182">
        <f>(([7]Consolidated!F17)*1000)*(1/0.79941)</f>
        <v/>
      </c>
      <c r="G17" s="182">
        <f>(([7]Consolidated!G17)*1000)*(1/0.79941)</f>
        <v/>
      </c>
      <c r="H17" s="182">
        <f>(([7]Consolidated!H17)*1000)*(1/0.79941)</f>
        <v/>
      </c>
      <c r="I17" s="183">
        <f>(([7]Consolidated!I17)*1000)*(1/0.79941)</f>
        <v/>
      </c>
      <c r="J17" s="183">
        <f>(([7]Consolidated!J17)*1000)*(1/0.79941)</f>
        <v/>
      </c>
      <c r="K17" s="185" t="n"/>
      <c r="L17" s="186">
        <f>(([7]Consolidated!L17)*1000)*(1/0.79941)</f>
        <v/>
      </c>
      <c r="M17" s="182">
        <f>(([7]Consolidated!M17)*1000)*(1/0.79941)</f>
        <v/>
      </c>
      <c r="N17" s="173">
        <f>(([7]Consolidated!N17)*1000)*(1/0.79941)</f>
        <v/>
      </c>
    </row>
    <row r="18" ht="12.75" customHeight="1" s="150">
      <c r="A18" s="158" t="n"/>
      <c r="B18" s="158" t="n"/>
      <c r="C18" s="167" t="inlineStr">
        <is>
          <t>Depreciation hardware</t>
        </is>
      </c>
      <c r="D18" s="182">
        <f>(([7]Consolidated!D18)*1000)*(1/0.79941)</f>
        <v/>
      </c>
      <c r="E18" s="182">
        <f>(([7]Consolidated!E18)*1000)*(1/0.79941)</f>
        <v/>
      </c>
      <c r="F18" s="182">
        <f>(([7]Consolidated!F18)*1000)*(1/0.79941)</f>
        <v/>
      </c>
      <c r="G18" s="182">
        <f>(([7]Consolidated!G18)*1000)*(1/0.79941)</f>
        <v/>
      </c>
      <c r="H18" s="182">
        <f>(([7]Consolidated!H18)*1000)*(1/0.79941)</f>
        <v/>
      </c>
      <c r="I18" s="183">
        <f>(([7]Consolidated!I18)*1000)*(1/0.79941)</f>
        <v/>
      </c>
      <c r="J18" s="183">
        <f>(([7]Consolidated!J18)*1000)*(1/0.79941)</f>
        <v/>
      </c>
      <c r="K18" s="185" t="n"/>
      <c r="L18" s="186">
        <f>(([7]Consolidated!L18)*1000)*(1/0.79941)</f>
        <v/>
      </c>
      <c r="M18" s="182">
        <f>(([7]Consolidated!M18)*1000)*(1/0.79941)</f>
        <v/>
      </c>
      <c r="N18" s="173">
        <f>(([7]Consolidated!N18)*1000)*(1/0.79941)</f>
        <v/>
      </c>
    </row>
    <row r="19" ht="12.75" customHeight="1" s="150">
      <c r="A19" s="158" t="n"/>
      <c r="B19" s="158" t="n"/>
      <c r="C19" s="167" t="inlineStr">
        <is>
          <t>Depreciation software</t>
        </is>
      </c>
      <c r="D19" s="182">
        <f>(([7]Consolidated!D19)*1000)*(1/0.79941)</f>
        <v/>
      </c>
      <c r="E19" s="182">
        <f>(([7]Consolidated!E19)*1000)*(1/0.79941)</f>
        <v/>
      </c>
      <c r="F19" s="182">
        <f>(([7]Consolidated!F19)*1000)*(1/0.79941)</f>
        <v/>
      </c>
      <c r="G19" s="182">
        <f>(([7]Consolidated!G19)*1000)*(1/0.79941)</f>
        <v/>
      </c>
      <c r="H19" s="182">
        <f>(([7]Consolidated!H19)*1000)*(1/0.79941)</f>
        <v/>
      </c>
      <c r="I19" s="183">
        <f>(([7]Consolidated!I19)*1000)*(1/0.79941)</f>
        <v/>
      </c>
      <c r="J19" s="183">
        <f>(([7]Consolidated!J19)*1000)*(1/0.79941)</f>
        <v/>
      </c>
      <c r="K19" s="185" t="n"/>
      <c r="L19" s="186">
        <f>(([7]Consolidated!L19)*1000)*(1/0.79941)</f>
        <v/>
      </c>
      <c r="M19" s="182">
        <f>(([7]Consolidated!M19)*1000)*(1/0.79941)</f>
        <v/>
      </c>
      <c r="N19" s="173">
        <f>(([7]Consolidated!N19)*1000)*(1/0.79941)</f>
        <v/>
      </c>
    </row>
    <row r="20" ht="12.75" customHeight="1" s="150">
      <c r="A20" s="158" t="n"/>
      <c r="B20" s="158" t="n"/>
      <c r="C20" s="167" t="inlineStr">
        <is>
          <t>Outsourcing IT activities</t>
        </is>
      </c>
      <c r="D20" s="182">
        <f>(([7]Consolidated!D20)*1000)*(1/0.79941)</f>
        <v/>
      </c>
      <c r="E20" s="182">
        <f>(([7]Consolidated!E20)*1000)*(1/0.79941)</f>
        <v/>
      </c>
      <c r="F20" s="182">
        <f>(([7]Consolidated!F20)*1000)*(1/0.79941)</f>
        <v/>
      </c>
      <c r="G20" s="182">
        <f>(([7]Consolidated!G20)*1000)*(1/0.79941)</f>
        <v/>
      </c>
      <c r="H20" s="182">
        <f>(([7]Consolidated!H20)*1000)*(1/0.79941)</f>
        <v/>
      </c>
      <c r="I20" s="183">
        <f>(([7]Consolidated!I20)*1000)*(1/0.79941)</f>
        <v/>
      </c>
      <c r="J20" s="183">
        <f>(([7]Consolidated!J20)*1000)*(1/0.79941)</f>
        <v/>
      </c>
      <c r="K20" s="185" t="n"/>
      <c r="L20" s="186">
        <f>(([7]Consolidated!L20)*1000)*(1/0.79941)</f>
        <v/>
      </c>
      <c r="M20" s="182">
        <f>(([7]Consolidated!M20)*1000)*(1/0.79941)</f>
        <v/>
      </c>
      <c r="N20" s="173">
        <f>(([7]Consolidated!N20)*1000)*(1/0.79941)</f>
        <v/>
      </c>
    </row>
    <row r="21" ht="12.75" customHeight="1" s="150">
      <c r="A21" s="158" t="n"/>
      <c r="B21" s="158" t="n"/>
      <c r="C21" s="167" t="inlineStr">
        <is>
          <t>Other IT expenses</t>
        </is>
      </c>
      <c r="D21" s="182">
        <f>(([7]Consolidated!D21)*1000)*(1/0.79941)</f>
        <v/>
      </c>
      <c r="E21" s="182">
        <f>(([7]Consolidated!E21)*1000)*(1/0.79941)</f>
        <v/>
      </c>
      <c r="F21" s="182">
        <f>(([7]Consolidated!F21)*1000)*(1/0.79941)</f>
        <v/>
      </c>
      <c r="G21" s="182">
        <f>(([7]Consolidated!G21)*1000)*(1/0.79941)</f>
        <v/>
      </c>
      <c r="H21" s="182">
        <f>(([7]Consolidated!H21)*1000)*(1/0.79941)</f>
        <v/>
      </c>
      <c r="I21" s="183">
        <f>(([7]Consolidated!I21)*1000)*(1/0.79941)</f>
        <v/>
      </c>
      <c r="J21" s="183">
        <f>(([7]Consolidated!J21)*1000)*(1/0.79941)</f>
        <v/>
      </c>
      <c r="K21" s="185" t="n"/>
      <c r="L21" s="186">
        <f>(([7]Consolidated!L21)*1000)*(1/0.79941)</f>
        <v/>
      </c>
      <c r="M21" s="182">
        <f>(([7]Consolidated!M21)*1000)*(1/0.79941)</f>
        <v/>
      </c>
      <c r="N21" s="173">
        <f>(([7]Consolidated!N21)*1000)*(1/0.79941)</f>
        <v/>
      </c>
    </row>
    <row r="22" ht="13.5" customHeight="1" s="150">
      <c r="A22" s="176" t="n"/>
      <c r="B22" s="176" t="n"/>
      <c r="C22" s="177" t="inlineStr">
        <is>
          <t>EDP expenses</t>
        </is>
      </c>
      <c r="D22" s="188">
        <f>(([7]Consolidated!D22)*1000)*(1/0.79941)</f>
        <v/>
      </c>
      <c r="E22" s="188">
        <f>(([7]Consolidated!E22)*1000)*(1/0.79941)</f>
        <v/>
      </c>
      <c r="F22" s="188">
        <f>(([7]Consolidated!F22)*1000)*(1/0.79941)</f>
        <v/>
      </c>
      <c r="G22" s="188">
        <f>(([7]Consolidated!G22)*1000)*(1/0.79941)</f>
        <v/>
      </c>
      <c r="H22" s="188">
        <f>(([7]Consolidated!H22)*1000)*(1/0.79941)</f>
        <v/>
      </c>
      <c r="I22" s="189">
        <f>(([7]Consolidated!I22)*1000)*(1/0.79941)</f>
        <v/>
      </c>
      <c r="J22" s="189">
        <f>(([7]Consolidated!J22)*1000)*(1/0.79941)</f>
        <v/>
      </c>
      <c r="K22" s="185" t="n"/>
      <c r="L22" s="181">
        <f>(([7]Consolidated!L22)*1000)*(1/0.79941)</f>
        <v/>
      </c>
      <c r="M22" s="188">
        <f>(([7]Consolidated!M22)*1000)*(1/0.79941)</f>
        <v/>
      </c>
      <c r="N22" s="181">
        <f>(([7]Consolidated!N22)*1000)*(1/0.79941)</f>
        <v/>
      </c>
    </row>
    <row r="23" ht="12.75" customHeight="1" s="150">
      <c r="A23" s="158" t="n"/>
      <c r="B23" s="158" t="n"/>
      <c r="C23" s="167" t="inlineStr">
        <is>
          <t>Telecom expenses</t>
        </is>
      </c>
      <c r="D23" s="182">
        <f>(([7]Consolidated!D23)*1000)*(1/0.79941)</f>
        <v/>
      </c>
      <c r="E23" s="182">
        <f>(([7]Consolidated!E23)*1000)*(1/0.79941)</f>
        <v/>
      </c>
      <c r="F23" s="182">
        <f>(([7]Consolidated!F23)*1000)*(1/0.79941)</f>
        <v/>
      </c>
      <c r="G23" s="182">
        <f>(([7]Consolidated!G23)*1000)*(1/0.79941)</f>
        <v/>
      </c>
      <c r="H23" s="182">
        <f>(([7]Consolidated!H23)*1000)*(1/0.79941)</f>
        <v/>
      </c>
      <c r="I23" s="183">
        <f>(([7]Consolidated!I23)*1000)*(1/0.79941)</f>
        <v/>
      </c>
      <c r="J23" s="183">
        <f>(([7]Consolidated!J23)*1000)*(1/0.79941)</f>
        <v/>
      </c>
      <c r="K23" s="185" t="n"/>
      <c r="L23" s="186">
        <f>(([7]Consolidated!L23)*1000)*(1/0.79941)</f>
        <v/>
      </c>
      <c r="M23" s="182">
        <f>(([7]Consolidated!M23)*1000)*(1/0.79941)</f>
        <v/>
      </c>
      <c r="N23" s="173">
        <f>(([7]Consolidated!N23)*1000)*(1/0.79941)</f>
        <v/>
      </c>
    </row>
    <row r="24" ht="12.75" customHeight="1" s="150">
      <c r="A24" s="158" t="n"/>
      <c r="B24" s="158" t="n"/>
      <c r="C24" s="167" t="inlineStr">
        <is>
          <t>Office equipment and supplies</t>
        </is>
      </c>
      <c r="D24" s="182">
        <f>(([7]Consolidated!D24)*1000)*(1/0.79941)</f>
        <v/>
      </c>
      <c r="E24" s="182">
        <f>(([7]Consolidated!E24)*1000)*(1/0.79941)</f>
        <v/>
      </c>
      <c r="F24" s="182">
        <f>(([7]Consolidated!F24)*1000)*(1/0.79941)</f>
        <v/>
      </c>
      <c r="G24" s="182">
        <f>(([7]Consolidated!G24)*1000)*(1/0.79941)</f>
        <v/>
      </c>
      <c r="H24" s="182">
        <f>(([7]Consolidated!H24)*1000)*(1/0.79941)</f>
        <v/>
      </c>
      <c r="I24" s="183">
        <f>(([7]Consolidated!I24)*1000)*(1/0.79941)</f>
        <v/>
      </c>
      <c r="J24" s="183">
        <f>(([7]Consolidated!J24)*1000)*(1/0.79941)</f>
        <v/>
      </c>
      <c r="K24" s="185" t="n"/>
      <c r="L24" s="186">
        <f>(([7]Consolidated!L24)*1000)*(1/0.79941)</f>
        <v/>
      </c>
      <c r="M24" s="182">
        <f>(([7]Consolidated!M24)*1000)*(1/0.79941)</f>
        <v/>
      </c>
      <c r="N24" s="173">
        <f>(([7]Consolidated!N24)*1000)*(1/0.79941)</f>
        <v/>
      </c>
    </row>
    <row r="25" ht="12.75" customHeight="1" s="150">
      <c r="A25" s="158" t="n"/>
      <c r="B25" s="158" t="n"/>
      <c r="C25" s="167" t="inlineStr">
        <is>
          <t>Accomodation expenses</t>
        </is>
      </c>
      <c r="D25" s="182">
        <f>(([7]Consolidated!D25)*1000)*(1/0.79941)</f>
        <v/>
      </c>
      <c r="E25" s="182">
        <f>(([7]Consolidated!E25)*1000)*(1/0.79941)</f>
        <v/>
      </c>
      <c r="F25" s="182">
        <f>(([7]Consolidated!F25)*1000)*(1/0.79941)</f>
        <v/>
      </c>
      <c r="G25" s="182">
        <f>(([7]Consolidated!G25)*1000)*(1/0.79941)</f>
        <v/>
      </c>
      <c r="H25" s="182">
        <f>(([7]Consolidated!H25)*1000)*(1/0.79941)</f>
        <v/>
      </c>
      <c r="I25" s="183">
        <f>(([7]Consolidated!I25)*1000)*(1/0.79941)</f>
        <v/>
      </c>
      <c r="J25" s="183">
        <f>(([7]Consolidated!J25)*1000)*(1/0.79941)</f>
        <v/>
      </c>
      <c r="K25" s="185" t="n"/>
      <c r="L25" s="186">
        <f>(([7]Consolidated!L25)*1000)*(1/0.79941)</f>
        <v/>
      </c>
      <c r="M25" s="182">
        <f>(([7]Consolidated!M25)*1000)*(1/0.79941)</f>
        <v/>
      </c>
      <c r="N25" s="173">
        <f>(([7]Consolidated!N25)*1000)*(1/0.79941)</f>
        <v/>
      </c>
    </row>
    <row r="26" ht="12.75" customHeight="1" s="150">
      <c r="A26" s="158" t="n"/>
      <c r="B26" s="158" t="n"/>
      <c r="C26" s="167" t="inlineStr">
        <is>
          <t>Travel costs</t>
        </is>
      </c>
      <c r="D26" s="182">
        <f>(([7]Consolidated!D26)*1000)*(1/0.79941)</f>
        <v/>
      </c>
      <c r="E26" s="182">
        <f>(([7]Consolidated!E26)*1000)*(1/0.79941)</f>
        <v/>
      </c>
      <c r="F26" s="182">
        <f>(([7]Consolidated!F26)*1000)*(1/0.79941)</f>
        <v/>
      </c>
      <c r="G26" s="182">
        <f>(([7]Consolidated!G26)*1000)*(1/0.79941)</f>
        <v/>
      </c>
      <c r="H26" s="182">
        <f>(([7]Consolidated!H26)*1000)*(1/0.79941)</f>
        <v/>
      </c>
      <c r="I26" s="183">
        <f>(([7]Consolidated!I26)*1000)*(1/0.79941)</f>
        <v/>
      </c>
      <c r="J26" s="183">
        <f>(([7]Consolidated!J26)*1000)*(1/0.79941)</f>
        <v/>
      </c>
      <c r="K26" s="185" t="n"/>
      <c r="L26" s="186">
        <f>(([7]Consolidated!L26)*1000)*(1/0.79941)</f>
        <v/>
      </c>
      <c r="M26" s="182">
        <f>(([7]Consolidated!M26)*1000)*(1/0.79941)</f>
        <v/>
      </c>
      <c r="N26" s="173">
        <f>(([7]Consolidated!N26)*1000)*(1/0.79941)</f>
        <v/>
      </c>
    </row>
    <row r="27" ht="12.75" customHeight="1" s="150">
      <c r="A27" s="158" t="n"/>
      <c r="B27" s="158" t="n"/>
      <c r="C27" s="167" t="inlineStr">
        <is>
          <t>Postal and freight charges</t>
        </is>
      </c>
      <c r="D27" s="182">
        <f>(([7]Consolidated!D27)*1000)*(1/0.79941)</f>
        <v/>
      </c>
      <c r="E27" s="182">
        <f>(([7]Consolidated!E27)*1000)*(1/0.79941)</f>
        <v/>
      </c>
      <c r="F27" s="182">
        <f>(([7]Consolidated!F27)*1000)*(1/0.79941)</f>
        <v/>
      </c>
      <c r="G27" s="182">
        <f>(([7]Consolidated!G27)*1000)*(1/0.79941)</f>
        <v/>
      </c>
      <c r="H27" s="182">
        <f>(([7]Consolidated!H27)*1000)*(1/0.79941)</f>
        <v/>
      </c>
      <c r="I27" s="183">
        <f>(([7]Consolidated!I27)*1000)*(1/0.79941)</f>
        <v/>
      </c>
      <c r="J27" s="183">
        <f>(([7]Consolidated!J27)*1000)*(1/0.79941)</f>
        <v/>
      </c>
      <c r="K27" s="185" t="n"/>
      <c r="L27" s="186">
        <f>(([7]Consolidated!L27)*1000)*(1/0.79941)</f>
        <v/>
      </c>
      <c r="M27" s="182">
        <f>(([7]Consolidated!M27)*1000)*(1/0.79941)</f>
        <v/>
      </c>
      <c r="N27" s="173">
        <f>(([7]Consolidated!N27)*1000)*(1/0.79941)</f>
        <v/>
      </c>
    </row>
    <row r="28" ht="12.75" customHeight="1" s="150">
      <c r="A28" s="158" t="n"/>
      <c r="B28" s="158" t="n"/>
      <c r="C28" s="167" t="inlineStr">
        <is>
          <t>Prof serv and ext advisory fee</t>
        </is>
      </c>
      <c r="D28" s="182">
        <f>(([7]Consolidated!D28)*1000)*(1/0.79941)</f>
        <v/>
      </c>
      <c r="E28" s="182">
        <f>(([7]Consolidated!E28)*1000)*(1/0.79941)</f>
        <v/>
      </c>
      <c r="F28" s="182">
        <f>(([7]Consolidated!F28)*1000)*(1/0.79941)</f>
        <v/>
      </c>
      <c r="G28" s="182">
        <f>(([7]Consolidated!G28)*1000)*(1/0.79941)</f>
        <v/>
      </c>
      <c r="H28" s="182">
        <f>(([7]Consolidated!H28)*1000)*(1/0.79941)</f>
        <v/>
      </c>
      <c r="I28" s="183">
        <f>(([7]Consolidated!I28)*1000)*(1/0.79941)</f>
        <v/>
      </c>
      <c r="J28" s="183">
        <f>(([7]Consolidated!J28)*1000)*(1/0.79941)</f>
        <v/>
      </c>
      <c r="K28" s="185" t="n"/>
      <c r="L28" s="186">
        <f>(([7]Consolidated!L28)*1000)*(1/0.79941)</f>
        <v/>
      </c>
      <c r="M28" s="182">
        <f>(([7]Consolidated!M28)*1000)*(1/0.79941)</f>
        <v/>
      </c>
      <c r="N28" s="173">
        <f>(([7]Consolidated!N28)*1000)*(1/0.79941)</f>
        <v/>
      </c>
    </row>
    <row r="29" ht="12.75" customHeight="1" s="150">
      <c r="A29" s="158" t="n"/>
      <c r="B29" s="158" t="n"/>
      <c r="C29" s="167" t="inlineStr">
        <is>
          <t>Payment transfer expenses</t>
        </is>
      </c>
      <c r="D29" s="182">
        <f>(([7]Consolidated!D29)*1000)*(1/0.79941)</f>
        <v/>
      </c>
      <c r="E29" s="182">
        <f>(([7]Consolidated!E29)*1000)*(1/0.79941)</f>
        <v/>
      </c>
      <c r="F29" s="182">
        <f>(([7]Consolidated!F29)*1000)*(1/0.79941)</f>
        <v/>
      </c>
      <c r="G29" s="182">
        <f>(([7]Consolidated!G29)*1000)*(1/0.79941)</f>
        <v/>
      </c>
      <c r="H29" s="182">
        <f>(([7]Consolidated!H29)*1000)*(1/0.79941)</f>
        <v/>
      </c>
      <c r="I29" s="183">
        <f>(([7]Consolidated!I29)*1000)*(1/0.79941)</f>
        <v/>
      </c>
      <c r="J29" s="183">
        <f>(([7]Consolidated!J29)*1000)*(1/0.79941)</f>
        <v/>
      </c>
      <c r="K29" s="185" t="n"/>
      <c r="L29" s="186">
        <f>(([7]Consolidated!L29)*1000)*(1/0.79941)</f>
        <v/>
      </c>
      <c r="M29" s="182">
        <f>(([7]Consolidated!M29)*1000)*(1/0.79941)</f>
        <v/>
      </c>
      <c r="N29" s="173">
        <f>(([7]Consolidated!N29)*1000)*(1/0.79941)</f>
        <v/>
      </c>
    </row>
    <row r="30" ht="12.75" customHeight="1" s="150">
      <c r="A30" s="158" t="n"/>
      <c r="B30" s="158" t="n"/>
      <c r="C30" s="167" t="inlineStr">
        <is>
          <t>Other costs</t>
        </is>
      </c>
      <c r="D30" s="182">
        <f>(([7]Consolidated!D30)*1000)*(1/0.79941)</f>
        <v/>
      </c>
      <c r="E30" s="182">
        <f>(([7]Consolidated!E30)*1000)*(1/0.79941)</f>
        <v/>
      </c>
      <c r="F30" s="182">
        <f>(([7]Consolidated!F30)*1000)*(1/0.79941)</f>
        <v/>
      </c>
      <c r="G30" s="182">
        <f>(([7]Consolidated!G30)*1000)*(1/0.79941)</f>
        <v/>
      </c>
      <c r="H30" s="182">
        <f>(([7]Consolidated!H30)*1000)*(1/0.79941)</f>
        <v/>
      </c>
      <c r="I30" s="183">
        <f>(([7]Consolidated!I30)*1000)*(1/0.79941)</f>
        <v/>
      </c>
      <c r="J30" s="183">
        <f>(([7]Consolidated!J30)*1000)*(1/0.79941)</f>
        <v/>
      </c>
      <c r="K30" s="185" t="n"/>
      <c r="L30" s="186">
        <f>(([7]Consolidated!L30)*1000)*(1/0.79941)</f>
        <v/>
      </c>
      <c r="M30" s="182">
        <f>(([7]Consolidated!M30)*1000)*(1/0.79941)</f>
        <v/>
      </c>
      <c r="N30" s="173">
        <f>(([7]Consolidated!N30)*1000)*(1/0.79941)</f>
        <v/>
      </c>
    </row>
    <row r="31" ht="13.5" customHeight="1" s="150">
      <c r="A31" s="176" t="n"/>
      <c r="B31" s="176" t="n"/>
      <c r="C31" s="177" t="inlineStr">
        <is>
          <t>General expenses</t>
        </is>
      </c>
      <c r="D31" s="188">
        <f>(([7]Consolidated!D31)*1000)*(1/0.79941)</f>
        <v/>
      </c>
      <c r="E31" s="188">
        <f>(([7]Consolidated!E31)*1000)*(1/0.79941)</f>
        <v/>
      </c>
      <c r="F31" s="188">
        <f>(([7]Consolidated!F31)*1000)*(1/0.79941)</f>
        <v/>
      </c>
      <c r="G31" s="188">
        <f>(([7]Consolidated!G31)*1000)*(1/0.79941)</f>
        <v/>
      </c>
      <c r="H31" s="188">
        <f>(([7]Consolidated!H31)*1000)*(1/0.79941)</f>
        <v/>
      </c>
      <c r="I31" s="189">
        <f>(([7]Consolidated!I31)*1000)*(1/0.79941)</f>
        <v/>
      </c>
      <c r="J31" s="189">
        <f>(([7]Consolidated!J31)*1000)*(1/0.79941)</f>
        <v/>
      </c>
      <c r="K31" s="185" t="n"/>
      <c r="L31" s="181">
        <f>(([7]Consolidated!L31)*1000)*(1/0.79941)</f>
        <v/>
      </c>
      <c r="M31" s="188">
        <f>(([7]Consolidated!M31)*1000)*(1/0.79941)</f>
        <v/>
      </c>
      <c r="N31" s="181">
        <f>(([7]Consolidated!N31)*1000)*(1/0.79941)</f>
        <v/>
      </c>
    </row>
    <row r="32" ht="12.75" customHeight="1" s="150">
      <c r="A32" s="158" t="n"/>
      <c r="B32" s="158" t="n"/>
      <c r="C32" s="167" t="inlineStr">
        <is>
          <t>Own expenses</t>
        </is>
      </c>
      <c r="D32" s="182">
        <f>(([7]Consolidated!D32)*1000)*(1/0.79941)</f>
        <v/>
      </c>
      <c r="E32" s="182">
        <f>(([7]Consolidated!E32)*1000)*(1/0.79941)</f>
        <v/>
      </c>
      <c r="F32" s="182">
        <f>(([7]Consolidated!F32)*1000)*(1/0.79941)</f>
        <v/>
      </c>
      <c r="G32" s="182">
        <f>(([7]Consolidated!G32)*1000)*(1/0.79941)</f>
        <v/>
      </c>
      <c r="H32" s="182">
        <f>(([7]Consolidated!H32)*1000)*(1/0.79941)</f>
        <v/>
      </c>
      <c r="I32" s="183">
        <f>(([7]Consolidated!I32)*1000)*(1/0.79941)</f>
        <v/>
      </c>
      <c r="J32" s="183">
        <f>(([7]Consolidated!J32)*1000)*(1/0.79941)</f>
        <v/>
      </c>
      <c r="K32" s="185" t="n"/>
      <c r="L32" s="186">
        <f>(([7]Consolidated!L32)*1000)*(1/0.79941)</f>
        <v/>
      </c>
      <c r="M32" s="182">
        <f>(([7]Consolidated!M32)*1000)*(1/0.79941)</f>
        <v/>
      </c>
      <c r="N32" s="190">
        <f>(([7]Consolidated!N32)*1000)*(1/0.79941)</f>
        <v/>
      </c>
    </row>
    <row r="33" ht="12.75" customHeight="1" s="150">
      <c r="A33" s="158" t="n"/>
      <c r="B33" s="158" t="n"/>
      <c r="C33" s="167" t="inlineStr">
        <is>
          <t>Other expenses</t>
        </is>
      </c>
      <c r="D33" s="182">
        <f>(([7]Consolidated!D33)*1000)*(1/0.79941)</f>
        <v/>
      </c>
      <c r="E33" s="182">
        <f>(([7]Consolidated!E33)*1000)*(1/0.79941)</f>
        <v/>
      </c>
      <c r="F33" s="182">
        <f>(([7]Consolidated!F33)*1000)*(1/0.79941)</f>
        <v/>
      </c>
      <c r="G33" s="182">
        <f>(([7]Consolidated!G33)*1000)*(1/0.79941)</f>
        <v/>
      </c>
      <c r="H33" s="182">
        <f>(([7]Consolidated!H33)*1000)*(1/0.79941)</f>
        <v/>
      </c>
      <c r="I33" s="183">
        <f>(([7]Consolidated!I33)*1000)*(1/0.79941)</f>
        <v/>
      </c>
      <c r="J33" s="183">
        <f>(([7]Consolidated!J33)*1000)*(1/0.79941)</f>
        <v/>
      </c>
      <c r="K33" s="185" t="n"/>
      <c r="L33" s="186">
        <f>(([7]Consolidated!L33)*1000)*(1/0.79941)</f>
        <v/>
      </c>
      <c r="M33" s="182">
        <f>(([7]Consolidated!M33)*1000)*(1/0.79941)</f>
        <v/>
      </c>
      <c r="N33" s="173">
        <f>(([7]Consolidated!N33)*1000)*(1/0.79941)</f>
        <v/>
      </c>
    </row>
    <row r="34" ht="13.5" customHeight="1" s="150">
      <c r="A34" s="176" t="n"/>
      <c r="B34" s="176" t="n"/>
      <c r="C34" s="177" t="inlineStr">
        <is>
          <t>Operating expenses</t>
        </is>
      </c>
      <c r="D34" s="188">
        <f>(([7]Consolidated!D34)*1000)*(1/0.79941)</f>
        <v/>
      </c>
      <c r="E34" s="188">
        <f>(([7]Consolidated!E34)*1000)*(1/0.79941)</f>
        <v/>
      </c>
      <c r="F34" s="188">
        <f>(([7]Consolidated!F34)*1000)*(1/0.79941)</f>
        <v/>
      </c>
      <c r="G34" s="188">
        <f>(([7]Consolidated!G34)*1000)*(1/0.79941)</f>
        <v/>
      </c>
      <c r="H34" s="188">
        <f>(([7]Consolidated!H34)*1000)*(1/0.79941)</f>
        <v/>
      </c>
      <c r="I34" s="189">
        <f>(([7]Consolidated!I34)*1000)*(1/0.79941)</f>
        <v/>
      </c>
      <c r="J34" s="189">
        <f>(([7]Consolidated!J34)*1000)*(1/0.79941)</f>
        <v/>
      </c>
      <c r="K34" s="185" t="n"/>
      <c r="L34" s="181">
        <f>(([7]Consolidated!L34)*1000)*(1/0.79941)</f>
        <v/>
      </c>
      <c r="M34" s="188">
        <f>(([7]Consolidated!M34)*1000)*(1/0.79941)</f>
        <v/>
      </c>
      <c r="N34" s="181">
        <f>(([7]Consolidated!N34)*1000)*(1/0.79941)</f>
        <v/>
      </c>
    </row>
    <row r="35" ht="12.75" customHeight="1" s="150">
      <c r="A35" s="158" t="n"/>
      <c r="B35" s="158" t="n"/>
      <c r="C35" s="167" t="n"/>
      <c r="D35" s="182">
        <f>0*(1/0.79941)</f>
        <v/>
      </c>
      <c r="E35" s="182">
        <f>0*(1/0.79941)</f>
        <v/>
      </c>
      <c r="F35" s="182">
        <f>0*(1/0.79941)</f>
        <v/>
      </c>
      <c r="G35" s="182">
        <f>0*(1/0.79941)</f>
        <v/>
      </c>
      <c r="H35" s="182">
        <f>0*(1/0.79941)</f>
        <v/>
      </c>
      <c r="I35" s="183">
        <f>0*(1/0.79941)</f>
        <v/>
      </c>
      <c r="J35" s="191">
        <f>0*(1/0.79941)</f>
        <v/>
      </c>
      <c r="K35" s="185" t="n"/>
      <c r="L35" s="186">
        <f>0*(1/0.79941)</f>
        <v/>
      </c>
      <c r="M35" s="182">
        <f>0*(1/0.79941)</f>
        <v/>
      </c>
      <c r="N35" s="192">
        <f>0*(1/0.79941)</f>
        <v/>
      </c>
    </row>
    <row r="36" ht="12.75" customHeight="1" s="150">
      <c r="A36" s="158" t="n"/>
      <c r="B36" s="158" t="n"/>
      <c r="C36" s="167" t="inlineStr">
        <is>
          <t>HR &amp; Comms</t>
        </is>
      </c>
      <c r="D36" s="182">
        <f>(([7]Consolidated!D36)*1000)*(1/0.79941)</f>
        <v/>
      </c>
      <c r="E36" s="182">
        <f>(([7]Consolidated!E36)*1000)*(1/0.79941)</f>
        <v/>
      </c>
      <c r="F36" s="182">
        <f>(([7]Consolidated!F36)*1000)*(1/0.79941)</f>
        <v/>
      </c>
      <c r="G36" s="182">
        <f>(([7]Consolidated!G36)*1000)*(1/0.79941)</f>
        <v/>
      </c>
      <c r="H36" s="182">
        <f>(([7]Consolidated!H36)*1000)*(1/0.79941)</f>
        <v/>
      </c>
      <c r="I36" s="183">
        <f>(([7]Consolidated!I36)*1000)*(1/0.79941)</f>
        <v/>
      </c>
      <c r="J36" s="183">
        <f>(([7]Consolidated!J36)*1000)*(1/0.79941)</f>
        <v/>
      </c>
      <c r="K36" s="185" t="n"/>
      <c r="L36" s="186">
        <f>(([7]Consolidated!L36)*1000)*(1/0.79941)</f>
        <v/>
      </c>
      <c r="M36" s="182">
        <f>(([7]Consolidated!M36)*1000)*(1/0.79941)</f>
        <v/>
      </c>
      <c r="N36" s="173">
        <f>(([7]Consolidated!N36)*1000)*(1/0.79941)</f>
        <v/>
      </c>
    </row>
    <row r="37" ht="12.75" customHeight="1" s="150">
      <c r="A37" s="158" t="n"/>
      <c r="B37" s="158" t="n"/>
      <c r="C37" s="167" t="inlineStr">
        <is>
          <t>Finance &amp; Business Support</t>
        </is>
      </c>
      <c r="D37" s="182">
        <f>(([7]Consolidated!D37)*1000)*(1/0.79941)</f>
        <v/>
      </c>
      <c r="E37" s="182">
        <f>(([7]Consolidated!E37)*1000)*(1/0.79941)</f>
        <v/>
      </c>
      <c r="F37" s="182">
        <f>(([7]Consolidated!F37)*1000)*(1/0.79941)</f>
        <v/>
      </c>
      <c r="G37" s="182">
        <f>(([7]Consolidated!G37)*1000)*(1/0.79941)</f>
        <v/>
      </c>
      <c r="H37" s="182">
        <f>(([7]Consolidated!H37)*1000)*(1/0.79941)</f>
        <v/>
      </c>
      <c r="I37" s="183">
        <f>(([7]Consolidated!I37)*1000)*(1/0.79941)</f>
        <v/>
      </c>
      <c r="J37" s="183">
        <f>(([7]Consolidated!J37)*1000)*(1/0.79941)</f>
        <v/>
      </c>
      <c r="K37" s="185" t="n"/>
      <c r="L37" s="186">
        <f>(([7]Consolidated!L37)*1000)*(1/0.79941)</f>
        <v/>
      </c>
      <c r="M37" s="182">
        <f>(([7]Consolidated!M37)*1000)*(1/0.79941)</f>
        <v/>
      </c>
      <c r="N37" s="173">
        <f>(([7]Consolidated!N37)*1000)*(1/0.79941)</f>
        <v/>
      </c>
    </row>
    <row r="38" ht="12.75" customHeight="1" s="150">
      <c r="A38" s="158" t="n"/>
      <c r="B38" s="158" t="n"/>
      <c r="C38" s="167" t="inlineStr">
        <is>
          <t>IT alloc</t>
        </is>
      </c>
      <c r="D38" s="182">
        <f>(([7]Consolidated!D38)*1000)*(1/0.79941)</f>
        <v/>
      </c>
      <c r="E38" s="182">
        <f>(([7]Consolidated!E38)*1000)*(1/0.79941)</f>
        <v/>
      </c>
      <c r="F38" s="182">
        <f>(([7]Consolidated!F38)*1000)*(1/0.79941)</f>
        <v/>
      </c>
      <c r="G38" s="182">
        <f>(([7]Consolidated!G38)*1000)*(1/0.79941)</f>
        <v/>
      </c>
      <c r="H38" s="182">
        <f>(([7]Consolidated!H38)*1000)*(1/0.79941)</f>
        <v/>
      </c>
      <c r="I38" s="183">
        <f>(([7]Consolidated!I38)*1000)*(1/0.79941)</f>
        <v/>
      </c>
      <c r="J38" s="183">
        <f>(([7]Consolidated!J38)*1000)*(1/0.79941)</f>
        <v/>
      </c>
      <c r="K38" s="185" t="n"/>
      <c r="L38" s="186">
        <f>(([7]Consolidated!L38)*1000)*(1/0.79941)</f>
        <v/>
      </c>
      <c r="M38" s="182">
        <f>(([7]Consolidated!M38)*1000)*(1/0.79941)</f>
        <v/>
      </c>
      <c r="N38" s="173">
        <f>(([7]Consolidated!N38)*1000)*(1/0.79941)</f>
        <v/>
      </c>
    </row>
    <row r="39" ht="12.75" customHeight="1" s="150">
      <c r="A39" s="158" t="n"/>
      <c r="B39" s="158" t="n"/>
      <c r="C39" s="167" t="inlineStr">
        <is>
          <t>Facilities Management</t>
        </is>
      </c>
      <c r="D39" s="182">
        <f>(([7]Consolidated!D39)*1000)*(1/0.79941)</f>
        <v/>
      </c>
      <c r="E39" s="182">
        <f>(([7]Consolidated!E39)*1000)*(1/0.79941)</f>
        <v/>
      </c>
      <c r="F39" s="182">
        <f>(([7]Consolidated!F39)*1000)*(1/0.79941)</f>
        <v/>
      </c>
      <c r="G39" s="182">
        <f>(([7]Consolidated!G39)*1000)*(1/0.79941)</f>
        <v/>
      </c>
      <c r="H39" s="182">
        <f>(([7]Consolidated!H39)*1000)*(1/0.79941)</f>
        <v/>
      </c>
      <c r="I39" s="183">
        <f>(([7]Consolidated!I39)*1000)*(1/0.79941)</f>
        <v/>
      </c>
      <c r="J39" s="183">
        <f>(([7]Consolidated!J39)*1000)*(1/0.79941)</f>
        <v/>
      </c>
      <c r="K39" s="185" t="n"/>
      <c r="L39" s="186">
        <f>(([7]Consolidated!L39)*1000)*(1/0.79941)</f>
        <v/>
      </c>
      <c r="M39" s="182">
        <f>(([7]Consolidated!M39)*1000)*(1/0.79941)</f>
        <v/>
      </c>
      <c r="N39" s="173">
        <f>(([7]Consolidated!N39)*1000)*(1/0.79941)</f>
        <v/>
      </c>
    </row>
    <row r="40" ht="13.5" customHeight="1" s="150">
      <c r="A40" s="176" t="n"/>
      <c r="B40" s="176" t="n"/>
      <c r="C40" s="177" t="inlineStr">
        <is>
          <t>Overheads</t>
        </is>
      </c>
      <c r="D40" s="188">
        <f>(([7]Consolidated!D40)*1000)*(1/0.79941)</f>
        <v/>
      </c>
      <c r="E40" s="188">
        <f>(([7]Consolidated!E40)*1000)*(1/0.79941)</f>
        <v/>
      </c>
      <c r="F40" s="188">
        <f>(([7]Consolidated!F40)*1000)*(1/0.79941)</f>
        <v/>
      </c>
      <c r="G40" s="188">
        <f>(([7]Consolidated!G40)*1000)*(1/0.79941)</f>
        <v/>
      </c>
      <c r="H40" s="188">
        <f>(([7]Consolidated!H40)*1000)*(1/0.79941)</f>
        <v/>
      </c>
      <c r="I40" s="189">
        <f>(([7]Consolidated!I40)*1000)*(1/0.79941)</f>
        <v/>
      </c>
      <c r="J40" s="189">
        <f>(([7]Consolidated!J40)*1000)*(1/0.79941)</f>
        <v/>
      </c>
      <c r="K40" s="185" t="n"/>
      <c r="L40" s="181">
        <f>(([7]Consolidated!L40)*1000)*(1/0.79941)</f>
        <v/>
      </c>
      <c r="M40" s="188">
        <f>(([7]Consolidated!M40)*1000)*(1/0.79941)</f>
        <v/>
      </c>
      <c r="N40" s="181">
        <f>(([7]Consolidated!N40)*1000)*(1/0.79941)</f>
        <v/>
      </c>
    </row>
    <row r="41" ht="12.75" customHeight="1" s="150">
      <c r="A41" s="158" t="n"/>
      <c r="B41" s="158" t="n"/>
      <c r="C41" s="167" t="n">
        <v>0</v>
      </c>
      <c r="D41" s="182">
        <f>0*(1/0.79941)</f>
        <v/>
      </c>
      <c r="E41" s="182">
        <f>0*(1/0.79941)</f>
        <v/>
      </c>
      <c r="F41" s="182">
        <f>0*(1/0.79941)</f>
        <v/>
      </c>
      <c r="G41" s="182">
        <f>0*(1/0.79941)</f>
        <v/>
      </c>
      <c r="H41" s="182">
        <f>0*(1/0.79941)</f>
        <v/>
      </c>
      <c r="I41" s="183">
        <f>0*(1/0.79941)</f>
        <v/>
      </c>
      <c r="J41" s="191">
        <f>0*(1/0.79941)</f>
        <v/>
      </c>
      <c r="K41" s="185" t="n"/>
      <c r="L41" s="186">
        <f>0*(1/0.79941)</f>
        <v/>
      </c>
      <c r="M41" s="182">
        <f>0*(1/0.79941)</f>
        <v/>
      </c>
      <c r="N41" s="192">
        <f>0*(1/0.79941)</f>
        <v/>
      </c>
    </row>
    <row r="42" ht="13.5" customHeight="1" s="150">
      <c r="A42" s="176" t="n"/>
      <c r="B42" s="176" t="n"/>
      <c r="C42" s="177" t="inlineStr">
        <is>
          <t>Total Operating Costs (incl. O/H)</t>
        </is>
      </c>
      <c r="D42" s="188">
        <f>(([7]Consolidated!D42)*1000)*(1/0.79941)</f>
        <v/>
      </c>
      <c r="E42" s="188">
        <f>(([7]Consolidated!E42)*1000)*(1/0.79941)</f>
        <v/>
      </c>
      <c r="F42" s="188">
        <f>(([7]Consolidated!F42)*1000)*(1/0.79941)</f>
        <v/>
      </c>
      <c r="G42" s="188">
        <f>(([7]Consolidated!G42)*1000)*(1/0.79941)</f>
        <v/>
      </c>
      <c r="H42" s="188">
        <f>(([7]Consolidated!H42)*1000)*(1/0.79941)</f>
        <v/>
      </c>
      <c r="I42" s="189">
        <f>(([7]Consolidated!I42)*1000)*(1/0.79941)</f>
        <v/>
      </c>
      <c r="J42" s="189">
        <f>(([7]Consolidated!J42)*1000)*(1/0.79941)</f>
        <v/>
      </c>
      <c r="K42" s="185" t="n"/>
      <c r="L42" s="181">
        <f>(([7]Consolidated!L42)*1000)*(1/0.79941)</f>
        <v/>
      </c>
      <c r="M42" s="188">
        <f>(([7]Consolidated!M42)*1000)*(1/0.79941)</f>
        <v/>
      </c>
      <c r="N42" s="181">
        <f>(([7]Consolidated!N42)*1000)*(1/0.79941)</f>
        <v/>
      </c>
      <c r="O42" s="193" t="n"/>
    </row>
    <row r="43" ht="12.75" customHeight="1" s="150">
      <c r="J43" s="195" t="n"/>
      <c r="N43" s="196" t="n"/>
    </row>
    <row r="44" ht="13.5" customHeight="1" s="150"/>
    <row r="45" ht="54.75" customHeight="1" s="150">
      <c r="C45" s="197" t="inlineStr">
        <is>
          <t>SUPPLIER ASSUMED COSTS 
(US$  excl. VAT)</t>
        </is>
      </c>
      <c r="D45" s="198">
        <f>[7]Consolidated!D45</f>
        <v/>
      </c>
      <c r="E45" s="198">
        <f>[7]Consolidated!E45</f>
        <v/>
      </c>
      <c r="F45" s="198">
        <f>[7]Consolidated!F45</f>
        <v/>
      </c>
      <c r="G45" s="198">
        <f>[7]Consolidated!G45</f>
        <v/>
      </c>
      <c r="H45" s="198">
        <f>[7]Consolidated!H45</f>
        <v/>
      </c>
      <c r="I45" s="199">
        <f>[7]Consolidated!I45</f>
        <v/>
      </c>
      <c r="J45" s="200">
        <f>[7]Consolidated!J45</f>
        <v/>
      </c>
      <c r="K45" s="165" t="n"/>
      <c r="L45" s="198">
        <f>[7]Consolidated!L45</f>
        <v/>
      </c>
      <c r="M45" s="201">
        <f>[7]Consolidated!M45</f>
        <v/>
      </c>
      <c r="N45" s="198">
        <f>[7]Consolidated!N45</f>
        <v/>
      </c>
    </row>
    <row r="46" ht="12.75" customHeight="1" s="150">
      <c r="C46" s="202" t="inlineStr">
        <is>
          <t>Internal FTE</t>
        </is>
      </c>
      <c r="D46" s="211">
        <f>[7]Consolidated!D46</f>
        <v/>
      </c>
      <c r="E46" s="211">
        <f>[7]Consolidated!E46</f>
        <v/>
      </c>
      <c r="F46" s="211">
        <f>[7]Consolidated!F46</f>
        <v/>
      </c>
      <c r="G46" s="211">
        <f>[7]Consolidated!G46</f>
        <v/>
      </c>
      <c r="H46" s="211">
        <f>[7]Consolidated!H46</f>
        <v/>
      </c>
      <c r="I46" s="211">
        <f>[7]Consolidated!I46</f>
        <v/>
      </c>
      <c r="J46" s="288" t="n"/>
      <c r="K46" s="185" t="n"/>
      <c r="L46" s="213">
        <f>[7]Consolidated!L46</f>
        <v/>
      </c>
      <c r="M46" s="211">
        <f>[7]Consolidated!M46</f>
        <v/>
      </c>
      <c r="N46" s="206">
        <f>[7]Consolidated!N46</f>
        <v/>
      </c>
    </row>
    <row r="47" ht="12.75" customHeight="1" s="150">
      <c r="C47" s="202" t="inlineStr">
        <is>
          <t>External FTE</t>
        </is>
      </c>
      <c r="D47" s="211">
        <f>[7]Consolidated!D47</f>
        <v/>
      </c>
      <c r="E47" s="211">
        <f>[7]Consolidated!E47</f>
        <v/>
      </c>
      <c r="F47" s="211">
        <f>[7]Consolidated!F47</f>
        <v/>
      </c>
      <c r="G47" s="211">
        <f>[7]Consolidated!G47</f>
        <v/>
      </c>
      <c r="H47" s="211">
        <f>[7]Consolidated!H47</f>
        <v/>
      </c>
      <c r="I47" s="211">
        <f>[7]Consolidated!I47</f>
        <v/>
      </c>
      <c r="J47" s="288" t="n"/>
      <c r="K47" s="185" t="n"/>
      <c r="L47" s="213">
        <f>[7]Consolidated!L47</f>
        <v/>
      </c>
      <c r="M47" s="211">
        <f>[7]Consolidated!M47</f>
        <v/>
      </c>
      <c r="N47" s="206">
        <f>[7]Consolidated!N47</f>
        <v/>
      </c>
    </row>
    <row r="48" ht="13.5" customHeight="1" s="150">
      <c r="A48" s="176" t="n"/>
      <c r="B48" s="176" t="n"/>
      <c r="C48" s="207" t="inlineStr">
        <is>
          <t>Total FTE</t>
        </is>
      </c>
      <c r="D48" s="215">
        <f>[7]Consolidated!D48</f>
        <v/>
      </c>
      <c r="E48" s="215">
        <f>[7]Consolidated!E48</f>
        <v/>
      </c>
      <c r="F48" s="215">
        <f>[7]Consolidated!F48</f>
        <v/>
      </c>
      <c r="G48" s="215">
        <f>[7]Consolidated!G48</f>
        <v/>
      </c>
      <c r="H48" s="215">
        <f>[7]Consolidated!H48</f>
        <v/>
      </c>
      <c r="I48" s="215">
        <f>[7]Consolidated!I48</f>
        <v/>
      </c>
      <c r="J48" s="289" t="n"/>
      <c r="K48" s="185" t="n"/>
      <c r="L48" s="210">
        <f>[7]Consolidated!L48</f>
        <v/>
      </c>
      <c r="M48" s="215">
        <f>[7]Consolidated!M48</f>
        <v/>
      </c>
      <c r="N48" s="210">
        <f>[7]Consolidated!N48</f>
        <v/>
      </c>
    </row>
    <row r="49" ht="12.75" customHeight="1" s="150">
      <c r="C49" s="202" t="n"/>
      <c r="D49" s="211" t="n"/>
      <c r="E49" s="211" t="n"/>
      <c r="F49" s="211" t="n"/>
      <c r="G49" s="211" t="n"/>
      <c r="H49" s="211" t="n"/>
      <c r="I49" s="211" t="n"/>
      <c r="J49" s="212" t="n"/>
      <c r="K49" s="185" t="n"/>
      <c r="L49" s="213" t="n"/>
      <c r="M49" s="211" t="n"/>
      <c r="N49" s="206" t="n"/>
    </row>
    <row r="50" ht="12.75" customHeight="1" s="150">
      <c r="C50" s="202" t="inlineStr">
        <is>
          <t>Salaries</t>
        </is>
      </c>
      <c r="D50" s="211">
        <f>(([7]Consolidated!D50)*1000)*(1/0.79941)</f>
        <v/>
      </c>
      <c r="E50" s="211">
        <f>(([7]Consolidated!E50)*1000)*(1/0.79941)</f>
        <v/>
      </c>
      <c r="F50" s="211">
        <f>(([7]Consolidated!F50)*1000)*(1/0.79941)</f>
        <v/>
      </c>
      <c r="G50" s="211">
        <f>(([7]Consolidated!G50)*1000)*(1/0.79941)</f>
        <v/>
      </c>
      <c r="H50" s="211">
        <f>(([7]Consolidated!H50)*1000)*(1/0.79941)</f>
        <v/>
      </c>
      <c r="I50" s="211">
        <f>(([7]Consolidated!I50)*1000)*(1/0.79941)</f>
        <v/>
      </c>
      <c r="J50" s="213">
        <f>(([7]Consolidated!J50)*1000)*(1/0.79941)</f>
        <v/>
      </c>
      <c r="K50" s="185" t="n"/>
      <c r="L50" s="213">
        <f>(([7]Consolidated!L50)*1000)*(1/0.79941)</f>
        <v/>
      </c>
      <c r="M50" s="211">
        <f>(([7]Consolidated!M50)*1000)*(1/0.79941)</f>
        <v/>
      </c>
      <c r="N50" s="206">
        <f>(([7]Consolidated!N50)*1000)*(1/0.79941)</f>
        <v/>
      </c>
    </row>
    <row r="51" ht="12.75" customHeight="1" s="150">
      <c r="C51" s="202" t="inlineStr">
        <is>
          <t>Bonuses</t>
        </is>
      </c>
      <c r="D51" s="211">
        <f>(([7]Consolidated!D51)*1000)*(1/0.79941)</f>
        <v/>
      </c>
      <c r="E51" s="211">
        <f>(([7]Consolidated!E51)*1000)*(1/0.79941)</f>
        <v/>
      </c>
      <c r="F51" s="211">
        <f>(([7]Consolidated!F51)*1000)*(1/0.79941)</f>
        <v/>
      </c>
      <c r="G51" s="211">
        <f>(([7]Consolidated!G51)*1000)*(1/0.79941)</f>
        <v/>
      </c>
      <c r="H51" s="211">
        <f>(([7]Consolidated!H51)*1000)*(1/0.79941)</f>
        <v/>
      </c>
      <c r="I51" s="211">
        <f>(([7]Consolidated!I51)*1000)*(1/0.79941)</f>
        <v/>
      </c>
      <c r="J51" s="213">
        <f>(([7]Consolidated!J51)*1000)*(1/0.79941)</f>
        <v/>
      </c>
      <c r="K51" s="185" t="n"/>
      <c r="L51" s="213">
        <f>(([7]Consolidated!L51)*1000)*(1/0.79941)</f>
        <v/>
      </c>
      <c r="M51" s="211">
        <f>(([7]Consolidated!M51)*1000)*(1/0.79941)</f>
        <v/>
      </c>
      <c r="N51" s="206">
        <f>(([7]Consolidated!N51)*1000)*(1/0.79941)</f>
        <v/>
      </c>
    </row>
    <row r="52" ht="12.75" customHeight="1" s="150">
      <c r="C52" s="202" t="inlineStr">
        <is>
          <t>Third party staff, ex IT</t>
        </is>
      </c>
      <c r="D52" s="211">
        <f>(([7]Consolidated!D52)*1000)*(1/0.79941)</f>
        <v/>
      </c>
      <c r="E52" s="211">
        <f>(([7]Consolidated!E52)*1000)*(1/0.79941)</f>
        <v/>
      </c>
      <c r="F52" s="211">
        <f>(([7]Consolidated!F52)*1000)*(1/0.79941)</f>
        <v/>
      </c>
      <c r="G52" s="211">
        <f>(([7]Consolidated!G52)*1000)*(1/0.79941)</f>
        <v/>
      </c>
      <c r="H52" s="211">
        <f>(([7]Consolidated!H52)*1000)*(1/0.79941)</f>
        <v/>
      </c>
      <c r="I52" s="211">
        <f>(([7]Consolidated!I52)*1000)*(1/0.79941)</f>
        <v/>
      </c>
      <c r="J52" s="213">
        <f>(([7]Consolidated!J52)*1000)*(1/0.79941)</f>
        <v/>
      </c>
      <c r="K52" s="185" t="n"/>
      <c r="L52" s="213">
        <f>(([7]Consolidated!L52)*1000)*(1/0.79941)</f>
        <v/>
      </c>
      <c r="M52" s="211">
        <f>(([7]Consolidated!M52)*1000)*(1/0.79941)</f>
        <v/>
      </c>
      <c r="N52" s="206">
        <f>(([7]Consolidated!N52)*1000)*(1/0.79941)</f>
        <v/>
      </c>
    </row>
    <row r="53" ht="12.75" customHeight="1" s="150">
      <c r="C53" s="202" t="inlineStr">
        <is>
          <t>Third party IT staff</t>
        </is>
      </c>
      <c r="D53" s="211">
        <f>(([7]Consolidated!D53)*1000)*(1/0.79941)</f>
        <v/>
      </c>
      <c r="E53" s="211">
        <f>(([7]Consolidated!E53)*1000)*(1/0.79941)</f>
        <v/>
      </c>
      <c r="F53" s="211">
        <f>(([7]Consolidated!F53)*1000)*(1/0.79941)</f>
        <v/>
      </c>
      <c r="G53" s="211">
        <f>(([7]Consolidated!G53)*1000)*(1/0.79941)</f>
        <v/>
      </c>
      <c r="H53" s="211">
        <f>(([7]Consolidated!H53)*1000)*(1/0.79941)</f>
        <v/>
      </c>
      <c r="I53" s="211">
        <f>(([7]Consolidated!I53)*1000)*(1/0.79941)</f>
        <v/>
      </c>
      <c r="J53" s="213">
        <f>(([7]Consolidated!J53)*1000)*(1/0.79941)</f>
        <v/>
      </c>
      <c r="K53" s="185" t="n"/>
      <c r="L53" s="213">
        <f>(([7]Consolidated!L53)*1000)*(1/0.79941)</f>
        <v/>
      </c>
      <c r="M53" s="211">
        <f>(([7]Consolidated!M53)*1000)*(1/0.79941)</f>
        <v/>
      </c>
      <c r="N53" s="206">
        <f>(([7]Consolidated!N53)*1000)*(1/0.79941)</f>
        <v/>
      </c>
    </row>
    <row r="54" ht="12.75" customHeight="1" s="150">
      <c r="C54" s="202" t="inlineStr">
        <is>
          <t>Employee education</t>
        </is>
      </c>
      <c r="D54" s="211">
        <f>(([7]Consolidated!D54)*1000)*(1/0.79941)</f>
        <v/>
      </c>
      <c r="E54" s="211">
        <f>(([7]Consolidated!E54)*1000)*(1/0.79941)</f>
        <v/>
      </c>
      <c r="F54" s="211">
        <f>(([7]Consolidated!F54)*1000)*(1/0.79941)</f>
        <v/>
      </c>
      <c r="G54" s="211">
        <f>(([7]Consolidated!G54)*1000)*(1/0.79941)</f>
        <v/>
      </c>
      <c r="H54" s="211">
        <f>(([7]Consolidated!H54)*1000)*(1/0.79941)</f>
        <v/>
      </c>
      <c r="I54" s="211">
        <f>(([7]Consolidated!I54)*1000)*(1/0.79941)</f>
        <v/>
      </c>
      <c r="J54" s="213">
        <f>(([7]Consolidated!J54)*1000)*(1/0.79941)</f>
        <v/>
      </c>
      <c r="K54" s="185" t="n"/>
      <c r="L54" s="213">
        <f>(([7]Consolidated!L54)*1000)*(1/0.79941)</f>
        <v/>
      </c>
      <c r="M54" s="211">
        <f>(([7]Consolidated!M54)*1000)*(1/0.79941)</f>
        <v/>
      </c>
      <c r="N54" s="206">
        <f>(([7]Consolidated!N54)*1000)*(1/0.79941)</f>
        <v/>
      </c>
    </row>
    <row r="55" ht="12.75" customHeight="1" s="150">
      <c r="C55" s="202" t="inlineStr">
        <is>
          <t>Other staff expenses</t>
        </is>
      </c>
      <c r="D55" s="211">
        <f>(([7]Consolidated!D55)*1000)*(1/0.79941)</f>
        <v/>
      </c>
      <c r="E55" s="211">
        <f>(([7]Consolidated!E55)*1000)*(1/0.79941)</f>
        <v/>
      </c>
      <c r="F55" s="211">
        <f>(([7]Consolidated!F55)*1000)*(1/0.79941)</f>
        <v/>
      </c>
      <c r="G55" s="211">
        <f>(([7]Consolidated!G55)*1000)*(1/0.79941)</f>
        <v/>
      </c>
      <c r="H55" s="211">
        <f>(([7]Consolidated!H55)*1000)*(1/0.79941)</f>
        <v/>
      </c>
      <c r="I55" s="211">
        <f>(([7]Consolidated!I55)*1000)*(1/0.79941)</f>
        <v/>
      </c>
      <c r="J55" s="214">
        <f>(([7]Consolidated!J55)*1000)*(1/0.79941)</f>
        <v/>
      </c>
      <c r="K55" s="185" t="n"/>
      <c r="L55" s="213">
        <f>(([7]Consolidated!L55)*1000)*(1/0.79941)</f>
        <v/>
      </c>
      <c r="M55" s="211">
        <f>(([7]Consolidated!M55)*1000)*(1/0.79941)</f>
        <v/>
      </c>
      <c r="N55" s="206">
        <f>(([7]Consolidated!N55)*1000)*(1/0.79941)</f>
        <v/>
      </c>
    </row>
    <row r="56" ht="13.5" customHeight="1" s="150">
      <c r="C56" s="207" t="inlineStr">
        <is>
          <t>Staff expenses</t>
        </is>
      </c>
      <c r="D56" s="215">
        <f>(([7]Consolidated!D56)*1000)*(1/0.79941)</f>
        <v/>
      </c>
      <c r="E56" s="215">
        <f>(([7]Consolidated!E56)*1000)*(1/0.79941)</f>
        <v/>
      </c>
      <c r="F56" s="215">
        <f>(([7]Consolidated!F56)*1000)*(1/0.79941)</f>
        <v/>
      </c>
      <c r="G56" s="215">
        <f>(([7]Consolidated!G56)*1000)*(1/0.79941)</f>
        <v/>
      </c>
      <c r="H56" s="215">
        <f>(([7]Consolidated!H56)*1000)*(1/0.79941)</f>
        <v/>
      </c>
      <c r="I56" s="215">
        <f>(([7]Consolidated!I56)*1000)*(1/0.79941)</f>
        <v/>
      </c>
      <c r="J56" s="210">
        <f>(([7]Consolidated!J56)*1000)*(1/0.79941)</f>
        <v/>
      </c>
      <c r="K56" s="185" t="n"/>
      <c r="L56" s="210">
        <f>(([7]Consolidated!L56)*1000)*(1/0.79941)</f>
        <v/>
      </c>
      <c r="M56" s="215">
        <f>(([7]Consolidated!M56)*1000)*(1/0.79941)</f>
        <v/>
      </c>
      <c r="N56" s="210">
        <f>(([7]Consolidated!N56)*1000)*(1/0.79941)</f>
        <v/>
      </c>
    </row>
    <row r="57" ht="12.75" customHeight="1" s="150">
      <c r="B57" s="216" t="n"/>
      <c r="C57" s="202" t="inlineStr">
        <is>
          <t>Hardware expenses</t>
        </is>
      </c>
      <c r="D57" s="211">
        <f>(([7]Consolidated!D57)*1000)*(1/0.79941)</f>
        <v/>
      </c>
      <c r="E57" s="211">
        <f>(([7]Consolidated!E57)*1000)*(1/0.79941)</f>
        <v/>
      </c>
      <c r="F57" s="211">
        <f>(([7]Consolidated!F57)*1000)*(1/0.79941)</f>
        <v/>
      </c>
      <c r="G57" s="211">
        <f>(([7]Consolidated!G57)*1000)*(1/0.79941)</f>
        <v/>
      </c>
      <c r="H57" s="211">
        <f>(([7]Consolidated!H57)*1000)*(1/0.79941)</f>
        <v/>
      </c>
      <c r="I57" s="211">
        <f>(([7]Consolidated!I57)*1000)*(1/0.79941)</f>
        <v/>
      </c>
      <c r="J57" s="213">
        <f>(([7]Consolidated!J57)*1000)*(1/0.79941)</f>
        <v/>
      </c>
      <c r="K57" s="185" t="n"/>
      <c r="L57" s="213">
        <f>(([7]Consolidated!L57)*1000)*(1/0.79941)</f>
        <v/>
      </c>
      <c r="M57" s="211">
        <f>(([7]Consolidated!M57)*1000)*(1/0.79941)</f>
        <v/>
      </c>
      <c r="N57" s="206">
        <f>(([7]Consolidated!N57)*1000)*(1/0.79941)</f>
        <v/>
      </c>
    </row>
    <row r="58" ht="12.75" customHeight="1" s="150">
      <c r="C58" s="202" t="inlineStr">
        <is>
          <t>Leasing/renting hardware</t>
        </is>
      </c>
      <c r="D58" s="211">
        <f>(([7]Consolidated!D58)*1000)*(1/0.79941)</f>
        <v/>
      </c>
      <c r="E58" s="211">
        <f>(([7]Consolidated!E58)*1000)*(1/0.79941)</f>
        <v/>
      </c>
      <c r="F58" s="211">
        <f>(([7]Consolidated!F58)*1000)*(1/0.79941)</f>
        <v/>
      </c>
      <c r="G58" s="211">
        <f>(([7]Consolidated!G58)*1000)*(1/0.79941)</f>
        <v/>
      </c>
      <c r="H58" s="211">
        <f>(([7]Consolidated!H58)*1000)*(1/0.79941)</f>
        <v/>
      </c>
      <c r="I58" s="211">
        <f>(([7]Consolidated!I58)*1000)*(1/0.79941)</f>
        <v/>
      </c>
      <c r="J58" s="213">
        <f>(([7]Consolidated!J58)*1000)*(1/0.79941)</f>
        <v/>
      </c>
      <c r="K58" s="185" t="n"/>
      <c r="L58" s="213">
        <f>(([7]Consolidated!L58)*1000)*(1/0.79941)</f>
        <v/>
      </c>
      <c r="M58" s="211">
        <f>(([7]Consolidated!M58)*1000)*(1/0.79941)</f>
        <v/>
      </c>
      <c r="N58" s="206">
        <f>(([7]Consolidated!N58)*1000)*(1/0.79941)</f>
        <v/>
      </c>
    </row>
    <row r="59" ht="12.75" customHeight="1" s="150">
      <c r="C59" s="202" t="inlineStr">
        <is>
          <t>Software expenses</t>
        </is>
      </c>
      <c r="D59" s="211">
        <f>(([7]Consolidated!D59)*1000)*(1/0.79941)</f>
        <v/>
      </c>
      <c r="E59" s="211">
        <f>(([7]Consolidated!E59)*1000)*(1/0.79941)</f>
        <v/>
      </c>
      <c r="F59" s="211">
        <f>(([7]Consolidated!F59)*1000)*(1/0.79941)</f>
        <v/>
      </c>
      <c r="G59" s="211">
        <f>(([7]Consolidated!G59)*1000)*(1/0.79941)</f>
        <v/>
      </c>
      <c r="H59" s="211">
        <f>(([7]Consolidated!H59)*1000)*(1/0.79941)</f>
        <v/>
      </c>
      <c r="I59" s="211">
        <f>(([7]Consolidated!I59)*1000)*(1/0.79941)</f>
        <v/>
      </c>
      <c r="J59" s="213">
        <f>(([7]Consolidated!J59)*1000)*(1/0.79941)</f>
        <v/>
      </c>
      <c r="K59" s="185" t="n"/>
      <c r="L59" s="213">
        <f>(([7]Consolidated!L59)*1000)*(1/0.79941)</f>
        <v/>
      </c>
      <c r="M59" s="211">
        <f>(([7]Consolidated!M59)*1000)*(1/0.79941)</f>
        <v/>
      </c>
      <c r="N59" s="206">
        <f>(([7]Consolidated!N59)*1000)*(1/0.79941)</f>
        <v/>
      </c>
    </row>
    <row r="60" ht="12.75" customHeight="1" s="150">
      <c r="C60" s="202" t="inlineStr">
        <is>
          <t>Leasing/renting/licenses sw</t>
        </is>
      </c>
      <c r="D60" s="211">
        <f>(([7]Consolidated!D60)*1000)*(1/0.79941)</f>
        <v/>
      </c>
      <c r="E60" s="211">
        <f>(([7]Consolidated!E60)*1000)*(1/0.79941)</f>
        <v/>
      </c>
      <c r="F60" s="211">
        <f>(([7]Consolidated!F60)*1000)*(1/0.79941)</f>
        <v/>
      </c>
      <c r="G60" s="211">
        <f>(([7]Consolidated!G60)*1000)*(1/0.79941)</f>
        <v/>
      </c>
      <c r="H60" s="211">
        <f>(([7]Consolidated!H60)*1000)*(1/0.79941)</f>
        <v/>
      </c>
      <c r="I60" s="211">
        <f>(([7]Consolidated!I60)*1000)*(1/0.79941)</f>
        <v/>
      </c>
      <c r="J60" s="213">
        <f>(([7]Consolidated!J60)*1000)*(1/0.79941)</f>
        <v/>
      </c>
      <c r="K60" s="185" t="n"/>
      <c r="L60" s="213">
        <f>(([7]Consolidated!L60)*1000)*(1/0.79941)</f>
        <v/>
      </c>
      <c r="M60" s="211">
        <f>(([7]Consolidated!M60)*1000)*(1/0.79941)</f>
        <v/>
      </c>
      <c r="N60" s="206">
        <f>(([7]Consolidated!N60)*1000)*(1/0.79941)</f>
        <v/>
      </c>
    </row>
    <row r="61" ht="12.75" customHeight="1" s="150">
      <c r="C61" s="202" t="inlineStr">
        <is>
          <t>Depreciation hardware</t>
        </is>
      </c>
      <c r="D61" s="211">
        <f>(([7]Consolidated!D61)*1000)*(1/0.79941)</f>
        <v/>
      </c>
      <c r="E61" s="211">
        <f>(([7]Consolidated!E61)*1000)*(1/0.79941)</f>
        <v/>
      </c>
      <c r="F61" s="211">
        <f>(([7]Consolidated!F61)*1000)*(1/0.79941)</f>
        <v/>
      </c>
      <c r="G61" s="211">
        <f>(([7]Consolidated!G61)*1000)*(1/0.79941)</f>
        <v/>
      </c>
      <c r="H61" s="211">
        <f>(([7]Consolidated!H61)*1000)*(1/0.79941)</f>
        <v/>
      </c>
      <c r="I61" s="211">
        <f>(([7]Consolidated!I61)*1000)*(1/0.79941)</f>
        <v/>
      </c>
      <c r="J61" s="213">
        <f>(([7]Consolidated!J61)*1000)*(1/0.79941)</f>
        <v/>
      </c>
      <c r="K61" s="185" t="n"/>
      <c r="L61" s="213">
        <f>(([7]Consolidated!L61)*1000)*(1/0.79941)</f>
        <v/>
      </c>
      <c r="M61" s="211">
        <f>(([7]Consolidated!M61)*1000)*(1/0.79941)</f>
        <v/>
      </c>
      <c r="N61" s="206">
        <f>(([7]Consolidated!N61)*1000)*(1/0.79941)</f>
        <v/>
      </c>
    </row>
    <row r="62" ht="12.75" customHeight="1" s="150">
      <c r="C62" s="202" t="inlineStr">
        <is>
          <t>Depreciation software</t>
        </is>
      </c>
      <c r="D62" s="211">
        <f>(([7]Consolidated!D62)*1000)*(1/0.79941)</f>
        <v/>
      </c>
      <c r="E62" s="211">
        <f>(([7]Consolidated!E62)*1000)*(1/0.79941)</f>
        <v/>
      </c>
      <c r="F62" s="211">
        <f>(([7]Consolidated!F62)*1000)*(1/0.79941)</f>
        <v/>
      </c>
      <c r="G62" s="211">
        <f>(([7]Consolidated!G62)*1000)*(1/0.79941)</f>
        <v/>
      </c>
      <c r="H62" s="211">
        <f>(([7]Consolidated!H62)*1000)*(1/0.79941)</f>
        <v/>
      </c>
      <c r="I62" s="211">
        <f>(([7]Consolidated!I62)*1000)*(1/0.79941)</f>
        <v/>
      </c>
      <c r="J62" s="213">
        <f>(([7]Consolidated!J62)*1000)*(1/0.79941)</f>
        <v/>
      </c>
      <c r="K62" s="185" t="n"/>
      <c r="L62" s="213">
        <f>(([7]Consolidated!L62)*1000)*(1/0.79941)</f>
        <v/>
      </c>
      <c r="M62" s="211">
        <f>(([7]Consolidated!M62)*1000)*(1/0.79941)</f>
        <v/>
      </c>
      <c r="N62" s="206">
        <f>(([7]Consolidated!N62)*1000)*(1/0.79941)</f>
        <v/>
      </c>
    </row>
    <row r="63" ht="12.75" customHeight="1" s="150">
      <c r="C63" s="202" t="inlineStr">
        <is>
          <t>Outsourcing IT activities</t>
        </is>
      </c>
      <c r="D63" s="211">
        <f>(([7]Consolidated!D63)*1000)*(1/0.79941)</f>
        <v/>
      </c>
      <c r="E63" s="211">
        <f>(([7]Consolidated!E63)*1000)*(1/0.79941)</f>
        <v/>
      </c>
      <c r="F63" s="211">
        <f>(([7]Consolidated!F63)*1000)*(1/0.79941)</f>
        <v/>
      </c>
      <c r="G63" s="211">
        <f>(([7]Consolidated!G63)*1000)*(1/0.79941)</f>
        <v/>
      </c>
      <c r="H63" s="211">
        <f>(([7]Consolidated!H63)*1000)*(1/0.79941)</f>
        <v/>
      </c>
      <c r="I63" s="211">
        <f>(([7]Consolidated!I63)*1000)*(1/0.79941)</f>
        <v/>
      </c>
      <c r="J63" s="213">
        <f>(([7]Consolidated!J63)*1000)*(1/0.79941)</f>
        <v/>
      </c>
      <c r="K63" s="185" t="n"/>
      <c r="L63" s="213">
        <f>(([7]Consolidated!L63)*1000)*(1/0.79941)</f>
        <v/>
      </c>
      <c r="M63" s="211">
        <f>(([7]Consolidated!M63)*1000)*(1/0.79941)</f>
        <v/>
      </c>
      <c r="N63" s="206">
        <f>(([7]Consolidated!N63)*1000)*(1/0.79941)</f>
        <v/>
      </c>
    </row>
    <row r="64" ht="12.75" customHeight="1" s="150">
      <c r="C64" s="202" t="inlineStr">
        <is>
          <t>Other IT expenses</t>
        </is>
      </c>
      <c r="D64" s="211">
        <f>(([7]Consolidated!D64)*1000)*(1/0.79941)</f>
        <v/>
      </c>
      <c r="E64" s="211">
        <f>(([7]Consolidated!E64)*1000)*(1/0.79941)</f>
        <v/>
      </c>
      <c r="F64" s="211">
        <f>(([7]Consolidated!F64)*1000)*(1/0.79941)</f>
        <v/>
      </c>
      <c r="G64" s="211">
        <f>(([7]Consolidated!G64)*1000)*(1/0.79941)</f>
        <v/>
      </c>
      <c r="H64" s="211">
        <f>(([7]Consolidated!H64)*1000)*(1/0.79941)</f>
        <v/>
      </c>
      <c r="I64" s="211">
        <f>(([7]Consolidated!I64)*1000)*(1/0.79941)</f>
        <v/>
      </c>
      <c r="J64" s="213">
        <f>(([7]Consolidated!J64)*1000)*(1/0.79941)</f>
        <v/>
      </c>
      <c r="K64" s="185" t="n"/>
      <c r="L64" s="213">
        <f>(([7]Consolidated!L64)*1000)*(1/0.79941)</f>
        <v/>
      </c>
      <c r="M64" s="211">
        <f>(([7]Consolidated!M64)*1000)*(1/0.79941)</f>
        <v/>
      </c>
      <c r="N64" s="206">
        <f>(([7]Consolidated!N64)*1000)*(1/0.79941)</f>
        <v/>
      </c>
    </row>
    <row r="65" ht="13.5" customHeight="1" s="150">
      <c r="C65" s="207" t="inlineStr">
        <is>
          <t>EDP expenses</t>
        </is>
      </c>
      <c r="D65" s="215">
        <f>(([7]Consolidated!D65)*1000)*(1/0.79941)</f>
        <v/>
      </c>
      <c r="E65" s="215">
        <f>(([7]Consolidated!E65)*1000)*(1/0.79941)</f>
        <v/>
      </c>
      <c r="F65" s="215">
        <f>(([7]Consolidated!F65)*1000)*(1/0.79941)</f>
        <v/>
      </c>
      <c r="G65" s="215">
        <f>(([7]Consolidated!G65)*1000)*(1/0.79941)</f>
        <v/>
      </c>
      <c r="H65" s="215">
        <f>(([7]Consolidated!H65)*1000)*(1/0.79941)</f>
        <v/>
      </c>
      <c r="I65" s="215">
        <f>(([7]Consolidated!I65)*1000)*(1/0.79941)</f>
        <v/>
      </c>
      <c r="J65" s="210">
        <f>(([7]Consolidated!J65)*1000)*(1/0.79941)</f>
        <v/>
      </c>
      <c r="K65" s="185" t="n"/>
      <c r="L65" s="210">
        <f>(([7]Consolidated!L65)*1000)*(1/0.79941)</f>
        <v/>
      </c>
      <c r="M65" s="215">
        <f>(([7]Consolidated!M65)*1000)*(1/0.79941)</f>
        <v/>
      </c>
      <c r="N65" s="210">
        <f>(([7]Consolidated!N65)*1000)*(1/0.79941)</f>
        <v/>
      </c>
    </row>
    <row r="66" ht="12.75" customHeight="1" s="150">
      <c r="C66" s="202" t="inlineStr">
        <is>
          <t>Telecom expenses</t>
        </is>
      </c>
      <c r="D66" s="211">
        <f>(([7]Consolidated!D66)*1000)*(1/0.79941)</f>
        <v/>
      </c>
      <c r="E66" s="211">
        <f>(([7]Consolidated!E66)*1000)*(1/0.79941)</f>
        <v/>
      </c>
      <c r="F66" s="211">
        <f>(([7]Consolidated!F66)*1000)*(1/0.79941)</f>
        <v/>
      </c>
      <c r="G66" s="211">
        <f>(([7]Consolidated!G66)*1000)*(1/0.79941)</f>
        <v/>
      </c>
      <c r="H66" s="211">
        <f>(([7]Consolidated!H66)*1000)*(1/0.79941)</f>
        <v/>
      </c>
      <c r="I66" s="211">
        <f>(([7]Consolidated!I66)*1000)*(1/0.79941)</f>
        <v/>
      </c>
      <c r="J66" s="213">
        <f>(([7]Consolidated!J66)*1000)*(1/0.79941)</f>
        <v/>
      </c>
      <c r="K66" s="185" t="n"/>
      <c r="L66" s="213">
        <f>(([7]Consolidated!L66)*1000)*(1/0.79941)</f>
        <v/>
      </c>
      <c r="M66" s="211">
        <f>(([7]Consolidated!M66)*1000)*(1/0.79941)</f>
        <v/>
      </c>
      <c r="N66" s="206">
        <f>(([7]Consolidated!N66)*1000)*(1/0.79941)</f>
        <v/>
      </c>
    </row>
    <row r="67" ht="12.75" customHeight="1" s="150">
      <c r="C67" s="202" t="inlineStr">
        <is>
          <t>Office equipment and supplies</t>
        </is>
      </c>
      <c r="D67" s="211">
        <f>(([7]Consolidated!D67)*1000)*(1/0.79941)</f>
        <v/>
      </c>
      <c r="E67" s="211">
        <f>(([7]Consolidated!E67)*1000)*(1/0.79941)</f>
        <v/>
      </c>
      <c r="F67" s="211">
        <f>(([7]Consolidated!F67)*1000)*(1/0.79941)</f>
        <v/>
      </c>
      <c r="G67" s="211">
        <f>(([7]Consolidated!G67)*1000)*(1/0.79941)</f>
        <v/>
      </c>
      <c r="H67" s="211">
        <f>(([7]Consolidated!H67)*1000)*(1/0.79941)</f>
        <v/>
      </c>
      <c r="I67" s="211">
        <f>(([7]Consolidated!I67)*1000)*(1/0.79941)</f>
        <v/>
      </c>
      <c r="J67" s="213">
        <f>(([7]Consolidated!J67)*1000)*(1/0.79941)</f>
        <v/>
      </c>
      <c r="K67" s="185" t="n"/>
      <c r="L67" s="213">
        <f>(([7]Consolidated!L67)*1000)*(1/0.79941)</f>
        <v/>
      </c>
      <c r="M67" s="211">
        <f>(([7]Consolidated!M67)*1000)*(1/0.79941)</f>
        <v/>
      </c>
      <c r="N67" s="206">
        <f>(([7]Consolidated!N67)*1000)*(1/0.79941)</f>
        <v/>
      </c>
    </row>
    <row r="68" ht="12.75" customHeight="1" s="150">
      <c r="C68" s="202" t="inlineStr">
        <is>
          <t>Accomodation expenses</t>
        </is>
      </c>
      <c r="D68" s="211">
        <f>(([7]Consolidated!D68)*1000)*(1/0.79941)</f>
        <v/>
      </c>
      <c r="E68" s="211">
        <f>(([7]Consolidated!E68)*1000)*(1/0.79941)</f>
        <v/>
      </c>
      <c r="F68" s="211">
        <f>(([7]Consolidated!F68)*1000)*(1/0.79941)</f>
        <v/>
      </c>
      <c r="G68" s="211">
        <f>(([7]Consolidated!G68)*1000)*(1/0.79941)</f>
        <v/>
      </c>
      <c r="H68" s="211">
        <f>(([7]Consolidated!H68)*1000)*(1/0.79941)</f>
        <v/>
      </c>
      <c r="I68" s="211">
        <f>(([7]Consolidated!I68)*1000)*(1/0.79941)</f>
        <v/>
      </c>
      <c r="J68" s="213">
        <f>(([7]Consolidated!J68)*1000)*(1/0.79941)</f>
        <v/>
      </c>
      <c r="K68" s="185" t="n"/>
      <c r="L68" s="213">
        <f>(([7]Consolidated!L68)*1000)*(1/0.79941)</f>
        <v/>
      </c>
      <c r="M68" s="211">
        <f>(([7]Consolidated!M68)*1000)*(1/0.79941)</f>
        <v/>
      </c>
      <c r="N68" s="206">
        <f>(([7]Consolidated!N68)*1000)*(1/0.79941)</f>
        <v/>
      </c>
    </row>
    <row r="69" ht="12.75" customHeight="1" s="150">
      <c r="C69" s="202" t="inlineStr">
        <is>
          <t>Travel costs</t>
        </is>
      </c>
      <c r="D69" s="211">
        <f>(([7]Consolidated!D69)*1000)*(1/0.79941)</f>
        <v/>
      </c>
      <c r="E69" s="211">
        <f>(([7]Consolidated!E69)*1000)*(1/0.79941)</f>
        <v/>
      </c>
      <c r="F69" s="211">
        <f>(([7]Consolidated!F69)*1000)*(1/0.79941)</f>
        <v/>
      </c>
      <c r="G69" s="211">
        <f>(([7]Consolidated!G69)*1000)*(1/0.79941)</f>
        <v/>
      </c>
      <c r="H69" s="211">
        <f>(([7]Consolidated!H69)*1000)*(1/0.79941)</f>
        <v/>
      </c>
      <c r="I69" s="211">
        <f>(([7]Consolidated!I69)*1000)*(1/0.79941)</f>
        <v/>
      </c>
      <c r="J69" s="213">
        <f>(([7]Consolidated!J69)*1000)*(1/0.79941)</f>
        <v/>
      </c>
      <c r="K69" s="185" t="n"/>
      <c r="L69" s="213">
        <f>(([7]Consolidated!L69)*1000)*(1/0.79941)</f>
        <v/>
      </c>
      <c r="M69" s="211">
        <f>(([7]Consolidated!M69)*1000)*(1/0.79941)</f>
        <v/>
      </c>
      <c r="N69" s="206">
        <f>(([7]Consolidated!N69)*1000)*(1/0.79941)</f>
        <v/>
      </c>
    </row>
    <row r="70" ht="12.75" customHeight="1" s="150">
      <c r="C70" s="202" t="inlineStr">
        <is>
          <t>Postal and freight charges</t>
        </is>
      </c>
      <c r="D70" s="211">
        <f>(([7]Consolidated!D70)*1000)*(1/0.79941)</f>
        <v/>
      </c>
      <c r="E70" s="211">
        <f>(([7]Consolidated!E70)*1000)*(1/0.79941)</f>
        <v/>
      </c>
      <c r="F70" s="211">
        <f>(([7]Consolidated!F70)*1000)*(1/0.79941)</f>
        <v/>
      </c>
      <c r="G70" s="211">
        <f>(([7]Consolidated!G70)*1000)*(1/0.79941)</f>
        <v/>
      </c>
      <c r="H70" s="211">
        <f>(([7]Consolidated!H70)*1000)*(1/0.79941)</f>
        <v/>
      </c>
      <c r="I70" s="211">
        <f>(([7]Consolidated!I70)*1000)*(1/0.79941)</f>
        <v/>
      </c>
      <c r="J70" s="213">
        <f>(([7]Consolidated!J70)*1000)*(1/0.79941)</f>
        <v/>
      </c>
      <c r="K70" s="185" t="n"/>
      <c r="L70" s="213">
        <f>(([7]Consolidated!L70)*1000)*(1/0.79941)</f>
        <v/>
      </c>
      <c r="M70" s="211">
        <f>(([7]Consolidated!M70)*1000)*(1/0.79941)</f>
        <v/>
      </c>
      <c r="N70" s="206">
        <f>(([7]Consolidated!N70)*1000)*(1/0.79941)</f>
        <v/>
      </c>
    </row>
    <row r="71" ht="12.75" customHeight="1" s="150">
      <c r="C71" s="202" t="inlineStr">
        <is>
          <t>Prof serv and ext advisory fee</t>
        </is>
      </c>
      <c r="D71" s="211">
        <f>(([7]Consolidated!D71)*1000)*(1/0.79941)</f>
        <v/>
      </c>
      <c r="E71" s="211">
        <f>(([7]Consolidated!E71)*1000)*(1/0.79941)</f>
        <v/>
      </c>
      <c r="F71" s="211">
        <f>(([7]Consolidated!F71)*1000)*(1/0.79941)</f>
        <v/>
      </c>
      <c r="G71" s="211">
        <f>(([7]Consolidated!G71)*1000)*(1/0.79941)</f>
        <v/>
      </c>
      <c r="H71" s="211">
        <f>(([7]Consolidated!H71)*1000)*(1/0.79941)</f>
        <v/>
      </c>
      <c r="I71" s="211">
        <f>(([7]Consolidated!I71)*1000)*(1/0.79941)</f>
        <v/>
      </c>
      <c r="J71" s="213">
        <f>(([7]Consolidated!J71)*1000)*(1/0.79941)</f>
        <v/>
      </c>
      <c r="K71" s="185" t="n"/>
      <c r="L71" s="213">
        <f>(([7]Consolidated!L71)*1000)*(1/0.79941)</f>
        <v/>
      </c>
      <c r="M71" s="211">
        <f>(([7]Consolidated!M71)*1000)*(1/0.79941)</f>
        <v/>
      </c>
      <c r="N71" s="206">
        <f>(([7]Consolidated!N71)*1000)*(1/0.79941)</f>
        <v/>
      </c>
    </row>
    <row r="72" ht="12.75" customHeight="1" s="150">
      <c r="C72" s="202" t="inlineStr">
        <is>
          <t>Payment transfer expenses</t>
        </is>
      </c>
      <c r="D72" s="211">
        <f>(([7]Consolidated!D72)*1000)*(1/0.79941)</f>
        <v/>
      </c>
      <c r="E72" s="211">
        <f>(([7]Consolidated!E72)*1000)*(1/0.79941)</f>
        <v/>
      </c>
      <c r="F72" s="211">
        <f>(([7]Consolidated!F72)*1000)*(1/0.79941)</f>
        <v/>
      </c>
      <c r="G72" s="211">
        <f>(([7]Consolidated!G72)*1000)*(1/0.79941)</f>
        <v/>
      </c>
      <c r="H72" s="211">
        <f>(([7]Consolidated!H72)*1000)*(1/0.79941)</f>
        <v/>
      </c>
      <c r="I72" s="211">
        <f>(([7]Consolidated!I72)*1000)*(1/0.79941)</f>
        <v/>
      </c>
      <c r="J72" s="213">
        <f>(([7]Consolidated!J72)*1000)*(1/0.79941)</f>
        <v/>
      </c>
      <c r="K72" s="185" t="n"/>
      <c r="L72" s="213">
        <f>(([7]Consolidated!L72)*1000)*(1/0.79941)</f>
        <v/>
      </c>
      <c r="M72" s="211">
        <f>(([7]Consolidated!M72)*1000)*(1/0.79941)</f>
        <v/>
      </c>
      <c r="N72" s="206">
        <f>(([7]Consolidated!N72)*1000)*(1/0.79941)</f>
        <v/>
      </c>
    </row>
    <row r="73" ht="12.75" customHeight="1" s="150">
      <c r="C73" s="202" t="inlineStr">
        <is>
          <t>Other costs</t>
        </is>
      </c>
      <c r="D73" s="211">
        <f>(([7]Consolidated!D73)*1000)*(1/0.79941)</f>
        <v/>
      </c>
      <c r="E73" s="211">
        <f>(([7]Consolidated!E73)*1000)*(1/0.79941)</f>
        <v/>
      </c>
      <c r="F73" s="211">
        <f>(([7]Consolidated!F73)*1000)*(1/0.79941)</f>
        <v/>
      </c>
      <c r="G73" s="211">
        <f>(([7]Consolidated!G73)*1000)*(1/0.79941)</f>
        <v/>
      </c>
      <c r="H73" s="211">
        <f>(([7]Consolidated!H73)*1000)*(1/0.79941)</f>
        <v/>
      </c>
      <c r="I73" s="211">
        <f>(([7]Consolidated!I73)*1000)*(1/0.79941)</f>
        <v/>
      </c>
      <c r="J73" s="213">
        <f>(([7]Consolidated!J73)*1000)*(1/0.79941)</f>
        <v/>
      </c>
      <c r="K73" s="185" t="n"/>
      <c r="L73" s="213">
        <f>(([7]Consolidated!L73)*1000)*(1/0.79941)</f>
        <v/>
      </c>
      <c r="M73" s="211">
        <f>(([7]Consolidated!M73)*1000)*(1/0.79941)</f>
        <v/>
      </c>
      <c r="N73" s="206">
        <f>(([7]Consolidated!N73)*1000)*(1/0.79941)</f>
        <v/>
      </c>
    </row>
    <row r="74" ht="13.5" customHeight="1" s="150">
      <c r="C74" s="207" t="inlineStr">
        <is>
          <t>General expenses</t>
        </is>
      </c>
      <c r="D74" s="215">
        <f>(([7]Consolidated!D74)*1000)*(1/0.79941)</f>
        <v/>
      </c>
      <c r="E74" s="215">
        <f>(([7]Consolidated!E74)*1000)*(1/0.79941)</f>
        <v/>
      </c>
      <c r="F74" s="215">
        <f>(([7]Consolidated!F74)*1000)*(1/0.79941)</f>
        <v/>
      </c>
      <c r="G74" s="215">
        <f>(([7]Consolidated!G74)*1000)*(1/0.79941)</f>
        <v/>
      </c>
      <c r="H74" s="215">
        <f>(([7]Consolidated!H74)*1000)*(1/0.79941)</f>
        <v/>
      </c>
      <c r="I74" s="215">
        <f>(([7]Consolidated!I74)*1000)*(1/0.79941)</f>
        <v/>
      </c>
      <c r="J74" s="210">
        <f>(([7]Consolidated!J74)*1000)*(1/0.79941)</f>
        <v/>
      </c>
      <c r="K74" s="185" t="n"/>
      <c r="L74" s="210">
        <f>(([7]Consolidated!L74)*1000)*(1/0.79941)</f>
        <v/>
      </c>
      <c r="M74" s="215">
        <f>(([7]Consolidated!M74)*1000)*(1/0.79941)</f>
        <v/>
      </c>
      <c r="N74" s="210">
        <f>(([7]Consolidated!N74)*1000)*(1/0.79941)</f>
        <v/>
      </c>
    </row>
    <row r="75" ht="12.75" customHeight="1" s="150">
      <c r="C75" s="202" t="inlineStr">
        <is>
          <t>Own expenses</t>
        </is>
      </c>
      <c r="D75" s="211">
        <f>(([7]Consolidated!D75)*1000)*(1/0.79941)</f>
        <v/>
      </c>
      <c r="E75" s="211">
        <f>(([7]Consolidated!E75)*1000)*(1/0.79941)</f>
        <v/>
      </c>
      <c r="F75" s="211">
        <f>(([7]Consolidated!F75)*1000)*(1/0.79941)</f>
        <v/>
      </c>
      <c r="G75" s="211">
        <f>(([7]Consolidated!G75)*1000)*(1/0.79941)</f>
        <v/>
      </c>
      <c r="H75" s="211">
        <f>(([7]Consolidated!H75)*1000)*(1/0.79941)</f>
        <v/>
      </c>
      <c r="I75" s="211">
        <f>(([7]Consolidated!I75)*1000)*(1/0.79941)</f>
        <v/>
      </c>
      <c r="J75" s="213">
        <f>(([7]Consolidated!J75)*1000)*(1/0.79941)</f>
        <v/>
      </c>
      <c r="K75" s="185" t="n"/>
      <c r="L75" s="213">
        <f>(([7]Consolidated!L75)*1000)*(1/0.79941)</f>
        <v/>
      </c>
      <c r="M75" s="211">
        <f>(([7]Consolidated!M75)*1000)*(1/0.79941)</f>
        <v/>
      </c>
      <c r="N75" s="217">
        <f>(([7]Consolidated!N75)*1000)*(1/0.79941)</f>
        <v/>
      </c>
    </row>
    <row r="76" ht="12.75" customHeight="1" s="150">
      <c r="C76" s="202" t="inlineStr">
        <is>
          <t>Other expenses</t>
        </is>
      </c>
      <c r="D76" s="211">
        <f>(([7]Consolidated!D76)*1000)*(1/0.79941)</f>
        <v/>
      </c>
      <c r="E76" s="211">
        <f>(([7]Consolidated!E76)*1000)*(1/0.79941)</f>
        <v/>
      </c>
      <c r="F76" s="211">
        <f>(([7]Consolidated!F76)*1000)*(1/0.79941)</f>
        <v/>
      </c>
      <c r="G76" s="211">
        <f>(([7]Consolidated!G76)*1000)*(1/0.79941)</f>
        <v/>
      </c>
      <c r="H76" s="211">
        <f>(([7]Consolidated!H76)*1000)*(1/0.79941)</f>
        <v/>
      </c>
      <c r="I76" s="211">
        <f>(([7]Consolidated!I76)*1000)*(1/0.79941)</f>
        <v/>
      </c>
      <c r="J76" s="213">
        <f>(([7]Consolidated!J76)*1000)*(1/0.79941)</f>
        <v/>
      </c>
      <c r="K76" s="185" t="n"/>
      <c r="L76" s="213">
        <f>(([7]Consolidated!L76)*1000)*(1/0.79941)</f>
        <v/>
      </c>
      <c r="M76" s="211">
        <f>(([7]Consolidated!M76)*1000)*(1/0.79941)</f>
        <v/>
      </c>
      <c r="N76" s="206">
        <f>(([7]Consolidated!N76)*1000)*(1/0.79941)</f>
        <v/>
      </c>
    </row>
    <row r="77" ht="13.5" customHeight="1" s="150">
      <c r="A77" s="176" t="n"/>
      <c r="B77" s="176" t="n"/>
      <c r="C77" s="207" t="inlineStr">
        <is>
          <t xml:space="preserve">Operating expenses </t>
        </is>
      </c>
      <c r="D77" s="215">
        <f>(([7]Consolidated!D77)*1000)*(1/0.79941)</f>
        <v/>
      </c>
      <c r="E77" s="215">
        <f>(([7]Consolidated!E77)*1000)*(1/0.79941)</f>
        <v/>
      </c>
      <c r="F77" s="215">
        <f>(([7]Consolidated!F77)*1000)*(1/0.79941)</f>
        <v/>
      </c>
      <c r="G77" s="215">
        <f>(([7]Consolidated!G77)*1000)*(1/0.79941)</f>
        <v/>
      </c>
      <c r="H77" s="215">
        <f>(([7]Consolidated!H77)*1000)*(1/0.79941)</f>
        <v/>
      </c>
      <c r="I77" s="215">
        <f>(([7]Consolidated!I77)*1000)*(1/0.79941)</f>
        <v/>
      </c>
      <c r="J77" s="210">
        <f>(([7]Consolidated!J77)*1000)*(1/0.79941)</f>
        <v/>
      </c>
      <c r="K77" s="185" t="n"/>
      <c r="L77" s="210">
        <f>(([7]Consolidated!L77)*1000)*(1/0.79941)</f>
        <v/>
      </c>
      <c r="M77" s="215">
        <f>(([7]Consolidated!M77)*1000)*(1/0.79941)</f>
        <v/>
      </c>
      <c r="N77" s="210">
        <f>(([7]Consolidated!N77)*1000)*(1/0.79941)</f>
        <v/>
      </c>
    </row>
    <row r="78" ht="12.75" customHeight="1" s="150">
      <c r="C78" s="202" t="n"/>
      <c r="D78" s="211">
        <f>0*(1/0.79941)</f>
        <v/>
      </c>
      <c r="E78" s="211">
        <f>0*(1/0.79941)</f>
        <v/>
      </c>
      <c r="F78" s="211">
        <f>0*(1/0.79941)</f>
        <v/>
      </c>
      <c r="G78" s="211">
        <f>0*(1/0.79941)</f>
        <v/>
      </c>
      <c r="H78" s="211">
        <f>0*(1/0.79941)</f>
        <v/>
      </c>
      <c r="I78" s="211">
        <f>0*(1/0.79941)</f>
        <v/>
      </c>
      <c r="J78" s="218">
        <f>0*(1/0.79941)</f>
        <v/>
      </c>
      <c r="K78" s="185" t="n"/>
      <c r="L78" s="213">
        <f>0*(1/0.79941)</f>
        <v/>
      </c>
      <c r="M78" s="211">
        <f>0*(1/0.79941)</f>
        <v/>
      </c>
      <c r="N78" s="218">
        <f>0*(1/0.79941)</f>
        <v/>
      </c>
    </row>
    <row r="79" ht="12.75" customHeight="1" s="150">
      <c r="C79" s="202" t="inlineStr">
        <is>
          <t>HR &amp; Comms</t>
        </is>
      </c>
      <c r="D79" s="211">
        <f>(([7]Consolidated!D79)*1000)*(1/0.79941)</f>
        <v/>
      </c>
      <c r="E79" s="211">
        <f>(([7]Consolidated!E79)*1000)*(1/0.79941)</f>
        <v/>
      </c>
      <c r="F79" s="211">
        <f>(([7]Consolidated!F79)*1000)*(1/0.79941)</f>
        <v/>
      </c>
      <c r="G79" s="211">
        <f>(([7]Consolidated!G79)*1000)*(1/0.79941)</f>
        <v/>
      </c>
      <c r="H79" s="211">
        <f>(([7]Consolidated!H79)*1000)*(1/0.79941)</f>
        <v/>
      </c>
      <c r="I79" s="211">
        <f>(([7]Consolidated!I79)*1000)*(1/0.79941)</f>
        <v/>
      </c>
      <c r="J79" s="213">
        <f>(([7]Consolidated!J79)*1000)*(1/0.79941)</f>
        <v/>
      </c>
      <c r="K79" s="185" t="n"/>
      <c r="L79" s="213">
        <f>(([7]Consolidated!L79)*1000)*(1/0.79941)</f>
        <v/>
      </c>
      <c r="M79" s="211">
        <f>(([7]Consolidated!M79)*1000)*(1/0.79941)</f>
        <v/>
      </c>
      <c r="N79" s="206">
        <f>(([7]Consolidated!N79)*1000)*(1/0.79941)</f>
        <v/>
      </c>
    </row>
    <row r="80" ht="12.75" customHeight="1" s="150">
      <c r="C80" s="202" t="inlineStr">
        <is>
          <t>Finance &amp; Business Support</t>
        </is>
      </c>
      <c r="D80" s="211">
        <f>(([7]Consolidated!D80)*1000)*(1/0.79941)</f>
        <v/>
      </c>
      <c r="E80" s="211">
        <f>(([7]Consolidated!E80)*1000)*(1/0.79941)</f>
        <v/>
      </c>
      <c r="F80" s="211">
        <f>(([7]Consolidated!F80)*1000)*(1/0.79941)</f>
        <v/>
      </c>
      <c r="G80" s="211">
        <f>(([7]Consolidated!G80)*1000)*(1/0.79941)</f>
        <v/>
      </c>
      <c r="H80" s="211">
        <f>(([7]Consolidated!H80)*1000)*(1/0.79941)</f>
        <v/>
      </c>
      <c r="I80" s="211">
        <f>(([7]Consolidated!I80)*1000)*(1/0.79941)</f>
        <v/>
      </c>
      <c r="J80" s="213">
        <f>(([7]Consolidated!J80)*1000)*(1/0.79941)</f>
        <v/>
      </c>
      <c r="K80" s="185" t="n"/>
      <c r="L80" s="213">
        <f>(([7]Consolidated!L80)*1000)*(1/0.79941)</f>
        <v/>
      </c>
      <c r="M80" s="211">
        <f>(([7]Consolidated!M80)*1000)*(1/0.79941)</f>
        <v/>
      </c>
      <c r="N80" s="206">
        <f>(([7]Consolidated!N80)*1000)*(1/0.79941)</f>
        <v/>
      </c>
    </row>
    <row r="81" ht="12.75" customHeight="1" s="150">
      <c r="C81" s="202" t="inlineStr">
        <is>
          <t>IT alloc</t>
        </is>
      </c>
      <c r="D81" s="211">
        <f>(([7]Consolidated!D81)*1000)*(1/0.79941)</f>
        <v/>
      </c>
      <c r="E81" s="211">
        <f>(([7]Consolidated!E81)*1000)*(1/0.79941)</f>
        <v/>
      </c>
      <c r="F81" s="211">
        <f>(([7]Consolidated!F81)*1000)*(1/0.79941)</f>
        <v/>
      </c>
      <c r="G81" s="211">
        <f>(([7]Consolidated!G81)*1000)*(1/0.79941)</f>
        <v/>
      </c>
      <c r="H81" s="211">
        <f>(([7]Consolidated!H81)*1000)*(1/0.79941)</f>
        <v/>
      </c>
      <c r="I81" s="211">
        <f>(([7]Consolidated!I81)*1000)*(1/0.79941)</f>
        <v/>
      </c>
      <c r="J81" s="213">
        <f>(([7]Consolidated!J81)*1000)*(1/0.79941)</f>
        <v/>
      </c>
      <c r="K81" s="185" t="n"/>
      <c r="L81" s="213">
        <f>(([7]Consolidated!L81)*1000)*(1/0.79941)</f>
        <v/>
      </c>
      <c r="M81" s="211">
        <f>(([7]Consolidated!M81)*1000)*(1/0.79941)</f>
        <v/>
      </c>
      <c r="N81" s="206">
        <f>(([7]Consolidated!N81)*1000)*(1/0.79941)</f>
        <v/>
      </c>
    </row>
    <row r="82" ht="12.75" customHeight="1" s="150">
      <c r="C82" s="202" t="inlineStr">
        <is>
          <t>Facilities Management</t>
        </is>
      </c>
      <c r="D82" s="211">
        <f>(([7]Consolidated!D82)*1000)*(1/0.79941)</f>
        <v/>
      </c>
      <c r="E82" s="211">
        <f>(([7]Consolidated!E82)*1000)*(1/0.79941)</f>
        <v/>
      </c>
      <c r="F82" s="211">
        <f>(([7]Consolidated!F82)*1000)*(1/0.79941)</f>
        <v/>
      </c>
      <c r="G82" s="211">
        <f>(([7]Consolidated!G82)*1000)*(1/0.79941)</f>
        <v/>
      </c>
      <c r="H82" s="211">
        <f>(([7]Consolidated!H82)*1000)*(1/0.79941)</f>
        <v/>
      </c>
      <c r="I82" s="211">
        <f>(([7]Consolidated!I82)*1000)*(1/0.79941)</f>
        <v/>
      </c>
      <c r="J82" s="213">
        <f>(([7]Consolidated!J82)*1000)*(1/0.79941)</f>
        <v/>
      </c>
      <c r="K82" s="185" t="n"/>
      <c r="L82" s="213">
        <f>(([7]Consolidated!L82)*1000)*(1/0.79941)</f>
        <v/>
      </c>
      <c r="M82" s="211">
        <f>(([7]Consolidated!M82)*1000)*(1/0.79941)</f>
        <v/>
      </c>
      <c r="N82" s="206">
        <f>(([7]Consolidated!N82)*1000)*(1/0.79941)</f>
        <v/>
      </c>
    </row>
    <row r="83" ht="13.5" customHeight="1" s="150">
      <c r="C83" s="207" t="inlineStr">
        <is>
          <t>Overheads</t>
        </is>
      </c>
      <c r="D83" s="215">
        <f>(([7]Consolidated!D83)*1000)*(1/0.79941)</f>
        <v/>
      </c>
      <c r="E83" s="215">
        <f>(([7]Consolidated!E83)*1000)*(1/0.79941)</f>
        <v/>
      </c>
      <c r="F83" s="215">
        <f>(([7]Consolidated!F83)*1000)*(1/0.79941)</f>
        <v/>
      </c>
      <c r="G83" s="215">
        <f>(([7]Consolidated!G83)*1000)*(1/0.79941)</f>
        <v/>
      </c>
      <c r="H83" s="215">
        <f>(([7]Consolidated!H83)*1000)*(1/0.79941)</f>
        <v/>
      </c>
      <c r="I83" s="215">
        <f>(([7]Consolidated!I83)*1000)*(1/0.79941)</f>
        <v/>
      </c>
      <c r="J83" s="210">
        <f>(([7]Consolidated!J83)*1000)*(1/0.79941)</f>
        <v/>
      </c>
      <c r="K83" s="185" t="n"/>
      <c r="L83" s="210">
        <f>(([7]Consolidated!L83)*1000)*(1/0.79941)</f>
        <v/>
      </c>
      <c r="M83" s="215">
        <f>(([7]Consolidated!M83)*1000)*(1/0.79941)</f>
        <v/>
      </c>
      <c r="N83" s="210">
        <f>(([7]Consolidated!N83)*1000)*(1/0.79941)</f>
        <v/>
      </c>
    </row>
    <row r="84" ht="12.75" customHeight="1" s="150">
      <c r="C84" s="202" t="n"/>
      <c r="D84" s="211">
        <f>0*(1/0.79941)</f>
        <v/>
      </c>
      <c r="E84" s="211">
        <f>0*(1/0.79941)</f>
        <v/>
      </c>
      <c r="F84" s="211">
        <f>0*(1/0.79941)</f>
        <v/>
      </c>
      <c r="G84" s="211">
        <f>0*(1/0.79941)</f>
        <v/>
      </c>
      <c r="H84" s="211">
        <f>0*(1/0.79941)</f>
        <v/>
      </c>
      <c r="I84" s="211">
        <f>0*(1/0.79941)</f>
        <v/>
      </c>
      <c r="J84" s="218">
        <f>0*(1/0.79941)</f>
        <v/>
      </c>
      <c r="K84" s="185" t="n"/>
      <c r="L84" s="213">
        <f>0*(1/0.79941)</f>
        <v/>
      </c>
      <c r="M84" s="211">
        <f>0*(1/0.79941)</f>
        <v/>
      </c>
      <c r="N84" s="218">
        <f>0*(1/0.79941)</f>
        <v/>
      </c>
    </row>
    <row r="85" ht="13.5" customHeight="1" s="150">
      <c r="C85" s="207" t="inlineStr">
        <is>
          <t>Total Operating Costs (incl. O/H)</t>
        </is>
      </c>
      <c r="D85" s="215">
        <f>(([7]Consolidated!D85)*1000)*(1/0.79941)</f>
        <v/>
      </c>
      <c r="E85" s="215">
        <f>(([7]Consolidated!E85)*1000)*(1/0.79941)</f>
        <v/>
      </c>
      <c r="F85" s="215">
        <f>(([7]Consolidated!F85)*1000)*(1/0.79941)</f>
        <v/>
      </c>
      <c r="G85" s="215">
        <f>(([7]Consolidated!G85)*1000)*(1/0.79941)</f>
        <v/>
      </c>
      <c r="H85" s="215">
        <f>(([7]Consolidated!H85)*1000)*(1/0.79941)</f>
        <v/>
      </c>
      <c r="I85" s="215">
        <f>(([7]Consolidated!I85)*1000)*(1/0.79941)</f>
        <v/>
      </c>
      <c r="J85" s="210">
        <f>(([7]Consolidated!J85)*1000)*(1/0.79941)</f>
        <v/>
      </c>
      <c r="K85" s="185" t="n"/>
      <c r="L85" s="210">
        <f>(([7]Consolidated!L85)*1000)*(1/0.79941)</f>
        <v/>
      </c>
      <c r="M85" s="215">
        <f>(([7]Consolidated!M85)*1000)*(1/0.79941)</f>
        <v/>
      </c>
      <c r="N85" s="210">
        <f>(([7]Consolidated!N85)*1000)*(1/0.79941)</f>
        <v/>
      </c>
    </row>
    <row r="86"/>
    <row r="87"/>
    <row r="88" ht="13.5" customHeight="1" s="150"/>
    <row r="89" ht="45.75" customHeight="1" s="150">
      <c r="C89" s="219" t="inlineStr">
        <is>
          <t>PASS THROUGH COSTS
(US$  excl. VAT)</t>
        </is>
      </c>
      <c r="D89" s="220">
        <f>[7]Consolidated!D89</f>
        <v/>
      </c>
      <c r="E89" s="220">
        <f>[7]Consolidated!E89</f>
        <v/>
      </c>
      <c r="F89" s="220">
        <f>[7]Consolidated!F89</f>
        <v/>
      </c>
      <c r="G89" s="220">
        <f>[7]Consolidated!G89</f>
        <v/>
      </c>
      <c r="H89" s="220">
        <f>[7]Consolidated!H89</f>
        <v/>
      </c>
      <c r="I89" s="221">
        <f>[7]Consolidated!I89</f>
        <v/>
      </c>
      <c r="J89" s="222">
        <f>[7]Consolidated!J89</f>
        <v/>
      </c>
      <c r="K89" s="165" t="n"/>
      <c r="L89" s="220">
        <f>[7]Consolidated!L89</f>
        <v/>
      </c>
      <c r="M89" s="223">
        <f>[7]Consolidated!M89</f>
        <v/>
      </c>
      <c r="N89" s="220">
        <f>[7]Consolidated!N89</f>
        <v/>
      </c>
    </row>
    <row r="90" ht="12.75" customHeight="1" s="150">
      <c r="C90" s="224" t="inlineStr">
        <is>
          <t>Internal FTE</t>
        </is>
      </c>
      <c r="D90" s="231">
        <f>[7]Consolidated!D90</f>
        <v/>
      </c>
      <c r="E90" s="231">
        <f>[7]Consolidated!E90</f>
        <v/>
      </c>
      <c r="F90" s="231">
        <f>[7]Consolidated!F90</f>
        <v/>
      </c>
      <c r="G90" s="231">
        <f>[7]Consolidated!G90</f>
        <v/>
      </c>
      <c r="H90" s="231">
        <f>[7]Consolidated!H90</f>
        <v/>
      </c>
      <c r="I90" s="231">
        <f>[7]Consolidated!I90</f>
        <v/>
      </c>
      <c r="J90" s="232" t="n"/>
      <c r="K90" s="185" t="n"/>
      <c r="L90" s="233">
        <f>[7]Consolidated!L90</f>
        <v/>
      </c>
      <c r="M90" s="231">
        <f>[7]Consolidated!M90</f>
        <v/>
      </c>
      <c r="N90" s="234">
        <f>[7]Consolidated!N90</f>
        <v/>
      </c>
    </row>
    <row r="91" ht="12.75" customHeight="1" s="150">
      <c r="C91" s="224" t="inlineStr">
        <is>
          <t>External FTE</t>
        </is>
      </c>
      <c r="D91" s="231">
        <f>[7]Consolidated!D91</f>
        <v/>
      </c>
      <c r="E91" s="231">
        <f>[7]Consolidated!E91</f>
        <v/>
      </c>
      <c r="F91" s="231">
        <f>[7]Consolidated!F91</f>
        <v/>
      </c>
      <c r="G91" s="231">
        <f>[7]Consolidated!G91</f>
        <v/>
      </c>
      <c r="H91" s="231">
        <f>[7]Consolidated!H91</f>
        <v/>
      </c>
      <c r="I91" s="231">
        <f>[7]Consolidated!I91</f>
        <v/>
      </c>
      <c r="J91" s="232" t="n"/>
      <c r="K91" s="185" t="n"/>
      <c r="L91" s="233">
        <f>[7]Consolidated!L91</f>
        <v/>
      </c>
      <c r="M91" s="231">
        <f>[7]Consolidated!M91</f>
        <v/>
      </c>
      <c r="N91" s="234">
        <f>[7]Consolidated!N91</f>
        <v/>
      </c>
    </row>
    <row r="92" ht="13.5" customHeight="1" s="150">
      <c r="C92" s="228" t="inlineStr">
        <is>
          <t>Total FTE</t>
        </is>
      </c>
      <c r="D92" s="236">
        <f>[7]Consolidated!D92</f>
        <v/>
      </c>
      <c r="E92" s="236">
        <f>[7]Consolidated!E92</f>
        <v/>
      </c>
      <c r="F92" s="236">
        <f>[7]Consolidated!F92</f>
        <v/>
      </c>
      <c r="G92" s="236">
        <f>[7]Consolidated!G92</f>
        <v/>
      </c>
      <c r="H92" s="236">
        <f>[7]Consolidated!H92</f>
        <v/>
      </c>
      <c r="I92" s="236">
        <f>[7]Consolidated!I92</f>
        <v/>
      </c>
      <c r="J92" s="290" t="n"/>
      <c r="K92" s="185" t="n"/>
      <c r="L92" s="237">
        <f>[7]Consolidated!L92</f>
        <v/>
      </c>
      <c r="M92" s="236">
        <f>[7]Consolidated!M92</f>
        <v/>
      </c>
      <c r="N92" s="237">
        <f>[7]Consolidated!N92</f>
        <v/>
      </c>
    </row>
    <row r="93" ht="12.75" customHeight="1" s="150">
      <c r="C93" s="224" t="n"/>
      <c r="D93" s="231" t="n"/>
      <c r="E93" s="231" t="n"/>
      <c r="F93" s="231" t="n"/>
      <c r="G93" s="231" t="n"/>
      <c r="H93" s="231" t="n"/>
      <c r="I93" s="231" t="n"/>
      <c r="J93" s="232" t="n"/>
      <c r="K93" s="185" t="n"/>
      <c r="L93" s="233" t="n"/>
      <c r="M93" s="231" t="n"/>
      <c r="N93" s="234" t="n"/>
    </row>
    <row r="94" ht="12.75" customHeight="1" s="150">
      <c r="C94" s="224" t="inlineStr">
        <is>
          <t>Salaries</t>
        </is>
      </c>
      <c r="D94" s="231">
        <f>(([7]Consolidated!D94)*1000)*(1/0.79941)</f>
        <v/>
      </c>
      <c r="E94" s="231">
        <f>(([7]Consolidated!E94)*1000)*(1/0.79941)</f>
        <v/>
      </c>
      <c r="F94" s="231">
        <f>(([7]Consolidated!F94)*1000)*(1/0.79941)</f>
        <v/>
      </c>
      <c r="G94" s="231">
        <f>(([7]Consolidated!G94)*1000)*(1/0.79941)</f>
        <v/>
      </c>
      <c r="H94" s="231">
        <f>(([7]Consolidated!H94)*1000)*(1/0.79941)</f>
        <v/>
      </c>
      <c r="I94" s="231">
        <f>(([7]Consolidated!I94)*1000)*(1/0.79941)</f>
        <v/>
      </c>
      <c r="J94" s="233">
        <f>(([7]Consolidated!J94)*1000)*(1/0.79941)</f>
        <v/>
      </c>
      <c r="K94" s="185" t="n"/>
      <c r="L94" s="233">
        <f>(([7]Consolidated!L94)*1000)*(1/0.79941)</f>
        <v/>
      </c>
      <c r="M94" s="231">
        <f>(([7]Consolidated!M94)*1000)*(1/0.79941)</f>
        <v/>
      </c>
      <c r="N94" s="234">
        <f>(([7]Consolidated!N94)*1000)*(1/0.79941)</f>
        <v/>
      </c>
    </row>
    <row r="95" ht="12.75" customHeight="1" s="150">
      <c r="C95" s="224" t="inlineStr">
        <is>
          <t>Bonuses</t>
        </is>
      </c>
      <c r="D95" s="231">
        <f>(([7]Consolidated!D95)*1000)*(1/0.79941)</f>
        <v/>
      </c>
      <c r="E95" s="231">
        <f>(([7]Consolidated!E95)*1000)*(1/0.79941)</f>
        <v/>
      </c>
      <c r="F95" s="231">
        <f>(([7]Consolidated!F95)*1000)*(1/0.79941)</f>
        <v/>
      </c>
      <c r="G95" s="231">
        <f>(([7]Consolidated!G95)*1000)*(1/0.79941)</f>
        <v/>
      </c>
      <c r="H95" s="231">
        <f>(([7]Consolidated!H95)*1000)*(1/0.79941)</f>
        <v/>
      </c>
      <c r="I95" s="231">
        <f>(([7]Consolidated!I95)*1000)*(1/0.79941)</f>
        <v/>
      </c>
      <c r="J95" s="233">
        <f>(([7]Consolidated!J95)*1000)*(1/0.79941)</f>
        <v/>
      </c>
      <c r="K95" s="185" t="n"/>
      <c r="L95" s="233">
        <f>(([7]Consolidated!L95)*1000)*(1/0.79941)</f>
        <v/>
      </c>
      <c r="M95" s="231">
        <f>(([7]Consolidated!M95)*1000)*(1/0.79941)</f>
        <v/>
      </c>
      <c r="N95" s="234">
        <f>(([7]Consolidated!N95)*1000)*(1/0.79941)</f>
        <v/>
      </c>
    </row>
    <row r="96" ht="12.75" customHeight="1" s="150">
      <c r="C96" s="224" t="inlineStr">
        <is>
          <t>Third party staff, ex IT</t>
        </is>
      </c>
      <c r="D96" s="231">
        <f>(([7]Consolidated!D96)*1000)*(1/0.79941)</f>
        <v/>
      </c>
      <c r="E96" s="231">
        <f>(([7]Consolidated!E96)*1000)*(1/0.79941)</f>
        <v/>
      </c>
      <c r="F96" s="231">
        <f>(([7]Consolidated!F96)*1000)*(1/0.79941)</f>
        <v/>
      </c>
      <c r="G96" s="231">
        <f>(([7]Consolidated!G96)*1000)*(1/0.79941)</f>
        <v/>
      </c>
      <c r="H96" s="231">
        <f>(([7]Consolidated!H96)*1000)*(1/0.79941)</f>
        <v/>
      </c>
      <c r="I96" s="231">
        <f>(([7]Consolidated!I96)*1000)*(1/0.79941)</f>
        <v/>
      </c>
      <c r="J96" s="233">
        <f>(([7]Consolidated!J96)*1000)*(1/0.79941)</f>
        <v/>
      </c>
      <c r="K96" s="185" t="n"/>
      <c r="L96" s="233">
        <f>(([7]Consolidated!L96)*1000)*(1/0.79941)</f>
        <v/>
      </c>
      <c r="M96" s="231">
        <f>(([7]Consolidated!M96)*1000)*(1/0.79941)</f>
        <v/>
      </c>
      <c r="N96" s="234">
        <f>(([7]Consolidated!N96)*1000)*(1/0.79941)</f>
        <v/>
      </c>
    </row>
    <row r="97" ht="12.75" customHeight="1" s="150">
      <c r="C97" s="224" t="inlineStr">
        <is>
          <t>Third party IT staff</t>
        </is>
      </c>
      <c r="D97" s="231">
        <f>(([7]Consolidated!D97)*1000)*(1/0.79941)</f>
        <v/>
      </c>
      <c r="E97" s="231">
        <f>(([7]Consolidated!E97)*1000)*(1/0.79941)</f>
        <v/>
      </c>
      <c r="F97" s="231">
        <f>(([7]Consolidated!F97)*1000)*(1/0.79941)</f>
        <v/>
      </c>
      <c r="G97" s="231">
        <f>(([7]Consolidated!G97)*1000)*(1/0.79941)</f>
        <v/>
      </c>
      <c r="H97" s="231">
        <f>(([7]Consolidated!H97)*1000)*(1/0.79941)</f>
        <v/>
      </c>
      <c r="I97" s="231">
        <f>(([7]Consolidated!I97)*1000)*(1/0.79941)</f>
        <v/>
      </c>
      <c r="J97" s="233">
        <f>(([7]Consolidated!J97)*1000)*(1/0.79941)</f>
        <v/>
      </c>
      <c r="K97" s="185" t="n"/>
      <c r="L97" s="233">
        <f>(([7]Consolidated!L97)*1000)*(1/0.79941)</f>
        <v/>
      </c>
      <c r="M97" s="231">
        <f>(([7]Consolidated!M97)*1000)*(1/0.79941)</f>
        <v/>
      </c>
      <c r="N97" s="234">
        <f>(([7]Consolidated!N97)*1000)*(1/0.79941)</f>
        <v/>
      </c>
    </row>
    <row r="98" ht="12.75" customHeight="1" s="150">
      <c r="C98" s="224" t="inlineStr">
        <is>
          <t>Employee education</t>
        </is>
      </c>
      <c r="D98" s="231">
        <f>(([7]Consolidated!D98)*1000)*(1/0.79941)</f>
        <v/>
      </c>
      <c r="E98" s="231">
        <f>(([7]Consolidated!E98)*1000)*(1/0.79941)</f>
        <v/>
      </c>
      <c r="F98" s="231">
        <f>(([7]Consolidated!F98)*1000)*(1/0.79941)</f>
        <v/>
      </c>
      <c r="G98" s="231">
        <f>(([7]Consolidated!G98)*1000)*(1/0.79941)</f>
        <v/>
      </c>
      <c r="H98" s="231">
        <f>(([7]Consolidated!H98)*1000)*(1/0.79941)</f>
        <v/>
      </c>
      <c r="I98" s="231">
        <f>(([7]Consolidated!I98)*1000)*(1/0.79941)</f>
        <v/>
      </c>
      <c r="J98" s="233">
        <f>(([7]Consolidated!J98)*1000)*(1/0.79941)</f>
        <v/>
      </c>
      <c r="K98" s="185" t="n"/>
      <c r="L98" s="233">
        <f>(([7]Consolidated!L98)*1000)*(1/0.79941)</f>
        <v/>
      </c>
      <c r="M98" s="231">
        <f>(([7]Consolidated!M98)*1000)*(1/0.79941)</f>
        <v/>
      </c>
      <c r="N98" s="234">
        <f>(([7]Consolidated!N98)*1000)*(1/0.79941)</f>
        <v/>
      </c>
    </row>
    <row r="99" ht="12.75" customHeight="1" s="150">
      <c r="C99" s="224" t="inlineStr">
        <is>
          <t>Other staff expenses</t>
        </is>
      </c>
      <c r="D99" s="231">
        <f>(([7]Consolidated!D99)*1000)*(1/0.79941)</f>
        <v/>
      </c>
      <c r="E99" s="231">
        <f>(([7]Consolidated!E99)*1000)*(1/0.79941)</f>
        <v/>
      </c>
      <c r="F99" s="231">
        <f>(([7]Consolidated!F99)*1000)*(1/0.79941)</f>
        <v/>
      </c>
      <c r="G99" s="231">
        <f>(([7]Consolidated!G99)*1000)*(1/0.79941)</f>
        <v/>
      </c>
      <c r="H99" s="231">
        <f>(([7]Consolidated!H99)*1000)*(1/0.79941)</f>
        <v/>
      </c>
      <c r="I99" s="231">
        <f>(([7]Consolidated!I99)*1000)*(1/0.79941)</f>
        <v/>
      </c>
      <c r="J99" s="235">
        <f>(([7]Consolidated!J99)*1000)*(1/0.79941)</f>
        <v/>
      </c>
      <c r="K99" s="185" t="n"/>
      <c r="L99" s="233">
        <f>(([7]Consolidated!L99)*1000)*(1/0.79941)</f>
        <v/>
      </c>
      <c r="M99" s="231">
        <f>(([7]Consolidated!M99)*1000)*(1/0.79941)</f>
        <v/>
      </c>
      <c r="N99" s="234">
        <f>(([7]Consolidated!N99)*1000)*(1/0.79941)</f>
        <v/>
      </c>
    </row>
    <row r="100" ht="13.5" customHeight="1" s="150">
      <c r="C100" s="228" t="inlineStr">
        <is>
          <t>Staff expenses</t>
        </is>
      </c>
      <c r="D100" s="236">
        <f>(([7]Consolidated!D100)*1000)*(1/0.79941)</f>
        <v/>
      </c>
      <c r="E100" s="236">
        <f>(([7]Consolidated!E100)*1000)*(1/0.79941)</f>
        <v/>
      </c>
      <c r="F100" s="236">
        <f>(([7]Consolidated!F100)*1000)*(1/0.79941)</f>
        <v/>
      </c>
      <c r="G100" s="236">
        <f>(([7]Consolidated!G100)*1000)*(1/0.79941)</f>
        <v/>
      </c>
      <c r="H100" s="236">
        <f>(([7]Consolidated!H100)*1000)*(1/0.79941)</f>
        <v/>
      </c>
      <c r="I100" s="236">
        <f>(([7]Consolidated!I100)*1000)*(1/0.79941)</f>
        <v/>
      </c>
      <c r="J100" s="237">
        <f>(([7]Consolidated!J100)*1000)*(1/0.79941)</f>
        <v/>
      </c>
      <c r="K100" s="185" t="n"/>
      <c r="L100" s="237">
        <f>(([7]Consolidated!L100)*1000)*(1/0.79941)</f>
        <v/>
      </c>
      <c r="M100" s="236">
        <f>(([7]Consolidated!M100)*1000)*(1/0.79941)</f>
        <v/>
      </c>
      <c r="N100" s="237">
        <f>(([7]Consolidated!N100)*1000)*(1/0.79941)</f>
        <v/>
      </c>
    </row>
    <row r="101" ht="12.75" customHeight="1" s="150">
      <c r="C101" s="224" t="inlineStr">
        <is>
          <t>Hardware expenses</t>
        </is>
      </c>
      <c r="D101" s="231">
        <f>(([7]Consolidated!D101)*1000)*(1/0.79941)</f>
        <v/>
      </c>
      <c r="E101" s="231">
        <f>(([7]Consolidated!E101)*1000)*(1/0.79941)</f>
        <v/>
      </c>
      <c r="F101" s="231">
        <f>(([7]Consolidated!F101)*1000)*(1/0.79941)</f>
        <v/>
      </c>
      <c r="G101" s="231">
        <f>(([7]Consolidated!G101)*1000)*(1/0.79941)</f>
        <v/>
      </c>
      <c r="H101" s="231">
        <f>(([7]Consolidated!H101)*1000)*(1/0.79941)</f>
        <v/>
      </c>
      <c r="I101" s="231">
        <f>(([7]Consolidated!I101)*1000)*(1/0.79941)</f>
        <v/>
      </c>
      <c r="J101" s="233">
        <f>(([7]Consolidated!J101)*1000)*(1/0.79941)</f>
        <v/>
      </c>
      <c r="K101" s="185" t="n"/>
      <c r="L101" s="233">
        <f>(([7]Consolidated!L101)*1000)*(1/0.79941)</f>
        <v/>
      </c>
      <c r="M101" s="231">
        <f>(([7]Consolidated!M101)*1000)*(1/0.79941)</f>
        <v/>
      </c>
      <c r="N101" s="234">
        <f>(([7]Consolidated!N101)*1000)*(1/0.79941)</f>
        <v/>
      </c>
    </row>
    <row r="102" ht="12.75" customHeight="1" s="150">
      <c r="C102" s="224" t="inlineStr">
        <is>
          <t>Leasing/renting hardware</t>
        </is>
      </c>
      <c r="D102" s="231">
        <f>(([7]Consolidated!D102)*1000)*(1/0.79941)</f>
        <v/>
      </c>
      <c r="E102" s="231">
        <f>(([7]Consolidated!E102)*1000)*(1/0.79941)</f>
        <v/>
      </c>
      <c r="F102" s="231">
        <f>(([7]Consolidated!F102)*1000)*(1/0.79941)</f>
        <v/>
      </c>
      <c r="G102" s="231">
        <f>(([7]Consolidated!G102)*1000)*(1/0.79941)</f>
        <v/>
      </c>
      <c r="H102" s="231">
        <f>(([7]Consolidated!H102)*1000)*(1/0.79941)</f>
        <v/>
      </c>
      <c r="I102" s="231">
        <f>(([7]Consolidated!I102)*1000)*(1/0.79941)</f>
        <v/>
      </c>
      <c r="J102" s="233">
        <f>(([7]Consolidated!J102)*1000)*(1/0.79941)</f>
        <v/>
      </c>
      <c r="K102" s="185" t="n"/>
      <c r="L102" s="233">
        <f>(([7]Consolidated!L102)*1000)*(1/0.79941)</f>
        <v/>
      </c>
      <c r="M102" s="231">
        <f>(([7]Consolidated!M102)*1000)*(1/0.79941)</f>
        <v/>
      </c>
      <c r="N102" s="234">
        <f>(([7]Consolidated!N102)*1000)*(1/0.79941)</f>
        <v/>
      </c>
    </row>
    <row r="103" ht="12.75" customHeight="1" s="150">
      <c r="C103" s="224" t="inlineStr">
        <is>
          <t>Software expenses</t>
        </is>
      </c>
      <c r="D103" s="231">
        <f>(([7]Consolidated!D103)*1000)*(1/0.79941)</f>
        <v/>
      </c>
      <c r="E103" s="231">
        <f>(([7]Consolidated!E103)*1000)*(1/0.79941)</f>
        <v/>
      </c>
      <c r="F103" s="231">
        <f>(([7]Consolidated!F103)*1000)*(1/0.79941)</f>
        <v/>
      </c>
      <c r="G103" s="231">
        <f>(([7]Consolidated!G103)*1000)*(1/0.79941)</f>
        <v/>
      </c>
      <c r="H103" s="231">
        <f>(([7]Consolidated!H103)*1000)*(1/0.79941)</f>
        <v/>
      </c>
      <c r="I103" s="231">
        <f>(([7]Consolidated!I103)*1000)*(1/0.79941)</f>
        <v/>
      </c>
      <c r="J103" s="233">
        <f>(([7]Consolidated!J103)*1000)*(1/0.79941)</f>
        <v/>
      </c>
      <c r="K103" s="185" t="n"/>
      <c r="L103" s="233">
        <f>(([7]Consolidated!L103)*1000)*(1/0.79941)</f>
        <v/>
      </c>
      <c r="M103" s="231">
        <f>(([7]Consolidated!M103)*1000)*(1/0.79941)</f>
        <v/>
      </c>
      <c r="N103" s="234">
        <f>(([7]Consolidated!N103)*1000)*(1/0.79941)</f>
        <v/>
      </c>
    </row>
    <row r="104" ht="12.75" customHeight="1" s="150">
      <c r="C104" s="224" t="inlineStr">
        <is>
          <t>Leasing/renting/licenses sw</t>
        </is>
      </c>
      <c r="D104" s="231">
        <f>(([7]Consolidated!D104)*1000)*(1/0.79941)</f>
        <v/>
      </c>
      <c r="E104" s="231">
        <f>(([7]Consolidated!E104)*1000)*(1/0.79941)</f>
        <v/>
      </c>
      <c r="F104" s="231">
        <f>(([7]Consolidated!F104)*1000)*(1/0.79941)</f>
        <v/>
      </c>
      <c r="G104" s="231">
        <f>(([7]Consolidated!G104)*1000)*(1/0.79941)</f>
        <v/>
      </c>
      <c r="H104" s="231">
        <f>(([7]Consolidated!H104)*1000)*(1/0.79941)</f>
        <v/>
      </c>
      <c r="I104" s="231">
        <f>(([7]Consolidated!I104)*1000)*(1/0.79941)</f>
        <v/>
      </c>
      <c r="J104" s="233">
        <f>(([7]Consolidated!J104)*1000)*(1/0.79941)</f>
        <v/>
      </c>
      <c r="K104" s="185" t="n"/>
      <c r="L104" s="233">
        <f>(([7]Consolidated!L104)*1000)*(1/0.79941)</f>
        <v/>
      </c>
      <c r="M104" s="231">
        <f>(([7]Consolidated!M104)*1000)*(1/0.79941)</f>
        <v/>
      </c>
      <c r="N104" s="234">
        <f>(([7]Consolidated!N104)*1000)*(1/0.79941)</f>
        <v/>
      </c>
    </row>
    <row r="105" ht="12.75" customHeight="1" s="150">
      <c r="C105" s="224" t="inlineStr">
        <is>
          <t>Depreciation hardware</t>
        </is>
      </c>
      <c r="D105" s="231">
        <f>(([7]Consolidated!D105)*1000)*(1/0.79941)</f>
        <v/>
      </c>
      <c r="E105" s="231">
        <f>(([7]Consolidated!E105)*1000)*(1/0.79941)</f>
        <v/>
      </c>
      <c r="F105" s="231">
        <f>(([7]Consolidated!F105)*1000)*(1/0.79941)</f>
        <v/>
      </c>
      <c r="G105" s="231">
        <f>(([7]Consolidated!G105)*1000)*(1/0.79941)</f>
        <v/>
      </c>
      <c r="H105" s="231">
        <f>(([7]Consolidated!H105)*1000)*(1/0.79941)</f>
        <v/>
      </c>
      <c r="I105" s="231">
        <f>(([7]Consolidated!I105)*1000)*(1/0.79941)</f>
        <v/>
      </c>
      <c r="J105" s="233">
        <f>(([7]Consolidated!J105)*1000)*(1/0.79941)</f>
        <v/>
      </c>
      <c r="K105" s="185" t="n"/>
      <c r="L105" s="233">
        <f>(([7]Consolidated!L105)*1000)*(1/0.79941)</f>
        <v/>
      </c>
      <c r="M105" s="231">
        <f>(([7]Consolidated!M105)*1000)*(1/0.79941)</f>
        <v/>
      </c>
      <c r="N105" s="234">
        <f>(([7]Consolidated!N105)*1000)*(1/0.79941)</f>
        <v/>
      </c>
    </row>
    <row r="106" ht="12.75" customHeight="1" s="150">
      <c r="C106" s="224" t="inlineStr">
        <is>
          <t>Depreciation software</t>
        </is>
      </c>
      <c r="D106" s="231">
        <f>(([7]Consolidated!D106)*1000)*(1/0.79941)</f>
        <v/>
      </c>
      <c r="E106" s="231">
        <f>(([7]Consolidated!E106)*1000)*(1/0.79941)</f>
        <v/>
      </c>
      <c r="F106" s="231">
        <f>(([7]Consolidated!F106)*1000)*(1/0.79941)</f>
        <v/>
      </c>
      <c r="G106" s="231">
        <f>(([7]Consolidated!G106)*1000)*(1/0.79941)</f>
        <v/>
      </c>
      <c r="H106" s="231">
        <f>(([7]Consolidated!H106)*1000)*(1/0.79941)</f>
        <v/>
      </c>
      <c r="I106" s="231">
        <f>(([7]Consolidated!I106)*1000)*(1/0.79941)</f>
        <v/>
      </c>
      <c r="J106" s="233">
        <f>(([7]Consolidated!J106)*1000)*(1/0.79941)</f>
        <v/>
      </c>
      <c r="K106" s="185" t="n"/>
      <c r="L106" s="233">
        <f>(([7]Consolidated!L106)*1000)*(1/0.79941)</f>
        <v/>
      </c>
      <c r="M106" s="231">
        <f>(([7]Consolidated!M106)*1000)*(1/0.79941)</f>
        <v/>
      </c>
      <c r="N106" s="234">
        <f>(([7]Consolidated!N106)*1000)*(1/0.79941)</f>
        <v/>
      </c>
    </row>
    <row r="107" ht="12.75" customHeight="1" s="150">
      <c r="C107" s="224" t="inlineStr">
        <is>
          <t>Outsourcing IT activities</t>
        </is>
      </c>
      <c r="D107" s="231">
        <f>(([7]Consolidated!D107)*1000)*(1/0.79941)</f>
        <v/>
      </c>
      <c r="E107" s="231">
        <f>(([7]Consolidated!E107)*1000)*(1/0.79941)</f>
        <v/>
      </c>
      <c r="F107" s="231">
        <f>(([7]Consolidated!F107)*1000)*(1/0.79941)</f>
        <v/>
      </c>
      <c r="G107" s="231">
        <f>(([7]Consolidated!G107)*1000)*(1/0.79941)</f>
        <v/>
      </c>
      <c r="H107" s="231">
        <f>(([7]Consolidated!H107)*1000)*(1/0.79941)</f>
        <v/>
      </c>
      <c r="I107" s="231">
        <f>(([7]Consolidated!I107)*1000)*(1/0.79941)</f>
        <v/>
      </c>
      <c r="J107" s="233">
        <f>(([7]Consolidated!J107)*1000)*(1/0.79941)</f>
        <v/>
      </c>
      <c r="K107" s="185" t="n"/>
      <c r="L107" s="233">
        <f>(([7]Consolidated!L107)*1000)*(1/0.79941)</f>
        <v/>
      </c>
      <c r="M107" s="231">
        <f>(([7]Consolidated!M107)*1000)*(1/0.79941)</f>
        <v/>
      </c>
      <c r="N107" s="234">
        <f>(([7]Consolidated!N107)*1000)*(1/0.79941)</f>
        <v/>
      </c>
    </row>
    <row r="108" ht="12.75" customHeight="1" s="150">
      <c r="C108" s="224" t="inlineStr">
        <is>
          <t>Other IT expenses</t>
        </is>
      </c>
      <c r="D108" s="231">
        <f>(([7]Consolidated!D108)*1000)*(1/0.79941)</f>
        <v/>
      </c>
      <c r="E108" s="231">
        <f>(([7]Consolidated!E108)*1000)*(1/0.79941)</f>
        <v/>
      </c>
      <c r="F108" s="231">
        <f>(([7]Consolidated!F108)*1000)*(1/0.79941)</f>
        <v/>
      </c>
      <c r="G108" s="231">
        <f>(([7]Consolidated!G108)*1000)*(1/0.79941)</f>
        <v/>
      </c>
      <c r="H108" s="231">
        <f>(([7]Consolidated!H108)*1000)*(1/0.79941)</f>
        <v/>
      </c>
      <c r="I108" s="231">
        <f>(([7]Consolidated!I108)*1000)*(1/0.79941)</f>
        <v/>
      </c>
      <c r="J108" s="233">
        <f>(([7]Consolidated!J108)*1000)*(1/0.79941)</f>
        <v/>
      </c>
      <c r="K108" s="185" t="n"/>
      <c r="L108" s="233">
        <f>(([7]Consolidated!L108)*1000)*(1/0.79941)</f>
        <v/>
      </c>
      <c r="M108" s="231">
        <f>(([7]Consolidated!M108)*1000)*(1/0.79941)</f>
        <v/>
      </c>
      <c r="N108" s="234">
        <f>(([7]Consolidated!N108)*1000)*(1/0.79941)</f>
        <v/>
      </c>
    </row>
    <row r="109" ht="13.5" customHeight="1" s="150">
      <c r="C109" s="228" t="inlineStr">
        <is>
          <t>EDP expenses</t>
        </is>
      </c>
      <c r="D109" s="236">
        <f>(([7]Consolidated!D109)*1000)*(1/0.79941)</f>
        <v/>
      </c>
      <c r="E109" s="236">
        <f>(([7]Consolidated!E109)*1000)*(1/0.79941)</f>
        <v/>
      </c>
      <c r="F109" s="236">
        <f>(([7]Consolidated!F109)*1000)*(1/0.79941)</f>
        <v/>
      </c>
      <c r="G109" s="236">
        <f>(([7]Consolidated!G109)*1000)*(1/0.79941)</f>
        <v/>
      </c>
      <c r="H109" s="236">
        <f>(([7]Consolidated!H109)*1000)*(1/0.79941)</f>
        <v/>
      </c>
      <c r="I109" s="236">
        <f>(([7]Consolidated!I109)*1000)*(1/0.79941)</f>
        <v/>
      </c>
      <c r="J109" s="237">
        <f>(([7]Consolidated!J109)*1000)*(1/0.79941)</f>
        <v/>
      </c>
      <c r="K109" s="185" t="n"/>
      <c r="L109" s="237">
        <f>(([7]Consolidated!L109)*1000)*(1/0.79941)</f>
        <v/>
      </c>
      <c r="M109" s="236">
        <f>(([7]Consolidated!M109)*1000)*(1/0.79941)</f>
        <v/>
      </c>
      <c r="N109" s="237">
        <f>(([7]Consolidated!N109)*1000)*(1/0.79941)</f>
        <v/>
      </c>
    </row>
    <row r="110" ht="12.75" customHeight="1" s="150">
      <c r="C110" s="224" t="inlineStr">
        <is>
          <t>Telecom expenses</t>
        </is>
      </c>
      <c r="D110" s="231">
        <f>(([7]Consolidated!D110)*1000)*(1/0.79941)</f>
        <v/>
      </c>
      <c r="E110" s="231">
        <f>(([7]Consolidated!E110)*1000)*(1/0.79941)</f>
        <v/>
      </c>
      <c r="F110" s="231">
        <f>(([7]Consolidated!F110)*1000)*(1/0.79941)</f>
        <v/>
      </c>
      <c r="G110" s="231">
        <f>(([7]Consolidated!G110)*1000)*(1/0.79941)</f>
        <v/>
      </c>
      <c r="H110" s="231">
        <f>(([7]Consolidated!H110)*1000)*(1/0.79941)</f>
        <v/>
      </c>
      <c r="I110" s="231">
        <f>(([7]Consolidated!I110)*1000)*(1/0.79941)</f>
        <v/>
      </c>
      <c r="J110" s="233">
        <f>(([7]Consolidated!J110)*1000)*(1/0.79941)</f>
        <v/>
      </c>
      <c r="K110" s="185" t="n"/>
      <c r="L110" s="233">
        <f>(([7]Consolidated!L110)*1000)*(1/0.79941)</f>
        <v/>
      </c>
      <c r="M110" s="231">
        <f>(([7]Consolidated!M110)*1000)*(1/0.79941)</f>
        <v/>
      </c>
      <c r="N110" s="234">
        <f>(([7]Consolidated!N110)*1000)*(1/0.79941)</f>
        <v/>
      </c>
    </row>
    <row r="111" ht="12.75" customHeight="1" s="150">
      <c r="C111" s="224" t="inlineStr">
        <is>
          <t>Office equipment and supplies</t>
        </is>
      </c>
      <c r="D111" s="231">
        <f>(([7]Consolidated!D111)*1000)*(1/0.79941)</f>
        <v/>
      </c>
      <c r="E111" s="231">
        <f>(([7]Consolidated!E111)*1000)*(1/0.79941)</f>
        <v/>
      </c>
      <c r="F111" s="231">
        <f>(([7]Consolidated!F111)*1000)*(1/0.79941)</f>
        <v/>
      </c>
      <c r="G111" s="231">
        <f>(([7]Consolidated!G111)*1000)*(1/0.79941)</f>
        <v/>
      </c>
      <c r="H111" s="231">
        <f>(([7]Consolidated!H111)*1000)*(1/0.79941)</f>
        <v/>
      </c>
      <c r="I111" s="231">
        <f>(([7]Consolidated!I111)*1000)*(1/0.79941)</f>
        <v/>
      </c>
      <c r="J111" s="233">
        <f>(([7]Consolidated!J111)*1000)*(1/0.79941)</f>
        <v/>
      </c>
      <c r="K111" s="185" t="n"/>
      <c r="L111" s="233">
        <f>(([7]Consolidated!L111)*1000)*(1/0.79941)</f>
        <v/>
      </c>
      <c r="M111" s="231">
        <f>(([7]Consolidated!M111)*1000)*(1/0.79941)</f>
        <v/>
      </c>
      <c r="N111" s="234">
        <f>(([7]Consolidated!N111)*1000)*(1/0.79941)</f>
        <v/>
      </c>
    </row>
    <row r="112" ht="12.75" customHeight="1" s="150">
      <c r="C112" s="224" t="inlineStr">
        <is>
          <t>Accomodation expenses</t>
        </is>
      </c>
      <c r="D112" s="231">
        <f>(([7]Consolidated!D112)*1000)*(1/0.79941)</f>
        <v/>
      </c>
      <c r="E112" s="231">
        <f>(([7]Consolidated!E112)*1000)*(1/0.79941)</f>
        <v/>
      </c>
      <c r="F112" s="231">
        <f>(([7]Consolidated!F112)*1000)*(1/0.79941)</f>
        <v/>
      </c>
      <c r="G112" s="231">
        <f>(([7]Consolidated!G112)*1000)*(1/0.79941)</f>
        <v/>
      </c>
      <c r="H112" s="231">
        <f>(([7]Consolidated!H112)*1000)*(1/0.79941)</f>
        <v/>
      </c>
      <c r="I112" s="231">
        <f>(([7]Consolidated!I112)*1000)*(1/0.79941)</f>
        <v/>
      </c>
      <c r="J112" s="233">
        <f>(([7]Consolidated!J112)*1000)*(1/0.79941)</f>
        <v/>
      </c>
      <c r="K112" s="185" t="n"/>
      <c r="L112" s="233">
        <f>(([7]Consolidated!L112)*1000)*(1/0.79941)</f>
        <v/>
      </c>
      <c r="M112" s="231">
        <f>(([7]Consolidated!M112)*1000)*(1/0.79941)</f>
        <v/>
      </c>
      <c r="N112" s="234">
        <f>(([7]Consolidated!N112)*1000)*(1/0.79941)</f>
        <v/>
      </c>
    </row>
    <row r="113" ht="12.75" customHeight="1" s="150">
      <c r="C113" s="224" t="inlineStr">
        <is>
          <t>Travel costs</t>
        </is>
      </c>
      <c r="D113" s="231">
        <f>(([7]Consolidated!D113)*1000)*(1/0.79941)</f>
        <v/>
      </c>
      <c r="E113" s="231">
        <f>(([7]Consolidated!E113)*1000)*(1/0.79941)</f>
        <v/>
      </c>
      <c r="F113" s="231">
        <f>(([7]Consolidated!F113)*1000)*(1/0.79941)</f>
        <v/>
      </c>
      <c r="G113" s="231">
        <f>(([7]Consolidated!G113)*1000)*(1/0.79941)</f>
        <v/>
      </c>
      <c r="H113" s="231">
        <f>(([7]Consolidated!H113)*1000)*(1/0.79941)</f>
        <v/>
      </c>
      <c r="I113" s="231">
        <f>(([7]Consolidated!I113)*1000)*(1/0.79941)</f>
        <v/>
      </c>
      <c r="J113" s="233">
        <f>(([7]Consolidated!J113)*1000)*(1/0.79941)</f>
        <v/>
      </c>
      <c r="K113" s="185" t="n"/>
      <c r="L113" s="233">
        <f>(([7]Consolidated!L113)*1000)*(1/0.79941)</f>
        <v/>
      </c>
      <c r="M113" s="231">
        <f>(([7]Consolidated!M113)*1000)*(1/0.79941)</f>
        <v/>
      </c>
      <c r="N113" s="234">
        <f>(([7]Consolidated!N113)*1000)*(1/0.79941)</f>
        <v/>
      </c>
    </row>
    <row r="114" ht="12.75" customHeight="1" s="150">
      <c r="C114" s="224" t="inlineStr">
        <is>
          <t>Postal and freight charges</t>
        </is>
      </c>
      <c r="D114" s="231">
        <f>(([7]Consolidated!D114)*1000)*(1/0.79941)</f>
        <v/>
      </c>
      <c r="E114" s="231">
        <f>(([7]Consolidated!E114)*1000)*(1/0.79941)</f>
        <v/>
      </c>
      <c r="F114" s="231">
        <f>(([7]Consolidated!F114)*1000)*(1/0.79941)</f>
        <v/>
      </c>
      <c r="G114" s="231">
        <f>(([7]Consolidated!G114)*1000)*(1/0.79941)</f>
        <v/>
      </c>
      <c r="H114" s="231">
        <f>(([7]Consolidated!H114)*1000)*(1/0.79941)</f>
        <v/>
      </c>
      <c r="I114" s="231">
        <f>(([7]Consolidated!I114)*1000)*(1/0.79941)</f>
        <v/>
      </c>
      <c r="J114" s="233">
        <f>(([7]Consolidated!J114)*1000)*(1/0.79941)</f>
        <v/>
      </c>
      <c r="K114" s="185" t="n"/>
      <c r="L114" s="233">
        <f>(([7]Consolidated!L114)*1000)*(1/0.79941)</f>
        <v/>
      </c>
      <c r="M114" s="231">
        <f>(([7]Consolidated!M114)*1000)*(1/0.79941)</f>
        <v/>
      </c>
      <c r="N114" s="234">
        <f>(([7]Consolidated!N114)*1000)*(1/0.79941)</f>
        <v/>
      </c>
    </row>
    <row r="115" ht="12.75" customHeight="1" s="150">
      <c r="C115" s="224" t="inlineStr">
        <is>
          <t>Prof serv and ext advisory fee</t>
        </is>
      </c>
      <c r="D115" s="231">
        <f>(([7]Consolidated!D115)*1000)*(1/0.79941)</f>
        <v/>
      </c>
      <c r="E115" s="231">
        <f>(([7]Consolidated!E115)*1000)*(1/0.79941)</f>
        <v/>
      </c>
      <c r="F115" s="231">
        <f>(([7]Consolidated!F115)*1000)*(1/0.79941)</f>
        <v/>
      </c>
      <c r="G115" s="231">
        <f>(([7]Consolidated!G115)*1000)*(1/0.79941)</f>
        <v/>
      </c>
      <c r="H115" s="231">
        <f>(([7]Consolidated!H115)*1000)*(1/0.79941)</f>
        <v/>
      </c>
      <c r="I115" s="231">
        <f>(([7]Consolidated!I115)*1000)*(1/0.79941)</f>
        <v/>
      </c>
      <c r="J115" s="233">
        <f>(([7]Consolidated!J115)*1000)*(1/0.79941)</f>
        <v/>
      </c>
      <c r="K115" s="185" t="n"/>
      <c r="L115" s="233">
        <f>(([7]Consolidated!L115)*1000)*(1/0.79941)</f>
        <v/>
      </c>
      <c r="M115" s="231">
        <f>(([7]Consolidated!M115)*1000)*(1/0.79941)</f>
        <v/>
      </c>
      <c r="N115" s="234">
        <f>(([7]Consolidated!N115)*1000)*(1/0.79941)</f>
        <v/>
      </c>
    </row>
    <row r="116" ht="12.75" customHeight="1" s="150">
      <c r="C116" s="224" t="inlineStr">
        <is>
          <t>Payment transfer expenses</t>
        </is>
      </c>
      <c r="D116" s="231">
        <f>(([7]Consolidated!D116)*1000)*(1/0.79941)</f>
        <v/>
      </c>
      <c r="E116" s="231">
        <f>(([7]Consolidated!E116)*1000)*(1/0.79941)</f>
        <v/>
      </c>
      <c r="F116" s="231">
        <f>(([7]Consolidated!F116)*1000)*(1/0.79941)</f>
        <v/>
      </c>
      <c r="G116" s="231">
        <f>(([7]Consolidated!G116)*1000)*(1/0.79941)</f>
        <v/>
      </c>
      <c r="H116" s="231">
        <f>(([7]Consolidated!H116)*1000)*(1/0.79941)</f>
        <v/>
      </c>
      <c r="I116" s="231">
        <f>(([7]Consolidated!I116)*1000)*(1/0.79941)</f>
        <v/>
      </c>
      <c r="J116" s="233">
        <f>(([7]Consolidated!J116)*1000)*(1/0.79941)</f>
        <v/>
      </c>
      <c r="K116" s="185" t="n"/>
      <c r="L116" s="233">
        <f>(([7]Consolidated!L116)*1000)*(1/0.79941)</f>
        <v/>
      </c>
      <c r="M116" s="231">
        <f>(([7]Consolidated!M116)*1000)*(1/0.79941)</f>
        <v/>
      </c>
      <c r="N116" s="234">
        <f>(([7]Consolidated!N116)*1000)*(1/0.79941)</f>
        <v/>
      </c>
    </row>
    <row r="117" ht="12.75" customHeight="1" s="150">
      <c r="C117" s="224" t="inlineStr">
        <is>
          <t>Other costs</t>
        </is>
      </c>
      <c r="D117" s="231">
        <f>(([7]Consolidated!D117)*1000)*(1/0.79941)</f>
        <v/>
      </c>
      <c r="E117" s="231">
        <f>(([7]Consolidated!E117)*1000)*(1/0.79941)</f>
        <v/>
      </c>
      <c r="F117" s="231">
        <f>(([7]Consolidated!F117)*1000)*(1/0.79941)</f>
        <v/>
      </c>
      <c r="G117" s="231">
        <f>(([7]Consolidated!G117)*1000)*(1/0.79941)</f>
        <v/>
      </c>
      <c r="H117" s="231">
        <f>(([7]Consolidated!H117)*1000)*(1/0.79941)</f>
        <v/>
      </c>
      <c r="I117" s="231">
        <f>(([7]Consolidated!I117)*1000)*(1/0.79941)</f>
        <v/>
      </c>
      <c r="J117" s="233">
        <f>(([7]Consolidated!J117)*1000)*(1/0.79941)</f>
        <v/>
      </c>
      <c r="K117" s="185" t="n"/>
      <c r="L117" s="233">
        <f>(([7]Consolidated!L117)*1000)*(1/0.79941)</f>
        <v/>
      </c>
      <c r="M117" s="231">
        <f>(([7]Consolidated!M117)*1000)*(1/0.79941)</f>
        <v/>
      </c>
      <c r="N117" s="234">
        <f>(([7]Consolidated!N117)*1000)*(1/0.79941)</f>
        <v/>
      </c>
    </row>
    <row r="118" ht="13.5" customHeight="1" s="150">
      <c r="C118" s="228" t="inlineStr">
        <is>
          <t>General expenses</t>
        </is>
      </c>
      <c r="D118" s="236">
        <f>(([7]Consolidated!D118)*1000)*(1/0.79941)</f>
        <v/>
      </c>
      <c r="E118" s="236">
        <f>(([7]Consolidated!E118)*1000)*(1/0.79941)</f>
        <v/>
      </c>
      <c r="F118" s="236">
        <f>(([7]Consolidated!F118)*1000)*(1/0.79941)</f>
        <v/>
      </c>
      <c r="G118" s="236">
        <f>(([7]Consolidated!G118)*1000)*(1/0.79941)</f>
        <v/>
      </c>
      <c r="H118" s="236">
        <f>(([7]Consolidated!H118)*1000)*(1/0.79941)</f>
        <v/>
      </c>
      <c r="I118" s="236">
        <f>(([7]Consolidated!I118)*1000)*(1/0.79941)</f>
        <v/>
      </c>
      <c r="J118" s="237">
        <f>(([7]Consolidated!J118)*1000)*(1/0.79941)</f>
        <v/>
      </c>
      <c r="K118" s="185" t="n"/>
      <c r="L118" s="237">
        <f>(([7]Consolidated!L118)*1000)*(1/0.79941)</f>
        <v/>
      </c>
      <c r="M118" s="236">
        <f>(([7]Consolidated!M118)*1000)*(1/0.79941)</f>
        <v/>
      </c>
      <c r="N118" s="237">
        <f>(([7]Consolidated!N118)*1000)*(1/0.79941)</f>
        <v/>
      </c>
    </row>
    <row r="119" ht="12.75" customHeight="1" s="150">
      <c r="C119" s="224" t="inlineStr">
        <is>
          <t>Own expenses</t>
        </is>
      </c>
      <c r="D119" s="231">
        <f>(([7]Consolidated!D119)*1000)*(1/0.79941)</f>
        <v/>
      </c>
      <c r="E119" s="231">
        <f>(([7]Consolidated!E119)*1000)*(1/0.79941)</f>
        <v/>
      </c>
      <c r="F119" s="231">
        <f>(([7]Consolidated!F119)*1000)*(1/0.79941)</f>
        <v/>
      </c>
      <c r="G119" s="231">
        <f>(([7]Consolidated!G119)*1000)*(1/0.79941)</f>
        <v/>
      </c>
      <c r="H119" s="231">
        <f>(([7]Consolidated!H119)*1000)*(1/0.79941)</f>
        <v/>
      </c>
      <c r="I119" s="231">
        <f>(([7]Consolidated!I119)*1000)*(1/0.79941)</f>
        <v/>
      </c>
      <c r="J119" s="233">
        <f>(([7]Consolidated!J119)*1000)*(1/0.79941)</f>
        <v/>
      </c>
      <c r="K119" s="185" t="n"/>
      <c r="L119" s="233">
        <f>(([7]Consolidated!L119)*1000)*(1/0.79941)</f>
        <v/>
      </c>
      <c r="M119" s="231">
        <f>(([7]Consolidated!M119)*1000)*(1/0.79941)</f>
        <v/>
      </c>
      <c r="N119" s="238">
        <f>(([7]Consolidated!N119)*1000)*(1/0.79941)</f>
        <v/>
      </c>
    </row>
    <row r="120" ht="12.75" customHeight="1" s="150">
      <c r="C120" s="224" t="inlineStr">
        <is>
          <t>Other expenses</t>
        </is>
      </c>
      <c r="D120" s="231">
        <f>(([7]Consolidated!D120)*1000)*(1/0.79941)</f>
        <v/>
      </c>
      <c r="E120" s="231">
        <f>(([7]Consolidated!E120)*1000)*(1/0.79941)</f>
        <v/>
      </c>
      <c r="F120" s="231">
        <f>(([7]Consolidated!F120)*1000)*(1/0.79941)</f>
        <v/>
      </c>
      <c r="G120" s="231">
        <f>(([7]Consolidated!G120)*1000)*(1/0.79941)</f>
        <v/>
      </c>
      <c r="H120" s="231">
        <f>(([7]Consolidated!H120)*1000)*(1/0.79941)</f>
        <v/>
      </c>
      <c r="I120" s="231">
        <f>(([7]Consolidated!I120)*1000)*(1/0.79941)</f>
        <v/>
      </c>
      <c r="J120" s="233">
        <f>(([7]Consolidated!J120)*1000)*(1/0.79941)</f>
        <v/>
      </c>
      <c r="K120" s="185" t="n"/>
      <c r="L120" s="233">
        <f>(([7]Consolidated!L120)*1000)*(1/0.79941)</f>
        <v/>
      </c>
      <c r="M120" s="231">
        <f>(([7]Consolidated!M120)*1000)*(1/0.79941)</f>
        <v/>
      </c>
      <c r="N120" s="234">
        <f>(([7]Consolidated!N120)*1000)*(1/0.79941)</f>
        <v/>
      </c>
    </row>
    <row r="121" ht="13.5" customHeight="1" s="150">
      <c r="C121" s="228" t="inlineStr">
        <is>
          <t xml:space="preserve">Operating expenses </t>
        </is>
      </c>
      <c r="D121" s="236">
        <f>(([7]Consolidated!D121)*1000)*(1/0.79941)</f>
        <v/>
      </c>
      <c r="E121" s="236">
        <f>(([7]Consolidated!E121)*1000)*(1/0.79941)</f>
        <v/>
      </c>
      <c r="F121" s="236">
        <f>(([7]Consolidated!F121)*1000)*(1/0.79941)</f>
        <v/>
      </c>
      <c r="G121" s="236">
        <f>(([7]Consolidated!G121)*1000)*(1/0.79941)</f>
        <v/>
      </c>
      <c r="H121" s="236">
        <f>(([7]Consolidated!H121)*1000)*(1/0.79941)</f>
        <v/>
      </c>
      <c r="I121" s="236">
        <f>(([7]Consolidated!I121)*1000)*(1/0.79941)</f>
        <v/>
      </c>
      <c r="J121" s="237">
        <f>(([7]Consolidated!J121)*1000)*(1/0.79941)</f>
        <v/>
      </c>
      <c r="K121" s="185" t="n"/>
      <c r="L121" s="237">
        <f>(([7]Consolidated!L121)*1000)*(1/0.79941)</f>
        <v/>
      </c>
      <c r="M121" s="236">
        <f>(([7]Consolidated!M121)*1000)*(1/0.79941)</f>
        <v/>
      </c>
      <c r="N121" s="237">
        <f>(([7]Consolidated!N121)*1000)*(1/0.79941)</f>
        <v/>
      </c>
    </row>
    <row r="122" ht="12.75" customHeight="1" s="150">
      <c r="C122" s="224" t="n"/>
      <c r="D122" s="231">
        <f>0*(1/0.79941)</f>
        <v/>
      </c>
      <c r="E122" s="231">
        <f>0*(1/0.79941)</f>
        <v/>
      </c>
      <c r="F122" s="231">
        <f>0*(1/0.79941)</f>
        <v/>
      </c>
      <c r="G122" s="231">
        <f>0*(1/0.79941)</f>
        <v/>
      </c>
      <c r="H122" s="231">
        <f>0*(1/0.79941)</f>
        <v/>
      </c>
      <c r="I122" s="231">
        <f>0*(1/0.79941)</f>
        <v/>
      </c>
      <c r="J122" s="239">
        <f>0*(1/0.79941)</f>
        <v/>
      </c>
      <c r="K122" s="185" t="n"/>
      <c r="L122" s="233">
        <f>0*(1/0.79941)</f>
        <v/>
      </c>
      <c r="M122" s="231">
        <f>0*(1/0.79941)</f>
        <v/>
      </c>
      <c r="N122" s="239">
        <f>0*(1/0.79941)</f>
        <v/>
      </c>
    </row>
    <row r="123" ht="12.75" customHeight="1" s="150">
      <c r="C123" s="224" t="inlineStr">
        <is>
          <t>HR &amp; Comms</t>
        </is>
      </c>
      <c r="D123" s="231">
        <f>(([7]Consolidated!D123)*1000)*(1/0.79941)</f>
        <v/>
      </c>
      <c r="E123" s="231">
        <f>(([7]Consolidated!E123)*1000)*(1/0.79941)</f>
        <v/>
      </c>
      <c r="F123" s="231">
        <f>(([7]Consolidated!F123)*1000)*(1/0.79941)</f>
        <v/>
      </c>
      <c r="G123" s="231">
        <f>(([7]Consolidated!G123)*1000)*(1/0.79941)</f>
        <v/>
      </c>
      <c r="H123" s="231">
        <f>(([7]Consolidated!H123)*1000)*(1/0.79941)</f>
        <v/>
      </c>
      <c r="I123" s="231">
        <f>(([7]Consolidated!I123)*1000)*(1/0.79941)</f>
        <v/>
      </c>
      <c r="J123" s="233">
        <f>(([7]Consolidated!J123)*1000)*(1/0.79941)</f>
        <v/>
      </c>
      <c r="K123" s="185" t="n"/>
      <c r="L123" s="233">
        <f>(([7]Consolidated!L123)*1000)*(1/0.79941)</f>
        <v/>
      </c>
      <c r="M123" s="231">
        <f>(([7]Consolidated!M123)*1000)*(1/0.79941)</f>
        <v/>
      </c>
      <c r="N123" s="234">
        <f>(([7]Consolidated!N123)*1000)*(1/0.79941)</f>
        <v/>
      </c>
    </row>
    <row r="124" ht="12.75" customHeight="1" s="150">
      <c r="C124" s="224" t="inlineStr">
        <is>
          <t>Finance &amp; Business Support</t>
        </is>
      </c>
      <c r="D124" s="231">
        <f>(([7]Consolidated!D124)*1000)*(1/0.79941)</f>
        <v/>
      </c>
      <c r="E124" s="231">
        <f>(([7]Consolidated!E124)*1000)*(1/0.79941)</f>
        <v/>
      </c>
      <c r="F124" s="231">
        <f>(([7]Consolidated!F124)*1000)*(1/0.79941)</f>
        <v/>
      </c>
      <c r="G124" s="231">
        <f>(([7]Consolidated!G124)*1000)*(1/0.79941)</f>
        <v/>
      </c>
      <c r="H124" s="231">
        <f>(([7]Consolidated!H124)*1000)*(1/0.79941)</f>
        <v/>
      </c>
      <c r="I124" s="231">
        <f>(([7]Consolidated!I124)*1000)*(1/0.79941)</f>
        <v/>
      </c>
      <c r="J124" s="233">
        <f>(([7]Consolidated!J124)*1000)*(1/0.79941)</f>
        <v/>
      </c>
      <c r="K124" s="185" t="n"/>
      <c r="L124" s="233">
        <f>(([7]Consolidated!L124)*1000)*(1/0.79941)</f>
        <v/>
      </c>
      <c r="M124" s="231">
        <f>(([7]Consolidated!M124)*1000)*(1/0.79941)</f>
        <v/>
      </c>
      <c r="N124" s="234">
        <f>(([7]Consolidated!N124)*1000)*(1/0.79941)</f>
        <v/>
      </c>
    </row>
    <row r="125" ht="12.75" customHeight="1" s="150">
      <c r="C125" s="224" t="inlineStr">
        <is>
          <t>IT alloc</t>
        </is>
      </c>
      <c r="D125" s="231">
        <f>(([7]Consolidated!D125)*1000)*(1/0.79941)</f>
        <v/>
      </c>
      <c r="E125" s="231">
        <f>(([7]Consolidated!E125)*1000)*(1/0.79941)</f>
        <v/>
      </c>
      <c r="F125" s="231">
        <f>(([7]Consolidated!F125)*1000)*(1/0.79941)</f>
        <v/>
      </c>
      <c r="G125" s="231">
        <f>(([7]Consolidated!G125)*1000)*(1/0.79941)</f>
        <v/>
      </c>
      <c r="H125" s="231">
        <f>(([7]Consolidated!H125)*1000)*(1/0.79941)</f>
        <v/>
      </c>
      <c r="I125" s="231">
        <f>(([7]Consolidated!I125)*1000)*(1/0.79941)</f>
        <v/>
      </c>
      <c r="J125" s="233">
        <f>(([7]Consolidated!J125)*1000)*(1/0.79941)</f>
        <v/>
      </c>
      <c r="K125" s="185" t="n"/>
      <c r="L125" s="233">
        <f>(([7]Consolidated!L125)*1000)*(1/0.79941)</f>
        <v/>
      </c>
      <c r="M125" s="231">
        <f>(([7]Consolidated!M125)*1000)*(1/0.79941)</f>
        <v/>
      </c>
      <c r="N125" s="234">
        <f>(([7]Consolidated!N125)*1000)*(1/0.79941)</f>
        <v/>
      </c>
    </row>
    <row r="126" ht="12.75" customHeight="1" s="150">
      <c r="C126" s="224" t="inlineStr">
        <is>
          <t>Facilities Management</t>
        </is>
      </c>
      <c r="D126" s="231">
        <f>(([7]Consolidated!D126)*1000)*(1/0.79941)</f>
        <v/>
      </c>
      <c r="E126" s="231">
        <f>(([7]Consolidated!E126)*1000)*(1/0.79941)</f>
        <v/>
      </c>
      <c r="F126" s="231">
        <f>(([7]Consolidated!F126)*1000)*(1/0.79941)</f>
        <v/>
      </c>
      <c r="G126" s="231">
        <f>(([7]Consolidated!G126)*1000)*(1/0.79941)</f>
        <v/>
      </c>
      <c r="H126" s="231">
        <f>(([7]Consolidated!H126)*1000)*(1/0.79941)</f>
        <v/>
      </c>
      <c r="I126" s="231">
        <f>(([7]Consolidated!I126)*1000)*(1/0.79941)</f>
        <v/>
      </c>
      <c r="J126" s="233">
        <f>(([7]Consolidated!J126)*1000)*(1/0.79941)</f>
        <v/>
      </c>
      <c r="K126" s="185" t="n"/>
      <c r="L126" s="233">
        <f>(([7]Consolidated!L126)*1000)*(1/0.79941)</f>
        <v/>
      </c>
      <c r="M126" s="231">
        <f>(([7]Consolidated!M126)*1000)*(1/0.79941)</f>
        <v/>
      </c>
      <c r="N126" s="234">
        <f>(([7]Consolidated!N126)*1000)*(1/0.79941)</f>
        <v/>
      </c>
    </row>
    <row r="127" ht="13.5" customHeight="1" s="150">
      <c r="C127" s="228" t="inlineStr">
        <is>
          <t>Overheads</t>
        </is>
      </c>
      <c r="D127" s="236">
        <f>(([7]Consolidated!D127)*1000)*(1/0.79941)</f>
        <v/>
      </c>
      <c r="E127" s="236">
        <f>(([7]Consolidated!E127)*1000)*(1/0.79941)</f>
        <v/>
      </c>
      <c r="F127" s="236">
        <f>(([7]Consolidated!F127)*1000)*(1/0.79941)</f>
        <v/>
      </c>
      <c r="G127" s="236">
        <f>(([7]Consolidated!G127)*1000)*(1/0.79941)</f>
        <v/>
      </c>
      <c r="H127" s="236">
        <f>(([7]Consolidated!H127)*1000)*(1/0.79941)</f>
        <v/>
      </c>
      <c r="I127" s="236">
        <f>(([7]Consolidated!I127)*1000)*(1/0.79941)</f>
        <v/>
      </c>
      <c r="J127" s="237">
        <f>(([7]Consolidated!J127)*1000)*(1/0.79941)</f>
        <v/>
      </c>
      <c r="K127" s="185" t="n"/>
      <c r="L127" s="237">
        <f>(([7]Consolidated!L127)*1000)*(1/0.79941)</f>
        <v/>
      </c>
      <c r="M127" s="236">
        <f>(([7]Consolidated!M127)*1000)*(1/0.79941)</f>
        <v/>
      </c>
      <c r="N127" s="237">
        <f>(([7]Consolidated!N127)*1000)*(1/0.79941)</f>
        <v/>
      </c>
    </row>
    <row r="128" ht="12.75" customHeight="1" s="150">
      <c r="C128" s="224" t="n"/>
      <c r="D128" s="231">
        <f>0*(1/0.79941)</f>
        <v/>
      </c>
      <c r="E128" s="231">
        <f>0*(1/0.79941)</f>
        <v/>
      </c>
      <c r="F128" s="231">
        <f>0*(1/0.79941)</f>
        <v/>
      </c>
      <c r="G128" s="231">
        <f>0*(1/0.79941)</f>
        <v/>
      </c>
      <c r="H128" s="231">
        <f>0*(1/0.79941)</f>
        <v/>
      </c>
      <c r="I128" s="231">
        <f>0*(1/0.79941)</f>
        <v/>
      </c>
      <c r="J128" s="239">
        <f>0*(1/0.79941)</f>
        <v/>
      </c>
      <c r="K128" s="185" t="n"/>
      <c r="L128" s="233">
        <f>0*(1/0.79941)</f>
        <v/>
      </c>
      <c r="M128" s="231">
        <f>0*(1/0.79941)</f>
        <v/>
      </c>
      <c r="N128" s="239">
        <f>0*(1/0.79941)</f>
        <v/>
      </c>
    </row>
    <row r="129" ht="13.5" customHeight="1" s="150">
      <c r="C129" s="228" t="inlineStr">
        <is>
          <t>Total Operating Costs (incl. O/H)</t>
        </is>
      </c>
      <c r="D129" s="236">
        <f>(([7]Consolidated!D129)*1000)*(1/0.79941)</f>
        <v/>
      </c>
      <c r="E129" s="236">
        <f>(([7]Consolidated!E129)*1000)*(1/0.79941)</f>
        <v/>
      </c>
      <c r="F129" s="236">
        <f>(([7]Consolidated!F129)*1000)*(1/0.79941)</f>
        <v/>
      </c>
      <c r="G129" s="236">
        <f>(([7]Consolidated!G129)*1000)*(1/0.79941)</f>
        <v/>
      </c>
      <c r="H129" s="236">
        <f>(([7]Consolidated!H129)*1000)*(1/0.79941)</f>
        <v/>
      </c>
      <c r="I129" s="236">
        <f>(([7]Consolidated!I129)*1000)*(1/0.79941)</f>
        <v/>
      </c>
      <c r="J129" s="237">
        <f>(([7]Consolidated!J129)*1000)*(1/0.79941)</f>
        <v/>
      </c>
      <c r="K129" s="185" t="n"/>
      <c r="L129" s="237">
        <f>(([7]Consolidated!L129)*1000)*(1/0.79941)</f>
        <v/>
      </c>
      <c r="M129" s="236">
        <f>(([7]Consolidated!M129)*1000)*(1/0.79941)</f>
        <v/>
      </c>
      <c r="N129" s="237">
        <f>(([7]Consolidated!N129)*1000)*(1/0.79941)</f>
        <v/>
      </c>
    </row>
    <row r="130"/>
    <row r="131" ht="13.5" customHeight="1" s="150"/>
    <row r="132" ht="42" customHeight="1" s="150">
      <c r="C132" s="240" t="inlineStr">
        <is>
          <t>RETAINED COSTS
(US$  excl. VAT)</t>
        </is>
      </c>
      <c r="D132" s="241">
        <f>[7]Consolidated!D132</f>
        <v/>
      </c>
      <c r="E132" s="241">
        <f>[7]Consolidated!E132</f>
        <v/>
      </c>
      <c r="F132" s="241">
        <f>[7]Consolidated!F132</f>
        <v/>
      </c>
      <c r="G132" s="241">
        <f>[7]Consolidated!G132</f>
        <v/>
      </c>
      <c r="H132" s="241">
        <f>[7]Consolidated!H132</f>
        <v/>
      </c>
      <c r="I132" s="242">
        <f>[7]Consolidated!I132</f>
        <v/>
      </c>
      <c r="J132" s="243">
        <f>[7]Consolidated!J132</f>
        <v/>
      </c>
      <c r="K132" s="165" t="n"/>
      <c r="L132" s="241">
        <f>[7]Consolidated!L132</f>
        <v/>
      </c>
      <c r="M132" s="244">
        <f>[7]Consolidated!M132</f>
        <v/>
      </c>
      <c r="N132" s="241">
        <f>[7]Consolidated!N132</f>
        <v/>
      </c>
    </row>
    <row r="133" ht="12.75" customHeight="1" s="150">
      <c r="C133" s="245" t="inlineStr">
        <is>
          <t>Internal FTE</t>
        </is>
      </c>
      <c r="D133" s="254">
        <f>[7]Consolidated!D133</f>
        <v/>
      </c>
      <c r="E133" s="254">
        <f>[7]Consolidated!E133</f>
        <v/>
      </c>
      <c r="F133" s="254">
        <f>[7]Consolidated!F133</f>
        <v/>
      </c>
      <c r="G133" s="254">
        <f>[7]Consolidated!G133</f>
        <v/>
      </c>
      <c r="H133" s="254">
        <f>[7]Consolidated!H133</f>
        <v/>
      </c>
      <c r="I133" s="254">
        <f>[7]Consolidated!I133</f>
        <v/>
      </c>
      <c r="J133" s="291" t="n"/>
      <c r="K133" s="185" t="n"/>
      <c r="L133" s="256">
        <f>[7]Consolidated!L133</f>
        <v/>
      </c>
      <c r="M133" s="254">
        <f>[7]Consolidated!M133</f>
        <v/>
      </c>
      <c r="N133" s="249" t="n"/>
    </row>
    <row r="134" ht="12.75" customHeight="1" s="150">
      <c r="C134" s="245" t="inlineStr">
        <is>
          <t>External FTE</t>
        </is>
      </c>
      <c r="D134" s="254">
        <f>[7]Consolidated!D134</f>
        <v/>
      </c>
      <c r="E134" s="254">
        <f>[7]Consolidated!E134</f>
        <v/>
      </c>
      <c r="F134" s="254">
        <f>[7]Consolidated!F134</f>
        <v/>
      </c>
      <c r="G134" s="254">
        <f>[7]Consolidated!G134</f>
        <v/>
      </c>
      <c r="H134" s="254">
        <f>[7]Consolidated!H134</f>
        <v/>
      </c>
      <c r="I134" s="254">
        <f>[7]Consolidated!I134</f>
        <v/>
      </c>
      <c r="J134" s="291" t="n"/>
      <c r="K134" s="185" t="n"/>
      <c r="L134" s="256">
        <f>[7]Consolidated!L134</f>
        <v/>
      </c>
      <c r="M134" s="254">
        <f>[7]Consolidated!M134</f>
        <v/>
      </c>
      <c r="N134" s="249" t="n"/>
    </row>
    <row r="135" ht="13.5" customHeight="1" s="150">
      <c r="C135" s="250" t="inlineStr">
        <is>
          <t>Total FTE</t>
        </is>
      </c>
      <c r="D135" s="258">
        <f>[7]Consolidated!D135</f>
        <v/>
      </c>
      <c r="E135" s="258">
        <f>[7]Consolidated!E135</f>
        <v/>
      </c>
      <c r="F135" s="258">
        <f>[7]Consolidated!F135</f>
        <v/>
      </c>
      <c r="G135" s="258">
        <f>[7]Consolidated!G135</f>
        <v/>
      </c>
      <c r="H135" s="258">
        <f>[7]Consolidated!H135</f>
        <v/>
      </c>
      <c r="I135" s="258">
        <f>[7]Consolidated!I135</f>
        <v/>
      </c>
      <c r="J135" s="292" t="n"/>
      <c r="K135" s="185" t="n"/>
      <c r="L135" s="253">
        <f>[7]Consolidated!L135</f>
        <v/>
      </c>
      <c r="M135" s="258">
        <f>[7]Consolidated!M135</f>
        <v/>
      </c>
      <c r="N135" s="253" t="n"/>
    </row>
    <row r="136" ht="12.75" customHeight="1" s="150">
      <c r="C136" s="245" t="n"/>
      <c r="D136" s="254" t="n"/>
      <c r="E136" s="254" t="n"/>
      <c r="F136" s="254" t="n"/>
      <c r="G136" s="254" t="n"/>
      <c r="H136" s="254" t="n"/>
      <c r="I136" s="254" t="n"/>
      <c r="J136" s="255" t="n"/>
      <c r="K136" s="185" t="n"/>
      <c r="L136" s="256" t="n"/>
      <c r="M136" s="254" t="n"/>
      <c r="N136" s="249" t="n"/>
    </row>
    <row r="137" ht="12.75" customHeight="1" s="150">
      <c r="C137" s="245" t="inlineStr">
        <is>
          <t>Salaries</t>
        </is>
      </c>
      <c r="D137" s="254">
        <f>(([7]Consolidated!D137)*1000)*(1/0.79941)</f>
        <v/>
      </c>
      <c r="E137" s="254">
        <f>(([7]Consolidated!E137)*1000)*(1/0.79941)</f>
        <v/>
      </c>
      <c r="F137" s="254">
        <f>(([7]Consolidated!F137)*1000)*(1/0.79941)</f>
        <v/>
      </c>
      <c r="G137" s="254">
        <f>(([7]Consolidated!G137)*1000)*(1/0.79941)</f>
        <v/>
      </c>
      <c r="H137" s="254">
        <f>(([7]Consolidated!H137)*1000)*(1/0.79941)</f>
        <v/>
      </c>
      <c r="I137" s="254">
        <f>(([7]Consolidated!I137)*1000)*(1/0.79941)</f>
        <v/>
      </c>
      <c r="J137" s="256">
        <f>(([7]Consolidated!J137)*1000)*(1/0.79941)</f>
        <v/>
      </c>
      <c r="K137" s="185" t="n"/>
      <c r="L137" s="256">
        <f>(([7]Consolidated!L137)*1000)*(1/0.79941)</f>
        <v/>
      </c>
      <c r="M137" s="254">
        <f>(([7]Consolidated!M137)*1000)*(1/0.79941)</f>
        <v/>
      </c>
      <c r="N137" s="249">
        <f>(([7]Consolidated!N137)*1000)*(1/0.79941)</f>
        <v/>
      </c>
    </row>
    <row r="138" ht="12.75" customHeight="1" s="150">
      <c r="C138" s="245" t="inlineStr">
        <is>
          <t>Bonuses</t>
        </is>
      </c>
      <c r="D138" s="254">
        <f>(([7]Consolidated!D138)*1000)*(1/0.79941)</f>
        <v/>
      </c>
      <c r="E138" s="254">
        <f>(([7]Consolidated!E138)*1000)*(1/0.79941)</f>
        <v/>
      </c>
      <c r="F138" s="254">
        <f>(([7]Consolidated!F138)*1000)*(1/0.79941)</f>
        <v/>
      </c>
      <c r="G138" s="254">
        <f>(([7]Consolidated!G138)*1000)*(1/0.79941)</f>
        <v/>
      </c>
      <c r="H138" s="254">
        <f>(([7]Consolidated!H138)*1000)*(1/0.79941)</f>
        <v/>
      </c>
      <c r="I138" s="254">
        <f>(([7]Consolidated!I138)*1000)*(1/0.79941)</f>
        <v/>
      </c>
      <c r="J138" s="256">
        <f>(([7]Consolidated!J138)*1000)*(1/0.79941)</f>
        <v/>
      </c>
      <c r="K138" s="185" t="n"/>
      <c r="L138" s="256">
        <f>(([7]Consolidated!L138)*1000)*(1/0.79941)</f>
        <v/>
      </c>
      <c r="M138" s="254">
        <f>(([7]Consolidated!M138)*1000)*(1/0.79941)</f>
        <v/>
      </c>
      <c r="N138" s="249">
        <f>(([7]Consolidated!N138)*1000)*(1/0.79941)</f>
        <v/>
      </c>
    </row>
    <row r="139" ht="12.75" customHeight="1" s="150">
      <c r="C139" s="245" t="inlineStr">
        <is>
          <t>Third party staff, ex IT</t>
        </is>
      </c>
      <c r="D139" s="254">
        <f>(([7]Consolidated!D139)*1000)*(1/0.79941)</f>
        <v/>
      </c>
      <c r="E139" s="254">
        <f>(([7]Consolidated!E139)*1000)*(1/0.79941)</f>
        <v/>
      </c>
      <c r="F139" s="254">
        <f>(([7]Consolidated!F139)*1000)*(1/0.79941)</f>
        <v/>
      </c>
      <c r="G139" s="254">
        <f>(([7]Consolidated!G139)*1000)*(1/0.79941)</f>
        <v/>
      </c>
      <c r="H139" s="254">
        <f>(([7]Consolidated!H139)*1000)*(1/0.79941)</f>
        <v/>
      </c>
      <c r="I139" s="254">
        <f>(([7]Consolidated!I139)*1000)*(1/0.79941)</f>
        <v/>
      </c>
      <c r="J139" s="256">
        <f>(([7]Consolidated!J139)*1000)*(1/0.79941)</f>
        <v/>
      </c>
      <c r="K139" s="185" t="n"/>
      <c r="L139" s="256">
        <f>(([7]Consolidated!L139)*1000)*(1/0.79941)</f>
        <v/>
      </c>
      <c r="M139" s="254">
        <f>(([7]Consolidated!M139)*1000)*(1/0.79941)</f>
        <v/>
      </c>
      <c r="N139" s="249">
        <f>(([7]Consolidated!N139)*1000)*(1/0.79941)</f>
        <v/>
      </c>
    </row>
    <row r="140" ht="12.75" customHeight="1" s="150">
      <c r="C140" s="245" t="inlineStr">
        <is>
          <t>Third party IT staff</t>
        </is>
      </c>
      <c r="D140" s="254">
        <f>(([7]Consolidated!D140)*1000)*(1/0.79941)</f>
        <v/>
      </c>
      <c r="E140" s="254">
        <f>(([7]Consolidated!E140)*1000)*(1/0.79941)</f>
        <v/>
      </c>
      <c r="F140" s="254">
        <f>(([7]Consolidated!F140)*1000)*(1/0.79941)</f>
        <v/>
      </c>
      <c r="G140" s="254">
        <f>(([7]Consolidated!G140)*1000)*(1/0.79941)</f>
        <v/>
      </c>
      <c r="H140" s="254">
        <f>(([7]Consolidated!H140)*1000)*(1/0.79941)</f>
        <v/>
      </c>
      <c r="I140" s="254">
        <f>(([7]Consolidated!I140)*1000)*(1/0.79941)</f>
        <v/>
      </c>
      <c r="J140" s="256">
        <f>(([7]Consolidated!J140)*1000)*(1/0.79941)</f>
        <v/>
      </c>
      <c r="K140" s="185" t="n"/>
      <c r="L140" s="256">
        <f>(([7]Consolidated!L140)*1000)*(1/0.79941)</f>
        <v/>
      </c>
      <c r="M140" s="254">
        <f>(([7]Consolidated!M140)*1000)*(1/0.79941)</f>
        <v/>
      </c>
      <c r="N140" s="249">
        <f>(([7]Consolidated!N140)*1000)*(1/0.79941)</f>
        <v/>
      </c>
    </row>
    <row r="141" ht="12.75" customHeight="1" s="150">
      <c r="C141" s="245" t="inlineStr">
        <is>
          <t>Employee education</t>
        </is>
      </c>
      <c r="D141" s="254">
        <f>(([7]Consolidated!D141)*1000)*(1/0.79941)</f>
        <v/>
      </c>
      <c r="E141" s="254">
        <f>(([7]Consolidated!E141)*1000)*(1/0.79941)</f>
        <v/>
      </c>
      <c r="F141" s="254">
        <f>(([7]Consolidated!F141)*1000)*(1/0.79941)</f>
        <v/>
      </c>
      <c r="G141" s="254">
        <f>(([7]Consolidated!G141)*1000)*(1/0.79941)</f>
        <v/>
      </c>
      <c r="H141" s="254">
        <f>(([7]Consolidated!H141)*1000)*(1/0.79941)</f>
        <v/>
      </c>
      <c r="I141" s="254">
        <f>(([7]Consolidated!I141)*1000)*(1/0.79941)</f>
        <v/>
      </c>
      <c r="J141" s="256">
        <f>(([7]Consolidated!J141)*1000)*(1/0.79941)</f>
        <v/>
      </c>
      <c r="K141" s="185" t="n"/>
      <c r="L141" s="256">
        <f>(([7]Consolidated!L141)*1000)*(1/0.79941)</f>
        <v/>
      </c>
      <c r="M141" s="254">
        <f>(([7]Consolidated!M141)*1000)*(1/0.79941)</f>
        <v/>
      </c>
      <c r="N141" s="249">
        <f>(([7]Consolidated!N141)*1000)*(1/0.79941)</f>
        <v/>
      </c>
    </row>
    <row r="142" ht="12.75" customHeight="1" s="150">
      <c r="C142" s="245" t="inlineStr">
        <is>
          <t>Other staff expenses</t>
        </is>
      </c>
      <c r="D142" s="254">
        <f>(([7]Consolidated!D142)*1000)*(1/0.79941)</f>
        <v/>
      </c>
      <c r="E142" s="254">
        <f>(([7]Consolidated!E142)*1000)*(1/0.79941)</f>
        <v/>
      </c>
      <c r="F142" s="254">
        <f>(([7]Consolidated!F142)*1000)*(1/0.79941)</f>
        <v/>
      </c>
      <c r="G142" s="254">
        <f>(([7]Consolidated!G142)*1000)*(1/0.79941)</f>
        <v/>
      </c>
      <c r="H142" s="254">
        <f>(([7]Consolidated!H142)*1000)*(1/0.79941)</f>
        <v/>
      </c>
      <c r="I142" s="254">
        <f>(([7]Consolidated!I142)*1000)*(1/0.79941)</f>
        <v/>
      </c>
      <c r="J142" s="257">
        <f>(([7]Consolidated!J142)*1000)*(1/0.79941)</f>
        <v/>
      </c>
      <c r="K142" s="185" t="n"/>
      <c r="L142" s="256">
        <f>(([7]Consolidated!L142)*1000)*(1/0.79941)</f>
        <v/>
      </c>
      <c r="M142" s="254">
        <f>(([7]Consolidated!M142)*1000)*(1/0.79941)</f>
        <v/>
      </c>
      <c r="N142" s="249">
        <f>(([7]Consolidated!N142)*1000)*(1/0.79941)</f>
        <v/>
      </c>
    </row>
    <row r="143" ht="13.5" customHeight="1" s="150">
      <c r="C143" s="250" t="inlineStr">
        <is>
          <t>Staff expenses</t>
        </is>
      </c>
      <c r="D143" s="258">
        <f>(([7]Consolidated!D143)*1000)*(1/0.79941)</f>
        <v/>
      </c>
      <c r="E143" s="258">
        <f>(([7]Consolidated!E143)*1000)*(1/0.79941)</f>
        <v/>
      </c>
      <c r="F143" s="258">
        <f>(([7]Consolidated!F143)*1000)*(1/0.79941)</f>
        <v/>
      </c>
      <c r="G143" s="258">
        <f>(([7]Consolidated!G143)*1000)*(1/0.79941)</f>
        <v/>
      </c>
      <c r="H143" s="258">
        <f>(([7]Consolidated!H143)*1000)*(1/0.79941)</f>
        <v/>
      </c>
      <c r="I143" s="258">
        <f>(([7]Consolidated!I143)*1000)*(1/0.79941)</f>
        <v/>
      </c>
      <c r="J143" s="253">
        <f>(([7]Consolidated!J143)*1000)*(1/0.79941)</f>
        <v/>
      </c>
      <c r="K143" s="185" t="n"/>
      <c r="L143" s="253">
        <f>(([7]Consolidated!L143)*1000)*(1/0.79941)</f>
        <v/>
      </c>
      <c r="M143" s="258">
        <f>(([7]Consolidated!M143)*1000)*(1/0.79941)</f>
        <v/>
      </c>
      <c r="N143" s="253">
        <f>(([7]Consolidated!N143)*1000)*(1/0.79941)</f>
        <v/>
      </c>
    </row>
    <row r="144" ht="12.75" customHeight="1" s="150">
      <c r="C144" s="245" t="inlineStr">
        <is>
          <t>Hardware expenses</t>
        </is>
      </c>
      <c r="D144" s="254">
        <f>(([7]Consolidated!D144)*1000)*(1/0.79941)</f>
        <v/>
      </c>
      <c r="E144" s="254">
        <f>(([7]Consolidated!E144)*1000)*(1/0.79941)</f>
        <v/>
      </c>
      <c r="F144" s="254">
        <f>(([7]Consolidated!F144)*1000)*(1/0.79941)</f>
        <v/>
      </c>
      <c r="G144" s="254">
        <f>(([7]Consolidated!G144)*1000)*(1/0.79941)</f>
        <v/>
      </c>
      <c r="H144" s="254">
        <f>(([7]Consolidated!H144)*1000)*(1/0.79941)</f>
        <v/>
      </c>
      <c r="I144" s="254">
        <f>(([7]Consolidated!I144)*1000)*(1/0.79941)</f>
        <v/>
      </c>
      <c r="J144" s="256">
        <f>(([7]Consolidated!J144)*1000)*(1/0.79941)</f>
        <v/>
      </c>
      <c r="K144" s="185" t="n"/>
      <c r="L144" s="256">
        <f>(([7]Consolidated!L144)*1000)*(1/0.79941)</f>
        <v/>
      </c>
      <c r="M144" s="254">
        <f>(([7]Consolidated!M144)*1000)*(1/0.79941)</f>
        <v/>
      </c>
      <c r="N144" s="249">
        <f>(([7]Consolidated!N144)*1000)*(1/0.79941)</f>
        <v/>
      </c>
    </row>
    <row r="145" ht="12.75" customHeight="1" s="150">
      <c r="C145" s="245" t="inlineStr">
        <is>
          <t>Leasing/renting hardware</t>
        </is>
      </c>
      <c r="D145" s="254">
        <f>(([7]Consolidated!D145)*1000)*(1/0.79941)</f>
        <v/>
      </c>
      <c r="E145" s="254">
        <f>(([7]Consolidated!E145)*1000)*(1/0.79941)</f>
        <v/>
      </c>
      <c r="F145" s="254">
        <f>(([7]Consolidated!F145)*1000)*(1/0.79941)</f>
        <v/>
      </c>
      <c r="G145" s="254">
        <f>(([7]Consolidated!G145)*1000)*(1/0.79941)</f>
        <v/>
      </c>
      <c r="H145" s="254">
        <f>(([7]Consolidated!H145)*1000)*(1/0.79941)</f>
        <v/>
      </c>
      <c r="I145" s="254">
        <f>(([7]Consolidated!I145)*1000)*(1/0.79941)</f>
        <v/>
      </c>
      <c r="J145" s="256">
        <f>(([7]Consolidated!J145)*1000)*(1/0.79941)</f>
        <v/>
      </c>
      <c r="K145" s="185" t="n"/>
      <c r="L145" s="256">
        <f>(([7]Consolidated!L145)*1000)*(1/0.79941)</f>
        <v/>
      </c>
      <c r="M145" s="254">
        <f>(([7]Consolidated!M145)*1000)*(1/0.79941)</f>
        <v/>
      </c>
      <c r="N145" s="249">
        <f>(([7]Consolidated!N145)*1000)*(1/0.79941)</f>
        <v/>
      </c>
    </row>
    <row r="146" ht="12.75" customHeight="1" s="150">
      <c r="C146" s="245" t="inlineStr">
        <is>
          <t>Software expenses</t>
        </is>
      </c>
      <c r="D146" s="254">
        <f>(([7]Consolidated!D146)*1000)*(1/0.79941)</f>
        <v/>
      </c>
      <c r="E146" s="254">
        <f>(([7]Consolidated!E146)*1000)*(1/0.79941)</f>
        <v/>
      </c>
      <c r="F146" s="254">
        <f>(([7]Consolidated!F146)*1000)*(1/0.79941)</f>
        <v/>
      </c>
      <c r="G146" s="254">
        <f>(([7]Consolidated!G146)*1000)*(1/0.79941)</f>
        <v/>
      </c>
      <c r="H146" s="254">
        <f>(([7]Consolidated!H146)*1000)*(1/0.79941)</f>
        <v/>
      </c>
      <c r="I146" s="254">
        <f>(([7]Consolidated!I146)*1000)*(1/0.79941)</f>
        <v/>
      </c>
      <c r="J146" s="256">
        <f>(([7]Consolidated!J146)*1000)*(1/0.79941)</f>
        <v/>
      </c>
      <c r="K146" s="185" t="n"/>
      <c r="L146" s="256">
        <f>(([7]Consolidated!L146)*1000)*(1/0.79941)</f>
        <v/>
      </c>
      <c r="M146" s="254">
        <f>(([7]Consolidated!M146)*1000)*(1/0.79941)</f>
        <v/>
      </c>
      <c r="N146" s="249">
        <f>(([7]Consolidated!N146)*1000)*(1/0.79941)</f>
        <v/>
      </c>
    </row>
    <row r="147" ht="12.75" customHeight="1" s="150">
      <c r="C147" s="245" t="inlineStr">
        <is>
          <t>Leasing/renting/licenses sw</t>
        </is>
      </c>
      <c r="D147" s="254">
        <f>(([7]Consolidated!D147)*1000)*(1/0.79941)</f>
        <v/>
      </c>
      <c r="E147" s="254">
        <f>(([7]Consolidated!E147)*1000)*(1/0.79941)</f>
        <v/>
      </c>
      <c r="F147" s="254">
        <f>(([7]Consolidated!F147)*1000)*(1/0.79941)</f>
        <v/>
      </c>
      <c r="G147" s="254">
        <f>(([7]Consolidated!G147)*1000)*(1/0.79941)</f>
        <v/>
      </c>
      <c r="H147" s="254">
        <f>(([7]Consolidated!H147)*1000)*(1/0.79941)</f>
        <v/>
      </c>
      <c r="I147" s="254">
        <f>(([7]Consolidated!I147)*1000)*(1/0.79941)</f>
        <v/>
      </c>
      <c r="J147" s="256">
        <f>(([7]Consolidated!J147)*1000)*(1/0.79941)</f>
        <v/>
      </c>
      <c r="K147" s="185" t="n"/>
      <c r="L147" s="256">
        <f>(([7]Consolidated!L147)*1000)*(1/0.79941)</f>
        <v/>
      </c>
      <c r="M147" s="254">
        <f>(([7]Consolidated!M147)*1000)*(1/0.79941)</f>
        <v/>
      </c>
      <c r="N147" s="249">
        <f>(([7]Consolidated!N147)*1000)*(1/0.79941)</f>
        <v/>
      </c>
    </row>
    <row r="148" ht="12.75" customHeight="1" s="150">
      <c r="C148" s="245" t="inlineStr">
        <is>
          <t>Depreciation hardware</t>
        </is>
      </c>
      <c r="D148" s="254">
        <f>(([7]Consolidated!D148)*1000)*(1/0.79941)</f>
        <v/>
      </c>
      <c r="E148" s="254">
        <f>(([7]Consolidated!E148)*1000)*(1/0.79941)</f>
        <v/>
      </c>
      <c r="F148" s="254">
        <f>(([7]Consolidated!F148)*1000)*(1/0.79941)</f>
        <v/>
      </c>
      <c r="G148" s="254">
        <f>(([7]Consolidated!G148)*1000)*(1/0.79941)</f>
        <v/>
      </c>
      <c r="H148" s="254">
        <f>(([7]Consolidated!H148)*1000)*(1/0.79941)</f>
        <v/>
      </c>
      <c r="I148" s="254">
        <f>(([7]Consolidated!I148)*1000)*(1/0.79941)</f>
        <v/>
      </c>
      <c r="J148" s="256">
        <f>(([7]Consolidated!J148)*1000)*(1/0.79941)</f>
        <v/>
      </c>
      <c r="K148" s="185" t="n"/>
      <c r="L148" s="256">
        <f>(([7]Consolidated!L148)*1000)*(1/0.79941)</f>
        <v/>
      </c>
      <c r="M148" s="254">
        <f>(([7]Consolidated!M148)*1000)*(1/0.79941)</f>
        <v/>
      </c>
      <c r="N148" s="249">
        <f>(([7]Consolidated!N148)*1000)*(1/0.79941)</f>
        <v/>
      </c>
    </row>
    <row r="149" ht="12.75" customHeight="1" s="150">
      <c r="C149" s="245" t="inlineStr">
        <is>
          <t>Depreciation software</t>
        </is>
      </c>
      <c r="D149" s="254">
        <f>(([7]Consolidated!D149)*1000)*(1/0.79941)</f>
        <v/>
      </c>
      <c r="E149" s="254">
        <f>(([7]Consolidated!E149)*1000)*(1/0.79941)</f>
        <v/>
      </c>
      <c r="F149" s="254">
        <f>(([7]Consolidated!F149)*1000)*(1/0.79941)</f>
        <v/>
      </c>
      <c r="G149" s="254">
        <f>(([7]Consolidated!G149)*1000)*(1/0.79941)</f>
        <v/>
      </c>
      <c r="H149" s="254">
        <f>(([7]Consolidated!H149)*1000)*(1/0.79941)</f>
        <v/>
      </c>
      <c r="I149" s="254">
        <f>(([7]Consolidated!I149)*1000)*(1/0.79941)</f>
        <v/>
      </c>
      <c r="J149" s="256">
        <f>(([7]Consolidated!J149)*1000)*(1/0.79941)</f>
        <v/>
      </c>
      <c r="K149" s="185" t="n"/>
      <c r="L149" s="256">
        <f>(([7]Consolidated!L149)*1000)*(1/0.79941)</f>
        <v/>
      </c>
      <c r="M149" s="254">
        <f>(([7]Consolidated!M149)*1000)*(1/0.79941)</f>
        <v/>
      </c>
      <c r="N149" s="249">
        <f>(([7]Consolidated!N149)*1000)*(1/0.79941)</f>
        <v/>
      </c>
    </row>
    <row r="150" ht="12.75" customHeight="1" s="150">
      <c r="C150" s="245" t="inlineStr">
        <is>
          <t>Outsourcing IT activities</t>
        </is>
      </c>
      <c r="D150" s="254">
        <f>(([7]Consolidated!D150)*1000)*(1/0.79941)</f>
        <v/>
      </c>
      <c r="E150" s="254">
        <f>(([7]Consolidated!E150)*1000)*(1/0.79941)</f>
        <v/>
      </c>
      <c r="F150" s="254">
        <f>(([7]Consolidated!F150)*1000)*(1/0.79941)</f>
        <v/>
      </c>
      <c r="G150" s="254">
        <f>(([7]Consolidated!G150)*1000)*(1/0.79941)</f>
        <v/>
      </c>
      <c r="H150" s="254">
        <f>(([7]Consolidated!H150)*1000)*(1/0.79941)</f>
        <v/>
      </c>
      <c r="I150" s="254">
        <f>(([7]Consolidated!I150)*1000)*(1/0.79941)</f>
        <v/>
      </c>
      <c r="J150" s="256">
        <f>(([7]Consolidated!J150)*1000)*(1/0.79941)</f>
        <v/>
      </c>
      <c r="K150" s="185" t="n"/>
      <c r="L150" s="256">
        <f>(([7]Consolidated!L150)*1000)*(1/0.79941)</f>
        <v/>
      </c>
      <c r="M150" s="254">
        <f>(([7]Consolidated!M150)*1000)*(1/0.79941)</f>
        <v/>
      </c>
      <c r="N150" s="249">
        <f>(([7]Consolidated!N150)*1000)*(1/0.79941)</f>
        <v/>
      </c>
    </row>
    <row r="151" ht="12.75" customHeight="1" s="150">
      <c r="C151" s="245" t="inlineStr">
        <is>
          <t>Other IT expenses</t>
        </is>
      </c>
      <c r="D151" s="254">
        <f>(([7]Consolidated!D151)*1000)*(1/0.79941)</f>
        <v/>
      </c>
      <c r="E151" s="254">
        <f>(([7]Consolidated!E151)*1000)*(1/0.79941)</f>
        <v/>
      </c>
      <c r="F151" s="254">
        <f>(([7]Consolidated!F151)*1000)*(1/0.79941)</f>
        <v/>
      </c>
      <c r="G151" s="254">
        <f>(([7]Consolidated!G151)*1000)*(1/0.79941)</f>
        <v/>
      </c>
      <c r="H151" s="254">
        <f>(([7]Consolidated!H151)*1000)*(1/0.79941)</f>
        <v/>
      </c>
      <c r="I151" s="254">
        <f>(([7]Consolidated!I151)*1000)*(1/0.79941)</f>
        <v/>
      </c>
      <c r="J151" s="256">
        <f>(([7]Consolidated!J151)*1000)*(1/0.79941)</f>
        <v/>
      </c>
      <c r="K151" s="185" t="n"/>
      <c r="L151" s="256">
        <f>(([7]Consolidated!L151)*1000)*(1/0.79941)</f>
        <v/>
      </c>
      <c r="M151" s="254">
        <f>(([7]Consolidated!M151)*1000)*(1/0.79941)</f>
        <v/>
      </c>
      <c r="N151" s="249">
        <f>(([7]Consolidated!N151)*1000)*(1/0.79941)</f>
        <v/>
      </c>
    </row>
    <row r="152" ht="13.5" customHeight="1" s="150">
      <c r="C152" s="250" t="inlineStr">
        <is>
          <t>EDP expenses</t>
        </is>
      </c>
      <c r="D152" s="258">
        <f>(([7]Consolidated!D152)*1000)*(1/0.79941)</f>
        <v/>
      </c>
      <c r="E152" s="258">
        <f>(([7]Consolidated!E152)*1000)*(1/0.79941)</f>
        <v/>
      </c>
      <c r="F152" s="258">
        <f>(([7]Consolidated!F152)*1000)*(1/0.79941)</f>
        <v/>
      </c>
      <c r="G152" s="258">
        <f>(([7]Consolidated!G152)*1000)*(1/0.79941)</f>
        <v/>
      </c>
      <c r="H152" s="258">
        <f>(([7]Consolidated!H152)*1000)*(1/0.79941)</f>
        <v/>
      </c>
      <c r="I152" s="258">
        <f>(([7]Consolidated!I152)*1000)*(1/0.79941)</f>
        <v/>
      </c>
      <c r="J152" s="253">
        <f>(([7]Consolidated!J152)*1000)*(1/0.79941)</f>
        <v/>
      </c>
      <c r="K152" s="185" t="n"/>
      <c r="L152" s="253">
        <f>(([7]Consolidated!L152)*1000)*(1/0.79941)</f>
        <v/>
      </c>
      <c r="M152" s="258">
        <f>(([7]Consolidated!M152)*1000)*(1/0.79941)</f>
        <v/>
      </c>
      <c r="N152" s="253">
        <f>(([7]Consolidated!N152)*1000)*(1/0.79941)</f>
        <v/>
      </c>
    </row>
    <row r="153" ht="12.75" customHeight="1" s="150">
      <c r="C153" s="245" t="inlineStr">
        <is>
          <t>Telecom expenses</t>
        </is>
      </c>
      <c r="D153" s="254">
        <f>(([7]Consolidated!D153)*1000)*(1/0.79941)</f>
        <v/>
      </c>
      <c r="E153" s="254">
        <f>(([7]Consolidated!E153)*1000)*(1/0.79941)</f>
        <v/>
      </c>
      <c r="F153" s="254">
        <f>(([7]Consolidated!F153)*1000)*(1/0.79941)</f>
        <v/>
      </c>
      <c r="G153" s="254">
        <f>(([7]Consolidated!G153)*1000)*(1/0.79941)</f>
        <v/>
      </c>
      <c r="H153" s="254">
        <f>(([7]Consolidated!H153)*1000)*(1/0.79941)</f>
        <v/>
      </c>
      <c r="I153" s="254">
        <f>(([7]Consolidated!I153)*1000)*(1/0.79941)</f>
        <v/>
      </c>
      <c r="J153" s="256">
        <f>(([7]Consolidated!J153)*1000)*(1/0.79941)</f>
        <v/>
      </c>
      <c r="K153" s="185" t="n"/>
      <c r="L153" s="256">
        <f>(([7]Consolidated!L153)*1000)*(1/0.79941)</f>
        <v/>
      </c>
      <c r="M153" s="254">
        <f>(([7]Consolidated!M153)*1000)*(1/0.79941)</f>
        <v/>
      </c>
      <c r="N153" s="249">
        <f>(([7]Consolidated!N153)*1000)*(1/0.79941)</f>
        <v/>
      </c>
    </row>
    <row r="154" ht="12.75" customHeight="1" s="150">
      <c r="C154" s="245" t="inlineStr">
        <is>
          <t>Office equipment and supplies</t>
        </is>
      </c>
      <c r="D154" s="254">
        <f>(([7]Consolidated!D154)*1000)*(1/0.79941)</f>
        <v/>
      </c>
      <c r="E154" s="254">
        <f>(([7]Consolidated!E154)*1000)*(1/0.79941)</f>
        <v/>
      </c>
      <c r="F154" s="254">
        <f>(([7]Consolidated!F154)*1000)*(1/0.79941)</f>
        <v/>
      </c>
      <c r="G154" s="254">
        <f>(([7]Consolidated!G154)*1000)*(1/0.79941)</f>
        <v/>
      </c>
      <c r="H154" s="254">
        <f>(([7]Consolidated!H154)*1000)*(1/0.79941)</f>
        <v/>
      </c>
      <c r="I154" s="254">
        <f>(([7]Consolidated!I154)*1000)*(1/0.79941)</f>
        <v/>
      </c>
      <c r="J154" s="256">
        <f>(([7]Consolidated!J154)*1000)*(1/0.79941)</f>
        <v/>
      </c>
      <c r="K154" s="185" t="n"/>
      <c r="L154" s="256">
        <f>(([7]Consolidated!L154)*1000)*(1/0.79941)</f>
        <v/>
      </c>
      <c r="M154" s="254">
        <f>(([7]Consolidated!M154)*1000)*(1/0.79941)</f>
        <v/>
      </c>
      <c r="N154" s="249">
        <f>(([7]Consolidated!N154)*1000)*(1/0.79941)</f>
        <v/>
      </c>
    </row>
    <row r="155" ht="12.75" customHeight="1" s="150">
      <c r="C155" s="245" t="inlineStr">
        <is>
          <t>Accomodation expenses</t>
        </is>
      </c>
      <c r="D155" s="254">
        <f>(([7]Consolidated!D155)*1000)*(1/0.79941)</f>
        <v/>
      </c>
      <c r="E155" s="254">
        <f>(([7]Consolidated!E155)*1000)*(1/0.79941)</f>
        <v/>
      </c>
      <c r="F155" s="254">
        <f>(([7]Consolidated!F155)*1000)*(1/0.79941)</f>
        <v/>
      </c>
      <c r="G155" s="254">
        <f>(([7]Consolidated!G155)*1000)*(1/0.79941)</f>
        <v/>
      </c>
      <c r="H155" s="254">
        <f>(([7]Consolidated!H155)*1000)*(1/0.79941)</f>
        <v/>
      </c>
      <c r="I155" s="254">
        <f>(([7]Consolidated!I155)*1000)*(1/0.79941)</f>
        <v/>
      </c>
      <c r="J155" s="256">
        <f>(([7]Consolidated!J155)*1000)*(1/0.79941)</f>
        <v/>
      </c>
      <c r="K155" s="185" t="n"/>
      <c r="L155" s="256">
        <f>(([7]Consolidated!L155)*1000)*(1/0.79941)</f>
        <v/>
      </c>
      <c r="M155" s="254">
        <f>(([7]Consolidated!M155)*1000)*(1/0.79941)</f>
        <v/>
      </c>
      <c r="N155" s="249">
        <f>(([7]Consolidated!N155)*1000)*(1/0.79941)</f>
        <v/>
      </c>
    </row>
    <row r="156" ht="12.75" customHeight="1" s="150">
      <c r="C156" s="245" t="inlineStr">
        <is>
          <t>Travel costs</t>
        </is>
      </c>
      <c r="D156" s="254">
        <f>(([7]Consolidated!D156)*1000)*(1/0.79941)</f>
        <v/>
      </c>
      <c r="E156" s="254">
        <f>(([7]Consolidated!E156)*1000)*(1/0.79941)</f>
        <v/>
      </c>
      <c r="F156" s="254">
        <f>(([7]Consolidated!F156)*1000)*(1/0.79941)</f>
        <v/>
      </c>
      <c r="G156" s="254">
        <f>(([7]Consolidated!G156)*1000)*(1/0.79941)</f>
        <v/>
      </c>
      <c r="H156" s="254">
        <f>(([7]Consolidated!H156)*1000)*(1/0.79941)</f>
        <v/>
      </c>
      <c r="I156" s="254">
        <f>(([7]Consolidated!I156)*1000)*(1/0.79941)</f>
        <v/>
      </c>
      <c r="J156" s="256">
        <f>(([7]Consolidated!J156)*1000)*(1/0.79941)</f>
        <v/>
      </c>
      <c r="K156" s="185" t="n"/>
      <c r="L156" s="256">
        <f>(([7]Consolidated!L156)*1000)*(1/0.79941)</f>
        <v/>
      </c>
      <c r="M156" s="254">
        <f>(([7]Consolidated!M156)*1000)*(1/0.79941)</f>
        <v/>
      </c>
      <c r="N156" s="249">
        <f>(([7]Consolidated!N156)*1000)*(1/0.79941)</f>
        <v/>
      </c>
    </row>
    <row r="157" ht="12.75" customHeight="1" s="150">
      <c r="C157" s="245" t="inlineStr">
        <is>
          <t>Postal and freight charges</t>
        </is>
      </c>
      <c r="D157" s="254">
        <f>(([7]Consolidated!D157)*1000)*(1/0.79941)</f>
        <v/>
      </c>
      <c r="E157" s="254">
        <f>(([7]Consolidated!E157)*1000)*(1/0.79941)</f>
        <v/>
      </c>
      <c r="F157" s="254">
        <f>(([7]Consolidated!F157)*1000)*(1/0.79941)</f>
        <v/>
      </c>
      <c r="G157" s="254">
        <f>(([7]Consolidated!G157)*1000)*(1/0.79941)</f>
        <v/>
      </c>
      <c r="H157" s="254">
        <f>(([7]Consolidated!H157)*1000)*(1/0.79941)</f>
        <v/>
      </c>
      <c r="I157" s="254">
        <f>(([7]Consolidated!I157)*1000)*(1/0.79941)</f>
        <v/>
      </c>
      <c r="J157" s="256">
        <f>(([7]Consolidated!J157)*1000)*(1/0.79941)</f>
        <v/>
      </c>
      <c r="K157" s="185" t="n"/>
      <c r="L157" s="256">
        <f>(([7]Consolidated!L157)*1000)*(1/0.79941)</f>
        <v/>
      </c>
      <c r="M157" s="254">
        <f>(([7]Consolidated!M157)*1000)*(1/0.79941)</f>
        <v/>
      </c>
      <c r="N157" s="249">
        <f>(([7]Consolidated!N157)*1000)*(1/0.79941)</f>
        <v/>
      </c>
    </row>
    <row r="158" ht="12.75" customHeight="1" s="150">
      <c r="C158" s="245" t="inlineStr">
        <is>
          <t>Prof serv and ext advisory fee</t>
        </is>
      </c>
      <c r="D158" s="254">
        <f>(([7]Consolidated!D158)*1000)*(1/0.79941)</f>
        <v/>
      </c>
      <c r="E158" s="254">
        <f>(([7]Consolidated!E158)*1000)*(1/0.79941)</f>
        <v/>
      </c>
      <c r="F158" s="254">
        <f>(([7]Consolidated!F158)*1000)*(1/0.79941)</f>
        <v/>
      </c>
      <c r="G158" s="254">
        <f>(([7]Consolidated!G158)*1000)*(1/0.79941)</f>
        <v/>
      </c>
      <c r="H158" s="254">
        <f>(([7]Consolidated!H158)*1000)*(1/0.79941)</f>
        <v/>
      </c>
      <c r="I158" s="254">
        <f>(([7]Consolidated!I158)*1000)*(1/0.79941)</f>
        <v/>
      </c>
      <c r="J158" s="256">
        <f>(([7]Consolidated!J158)*1000)*(1/0.79941)</f>
        <v/>
      </c>
      <c r="K158" s="185" t="n"/>
      <c r="L158" s="256">
        <f>(([7]Consolidated!L158)*1000)*(1/0.79941)</f>
        <v/>
      </c>
      <c r="M158" s="254">
        <f>(([7]Consolidated!M158)*1000)*(1/0.79941)</f>
        <v/>
      </c>
      <c r="N158" s="249">
        <f>(([7]Consolidated!N158)*1000)*(1/0.79941)</f>
        <v/>
      </c>
    </row>
    <row r="159" ht="12.75" customHeight="1" s="150">
      <c r="C159" s="245" t="inlineStr">
        <is>
          <t>Payment transfer expenses</t>
        </is>
      </c>
      <c r="D159" s="254">
        <f>(([7]Consolidated!D159)*1000)*(1/0.79941)</f>
        <v/>
      </c>
      <c r="E159" s="254">
        <f>(([7]Consolidated!E159)*1000)*(1/0.79941)</f>
        <v/>
      </c>
      <c r="F159" s="254">
        <f>(([7]Consolidated!F159)*1000)*(1/0.79941)</f>
        <v/>
      </c>
      <c r="G159" s="254">
        <f>(([7]Consolidated!G159)*1000)*(1/0.79941)</f>
        <v/>
      </c>
      <c r="H159" s="254">
        <f>(([7]Consolidated!H159)*1000)*(1/0.79941)</f>
        <v/>
      </c>
      <c r="I159" s="254">
        <f>(([7]Consolidated!I159)*1000)*(1/0.79941)</f>
        <v/>
      </c>
      <c r="J159" s="256">
        <f>(([7]Consolidated!J159)*1000)*(1/0.79941)</f>
        <v/>
      </c>
      <c r="K159" s="185" t="n"/>
      <c r="L159" s="256">
        <f>(([7]Consolidated!L159)*1000)*(1/0.79941)</f>
        <v/>
      </c>
      <c r="M159" s="254">
        <f>(([7]Consolidated!M159)*1000)*(1/0.79941)</f>
        <v/>
      </c>
      <c r="N159" s="249">
        <f>(([7]Consolidated!N159)*1000)*(1/0.79941)</f>
        <v/>
      </c>
    </row>
    <row r="160" ht="12.75" customHeight="1" s="150">
      <c r="C160" s="245" t="inlineStr">
        <is>
          <t>Other costs</t>
        </is>
      </c>
      <c r="D160" s="254">
        <f>(([7]Consolidated!D160)*1000)*(1/0.79941)</f>
        <v/>
      </c>
      <c r="E160" s="254">
        <f>(([7]Consolidated!E160)*1000)*(1/0.79941)</f>
        <v/>
      </c>
      <c r="F160" s="254">
        <f>(([7]Consolidated!F160)*1000)*(1/0.79941)</f>
        <v/>
      </c>
      <c r="G160" s="254">
        <f>(([7]Consolidated!G160)*1000)*(1/0.79941)</f>
        <v/>
      </c>
      <c r="H160" s="254">
        <f>(([7]Consolidated!H160)*1000)*(1/0.79941)</f>
        <v/>
      </c>
      <c r="I160" s="254">
        <f>(([7]Consolidated!I160)*1000)*(1/0.79941)</f>
        <v/>
      </c>
      <c r="J160" s="256">
        <f>(([7]Consolidated!J160)*1000)*(1/0.79941)</f>
        <v/>
      </c>
      <c r="K160" s="185" t="n"/>
      <c r="L160" s="256">
        <f>(([7]Consolidated!L160)*1000)*(1/0.79941)</f>
        <v/>
      </c>
      <c r="M160" s="254">
        <f>(([7]Consolidated!M160)*1000)*(1/0.79941)</f>
        <v/>
      </c>
      <c r="N160" s="249">
        <f>(([7]Consolidated!N160)*1000)*(1/0.79941)</f>
        <v/>
      </c>
    </row>
    <row r="161" ht="13.5" customHeight="1" s="150">
      <c r="C161" s="250" t="inlineStr">
        <is>
          <t>General expenses</t>
        </is>
      </c>
      <c r="D161" s="258">
        <f>(([7]Consolidated!D161)*1000)*(1/0.79941)</f>
        <v/>
      </c>
      <c r="E161" s="258">
        <f>(([7]Consolidated!E161)*1000)*(1/0.79941)</f>
        <v/>
      </c>
      <c r="F161" s="258">
        <f>(([7]Consolidated!F161)*1000)*(1/0.79941)</f>
        <v/>
      </c>
      <c r="G161" s="258">
        <f>(([7]Consolidated!G161)*1000)*(1/0.79941)</f>
        <v/>
      </c>
      <c r="H161" s="258">
        <f>(([7]Consolidated!H161)*1000)*(1/0.79941)</f>
        <v/>
      </c>
      <c r="I161" s="258">
        <f>(([7]Consolidated!I161)*1000)*(1/0.79941)</f>
        <v/>
      </c>
      <c r="J161" s="253">
        <f>(([7]Consolidated!J161)*1000)*(1/0.79941)</f>
        <v/>
      </c>
      <c r="K161" s="185" t="n"/>
      <c r="L161" s="253">
        <f>(([7]Consolidated!L161)*1000)*(1/0.79941)</f>
        <v/>
      </c>
      <c r="M161" s="258">
        <f>(([7]Consolidated!M161)*1000)*(1/0.79941)</f>
        <v/>
      </c>
      <c r="N161" s="253">
        <f>(([7]Consolidated!N161)*1000)*(1/0.79941)</f>
        <v/>
      </c>
    </row>
    <row r="162" ht="12.75" customHeight="1" s="150">
      <c r="C162" s="245" t="inlineStr">
        <is>
          <t>Own expenses</t>
        </is>
      </c>
      <c r="D162" s="254">
        <f>(([7]Consolidated!D162)*1000)*(1/0.79941)</f>
        <v/>
      </c>
      <c r="E162" s="254">
        <f>(([7]Consolidated!E162)*1000)*(1/0.79941)</f>
        <v/>
      </c>
      <c r="F162" s="254">
        <f>(([7]Consolidated!F162)*1000)*(1/0.79941)</f>
        <v/>
      </c>
      <c r="G162" s="254">
        <f>(([7]Consolidated!G162)*1000)*(1/0.79941)</f>
        <v/>
      </c>
      <c r="H162" s="254">
        <f>(([7]Consolidated!H162)*1000)*(1/0.79941)</f>
        <v/>
      </c>
      <c r="I162" s="254">
        <f>(([7]Consolidated!I162)*1000)*(1/0.79941)</f>
        <v/>
      </c>
      <c r="J162" s="256">
        <f>(([7]Consolidated!J162)*1000)*(1/0.79941)</f>
        <v/>
      </c>
      <c r="K162" s="185" t="n"/>
      <c r="L162" s="256">
        <f>(([7]Consolidated!L162)*1000)*(1/0.79941)</f>
        <v/>
      </c>
      <c r="M162" s="254">
        <f>(([7]Consolidated!M162)*1000)*(1/0.79941)</f>
        <v/>
      </c>
      <c r="N162" s="259">
        <f>(([7]Consolidated!N162)*1000)*(1/0.79941)</f>
        <v/>
      </c>
    </row>
    <row r="163" ht="12.75" customHeight="1" s="150">
      <c r="C163" s="245" t="inlineStr">
        <is>
          <t>Other expenses</t>
        </is>
      </c>
      <c r="D163" s="254">
        <f>(([7]Consolidated!D163)*1000)*(1/0.79941)</f>
        <v/>
      </c>
      <c r="E163" s="254">
        <f>(([7]Consolidated!E163)*1000)*(1/0.79941)</f>
        <v/>
      </c>
      <c r="F163" s="254">
        <f>(([7]Consolidated!F163)*1000)*(1/0.79941)</f>
        <v/>
      </c>
      <c r="G163" s="254">
        <f>(([7]Consolidated!G163)*1000)*(1/0.79941)</f>
        <v/>
      </c>
      <c r="H163" s="254">
        <f>(([7]Consolidated!H163)*1000)*(1/0.79941)</f>
        <v/>
      </c>
      <c r="I163" s="254">
        <f>(([7]Consolidated!I163)*1000)*(1/0.79941)</f>
        <v/>
      </c>
      <c r="J163" s="256">
        <f>(([7]Consolidated!J163)*1000)*(1/0.79941)</f>
        <v/>
      </c>
      <c r="K163" s="185" t="n"/>
      <c r="L163" s="256">
        <f>(([7]Consolidated!L163)*1000)*(1/0.79941)</f>
        <v/>
      </c>
      <c r="M163" s="254">
        <f>(([7]Consolidated!M163)*1000)*(1/0.79941)</f>
        <v/>
      </c>
      <c r="N163" s="249">
        <f>(([7]Consolidated!N163)*1000)*(1/0.79941)</f>
        <v/>
      </c>
    </row>
    <row r="164" ht="13.5" customHeight="1" s="150">
      <c r="C164" s="250" t="inlineStr">
        <is>
          <t xml:space="preserve">Operating expenses </t>
        </is>
      </c>
      <c r="D164" s="258">
        <f>(([7]Consolidated!D164)*1000)*(1/0.79941)</f>
        <v/>
      </c>
      <c r="E164" s="258">
        <f>(([7]Consolidated!E164)*1000)*(1/0.79941)</f>
        <v/>
      </c>
      <c r="F164" s="258">
        <f>(([7]Consolidated!F164)*1000)*(1/0.79941)</f>
        <v/>
      </c>
      <c r="G164" s="258">
        <f>(([7]Consolidated!G164)*1000)*(1/0.79941)</f>
        <v/>
      </c>
      <c r="H164" s="258">
        <f>(([7]Consolidated!H164)*1000)*(1/0.79941)</f>
        <v/>
      </c>
      <c r="I164" s="258">
        <f>(([7]Consolidated!I164)*1000)*(1/0.79941)</f>
        <v/>
      </c>
      <c r="J164" s="253">
        <f>(([7]Consolidated!J164)*1000)*(1/0.79941)</f>
        <v/>
      </c>
      <c r="K164" s="185" t="n"/>
      <c r="L164" s="253">
        <f>(([7]Consolidated!L164)*1000)*(1/0.79941)</f>
        <v/>
      </c>
      <c r="M164" s="258">
        <f>(([7]Consolidated!M164)*1000)*(1/0.79941)</f>
        <v/>
      </c>
      <c r="N164" s="253">
        <f>(([7]Consolidated!N164)*1000)*(1/0.79941)</f>
        <v/>
      </c>
    </row>
    <row r="165" ht="12.75" customHeight="1" s="150">
      <c r="C165" s="245" t="n"/>
      <c r="D165" s="254">
        <f>0*(1/0.79941)</f>
        <v/>
      </c>
      <c r="E165" s="254">
        <f>0*(1/0.79941)</f>
        <v/>
      </c>
      <c r="F165" s="254">
        <f>0*(1/0.79941)</f>
        <v/>
      </c>
      <c r="G165" s="254">
        <f>0*(1/0.79941)</f>
        <v/>
      </c>
      <c r="H165" s="254">
        <f>0*(1/0.79941)</f>
        <v/>
      </c>
      <c r="I165" s="254">
        <f>0*(1/0.79941)</f>
        <v/>
      </c>
      <c r="J165" s="260">
        <f>0*(1/0.79941)</f>
        <v/>
      </c>
      <c r="K165" s="185" t="n"/>
      <c r="L165" s="256">
        <f>0*(1/0.79941)</f>
        <v/>
      </c>
      <c r="M165" s="254">
        <f>0*(1/0.79941)</f>
        <v/>
      </c>
      <c r="N165" s="260">
        <f>0*(1/0.79941)</f>
        <v/>
      </c>
    </row>
    <row r="166" ht="12.75" customHeight="1" s="150">
      <c r="C166" s="245" t="inlineStr">
        <is>
          <t>HR &amp; Comms</t>
        </is>
      </c>
      <c r="D166" s="254">
        <f>(([7]Consolidated!D166)*1000)*(1/0.79941)</f>
        <v/>
      </c>
      <c r="E166" s="254">
        <f>(([7]Consolidated!E166)*1000)*(1/0.79941)</f>
        <v/>
      </c>
      <c r="F166" s="254">
        <f>(([7]Consolidated!F166)*1000)*(1/0.79941)</f>
        <v/>
      </c>
      <c r="G166" s="254">
        <f>(([7]Consolidated!G166)*1000)*(1/0.79941)</f>
        <v/>
      </c>
      <c r="H166" s="254">
        <f>(([7]Consolidated!H166)*1000)*(1/0.79941)</f>
        <v/>
      </c>
      <c r="I166" s="254">
        <f>(([7]Consolidated!I166)*1000)*(1/0.79941)</f>
        <v/>
      </c>
      <c r="J166" s="256">
        <f>(([7]Consolidated!J166)*1000)*(1/0.79941)</f>
        <v/>
      </c>
      <c r="K166" s="185" t="n"/>
      <c r="L166" s="256">
        <f>(([7]Consolidated!L166)*1000)*(1/0.79941)</f>
        <v/>
      </c>
      <c r="M166" s="254">
        <f>(([7]Consolidated!M166)*1000)*(1/0.79941)</f>
        <v/>
      </c>
      <c r="N166" s="249">
        <f>(([7]Consolidated!N166)*1000)*(1/0.79941)</f>
        <v/>
      </c>
    </row>
    <row r="167" ht="12.75" customHeight="1" s="150">
      <c r="C167" s="245" t="inlineStr">
        <is>
          <t>Finance &amp; Business Support</t>
        </is>
      </c>
      <c r="D167" s="254">
        <f>(([7]Consolidated!D167)*1000)*(1/0.79941)</f>
        <v/>
      </c>
      <c r="E167" s="254">
        <f>(([7]Consolidated!E167)*1000)*(1/0.79941)</f>
        <v/>
      </c>
      <c r="F167" s="254">
        <f>(([7]Consolidated!F167)*1000)*(1/0.79941)</f>
        <v/>
      </c>
      <c r="G167" s="254">
        <f>(([7]Consolidated!G167)*1000)*(1/0.79941)</f>
        <v/>
      </c>
      <c r="H167" s="254">
        <f>(([7]Consolidated!H167)*1000)*(1/0.79941)</f>
        <v/>
      </c>
      <c r="I167" s="254">
        <f>(([7]Consolidated!I167)*1000)*(1/0.79941)</f>
        <v/>
      </c>
      <c r="J167" s="256">
        <f>(([7]Consolidated!J167)*1000)*(1/0.79941)</f>
        <v/>
      </c>
      <c r="K167" s="185" t="n"/>
      <c r="L167" s="256">
        <f>(([7]Consolidated!L167)*1000)*(1/0.79941)</f>
        <v/>
      </c>
      <c r="M167" s="254">
        <f>(([7]Consolidated!M167)*1000)*(1/0.79941)</f>
        <v/>
      </c>
      <c r="N167" s="249">
        <f>(([7]Consolidated!N167)*1000)*(1/0.79941)</f>
        <v/>
      </c>
    </row>
    <row r="168" ht="12.75" customHeight="1" s="150">
      <c r="C168" s="245" t="inlineStr">
        <is>
          <t>IT alloc</t>
        </is>
      </c>
      <c r="D168" s="254">
        <f>(([7]Consolidated!D168)*1000)*(1/0.79941)</f>
        <v/>
      </c>
      <c r="E168" s="254">
        <f>(([7]Consolidated!E168)*1000)*(1/0.79941)</f>
        <v/>
      </c>
      <c r="F168" s="254">
        <f>(([7]Consolidated!F168)*1000)*(1/0.79941)</f>
        <v/>
      </c>
      <c r="G168" s="254">
        <f>(([7]Consolidated!G168)*1000)*(1/0.79941)</f>
        <v/>
      </c>
      <c r="H168" s="254">
        <f>(([7]Consolidated!H168)*1000)*(1/0.79941)</f>
        <v/>
      </c>
      <c r="I168" s="254">
        <f>(([7]Consolidated!I168)*1000)*(1/0.79941)</f>
        <v/>
      </c>
      <c r="J168" s="256">
        <f>(([7]Consolidated!J168)*1000)*(1/0.79941)</f>
        <v/>
      </c>
      <c r="K168" s="185" t="n"/>
      <c r="L168" s="256">
        <f>(([7]Consolidated!L168)*1000)*(1/0.79941)</f>
        <v/>
      </c>
      <c r="M168" s="254">
        <f>(([7]Consolidated!M168)*1000)*(1/0.79941)</f>
        <v/>
      </c>
      <c r="N168" s="249">
        <f>(([7]Consolidated!N168)*1000)*(1/0.79941)</f>
        <v/>
      </c>
    </row>
    <row r="169" ht="12.75" customHeight="1" s="150">
      <c r="C169" s="245" t="inlineStr">
        <is>
          <t>Facilities Management</t>
        </is>
      </c>
      <c r="D169" s="254">
        <f>(([7]Consolidated!D169)*1000)*(1/0.79941)</f>
        <v/>
      </c>
      <c r="E169" s="254">
        <f>(([7]Consolidated!E169)*1000)*(1/0.79941)</f>
        <v/>
      </c>
      <c r="F169" s="254">
        <f>(([7]Consolidated!F169)*1000)*(1/0.79941)</f>
        <v/>
      </c>
      <c r="G169" s="254">
        <f>(([7]Consolidated!G169)*1000)*(1/0.79941)</f>
        <v/>
      </c>
      <c r="H169" s="254">
        <f>(([7]Consolidated!H169)*1000)*(1/0.79941)</f>
        <v/>
      </c>
      <c r="I169" s="254">
        <f>(([7]Consolidated!I169)*1000)*(1/0.79941)</f>
        <v/>
      </c>
      <c r="J169" s="256">
        <f>(([7]Consolidated!J169)*1000)*(1/0.79941)</f>
        <v/>
      </c>
      <c r="K169" s="185" t="n"/>
      <c r="L169" s="256">
        <f>(([7]Consolidated!L169)*1000)*(1/0.79941)</f>
        <v/>
      </c>
      <c r="M169" s="254">
        <f>(([7]Consolidated!M169)*1000)*(1/0.79941)</f>
        <v/>
      </c>
      <c r="N169" s="249">
        <f>(([7]Consolidated!N169)*1000)*(1/0.79941)</f>
        <v/>
      </c>
    </row>
    <row r="170" ht="13.5" customHeight="1" s="150">
      <c r="C170" s="250" t="inlineStr">
        <is>
          <t>Overheads</t>
        </is>
      </c>
      <c r="D170" s="258">
        <f>(([7]Consolidated!D170)*1000)*(1/0.79941)</f>
        <v/>
      </c>
      <c r="E170" s="258">
        <f>(([7]Consolidated!E170)*1000)*(1/0.79941)</f>
        <v/>
      </c>
      <c r="F170" s="258">
        <f>(([7]Consolidated!F170)*1000)*(1/0.79941)</f>
        <v/>
      </c>
      <c r="G170" s="258">
        <f>(([7]Consolidated!G170)*1000)*(1/0.79941)</f>
        <v/>
      </c>
      <c r="H170" s="258">
        <f>(([7]Consolidated!H170)*1000)*(1/0.79941)</f>
        <v/>
      </c>
      <c r="I170" s="258">
        <f>(([7]Consolidated!I170)*1000)*(1/0.79941)</f>
        <v/>
      </c>
      <c r="J170" s="253">
        <f>(([7]Consolidated!J170)*1000)*(1/0.79941)</f>
        <v/>
      </c>
      <c r="K170" s="185" t="n"/>
      <c r="L170" s="253">
        <f>(([7]Consolidated!L170)*1000)*(1/0.79941)</f>
        <v/>
      </c>
      <c r="M170" s="258">
        <f>(([7]Consolidated!M170)*1000)*(1/0.79941)</f>
        <v/>
      </c>
      <c r="N170" s="253">
        <f>(([7]Consolidated!N170)*1000)*(1/0.79941)</f>
        <v/>
      </c>
    </row>
    <row r="171" ht="12.75" customHeight="1" s="150">
      <c r="C171" s="245" t="n"/>
      <c r="D171" s="254">
        <f>0*(1/0.79941)</f>
        <v/>
      </c>
      <c r="E171" s="254">
        <f>0*(1/0.79941)</f>
        <v/>
      </c>
      <c r="F171" s="254">
        <f>0*(1/0.79941)</f>
        <v/>
      </c>
      <c r="G171" s="254">
        <f>0*(1/0.79941)</f>
        <v/>
      </c>
      <c r="H171" s="254">
        <f>0*(1/0.79941)</f>
        <v/>
      </c>
      <c r="I171" s="254">
        <f>0*(1/0.79941)</f>
        <v/>
      </c>
      <c r="J171" s="260">
        <f>0*(1/0.79941)</f>
        <v/>
      </c>
      <c r="K171" s="185" t="n"/>
      <c r="L171" s="256">
        <f>0*(1/0.79941)</f>
        <v/>
      </c>
      <c r="M171" s="254">
        <f>0*(1/0.79941)</f>
        <v/>
      </c>
      <c r="N171" s="260">
        <f>0*(1/0.79941)</f>
        <v/>
      </c>
    </row>
    <row r="172" ht="13.5" customHeight="1" s="150">
      <c r="C172" s="250" t="inlineStr">
        <is>
          <t>Total Operating Costs (incl. O/H)</t>
        </is>
      </c>
      <c r="D172" s="258">
        <f>(([7]Consolidated!D172)*1000)*(1/0.79941)</f>
        <v/>
      </c>
      <c r="E172" s="258">
        <f>(([7]Consolidated!E172)*1000)*(1/0.79941)</f>
        <v/>
      </c>
      <c r="F172" s="258">
        <f>(([7]Consolidated!F172)*1000)*(1/0.79941)</f>
        <v/>
      </c>
      <c r="G172" s="258">
        <f>(([7]Consolidated!G172)*1000)*(1/0.79941)</f>
        <v/>
      </c>
      <c r="H172" s="258">
        <f>(([7]Consolidated!H172)*1000)*(1/0.79941)</f>
        <v/>
      </c>
      <c r="I172" s="258">
        <f>(([7]Consolidated!I172)*1000)*(1/0.79941)</f>
        <v/>
      </c>
      <c r="J172" s="253">
        <f>(([7]Consolidated!J172)*1000)*(1/0.79941)</f>
        <v/>
      </c>
      <c r="K172" s="185" t="n"/>
      <c r="L172" s="253">
        <f>(([7]Consolidated!L172)*1000)*(1/0.79941)</f>
        <v/>
      </c>
      <c r="M172" s="258">
        <f>(([7]Consolidated!M172)*1000)*(1/0.79941)</f>
        <v/>
      </c>
      <c r="N172" s="253">
        <f>(([7]Consolidated!N172)*1000)*(1/0.79941)</f>
        <v/>
      </c>
    </row>
  </sheetData>
  <printOptions horizontalCentered="0" verticalCentered="0" headings="0" gridLines="0" gridLinesSet="1"/>
  <pageMargins left="0.747916666666667" right="0.747916666666667" top="0.9840277777777779" bottom="0.9840277777777779" header="0.511811023622047" footer="0.511811023622047"/>
  <pageSetup orientation="portrait" paperSize="1" scale="100" fitToHeight="1" fitToWidth="1" pageOrder="downThenOver" blackAndWhite="0" draft="0" horizontalDpi="300" verticalDpi="300" copies="1"/>
</worksheet>
</file>

<file path=xl/worksheets/sheet10.xml><?xml version="1.0" encoding="utf-8"?>
<worksheet xmlns="http://schemas.openxmlformats.org/spreadsheetml/2006/main">
  <sheetPr filterMode="0">
    <tabColor rgb="FF00FFFF"/>
    <outlinePr summaryBelow="1" summaryRight="1"/>
    <pageSetUpPr fitToPage="0"/>
  </sheetPr>
  <dimension ref="A1:T172"/>
  <sheetViews>
    <sheetView showFormulas="0" showGridLines="1" showRowColHeaders="1" showZeros="1" rightToLeft="0" tabSelected="1" showOutlineSymbols="1" defaultGridColor="1" view="normal" topLeftCell="B2" colorId="64" zoomScale="100" zoomScaleNormal="100" zoomScalePageLayoutView="100" workbookViewId="0">
      <selection pane="topLeft" activeCell="B5" activeCellId="0" sqref="B5"/>
    </sheetView>
  </sheetViews>
  <sheetFormatPr baseColWidth="8" defaultColWidth="9.13671875" defaultRowHeight="12.75" customHeight="1" zeroHeight="0" outlineLevelRow="0"/>
  <cols>
    <col hidden="1" width="26.13" customWidth="1" style="158" min="1" max="1"/>
    <col width="6.28" customWidth="1" style="158" min="2" max="2"/>
    <col width="27.56" customWidth="1" style="149" min="3" max="3"/>
    <col width="11.99" customWidth="1" style="149" min="4" max="7"/>
    <col width="12.85" customWidth="1" style="149" min="8" max="8"/>
    <col width="14.41" customWidth="1" style="149" min="9" max="9"/>
    <col width="11.99" customWidth="1" style="159" min="10" max="10"/>
    <col width="3.28" customWidth="1" style="160" min="11" max="11"/>
    <col width="12.85" customWidth="1" style="149" min="12" max="12"/>
    <col width="14.41" customWidth="1" style="149" min="13" max="13"/>
    <col width="13.56" customWidth="1" style="149" min="14" max="14"/>
    <col width="9.140000000000001" customWidth="1" style="149" min="15" max="257"/>
  </cols>
  <sheetData>
    <row r="1" ht="33" customHeight="1" s="150">
      <c r="C1" s="161" t="inlineStr">
        <is>
          <t>Germany</t>
        </is>
      </c>
    </row>
    <row r="2" ht="48.75" customHeight="1" s="150">
      <c r="C2" s="162" t="inlineStr">
        <is>
          <t>TOTAL COSTS 
(US$ excl. VAT)</t>
        </is>
      </c>
      <c r="D2" s="163">
        <f>[8]Consolidated!D2</f>
        <v/>
      </c>
      <c r="E2" s="163">
        <f>[8]Consolidated!E2</f>
        <v/>
      </c>
      <c r="F2" s="163">
        <f>[8]Consolidated!F2</f>
        <v/>
      </c>
      <c r="G2" s="163">
        <f>[8]Consolidated!G2</f>
        <v/>
      </c>
      <c r="H2" s="163">
        <f>[8]Consolidated!H2</f>
        <v/>
      </c>
      <c r="I2" s="163">
        <f>[8]Consolidated!I2</f>
        <v/>
      </c>
      <c r="J2" s="164">
        <f>[8]Consolidated!J2</f>
        <v/>
      </c>
      <c r="K2" s="165" t="n"/>
      <c r="L2" s="163">
        <f>[8]Consolidated!L2</f>
        <v/>
      </c>
      <c r="M2" s="166">
        <f>[8]Consolidated!M2</f>
        <v/>
      </c>
      <c r="N2" s="163">
        <f>[8]Consolidated!N2</f>
        <v/>
      </c>
    </row>
    <row r="3" ht="12.75" customHeight="1" s="150">
      <c r="A3" s="158" t="n"/>
      <c r="B3" s="158" t="n"/>
      <c r="C3" s="167" t="inlineStr">
        <is>
          <t>Internal FTE</t>
        </is>
      </c>
      <c r="D3" s="182">
        <f>[8]Consolidated!D3</f>
        <v/>
      </c>
      <c r="E3" s="182">
        <f>[8]Consolidated!E3</f>
        <v/>
      </c>
      <c r="F3" s="182">
        <f>[8]Consolidated!F3</f>
        <v/>
      </c>
      <c r="G3" s="182">
        <f>[8]Consolidated!G3</f>
        <v/>
      </c>
      <c r="H3" s="182">
        <f>[8]Consolidated!H3</f>
        <v/>
      </c>
      <c r="I3" s="182">
        <f>[8]Consolidated!I3</f>
        <v/>
      </c>
      <c r="J3" s="293" t="n"/>
      <c r="K3" s="185" t="n"/>
      <c r="L3" s="186">
        <f>[8]Consolidated!L3</f>
        <v/>
      </c>
      <c r="M3" s="182">
        <f>[8]Consolidated!M3</f>
        <v/>
      </c>
      <c r="N3" s="173" t="n"/>
    </row>
    <row r="4" ht="12.75" customHeight="1" s="150">
      <c r="A4" s="158" t="n"/>
      <c r="B4" s="158" t="n"/>
      <c r="C4" s="167" t="inlineStr">
        <is>
          <t>External FTE</t>
        </is>
      </c>
      <c r="D4" s="182">
        <f>[8]Consolidated!D4</f>
        <v/>
      </c>
      <c r="E4" s="182">
        <f>[8]Consolidated!E4</f>
        <v/>
      </c>
      <c r="F4" s="182">
        <f>[8]Consolidated!F4</f>
        <v/>
      </c>
      <c r="G4" s="182">
        <f>[8]Consolidated!G4</f>
        <v/>
      </c>
      <c r="H4" s="182">
        <f>[8]Consolidated!H4</f>
        <v/>
      </c>
      <c r="I4" s="183">
        <f>[8]Consolidated!I4</f>
        <v/>
      </c>
      <c r="J4" s="294" t="n"/>
      <c r="K4" s="185" t="n"/>
      <c r="L4" s="186">
        <f>[8]Consolidated!L4</f>
        <v/>
      </c>
      <c r="M4" s="182">
        <f>[8]Consolidated!M4</f>
        <v/>
      </c>
      <c r="N4" s="173" t="n"/>
    </row>
    <row r="5" ht="13.5" customHeight="1" s="150">
      <c r="A5" s="176" t="n"/>
      <c r="B5" s="176" t="n"/>
      <c r="C5" s="177" t="inlineStr">
        <is>
          <t>Total FTE</t>
        </is>
      </c>
      <c r="D5" s="188">
        <f>[8]Consolidated!D5</f>
        <v/>
      </c>
      <c r="E5" s="188">
        <f>[8]Consolidated!E5</f>
        <v/>
      </c>
      <c r="F5" s="188">
        <f>[8]Consolidated!F5</f>
        <v/>
      </c>
      <c r="G5" s="188">
        <f>[8]Consolidated!G5</f>
        <v/>
      </c>
      <c r="H5" s="188">
        <f>[8]Consolidated!H5</f>
        <v/>
      </c>
      <c r="I5" s="189">
        <f>[8]Consolidated!I5</f>
        <v/>
      </c>
      <c r="J5" s="295" t="n"/>
      <c r="K5" s="185" t="n"/>
      <c r="L5" s="181">
        <f>[8]Consolidated!L5</f>
        <v/>
      </c>
      <c r="M5" s="188">
        <f>[8]Consolidated!M5</f>
        <v/>
      </c>
      <c r="N5" s="181" t="n"/>
    </row>
    <row r="6" ht="12.75" customHeight="1" s="150">
      <c r="A6" s="158" t="n"/>
      <c r="B6" s="158" t="n"/>
      <c r="C6" s="167" t="n"/>
      <c r="D6" s="182" t="n"/>
      <c r="E6" s="182" t="n"/>
      <c r="F6" s="182" t="n"/>
      <c r="G6" s="182" t="n"/>
      <c r="H6" s="182" t="n"/>
      <c r="I6" s="183" t="n"/>
      <c r="J6" s="184" t="n"/>
      <c r="K6" s="185" t="n"/>
      <c r="L6" s="186" t="n"/>
      <c r="M6" s="182" t="n"/>
      <c r="N6" s="173" t="n"/>
    </row>
    <row r="7" ht="12.75" customHeight="1" s="150">
      <c r="A7" s="158" t="n"/>
      <c r="B7" s="158" t="n"/>
      <c r="C7" s="167" t="inlineStr">
        <is>
          <t>Salaries</t>
        </is>
      </c>
      <c r="D7" s="182">
        <f>([8]Consolidated!D7)*(1/0.79941)</f>
        <v/>
      </c>
      <c r="E7" s="182">
        <f>([8]Consolidated!E7)*(1/0.79941)</f>
        <v/>
      </c>
      <c r="F7" s="182">
        <f>([8]Consolidated!F7)*(1/0.79941)</f>
        <v/>
      </c>
      <c r="G7" s="182">
        <f>([8]Consolidated!G7)*(1/0.79941)</f>
        <v/>
      </c>
      <c r="H7" s="182">
        <f>([8]Consolidated!H7)*(1/0.79941)</f>
        <v/>
      </c>
      <c r="I7" s="183">
        <f>([8]Consolidated!I7)*(1/0.79941)</f>
        <v/>
      </c>
      <c r="J7" s="183">
        <f>([8]Consolidated!J7)*(1/0.79941)</f>
        <v/>
      </c>
      <c r="K7" s="185" t="n"/>
      <c r="L7" s="186">
        <f>([8]Consolidated!L7)*(1/0.79941)</f>
        <v/>
      </c>
      <c r="M7" s="182">
        <f>([8]Consolidated!M7)*(1/0.79941)</f>
        <v/>
      </c>
      <c r="N7" s="173">
        <f>([8]Consolidated!N7)*(1/0.79941)</f>
        <v/>
      </c>
      <c r="P7" s="149" t="n">
        <v>1000</v>
      </c>
      <c r="T7" s="194" t="n"/>
    </row>
    <row r="8" ht="12.75" customHeight="1" s="150">
      <c r="A8" s="158" t="n"/>
      <c r="B8" s="158" t="n"/>
      <c r="C8" s="167" t="inlineStr">
        <is>
          <t>Bonuses</t>
        </is>
      </c>
      <c r="D8" s="182">
        <f>([8]Consolidated!D8)*(1/0.79941)</f>
        <v/>
      </c>
      <c r="E8" s="182">
        <f>([8]Consolidated!E8)*(1/0.79941)</f>
        <v/>
      </c>
      <c r="F8" s="182">
        <f>([8]Consolidated!F8)*(1/0.79941)</f>
        <v/>
      </c>
      <c r="G8" s="182">
        <f>([8]Consolidated!G8)*(1/0.79941)</f>
        <v/>
      </c>
      <c r="H8" s="182">
        <f>([8]Consolidated!H8)*(1/0.79941)</f>
        <v/>
      </c>
      <c r="I8" s="183">
        <f>([8]Consolidated!I8)*(1/0.79941)</f>
        <v/>
      </c>
      <c r="J8" s="183">
        <f>([8]Consolidated!J8)*(1/0.79941)</f>
        <v/>
      </c>
      <c r="K8" s="185" t="n"/>
      <c r="L8" s="186">
        <f>([8]Consolidated!L8)*(1/0.79941)</f>
        <v/>
      </c>
      <c r="M8" s="182">
        <f>([8]Consolidated!M8)*(1/0.79941)</f>
        <v/>
      </c>
      <c r="N8" s="173">
        <f>([8]Consolidated!N8)*(1/0.79941)</f>
        <v/>
      </c>
      <c r="P8" s="149">
        <f>1/0.79941</f>
        <v/>
      </c>
      <c r="Q8" s="149" t="inlineStr">
        <is>
          <t>Euro to Dollar Rate</t>
        </is>
      </c>
    </row>
    <row r="9" ht="12.75" customHeight="1" s="150">
      <c r="A9" s="158" t="n"/>
      <c r="B9" s="158" t="n"/>
      <c r="C9" s="167" t="inlineStr">
        <is>
          <t>Third party staff, ex IT</t>
        </is>
      </c>
      <c r="D9" s="182">
        <f>([8]Consolidated!D9)*(1/0.79941)</f>
        <v/>
      </c>
      <c r="E9" s="182">
        <f>([8]Consolidated!E9)*(1/0.79941)</f>
        <v/>
      </c>
      <c r="F9" s="182">
        <f>([8]Consolidated!F9)*(1/0.79941)</f>
        <v/>
      </c>
      <c r="G9" s="182">
        <f>([8]Consolidated!G9)*(1/0.79941)</f>
        <v/>
      </c>
      <c r="H9" s="182">
        <f>([8]Consolidated!H9)*(1/0.79941)</f>
        <v/>
      </c>
      <c r="I9" s="183">
        <f>([8]Consolidated!I9)*(1/0.79941)</f>
        <v/>
      </c>
      <c r="J9" s="183">
        <f>([8]Consolidated!J9)*(1/0.79941)</f>
        <v/>
      </c>
      <c r="K9" s="185" t="n"/>
      <c r="L9" s="186">
        <f>([8]Consolidated!L9)*(1/0.79941)</f>
        <v/>
      </c>
      <c r="M9" s="182">
        <f>([8]Consolidated!M9)*(1/0.79941)</f>
        <v/>
      </c>
      <c r="N9" s="173">
        <f>([8]Consolidated!N9)*(1/0.79941)</f>
        <v/>
      </c>
    </row>
    <row r="10" ht="12.75" customHeight="1" s="150">
      <c r="A10" s="158" t="n"/>
      <c r="B10" s="158" t="n"/>
      <c r="C10" s="167" t="inlineStr">
        <is>
          <t>Third party IT staff</t>
        </is>
      </c>
      <c r="D10" s="182">
        <f>([8]Consolidated!D10)*(1/0.79941)</f>
        <v/>
      </c>
      <c r="E10" s="182">
        <f>([8]Consolidated!E10)*(1/0.79941)</f>
        <v/>
      </c>
      <c r="F10" s="182">
        <f>([8]Consolidated!F10)*(1/0.79941)</f>
        <v/>
      </c>
      <c r="G10" s="182">
        <f>([8]Consolidated!G10)*(1/0.79941)</f>
        <v/>
      </c>
      <c r="H10" s="182">
        <f>([8]Consolidated!H10)*(1/0.79941)</f>
        <v/>
      </c>
      <c r="I10" s="183">
        <f>([8]Consolidated!I10)*(1/0.79941)</f>
        <v/>
      </c>
      <c r="J10" s="183">
        <f>([8]Consolidated!J10)*(1/0.79941)</f>
        <v/>
      </c>
      <c r="K10" s="185" t="n"/>
      <c r="L10" s="186">
        <f>([8]Consolidated!L10)*(1/0.79941)</f>
        <v/>
      </c>
      <c r="M10" s="182">
        <f>([8]Consolidated!M10)*(1/0.79941)</f>
        <v/>
      </c>
      <c r="N10" s="173">
        <f>([8]Consolidated!N10)*(1/0.79941)</f>
        <v/>
      </c>
    </row>
    <row r="11" ht="12.75" customHeight="1" s="150">
      <c r="A11" s="158" t="n"/>
      <c r="B11" s="158" t="n"/>
      <c r="C11" s="167" t="inlineStr">
        <is>
          <t>Employee education</t>
        </is>
      </c>
      <c r="D11" s="182">
        <f>([8]Consolidated!D11)*(1/0.79941)</f>
        <v/>
      </c>
      <c r="E11" s="182">
        <f>([8]Consolidated!E11)*(1/0.79941)</f>
        <v/>
      </c>
      <c r="F11" s="182">
        <f>([8]Consolidated!F11)*(1/0.79941)</f>
        <v/>
      </c>
      <c r="G11" s="182">
        <f>([8]Consolidated!G11)*(1/0.79941)</f>
        <v/>
      </c>
      <c r="H11" s="182">
        <f>([8]Consolidated!H11)*(1/0.79941)</f>
        <v/>
      </c>
      <c r="I11" s="183">
        <f>([8]Consolidated!I11)*(1/0.79941)</f>
        <v/>
      </c>
      <c r="J11" s="183">
        <f>([8]Consolidated!J11)*(1/0.79941)</f>
        <v/>
      </c>
      <c r="K11" s="185" t="n"/>
      <c r="L11" s="186">
        <f>([8]Consolidated!L11)*(1/0.79941)</f>
        <v/>
      </c>
      <c r="M11" s="182">
        <f>([8]Consolidated!M11)*(1/0.79941)</f>
        <v/>
      </c>
      <c r="N11" s="173">
        <f>([8]Consolidated!N11)*(1/0.79941)</f>
        <v/>
      </c>
    </row>
    <row r="12" ht="12.75" customHeight="1" s="150">
      <c r="A12" s="158" t="n"/>
      <c r="B12" s="158" t="n"/>
      <c r="C12" s="167" t="inlineStr">
        <is>
          <t>Other staff expenses</t>
        </is>
      </c>
      <c r="D12" s="182">
        <f>([8]Consolidated!D12)*(1/0.79941)</f>
        <v/>
      </c>
      <c r="E12" s="182">
        <f>([8]Consolidated!E12)*(1/0.79941)</f>
        <v/>
      </c>
      <c r="F12" s="182">
        <f>([8]Consolidated!F12)*(1/0.79941)</f>
        <v/>
      </c>
      <c r="G12" s="182">
        <f>([8]Consolidated!G12)*(1/0.79941)</f>
        <v/>
      </c>
      <c r="H12" s="182">
        <f>([8]Consolidated!H12)*(1/0.79941)</f>
        <v/>
      </c>
      <c r="I12" s="187">
        <f>([8]Consolidated!I12)*(1/0.79941)</f>
        <v/>
      </c>
      <c r="J12" s="187">
        <f>([8]Consolidated!J12)*(1/0.79941)</f>
        <v/>
      </c>
      <c r="K12" s="185" t="n"/>
      <c r="L12" s="186">
        <f>([8]Consolidated!L12)*(1/0.79941)</f>
        <v/>
      </c>
      <c r="M12" s="182">
        <f>([8]Consolidated!M12)*(1/0.79941)</f>
        <v/>
      </c>
      <c r="N12" s="173">
        <f>([8]Consolidated!N12)*(1/0.79941)</f>
        <v/>
      </c>
    </row>
    <row r="13" ht="13.5" customHeight="1" s="150">
      <c r="A13" s="176" t="n"/>
      <c r="B13" s="176" t="n"/>
      <c r="C13" s="177" t="inlineStr">
        <is>
          <t>Staff expenses</t>
        </is>
      </c>
      <c r="D13" s="188">
        <f>([8]Consolidated!D13)*(1/0.79941)</f>
        <v/>
      </c>
      <c r="E13" s="188">
        <f>([8]Consolidated!E13)*(1/0.79941)</f>
        <v/>
      </c>
      <c r="F13" s="188">
        <f>([8]Consolidated!F13)*(1/0.79941)</f>
        <v/>
      </c>
      <c r="G13" s="188">
        <f>([8]Consolidated!G13)*(1/0.79941)</f>
        <v/>
      </c>
      <c r="H13" s="188">
        <f>([8]Consolidated!H13)*(1/0.79941)</f>
        <v/>
      </c>
      <c r="I13" s="189">
        <f>([8]Consolidated!I13)*(1/0.79941)</f>
        <v/>
      </c>
      <c r="J13" s="189">
        <f>([8]Consolidated!J13)*(1/0.79941)</f>
        <v/>
      </c>
      <c r="K13" s="185" t="n"/>
      <c r="L13" s="181">
        <f>([8]Consolidated!L13)*(1/0.79941)</f>
        <v/>
      </c>
      <c r="M13" s="188">
        <f>([8]Consolidated!M13)*(1/0.79941)</f>
        <v/>
      </c>
      <c r="N13" s="181">
        <f>([8]Consolidated!N13)*(1/0.79941)</f>
        <v/>
      </c>
    </row>
    <row r="14" ht="12.75" customHeight="1" s="150">
      <c r="A14" s="158" t="n"/>
      <c r="B14" s="158" t="n"/>
      <c r="C14" s="167" t="inlineStr">
        <is>
          <t>Hardware expenses</t>
        </is>
      </c>
      <c r="D14" s="182">
        <f>([8]Consolidated!D14)*(1/0.79941)</f>
        <v/>
      </c>
      <c r="E14" s="182">
        <f>([8]Consolidated!E14)*(1/0.79941)</f>
        <v/>
      </c>
      <c r="F14" s="182">
        <f>([8]Consolidated!F14)*(1/0.79941)</f>
        <v/>
      </c>
      <c r="G14" s="182">
        <f>([8]Consolidated!G14)*(1/0.79941)</f>
        <v/>
      </c>
      <c r="H14" s="182">
        <f>([8]Consolidated!H14)*(1/0.79941)</f>
        <v/>
      </c>
      <c r="I14" s="183">
        <f>([8]Consolidated!I14)*(1/0.79941)</f>
        <v/>
      </c>
      <c r="J14" s="183">
        <f>([8]Consolidated!J14)*(1/0.79941)</f>
        <v/>
      </c>
      <c r="K14" s="185" t="n"/>
      <c r="L14" s="186">
        <f>([8]Consolidated!L14)*(1/0.79941)</f>
        <v/>
      </c>
      <c r="M14" s="182">
        <f>([8]Consolidated!M14)*(1/0.79941)</f>
        <v/>
      </c>
      <c r="N14" s="173">
        <f>([8]Consolidated!N14)*(1/0.79941)</f>
        <v/>
      </c>
    </row>
    <row r="15" ht="12.75" customHeight="1" s="150">
      <c r="A15" s="158" t="n"/>
      <c r="B15" s="158" t="n"/>
      <c r="C15" s="167" t="inlineStr">
        <is>
          <t>Leasing/renting hardware</t>
        </is>
      </c>
      <c r="D15" s="182">
        <f>([8]Consolidated!D15)*(1/0.79941)</f>
        <v/>
      </c>
      <c r="E15" s="182">
        <f>([8]Consolidated!E15)*(1/0.79941)</f>
        <v/>
      </c>
      <c r="F15" s="182">
        <f>([8]Consolidated!F15)*(1/0.79941)</f>
        <v/>
      </c>
      <c r="G15" s="182">
        <f>([8]Consolidated!G15)*(1/0.79941)</f>
        <v/>
      </c>
      <c r="H15" s="182">
        <f>([8]Consolidated!H15)*(1/0.79941)</f>
        <v/>
      </c>
      <c r="I15" s="183">
        <f>([8]Consolidated!I15)*(1/0.79941)</f>
        <v/>
      </c>
      <c r="J15" s="183">
        <f>([8]Consolidated!J15)*(1/0.79941)</f>
        <v/>
      </c>
      <c r="K15" s="185" t="n"/>
      <c r="L15" s="186">
        <f>([8]Consolidated!L15)*(1/0.79941)</f>
        <v/>
      </c>
      <c r="M15" s="182">
        <f>([8]Consolidated!M15)*(1/0.79941)</f>
        <v/>
      </c>
      <c r="N15" s="173">
        <f>([8]Consolidated!N15)*(1/0.79941)</f>
        <v/>
      </c>
    </row>
    <row r="16" ht="12.75" customHeight="1" s="150">
      <c r="A16" s="158" t="n"/>
      <c r="B16" s="158" t="n"/>
      <c r="C16" s="167" t="inlineStr">
        <is>
          <t>Software expenses</t>
        </is>
      </c>
      <c r="D16" s="182">
        <f>([8]Consolidated!D16)*(1/0.79941)</f>
        <v/>
      </c>
      <c r="E16" s="182">
        <f>([8]Consolidated!E16)*(1/0.79941)</f>
        <v/>
      </c>
      <c r="F16" s="182">
        <f>([8]Consolidated!F16)*(1/0.79941)</f>
        <v/>
      </c>
      <c r="G16" s="182">
        <f>([8]Consolidated!G16)*(1/0.79941)</f>
        <v/>
      </c>
      <c r="H16" s="182">
        <f>([8]Consolidated!H16)*(1/0.79941)</f>
        <v/>
      </c>
      <c r="I16" s="183">
        <f>([8]Consolidated!I16)*(1/0.79941)</f>
        <v/>
      </c>
      <c r="J16" s="183">
        <f>([8]Consolidated!J16)*(1/0.79941)</f>
        <v/>
      </c>
      <c r="K16" s="185" t="n"/>
      <c r="L16" s="186">
        <f>([8]Consolidated!L16)*(1/0.79941)</f>
        <v/>
      </c>
      <c r="M16" s="182">
        <f>([8]Consolidated!M16)*(1/0.79941)</f>
        <v/>
      </c>
      <c r="N16" s="173">
        <f>([8]Consolidated!N16)*(1/0.79941)</f>
        <v/>
      </c>
    </row>
    <row r="17" ht="12.75" customHeight="1" s="150">
      <c r="A17" s="158" t="n"/>
      <c r="B17" s="158" t="n"/>
      <c r="C17" s="167" t="inlineStr">
        <is>
          <t>Leasing/renting/licenses sw</t>
        </is>
      </c>
      <c r="D17" s="182">
        <f>([8]Consolidated!D17)*(1/0.79941)</f>
        <v/>
      </c>
      <c r="E17" s="182">
        <f>([8]Consolidated!E17)*(1/0.79941)</f>
        <v/>
      </c>
      <c r="F17" s="182">
        <f>([8]Consolidated!F17)*(1/0.79941)</f>
        <v/>
      </c>
      <c r="G17" s="182">
        <f>([8]Consolidated!G17)*(1/0.79941)</f>
        <v/>
      </c>
      <c r="H17" s="182">
        <f>([8]Consolidated!H17)*(1/0.79941)</f>
        <v/>
      </c>
      <c r="I17" s="183">
        <f>([8]Consolidated!I17)*(1/0.79941)</f>
        <v/>
      </c>
      <c r="J17" s="183">
        <f>([8]Consolidated!J17)*(1/0.79941)</f>
        <v/>
      </c>
      <c r="K17" s="185" t="n"/>
      <c r="L17" s="186">
        <f>([8]Consolidated!L17)*(1/0.79941)</f>
        <v/>
      </c>
      <c r="M17" s="182">
        <f>([8]Consolidated!M17)*(1/0.79941)</f>
        <v/>
      </c>
      <c r="N17" s="173">
        <f>([8]Consolidated!N17)*(1/0.79941)</f>
        <v/>
      </c>
    </row>
    <row r="18" ht="12.75" customHeight="1" s="150">
      <c r="A18" s="158" t="n"/>
      <c r="B18" s="158" t="n"/>
      <c r="C18" s="167" t="inlineStr">
        <is>
          <t>Depreciation hardware</t>
        </is>
      </c>
      <c r="D18" s="182">
        <f>([8]Consolidated!D18)*(1/0.79941)</f>
        <v/>
      </c>
      <c r="E18" s="182">
        <f>([8]Consolidated!E18)*(1/0.79941)</f>
        <v/>
      </c>
      <c r="F18" s="182">
        <f>([8]Consolidated!F18)*(1/0.79941)</f>
        <v/>
      </c>
      <c r="G18" s="182">
        <f>([8]Consolidated!G18)*(1/0.79941)</f>
        <v/>
      </c>
      <c r="H18" s="182">
        <f>([8]Consolidated!H18)*(1/0.79941)</f>
        <v/>
      </c>
      <c r="I18" s="183">
        <f>([8]Consolidated!I18)*(1/0.79941)</f>
        <v/>
      </c>
      <c r="J18" s="183">
        <f>([8]Consolidated!J18)*(1/0.79941)</f>
        <v/>
      </c>
      <c r="K18" s="185" t="n"/>
      <c r="L18" s="186">
        <f>([8]Consolidated!L18)*(1/0.79941)</f>
        <v/>
      </c>
      <c r="M18" s="182">
        <f>([8]Consolidated!M18)*(1/0.79941)</f>
        <v/>
      </c>
      <c r="N18" s="173">
        <f>([8]Consolidated!N18)*(1/0.79941)</f>
        <v/>
      </c>
    </row>
    <row r="19" ht="12.75" customHeight="1" s="150">
      <c r="A19" s="158" t="n"/>
      <c r="B19" s="158" t="n"/>
      <c r="C19" s="167" t="inlineStr">
        <is>
          <t>Depreciation software</t>
        </is>
      </c>
      <c r="D19" s="182">
        <f>([8]Consolidated!D19)*(1/0.79941)</f>
        <v/>
      </c>
      <c r="E19" s="182">
        <f>([8]Consolidated!E19)*(1/0.79941)</f>
        <v/>
      </c>
      <c r="F19" s="182">
        <f>([8]Consolidated!F19)*(1/0.79941)</f>
        <v/>
      </c>
      <c r="G19" s="182">
        <f>([8]Consolidated!G19)*(1/0.79941)</f>
        <v/>
      </c>
      <c r="H19" s="182">
        <f>([8]Consolidated!H19)*(1/0.79941)</f>
        <v/>
      </c>
      <c r="I19" s="183">
        <f>([8]Consolidated!I19)*(1/0.79941)</f>
        <v/>
      </c>
      <c r="J19" s="183">
        <f>([8]Consolidated!J19)*(1/0.79941)</f>
        <v/>
      </c>
      <c r="K19" s="185" t="n"/>
      <c r="L19" s="186">
        <f>([8]Consolidated!L19)*(1/0.79941)</f>
        <v/>
      </c>
      <c r="M19" s="182">
        <f>([8]Consolidated!M19)*(1/0.79941)</f>
        <v/>
      </c>
      <c r="N19" s="173">
        <f>([8]Consolidated!N19)*(1/0.79941)</f>
        <v/>
      </c>
    </row>
    <row r="20" ht="12.75" customHeight="1" s="150">
      <c r="A20" s="158" t="n"/>
      <c r="B20" s="158" t="n"/>
      <c r="C20" s="167" t="inlineStr">
        <is>
          <t>Outsourcing IT activities</t>
        </is>
      </c>
      <c r="D20" s="182">
        <f>([8]Consolidated!D20)*(1/0.79941)</f>
        <v/>
      </c>
      <c r="E20" s="182">
        <f>([8]Consolidated!E20)*(1/0.79941)</f>
        <v/>
      </c>
      <c r="F20" s="182">
        <f>([8]Consolidated!F20)*(1/0.79941)</f>
        <v/>
      </c>
      <c r="G20" s="182">
        <f>([8]Consolidated!G20)*(1/0.79941)</f>
        <v/>
      </c>
      <c r="H20" s="182">
        <f>([8]Consolidated!H20)*(1/0.79941)</f>
        <v/>
      </c>
      <c r="I20" s="183">
        <f>([8]Consolidated!I20)*(1/0.79941)</f>
        <v/>
      </c>
      <c r="J20" s="183">
        <f>([8]Consolidated!J20)*(1/0.79941)</f>
        <v/>
      </c>
      <c r="K20" s="185" t="n"/>
      <c r="L20" s="186">
        <f>([8]Consolidated!L20)*(1/0.79941)</f>
        <v/>
      </c>
      <c r="M20" s="182">
        <f>([8]Consolidated!M20)*(1/0.79941)</f>
        <v/>
      </c>
      <c r="N20" s="173">
        <f>([8]Consolidated!N20)*(1/0.79941)</f>
        <v/>
      </c>
    </row>
    <row r="21" ht="12.75" customHeight="1" s="150">
      <c r="A21" s="158" t="n"/>
      <c r="B21" s="158" t="n"/>
      <c r="C21" s="167" t="inlineStr">
        <is>
          <t>Other IT expenses</t>
        </is>
      </c>
      <c r="D21" s="182">
        <f>([8]Consolidated!D21)*(1/0.79941)</f>
        <v/>
      </c>
      <c r="E21" s="182">
        <f>([8]Consolidated!E21)*(1/0.79941)</f>
        <v/>
      </c>
      <c r="F21" s="182">
        <f>([8]Consolidated!F21)*(1/0.79941)</f>
        <v/>
      </c>
      <c r="G21" s="182">
        <f>([8]Consolidated!G21)*(1/0.79941)</f>
        <v/>
      </c>
      <c r="H21" s="182">
        <f>([8]Consolidated!H21)*(1/0.79941)</f>
        <v/>
      </c>
      <c r="I21" s="183">
        <f>([8]Consolidated!I21)*(1/0.79941)</f>
        <v/>
      </c>
      <c r="J21" s="183">
        <f>([8]Consolidated!J21)*(1/0.79941)</f>
        <v/>
      </c>
      <c r="K21" s="185" t="n"/>
      <c r="L21" s="186">
        <f>([8]Consolidated!L21)*(1/0.79941)</f>
        <v/>
      </c>
      <c r="M21" s="182">
        <f>([8]Consolidated!M21)*(1/0.79941)</f>
        <v/>
      </c>
      <c r="N21" s="173">
        <f>([8]Consolidated!N21)*(1/0.79941)</f>
        <v/>
      </c>
    </row>
    <row r="22" ht="13.5" customHeight="1" s="150">
      <c r="A22" s="176" t="n"/>
      <c r="B22" s="176" t="n"/>
      <c r="C22" s="177" t="inlineStr">
        <is>
          <t>EDP expenses</t>
        </is>
      </c>
      <c r="D22" s="188">
        <f>([8]Consolidated!D22)*(1/0.79941)</f>
        <v/>
      </c>
      <c r="E22" s="188">
        <f>([8]Consolidated!E22)*(1/0.79941)</f>
        <v/>
      </c>
      <c r="F22" s="188">
        <f>([8]Consolidated!F22)*(1/0.79941)</f>
        <v/>
      </c>
      <c r="G22" s="188">
        <f>([8]Consolidated!G22)*(1/0.79941)</f>
        <v/>
      </c>
      <c r="H22" s="188">
        <f>([8]Consolidated!H22)*(1/0.79941)</f>
        <v/>
      </c>
      <c r="I22" s="189">
        <f>([8]Consolidated!I22)*(1/0.79941)</f>
        <v/>
      </c>
      <c r="J22" s="189">
        <f>([8]Consolidated!J22)*(1/0.79941)</f>
        <v/>
      </c>
      <c r="K22" s="185" t="n"/>
      <c r="L22" s="181">
        <f>([8]Consolidated!L22)*(1/0.79941)</f>
        <v/>
      </c>
      <c r="M22" s="188">
        <f>([8]Consolidated!M22)*(1/0.79941)</f>
        <v/>
      </c>
      <c r="N22" s="181">
        <f>([8]Consolidated!N22)*(1/0.79941)</f>
        <v/>
      </c>
    </row>
    <row r="23" ht="12.75" customHeight="1" s="150">
      <c r="A23" s="158" t="n"/>
      <c r="B23" s="158" t="n"/>
      <c r="C23" s="167" t="inlineStr">
        <is>
          <t>Telecom expenses</t>
        </is>
      </c>
      <c r="D23" s="182">
        <f>([8]Consolidated!D23)*(1/0.79941)</f>
        <v/>
      </c>
      <c r="E23" s="182">
        <f>([8]Consolidated!E23)*(1/0.79941)</f>
        <v/>
      </c>
      <c r="F23" s="182">
        <f>([8]Consolidated!F23)*(1/0.79941)</f>
        <v/>
      </c>
      <c r="G23" s="182">
        <f>([8]Consolidated!G23)*(1/0.79941)</f>
        <v/>
      </c>
      <c r="H23" s="182">
        <f>([8]Consolidated!H23)*(1/0.79941)</f>
        <v/>
      </c>
      <c r="I23" s="183">
        <f>([8]Consolidated!I23)*(1/0.79941)</f>
        <v/>
      </c>
      <c r="J23" s="183">
        <f>([8]Consolidated!J23)*(1/0.79941)</f>
        <v/>
      </c>
      <c r="K23" s="185" t="n"/>
      <c r="L23" s="186">
        <f>([8]Consolidated!L23)*(1/0.79941)</f>
        <v/>
      </c>
      <c r="M23" s="182">
        <f>([8]Consolidated!M23)*(1/0.79941)</f>
        <v/>
      </c>
      <c r="N23" s="173">
        <f>([8]Consolidated!N23)*(1/0.79941)</f>
        <v/>
      </c>
    </row>
    <row r="24" ht="12.75" customHeight="1" s="150">
      <c r="A24" s="158" t="n"/>
      <c r="B24" s="158" t="n"/>
      <c r="C24" s="167" t="inlineStr">
        <is>
          <t>Office equipment and supplies</t>
        </is>
      </c>
      <c r="D24" s="182">
        <f>([8]Consolidated!D24)*(1/0.79941)</f>
        <v/>
      </c>
      <c r="E24" s="182">
        <f>([8]Consolidated!E24)*(1/0.79941)</f>
        <v/>
      </c>
      <c r="F24" s="182">
        <f>([8]Consolidated!F24)*(1/0.79941)</f>
        <v/>
      </c>
      <c r="G24" s="182">
        <f>([8]Consolidated!G24)*(1/0.79941)</f>
        <v/>
      </c>
      <c r="H24" s="182">
        <f>([8]Consolidated!H24)*(1/0.79941)</f>
        <v/>
      </c>
      <c r="I24" s="183">
        <f>([8]Consolidated!I24)*(1/0.79941)</f>
        <v/>
      </c>
      <c r="J24" s="183">
        <f>([8]Consolidated!J24)*(1/0.79941)</f>
        <v/>
      </c>
      <c r="K24" s="185" t="n"/>
      <c r="L24" s="186">
        <f>([8]Consolidated!L24)*(1/0.79941)</f>
        <v/>
      </c>
      <c r="M24" s="182">
        <f>([8]Consolidated!M24)*(1/0.79941)</f>
        <v/>
      </c>
      <c r="N24" s="173">
        <f>([8]Consolidated!N24)*(1/0.79941)</f>
        <v/>
      </c>
    </row>
    <row r="25" ht="12.75" customHeight="1" s="150">
      <c r="A25" s="158" t="n"/>
      <c r="B25" s="158" t="n"/>
      <c r="C25" s="167" t="inlineStr">
        <is>
          <t>Accomodation expenses</t>
        </is>
      </c>
      <c r="D25" s="182">
        <f>([8]Consolidated!D25)*(1/0.79941)</f>
        <v/>
      </c>
      <c r="E25" s="182">
        <f>([8]Consolidated!E25)*(1/0.79941)</f>
        <v/>
      </c>
      <c r="F25" s="182">
        <f>([8]Consolidated!F25)*(1/0.79941)</f>
        <v/>
      </c>
      <c r="G25" s="182">
        <f>([8]Consolidated!G25)*(1/0.79941)</f>
        <v/>
      </c>
      <c r="H25" s="182">
        <f>([8]Consolidated!H25)*(1/0.79941)</f>
        <v/>
      </c>
      <c r="I25" s="183">
        <f>([8]Consolidated!I25)*(1/0.79941)</f>
        <v/>
      </c>
      <c r="J25" s="183">
        <f>([8]Consolidated!J25)*(1/0.79941)</f>
        <v/>
      </c>
      <c r="K25" s="185" t="n"/>
      <c r="L25" s="186">
        <f>([8]Consolidated!L25)*(1/0.79941)</f>
        <v/>
      </c>
      <c r="M25" s="182">
        <f>([8]Consolidated!M25)*(1/0.79941)</f>
        <v/>
      </c>
      <c r="N25" s="173">
        <f>([8]Consolidated!N25)*(1/0.79941)</f>
        <v/>
      </c>
    </row>
    <row r="26" ht="12.75" customHeight="1" s="150">
      <c r="A26" s="158" t="n"/>
      <c r="B26" s="158" t="n"/>
      <c r="C26" s="167" t="inlineStr">
        <is>
          <t>Travel costs</t>
        </is>
      </c>
      <c r="D26" s="182">
        <f>([8]Consolidated!D26)*(1/0.79941)</f>
        <v/>
      </c>
      <c r="E26" s="182">
        <f>([8]Consolidated!E26)*(1/0.79941)</f>
        <v/>
      </c>
      <c r="F26" s="182">
        <f>([8]Consolidated!F26)*(1/0.79941)</f>
        <v/>
      </c>
      <c r="G26" s="182">
        <f>([8]Consolidated!G26)*(1/0.79941)</f>
        <v/>
      </c>
      <c r="H26" s="182">
        <f>([8]Consolidated!H26)*(1/0.79941)</f>
        <v/>
      </c>
      <c r="I26" s="183">
        <f>([8]Consolidated!I26)*(1/0.79941)</f>
        <v/>
      </c>
      <c r="J26" s="183">
        <f>([8]Consolidated!J26)*(1/0.79941)</f>
        <v/>
      </c>
      <c r="K26" s="185" t="n"/>
      <c r="L26" s="186">
        <f>([8]Consolidated!L26)*(1/0.79941)</f>
        <v/>
      </c>
      <c r="M26" s="182">
        <f>([8]Consolidated!M26)*(1/0.79941)</f>
        <v/>
      </c>
      <c r="N26" s="173">
        <f>([8]Consolidated!N26)*(1/0.79941)</f>
        <v/>
      </c>
    </row>
    <row r="27" ht="12.75" customHeight="1" s="150">
      <c r="A27" s="158" t="n"/>
      <c r="B27" s="158" t="n"/>
      <c r="C27" s="167" t="inlineStr">
        <is>
          <t>Postal and freight charges</t>
        </is>
      </c>
      <c r="D27" s="182">
        <f>([8]Consolidated!D27)*(1/0.79941)</f>
        <v/>
      </c>
      <c r="E27" s="182">
        <f>([8]Consolidated!E27)*(1/0.79941)</f>
        <v/>
      </c>
      <c r="F27" s="182">
        <f>([8]Consolidated!F27)*(1/0.79941)</f>
        <v/>
      </c>
      <c r="G27" s="182">
        <f>([8]Consolidated!G27)*(1/0.79941)</f>
        <v/>
      </c>
      <c r="H27" s="182">
        <f>([8]Consolidated!H27)*(1/0.79941)</f>
        <v/>
      </c>
      <c r="I27" s="183">
        <f>([8]Consolidated!I27)*(1/0.79941)</f>
        <v/>
      </c>
      <c r="J27" s="183">
        <f>([8]Consolidated!J27)*(1/0.79941)</f>
        <v/>
      </c>
      <c r="K27" s="185" t="n"/>
      <c r="L27" s="186">
        <f>([8]Consolidated!L27)*(1/0.79941)</f>
        <v/>
      </c>
      <c r="M27" s="182">
        <f>([8]Consolidated!M27)*(1/0.79941)</f>
        <v/>
      </c>
      <c r="N27" s="173">
        <f>([8]Consolidated!N27)*(1/0.79941)</f>
        <v/>
      </c>
    </row>
    <row r="28" ht="12.75" customHeight="1" s="150">
      <c r="A28" s="158" t="n"/>
      <c r="B28" s="158" t="n"/>
      <c r="C28" s="167" t="inlineStr">
        <is>
          <t>Prof serv and ext advisory fee</t>
        </is>
      </c>
      <c r="D28" s="182">
        <f>([8]Consolidated!D28)*(1/0.79941)</f>
        <v/>
      </c>
      <c r="E28" s="182">
        <f>([8]Consolidated!E28)*(1/0.79941)</f>
        <v/>
      </c>
      <c r="F28" s="182">
        <f>([8]Consolidated!F28)*(1/0.79941)</f>
        <v/>
      </c>
      <c r="G28" s="182">
        <f>([8]Consolidated!G28)*(1/0.79941)</f>
        <v/>
      </c>
      <c r="H28" s="182">
        <f>([8]Consolidated!H28)*(1/0.79941)</f>
        <v/>
      </c>
      <c r="I28" s="183">
        <f>([8]Consolidated!I28)*(1/0.79941)</f>
        <v/>
      </c>
      <c r="J28" s="183">
        <f>([8]Consolidated!J28)*(1/0.79941)</f>
        <v/>
      </c>
      <c r="K28" s="185" t="n"/>
      <c r="L28" s="186">
        <f>([8]Consolidated!L28)*(1/0.79941)</f>
        <v/>
      </c>
      <c r="M28" s="182">
        <f>([8]Consolidated!M28)*(1/0.79941)</f>
        <v/>
      </c>
      <c r="N28" s="173">
        <f>([8]Consolidated!N28)*(1/0.79941)</f>
        <v/>
      </c>
    </row>
    <row r="29" ht="12.75" customHeight="1" s="150">
      <c r="A29" s="158" t="n"/>
      <c r="B29" s="158" t="n"/>
      <c r="C29" s="167" t="inlineStr">
        <is>
          <t>Payment transfer expenses</t>
        </is>
      </c>
      <c r="D29" s="182">
        <f>([8]Consolidated!D29)*(1/0.79941)</f>
        <v/>
      </c>
      <c r="E29" s="182">
        <f>([8]Consolidated!E29)*(1/0.79941)</f>
        <v/>
      </c>
      <c r="F29" s="182">
        <f>([8]Consolidated!F29)*(1/0.79941)</f>
        <v/>
      </c>
      <c r="G29" s="182">
        <f>([8]Consolidated!G29)*(1/0.79941)</f>
        <v/>
      </c>
      <c r="H29" s="182">
        <f>([8]Consolidated!H29)*(1/0.79941)</f>
        <v/>
      </c>
      <c r="I29" s="183">
        <f>([8]Consolidated!I29)*(1/0.79941)</f>
        <v/>
      </c>
      <c r="J29" s="183">
        <f>([8]Consolidated!J29)*(1/0.79941)</f>
        <v/>
      </c>
      <c r="K29" s="185" t="n"/>
      <c r="L29" s="186">
        <f>([8]Consolidated!L29)*(1/0.79941)</f>
        <v/>
      </c>
      <c r="M29" s="182">
        <f>([8]Consolidated!M29)*(1/0.79941)</f>
        <v/>
      </c>
      <c r="N29" s="173">
        <f>([8]Consolidated!N29)*(1/0.79941)</f>
        <v/>
      </c>
    </row>
    <row r="30" ht="12.75" customHeight="1" s="150">
      <c r="A30" s="158" t="n"/>
      <c r="B30" s="158" t="n"/>
      <c r="C30" s="167" t="inlineStr">
        <is>
          <t>Other costs</t>
        </is>
      </c>
      <c r="D30" s="182">
        <f>([8]Consolidated!D30)*(1/0.79941)</f>
        <v/>
      </c>
      <c r="E30" s="182">
        <f>([8]Consolidated!E30)*(1/0.79941)</f>
        <v/>
      </c>
      <c r="F30" s="182">
        <f>([8]Consolidated!F30)*(1/0.79941)</f>
        <v/>
      </c>
      <c r="G30" s="182">
        <f>([8]Consolidated!G30)*(1/0.79941)</f>
        <v/>
      </c>
      <c r="H30" s="182">
        <f>([8]Consolidated!H30)*(1/0.79941)</f>
        <v/>
      </c>
      <c r="I30" s="183">
        <f>([8]Consolidated!I30)*(1/0.79941)</f>
        <v/>
      </c>
      <c r="J30" s="183">
        <f>([8]Consolidated!J30)*(1/0.79941)</f>
        <v/>
      </c>
      <c r="K30" s="185" t="n"/>
      <c r="L30" s="186">
        <f>([8]Consolidated!L30)*(1/0.79941)</f>
        <v/>
      </c>
      <c r="M30" s="182">
        <f>([8]Consolidated!M30)*(1/0.79941)</f>
        <v/>
      </c>
      <c r="N30" s="173">
        <f>([8]Consolidated!N30)*(1/0.79941)</f>
        <v/>
      </c>
    </row>
    <row r="31" ht="13.5" customHeight="1" s="150">
      <c r="A31" s="176" t="n"/>
      <c r="B31" s="176" t="n"/>
      <c r="C31" s="177" t="inlineStr">
        <is>
          <t>General expenses</t>
        </is>
      </c>
      <c r="D31" s="188">
        <f>([8]Consolidated!D31)*(1/0.79941)</f>
        <v/>
      </c>
      <c r="E31" s="188">
        <f>([8]Consolidated!E31)*(1/0.79941)</f>
        <v/>
      </c>
      <c r="F31" s="188">
        <f>([8]Consolidated!F31)*(1/0.79941)</f>
        <v/>
      </c>
      <c r="G31" s="188">
        <f>([8]Consolidated!G31)*(1/0.79941)</f>
        <v/>
      </c>
      <c r="H31" s="188">
        <f>([8]Consolidated!H31)*(1/0.79941)</f>
        <v/>
      </c>
      <c r="I31" s="189">
        <f>([8]Consolidated!I31)*(1/0.79941)</f>
        <v/>
      </c>
      <c r="J31" s="189">
        <f>([8]Consolidated!J31)*(1/0.79941)</f>
        <v/>
      </c>
      <c r="K31" s="185" t="n"/>
      <c r="L31" s="181">
        <f>([8]Consolidated!L31)*(1/0.79941)</f>
        <v/>
      </c>
      <c r="M31" s="188">
        <f>([8]Consolidated!M31)*(1/0.79941)</f>
        <v/>
      </c>
      <c r="N31" s="181">
        <f>([8]Consolidated!N31)*(1/0.79941)</f>
        <v/>
      </c>
    </row>
    <row r="32" ht="12.75" customHeight="1" s="150">
      <c r="A32" s="158" t="n"/>
      <c r="B32" s="158" t="n"/>
      <c r="C32" s="167" t="inlineStr">
        <is>
          <t>Own expenses</t>
        </is>
      </c>
      <c r="D32" s="182">
        <f>([8]Consolidated!D32)*(1/0.79941)</f>
        <v/>
      </c>
      <c r="E32" s="182">
        <f>([8]Consolidated!E32)*(1/0.79941)</f>
        <v/>
      </c>
      <c r="F32" s="182">
        <f>([8]Consolidated!F32)*(1/0.79941)</f>
        <v/>
      </c>
      <c r="G32" s="182">
        <f>([8]Consolidated!G32)*(1/0.79941)</f>
        <v/>
      </c>
      <c r="H32" s="182">
        <f>([8]Consolidated!H32)*(1/0.79941)</f>
        <v/>
      </c>
      <c r="I32" s="183">
        <f>([8]Consolidated!I32)*(1/0.79941)</f>
        <v/>
      </c>
      <c r="J32" s="183">
        <f>([8]Consolidated!J32)*(1/0.79941)</f>
        <v/>
      </c>
      <c r="K32" s="185" t="n"/>
      <c r="L32" s="186">
        <f>([8]Consolidated!L32)*(1/0.79941)</f>
        <v/>
      </c>
      <c r="M32" s="182">
        <f>([8]Consolidated!M32)*(1/0.79941)</f>
        <v/>
      </c>
      <c r="N32" s="190">
        <f>([8]Consolidated!N32)*(1/0.79941)</f>
        <v/>
      </c>
    </row>
    <row r="33" ht="12.75" customHeight="1" s="150">
      <c r="A33" s="158" t="n"/>
      <c r="B33" s="158" t="n"/>
      <c r="C33" s="167" t="inlineStr">
        <is>
          <t>Other expenses</t>
        </is>
      </c>
      <c r="D33" s="182">
        <f>([8]Consolidated!D33)*(1/0.79941)</f>
        <v/>
      </c>
      <c r="E33" s="182">
        <f>([8]Consolidated!E33)*(1/0.79941)</f>
        <v/>
      </c>
      <c r="F33" s="182">
        <f>([8]Consolidated!F33)*(1/0.79941)</f>
        <v/>
      </c>
      <c r="G33" s="182">
        <f>([8]Consolidated!G33)*(1/0.79941)</f>
        <v/>
      </c>
      <c r="H33" s="182">
        <f>([8]Consolidated!H33)*(1/0.79941)</f>
        <v/>
      </c>
      <c r="I33" s="183">
        <f>([8]Consolidated!I33)*(1/0.79941)</f>
        <v/>
      </c>
      <c r="J33" s="183">
        <f>([8]Consolidated!J33)*(1/0.79941)</f>
        <v/>
      </c>
      <c r="K33" s="185" t="n"/>
      <c r="L33" s="186">
        <f>([8]Consolidated!L33)*(1/0.79941)</f>
        <v/>
      </c>
      <c r="M33" s="182">
        <f>([8]Consolidated!M33)*(1/0.79941)</f>
        <v/>
      </c>
      <c r="N33" s="173">
        <f>([8]Consolidated!N33)*(1/0.79941)</f>
        <v/>
      </c>
    </row>
    <row r="34" ht="13.5" customHeight="1" s="150">
      <c r="A34" s="176" t="n"/>
      <c r="B34" s="176" t="n"/>
      <c r="C34" s="177" t="inlineStr">
        <is>
          <t>Operating expenses</t>
        </is>
      </c>
      <c r="D34" s="188">
        <f>([8]Consolidated!D34)*(1/0.79941)</f>
        <v/>
      </c>
      <c r="E34" s="188">
        <f>([8]Consolidated!E34)*(1/0.79941)</f>
        <v/>
      </c>
      <c r="F34" s="188">
        <f>([8]Consolidated!F34)*(1/0.79941)</f>
        <v/>
      </c>
      <c r="G34" s="188">
        <f>([8]Consolidated!G34)*(1/0.79941)</f>
        <v/>
      </c>
      <c r="H34" s="188">
        <f>([8]Consolidated!H34)*(1/0.79941)</f>
        <v/>
      </c>
      <c r="I34" s="189">
        <f>([8]Consolidated!I34)*(1/0.79941)</f>
        <v/>
      </c>
      <c r="J34" s="189">
        <f>([8]Consolidated!J34)*(1/0.79941)</f>
        <v/>
      </c>
      <c r="K34" s="185" t="n"/>
      <c r="L34" s="181">
        <f>([8]Consolidated!L34)*(1/0.79941)</f>
        <v/>
      </c>
      <c r="M34" s="188">
        <f>([8]Consolidated!M34)*(1/0.79941)</f>
        <v/>
      </c>
      <c r="N34" s="181">
        <f>([8]Consolidated!N34)*(1/0.79941)</f>
        <v/>
      </c>
    </row>
    <row r="35" ht="12.75" customHeight="1" s="150">
      <c r="A35" s="158" t="n"/>
      <c r="B35" s="158" t="n"/>
      <c r="C35" s="167" t="n"/>
      <c r="D35" s="182">
        <f>([8]Consolidated!D35)*(1/0.79941)</f>
        <v/>
      </c>
      <c r="E35" s="182">
        <f>0*(1/0.79941)</f>
        <v/>
      </c>
      <c r="F35" s="182">
        <f>0*(1/0.79941)</f>
        <v/>
      </c>
      <c r="G35" s="182">
        <f>0*(1/0.79941)</f>
        <v/>
      </c>
      <c r="H35" s="182">
        <f>0*(1/0.79941)</f>
        <v/>
      </c>
      <c r="I35" s="183">
        <f>0*(1/0.79941)</f>
        <v/>
      </c>
      <c r="J35" s="191">
        <f>0*(1/0.79941)</f>
        <v/>
      </c>
      <c r="K35" s="185" t="n"/>
      <c r="L35" s="186">
        <f>0*(1/0.79941)</f>
        <v/>
      </c>
      <c r="M35" s="182">
        <f>0*(1/0.79941)</f>
        <v/>
      </c>
      <c r="N35" s="192">
        <f>0*(1/0.79941)</f>
        <v/>
      </c>
    </row>
    <row r="36" ht="12.75" customHeight="1" s="150">
      <c r="A36" s="158" t="n"/>
      <c r="B36" s="158" t="n"/>
      <c r="C36" s="167" t="inlineStr">
        <is>
          <t>HR &amp; Comms</t>
        </is>
      </c>
      <c r="D36" s="182">
        <f>([8]Consolidated!D36)*(1/0.79941)</f>
        <v/>
      </c>
      <c r="E36" s="182">
        <f>([8]Consolidated!E36)*(1/0.79941)</f>
        <v/>
      </c>
      <c r="F36" s="182">
        <f>([8]Consolidated!F36)*(1/0.79941)</f>
        <v/>
      </c>
      <c r="G36" s="182">
        <f>([8]Consolidated!G36)*(1/0.79941)</f>
        <v/>
      </c>
      <c r="H36" s="182">
        <f>([8]Consolidated!H36)*(1/0.79941)</f>
        <v/>
      </c>
      <c r="I36" s="183">
        <f>([8]Consolidated!I36)*(1/0.79941)</f>
        <v/>
      </c>
      <c r="J36" s="183">
        <f>([8]Consolidated!J36)*(1/0.79941)</f>
        <v/>
      </c>
      <c r="K36" s="185" t="n"/>
      <c r="L36" s="186">
        <f>([8]Consolidated!L36)*(1/0.79941)</f>
        <v/>
      </c>
      <c r="M36" s="182">
        <f>([8]Consolidated!M36)*(1/0.79941)</f>
        <v/>
      </c>
      <c r="N36" s="173">
        <f>([8]Consolidated!N36)*(1/0.79941)</f>
        <v/>
      </c>
    </row>
    <row r="37" ht="12.75" customHeight="1" s="150">
      <c r="A37" s="158" t="n"/>
      <c r="B37" s="158" t="n"/>
      <c r="C37" s="167" t="inlineStr">
        <is>
          <t>Finance &amp; Business Support</t>
        </is>
      </c>
      <c r="D37" s="182">
        <f>([8]Consolidated!D37)*(1/0.79941)</f>
        <v/>
      </c>
      <c r="E37" s="182">
        <f>([8]Consolidated!E37)*(1/0.79941)</f>
        <v/>
      </c>
      <c r="F37" s="182">
        <f>([8]Consolidated!F37)*(1/0.79941)</f>
        <v/>
      </c>
      <c r="G37" s="182">
        <f>([8]Consolidated!G37)*(1/0.79941)</f>
        <v/>
      </c>
      <c r="H37" s="182">
        <f>([8]Consolidated!H37)*(1/0.79941)</f>
        <v/>
      </c>
      <c r="I37" s="183">
        <f>([8]Consolidated!I37)*(1/0.79941)</f>
        <v/>
      </c>
      <c r="J37" s="183">
        <f>([8]Consolidated!J37)*(1/0.79941)</f>
        <v/>
      </c>
      <c r="K37" s="185" t="n"/>
      <c r="L37" s="186">
        <f>([8]Consolidated!L37)*(1/0.79941)</f>
        <v/>
      </c>
      <c r="M37" s="182">
        <f>([8]Consolidated!M37)*(1/0.79941)</f>
        <v/>
      </c>
      <c r="N37" s="173">
        <f>([8]Consolidated!N37)*(1/0.79941)</f>
        <v/>
      </c>
    </row>
    <row r="38" ht="12.75" customHeight="1" s="150">
      <c r="A38" s="158" t="n"/>
      <c r="B38" s="158" t="n"/>
      <c r="C38" s="167" t="inlineStr">
        <is>
          <t>IT alloc</t>
        </is>
      </c>
      <c r="D38" s="182">
        <f>([8]Consolidated!D38)*(1/0.79941)</f>
        <v/>
      </c>
      <c r="E38" s="182">
        <f>([8]Consolidated!E38)*(1/0.79941)</f>
        <v/>
      </c>
      <c r="F38" s="182">
        <f>([8]Consolidated!F38)*(1/0.79941)</f>
        <v/>
      </c>
      <c r="G38" s="182">
        <f>([8]Consolidated!G38)*(1/0.79941)</f>
        <v/>
      </c>
      <c r="H38" s="182">
        <f>([8]Consolidated!H38)*(1/0.79941)</f>
        <v/>
      </c>
      <c r="I38" s="183">
        <f>([8]Consolidated!I38)*(1/0.79941)</f>
        <v/>
      </c>
      <c r="J38" s="183">
        <f>([8]Consolidated!J38)*(1/0.79941)</f>
        <v/>
      </c>
      <c r="K38" s="185" t="n"/>
      <c r="L38" s="186">
        <f>([8]Consolidated!L38)*(1/0.79941)</f>
        <v/>
      </c>
      <c r="M38" s="182">
        <f>([8]Consolidated!M38)*(1/0.79941)</f>
        <v/>
      </c>
      <c r="N38" s="173">
        <f>([8]Consolidated!N38)*(1/0.79941)</f>
        <v/>
      </c>
    </row>
    <row r="39" ht="12.75" customHeight="1" s="150">
      <c r="A39" s="158" t="n"/>
      <c r="B39" s="158" t="n"/>
      <c r="C39" s="167" t="inlineStr">
        <is>
          <t>Facilities Management</t>
        </is>
      </c>
      <c r="D39" s="182">
        <f>([8]Consolidated!D39)*(1/0.79941)</f>
        <v/>
      </c>
      <c r="E39" s="182">
        <f>([8]Consolidated!E39)*(1/0.79941)</f>
        <v/>
      </c>
      <c r="F39" s="182">
        <f>([8]Consolidated!F39)*(1/0.79941)</f>
        <v/>
      </c>
      <c r="G39" s="182">
        <f>([8]Consolidated!G39)*(1/0.79941)</f>
        <v/>
      </c>
      <c r="H39" s="182">
        <f>([8]Consolidated!H39)*(1/0.79941)</f>
        <v/>
      </c>
      <c r="I39" s="183">
        <f>([8]Consolidated!I39)*(1/0.79941)</f>
        <v/>
      </c>
      <c r="J39" s="183">
        <f>([8]Consolidated!J39)*(1/0.79941)</f>
        <v/>
      </c>
      <c r="K39" s="185" t="n"/>
      <c r="L39" s="186">
        <f>([8]Consolidated!L39)*(1/0.79941)</f>
        <v/>
      </c>
      <c r="M39" s="182">
        <f>([8]Consolidated!M39)*(1/0.79941)</f>
        <v/>
      </c>
      <c r="N39" s="173">
        <f>([8]Consolidated!N39)*(1/0.79941)</f>
        <v/>
      </c>
    </row>
    <row r="40" ht="13.5" customHeight="1" s="150">
      <c r="A40" s="176" t="n"/>
      <c r="B40" s="176" t="n"/>
      <c r="C40" s="177" t="inlineStr">
        <is>
          <t>Overheads</t>
        </is>
      </c>
      <c r="D40" s="188">
        <f>([8]Consolidated!D40)*(1/0.79941)</f>
        <v/>
      </c>
      <c r="E40" s="188">
        <f>([8]Consolidated!E40)*(1/0.79941)</f>
        <v/>
      </c>
      <c r="F40" s="188">
        <f>([8]Consolidated!F40)*(1/0.79941)</f>
        <v/>
      </c>
      <c r="G40" s="188">
        <f>([8]Consolidated!G40)*(1/0.79941)</f>
        <v/>
      </c>
      <c r="H40" s="188">
        <f>([8]Consolidated!H40)*(1/0.79941)</f>
        <v/>
      </c>
      <c r="I40" s="189">
        <f>([8]Consolidated!I40)*(1/0.79941)</f>
        <v/>
      </c>
      <c r="J40" s="189">
        <f>([8]Consolidated!J40)*(1/0.79941)</f>
        <v/>
      </c>
      <c r="K40" s="185" t="n"/>
      <c r="L40" s="181">
        <f>([8]Consolidated!L40)*(1/0.79941)</f>
        <v/>
      </c>
      <c r="M40" s="188">
        <f>([8]Consolidated!M40)*(1/0.79941)</f>
        <v/>
      </c>
      <c r="N40" s="181">
        <f>([8]Consolidated!N40)*(1/0.79941)</f>
        <v/>
      </c>
    </row>
    <row r="41" ht="12.75" customHeight="1" s="150">
      <c r="A41" s="158" t="n"/>
      <c r="B41" s="158" t="n"/>
      <c r="C41" s="167" t="n">
        <v>0</v>
      </c>
      <c r="D41" s="182">
        <f>([8]Consolidated!D41)*(1/0.79941)</f>
        <v/>
      </c>
      <c r="E41" s="182">
        <f>0*(1/0.79941)</f>
        <v/>
      </c>
      <c r="F41" s="182">
        <f>0*(1/0.79941)</f>
        <v/>
      </c>
      <c r="G41" s="182">
        <f>0*(1/0.79941)</f>
        <v/>
      </c>
      <c r="H41" s="182">
        <f>0*(1/0.79941)</f>
        <v/>
      </c>
      <c r="I41" s="183">
        <f>0*(1/0.79941)</f>
        <v/>
      </c>
      <c r="J41" s="191">
        <f>0*(1/0.79941)</f>
        <v/>
      </c>
      <c r="K41" s="185" t="n"/>
      <c r="L41" s="186">
        <f>0*(1/0.79941)</f>
        <v/>
      </c>
      <c r="M41" s="182">
        <f>0*(1/0.79941)</f>
        <v/>
      </c>
      <c r="N41" s="192">
        <f>0*(1/0.79941)</f>
        <v/>
      </c>
    </row>
    <row r="42" ht="13.5" customHeight="1" s="150">
      <c r="A42" s="176" t="n"/>
      <c r="B42" s="176" t="n"/>
      <c r="C42" s="177" t="inlineStr">
        <is>
          <t>Total Operating Costs (incl. O/H)</t>
        </is>
      </c>
      <c r="D42" s="188">
        <f>([8]Consolidated!D42)*(1/0.79941)</f>
        <v/>
      </c>
      <c r="E42" s="188">
        <f>([8]Consolidated!E42)*(1/0.79941)</f>
        <v/>
      </c>
      <c r="F42" s="188">
        <f>([8]Consolidated!F42)*(1/0.79941)</f>
        <v/>
      </c>
      <c r="G42" s="188">
        <f>([8]Consolidated!G42)*(1/0.79941)</f>
        <v/>
      </c>
      <c r="H42" s="188">
        <f>([8]Consolidated!H42)*(1/0.79941)</f>
        <v/>
      </c>
      <c r="I42" s="189">
        <f>([8]Consolidated!I42)*(1/0.79941)</f>
        <v/>
      </c>
      <c r="J42" s="189">
        <f>([8]Consolidated!J42)*(1/0.79941)</f>
        <v/>
      </c>
      <c r="K42" s="185" t="n"/>
      <c r="L42" s="181">
        <f>([8]Consolidated!L42)*(1/0.79941)</f>
        <v/>
      </c>
      <c r="M42" s="188">
        <f>([8]Consolidated!M42)*(1/0.79941)</f>
        <v/>
      </c>
      <c r="N42" s="181">
        <f>([8]Consolidated!N42)*(1/0.79941)</f>
        <v/>
      </c>
      <c r="O42" s="193" t="n"/>
    </row>
    <row r="43" ht="12.75" customHeight="1" s="150">
      <c r="J43" s="195" t="n"/>
      <c r="N43" s="196" t="n"/>
    </row>
    <row r="44" ht="13.5" customHeight="1" s="150"/>
    <row r="45" ht="54.75" customHeight="1" s="150">
      <c r="C45" s="197" t="inlineStr">
        <is>
          <t>SUPPLIER ASSUMED COSTS 
(US$  excl. VAT)</t>
        </is>
      </c>
      <c r="D45" s="198">
        <f>[8]Consolidated!D45</f>
        <v/>
      </c>
      <c r="E45" s="198">
        <f>[8]Consolidated!E45</f>
        <v/>
      </c>
      <c r="F45" s="198">
        <f>[8]Consolidated!F45</f>
        <v/>
      </c>
      <c r="G45" s="198">
        <f>[8]Consolidated!G45</f>
        <v/>
      </c>
      <c r="H45" s="198">
        <f>[8]Consolidated!H45</f>
        <v/>
      </c>
      <c r="I45" s="199">
        <f>[8]Consolidated!I45</f>
        <v/>
      </c>
      <c r="J45" s="200">
        <f>[8]Consolidated!J45</f>
        <v/>
      </c>
      <c r="K45" s="165" t="n"/>
      <c r="L45" s="198">
        <f>[8]Consolidated!L45</f>
        <v/>
      </c>
      <c r="M45" s="201">
        <f>[8]Consolidated!M45</f>
        <v/>
      </c>
      <c r="N45" s="198">
        <f>[8]Consolidated!N45</f>
        <v/>
      </c>
    </row>
    <row r="46" ht="12.75" customHeight="1" s="150">
      <c r="C46" s="202" t="inlineStr">
        <is>
          <t>Internal FTE</t>
        </is>
      </c>
      <c r="D46" s="211">
        <f>[8]Consolidated!D46</f>
        <v/>
      </c>
      <c r="E46" s="211">
        <f>[8]Consolidated!E46</f>
        <v/>
      </c>
      <c r="F46" s="211">
        <f>[8]Consolidated!F46</f>
        <v/>
      </c>
      <c r="G46" s="211">
        <f>[8]Consolidated!G46</f>
        <v/>
      </c>
      <c r="H46" s="211">
        <f>[8]Consolidated!H46</f>
        <v/>
      </c>
      <c r="I46" s="211">
        <f>[8]Consolidated!I46</f>
        <v/>
      </c>
      <c r="J46" s="288" t="n"/>
      <c r="K46" s="185" t="n"/>
      <c r="L46" s="213">
        <f>[8]Consolidated!L46</f>
        <v/>
      </c>
      <c r="M46" s="211">
        <f>[8]Consolidated!M46</f>
        <v/>
      </c>
      <c r="N46" s="206" t="n"/>
    </row>
    <row r="47" ht="12.75" customHeight="1" s="150">
      <c r="C47" s="202" t="inlineStr">
        <is>
          <t>External FTE</t>
        </is>
      </c>
      <c r="D47" s="211">
        <f>[8]Consolidated!D47</f>
        <v/>
      </c>
      <c r="E47" s="211">
        <f>[8]Consolidated!E47</f>
        <v/>
      </c>
      <c r="F47" s="211">
        <f>[8]Consolidated!F47</f>
        <v/>
      </c>
      <c r="G47" s="211">
        <f>[8]Consolidated!G47</f>
        <v/>
      </c>
      <c r="H47" s="211">
        <f>[8]Consolidated!H47</f>
        <v/>
      </c>
      <c r="I47" s="211">
        <f>[8]Consolidated!I47</f>
        <v/>
      </c>
      <c r="J47" s="288" t="n"/>
      <c r="K47" s="185" t="n"/>
      <c r="L47" s="213">
        <f>[8]Consolidated!L47</f>
        <v/>
      </c>
      <c r="M47" s="211">
        <f>[8]Consolidated!M47</f>
        <v/>
      </c>
      <c r="N47" s="206" t="n"/>
    </row>
    <row r="48" ht="13.5" customHeight="1" s="150">
      <c r="A48" s="176" t="n"/>
      <c r="B48" s="176" t="n"/>
      <c r="C48" s="207" t="inlineStr">
        <is>
          <t>Total FTE</t>
        </is>
      </c>
      <c r="D48" s="215">
        <f>[8]Consolidated!D48</f>
        <v/>
      </c>
      <c r="E48" s="215">
        <f>[8]Consolidated!E48</f>
        <v/>
      </c>
      <c r="F48" s="215">
        <f>[8]Consolidated!F48</f>
        <v/>
      </c>
      <c r="G48" s="215">
        <f>[8]Consolidated!G48</f>
        <v/>
      </c>
      <c r="H48" s="215">
        <f>[8]Consolidated!H48</f>
        <v/>
      </c>
      <c r="I48" s="215">
        <f>[8]Consolidated!I48</f>
        <v/>
      </c>
      <c r="J48" s="289" t="n"/>
      <c r="K48" s="185" t="n"/>
      <c r="L48" s="210">
        <f>[8]Consolidated!L48</f>
        <v/>
      </c>
      <c r="M48" s="215">
        <f>[8]Consolidated!M48</f>
        <v/>
      </c>
      <c r="N48" s="210" t="n"/>
    </row>
    <row r="49" ht="12.75" customHeight="1" s="150">
      <c r="C49" s="202" t="n"/>
      <c r="D49" s="211" t="n"/>
      <c r="E49" s="211" t="n"/>
      <c r="F49" s="211" t="n"/>
      <c r="G49" s="211" t="n"/>
      <c r="H49" s="211" t="n"/>
      <c r="I49" s="211" t="n"/>
      <c r="J49" s="212" t="n"/>
      <c r="K49" s="185" t="n"/>
      <c r="L49" s="213" t="n"/>
      <c r="M49" s="211" t="n"/>
      <c r="N49" s="206" t="n"/>
    </row>
    <row r="50" ht="12.75" customHeight="1" s="150">
      <c r="C50" s="202" t="inlineStr">
        <is>
          <t>Salaries</t>
        </is>
      </c>
      <c r="D50" s="211">
        <f>([8]Consolidated!D50)*(1/0.79941)</f>
        <v/>
      </c>
      <c r="E50" s="211">
        <f>([8]Consolidated!E50)*(1/0.79941)</f>
        <v/>
      </c>
      <c r="F50" s="211">
        <f>([8]Consolidated!F50)*(1/0.79941)</f>
        <v/>
      </c>
      <c r="G50" s="211">
        <f>([8]Consolidated!G50)*(1/0.79941)</f>
        <v/>
      </c>
      <c r="H50" s="211">
        <f>([8]Consolidated!H50)*(1/0.79941)</f>
        <v/>
      </c>
      <c r="I50" s="211">
        <f>([8]Consolidated!I50)*(1/0.79941)</f>
        <v/>
      </c>
      <c r="J50" s="213">
        <f>([8]Consolidated!J50)*(1/0.79941)</f>
        <v/>
      </c>
      <c r="K50" s="185" t="n"/>
      <c r="L50" s="213">
        <f>([8]Consolidated!L50)*(1/0.79941)</f>
        <v/>
      </c>
      <c r="M50" s="211">
        <f>([8]Consolidated!M50)*(1/0.79941)</f>
        <v/>
      </c>
      <c r="N50" s="206">
        <f>([8]Consolidated!N50)*(1/0.79941)</f>
        <v/>
      </c>
    </row>
    <row r="51" ht="12.75" customHeight="1" s="150">
      <c r="C51" s="202" t="inlineStr">
        <is>
          <t>Bonuses</t>
        </is>
      </c>
      <c r="D51" s="211">
        <f>([8]Consolidated!D51)*(1/0.79941)</f>
        <v/>
      </c>
      <c r="E51" s="211">
        <f>([8]Consolidated!E51)*(1/0.79941)</f>
        <v/>
      </c>
      <c r="F51" s="211">
        <f>([8]Consolidated!F51)*(1/0.79941)</f>
        <v/>
      </c>
      <c r="G51" s="211">
        <f>([8]Consolidated!G51)*(1/0.79941)</f>
        <v/>
      </c>
      <c r="H51" s="211">
        <f>([8]Consolidated!H51)*(1/0.79941)</f>
        <v/>
      </c>
      <c r="I51" s="211">
        <f>([8]Consolidated!I51)*(1/0.79941)</f>
        <v/>
      </c>
      <c r="J51" s="213">
        <f>([8]Consolidated!J51)*(1/0.79941)</f>
        <v/>
      </c>
      <c r="K51" s="185" t="n"/>
      <c r="L51" s="213">
        <f>([8]Consolidated!L51)*(1/0.79941)</f>
        <v/>
      </c>
      <c r="M51" s="211">
        <f>([8]Consolidated!M51)*(1/0.79941)</f>
        <v/>
      </c>
      <c r="N51" s="206">
        <f>([8]Consolidated!N51)*(1/0.79941)</f>
        <v/>
      </c>
    </row>
    <row r="52" ht="12.75" customHeight="1" s="150">
      <c r="C52" s="202" t="inlineStr">
        <is>
          <t>Third party staff, ex IT</t>
        </is>
      </c>
      <c r="D52" s="211">
        <f>([8]Consolidated!D52)*(1/0.79941)</f>
        <v/>
      </c>
      <c r="E52" s="211">
        <f>([8]Consolidated!E52)*(1/0.79941)</f>
        <v/>
      </c>
      <c r="F52" s="211">
        <f>([8]Consolidated!F52)*(1/0.79941)</f>
        <v/>
      </c>
      <c r="G52" s="211">
        <f>([8]Consolidated!G52)*(1/0.79941)</f>
        <v/>
      </c>
      <c r="H52" s="211">
        <f>([8]Consolidated!H52)*(1/0.79941)</f>
        <v/>
      </c>
      <c r="I52" s="211">
        <f>([8]Consolidated!I52)*(1/0.79941)</f>
        <v/>
      </c>
      <c r="J52" s="213">
        <f>([8]Consolidated!J52)*(1/0.79941)</f>
        <v/>
      </c>
      <c r="K52" s="185" t="n"/>
      <c r="L52" s="213">
        <f>([8]Consolidated!L52)*(1/0.79941)</f>
        <v/>
      </c>
      <c r="M52" s="211">
        <f>([8]Consolidated!M52)*(1/0.79941)</f>
        <v/>
      </c>
      <c r="N52" s="206">
        <f>([8]Consolidated!N52)*(1/0.79941)</f>
        <v/>
      </c>
    </row>
    <row r="53" ht="12.75" customHeight="1" s="150">
      <c r="C53" s="202" t="inlineStr">
        <is>
          <t>Third party IT staff</t>
        </is>
      </c>
      <c r="D53" s="211">
        <f>([8]Consolidated!D53)*(1/0.79941)</f>
        <v/>
      </c>
      <c r="E53" s="211">
        <f>([8]Consolidated!E53)*(1/0.79941)</f>
        <v/>
      </c>
      <c r="F53" s="211">
        <f>([8]Consolidated!F53)*(1/0.79941)</f>
        <v/>
      </c>
      <c r="G53" s="211">
        <f>([8]Consolidated!G53)*(1/0.79941)</f>
        <v/>
      </c>
      <c r="H53" s="211">
        <f>([8]Consolidated!H53)*(1/0.79941)</f>
        <v/>
      </c>
      <c r="I53" s="211">
        <f>([8]Consolidated!I53)*(1/0.79941)</f>
        <v/>
      </c>
      <c r="J53" s="213">
        <f>([8]Consolidated!J53)*(1/0.79941)</f>
        <v/>
      </c>
      <c r="K53" s="185" t="n"/>
      <c r="L53" s="213">
        <f>([8]Consolidated!L53)*(1/0.79941)</f>
        <v/>
      </c>
      <c r="M53" s="211">
        <f>([8]Consolidated!M53)*(1/0.79941)</f>
        <v/>
      </c>
      <c r="N53" s="206">
        <f>([8]Consolidated!N53)*(1/0.79941)</f>
        <v/>
      </c>
    </row>
    <row r="54" ht="12.75" customHeight="1" s="150">
      <c r="C54" s="202" t="inlineStr">
        <is>
          <t>Employee education</t>
        </is>
      </c>
      <c r="D54" s="211">
        <f>([8]Consolidated!D54)*(1/0.79941)</f>
        <v/>
      </c>
      <c r="E54" s="211">
        <f>([8]Consolidated!E54)*(1/0.79941)</f>
        <v/>
      </c>
      <c r="F54" s="211">
        <f>([8]Consolidated!F54)*(1/0.79941)</f>
        <v/>
      </c>
      <c r="G54" s="211">
        <f>([8]Consolidated!G54)*(1/0.79941)</f>
        <v/>
      </c>
      <c r="H54" s="211">
        <f>([8]Consolidated!H54)*(1/0.79941)</f>
        <v/>
      </c>
      <c r="I54" s="211">
        <f>([8]Consolidated!I54)*(1/0.79941)</f>
        <v/>
      </c>
      <c r="J54" s="213">
        <f>([8]Consolidated!J54)*(1/0.79941)</f>
        <v/>
      </c>
      <c r="K54" s="185" t="n"/>
      <c r="L54" s="213">
        <f>([8]Consolidated!L54)*(1/0.79941)</f>
        <v/>
      </c>
      <c r="M54" s="211">
        <f>([8]Consolidated!M54)*(1/0.79941)</f>
        <v/>
      </c>
      <c r="N54" s="206">
        <f>([8]Consolidated!N54)*(1/0.79941)</f>
        <v/>
      </c>
    </row>
    <row r="55" ht="12.75" customHeight="1" s="150">
      <c r="C55" s="202" t="inlineStr">
        <is>
          <t>Other staff expenses</t>
        </is>
      </c>
      <c r="D55" s="211">
        <f>([8]Consolidated!D55)*(1/0.79941)</f>
        <v/>
      </c>
      <c r="E55" s="211">
        <f>([8]Consolidated!E55)*(1/0.79941)</f>
        <v/>
      </c>
      <c r="F55" s="211">
        <f>([8]Consolidated!F55)*(1/0.79941)</f>
        <v/>
      </c>
      <c r="G55" s="211">
        <f>([8]Consolidated!G55)*(1/0.79941)</f>
        <v/>
      </c>
      <c r="H55" s="211">
        <f>([8]Consolidated!H55)*(1/0.79941)</f>
        <v/>
      </c>
      <c r="I55" s="211">
        <f>([8]Consolidated!I55)*(1/0.79941)</f>
        <v/>
      </c>
      <c r="J55" s="214">
        <f>([8]Consolidated!J55)*(1/0.79941)</f>
        <v/>
      </c>
      <c r="K55" s="185" t="n"/>
      <c r="L55" s="213">
        <f>([8]Consolidated!L55)*(1/0.79941)</f>
        <v/>
      </c>
      <c r="M55" s="211">
        <f>([8]Consolidated!M55)*(1/0.79941)</f>
        <v/>
      </c>
      <c r="N55" s="206">
        <f>([8]Consolidated!N55)*(1/0.79941)</f>
        <v/>
      </c>
    </row>
    <row r="56" ht="13.5" customHeight="1" s="150">
      <c r="C56" s="207" t="inlineStr">
        <is>
          <t>Staff expenses</t>
        </is>
      </c>
      <c r="D56" s="215">
        <f>([8]Consolidated!D56)*(1/0.79941)</f>
        <v/>
      </c>
      <c r="E56" s="215">
        <f>([8]Consolidated!E56)*(1/0.79941)</f>
        <v/>
      </c>
      <c r="F56" s="215">
        <f>([8]Consolidated!F56)*(1/0.79941)</f>
        <v/>
      </c>
      <c r="G56" s="215">
        <f>([8]Consolidated!G56)*(1/0.79941)</f>
        <v/>
      </c>
      <c r="H56" s="215">
        <f>([8]Consolidated!H56)*(1/0.79941)</f>
        <v/>
      </c>
      <c r="I56" s="215">
        <f>([8]Consolidated!I56)*(1/0.79941)</f>
        <v/>
      </c>
      <c r="J56" s="210">
        <f>([8]Consolidated!J56)*(1/0.79941)</f>
        <v/>
      </c>
      <c r="K56" s="185" t="n"/>
      <c r="L56" s="210">
        <f>([8]Consolidated!L56)*(1/0.79941)</f>
        <v/>
      </c>
      <c r="M56" s="215">
        <f>([8]Consolidated!M56)*(1/0.79941)</f>
        <v/>
      </c>
      <c r="N56" s="210">
        <f>([8]Consolidated!N56)*(1/0.79941)</f>
        <v/>
      </c>
    </row>
    <row r="57" ht="12.75" customHeight="1" s="150">
      <c r="B57" s="216" t="n"/>
      <c r="C57" s="202" t="inlineStr">
        <is>
          <t>Hardware expenses</t>
        </is>
      </c>
      <c r="D57" s="211">
        <f>([8]Consolidated!D57)*(1/0.79941)</f>
        <v/>
      </c>
      <c r="E57" s="211">
        <f>([8]Consolidated!E57)*(1/0.79941)</f>
        <v/>
      </c>
      <c r="F57" s="211">
        <f>([8]Consolidated!F57)*(1/0.79941)</f>
        <v/>
      </c>
      <c r="G57" s="211">
        <f>([8]Consolidated!G57)*(1/0.79941)</f>
        <v/>
      </c>
      <c r="H57" s="211">
        <f>([8]Consolidated!H57)*(1/0.79941)</f>
        <v/>
      </c>
      <c r="I57" s="211">
        <f>([8]Consolidated!I57)*(1/0.79941)</f>
        <v/>
      </c>
      <c r="J57" s="213">
        <f>([8]Consolidated!J57)*(1/0.79941)</f>
        <v/>
      </c>
      <c r="K57" s="185" t="n"/>
      <c r="L57" s="213">
        <f>([8]Consolidated!L57)*(1/0.79941)</f>
        <v/>
      </c>
      <c r="M57" s="211">
        <f>([8]Consolidated!M57)*(1/0.79941)</f>
        <v/>
      </c>
      <c r="N57" s="206">
        <f>([8]Consolidated!N57)*(1/0.79941)</f>
        <v/>
      </c>
    </row>
    <row r="58" ht="12.75" customHeight="1" s="150">
      <c r="C58" s="202" t="inlineStr">
        <is>
          <t>Leasing/renting hardware</t>
        </is>
      </c>
      <c r="D58" s="211">
        <f>([8]Consolidated!D58)*(1/0.79941)</f>
        <v/>
      </c>
      <c r="E58" s="211">
        <f>([8]Consolidated!E58)*(1/0.79941)</f>
        <v/>
      </c>
      <c r="F58" s="211">
        <f>([8]Consolidated!F58)*(1/0.79941)</f>
        <v/>
      </c>
      <c r="G58" s="211">
        <f>([8]Consolidated!G58)*(1/0.79941)</f>
        <v/>
      </c>
      <c r="H58" s="211">
        <f>([8]Consolidated!H58)*(1/0.79941)</f>
        <v/>
      </c>
      <c r="I58" s="211">
        <f>([8]Consolidated!I58)*(1/0.79941)</f>
        <v/>
      </c>
      <c r="J58" s="213">
        <f>([8]Consolidated!J58)*(1/0.79941)</f>
        <v/>
      </c>
      <c r="K58" s="185" t="n"/>
      <c r="L58" s="213">
        <f>([8]Consolidated!L58)*(1/0.79941)</f>
        <v/>
      </c>
      <c r="M58" s="211">
        <f>([8]Consolidated!M58)*(1/0.79941)</f>
        <v/>
      </c>
      <c r="N58" s="206">
        <f>([8]Consolidated!N58)*(1/0.79941)</f>
        <v/>
      </c>
    </row>
    <row r="59" ht="12.75" customHeight="1" s="150">
      <c r="C59" s="202" t="inlineStr">
        <is>
          <t>Software expenses</t>
        </is>
      </c>
      <c r="D59" s="211">
        <f>([8]Consolidated!D59)*(1/0.79941)</f>
        <v/>
      </c>
      <c r="E59" s="211">
        <f>([8]Consolidated!E59)*(1/0.79941)</f>
        <v/>
      </c>
      <c r="F59" s="211">
        <f>([8]Consolidated!F59)*(1/0.79941)</f>
        <v/>
      </c>
      <c r="G59" s="211">
        <f>([8]Consolidated!G59)*(1/0.79941)</f>
        <v/>
      </c>
      <c r="H59" s="211">
        <f>([8]Consolidated!H59)*(1/0.79941)</f>
        <v/>
      </c>
      <c r="I59" s="211">
        <f>([8]Consolidated!I59)*(1/0.79941)</f>
        <v/>
      </c>
      <c r="J59" s="213">
        <f>([8]Consolidated!J59)*(1/0.79941)</f>
        <v/>
      </c>
      <c r="K59" s="185" t="n"/>
      <c r="L59" s="213">
        <f>([8]Consolidated!L59)*(1/0.79941)</f>
        <v/>
      </c>
      <c r="M59" s="211">
        <f>([8]Consolidated!M59)*(1/0.79941)</f>
        <v/>
      </c>
      <c r="N59" s="206">
        <f>([8]Consolidated!N59)*(1/0.79941)</f>
        <v/>
      </c>
    </row>
    <row r="60" ht="12.75" customHeight="1" s="150">
      <c r="C60" s="202" t="inlineStr">
        <is>
          <t>Leasing/renting/licenses sw</t>
        </is>
      </c>
      <c r="D60" s="211">
        <f>([8]Consolidated!D60)*(1/0.79941)</f>
        <v/>
      </c>
      <c r="E60" s="211">
        <f>([8]Consolidated!E60)*(1/0.79941)</f>
        <v/>
      </c>
      <c r="F60" s="211">
        <f>([8]Consolidated!F60)*(1/0.79941)</f>
        <v/>
      </c>
      <c r="G60" s="211">
        <f>([8]Consolidated!G60)*(1/0.79941)</f>
        <v/>
      </c>
      <c r="H60" s="211">
        <f>([8]Consolidated!H60)*(1/0.79941)</f>
        <v/>
      </c>
      <c r="I60" s="211">
        <f>([8]Consolidated!I60)*(1/0.79941)</f>
        <v/>
      </c>
      <c r="J60" s="213">
        <f>([8]Consolidated!J60)*(1/0.79941)</f>
        <v/>
      </c>
      <c r="K60" s="185" t="n"/>
      <c r="L60" s="213">
        <f>([8]Consolidated!L60)*(1/0.79941)</f>
        <v/>
      </c>
      <c r="M60" s="211">
        <f>([8]Consolidated!M60)*(1/0.79941)</f>
        <v/>
      </c>
      <c r="N60" s="206">
        <f>([8]Consolidated!N60)*(1/0.79941)</f>
        <v/>
      </c>
    </row>
    <row r="61" ht="12.75" customHeight="1" s="150">
      <c r="C61" s="202" t="inlineStr">
        <is>
          <t>Depreciation hardware</t>
        </is>
      </c>
      <c r="D61" s="211">
        <f>([8]Consolidated!D61)*(1/0.79941)</f>
        <v/>
      </c>
      <c r="E61" s="211">
        <f>([8]Consolidated!E61)*(1/0.79941)</f>
        <v/>
      </c>
      <c r="F61" s="211">
        <f>([8]Consolidated!F61)*(1/0.79941)</f>
        <v/>
      </c>
      <c r="G61" s="211">
        <f>([8]Consolidated!G61)*(1/0.79941)</f>
        <v/>
      </c>
      <c r="H61" s="211">
        <f>([8]Consolidated!H61)*(1/0.79941)</f>
        <v/>
      </c>
      <c r="I61" s="211">
        <f>([8]Consolidated!I61)*(1/0.79941)</f>
        <v/>
      </c>
      <c r="J61" s="213">
        <f>([8]Consolidated!J61)*(1/0.79941)</f>
        <v/>
      </c>
      <c r="K61" s="185" t="n"/>
      <c r="L61" s="213">
        <f>([8]Consolidated!L61)*(1/0.79941)</f>
        <v/>
      </c>
      <c r="M61" s="211">
        <f>([8]Consolidated!M61)*(1/0.79941)</f>
        <v/>
      </c>
      <c r="N61" s="206">
        <f>([8]Consolidated!N61)*(1/0.79941)</f>
        <v/>
      </c>
    </row>
    <row r="62" ht="12.75" customHeight="1" s="150">
      <c r="C62" s="202" t="inlineStr">
        <is>
          <t>Depreciation software</t>
        </is>
      </c>
      <c r="D62" s="211">
        <f>([8]Consolidated!D62)*(1/0.79941)</f>
        <v/>
      </c>
      <c r="E62" s="211">
        <f>([8]Consolidated!E62)*(1/0.79941)</f>
        <v/>
      </c>
      <c r="F62" s="211">
        <f>([8]Consolidated!F62)*(1/0.79941)</f>
        <v/>
      </c>
      <c r="G62" s="211">
        <f>([8]Consolidated!G62)*(1/0.79941)</f>
        <v/>
      </c>
      <c r="H62" s="211">
        <f>([8]Consolidated!H62)*(1/0.79941)</f>
        <v/>
      </c>
      <c r="I62" s="211">
        <f>([8]Consolidated!I62)*(1/0.79941)</f>
        <v/>
      </c>
      <c r="J62" s="213">
        <f>([8]Consolidated!J62)*(1/0.79941)</f>
        <v/>
      </c>
      <c r="K62" s="185" t="n"/>
      <c r="L62" s="213">
        <f>([8]Consolidated!L62)*(1/0.79941)</f>
        <v/>
      </c>
      <c r="M62" s="211">
        <f>([8]Consolidated!M62)*(1/0.79941)</f>
        <v/>
      </c>
      <c r="N62" s="206">
        <f>([8]Consolidated!N62)*(1/0.79941)</f>
        <v/>
      </c>
    </row>
    <row r="63" ht="12.75" customHeight="1" s="150">
      <c r="C63" s="202" t="inlineStr">
        <is>
          <t>Outsourcing IT activities</t>
        </is>
      </c>
      <c r="D63" s="211">
        <f>([8]Consolidated!D63)*(1/0.79941)</f>
        <v/>
      </c>
      <c r="E63" s="211">
        <f>([8]Consolidated!E63)*(1/0.79941)</f>
        <v/>
      </c>
      <c r="F63" s="211">
        <f>([8]Consolidated!F63)*(1/0.79941)</f>
        <v/>
      </c>
      <c r="G63" s="211">
        <f>([8]Consolidated!G63)*(1/0.79941)</f>
        <v/>
      </c>
      <c r="H63" s="211">
        <f>([8]Consolidated!H63)*(1/0.79941)</f>
        <v/>
      </c>
      <c r="I63" s="211">
        <f>([8]Consolidated!I63)*(1/0.79941)</f>
        <v/>
      </c>
      <c r="J63" s="213">
        <f>([8]Consolidated!J63)*(1/0.79941)</f>
        <v/>
      </c>
      <c r="K63" s="185" t="n"/>
      <c r="L63" s="213">
        <f>([8]Consolidated!L63)*(1/0.79941)</f>
        <v/>
      </c>
      <c r="M63" s="211">
        <f>([8]Consolidated!M63)*(1/0.79941)</f>
        <v/>
      </c>
      <c r="N63" s="206">
        <f>([8]Consolidated!N63)*(1/0.79941)</f>
        <v/>
      </c>
    </row>
    <row r="64" ht="12.75" customHeight="1" s="150">
      <c r="C64" s="202" t="inlineStr">
        <is>
          <t>Other IT expenses</t>
        </is>
      </c>
      <c r="D64" s="211">
        <f>([8]Consolidated!D64)*(1/0.79941)</f>
        <v/>
      </c>
      <c r="E64" s="211">
        <f>([8]Consolidated!E64)*(1/0.79941)</f>
        <v/>
      </c>
      <c r="F64" s="211">
        <f>([8]Consolidated!F64)*(1/0.79941)</f>
        <v/>
      </c>
      <c r="G64" s="211">
        <f>([8]Consolidated!G64)*(1/0.79941)</f>
        <v/>
      </c>
      <c r="H64" s="211">
        <f>([8]Consolidated!H64)*(1/0.79941)</f>
        <v/>
      </c>
      <c r="I64" s="211">
        <f>([8]Consolidated!I64)*(1/0.79941)</f>
        <v/>
      </c>
      <c r="J64" s="213">
        <f>([8]Consolidated!J64)*(1/0.79941)</f>
        <v/>
      </c>
      <c r="K64" s="185" t="n"/>
      <c r="L64" s="213">
        <f>([8]Consolidated!L64)*(1/0.79941)</f>
        <v/>
      </c>
      <c r="M64" s="211">
        <f>([8]Consolidated!M64)*(1/0.79941)</f>
        <v/>
      </c>
      <c r="N64" s="206">
        <f>([8]Consolidated!N64)*(1/0.79941)</f>
        <v/>
      </c>
    </row>
    <row r="65" ht="13.5" customHeight="1" s="150">
      <c r="C65" s="207" t="inlineStr">
        <is>
          <t>EDP expenses</t>
        </is>
      </c>
      <c r="D65" s="215">
        <f>([8]Consolidated!D65)*(1/0.79941)</f>
        <v/>
      </c>
      <c r="E65" s="215">
        <f>([8]Consolidated!E65)*(1/0.79941)</f>
        <v/>
      </c>
      <c r="F65" s="215">
        <f>([8]Consolidated!F65)*(1/0.79941)</f>
        <v/>
      </c>
      <c r="G65" s="215">
        <f>([8]Consolidated!G65)*(1/0.79941)</f>
        <v/>
      </c>
      <c r="H65" s="215">
        <f>([8]Consolidated!H65)*(1/0.79941)</f>
        <v/>
      </c>
      <c r="I65" s="215">
        <f>([8]Consolidated!I65)*(1/0.79941)</f>
        <v/>
      </c>
      <c r="J65" s="210">
        <f>([8]Consolidated!J65)*(1/0.79941)</f>
        <v/>
      </c>
      <c r="K65" s="185" t="n"/>
      <c r="L65" s="210">
        <f>([8]Consolidated!L65)*(1/0.79941)</f>
        <v/>
      </c>
      <c r="M65" s="215">
        <f>([8]Consolidated!M65)*(1/0.79941)</f>
        <v/>
      </c>
      <c r="N65" s="210">
        <f>([8]Consolidated!N65)*(1/0.79941)</f>
        <v/>
      </c>
    </row>
    <row r="66" ht="12.75" customHeight="1" s="150">
      <c r="C66" s="202" t="inlineStr">
        <is>
          <t>Telecom expenses</t>
        </is>
      </c>
      <c r="D66" s="211">
        <f>([8]Consolidated!D66)*(1/0.79941)</f>
        <v/>
      </c>
      <c r="E66" s="211">
        <f>([8]Consolidated!E66)*(1/0.79941)</f>
        <v/>
      </c>
      <c r="F66" s="211">
        <f>([8]Consolidated!F66)*(1/0.79941)</f>
        <v/>
      </c>
      <c r="G66" s="211">
        <f>([8]Consolidated!G66)*(1/0.79941)</f>
        <v/>
      </c>
      <c r="H66" s="211">
        <f>([8]Consolidated!H66)*(1/0.79941)</f>
        <v/>
      </c>
      <c r="I66" s="211">
        <f>([8]Consolidated!I66)*(1/0.79941)</f>
        <v/>
      </c>
      <c r="J66" s="213">
        <f>([8]Consolidated!J66)*(1/0.79941)</f>
        <v/>
      </c>
      <c r="K66" s="185" t="n"/>
      <c r="L66" s="213">
        <f>([8]Consolidated!L66)*(1/0.79941)</f>
        <v/>
      </c>
      <c r="M66" s="211">
        <f>([8]Consolidated!M66)*(1/0.79941)</f>
        <v/>
      </c>
      <c r="N66" s="206">
        <f>([8]Consolidated!N66)*(1/0.79941)</f>
        <v/>
      </c>
    </row>
    <row r="67" ht="12.75" customHeight="1" s="150">
      <c r="C67" s="202" t="inlineStr">
        <is>
          <t>Office equipment and supplies</t>
        </is>
      </c>
      <c r="D67" s="211">
        <f>([8]Consolidated!D67)*(1/0.79941)</f>
        <v/>
      </c>
      <c r="E67" s="211">
        <f>([8]Consolidated!E67)*(1/0.79941)</f>
        <v/>
      </c>
      <c r="F67" s="211">
        <f>([8]Consolidated!F67)*(1/0.79941)</f>
        <v/>
      </c>
      <c r="G67" s="211">
        <f>([8]Consolidated!G67)*(1/0.79941)</f>
        <v/>
      </c>
      <c r="H67" s="211">
        <f>([8]Consolidated!H67)*(1/0.79941)</f>
        <v/>
      </c>
      <c r="I67" s="211">
        <f>([8]Consolidated!I67)*(1/0.79941)</f>
        <v/>
      </c>
      <c r="J67" s="213">
        <f>([8]Consolidated!J67)*(1/0.79941)</f>
        <v/>
      </c>
      <c r="K67" s="185" t="n"/>
      <c r="L67" s="213">
        <f>([8]Consolidated!L67)*(1/0.79941)</f>
        <v/>
      </c>
      <c r="M67" s="211">
        <f>([8]Consolidated!M67)*(1/0.79941)</f>
        <v/>
      </c>
      <c r="N67" s="206">
        <f>([8]Consolidated!N67)*(1/0.79941)</f>
        <v/>
      </c>
    </row>
    <row r="68" ht="12.75" customHeight="1" s="150">
      <c r="C68" s="202" t="inlineStr">
        <is>
          <t>Accomodation expenses</t>
        </is>
      </c>
      <c r="D68" s="211">
        <f>([8]Consolidated!D68)*(1/0.79941)</f>
        <v/>
      </c>
      <c r="E68" s="211">
        <f>([8]Consolidated!E68)*(1/0.79941)</f>
        <v/>
      </c>
      <c r="F68" s="211">
        <f>([8]Consolidated!F68)*(1/0.79941)</f>
        <v/>
      </c>
      <c r="G68" s="211">
        <f>([8]Consolidated!G68)*(1/0.79941)</f>
        <v/>
      </c>
      <c r="H68" s="211">
        <f>([8]Consolidated!H68)*(1/0.79941)</f>
        <v/>
      </c>
      <c r="I68" s="211">
        <f>([8]Consolidated!I68)*(1/0.79941)</f>
        <v/>
      </c>
      <c r="J68" s="213">
        <f>([8]Consolidated!J68)*(1/0.79941)</f>
        <v/>
      </c>
      <c r="K68" s="185" t="n"/>
      <c r="L68" s="213">
        <f>([8]Consolidated!L68)*(1/0.79941)</f>
        <v/>
      </c>
      <c r="M68" s="211">
        <f>([8]Consolidated!M68)*(1/0.79941)</f>
        <v/>
      </c>
      <c r="N68" s="206">
        <f>([8]Consolidated!N68)*(1/0.79941)</f>
        <v/>
      </c>
    </row>
    <row r="69" ht="12.75" customHeight="1" s="150">
      <c r="C69" s="202" t="inlineStr">
        <is>
          <t>Travel costs</t>
        </is>
      </c>
      <c r="D69" s="211">
        <f>([8]Consolidated!D69)*(1/0.79941)</f>
        <v/>
      </c>
      <c r="E69" s="211">
        <f>([8]Consolidated!E69)*(1/0.79941)</f>
        <v/>
      </c>
      <c r="F69" s="211">
        <f>([8]Consolidated!F69)*(1/0.79941)</f>
        <v/>
      </c>
      <c r="G69" s="211">
        <f>([8]Consolidated!G69)*(1/0.79941)</f>
        <v/>
      </c>
      <c r="H69" s="211">
        <f>([8]Consolidated!H69)*(1/0.79941)</f>
        <v/>
      </c>
      <c r="I69" s="211">
        <f>([8]Consolidated!I69)*(1/0.79941)</f>
        <v/>
      </c>
      <c r="J69" s="213">
        <f>([8]Consolidated!J69)*(1/0.79941)</f>
        <v/>
      </c>
      <c r="K69" s="185" t="n"/>
      <c r="L69" s="213">
        <f>([8]Consolidated!L69)*(1/0.79941)</f>
        <v/>
      </c>
      <c r="M69" s="211">
        <f>([8]Consolidated!M69)*(1/0.79941)</f>
        <v/>
      </c>
      <c r="N69" s="206">
        <f>([8]Consolidated!N69)*(1/0.79941)</f>
        <v/>
      </c>
    </row>
    <row r="70" ht="12.75" customHeight="1" s="150">
      <c r="C70" s="202" t="inlineStr">
        <is>
          <t>Postal and freight charges</t>
        </is>
      </c>
      <c r="D70" s="211">
        <f>([8]Consolidated!D70)*(1/0.79941)</f>
        <v/>
      </c>
      <c r="E70" s="211">
        <f>([8]Consolidated!E70)*(1/0.79941)</f>
        <v/>
      </c>
      <c r="F70" s="211">
        <f>([8]Consolidated!F70)*(1/0.79941)</f>
        <v/>
      </c>
      <c r="G70" s="211">
        <f>([8]Consolidated!G70)*(1/0.79941)</f>
        <v/>
      </c>
      <c r="H70" s="211">
        <f>([8]Consolidated!H70)*(1/0.79941)</f>
        <v/>
      </c>
      <c r="I70" s="211">
        <f>([8]Consolidated!I70)*(1/0.79941)</f>
        <v/>
      </c>
      <c r="J70" s="213">
        <f>([8]Consolidated!J70)*(1/0.79941)</f>
        <v/>
      </c>
      <c r="K70" s="185" t="n"/>
      <c r="L70" s="213">
        <f>([8]Consolidated!L70)*(1/0.79941)</f>
        <v/>
      </c>
      <c r="M70" s="211">
        <f>([8]Consolidated!M70)*(1/0.79941)</f>
        <v/>
      </c>
      <c r="N70" s="206">
        <f>([8]Consolidated!N70)*(1/0.79941)</f>
        <v/>
      </c>
    </row>
    <row r="71" ht="12.75" customHeight="1" s="150">
      <c r="C71" s="202" t="inlineStr">
        <is>
          <t>Prof serv and ext advisory fee</t>
        </is>
      </c>
      <c r="D71" s="211">
        <f>([8]Consolidated!D71)*(1/0.79941)</f>
        <v/>
      </c>
      <c r="E71" s="211">
        <f>([8]Consolidated!E71)*(1/0.79941)</f>
        <v/>
      </c>
      <c r="F71" s="211">
        <f>([8]Consolidated!F71)*(1/0.79941)</f>
        <v/>
      </c>
      <c r="G71" s="211">
        <f>([8]Consolidated!G71)*(1/0.79941)</f>
        <v/>
      </c>
      <c r="H71" s="211">
        <f>([8]Consolidated!H71)*(1/0.79941)</f>
        <v/>
      </c>
      <c r="I71" s="211">
        <f>([8]Consolidated!I71)*(1/0.79941)</f>
        <v/>
      </c>
      <c r="J71" s="213">
        <f>([8]Consolidated!J71)*(1/0.79941)</f>
        <v/>
      </c>
      <c r="K71" s="185" t="n"/>
      <c r="L71" s="213">
        <f>([8]Consolidated!L71)*(1/0.79941)</f>
        <v/>
      </c>
      <c r="M71" s="211">
        <f>([8]Consolidated!M71)*(1/0.79941)</f>
        <v/>
      </c>
      <c r="N71" s="206">
        <f>([8]Consolidated!N71)*(1/0.79941)</f>
        <v/>
      </c>
    </row>
    <row r="72" ht="12.75" customHeight="1" s="150">
      <c r="C72" s="202" t="inlineStr">
        <is>
          <t>Payment transfer expenses</t>
        </is>
      </c>
      <c r="D72" s="211">
        <f>([8]Consolidated!D72)*(1/0.79941)</f>
        <v/>
      </c>
      <c r="E72" s="211">
        <f>([8]Consolidated!E72)*(1/0.79941)</f>
        <v/>
      </c>
      <c r="F72" s="211">
        <f>([8]Consolidated!F72)*(1/0.79941)</f>
        <v/>
      </c>
      <c r="G72" s="211">
        <f>([8]Consolidated!G72)*(1/0.79941)</f>
        <v/>
      </c>
      <c r="H72" s="211">
        <f>([8]Consolidated!H72)*(1/0.79941)</f>
        <v/>
      </c>
      <c r="I72" s="211">
        <f>([8]Consolidated!I72)*(1/0.79941)</f>
        <v/>
      </c>
      <c r="J72" s="213">
        <f>([8]Consolidated!J72)*(1/0.79941)</f>
        <v/>
      </c>
      <c r="K72" s="185" t="n"/>
      <c r="L72" s="213">
        <f>([8]Consolidated!L72)*(1/0.79941)</f>
        <v/>
      </c>
      <c r="M72" s="211">
        <f>([8]Consolidated!M72)*(1/0.79941)</f>
        <v/>
      </c>
      <c r="N72" s="206">
        <f>([8]Consolidated!N72)*(1/0.79941)</f>
        <v/>
      </c>
    </row>
    <row r="73" ht="12.75" customHeight="1" s="150">
      <c r="C73" s="202" t="inlineStr">
        <is>
          <t>Other costs</t>
        </is>
      </c>
      <c r="D73" s="211">
        <f>([8]Consolidated!D73)*(1/0.79941)</f>
        <v/>
      </c>
      <c r="E73" s="211">
        <f>([8]Consolidated!E73)*(1/0.79941)</f>
        <v/>
      </c>
      <c r="F73" s="211">
        <f>([8]Consolidated!F73)*(1/0.79941)</f>
        <v/>
      </c>
      <c r="G73" s="211">
        <f>([8]Consolidated!G73)*(1/0.79941)</f>
        <v/>
      </c>
      <c r="H73" s="211">
        <f>([8]Consolidated!H73)*(1/0.79941)</f>
        <v/>
      </c>
      <c r="I73" s="211">
        <f>([8]Consolidated!I73)*(1/0.79941)</f>
        <v/>
      </c>
      <c r="J73" s="213">
        <f>([8]Consolidated!J73)*(1/0.79941)</f>
        <v/>
      </c>
      <c r="K73" s="185" t="n"/>
      <c r="L73" s="213">
        <f>([8]Consolidated!L73)*(1/0.79941)</f>
        <v/>
      </c>
      <c r="M73" s="211">
        <f>([8]Consolidated!M73)*(1/0.79941)</f>
        <v/>
      </c>
      <c r="N73" s="206">
        <f>([8]Consolidated!N73)*(1/0.79941)</f>
        <v/>
      </c>
    </row>
    <row r="74" ht="13.5" customHeight="1" s="150">
      <c r="C74" s="207" t="inlineStr">
        <is>
          <t>General expenses</t>
        </is>
      </c>
      <c r="D74" s="215">
        <f>([8]Consolidated!D74)*(1/0.79941)</f>
        <v/>
      </c>
      <c r="E74" s="215">
        <f>([8]Consolidated!E74)*(1/0.79941)</f>
        <v/>
      </c>
      <c r="F74" s="215">
        <f>([8]Consolidated!F74)*(1/0.79941)</f>
        <v/>
      </c>
      <c r="G74" s="215">
        <f>([8]Consolidated!G74)*(1/0.79941)</f>
        <v/>
      </c>
      <c r="H74" s="215">
        <f>([8]Consolidated!H74)*(1/0.79941)</f>
        <v/>
      </c>
      <c r="I74" s="215">
        <f>([8]Consolidated!I74)*(1/0.79941)</f>
        <v/>
      </c>
      <c r="J74" s="210">
        <f>([8]Consolidated!J74)*(1/0.79941)</f>
        <v/>
      </c>
      <c r="K74" s="185" t="n"/>
      <c r="L74" s="210">
        <f>([8]Consolidated!L74)*(1/0.79941)</f>
        <v/>
      </c>
      <c r="M74" s="215">
        <f>([8]Consolidated!M74)*(1/0.79941)</f>
        <v/>
      </c>
      <c r="N74" s="210">
        <f>([8]Consolidated!N74)*(1/0.79941)</f>
        <v/>
      </c>
    </row>
    <row r="75" ht="12.75" customHeight="1" s="150">
      <c r="C75" s="202" t="inlineStr">
        <is>
          <t>Own expenses</t>
        </is>
      </c>
      <c r="D75" s="211">
        <f>([8]Consolidated!D75)*(1/0.79941)</f>
        <v/>
      </c>
      <c r="E75" s="211">
        <f>([8]Consolidated!E75)*(1/0.79941)</f>
        <v/>
      </c>
      <c r="F75" s="211">
        <f>([8]Consolidated!F75)*(1/0.79941)</f>
        <v/>
      </c>
      <c r="G75" s="211">
        <f>([8]Consolidated!G75)*(1/0.79941)</f>
        <v/>
      </c>
      <c r="H75" s="211">
        <f>([8]Consolidated!H75)*(1/0.79941)</f>
        <v/>
      </c>
      <c r="I75" s="211">
        <f>([8]Consolidated!I75)*(1/0.79941)</f>
        <v/>
      </c>
      <c r="J75" s="213">
        <f>([8]Consolidated!J75)*(1/0.79941)</f>
        <v/>
      </c>
      <c r="K75" s="185" t="n"/>
      <c r="L75" s="213">
        <f>([8]Consolidated!L75)*(1/0.79941)</f>
        <v/>
      </c>
      <c r="M75" s="211">
        <f>([8]Consolidated!M75)*(1/0.79941)</f>
        <v/>
      </c>
      <c r="N75" s="217">
        <f>([8]Consolidated!N75)*(1/0.79941)</f>
        <v/>
      </c>
    </row>
    <row r="76" ht="12.75" customHeight="1" s="150">
      <c r="C76" s="202" t="inlineStr">
        <is>
          <t>Other expenses</t>
        </is>
      </c>
      <c r="D76" s="211">
        <f>([8]Consolidated!D76)*(1/0.79941)</f>
        <v/>
      </c>
      <c r="E76" s="211">
        <f>([8]Consolidated!E76)*(1/0.79941)</f>
        <v/>
      </c>
      <c r="F76" s="211">
        <f>([8]Consolidated!F76)*(1/0.79941)</f>
        <v/>
      </c>
      <c r="G76" s="211">
        <f>([8]Consolidated!G76)*(1/0.79941)</f>
        <v/>
      </c>
      <c r="H76" s="211">
        <f>([8]Consolidated!H76)*(1/0.79941)</f>
        <v/>
      </c>
      <c r="I76" s="211">
        <f>([8]Consolidated!I76)*(1/0.79941)</f>
        <v/>
      </c>
      <c r="J76" s="213">
        <f>([8]Consolidated!J76)*(1/0.79941)</f>
        <v/>
      </c>
      <c r="K76" s="185" t="n"/>
      <c r="L76" s="213">
        <f>([8]Consolidated!L76)*(1/0.79941)</f>
        <v/>
      </c>
      <c r="M76" s="211">
        <f>([8]Consolidated!M76)*(1/0.79941)</f>
        <v/>
      </c>
      <c r="N76" s="206">
        <f>([8]Consolidated!N76)*(1/0.79941)</f>
        <v/>
      </c>
    </row>
    <row r="77" ht="13.5" customHeight="1" s="150">
      <c r="A77" s="176" t="n"/>
      <c r="B77" s="176" t="n"/>
      <c r="C77" s="207" t="inlineStr">
        <is>
          <t xml:space="preserve">Operating expenses </t>
        </is>
      </c>
      <c r="D77" s="215">
        <f>([8]Consolidated!D77)*(1/0.79941)</f>
        <v/>
      </c>
      <c r="E77" s="215">
        <f>([8]Consolidated!E77)*(1/0.79941)</f>
        <v/>
      </c>
      <c r="F77" s="215">
        <f>([8]Consolidated!F77)*(1/0.79941)</f>
        <v/>
      </c>
      <c r="G77" s="215">
        <f>([8]Consolidated!G77)*(1/0.79941)</f>
        <v/>
      </c>
      <c r="H77" s="215">
        <f>([8]Consolidated!H77)*(1/0.79941)</f>
        <v/>
      </c>
      <c r="I77" s="215">
        <f>([8]Consolidated!I77)*(1/0.79941)</f>
        <v/>
      </c>
      <c r="J77" s="210">
        <f>([8]Consolidated!J77)*(1/0.79941)</f>
        <v/>
      </c>
      <c r="K77" s="185" t="n"/>
      <c r="L77" s="210">
        <f>([8]Consolidated!L77)*(1/0.79941)</f>
        <v/>
      </c>
      <c r="M77" s="215">
        <f>([8]Consolidated!M77)*(1/0.79941)</f>
        <v/>
      </c>
      <c r="N77" s="210">
        <f>([8]Consolidated!N77)*(1/0.79941)</f>
        <v/>
      </c>
    </row>
    <row r="78" ht="12.75" customHeight="1" s="150">
      <c r="C78" s="202" t="n"/>
      <c r="D78" s="211">
        <f>0*(1/0.79941)</f>
        <v/>
      </c>
      <c r="E78" s="211">
        <f>0*(1/0.79941)</f>
        <v/>
      </c>
      <c r="F78" s="211">
        <f>0*(1/0.79941)</f>
        <v/>
      </c>
      <c r="G78" s="211">
        <f>0*(1/0.79941)</f>
        <v/>
      </c>
      <c r="H78" s="211">
        <f>0*(1/0.79941)</f>
        <v/>
      </c>
      <c r="I78" s="211">
        <f>0*(1/0.79941)</f>
        <v/>
      </c>
      <c r="J78" s="218">
        <f>0*(1/0.79941)</f>
        <v/>
      </c>
      <c r="K78" s="185" t="n"/>
      <c r="L78" s="213">
        <f>0*(1/0.79941)</f>
        <v/>
      </c>
      <c r="M78" s="211">
        <f>0*(1/0.79941)</f>
        <v/>
      </c>
      <c r="N78" s="218">
        <f>0*(1/0.79941)</f>
        <v/>
      </c>
    </row>
    <row r="79" ht="12.75" customHeight="1" s="150">
      <c r="C79" s="202" t="inlineStr">
        <is>
          <t>HR &amp; Comms</t>
        </is>
      </c>
      <c r="D79" s="211">
        <f>([8]Consolidated!D79)*(1/0.79941)</f>
        <v/>
      </c>
      <c r="E79" s="211">
        <f>([8]Consolidated!E79)*(1/0.79941)</f>
        <v/>
      </c>
      <c r="F79" s="211">
        <f>([8]Consolidated!F79)*(1/0.79941)</f>
        <v/>
      </c>
      <c r="G79" s="211">
        <f>([8]Consolidated!G79)*(1/0.79941)</f>
        <v/>
      </c>
      <c r="H79" s="211">
        <f>([8]Consolidated!H79)*(1/0.79941)</f>
        <v/>
      </c>
      <c r="I79" s="211">
        <f>([8]Consolidated!I79)*(1/0.79941)</f>
        <v/>
      </c>
      <c r="J79" s="213">
        <f>([8]Consolidated!J79)*(1/0.79941)</f>
        <v/>
      </c>
      <c r="K79" s="185" t="n"/>
      <c r="L79" s="213">
        <f>([8]Consolidated!L79)*(1/0.79941)</f>
        <v/>
      </c>
      <c r="M79" s="211">
        <f>([8]Consolidated!M79)*(1/0.79941)</f>
        <v/>
      </c>
      <c r="N79" s="206">
        <f>([8]Consolidated!N79)*(1/0.79941)</f>
        <v/>
      </c>
    </row>
    <row r="80" ht="12.75" customHeight="1" s="150">
      <c r="C80" s="202" t="inlineStr">
        <is>
          <t>Finance &amp; Business Support</t>
        </is>
      </c>
      <c r="D80" s="211">
        <f>([8]Consolidated!D80)*(1/0.79941)</f>
        <v/>
      </c>
      <c r="E80" s="211">
        <f>([8]Consolidated!E80)*(1/0.79941)</f>
        <v/>
      </c>
      <c r="F80" s="211">
        <f>([8]Consolidated!F80)*(1/0.79941)</f>
        <v/>
      </c>
      <c r="G80" s="211">
        <f>([8]Consolidated!G80)*(1/0.79941)</f>
        <v/>
      </c>
      <c r="H80" s="211">
        <f>([8]Consolidated!H80)*(1/0.79941)</f>
        <v/>
      </c>
      <c r="I80" s="211">
        <f>([8]Consolidated!I80)*(1/0.79941)</f>
        <v/>
      </c>
      <c r="J80" s="213">
        <f>([8]Consolidated!J80)*(1/0.79941)</f>
        <v/>
      </c>
      <c r="K80" s="185" t="n"/>
      <c r="L80" s="213">
        <f>([8]Consolidated!L80)*(1/0.79941)</f>
        <v/>
      </c>
      <c r="M80" s="211">
        <f>([8]Consolidated!M80)*(1/0.79941)</f>
        <v/>
      </c>
      <c r="N80" s="206">
        <f>([8]Consolidated!N80)*(1/0.79941)</f>
        <v/>
      </c>
    </row>
    <row r="81" ht="12.75" customHeight="1" s="150">
      <c r="C81" s="202" t="inlineStr">
        <is>
          <t>IT alloc</t>
        </is>
      </c>
      <c r="D81" s="211">
        <f>([8]Consolidated!D81)*(1/0.79941)</f>
        <v/>
      </c>
      <c r="E81" s="211">
        <f>([8]Consolidated!E81)*(1/0.79941)</f>
        <v/>
      </c>
      <c r="F81" s="211">
        <f>([8]Consolidated!F81)*(1/0.79941)</f>
        <v/>
      </c>
      <c r="G81" s="211">
        <f>([8]Consolidated!G81)*(1/0.79941)</f>
        <v/>
      </c>
      <c r="H81" s="211">
        <f>([8]Consolidated!H81)*(1/0.79941)</f>
        <v/>
      </c>
      <c r="I81" s="211">
        <f>([8]Consolidated!I81)*(1/0.79941)</f>
        <v/>
      </c>
      <c r="J81" s="213">
        <f>([8]Consolidated!J81)*(1/0.79941)</f>
        <v/>
      </c>
      <c r="K81" s="185" t="n"/>
      <c r="L81" s="213">
        <f>([8]Consolidated!L81)*(1/0.79941)</f>
        <v/>
      </c>
      <c r="M81" s="211">
        <f>([8]Consolidated!M81)*(1/0.79941)</f>
        <v/>
      </c>
      <c r="N81" s="206">
        <f>([8]Consolidated!N81)*(1/0.79941)</f>
        <v/>
      </c>
    </row>
    <row r="82" ht="12.75" customHeight="1" s="150">
      <c r="C82" s="202" t="inlineStr">
        <is>
          <t>Facilities Management</t>
        </is>
      </c>
      <c r="D82" s="211">
        <f>([8]Consolidated!D82)*(1/0.79941)</f>
        <v/>
      </c>
      <c r="E82" s="211">
        <f>([8]Consolidated!E82)*(1/0.79941)</f>
        <v/>
      </c>
      <c r="F82" s="211">
        <f>([8]Consolidated!F82)*(1/0.79941)</f>
        <v/>
      </c>
      <c r="G82" s="211">
        <f>([8]Consolidated!G82)*(1/0.79941)</f>
        <v/>
      </c>
      <c r="H82" s="211">
        <f>([8]Consolidated!H82)*(1/0.79941)</f>
        <v/>
      </c>
      <c r="I82" s="211">
        <f>([8]Consolidated!I82)*(1/0.79941)</f>
        <v/>
      </c>
      <c r="J82" s="213">
        <f>([8]Consolidated!J82)*(1/0.79941)</f>
        <v/>
      </c>
      <c r="K82" s="185" t="n"/>
      <c r="L82" s="213">
        <f>([8]Consolidated!L82)*(1/0.79941)</f>
        <v/>
      </c>
      <c r="M82" s="211">
        <f>([8]Consolidated!M82)*(1/0.79941)</f>
        <v/>
      </c>
      <c r="N82" s="206">
        <f>([8]Consolidated!N82)*(1/0.79941)</f>
        <v/>
      </c>
    </row>
    <row r="83" ht="13.5" customHeight="1" s="150">
      <c r="C83" s="207" t="inlineStr">
        <is>
          <t>Overheads</t>
        </is>
      </c>
      <c r="D83" s="215">
        <f>([8]Consolidated!D83)*(1/0.79941)</f>
        <v/>
      </c>
      <c r="E83" s="215">
        <f>([8]Consolidated!E83)*(1/0.79941)</f>
        <v/>
      </c>
      <c r="F83" s="215">
        <f>([8]Consolidated!F83)*(1/0.79941)</f>
        <v/>
      </c>
      <c r="G83" s="215">
        <f>([8]Consolidated!G83)*(1/0.79941)</f>
        <v/>
      </c>
      <c r="H83" s="215">
        <f>([8]Consolidated!H83)*(1/0.79941)</f>
        <v/>
      </c>
      <c r="I83" s="215">
        <f>([8]Consolidated!I83)*(1/0.79941)</f>
        <v/>
      </c>
      <c r="J83" s="210">
        <f>([8]Consolidated!J83)*(1/0.79941)</f>
        <v/>
      </c>
      <c r="K83" s="185" t="n"/>
      <c r="L83" s="210">
        <f>([8]Consolidated!L83)*(1/0.79941)</f>
        <v/>
      </c>
      <c r="M83" s="215">
        <f>([8]Consolidated!M83)*(1/0.79941)</f>
        <v/>
      </c>
      <c r="N83" s="210">
        <f>([8]Consolidated!N83)*(1/0.79941)</f>
        <v/>
      </c>
    </row>
    <row r="84" ht="12.75" customHeight="1" s="150">
      <c r="C84" s="202" t="n"/>
      <c r="D84" s="211">
        <f>0*(1/0.79941)</f>
        <v/>
      </c>
      <c r="E84" s="211">
        <f>0*(1/0.79941)</f>
        <v/>
      </c>
      <c r="F84" s="211">
        <f>0*(1/0.79941)</f>
        <v/>
      </c>
      <c r="G84" s="211">
        <f>0*(1/0.79941)</f>
        <v/>
      </c>
      <c r="H84" s="211">
        <f>0*(1/0.79941)</f>
        <v/>
      </c>
      <c r="I84" s="211">
        <f>0*(1/0.79941)</f>
        <v/>
      </c>
      <c r="J84" s="218">
        <f>0*(1/0.79941)</f>
        <v/>
      </c>
      <c r="K84" s="185" t="n"/>
      <c r="L84" s="213">
        <f>0*(1/0.79941)</f>
        <v/>
      </c>
      <c r="M84" s="211">
        <f>0*(1/0.79941)</f>
        <v/>
      </c>
      <c r="N84" s="218">
        <f>0*(1/0.79941)</f>
        <v/>
      </c>
    </row>
    <row r="85" ht="13.5" customHeight="1" s="150">
      <c r="C85" s="207" t="inlineStr">
        <is>
          <t>Total Operating Costs (incl. O/H)</t>
        </is>
      </c>
      <c r="D85" s="215">
        <f>([8]Consolidated!D85)*(1/0.79941)</f>
        <v/>
      </c>
      <c r="E85" s="215">
        <f>([8]Consolidated!E85)*(1/0.79941)</f>
        <v/>
      </c>
      <c r="F85" s="215">
        <f>([8]Consolidated!F85)*(1/0.79941)</f>
        <v/>
      </c>
      <c r="G85" s="215">
        <f>([8]Consolidated!G85)*(1/0.79941)</f>
        <v/>
      </c>
      <c r="H85" s="215">
        <f>([8]Consolidated!H85)*(1/0.79941)</f>
        <v/>
      </c>
      <c r="I85" s="215">
        <f>([8]Consolidated!I85)*(1/0.79941)</f>
        <v/>
      </c>
      <c r="J85" s="210">
        <f>([8]Consolidated!J85)*(1/0.79941)</f>
        <v/>
      </c>
      <c r="K85" s="185" t="n"/>
      <c r="L85" s="210">
        <f>([8]Consolidated!L85)*(1/0.79941)</f>
        <v/>
      </c>
      <c r="M85" s="215">
        <f>([8]Consolidated!M85)*(1/0.79941)</f>
        <v/>
      </c>
      <c r="N85" s="210">
        <f>([8]Consolidated!N85)*(1/0.79941)</f>
        <v/>
      </c>
    </row>
    <row r="86"/>
    <row r="87"/>
    <row r="88" ht="13.5" customHeight="1" s="150"/>
    <row r="89" ht="45.75" customHeight="1" s="150">
      <c r="C89" s="219" t="inlineStr">
        <is>
          <t>PASS THROUGH COSTS
(US$  excl. VAT)</t>
        </is>
      </c>
      <c r="D89" s="220">
        <f>[8]Consolidated!D89</f>
        <v/>
      </c>
      <c r="E89" s="220">
        <f>[8]Consolidated!E89</f>
        <v/>
      </c>
      <c r="F89" s="220">
        <f>[8]Consolidated!F89</f>
        <v/>
      </c>
      <c r="G89" s="220">
        <f>[8]Consolidated!G89</f>
        <v/>
      </c>
      <c r="H89" s="220">
        <f>[8]Consolidated!H89</f>
        <v/>
      </c>
      <c r="I89" s="221">
        <f>[8]Consolidated!I89</f>
        <v/>
      </c>
      <c r="J89" s="222">
        <f>[8]Consolidated!J89</f>
        <v/>
      </c>
      <c r="K89" s="165" t="n"/>
      <c r="L89" s="220">
        <f>[8]Consolidated!L89</f>
        <v/>
      </c>
      <c r="M89" s="223">
        <f>[8]Consolidated!M89</f>
        <v/>
      </c>
      <c r="N89" s="220">
        <f>[8]Consolidated!N89</f>
        <v/>
      </c>
    </row>
    <row r="90" ht="12.75" customHeight="1" s="150">
      <c r="C90" s="224" t="inlineStr">
        <is>
          <t>Internal FTE</t>
        </is>
      </c>
      <c r="D90" s="231">
        <f>[8]Consolidated!D90</f>
        <v/>
      </c>
      <c r="E90" s="231">
        <f>[8]Consolidated!E90</f>
        <v/>
      </c>
      <c r="F90" s="231">
        <f>[8]Consolidated!F90</f>
        <v/>
      </c>
      <c r="G90" s="231">
        <f>[8]Consolidated!G90</f>
        <v/>
      </c>
      <c r="H90" s="231">
        <f>[8]Consolidated!H90</f>
        <v/>
      </c>
      <c r="I90" s="231">
        <f>[8]Consolidated!I90</f>
        <v/>
      </c>
      <c r="J90" s="232" t="n"/>
      <c r="K90" s="185" t="n"/>
      <c r="L90" s="233">
        <f>[8]Consolidated!L90</f>
        <v/>
      </c>
      <c r="M90" s="231">
        <f>[8]Consolidated!M90</f>
        <v/>
      </c>
      <c r="N90" s="234" t="n"/>
    </row>
    <row r="91" ht="12.75" customHeight="1" s="150">
      <c r="C91" s="224" t="inlineStr">
        <is>
          <t>External FTE</t>
        </is>
      </c>
      <c r="D91" s="231">
        <f>[8]Consolidated!D91</f>
        <v/>
      </c>
      <c r="E91" s="231">
        <f>[8]Consolidated!E91</f>
        <v/>
      </c>
      <c r="F91" s="231">
        <f>[8]Consolidated!F91</f>
        <v/>
      </c>
      <c r="G91" s="231">
        <f>[8]Consolidated!G91</f>
        <v/>
      </c>
      <c r="H91" s="231">
        <f>[8]Consolidated!H91</f>
        <v/>
      </c>
      <c r="I91" s="231">
        <f>[8]Consolidated!I91</f>
        <v/>
      </c>
      <c r="J91" s="232" t="n"/>
      <c r="K91" s="185" t="n"/>
      <c r="L91" s="233">
        <f>[8]Consolidated!L91</f>
        <v/>
      </c>
      <c r="M91" s="231">
        <f>[8]Consolidated!M91</f>
        <v/>
      </c>
      <c r="N91" s="234" t="n"/>
    </row>
    <row r="92" ht="13.5" customHeight="1" s="150">
      <c r="C92" s="228" t="inlineStr">
        <is>
          <t>Total FTE</t>
        </is>
      </c>
      <c r="D92" s="236">
        <f>[8]Consolidated!D92</f>
        <v/>
      </c>
      <c r="E92" s="236">
        <f>[8]Consolidated!E92</f>
        <v/>
      </c>
      <c r="F92" s="236">
        <f>[8]Consolidated!F92</f>
        <v/>
      </c>
      <c r="G92" s="236">
        <f>[8]Consolidated!G92</f>
        <v/>
      </c>
      <c r="H92" s="236">
        <f>[8]Consolidated!H92</f>
        <v/>
      </c>
      <c r="I92" s="236">
        <f>[8]Consolidated!I92</f>
        <v/>
      </c>
      <c r="J92" s="290" t="n"/>
      <c r="K92" s="185" t="n"/>
      <c r="L92" s="237">
        <f>[8]Consolidated!L92</f>
        <v/>
      </c>
      <c r="M92" s="236">
        <f>[8]Consolidated!M92</f>
        <v/>
      </c>
      <c r="N92" s="237" t="n"/>
    </row>
    <row r="93" ht="12.75" customHeight="1" s="150">
      <c r="C93" s="224" t="n"/>
      <c r="D93" s="231" t="n"/>
      <c r="E93" s="231" t="n"/>
      <c r="F93" s="231" t="n"/>
      <c r="G93" s="231" t="n"/>
      <c r="H93" s="231" t="n"/>
      <c r="I93" s="231" t="n"/>
      <c r="J93" s="232" t="n"/>
      <c r="K93" s="185" t="n"/>
      <c r="L93" s="233" t="n"/>
      <c r="M93" s="231" t="n"/>
      <c r="N93" s="234" t="n"/>
    </row>
    <row r="94" ht="12.75" customHeight="1" s="150">
      <c r="C94" s="224" t="inlineStr">
        <is>
          <t>Salaries</t>
        </is>
      </c>
      <c r="D94" s="231">
        <f>([8]Consolidated!D94)*(1/0.79941)</f>
        <v/>
      </c>
      <c r="E94" s="231">
        <f>([8]Consolidated!E94)*(1/0.79941)</f>
        <v/>
      </c>
      <c r="F94" s="231">
        <f>([8]Consolidated!F94)*(1/0.79941)</f>
        <v/>
      </c>
      <c r="G94" s="231">
        <f>([8]Consolidated!G94)*(1/0.79941)</f>
        <v/>
      </c>
      <c r="H94" s="231">
        <f>([8]Consolidated!H94)*(1/0.79941)</f>
        <v/>
      </c>
      <c r="I94" s="231">
        <f>([8]Consolidated!I94)*(1/0.79941)</f>
        <v/>
      </c>
      <c r="J94" s="233">
        <f>([8]Consolidated!J94)*(1/0.79941)</f>
        <v/>
      </c>
      <c r="K94" s="185" t="n"/>
      <c r="L94" s="233">
        <f>([8]Consolidated!L94)*(1/0.79941)</f>
        <v/>
      </c>
      <c r="M94" s="231">
        <f>([8]Consolidated!M94)*(1/0.79941)</f>
        <v/>
      </c>
      <c r="N94" s="234">
        <f>([8]Consolidated!N94)*(1/0.79941)</f>
        <v/>
      </c>
    </row>
    <row r="95" ht="12.75" customHeight="1" s="150">
      <c r="C95" s="224" t="inlineStr">
        <is>
          <t>Bonuses</t>
        </is>
      </c>
      <c r="D95" s="231">
        <f>([8]Consolidated!D95)*(1/0.79941)</f>
        <v/>
      </c>
      <c r="E95" s="231">
        <f>([8]Consolidated!E95)*(1/0.79941)</f>
        <v/>
      </c>
      <c r="F95" s="231">
        <f>([8]Consolidated!F95)*(1/0.79941)</f>
        <v/>
      </c>
      <c r="G95" s="231">
        <f>([8]Consolidated!G95)*(1/0.79941)</f>
        <v/>
      </c>
      <c r="H95" s="231">
        <f>([8]Consolidated!H95)*(1/0.79941)</f>
        <v/>
      </c>
      <c r="I95" s="231">
        <f>([8]Consolidated!I95)*(1/0.79941)</f>
        <v/>
      </c>
      <c r="J95" s="233">
        <f>([8]Consolidated!J95)*(1/0.79941)</f>
        <v/>
      </c>
      <c r="K95" s="185" t="n"/>
      <c r="L95" s="233">
        <f>([8]Consolidated!L95)*(1/0.79941)</f>
        <v/>
      </c>
      <c r="M95" s="231">
        <f>([8]Consolidated!M95)*(1/0.79941)</f>
        <v/>
      </c>
      <c r="N95" s="234">
        <f>([8]Consolidated!N95)*(1/0.79941)</f>
        <v/>
      </c>
    </row>
    <row r="96" ht="12.75" customHeight="1" s="150">
      <c r="C96" s="224" t="inlineStr">
        <is>
          <t>Third party staff, ex IT</t>
        </is>
      </c>
      <c r="D96" s="231">
        <f>([8]Consolidated!D96)*(1/0.79941)</f>
        <v/>
      </c>
      <c r="E96" s="231">
        <f>([8]Consolidated!E96)*(1/0.79941)</f>
        <v/>
      </c>
      <c r="F96" s="231">
        <f>([8]Consolidated!F96)*(1/0.79941)</f>
        <v/>
      </c>
      <c r="G96" s="231">
        <f>([8]Consolidated!G96)*(1/0.79941)</f>
        <v/>
      </c>
      <c r="H96" s="231">
        <f>([8]Consolidated!H96)*(1/0.79941)</f>
        <v/>
      </c>
      <c r="I96" s="231">
        <f>([8]Consolidated!I96)*(1/0.79941)</f>
        <v/>
      </c>
      <c r="J96" s="233">
        <f>([8]Consolidated!J96)*(1/0.79941)</f>
        <v/>
      </c>
      <c r="K96" s="185" t="n"/>
      <c r="L96" s="233">
        <f>([8]Consolidated!L96)*(1/0.79941)</f>
        <v/>
      </c>
      <c r="M96" s="231">
        <f>([8]Consolidated!M96)*(1/0.79941)</f>
        <v/>
      </c>
      <c r="N96" s="234">
        <f>([8]Consolidated!N96)*(1/0.79941)</f>
        <v/>
      </c>
    </row>
    <row r="97" ht="12.75" customHeight="1" s="150">
      <c r="C97" s="224" t="inlineStr">
        <is>
          <t>Third party IT staff</t>
        </is>
      </c>
      <c r="D97" s="231">
        <f>([8]Consolidated!D97)*(1/0.79941)</f>
        <v/>
      </c>
      <c r="E97" s="231">
        <f>([8]Consolidated!E97)*(1/0.79941)</f>
        <v/>
      </c>
      <c r="F97" s="231">
        <f>([8]Consolidated!F97)*(1/0.79941)</f>
        <v/>
      </c>
      <c r="G97" s="231">
        <f>([8]Consolidated!G97)*(1/0.79941)</f>
        <v/>
      </c>
      <c r="H97" s="231">
        <f>([8]Consolidated!H97)*(1/0.79941)</f>
        <v/>
      </c>
      <c r="I97" s="231">
        <f>([8]Consolidated!I97)*(1/0.79941)</f>
        <v/>
      </c>
      <c r="J97" s="233">
        <f>([8]Consolidated!J97)*(1/0.79941)</f>
        <v/>
      </c>
      <c r="K97" s="185" t="n"/>
      <c r="L97" s="233">
        <f>([8]Consolidated!L97)*(1/0.79941)</f>
        <v/>
      </c>
      <c r="M97" s="231">
        <f>([8]Consolidated!M97)*(1/0.79941)</f>
        <v/>
      </c>
      <c r="N97" s="234">
        <f>([8]Consolidated!N97)*(1/0.79941)</f>
        <v/>
      </c>
    </row>
    <row r="98" ht="12.75" customHeight="1" s="150">
      <c r="C98" s="224" t="inlineStr">
        <is>
          <t>Employee education</t>
        </is>
      </c>
      <c r="D98" s="231">
        <f>([8]Consolidated!D98)*(1/0.79941)</f>
        <v/>
      </c>
      <c r="E98" s="231">
        <f>([8]Consolidated!E98)*(1/0.79941)</f>
        <v/>
      </c>
      <c r="F98" s="231">
        <f>([8]Consolidated!F98)*(1/0.79941)</f>
        <v/>
      </c>
      <c r="G98" s="231">
        <f>([8]Consolidated!G98)*(1/0.79941)</f>
        <v/>
      </c>
      <c r="H98" s="231">
        <f>([8]Consolidated!H98)*(1/0.79941)</f>
        <v/>
      </c>
      <c r="I98" s="231">
        <f>([8]Consolidated!I98)*(1/0.79941)</f>
        <v/>
      </c>
      <c r="J98" s="233">
        <f>([8]Consolidated!J98)*(1/0.79941)</f>
        <v/>
      </c>
      <c r="K98" s="185" t="n"/>
      <c r="L98" s="233">
        <f>([8]Consolidated!L98)*(1/0.79941)</f>
        <v/>
      </c>
      <c r="M98" s="231">
        <f>([8]Consolidated!M98)*(1/0.79941)</f>
        <v/>
      </c>
      <c r="N98" s="234">
        <f>([8]Consolidated!N98)*(1/0.79941)</f>
        <v/>
      </c>
    </row>
    <row r="99" ht="12.75" customHeight="1" s="150">
      <c r="C99" s="224" t="inlineStr">
        <is>
          <t>Other staff expenses</t>
        </is>
      </c>
      <c r="D99" s="231">
        <f>([8]Consolidated!D99)*(1/0.79941)</f>
        <v/>
      </c>
      <c r="E99" s="231">
        <f>([8]Consolidated!E99)*(1/0.79941)</f>
        <v/>
      </c>
      <c r="F99" s="231">
        <f>([8]Consolidated!F99)*(1/0.79941)</f>
        <v/>
      </c>
      <c r="G99" s="231">
        <f>([8]Consolidated!G99)*(1/0.79941)</f>
        <v/>
      </c>
      <c r="H99" s="231">
        <f>([8]Consolidated!H99)*(1/0.79941)</f>
        <v/>
      </c>
      <c r="I99" s="231">
        <f>([8]Consolidated!I99)*(1/0.79941)</f>
        <v/>
      </c>
      <c r="J99" s="235">
        <f>([8]Consolidated!J99)*(1/0.79941)</f>
        <v/>
      </c>
      <c r="K99" s="185" t="n"/>
      <c r="L99" s="233">
        <f>([8]Consolidated!L99)*(1/0.79941)</f>
        <v/>
      </c>
      <c r="M99" s="231">
        <f>([8]Consolidated!M99)*(1/0.79941)</f>
        <v/>
      </c>
      <c r="N99" s="234">
        <f>([8]Consolidated!N99)*(1/0.79941)</f>
        <v/>
      </c>
    </row>
    <row r="100" ht="13.5" customHeight="1" s="150">
      <c r="C100" s="228" t="inlineStr">
        <is>
          <t>Staff expenses</t>
        </is>
      </c>
      <c r="D100" s="236">
        <f>([8]Consolidated!D100)*(1/0.79941)</f>
        <v/>
      </c>
      <c r="E100" s="236">
        <f>([8]Consolidated!E100)*(1/0.79941)</f>
        <v/>
      </c>
      <c r="F100" s="236">
        <f>([8]Consolidated!F100)*(1/0.79941)</f>
        <v/>
      </c>
      <c r="G100" s="236">
        <f>([8]Consolidated!G100)*(1/0.79941)</f>
        <v/>
      </c>
      <c r="H100" s="236">
        <f>([8]Consolidated!H100)*(1/0.79941)</f>
        <v/>
      </c>
      <c r="I100" s="236">
        <f>([8]Consolidated!I100)*(1/0.79941)</f>
        <v/>
      </c>
      <c r="J100" s="237">
        <f>([8]Consolidated!J100)*(1/0.79941)</f>
        <v/>
      </c>
      <c r="K100" s="185" t="n"/>
      <c r="L100" s="237">
        <f>([8]Consolidated!L100)*(1/0.79941)</f>
        <v/>
      </c>
      <c r="M100" s="236">
        <f>([8]Consolidated!M100)*(1/0.79941)</f>
        <v/>
      </c>
      <c r="N100" s="237">
        <f>([8]Consolidated!N100)*(1/0.79941)</f>
        <v/>
      </c>
    </row>
    <row r="101" ht="12.75" customHeight="1" s="150">
      <c r="C101" s="224" t="inlineStr">
        <is>
          <t>Hardware expenses</t>
        </is>
      </c>
      <c r="D101" s="231">
        <f>([8]Consolidated!D101)*(1/0.79941)</f>
        <v/>
      </c>
      <c r="E101" s="231">
        <f>([8]Consolidated!E101)*(1/0.79941)</f>
        <v/>
      </c>
      <c r="F101" s="231">
        <f>([8]Consolidated!F101)*(1/0.79941)</f>
        <v/>
      </c>
      <c r="G101" s="231">
        <f>([8]Consolidated!G101)*(1/0.79941)</f>
        <v/>
      </c>
      <c r="H101" s="231">
        <f>([8]Consolidated!H101)*(1/0.79941)</f>
        <v/>
      </c>
      <c r="I101" s="231">
        <f>([8]Consolidated!I101)*(1/0.79941)</f>
        <v/>
      </c>
      <c r="J101" s="233">
        <f>([8]Consolidated!J101)*(1/0.79941)</f>
        <v/>
      </c>
      <c r="K101" s="185" t="n"/>
      <c r="L101" s="233">
        <f>([8]Consolidated!L101)*(1/0.79941)</f>
        <v/>
      </c>
      <c r="M101" s="231">
        <f>([8]Consolidated!M101)*(1/0.79941)</f>
        <v/>
      </c>
      <c r="N101" s="234">
        <f>([8]Consolidated!N101)*(1/0.79941)</f>
        <v/>
      </c>
    </row>
    <row r="102" ht="12.75" customHeight="1" s="150">
      <c r="C102" s="224" t="inlineStr">
        <is>
          <t>Leasing/renting hardware</t>
        </is>
      </c>
      <c r="D102" s="231">
        <f>([8]Consolidated!D102)*(1/0.79941)</f>
        <v/>
      </c>
      <c r="E102" s="231">
        <f>([8]Consolidated!E102)*(1/0.79941)</f>
        <v/>
      </c>
      <c r="F102" s="231">
        <f>([8]Consolidated!F102)*(1/0.79941)</f>
        <v/>
      </c>
      <c r="G102" s="231">
        <f>([8]Consolidated!G102)*(1/0.79941)</f>
        <v/>
      </c>
      <c r="H102" s="231">
        <f>([8]Consolidated!H102)*(1/0.79941)</f>
        <v/>
      </c>
      <c r="I102" s="231">
        <f>([8]Consolidated!I102)*(1/0.79941)</f>
        <v/>
      </c>
      <c r="J102" s="233">
        <f>([8]Consolidated!J102)*(1/0.79941)</f>
        <v/>
      </c>
      <c r="K102" s="185" t="n"/>
      <c r="L102" s="233">
        <f>([8]Consolidated!L102)*(1/0.79941)</f>
        <v/>
      </c>
      <c r="M102" s="231">
        <f>([8]Consolidated!M102)*(1/0.79941)</f>
        <v/>
      </c>
      <c r="N102" s="234">
        <f>([8]Consolidated!N102)*(1/0.79941)</f>
        <v/>
      </c>
    </row>
    <row r="103" ht="12.75" customHeight="1" s="150">
      <c r="C103" s="224" t="inlineStr">
        <is>
          <t>Software expenses</t>
        </is>
      </c>
      <c r="D103" s="231">
        <f>([8]Consolidated!D103)*(1/0.79941)</f>
        <v/>
      </c>
      <c r="E103" s="231">
        <f>([8]Consolidated!E103)*(1/0.79941)</f>
        <v/>
      </c>
      <c r="F103" s="231">
        <f>([8]Consolidated!F103)*(1/0.79941)</f>
        <v/>
      </c>
      <c r="G103" s="231">
        <f>([8]Consolidated!G103)*(1/0.79941)</f>
        <v/>
      </c>
      <c r="H103" s="231">
        <f>([8]Consolidated!H103)*(1/0.79941)</f>
        <v/>
      </c>
      <c r="I103" s="231">
        <f>([8]Consolidated!I103)*(1/0.79941)</f>
        <v/>
      </c>
      <c r="J103" s="233">
        <f>([8]Consolidated!J103)*(1/0.79941)</f>
        <v/>
      </c>
      <c r="K103" s="185" t="n"/>
      <c r="L103" s="233">
        <f>([8]Consolidated!L103)*(1/0.79941)</f>
        <v/>
      </c>
      <c r="M103" s="231">
        <f>([8]Consolidated!M103)*(1/0.79941)</f>
        <v/>
      </c>
      <c r="N103" s="234">
        <f>([8]Consolidated!N103)*(1/0.79941)</f>
        <v/>
      </c>
    </row>
    <row r="104" ht="12.75" customHeight="1" s="150">
      <c r="C104" s="224" t="inlineStr">
        <is>
          <t>Leasing/renting/licenses sw</t>
        </is>
      </c>
      <c r="D104" s="231">
        <f>([8]Consolidated!D104)*(1/0.79941)</f>
        <v/>
      </c>
      <c r="E104" s="231">
        <f>([8]Consolidated!E104)*(1/0.79941)</f>
        <v/>
      </c>
      <c r="F104" s="231">
        <f>([8]Consolidated!F104)*(1/0.79941)</f>
        <v/>
      </c>
      <c r="G104" s="231">
        <f>([8]Consolidated!G104)*(1/0.79941)</f>
        <v/>
      </c>
      <c r="H104" s="231">
        <f>([8]Consolidated!H104)*(1/0.79941)</f>
        <v/>
      </c>
      <c r="I104" s="231">
        <f>([8]Consolidated!I104)*(1/0.79941)</f>
        <v/>
      </c>
      <c r="J104" s="233">
        <f>([8]Consolidated!J104)*(1/0.79941)</f>
        <v/>
      </c>
      <c r="K104" s="185" t="n"/>
      <c r="L104" s="233">
        <f>([8]Consolidated!L104)*(1/0.79941)</f>
        <v/>
      </c>
      <c r="M104" s="231">
        <f>([8]Consolidated!M104)*(1/0.79941)</f>
        <v/>
      </c>
      <c r="N104" s="234">
        <f>([8]Consolidated!N104)*(1/0.79941)</f>
        <v/>
      </c>
    </row>
    <row r="105" ht="12.75" customHeight="1" s="150">
      <c r="C105" s="224" t="inlineStr">
        <is>
          <t>Depreciation hardware</t>
        </is>
      </c>
      <c r="D105" s="231">
        <f>([8]Consolidated!D105)*(1/0.79941)</f>
        <v/>
      </c>
      <c r="E105" s="231">
        <f>([8]Consolidated!E105)*(1/0.79941)</f>
        <v/>
      </c>
      <c r="F105" s="231">
        <f>([8]Consolidated!F105)*(1/0.79941)</f>
        <v/>
      </c>
      <c r="G105" s="231">
        <f>([8]Consolidated!G105)*(1/0.79941)</f>
        <v/>
      </c>
      <c r="H105" s="231">
        <f>([8]Consolidated!H105)*(1/0.79941)</f>
        <v/>
      </c>
      <c r="I105" s="231">
        <f>([8]Consolidated!I105)*(1/0.79941)</f>
        <v/>
      </c>
      <c r="J105" s="233">
        <f>([8]Consolidated!J105)*(1/0.79941)</f>
        <v/>
      </c>
      <c r="K105" s="185" t="n"/>
      <c r="L105" s="233">
        <f>([8]Consolidated!L105)*(1/0.79941)</f>
        <v/>
      </c>
      <c r="M105" s="231">
        <f>([8]Consolidated!M105)*(1/0.79941)</f>
        <v/>
      </c>
      <c r="N105" s="234">
        <f>([8]Consolidated!N105)*(1/0.79941)</f>
        <v/>
      </c>
    </row>
    <row r="106" ht="12.75" customHeight="1" s="150">
      <c r="C106" s="224" t="inlineStr">
        <is>
          <t>Depreciation software</t>
        </is>
      </c>
      <c r="D106" s="231">
        <f>([8]Consolidated!D106)*(1/0.79941)</f>
        <v/>
      </c>
      <c r="E106" s="231">
        <f>([8]Consolidated!E106)*(1/0.79941)</f>
        <v/>
      </c>
      <c r="F106" s="231">
        <f>([8]Consolidated!F106)*(1/0.79941)</f>
        <v/>
      </c>
      <c r="G106" s="231">
        <f>([8]Consolidated!G106)*(1/0.79941)</f>
        <v/>
      </c>
      <c r="H106" s="231">
        <f>([8]Consolidated!H106)*(1/0.79941)</f>
        <v/>
      </c>
      <c r="I106" s="231">
        <f>([8]Consolidated!I106)*(1/0.79941)</f>
        <v/>
      </c>
      <c r="J106" s="233">
        <f>([8]Consolidated!J106)*(1/0.79941)</f>
        <v/>
      </c>
      <c r="K106" s="185" t="n"/>
      <c r="L106" s="233">
        <f>([8]Consolidated!L106)*(1/0.79941)</f>
        <v/>
      </c>
      <c r="M106" s="231">
        <f>([8]Consolidated!M106)*(1/0.79941)</f>
        <v/>
      </c>
      <c r="N106" s="234">
        <f>([8]Consolidated!N106)*(1/0.79941)</f>
        <v/>
      </c>
    </row>
    <row r="107" ht="12.75" customHeight="1" s="150">
      <c r="C107" s="224" t="inlineStr">
        <is>
          <t>Outsourcing IT activities</t>
        </is>
      </c>
      <c r="D107" s="231">
        <f>([8]Consolidated!D107)*(1/0.79941)</f>
        <v/>
      </c>
      <c r="E107" s="231">
        <f>([8]Consolidated!E107)*(1/0.79941)</f>
        <v/>
      </c>
      <c r="F107" s="231">
        <f>([8]Consolidated!F107)*(1/0.79941)</f>
        <v/>
      </c>
      <c r="G107" s="231">
        <f>([8]Consolidated!G107)*(1/0.79941)</f>
        <v/>
      </c>
      <c r="H107" s="231">
        <f>([8]Consolidated!H107)*(1/0.79941)</f>
        <v/>
      </c>
      <c r="I107" s="231">
        <f>([8]Consolidated!I107)*(1/0.79941)</f>
        <v/>
      </c>
      <c r="J107" s="233">
        <f>([8]Consolidated!J107)*(1/0.79941)</f>
        <v/>
      </c>
      <c r="K107" s="185" t="n"/>
      <c r="L107" s="233">
        <f>([8]Consolidated!L107)*(1/0.79941)</f>
        <v/>
      </c>
      <c r="M107" s="231">
        <f>([8]Consolidated!M107)*(1/0.79941)</f>
        <v/>
      </c>
      <c r="N107" s="234">
        <f>([8]Consolidated!N107)*(1/0.79941)</f>
        <v/>
      </c>
    </row>
    <row r="108" ht="12.75" customHeight="1" s="150">
      <c r="C108" s="224" t="inlineStr">
        <is>
          <t>Other IT expenses</t>
        </is>
      </c>
      <c r="D108" s="231">
        <f>([8]Consolidated!D108)*(1/0.79941)</f>
        <v/>
      </c>
      <c r="E108" s="231">
        <f>([8]Consolidated!E108)*(1/0.79941)</f>
        <v/>
      </c>
      <c r="F108" s="231">
        <f>([8]Consolidated!F108)*(1/0.79941)</f>
        <v/>
      </c>
      <c r="G108" s="231">
        <f>([8]Consolidated!G108)*(1/0.79941)</f>
        <v/>
      </c>
      <c r="H108" s="231">
        <f>([8]Consolidated!H108)*(1/0.79941)</f>
        <v/>
      </c>
      <c r="I108" s="231">
        <f>([8]Consolidated!I108)*(1/0.79941)</f>
        <v/>
      </c>
      <c r="J108" s="233">
        <f>([8]Consolidated!J108)*(1/0.79941)</f>
        <v/>
      </c>
      <c r="K108" s="185" t="n"/>
      <c r="L108" s="233">
        <f>([8]Consolidated!L108)*(1/0.79941)</f>
        <v/>
      </c>
      <c r="M108" s="231">
        <f>([8]Consolidated!M108)*(1/0.79941)</f>
        <v/>
      </c>
      <c r="N108" s="234">
        <f>([8]Consolidated!N108)*(1/0.79941)</f>
        <v/>
      </c>
    </row>
    <row r="109" ht="13.5" customHeight="1" s="150">
      <c r="C109" s="228" t="inlineStr">
        <is>
          <t>EDP expenses</t>
        </is>
      </c>
      <c r="D109" s="236">
        <f>([8]Consolidated!D109)*(1/0.79941)</f>
        <v/>
      </c>
      <c r="E109" s="236">
        <f>([8]Consolidated!E109)*(1/0.79941)</f>
        <v/>
      </c>
      <c r="F109" s="236">
        <f>([8]Consolidated!F109)*(1/0.79941)</f>
        <v/>
      </c>
      <c r="G109" s="236">
        <f>([8]Consolidated!G109)*(1/0.79941)</f>
        <v/>
      </c>
      <c r="H109" s="236">
        <f>([8]Consolidated!H109)*(1/0.79941)</f>
        <v/>
      </c>
      <c r="I109" s="236">
        <f>([8]Consolidated!I109)*(1/0.79941)</f>
        <v/>
      </c>
      <c r="J109" s="237">
        <f>([8]Consolidated!J109)*(1/0.79941)</f>
        <v/>
      </c>
      <c r="K109" s="185" t="n"/>
      <c r="L109" s="237">
        <f>([8]Consolidated!L109)*(1/0.79941)</f>
        <v/>
      </c>
      <c r="M109" s="236">
        <f>([8]Consolidated!M109)*(1/0.79941)</f>
        <v/>
      </c>
      <c r="N109" s="237">
        <f>([8]Consolidated!N109)*(1/0.79941)</f>
        <v/>
      </c>
    </row>
    <row r="110" ht="12.75" customHeight="1" s="150">
      <c r="C110" s="224" t="inlineStr">
        <is>
          <t>Telecom expenses</t>
        </is>
      </c>
      <c r="D110" s="231">
        <f>([8]Consolidated!D110)*(1/0.79941)</f>
        <v/>
      </c>
      <c r="E110" s="231">
        <f>([8]Consolidated!E110)*(1/0.79941)</f>
        <v/>
      </c>
      <c r="F110" s="231">
        <f>([8]Consolidated!F110)*(1/0.79941)</f>
        <v/>
      </c>
      <c r="G110" s="231">
        <f>([8]Consolidated!G110)*(1/0.79941)</f>
        <v/>
      </c>
      <c r="H110" s="231">
        <f>([8]Consolidated!H110)*(1/0.79941)</f>
        <v/>
      </c>
      <c r="I110" s="231">
        <f>([8]Consolidated!I110)*(1/0.79941)</f>
        <v/>
      </c>
      <c r="J110" s="233">
        <f>([8]Consolidated!J110)*(1/0.79941)</f>
        <v/>
      </c>
      <c r="K110" s="185" t="n"/>
      <c r="L110" s="233">
        <f>([8]Consolidated!L110)*(1/0.79941)</f>
        <v/>
      </c>
      <c r="M110" s="231">
        <f>([8]Consolidated!M110)*(1/0.79941)</f>
        <v/>
      </c>
      <c r="N110" s="234">
        <f>([8]Consolidated!N110)*(1/0.79941)</f>
        <v/>
      </c>
    </row>
    <row r="111" ht="12.75" customHeight="1" s="150">
      <c r="C111" s="224" t="inlineStr">
        <is>
          <t>Office equipment and supplies</t>
        </is>
      </c>
      <c r="D111" s="231">
        <f>([8]Consolidated!D111)*(1/0.79941)</f>
        <v/>
      </c>
      <c r="E111" s="231">
        <f>([8]Consolidated!E111)*(1/0.79941)</f>
        <v/>
      </c>
      <c r="F111" s="231">
        <f>([8]Consolidated!F111)*(1/0.79941)</f>
        <v/>
      </c>
      <c r="G111" s="231">
        <f>([8]Consolidated!G111)*(1/0.79941)</f>
        <v/>
      </c>
      <c r="H111" s="231">
        <f>([8]Consolidated!H111)*(1/0.79941)</f>
        <v/>
      </c>
      <c r="I111" s="231">
        <f>([8]Consolidated!I111)*(1/0.79941)</f>
        <v/>
      </c>
      <c r="J111" s="233">
        <f>([8]Consolidated!J111)*(1/0.79941)</f>
        <v/>
      </c>
      <c r="K111" s="185" t="n"/>
      <c r="L111" s="233">
        <f>([8]Consolidated!L111)*(1/0.79941)</f>
        <v/>
      </c>
      <c r="M111" s="231">
        <f>([8]Consolidated!M111)*(1/0.79941)</f>
        <v/>
      </c>
      <c r="N111" s="234">
        <f>([8]Consolidated!N111)*(1/0.79941)</f>
        <v/>
      </c>
    </row>
    <row r="112" ht="12.75" customHeight="1" s="150">
      <c r="C112" s="224" t="inlineStr">
        <is>
          <t>Accomodation expenses</t>
        </is>
      </c>
      <c r="D112" s="231">
        <f>([8]Consolidated!D112)*(1/0.79941)</f>
        <v/>
      </c>
      <c r="E112" s="231">
        <f>([8]Consolidated!E112)*(1/0.79941)</f>
        <v/>
      </c>
      <c r="F112" s="231">
        <f>([8]Consolidated!F112)*(1/0.79941)</f>
        <v/>
      </c>
      <c r="G112" s="231">
        <f>([8]Consolidated!G112)*(1/0.79941)</f>
        <v/>
      </c>
      <c r="H112" s="231">
        <f>([8]Consolidated!H112)*(1/0.79941)</f>
        <v/>
      </c>
      <c r="I112" s="231">
        <f>([8]Consolidated!I112)*(1/0.79941)</f>
        <v/>
      </c>
      <c r="J112" s="233">
        <f>([8]Consolidated!J112)*(1/0.79941)</f>
        <v/>
      </c>
      <c r="K112" s="185" t="n"/>
      <c r="L112" s="233">
        <f>([8]Consolidated!L112)*(1/0.79941)</f>
        <v/>
      </c>
      <c r="M112" s="231">
        <f>([8]Consolidated!M112)*(1/0.79941)</f>
        <v/>
      </c>
      <c r="N112" s="234">
        <f>([8]Consolidated!N112)*(1/0.79941)</f>
        <v/>
      </c>
    </row>
    <row r="113" ht="12.75" customHeight="1" s="150">
      <c r="C113" s="224" t="inlineStr">
        <is>
          <t>Travel costs</t>
        </is>
      </c>
      <c r="D113" s="231">
        <f>([8]Consolidated!D113)*(1/0.79941)</f>
        <v/>
      </c>
      <c r="E113" s="231">
        <f>([8]Consolidated!E113)*(1/0.79941)</f>
        <v/>
      </c>
      <c r="F113" s="231">
        <f>([8]Consolidated!F113)*(1/0.79941)</f>
        <v/>
      </c>
      <c r="G113" s="231">
        <f>([8]Consolidated!G113)*(1/0.79941)</f>
        <v/>
      </c>
      <c r="H113" s="231">
        <f>([8]Consolidated!H113)*(1/0.79941)</f>
        <v/>
      </c>
      <c r="I113" s="231">
        <f>([8]Consolidated!I113)*(1/0.79941)</f>
        <v/>
      </c>
      <c r="J113" s="233">
        <f>([8]Consolidated!J113)*(1/0.79941)</f>
        <v/>
      </c>
      <c r="K113" s="185" t="n"/>
      <c r="L113" s="233">
        <f>([8]Consolidated!L113)*(1/0.79941)</f>
        <v/>
      </c>
      <c r="M113" s="231">
        <f>([8]Consolidated!M113)*(1/0.79941)</f>
        <v/>
      </c>
      <c r="N113" s="234">
        <f>([8]Consolidated!N113)*(1/0.79941)</f>
        <v/>
      </c>
    </row>
    <row r="114" ht="12.75" customHeight="1" s="150">
      <c r="C114" s="224" t="inlineStr">
        <is>
          <t>Postal and freight charges</t>
        </is>
      </c>
      <c r="D114" s="231">
        <f>([8]Consolidated!D114)*(1/0.79941)</f>
        <v/>
      </c>
      <c r="E114" s="231">
        <f>([8]Consolidated!E114)*(1/0.79941)</f>
        <v/>
      </c>
      <c r="F114" s="231">
        <f>([8]Consolidated!F114)*(1/0.79941)</f>
        <v/>
      </c>
      <c r="G114" s="231">
        <f>([8]Consolidated!G114)*(1/0.79941)</f>
        <v/>
      </c>
      <c r="H114" s="231">
        <f>([8]Consolidated!H114)*(1/0.79941)</f>
        <v/>
      </c>
      <c r="I114" s="231">
        <f>([8]Consolidated!I114)*(1/0.79941)</f>
        <v/>
      </c>
      <c r="J114" s="233">
        <f>([8]Consolidated!J114)*(1/0.79941)</f>
        <v/>
      </c>
      <c r="K114" s="185" t="n"/>
      <c r="L114" s="233">
        <f>([8]Consolidated!L114)*(1/0.79941)</f>
        <v/>
      </c>
      <c r="M114" s="231">
        <f>([8]Consolidated!M114)*(1/0.79941)</f>
        <v/>
      </c>
      <c r="N114" s="234">
        <f>([8]Consolidated!N114)*(1/0.79941)</f>
        <v/>
      </c>
    </row>
    <row r="115" ht="12.75" customHeight="1" s="150">
      <c r="C115" s="224" t="inlineStr">
        <is>
          <t>Prof serv and ext advisory fee</t>
        </is>
      </c>
      <c r="D115" s="231">
        <f>([8]Consolidated!D115)*(1/0.79941)</f>
        <v/>
      </c>
      <c r="E115" s="231">
        <f>([8]Consolidated!E115)*(1/0.79941)</f>
        <v/>
      </c>
      <c r="F115" s="231">
        <f>([8]Consolidated!F115)*(1/0.79941)</f>
        <v/>
      </c>
      <c r="G115" s="231">
        <f>([8]Consolidated!G115)*(1/0.79941)</f>
        <v/>
      </c>
      <c r="H115" s="231">
        <f>([8]Consolidated!H115)*(1/0.79941)</f>
        <v/>
      </c>
      <c r="I115" s="231">
        <f>([8]Consolidated!I115)*(1/0.79941)</f>
        <v/>
      </c>
      <c r="J115" s="233">
        <f>([8]Consolidated!J115)*(1/0.79941)</f>
        <v/>
      </c>
      <c r="K115" s="185" t="n"/>
      <c r="L115" s="233">
        <f>([8]Consolidated!L115)*(1/0.79941)</f>
        <v/>
      </c>
      <c r="M115" s="231">
        <f>([8]Consolidated!M115)*(1/0.79941)</f>
        <v/>
      </c>
      <c r="N115" s="234">
        <f>([8]Consolidated!N115)*(1/0.79941)</f>
        <v/>
      </c>
    </row>
    <row r="116" ht="12.75" customHeight="1" s="150">
      <c r="C116" s="224" t="inlineStr">
        <is>
          <t>Payment transfer expenses</t>
        </is>
      </c>
      <c r="D116" s="231">
        <f>([8]Consolidated!D116)*(1/0.79941)</f>
        <v/>
      </c>
      <c r="E116" s="231">
        <f>([8]Consolidated!E116)*(1/0.79941)</f>
        <v/>
      </c>
      <c r="F116" s="231">
        <f>([8]Consolidated!F116)*(1/0.79941)</f>
        <v/>
      </c>
      <c r="G116" s="231">
        <f>([8]Consolidated!G116)*(1/0.79941)</f>
        <v/>
      </c>
      <c r="H116" s="231">
        <f>([8]Consolidated!H116)*(1/0.79941)</f>
        <v/>
      </c>
      <c r="I116" s="231">
        <f>([8]Consolidated!I116)*(1/0.79941)</f>
        <v/>
      </c>
      <c r="J116" s="233">
        <f>([8]Consolidated!J116)*(1/0.79941)</f>
        <v/>
      </c>
      <c r="K116" s="185" t="n"/>
      <c r="L116" s="233">
        <f>([8]Consolidated!L116)*(1/0.79941)</f>
        <v/>
      </c>
      <c r="M116" s="231">
        <f>([8]Consolidated!M116)*(1/0.79941)</f>
        <v/>
      </c>
      <c r="N116" s="234">
        <f>([8]Consolidated!N116)*(1/0.79941)</f>
        <v/>
      </c>
    </row>
    <row r="117" ht="12.75" customHeight="1" s="150">
      <c r="C117" s="224" t="inlineStr">
        <is>
          <t>Other costs</t>
        </is>
      </c>
      <c r="D117" s="231">
        <f>([8]Consolidated!D117)*(1/0.79941)</f>
        <v/>
      </c>
      <c r="E117" s="231">
        <f>([8]Consolidated!E117)*(1/0.79941)</f>
        <v/>
      </c>
      <c r="F117" s="231">
        <f>([8]Consolidated!F117)*(1/0.79941)</f>
        <v/>
      </c>
      <c r="G117" s="231">
        <f>([8]Consolidated!G117)*(1/0.79941)</f>
        <v/>
      </c>
      <c r="H117" s="231">
        <f>([8]Consolidated!H117)*(1/0.79941)</f>
        <v/>
      </c>
      <c r="I117" s="231">
        <f>([8]Consolidated!I117)*(1/0.79941)</f>
        <v/>
      </c>
      <c r="J117" s="233">
        <f>([8]Consolidated!J117)*(1/0.79941)</f>
        <v/>
      </c>
      <c r="K117" s="185" t="n"/>
      <c r="L117" s="233">
        <f>([8]Consolidated!L117)*(1/0.79941)</f>
        <v/>
      </c>
      <c r="M117" s="231">
        <f>([8]Consolidated!M117)*(1/0.79941)</f>
        <v/>
      </c>
      <c r="N117" s="234">
        <f>([8]Consolidated!N117)*(1/0.79941)</f>
        <v/>
      </c>
    </row>
    <row r="118" ht="13.5" customHeight="1" s="150">
      <c r="C118" s="228" t="inlineStr">
        <is>
          <t>General expenses</t>
        </is>
      </c>
      <c r="D118" s="236">
        <f>([8]Consolidated!D118)*(1/0.79941)</f>
        <v/>
      </c>
      <c r="E118" s="236">
        <f>([8]Consolidated!E118)*(1/0.79941)</f>
        <v/>
      </c>
      <c r="F118" s="236">
        <f>([8]Consolidated!F118)*(1/0.79941)</f>
        <v/>
      </c>
      <c r="G118" s="236">
        <f>([8]Consolidated!G118)*(1/0.79941)</f>
        <v/>
      </c>
      <c r="H118" s="236">
        <f>([8]Consolidated!H118)*(1/0.79941)</f>
        <v/>
      </c>
      <c r="I118" s="236">
        <f>([8]Consolidated!I118)*(1/0.79941)</f>
        <v/>
      </c>
      <c r="J118" s="237">
        <f>([8]Consolidated!J118)*(1/0.79941)</f>
        <v/>
      </c>
      <c r="K118" s="185" t="n"/>
      <c r="L118" s="237">
        <f>([8]Consolidated!L118)*(1/0.79941)</f>
        <v/>
      </c>
      <c r="M118" s="236">
        <f>([8]Consolidated!M118)*(1/0.79941)</f>
        <v/>
      </c>
      <c r="N118" s="237">
        <f>([8]Consolidated!N118)*(1/0.79941)</f>
        <v/>
      </c>
    </row>
    <row r="119" ht="12.75" customHeight="1" s="150">
      <c r="C119" s="224" t="inlineStr">
        <is>
          <t>Own expenses</t>
        </is>
      </c>
      <c r="D119" s="231">
        <f>([8]Consolidated!D119)*(1/0.79941)</f>
        <v/>
      </c>
      <c r="E119" s="231">
        <f>([8]Consolidated!E119)*(1/0.79941)</f>
        <v/>
      </c>
      <c r="F119" s="231">
        <f>([8]Consolidated!F119)*(1/0.79941)</f>
        <v/>
      </c>
      <c r="G119" s="231">
        <f>([8]Consolidated!G119)*(1/0.79941)</f>
        <v/>
      </c>
      <c r="H119" s="231">
        <f>([8]Consolidated!H119)*(1/0.79941)</f>
        <v/>
      </c>
      <c r="I119" s="231">
        <f>([8]Consolidated!I119)*(1/0.79941)</f>
        <v/>
      </c>
      <c r="J119" s="233">
        <f>([8]Consolidated!J119)*(1/0.79941)</f>
        <v/>
      </c>
      <c r="K119" s="185" t="n"/>
      <c r="L119" s="233">
        <f>([8]Consolidated!L119)*(1/0.79941)</f>
        <v/>
      </c>
      <c r="M119" s="231">
        <f>([8]Consolidated!M119)*(1/0.79941)</f>
        <v/>
      </c>
      <c r="N119" s="238">
        <f>([8]Consolidated!N119)*(1/0.79941)</f>
        <v/>
      </c>
    </row>
    <row r="120" ht="12.75" customHeight="1" s="150">
      <c r="C120" s="224" t="inlineStr">
        <is>
          <t>Other expenses</t>
        </is>
      </c>
      <c r="D120" s="231">
        <f>([8]Consolidated!D120)*(1/0.79941)</f>
        <v/>
      </c>
      <c r="E120" s="231">
        <f>([8]Consolidated!E120)*(1/0.79941)</f>
        <v/>
      </c>
      <c r="F120" s="231">
        <f>([8]Consolidated!F120)*(1/0.79941)</f>
        <v/>
      </c>
      <c r="G120" s="231">
        <f>([8]Consolidated!G120)*(1/0.79941)</f>
        <v/>
      </c>
      <c r="H120" s="231">
        <f>([8]Consolidated!H120)*(1/0.79941)</f>
        <v/>
      </c>
      <c r="I120" s="231">
        <f>([8]Consolidated!I120)*(1/0.79941)</f>
        <v/>
      </c>
      <c r="J120" s="233">
        <f>([8]Consolidated!J120)*(1/0.79941)</f>
        <v/>
      </c>
      <c r="K120" s="185" t="n"/>
      <c r="L120" s="233">
        <f>([8]Consolidated!L120)*(1/0.79941)</f>
        <v/>
      </c>
      <c r="M120" s="231">
        <f>([8]Consolidated!M120)*(1/0.79941)</f>
        <v/>
      </c>
      <c r="N120" s="234">
        <f>([8]Consolidated!N120)*(1/0.79941)</f>
        <v/>
      </c>
    </row>
    <row r="121" ht="13.5" customHeight="1" s="150">
      <c r="C121" s="228" t="inlineStr">
        <is>
          <t xml:space="preserve">Operating expenses </t>
        </is>
      </c>
      <c r="D121" s="236">
        <f>([8]Consolidated!D121)*(1/0.79941)</f>
        <v/>
      </c>
      <c r="E121" s="236">
        <f>([8]Consolidated!E121)*(1/0.79941)</f>
        <v/>
      </c>
      <c r="F121" s="236">
        <f>([8]Consolidated!F121)*(1/0.79941)</f>
        <v/>
      </c>
      <c r="G121" s="236">
        <f>([8]Consolidated!G121)*(1/0.79941)</f>
        <v/>
      </c>
      <c r="H121" s="236">
        <f>([8]Consolidated!H121)*(1/0.79941)</f>
        <v/>
      </c>
      <c r="I121" s="236">
        <f>([8]Consolidated!I121)*(1/0.79941)</f>
        <v/>
      </c>
      <c r="J121" s="237">
        <f>([8]Consolidated!J121)*(1/0.79941)</f>
        <v/>
      </c>
      <c r="K121" s="185" t="n"/>
      <c r="L121" s="237">
        <f>([8]Consolidated!L121)*(1/0.79941)</f>
        <v/>
      </c>
      <c r="M121" s="236">
        <f>([8]Consolidated!M121)*(1/0.79941)</f>
        <v/>
      </c>
      <c r="N121" s="237">
        <f>([8]Consolidated!N121)*(1/0.79941)</f>
        <v/>
      </c>
    </row>
    <row r="122" ht="12.75" customHeight="1" s="150">
      <c r="C122" s="224" t="n"/>
      <c r="D122" s="231">
        <f>0*(1/0.79941)</f>
        <v/>
      </c>
      <c r="E122" s="231">
        <f>0*(1/0.79941)</f>
        <v/>
      </c>
      <c r="F122" s="231">
        <f>0*(1/0.79941)</f>
        <v/>
      </c>
      <c r="G122" s="231">
        <f>0*(1/0.79941)</f>
        <v/>
      </c>
      <c r="H122" s="231">
        <f>0*(1/0.79941)</f>
        <v/>
      </c>
      <c r="I122" s="231">
        <f>0*(1/0.79941)</f>
        <v/>
      </c>
      <c r="J122" s="239">
        <f>0*(1/0.79941)</f>
        <v/>
      </c>
      <c r="K122" s="185" t="n"/>
      <c r="L122" s="233">
        <f>0*(1/0.79941)</f>
        <v/>
      </c>
      <c r="M122" s="231">
        <f>0*(1/0.79941)</f>
        <v/>
      </c>
      <c r="N122" s="239">
        <f>0*(1/0.79941)</f>
        <v/>
      </c>
    </row>
    <row r="123" ht="12.75" customHeight="1" s="150">
      <c r="C123" s="224" t="inlineStr">
        <is>
          <t>HR &amp; Comms</t>
        </is>
      </c>
      <c r="D123" s="231">
        <f>([8]Consolidated!D123)*(1/0.79941)</f>
        <v/>
      </c>
      <c r="E123" s="231">
        <f>([8]Consolidated!E123)*(1/0.79941)</f>
        <v/>
      </c>
      <c r="F123" s="231">
        <f>([8]Consolidated!F123)*(1/0.79941)</f>
        <v/>
      </c>
      <c r="G123" s="231">
        <f>([8]Consolidated!G123)*(1/0.79941)</f>
        <v/>
      </c>
      <c r="H123" s="231">
        <f>([8]Consolidated!H123)*(1/0.79941)</f>
        <v/>
      </c>
      <c r="I123" s="231">
        <f>([8]Consolidated!I123)*(1/0.79941)</f>
        <v/>
      </c>
      <c r="J123" s="233">
        <f>([8]Consolidated!J123)*(1/0.79941)</f>
        <v/>
      </c>
      <c r="K123" s="185" t="n"/>
      <c r="L123" s="233">
        <f>([8]Consolidated!L123)*(1/0.79941)</f>
        <v/>
      </c>
      <c r="M123" s="231">
        <f>([8]Consolidated!M123)*(1/0.79941)</f>
        <v/>
      </c>
      <c r="N123" s="234">
        <f>([8]Consolidated!N123)*(1/0.79941)</f>
        <v/>
      </c>
    </row>
    <row r="124" ht="12.75" customHeight="1" s="150">
      <c r="C124" s="224" t="inlineStr">
        <is>
          <t>Finance &amp; Business Support</t>
        </is>
      </c>
      <c r="D124" s="231">
        <f>([8]Consolidated!D124)*(1/0.79941)</f>
        <v/>
      </c>
      <c r="E124" s="231">
        <f>([8]Consolidated!E124)*(1/0.79941)</f>
        <v/>
      </c>
      <c r="F124" s="231">
        <f>([8]Consolidated!F124)*(1/0.79941)</f>
        <v/>
      </c>
      <c r="G124" s="231">
        <f>([8]Consolidated!G124)*(1/0.79941)</f>
        <v/>
      </c>
      <c r="H124" s="231">
        <f>([8]Consolidated!H124)*(1/0.79941)</f>
        <v/>
      </c>
      <c r="I124" s="231">
        <f>([8]Consolidated!I124)*(1/0.79941)</f>
        <v/>
      </c>
      <c r="J124" s="233">
        <f>([8]Consolidated!J124)*(1/0.79941)</f>
        <v/>
      </c>
      <c r="K124" s="185" t="n"/>
      <c r="L124" s="233">
        <f>([8]Consolidated!L124)*(1/0.79941)</f>
        <v/>
      </c>
      <c r="M124" s="231">
        <f>([8]Consolidated!M124)*(1/0.79941)</f>
        <v/>
      </c>
      <c r="N124" s="234">
        <f>([8]Consolidated!N124)*(1/0.79941)</f>
        <v/>
      </c>
    </row>
    <row r="125" ht="12.75" customHeight="1" s="150">
      <c r="C125" s="224" t="inlineStr">
        <is>
          <t>IT alloc</t>
        </is>
      </c>
      <c r="D125" s="231">
        <f>([8]Consolidated!D125)*(1/0.79941)</f>
        <v/>
      </c>
      <c r="E125" s="231">
        <f>([8]Consolidated!E125)*(1/0.79941)</f>
        <v/>
      </c>
      <c r="F125" s="231">
        <f>([8]Consolidated!F125)*(1/0.79941)</f>
        <v/>
      </c>
      <c r="G125" s="231">
        <f>([8]Consolidated!G125)*(1/0.79941)</f>
        <v/>
      </c>
      <c r="H125" s="231">
        <f>([8]Consolidated!H125)*(1/0.79941)</f>
        <v/>
      </c>
      <c r="I125" s="231">
        <f>([8]Consolidated!I125)*(1/0.79941)</f>
        <v/>
      </c>
      <c r="J125" s="233">
        <f>([8]Consolidated!J125)*(1/0.79941)</f>
        <v/>
      </c>
      <c r="K125" s="185" t="n"/>
      <c r="L125" s="233">
        <f>([8]Consolidated!L125)*(1/0.79941)</f>
        <v/>
      </c>
      <c r="M125" s="231">
        <f>([8]Consolidated!M125)*(1/0.79941)</f>
        <v/>
      </c>
      <c r="N125" s="234">
        <f>([8]Consolidated!N125)*(1/0.79941)</f>
        <v/>
      </c>
    </row>
    <row r="126" ht="12.75" customHeight="1" s="150">
      <c r="C126" s="224" t="inlineStr">
        <is>
          <t>Facilities Management</t>
        </is>
      </c>
      <c r="D126" s="231">
        <f>([8]Consolidated!D126)*(1/0.79941)</f>
        <v/>
      </c>
      <c r="E126" s="231">
        <f>([8]Consolidated!E126)*(1/0.79941)</f>
        <v/>
      </c>
      <c r="F126" s="231">
        <f>([8]Consolidated!F126)*(1/0.79941)</f>
        <v/>
      </c>
      <c r="G126" s="231">
        <f>([8]Consolidated!G126)*(1/0.79941)</f>
        <v/>
      </c>
      <c r="H126" s="231">
        <f>([8]Consolidated!H126)*(1/0.79941)</f>
        <v/>
      </c>
      <c r="I126" s="231">
        <f>([8]Consolidated!I126)*(1/0.79941)</f>
        <v/>
      </c>
      <c r="J126" s="233">
        <f>([8]Consolidated!J126)*(1/0.79941)</f>
        <v/>
      </c>
      <c r="K126" s="185" t="n"/>
      <c r="L126" s="233">
        <f>([8]Consolidated!L126)*(1/0.79941)</f>
        <v/>
      </c>
      <c r="M126" s="231">
        <f>([8]Consolidated!M126)*(1/0.79941)</f>
        <v/>
      </c>
      <c r="N126" s="234">
        <f>([8]Consolidated!N126)*(1/0.79941)</f>
        <v/>
      </c>
    </row>
    <row r="127" ht="13.5" customHeight="1" s="150">
      <c r="C127" s="228" t="inlineStr">
        <is>
          <t>Overheads</t>
        </is>
      </c>
      <c r="D127" s="236">
        <f>([8]Consolidated!D127)*(1/0.79941)</f>
        <v/>
      </c>
      <c r="E127" s="236">
        <f>([8]Consolidated!E127)*(1/0.79941)</f>
        <v/>
      </c>
      <c r="F127" s="236">
        <f>([8]Consolidated!F127)*(1/0.79941)</f>
        <v/>
      </c>
      <c r="G127" s="236">
        <f>([8]Consolidated!G127)*(1/0.79941)</f>
        <v/>
      </c>
      <c r="H127" s="236">
        <f>([8]Consolidated!H127)*(1/0.79941)</f>
        <v/>
      </c>
      <c r="I127" s="236">
        <f>([8]Consolidated!I127)*(1/0.79941)</f>
        <v/>
      </c>
      <c r="J127" s="237">
        <f>([8]Consolidated!J127)*(1/0.79941)</f>
        <v/>
      </c>
      <c r="K127" s="185" t="n"/>
      <c r="L127" s="237">
        <f>([8]Consolidated!L127)*(1/0.79941)</f>
        <v/>
      </c>
      <c r="M127" s="236">
        <f>([8]Consolidated!M127)*(1/0.79941)</f>
        <v/>
      </c>
      <c r="N127" s="237">
        <f>([8]Consolidated!N127)*(1/0.79941)</f>
        <v/>
      </c>
    </row>
    <row r="128" ht="12.75" customHeight="1" s="150">
      <c r="C128" s="224" t="n"/>
      <c r="D128" s="231">
        <f>([8]Consolidated!D128)*(1/0.79941)</f>
        <v/>
      </c>
      <c r="E128" s="231">
        <f>([8]Consolidated!E128)*(1/0.79941)</f>
        <v/>
      </c>
      <c r="F128" s="231">
        <f>([8]Consolidated!F128)*(1/0.79941)</f>
        <v/>
      </c>
      <c r="G128" s="231">
        <f>([8]Consolidated!G128)*(1/0.79941)</f>
        <v/>
      </c>
      <c r="H128" s="231">
        <f>([8]Consolidated!H128)*(1/0.79941)</f>
        <v/>
      </c>
      <c r="I128" s="231">
        <f>([8]Consolidated!I128)*(1/0.79941)</f>
        <v/>
      </c>
      <c r="J128" s="239">
        <f>([8]Consolidated!J128)*(1/0.79941)</f>
        <v/>
      </c>
      <c r="K128" s="185" t="n"/>
      <c r="L128" s="233">
        <f>([8]Consolidated!L128)*(1/0.79941)</f>
        <v/>
      </c>
      <c r="M128" s="231">
        <f>([8]Consolidated!M128)*(1/0.79941)</f>
        <v/>
      </c>
      <c r="N128" s="239">
        <f>([8]Consolidated!N128)*(1/0.79941)</f>
        <v/>
      </c>
    </row>
    <row r="129" ht="13.5" customHeight="1" s="150">
      <c r="C129" s="228" t="inlineStr">
        <is>
          <t>Total Operating Costs (incl. O/H)</t>
        </is>
      </c>
      <c r="D129" s="236">
        <f>([8]Consolidated!D129)*(1/0.79941)</f>
        <v/>
      </c>
      <c r="E129" s="236">
        <f>([8]Consolidated!E129)*(1/0.79941)</f>
        <v/>
      </c>
      <c r="F129" s="236">
        <f>([8]Consolidated!F129)*(1/0.79941)</f>
        <v/>
      </c>
      <c r="G129" s="236">
        <f>([8]Consolidated!G129)*(1/0.79941)</f>
        <v/>
      </c>
      <c r="H129" s="236">
        <f>([8]Consolidated!H129)*(1/0.79941)</f>
        <v/>
      </c>
      <c r="I129" s="236">
        <f>([8]Consolidated!I129)*(1/0.79941)</f>
        <v/>
      </c>
      <c r="J129" s="237">
        <f>([8]Consolidated!J129)*(1/0.79941)</f>
        <v/>
      </c>
      <c r="K129" s="185" t="n"/>
      <c r="L129" s="237">
        <f>([8]Consolidated!L129)*(1/0.79941)</f>
        <v/>
      </c>
      <c r="M129" s="236">
        <f>([8]Consolidated!M129)*(1/0.79941)</f>
        <v/>
      </c>
      <c r="N129" s="237">
        <f>([8]Consolidated!N129)*(1/0.79941)</f>
        <v/>
      </c>
    </row>
    <row r="130"/>
    <row r="131" ht="13.5" customHeight="1" s="150"/>
    <row r="132" ht="42" customHeight="1" s="150">
      <c r="C132" s="240" t="inlineStr">
        <is>
          <t>RETAINED COSTS
(US$  excl. VAT)</t>
        </is>
      </c>
      <c r="D132" s="241">
        <f>[8]Consolidated!D132</f>
        <v/>
      </c>
      <c r="E132" s="241">
        <f>[8]Consolidated!E132</f>
        <v/>
      </c>
      <c r="F132" s="241">
        <f>[8]Consolidated!F132</f>
        <v/>
      </c>
      <c r="G132" s="241">
        <f>[8]Consolidated!G132</f>
        <v/>
      </c>
      <c r="H132" s="241">
        <f>[8]Consolidated!H132</f>
        <v/>
      </c>
      <c r="I132" s="242">
        <f>[8]Consolidated!I132</f>
        <v/>
      </c>
      <c r="J132" s="243">
        <f>[8]Consolidated!J132</f>
        <v/>
      </c>
      <c r="K132" s="165" t="n"/>
      <c r="L132" s="241">
        <f>[8]Consolidated!L132</f>
        <v/>
      </c>
      <c r="M132" s="244">
        <f>[8]Consolidated!M132</f>
        <v/>
      </c>
      <c r="N132" s="241">
        <f>[8]Consolidated!N132</f>
        <v/>
      </c>
    </row>
    <row r="133" ht="12.75" customHeight="1" s="150">
      <c r="C133" s="245" t="inlineStr">
        <is>
          <t>Internal FTE</t>
        </is>
      </c>
      <c r="D133" s="254">
        <f>[8]Consolidated!D133</f>
        <v/>
      </c>
      <c r="E133" s="254">
        <f>[8]Consolidated!E133</f>
        <v/>
      </c>
      <c r="F133" s="254">
        <f>[8]Consolidated!F133</f>
        <v/>
      </c>
      <c r="G133" s="254">
        <f>[8]Consolidated!G133</f>
        <v/>
      </c>
      <c r="H133" s="254">
        <f>[8]Consolidated!H133</f>
        <v/>
      </c>
      <c r="I133" s="254">
        <f>[8]Consolidated!I133</f>
        <v/>
      </c>
      <c r="J133" s="291" t="n"/>
      <c r="K133" s="185" t="n"/>
      <c r="L133" s="256">
        <f>[8]Consolidated!L133</f>
        <v/>
      </c>
      <c r="M133" s="254">
        <f>[8]Consolidated!M133</f>
        <v/>
      </c>
      <c r="N133" s="249" t="n"/>
    </row>
    <row r="134" ht="12.75" customHeight="1" s="150">
      <c r="C134" s="245" t="inlineStr">
        <is>
          <t>External FTE</t>
        </is>
      </c>
      <c r="D134" s="254">
        <f>[8]Consolidated!D134</f>
        <v/>
      </c>
      <c r="E134" s="254">
        <f>[8]Consolidated!E134</f>
        <v/>
      </c>
      <c r="F134" s="254">
        <f>[8]Consolidated!F134</f>
        <v/>
      </c>
      <c r="G134" s="254">
        <f>[8]Consolidated!G134</f>
        <v/>
      </c>
      <c r="H134" s="254">
        <f>[8]Consolidated!H134</f>
        <v/>
      </c>
      <c r="I134" s="254">
        <f>[8]Consolidated!I134</f>
        <v/>
      </c>
      <c r="J134" s="291" t="n"/>
      <c r="K134" s="185" t="n"/>
      <c r="L134" s="256">
        <f>[8]Consolidated!L134</f>
        <v/>
      </c>
      <c r="M134" s="254">
        <f>[8]Consolidated!M134</f>
        <v/>
      </c>
      <c r="N134" s="249" t="n"/>
    </row>
    <row r="135" ht="13.5" customHeight="1" s="150">
      <c r="C135" s="250" t="inlineStr">
        <is>
          <t>Total FTE</t>
        </is>
      </c>
      <c r="D135" s="258">
        <f>[8]Consolidated!D135</f>
        <v/>
      </c>
      <c r="E135" s="258">
        <f>[8]Consolidated!E135</f>
        <v/>
      </c>
      <c r="F135" s="258">
        <f>[8]Consolidated!F135</f>
        <v/>
      </c>
      <c r="G135" s="258">
        <f>[8]Consolidated!G135</f>
        <v/>
      </c>
      <c r="H135" s="258">
        <f>[8]Consolidated!H135</f>
        <v/>
      </c>
      <c r="I135" s="258">
        <f>[8]Consolidated!I135</f>
        <v/>
      </c>
      <c r="J135" s="292" t="n"/>
      <c r="K135" s="185" t="n"/>
      <c r="L135" s="253">
        <f>[8]Consolidated!L135</f>
        <v/>
      </c>
      <c r="M135" s="258">
        <f>[8]Consolidated!M135</f>
        <v/>
      </c>
      <c r="N135" s="253" t="n"/>
    </row>
    <row r="136" ht="12.75" customHeight="1" s="150">
      <c r="C136" s="245" t="n"/>
      <c r="D136" s="254" t="n"/>
      <c r="E136" s="254" t="n"/>
      <c r="F136" s="254" t="n"/>
      <c r="G136" s="254" t="n"/>
      <c r="H136" s="254" t="n"/>
      <c r="I136" s="254" t="n"/>
      <c r="J136" s="255" t="n"/>
      <c r="K136" s="185" t="n"/>
      <c r="L136" s="256" t="n"/>
      <c r="M136" s="254" t="n"/>
      <c r="N136" s="249" t="n"/>
    </row>
    <row r="137" ht="12.75" customHeight="1" s="150">
      <c r="C137" s="245" t="inlineStr">
        <is>
          <t>Salaries</t>
        </is>
      </c>
      <c r="D137" s="254">
        <f>([8]Consolidated!D137)*(1/0.79941)</f>
        <v/>
      </c>
      <c r="E137" s="254">
        <f>([8]Consolidated!E137)*(1/0.79941)</f>
        <v/>
      </c>
      <c r="F137" s="254">
        <f>([8]Consolidated!F137)*(1/0.79941)</f>
        <v/>
      </c>
      <c r="G137" s="254">
        <f>([8]Consolidated!G137)*(1/0.79941)</f>
        <v/>
      </c>
      <c r="H137" s="254">
        <f>([8]Consolidated!H137)*(1/0.79941)</f>
        <v/>
      </c>
      <c r="I137" s="254">
        <f>([8]Consolidated!I137)*(1/0.79941)</f>
        <v/>
      </c>
      <c r="J137" s="256">
        <f>([8]Consolidated!J137)*(1/0.79941)</f>
        <v/>
      </c>
      <c r="K137" s="185" t="n"/>
      <c r="L137" s="256">
        <f>([8]Consolidated!L137)*(1/0.79941)</f>
        <v/>
      </c>
      <c r="M137" s="254">
        <f>([8]Consolidated!M137)*(1/0.79941)</f>
        <v/>
      </c>
      <c r="N137" s="249">
        <f>([8]Consolidated!N137)*(1/0.79941)</f>
        <v/>
      </c>
    </row>
    <row r="138" ht="12.75" customHeight="1" s="150">
      <c r="C138" s="245" t="inlineStr">
        <is>
          <t>Bonuses</t>
        </is>
      </c>
      <c r="D138" s="254">
        <f>([8]Consolidated!D138)*(1/0.79941)</f>
        <v/>
      </c>
      <c r="E138" s="254">
        <f>([8]Consolidated!E138)*(1/0.79941)</f>
        <v/>
      </c>
      <c r="F138" s="254">
        <f>([8]Consolidated!F138)*(1/0.79941)</f>
        <v/>
      </c>
      <c r="G138" s="254">
        <f>([8]Consolidated!G138)*(1/0.79941)</f>
        <v/>
      </c>
      <c r="H138" s="254">
        <f>([8]Consolidated!H138)*(1/0.79941)</f>
        <v/>
      </c>
      <c r="I138" s="254">
        <f>([8]Consolidated!I138)*(1/0.79941)</f>
        <v/>
      </c>
      <c r="J138" s="256">
        <f>([8]Consolidated!J138)*(1/0.79941)</f>
        <v/>
      </c>
      <c r="K138" s="185" t="n"/>
      <c r="L138" s="256">
        <f>([8]Consolidated!L138)*(1/0.79941)</f>
        <v/>
      </c>
      <c r="M138" s="254">
        <f>([8]Consolidated!M138)*(1/0.79941)</f>
        <v/>
      </c>
      <c r="N138" s="249">
        <f>([8]Consolidated!N138)*(1/0.79941)</f>
        <v/>
      </c>
    </row>
    <row r="139" ht="12.75" customHeight="1" s="150">
      <c r="C139" s="245" t="inlineStr">
        <is>
          <t>Third party staff, ex IT</t>
        </is>
      </c>
      <c r="D139" s="254">
        <f>([8]Consolidated!D139)*(1/0.79941)</f>
        <v/>
      </c>
      <c r="E139" s="254">
        <f>([8]Consolidated!E139)*(1/0.79941)</f>
        <v/>
      </c>
      <c r="F139" s="254">
        <f>([8]Consolidated!F139)*(1/0.79941)</f>
        <v/>
      </c>
      <c r="G139" s="254">
        <f>([8]Consolidated!G139)*(1/0.79941)</f>
        <v/>
      </c>
      <c r="H139" s="254">
        <f>([8]Consolidated!H139)*(1/0.79941)</f>
        <v/>
      </c>
      <c r="I139" s="254">
        <f>([8]Consolidated!I139)*(1/0.79941)</f>
        <v/>
      </c>
      <c r="J139" s="256">
        <f>([8]Consolidated!J139)*(1/0.79941)</f>
        <v/>
      </c>
      <c r="K139" s="185" t="n"/>
      <c r="L139" s="256">
        <f>([8]Consolidated!L139)*(1/0.79941)</f>
        <v/>
      </c>
      <c r="M139" s="254">
        <f>([8]Consolidated!M139)*(1/0.79941)</f>
        <v/>
      </c>
      <c r="N139" s="249">
        <f>([8]Consolidated!N139)*(1/0.79941)</f>
        <v/>
      </c>
    </row>
    <row r="140" ht="12.75" customHeight="1" s="150">
      <c r="C140" s="245" t="inlineStr">
        <is>
          <t>Third party IT staff</t>
        </is>
      </c>
      <c r="D140" s="254">
        <f>([8]Consolidated!D140)*(1/0.79941)</f>
        <v/>
      </c>
      <c r="E140" s="254">
        <f>([8]Consolidated!E140)*(1/0.79941)</f>
        <v/>
      </c>
      <c r="F140" s="254">
        <f>([8]Consolidated!F140)*(1/0.79941)</f>
        <v/>
      </c>
      <c r="G140" s="254">
        <f>([8]Consolidated!G140)*(1/0.79941)</f>
        <v/>
      </c>
      <c r="H140" s="254">
        <f>([8]Consolidated!H140)*(1/0.79941)</f>
        <v/>
      </c>
      <c r="I140" s="254">
        <f>([8]Consolidated!I140)*(1/0.79941)</f>
        <v/>
      </c>
      <c r="J140" s="256">
        <f>([8]Consolidated!J140)*(1/0.79941)</f>
        <v/>
      </c>
      <c r="K140" s="185" t="n"/>
      <c r="L140" s="256">
        <f>([8]Consolidated!L140)*(1/0.79941)</f>
        <v/>
      </c>
      <c r="M140" s="254">
        <f>([8]Consolidated!M140)*(1/0.79941)</f>
        <v/>
      </c>
      <c r="N140" s="249">
        <f>([8]Consolidated!N140)*(1/0.79941)</f>
        <v/>
      </c>
    </row>
    <row r="141" ht="12.75" customHeight="1" s="150">
      <c r="C141" s="245" t="inlineStr">
        <is>
          <t>Employee education</t>
        </is>
      </c>
      <c r="D141" s="254">
        <f>([8]Consolidated!D141)*(1/0.79941)</f>
        <v/>
      </c>
      <c r="E141" s="254">
        <f>([8]Consolidated!E141)*(1/0.79941)</f>
        <v/>
      </c>
      <c r="F141" s="254">
        <f>([8]Consolidated!F141)*(1/0.79941)</f>
        <v/>
      </c>
      <c r="G141" s="254">
        <f>([8]Consolidated!G141)*(1/0.79941)</f>
        <v/>
      </c>
      <c r="H141" s="254">
        <f>([8]Consolidated!H141)*(1/0.79941)</f>
        <v/>
      </c>
      <c r="I141" s="254">
        <f>([8]Consolidated!I141)*(1/0.79941)</f>
        <v/>
      </c>
      <c r="J141" s="256">
        <f>([8]Consolidated!J141)*(1/0.79941)</f>
        <v/>
      </c>
      <c r="K141" s="185" t="n"/>
      <c r="L141" s="256">
        <f>([8]Consolidated!L141)*(1/0.79941)</f>
        <v/>
      </c>
      <c r="M141" s="254">
        <f>([8]Consolidated!M141)*(1/0.79941)</f>
        <v/>
      </c>
      <c r="N141" s="249">
        <f>([8]Consolidated!N141)*(1/0.79941)</f>
        <v/>
      </c>
    </row>
    <row r="142" ht="12.75" customHeight="1" s="150">
      <c r="C142" s="245" t="inlineStr">
        <is>
          <t>Other staff expenses</t>
        </is>
      </c>
      <c r="D142" s="254">
        <f>([8]Consolidated!D142)*(1/0.79941)</f>
        <v/>
      </c>
      <c r="E142" s="254">
        <f>([8]Consolidated!E142)*(1/0.79941)</f>
        <v/>
      </c>
      <c r="F142" s="254">
        <f>([8]Consolidated!F142)*(1/0.79941)</f>
        <v/>
      </c>
      <c r="G142" s="254">
        <f>([8]Consolidated!G142)*(1/0.79941)</f>
        <v/>
      </c>
      <c r="H142" s="254">
        <f>([8]Consolidated!H142)*(1/0.79941)</f>
        <v/>
      </c>
      <c r="I142" s="254">
        <f>([8]Consolidated!I142)*(1/0.79941)</f>
        <v/>
      </c>
      <c r="J142" s="257">
        <f>([8]Consolidated!J142)*(1/0.79941)</f>
        <v/>
      </c>
      <c r="K142" s="185" t="n"/>
      <c r="L142" s="256">
        <f>([8]Consolidated!L142)*(1/0.79941)</f>
        <v/>
      </c>
      <c r="M142" s="254">
        <f>([8]Consolidated!M142)*(1/0.79941)</f>
        <v/>
      </c>
      <c r="N142" s="249">
        <f>([8]Consolidated!N142)*(1/0.79941)</f>
        <v/>
      </c>
    </row>
    <row r="143" ht="13.5" customHeight="1" s="150">
      <c r="C143" s="250" t="inlineStr">
        <is>
          <t>Staff expenses</t>
        </is>
      </c>
      <c r="D143" s="258">
        <f>([8]Consolidated!D143)*(1/0.79941)</f>
        <v/>
      </c>
      <c r="E143" s="258">
        <f>([8]Consolidated!E143)*(1/0.79941)</f>
        <v/>
      </c>
      <c r="F143" s="258">
        <f>([8]Consolidated!F143)*(1/0.79941)</f>
        <v/>
      </c>
      <c r="G143" s="258">
        <f>([8]Consolidated!G143)*(1/0.79941)</f>
        <v/>
      </c>
      <c r="H143" s="258">
        <f>([8]Consolidated!H143)*(1/0.79941)</f>
        <v/>
      </c>
      <c r="I143" s="258">
        <f>([8]Consolidated!I143)*(1/0.79941)</f>
        <v/>
      </c>
      <c r="J143" s="253">
        <f>([8]Consolidated!J143)*(1/0.79941)</f>
        <v/>
      </c>
      <c r="K143" s="185" t="n"/>
      <c r="L143" s="253">
        <f>([8]Consolidated!L143)*(1/0.79941)</f>
        <v/>
      </c>
      <c r="M143" s="258">
        <f>([8]Consolidated!M143)*(1/0.79941)</f>
        <v/>
      </c>
      <c r="N143" s="253">
        <f>([8]Consolidated!N143)*(1/0.79941)</f>
        <v/>
      </c>
    </row>
    <row r="144" ht="12.75" customHeight="1" s="150">
      <c r="C144" s="245" t="inlineStr">
        <is>
          <t>Hardware expenses</t>
        </is>
      </c>
      <c r="D144" s="254">
        <f>([8]Consolidated!D144)*(1/0.79941)</f>
        <v/>
      </c>
      <c r="E144" s="254">
        <f>([8]Consolidated!E144)*(1/0.79941)</f>
        <v/>
      </c>
      <c r="F144" s="254">
        <f>([8]Consolidated!F144)*(1/0.79941)</f>
        <v/>
      </c>
      <c r="G144" s="254">
        <f>([8]Consolidated!G144)*(1/0.79941)</f>
        <v/>
      </c>
      <c r="H144" s="254">
        <f>([8]Consolidated!H144)*(1/0.79941)</f>
        <v/>
      </c>
      <c r="I144" s="254">
        <f>([8]Consolidated!I144)*(1/0.79941)</f>
        <v/>
      </c>
      <c r="J144" s="256">
        <f>([8]Consolidated!J144)*(1/0.79941)</f>
        <v/>
      </c>
      <c r="K144" s="185" t="n"/>
      <c r="L144" s="256">
        <f>([8]Consolidated!L144)*(1/0.79941)</f>
        <v/>
      </c>
      <c r="M144" s="254">
        <f>([8]Consolidated!M144)*(1/0.79941)</f>
        <v/>
      </c>
      <c r="N144" s="249">
        <f>([8]Consolidated!N144)*(1/0.79941)</f>
        <v/>
      </c>
    </row>
    <row r="145" ht="12.75" customHeight="1" s="150">
      <c r="C145" s="245" t="inlineStr">
        <is>
          <t>Leasing/renting hardware</t>
        </is>
      </c>
      <c r="D145" s="254">
        <f>([8]Consolidated!D145)*(1/0.79941)</f>
        <v/>
      </c>
      <c r="E145" s="254">
        <f>([8]Consolidated!E145)*(1/0.79941)</f>
        <v/>
      </c>
      <c r="F145" s="254">
        <f>([8]Consolidated!F145)*(1/0.79941)</f>
        <v/>
      </c>
      <c r="G145" s="254">
        <f>([8]Consolidated!G145)*(1/0.79941)</f>
        <v/>
      </c>
      <c r="H145" s="254">
        <f>([8]Consolidated!H145)*(1/0.79941)</f>
        <v/>
      </c>
      <c r="I145" s="254">
        <f>([8]Consolidated!I145)*(1/0.79941)</f>
        <v/>
      </c>
      <c r="J145" s="256">
        <f>([8]Consolidated!J145)*(1/0.79941)</f>
        <v/>
      </c>
      <c r="K145" s="185" t="n"/>
      <c r="L145" s="256">
        <f>([8]Consolidated!L145)*(1/0.79941)</f>
        <v/>
      </c>
      <c r="M145" s="254">
        <f>([8]Consolidated!M145)*(1/0.79941)</f>
        <v/>
      </c>
      <c r="N145" s="249">
        <f>([8]Consolidated!N145)*(1/0.79941)</f>
        <v/>
      </c>
    </row>
    <row r="146" ht="12.75" customHeight="1" s="150">
      <c r="C146" s="245" t="inlineStr">
        <is>
          <t>Software expenses</t>
        </is>
      </c>
      <c r="D146" s="254">
        <f>([8]Consolidated!D146)*(1/0.79941)</f>
        <v/>
      </c>
      <c r="E146" s="254">
        <f>([8]Consolidated!E146)*(1/0.79941)</f>
        <v/>
      </c>
      <c r="F146" s="254">
        <f>([8]Consolidated!F146)*(1/0.79941)</f>
        <v/>
      </c>
      <c r="G146" s="254">
        <f>([8]Consolidated!G146)*(1/0.79941)</f>
        <v/>
      </c>
      <c r="H146" s="254">
        <f>([8]Consolidated!H146)*(1/0.79941)</f>
        <v/>
      </c>
      <c r="I146" s="254">
        <f>([8]Consolidated!I146)*(1/0.79941)</f>
        <v/>
      </c>
      <c r="J146" s="256">
        <f>([8]Consolidated!J146)*(1/0.79941)</f>
        <v/>
      </c>
      <c r="K146" s="185" t="n"/>
      <c r="L146" s="256">
        <f>([8]Consolidated!L146)*(1/0.79941)</f>
        <v/>
      </c>
      <c r="M146" s="254">
        <f>([8]Consolidated!M146)*(1/0.79941)</f>
        <v/>
      </c>
      <c r="N146" s="249">
        <f>([8]Consolidated!N146)*(1/0.79941)</f>
        <v/>
      </c>
    </row>
    <row r="147" ht="12.75" customHeight="1" s="150">
      <c r="C147" s="245" t="inlineStr">
        <is>
          <t>Leasing/renting/licenses sw</t>
        </is>
      </c>
      <c r="D147" s="254">
        <f>([8]Consolidated!D147)*(1/0.79941)</f>
        <v/>
      </c>
      <c r="E147" s="254">
        <f>([8]Consolidated!E147)*(1/0.79941)</f>
        <v/>
      </c>
      <c r="F147" s="254">
        <f>([8]Consolidated!F147)*(1/0.79941)</f>
        <v/>
      </c>
      <c r="G147" s="254">
        <f>([8]Consolidated!G147)*(1/0.79941)</f>
        <v/>
      </c>
      <c r="H147" s="254">
        <f>([8]Consolidated!H147)*(1/0.79941)</f>
        <v/>
      </c>
      <c r="I147" s="254">
        <f>([8]Consolidated!I147)*(1/0.79941)</f>
        <v/>
      </c>
      <c r="J147" s="256">
        <f>([8]Consolidated!J147)*(1/0.79941)</f>
        <v/>
      </c>
      <c r="K147" s="185" t="n"/>
      <c r="L147" s="256">
        <f>([8]Consolidated!L147)*(1/0.79941)</f>
        <v/>
      </c>
      <c r="M147" s="254">
        <f>([8]Consolidated!M147)*(1/0.79941)</f>
        <v/>
      </c>
      <c r="N147" s="249">
        <f>([8]Consolidated!N147)*(1/0.79941)</f>
        <v/>
      </c>
    </row>
    <row r="148" ht="12.75" customHeight="1" s="150">
      <c r="C148" s="245" t="inlineStr">
        <is>
          <t>Depreciation hardware</t>
        </is>
      </c>
      <c r="D148" s="254">
        <f>([8]Consolidated!D148)*(1/0.79941)</f>
        <v/>
      </c>
      <c r="E148" s="254">
        <f>([8]Consolidated!E148)*(1/0.79941)</f>
        <v/>
      </c>
      <c r="F148" s="254">
        <f>([8]Consolidated!F148)*(1/0.79941)</f>
        <v/>
      </c>
      <c r="G148" s="254">
        <f>([8]Consolidated!G148)*(1/0.79941)</f>
        <v/>
      </c>
      <c r="H148" s="254">
        <f>([8]Consolidated!H148)*(1/0.79941)</f>
        <v/>
      </c>
      <c r="I148" s="254">
        <f>([8]Consolidated!I148)*(1/0.79941)</f>
        <v/>
      </c>
      <c r="J148" s="256">
        <f>([8]Consolidated!J148)*(1/0.79941)</f>
        <v/>
      </c>
      <c r="K148" s="185" t="n"/>
      <c r="L148" s="256">
        <f>([8]Consolidated!L148)*(1/0.79941)</f>
        <v/>
      </c>
      <c r="M148" s="254">
        <f>([8]Consolidated!M148)*(1/0.79941)</f>
        <v/>
      </c>
      <c r="N148" s="249">
        <f>([8]Consolidated!N148)*(1/0.79941)</f>
        <v/>
      </c>
    </row>
    <row r="149" ht="12.75" customHeight="1" s="150">
      <c r="C149" s="245" t="inlineStr">
        <is>
          <t>Depreciation software</t>
        </is>
      </c>
      <c r="D149" s="254">
        <f>([8]Consolidated!D149)*(1/0.79941)</f>
        <v/>
      </c>
      <c r="E149" s="254">
        <f>([8]Consolidated!E149)*(1/0.79941)</f>
        <v/>
      </c>
      <c r="F149" s="254">
        <f>([8]Consolidated!F149)*(1/0.79941)</f>
        <v/>
      </c>
      <c r="G149" s="254">
        <f>([8]Consolidated!G149)*(1/0.79941)</f>
        <v/>
      </c>
      <c r="H149" s="254">
        <f>([8]Consolidated!H149)*(1/0.79941)</f>
        <v/>
      </c>
      <c r="I149" s="254">
        <f>([8]Consolidated!I149)*(1/0.79941)</f>
        <v/>
      </c>
      <c r="J149" s="256">
        <f>([8]Consolidated!J149)*(1/0.79941)</f>
        <v/>
      </c>
      <c r="K149" s="185" t="n"/>
      <c r="L149" s="256">
        <f>([8]Consolidated!L149)*(1/0.79941)</f>
        <v/>
      </c>
      <c r="M149" s="254">
        <f>([8]Consolidated!M149)*(1/0.79941)</f>
        <v/>
      </c>
      <c r="N149" s="249">
        <f>([8]Consolidated!N149)*(1/0.79941)</f>
        <v/>
      </c>
    </row>
    <row r="150" ht="12.75" customHeight="1" s="150">
      <c r="C150" s="245" t="inlineStr">
        <is>
          <t>Outsourcing IT activities</t>
        </is>
      </c>
      <c r="D150" s="254">
        <f>([8]Consolidated!D150)*(1/0.79941)</f>
        <v/>
      </c>
      <c r="E150" s="254">
        <f>([8]Consolidated!E150)*(1/0.79941)</f>
        <v/>
      </c>
      <c r="F150" s="254">
        <f>([8]Consolidated!F150)*(1/0.79941)</f>
        <v/>
      </c>
      <c r="G150" s="254">
        <f>([8]Consolidated!G150)*(1/0.79941)</f>
        <v/>
      </c>
      <c r="H150" s="254">
        <f>([8]Consolidated!H150)*(1/0.79941)</f>
        <v/>
      </c>
      <c r="I150" s="254">
        <f>([8]Consolidated!I150)*(1/0.79941)</f>
        <v/>
      </c>
      <c r="J150" s="256">
        <f>([8]Consolidated!J150)*(1/0.79941)</f>
        <v/>
      </c>
      <c r="K150" s="185" t="n"/>
      <c r="L150" s="256">
        <f>([8]Consolidated!L150)*(1/0.79941)</f>
        <v/>
      </c>
      <c r="M150" s="254">
        <f>([8]Consolidated!M150)*(1/0.79941)</f>
        <v/>
      </c>
      <c r="N150" s="249">
        <f>([8]Consolidated!N150)*(1/0.79941)</f>
        <v/>
      </c>
    </row>
    <row r="151" ht="12.75" customHeight="1" s="150">
      <c r="C151" s="245" t="inlineStr">
        <is>
          <t>Other IT expenses</t>
        </is>
      </c>
      <c r="D151" s="254">
        <f>([8]Consolidated!D151)*(1/0.79941)</f>
        <v/>
      </c>
      <c r="E151" s="254">
        <f>([8]Consolidated!E151)*(1/0.79941)</f>
        <v/>
      </c>
      <c r="F151" s="254">
        <f>([8]Consolidated!F151)*(1/0.79941)</f>
        <v/>
      </c>
      <c r="G151" s="254">
        <f>([8]Consolidated!G151)*(1/0.79941)</f>
        <v/>
      </c>
      <c r="H151" s="254">
        <f>([8]Consolidated!H151)*(1/0.79941)</f>
        <v/>
      </c>
      <c r="I151" s="254">
        <f>([8]Consolidated!I151)*(1/0.79941)</f>
        <v/>
      </c>
      <c r="J151" s="256">
        <f>([8]Consolidated!J151)*(1/0.79941)</f>
        <v/>
      </c>
      <c r="K151" s="185" t="n"/>
      <c r="L151" s="256">
        <f>([8]Consolidated!L151)*(1/0.79941)</f>
        <v/>
      </c>
      <c r="M151" s="254">
        <f>([8]Consolidated!M151)*(1/0.79941)</f>
        <v/>
      </c>
      <c r="N151" s="249">
        <f>([8]Consolidated!N151)*(1/0.79941)</f>
        <v/>
      </c>
    </row>
    <row r="152" ht="13.5" customHeight="1" s="150">
      <c r="C152" s="250" t="inlineStr">
        <is>
          <t>EDP expenses</t>
        </is>
      </c>
      <c r="D152" s="258">
        <f>([8]Consolidated!D152)*(1/0.79941)</f>
        <v/>
      </c>
      <c r="E152" s="258">
        <f>([8]Consolidated!E152)*(1/0.79941)</f>
        <v/>
      </c>
      <c r="F152" s="258">
        <f>([8]Consolidated!F152)*(1/0.79941)</f>
        <v/>
      </c>
      <c r="G152" s="258">
        <f>([8]Consolidated!G152)*(1/0.79941)</f>
        <v/>
      </c>
      <c r="H152" s="258">
        <f>([8]Consolidated!H152)*(1/0.79941)</f>
        <v/>
      </c>
      <c r="I152" s="258">
        <f>([8]Consolidated!I152)*(1/0.79941)</f>
        <v/>
      </c>
      <c r="J152" s="253">
        <f>([8]Consolidated!J152)*(1/0.79941)</f>
        <v/>
      </c>
      <c r="K152" s="185" t="n"/>
      <c r="L152" s="253">
        <f>([8]Consolidated!L152)*(1/0.79941)</f>
        <v/>
      </c>
      <c r="M152" s="258">
        <f>([8]Consolidated!M152)*(1/0.79941)</f>
        <v/>
      </c>
      <c r="N152" s="253">
        <f>([8]Consolidated!N152)*(1/0.79941)</f>
        <v/>
      </c>
    </row>
    <row r="153" ht="12.75" customHeight="1" s="150">
      <c r="C153" s="245" t="inlineStr">
        <is>
          <t>Telecom expenses</t>
        </is>
      </c>
      <c r="D153" s="254">
        <f>([8]Consolidated!D153)*(1/0.79941)</f>
        <v/>
      </c>
      <c r="E153" s="254">
        <f>([8]Consolidated!E153)*(1/0.79941)</f>
        <v/>
      </c>
      <c r="F153" s="254">
        <f>([8]Consolidated!F153)*(1/0.79941)</f>
        <v/>
      </c>
      <c r="G153" s="254">
        <f>([8]Consolidated!G153)*(1/0.79941)</f>
        <v/>
      </c>
      <c r="H153" s="254">
        <f>([8]Consolidated!H153)*(1/0.79941)</f>
        <v/>
      </c>
      <c r="I153" s="254">
        <f>([8]Consolidated!I153)*(1/0.79941)</f>
        <v/>
      </c>
      <c r="J153" s="256">
        <f>([8]Consolidated!J153)*(1/0.79941)</f>
        <v/>
      </c>
      <c r="K153" s="185" t="n"/>
      <c r="L153" s="256">
        <f>([8]Consolidated!L153)*(1/0.79941)</f>
        <v/>
      </c>
      <c r="M153" s="254">
        <f>([8]Consolidated!M153)*(1/0.79941)</f>
        <v/>
      </c>
      <c r="N153" s="249">
        <f>([8]Consolidated!N153)*(1/0.79941)</f>
        <v/>
      </c>
    </row>
    <row r="154" ht="12.75" customHeight="1" s="150">
      <c r="C154" s="245" t="inlineStr">
        <is>
          <t>Office equipment and supplies</t>
        </is>
      </c>
      <c r="D154" s="254">
        <f>([8]Consolidated!D154)*(1/0.79941)</f>
        <v/>
      </c>
      <c r="E154" s="254">
        <f>([8]Consolidated!E154)*(1/0.79941)</f>
        <v/>
      </c>
      <c r="F154" s="254">
        <f>([8]Consolidated!F154)*(1/0.79941)</f>
        <v/>
      </c>
      <c r="G154" s="254">
        <f>([8]Consolidated!G154)*(1/0.79941)</f>
        <v/>
      </c>
      <c r="H154" s="254">
        <f>([8]Consolidated!H154)*(1/0.79941)</f>
        <v/>
      </c>
      <c r="I154" s="254">
        <f>([8]Consolidated!I154)*(1/0.79941)</f>
        <v/>
      </c>
      <c r="J154" s="256">
        <f>([8]Consolidated!J154)*(1/0.79941)</f>
        <v/>
      </c>
      <c r="K154" s="185" t="n"/>
      <c r="L154" s="256">
        <f>([8]Consolidated!L154)*(1/0.79941)</f>
        <v/>
      </c>
      <c r="M154" s="254">
        <f>([8]Consolidated!M154)*(1/0.79941)</f>
        <v/>
      </c>
      <c r="N154" s="249">
        <f>([8]Consolidated!N154)*(1/0.79941)</f>
        <v/>
      </c>
    </row>
    <row r="155" ht="12.75" customHeight="1" s="150">
      <c r="C155" s="245" t="inlineStr">
        <is>
          <t>Accomodation expenses</t>
        </is>
      </c>
      <c r="D155" s="254">
        <f>([8]Consolidated!D155)*(1/0.79941)</f>
        <v/>
      </c>
      <c r="E155" s="254">
        <f>([8]Consolidated!E155)*(1/0.79941)</f>
        <v/>
      </c>
      <c r="F155" s="254">
        <f>([8]Consolidated!F155)*(1/0.79941)</f>
        <v/>
      </c>
      <c r="G155" s="254">
        <f>([8]Consolidated!G155)*(1/0.79941)</f>
        <v/>
      </c>
      <c r="H155" s="254">
        <f>([8]Consolidated!H155)*(1/0.79941)</f>
        <v/>
      </c>
      <c r="I155" s="254">
        <f>([8]Consolidated!I155)*(1/0.79941)</f>
        <v/>
      </c>
      <c r="J155" s="256">
        <f>([8]Consolidated!J155)*(1/0.79941)</f>
        <v/>
      </c>
      <c r="K155" s="185" t="n"/>
      <c r="L155" s="256">
        <f>([8]Consolidated!L155)*(1/0.79941)</f>
        <v/>
      </c>
      <c r="M155" s="254">
        <f>([8]Consolidated!M155)*(1/0.79941)</f>
        <v/>
      </c>
      <c r="N155" s="249">
        <f>([8]Consolidated!N155)*(1/0.79941)</f>
        <v/>
      </c>
    </row>
    <row r="156" ht="12.75" customHeight="1" s="150">
      <c r="C156" s="245" t="inlineStr">
        <is>
          <t>Travel costs</t>
        </is>
      </c>
      <c r="D156" s="254">
        <f>([8]Consolidated!D156)*(1/0.79941)</f>
        <v/>
      </c>
      <c r="E156" s="254">
        <f>([8]Consolidated!E156)*(1/0.79941)</f>
        <v/>
      </c>
      <c r="F156" s="254">
        <f>([8]Consolidated!F156)*(1/0.79941)</f>
        <v/>
      </c>
      <c r="G156" s="254">
        <f>([8]Consolidated!G156)*(1/0.79941)</f>
        <v/>
      </c>
      <c r="H156" s="254">
        <f>([8]Consolidated!H156)*(1/0.79941)</f>
        <v/>
      </c>
      <c r="I156" s="254">
        <f>([8]Consolidated!I156)*(1/0.79941)</f>
        <v/>
      </c>
      <c r="J156" s="256">
        <f>([8]Consolidated!J156)*(1/0.79941)</f>
        <v/>
      </c>
      <c r="K156" s="185" t="n"/>
      <c r="L156" s="256">
        <f>([8]Consolidated!L156)*(1/0.79941)</f>
        <v/>
      </c>
      <c r="M156" s="254">
        <f>([8]Consolidated!M156)*(1/0.79941)</f>
        <v/>
      </c>
      <c r="N156" s="249">
        <f>([8]Consolidated!N156)*(1/0.79941)</f>
        <v/>
      </c>
    </row>
    <row r="157" ht="12.75" customHeight="1" s="150">
      <c r="C157" s="245" t="inlineStr">
        <is>
          <t>Postal and freight charges</t>
        </is>
      </c>
      <c r="D157" s="254">
        <f>([8]Consolidated!D157)*(1/0.79941)</f>
        <v/>
      </c>
      <c r="E157" s="254">
        <f>([8]Consolidated!E157)*(1/0.79941)</f>
        <v/>
      </c>
      <c r="F157" s="254">
        <f>([8]Consolidated!F157)*(1/0.79941)</f>
        <v/>
      </c>
      <c r="G157" s="254">
        <f>([8]Consolidated!G157)*(1/0.79941)</f>
        <v/>
      </c>
      <c r="H157" s="254">
        <f>([8]Consolidated!H157)*(1/0.79941)</f>
        <v/>
      </c>
      <c r="I157" s="254">
        <f>([8]Consolidated!I157)*(1/0.79941)</f>
        <v/>
      </c>
      <c r="J157" s="256">
        <f>([8]Consolidated!J157)*(1/0.79941)</f>
        <v/>
      </c>
      <c r="K157" s="185" t="n"/>
      <c r="L157" s="256">
        <f>([8]Consolidated!L157)*(1/0.79941)</f>
        <v/>
      </c>
      <c r="M157" s="254">
        <f>([8]Consolidated!M157)*(1/0.79941)</f>
        <v/>
      </c>
      <c r="N157" s="249">
        <f>([8]Consolidated!N157)*(1/0.79941)</f>
        <v/>
      </c>
    </row>
    <row r="158" ht="12.75" customHeight="1" s="150">
      <c r="C158" s="245" t="inlineStr">
        <is>
          <t>Prof serv and ext advisory fee</t>
        </is>
      </c>
      <c r="D158" s="254">
        <f>([8]Consolidated!D158)*(1/0.79941)</f>
        <v/>
      </c>
      <c r="E158" s="254">
        <f>([8]Consolidated!E158)*(1/0.79941)</f>
        <v/>
      </c>
      <c r="F158" s="254">
        <f>([8]Consolidated!F158)*(1/0.79941)</f>
        <v/>
      </c>
      <c r="G158" s="254">
        <f>([8]Consolidated!G158)*(1/0.79941)</f>
        <v/>
      </c>
      <c r="H158" s="254">
        <f>([8]Consolidated!H158)*(1/0.79941)</f>
        <v/>
      </c>
      <c r="I158" s="254">
        <f>([8]Consolidated!I158)*(1/0.79941)</f>
        <v/>
      </c>
      <c r="J158" s="256">
        <f>([8]Consolidated!J158)*(1/0.79941)</f>
        <v/>
      </c>
      <c r="K158" s="185" t="n"/>
      <c r="L158" s="256">
        <f>([8]Consolidated!L158)*(1/0.79941)</f>
        <v/>
      </c>
      <c r="M158" s="254">
        <f>([8]Consolidated!M158)*(1/0.79941)</f>
        <v/>
      </c>
      <c r="N158" s="249">
        <f>([8]Consolidated!N158)*(1/0.79941)</f>
        <v/>
      </c>
    </row>
    <row r="159" ht="12.75" customHeight="1" s="150">
      <c r="C159" s="245" t="inlineStr">
        <is>
          <t>Payment transfer expenses</t>
        </is>
      </c>
      <c r="D159" s="254">
        <f>([8]Consolidated!D159)*(1/0.79941)</f>
        <v/>
      </c>
      <c r="E159" s="254">
        <f>([8]Consolidated!E159)*(1/0.79941)</f>
        <v/>
      </c>
      <c r="F159" s="254">
        <f>([8]Consolidated!F159)*(1/0.79941)</f>
        <v/>
      </c>
      <c r="G159" s="254">
        <f>([8]Consolidated!G159)*(1/0.79941)</f>
        <v/>
      </c>
      <c r="H159" s="254">
        <f>([8]Consolidated!H159)*(1/0.79941)</f>
        <v/>
      </c>
      <c r="I159" s="254">
        <f>([8]Consolidated!I159)*(1/0.79941)</f>
        <v/>
      </c>
      <c r="J159" s="256">
        <f>([8]Consolidated!J159)*(1/0.79941)</f>
        <v/>
      </c>
      <c r="K159" s="185" t="n"/>
      <c r="L159" s="256">
        <f>([8]Consolidated!L159)*(1/0.79941)</f>
        <v/>
      </c>
      <c r="M159" s="254">
        <f>([8]Consolidated!M159)*(1/0.79941)</f>
        <v/>
      </c>
      <c r="N159" s="249">
        <f>([8]Consolidated!N159)*(1/0.79941)</f>
        <v/>
      </c>
    </row>
    <row r="160" ht="12.75" customHeight="1" s="150">
      <c r="C160" s="245" t="inlineStr">
        <is>
          <t>Other costs</t>
        </is>
      </c>
      <c r="D160" s="254">
        <f>([8]Consolidated!D160)*(1/0.79941)</f>
        <v/>
      </c>
      <c r="E160" s="254">
        <f>([8]Consolidated!E160)*(1/0.79941)</f>
        <v/>
      </c>
      <c r="F160" s="254">
        <f>([8]Consolidated!F160)*(1/0.79941)</f>
        <v/>
      </c>
      <c r="G160" s="254">
        <f>([8]Consolidated!G160)*(1/0.79941)</f>
        <v/>
      </c>
      <c r="H160" s="254">
        <f>([8]Consolidated!H160)*(1/0.79941)</f>
        <v/>
      </c>
      <c r="I160" s="254">
        <f>([8]Consolidated!I160)*(1/0.79941)</f>
        <v/>
      </c>
      <c r="J160" s="256">
        <f>([8]Consolidated!J160)*(1/0.79941)</f>
        <v/>
      </c>
      <c r="K160" s="185" t="n"/>
      <c r="L160" s="256">
        <f>([8]Consolidated!L160)*(1/0.79941)</f>
        <v/>
      </c>
      <c r="M160" s="254">
        <f>([8]Consolidated!M160)*(1/0.79941)</f>
        <v/>
      </c>
      <c r="N160" s="249">
        <f>([8]Consolidated!N160)*(1/0.79941)</f>
        <v/>
      </c>
    </row>
    <row r="161" ht="13.5" customHeight="1" s="150">
      <c r="C161" s="250" t="inlineStr">
        <is>
          <t>General expenses</t>
        </is>
      </c>
      <c r="D161" s="258">
        <f>([8]Consolidated!D161)*(1/0.79941)</f>
        <v/>
      </c>
      <c r="E161" s="258">
        <f>([8]Consolidated!E161)*(1/0.79941)</f>
        <v/>
      </c>
      <c r="F161" s="258">
        <f>([8]Consolidated!F161)*(1/0.79941)</f>
        <v/>
      </c>
      <c r="G161" s="258">
        <f>([8]Consolidated!G161)*(1/0.79941)</f>
        <v/>
      </c>
      <c r="H161" s="258">
        <f>([8]Consolidated!H161)*(1/0.79941)</f>
        <v/>
      </c>
      <c r="I161" s="258">
        <f>([8]Consolidated!I161)*(1/0.79941)</f>
        <v/>
      </c>
      <c r="J161" s="253">
        <f>([8]Consolidated!J161)*(1/0.79941)</f>
        <v/>
      </c>
      <c r="K161" s="185" t="n"/>
      <c r="L161" s="253">
        <f>([8]Consolidated!L161)*(1/0.79941)</f>
        <v/>
      </c>
      <c r="M161" s="258">
        <f>([8]Consolidated!M161)*(1/0.79941)</f>
        <v/>
      </c>
      <c r="N161" s="253">
        <f>([8]Consolidated!N161)*(1/0.79941)</f>
        <v/>
      </c>
    </row>
    <row r="162" ht="12.75" customHeight="1" s="150">
      <c r="C162" s="245" t="inlineStr">
        <is>
          <t>Own expenses</t>
        </is>
      </c>
      <c r="D162" s="254">
        <f>([8]Consolidated!D162)*(1/0.79941)</f>
        <v/>
      </c>
      <c r="E162" s="254">
        <f>([8]Consolidated!E162)*(1/0.79941)</f>
        <v/>
      </c>
      <c r="F162" s="254">
        <f>([8]Consolidated!F162)*(1/0.79941)</f>
        <v/>
      </c>
      <c r="G162" s="254">
        <f>([8]Consolidated!G162)*(1/0.79941)</f>
        <v/>
      </c>
      <c r="H162" s="254">
        <f>([8]Consolidated!H162)*(1/0.79941)</f>
        <v/>
      </c>
      <c r="I162" s="254">
        <f>([8]Consolidated!I162)*(1/0.79941)</f>
        <v/>
      </c>
      <c r="J162" s="256">
        <f>([8]Consolidated!J162)*(1/0.79941)</f>
        <v/>
      </c>
      <c r="K162" s="185" t="n"/>
      <c r="L162" s="256">
        <f>([8]Consolidated!L162)*(1/0.79941)</f>
        <v/>
      </c>
      <c r="M162" s="254">
        <f>([8]Consolidated!M162)*(1/0.79941)</f>
        <v/>
      </c>
      <c r="N162" s="259">
        <f>([8]Consolidated!N162)*(1/0.79941)</f>
        <v/>
      </c>
    </row>
    <row r="163" ht="12.75" customHeight="1" s="150">
      <c r="C163" s="245" t="inlineStr">
        <is>
          <t>Other expenses</t>
        </is>
      </c>
      <c r="D163" s="254">
        <f>([8]Consolidated!D163)*(1/0.79941)</f>
        <v/>
      </c>
      <c r="E163" s="254">
        <f>([8]Consolidated!E163)*(1/0.79941)</f>
        <v/>
      </c>
      <c r="F163" s="254">
        <f>([8]Consolidated!F163)*(1/0.79941)</f>
        <v/>
      </c>
      <c r="G163" s="254">
        <f>([8]Consolidated!G163)*(1/0.79941)</f>
        <v/>
      </c>
      <c r="H163" s="254">
        <f>([8]Consolidated!H163)*(1/0.79941)</f>
        <v/>
      </c>
      <c r="I163" s="254">
        <f>([8]Consolidated!I163)*(1/0.79941)</f>
        <v/>
      </c>
      <c r="J163" s="256">
        <f>([8]Consolidated!J163)*(1/0.79941)</f>
        <v/>
      </c>
      <c r="K163" s="185" t="n"/>
      <c r="L163" s="256">
        <f>([8]Consolidated!L163)*(1/0.79941)</f>
        <v/>
      </c>
      <c r="M163" s="254">
        <f>([8]Consolidated!M163)*(1/0.79941)</f>
        <v/>
      </c>
      <c r="N163" s="249">
        <f>([8]Consolidated!N163)*(1/0.79941)</f>
        <v/>
      </c>
    </row>
    <row r="164" ht="13.5" customHeight="1" s="150">
      <c r="C164" s="250" t="inlineStr">
        <is>
          <t xml:space="preserve">Operating expenses </t>
        </is>
      </c>
      <c r="D164" s="258">
        <f>([8]Consolidated!D164)*(1/0.79941)</f>
        <v/>
      </c>
      <c r="E164" s="258">
        <f>([8]Consolidated!E164)*(1/0.79941)</f>
        <v/>
      </c>
      <c r="F164" s="258">
        <f>([8]Consolidated!F164)*(1/0.79941)</f>
        <v/>
      </c>
      <c r="G164" s="258">
        <f>([8]Consolidated!G164)*(1/0.79941)</f>
        <v/>
      </c>
      <c r="H164" s="258">
        <f>([8]Consolidated!H164)*(1/0.79941)</f>
        <v/>
      </c>
      <c r="I164" s="258">
        <f>([8]Consolidated!I164)*(1/0.79941)</f>
        <v/>
      </c>
      <c r="J164" s="253">
        <f>([8]Consolidated!J164)*(1/0.79941)</f>
        <v/>
      </c>
      <c r="K164" s="185" t="n"/>
      <c r="L164" s="253">
        <f>([8]Consolidated!L164)*(1/0.79941)</f>
        <v/>
      </c>
      <c r="M164" s="258">
        <f>([8]Consolidated!M164)*(1/0.79941)</f>
        <v/>
      </c>
      <c r="N164" s="253">
        <f>([8]Consolidated!N164)*(1/0.79941)</f>
        <v/>
      </c>
    </row>
    <row r="165" ht="12.75" customHeight="1" s="150">
      <c r="C165" s="245" t="n"/>
      <c r="D165" s="254">
        <f>0*(1/0.79941)</f>
        <v/>
      </c>
      <c r="E165" s="254">
        <f>0*(1/0.79941)</f>
        <v/>
      </c>
      <c r="F165" s="254">
        <f>0*(1/0.79941)</f>
        <v/>
      </c>
      <c r="G165" s="254">
        <f>0*(1/0.79941)</f>
        <v/>
      </c>
      <c r="H165" s="254">
        <f>0*(1/0.79941)</f>
        <v/>
      </c>
      <c r="I165" s="254">
        <f>0*(1/0.79941)</f>
        <v/>
      </c>
      <c r="J165" s="260">
        <f>0*(1/0.79941)</f>
        <v/>
      </c>
      <c r="K165" s="185" t="n"/>
      <c r="L165" s="256">
        <f>0*(1/0.79941)</f>
        <v/>
      </c>
      <c r="M165" s="254">
        <f>0*(1/0.79941)</f>
        <v/>
      </c>
      <c r="N165" s="260">
        <f>0*(1/0.79941)</f>
        <v/>
      </c>
    </row>
    <row r="166" ht="12.75" customHeight="1" s="150">
      <c r="C166" s="245" t="inlineStr">
        <is>
          <t>HR &amp; Comms</t>
        </is>
      </c>
      <c r="D166" s="254">
        <f>([8]Consolidated!D166)*(1/0.79941)</f>
        <v/>
      </c>
      <c r="E166" s="254">
        <f>([8]Consolidated!E166)*(1/0.79941)</f>
        <v/>
      </c>
      <c r="F166" s="254">
        <f>([8]Consolidated!F166)*(1/0.79941)</f>
        <v/>
      </c>
      <c r="G166" s="254">
        <f>([8]Consolidated!G166)*(1/0.79941)</f>
        <v/>
      </c>
      <c r="H166" s="254">
        <f>([8]Consolidated!H166)*(1/0.79941)</f>
        <v/>
      </c>
      <c r="I166" s="254">
        <f>([8]Consolidated!I166)*(1/0.79941)</f>
        <v/>
      </c>
      <c r="J166" s="256">
        <f>([8]Consolidated!J166)*(1/0.79941)</f>
        <v/>
      </c>
      <c r="K166" s="185" t="n"/>
      <c r="L166" s="256">
        <f>([8]Consolidated!L166)*(1/0.79941)</f>
        <v/>
      </c>
      <c r="M166" s="254">
        <f>([8]Consolidated!M166)*(1/0.79941)</f>
        <v/>
      </c>
      <c r="N166" s="249">
        <f>([8]Consolidated!N166)*(1/0.79941)</f>
        <v/>
      </c>
    </row>
    <row r="167" ht="12.75" customHeight="1" s="150">
      <c r="C167" s="245" t="inlineStr">
        <is>
          <t>Finance &amp; Business Support</t>
        </is>
      </c>
      <c r="D167" s="254">
        <f>([8]Consolidated!D167)*(1/0.79941)</f>
        <v/>
      </c>
      <c r="E167" s="254">
        <f>([8]Consolidated!E167)*(1/0.79941)</f>
        <v/>
      </c>
      <c r="F167" s="254">
        <f>([8]Consolidated!F167)*(1/0.79941)</f>
        <v/>
      </c>
      <c r="G167" s="254">
        <f>([8]Consolidated!G167)*(1/0.79941)</f>
        <v/>
      </c>
      <c r="H167" s="254">
        <f>([8]Consolidated!H167)*(1/0.79941)</f>
        <v/>
      </c>
      <c r="I167" s="254">
        <f>([8]Consolidated!I167)*(1/0.79941)</f>
        <v/>
      </c>
      <c r="J167" s="256">
        <f>([8]Consolidated!J167)*(1/0.79941)</f>
        <v/>
      </c>
      <c r="K167" s="185" t="n"/>
      <c r="L167" s="256">
        <f>([8]Consolidated!L167)*(1/0.79941)</f>
        <v/>
      </c>
      <c r="M167" s="254">
        <f>([8]Consolidated!M167)*(1/0.79941)</f>
        <v/>
      </c>
      <c r="N167" s="249">
        <f>([8]Consolidated!N167)*(1/0.79941)</f>
        <v/>
      </c>
    </row>
    <row r="168" ht="12.75" customHeight="1" s="150">
      <c r="C168" s="245" t="inlineStr">
        <is>
          <t>IT alloc</t>
        </is>
      </c>
      <c r="D168" s="254">
        <f>([8]Consolidated!D168)*(1/0.79941)</f>
        <v/>
      </c>
      <c r="E168" s="254">
        <f>([8]Consolidated!E168)*(1/0.79941)</f>
        <v/>
      </c>
      <c r="F168" s="254">
        <f>([8]Consolidated!F168)*(1/0.79941)</f>
        <v/>
      </c>
      <c r="G168" s="254">
        <f>([8]Consolidated!G168)*(1/0.79941)</f>
        <v/>
      </c>
      <c r="H168" s="254">
        <f>([8]Consolidated!H168)*(1/0.79941)</f>
        <v/>
      </c>
      <c r="I168" s="254">
        <f>([8]Consolidated!I168)*(1/0.79941)</f>
        <v/>
      </c>
      <c r="J168" s="256">
        <f>([8]Consolidated!J168)*(1/0.79941)</f>
        <v/>
      </c>
      <c r="K168" s="185" t="n"/>
      <c r="L168" s="256">
        <f>([8]Consolidated!L168)*(1/0.79941)</f>
        <v/>
      </c>
      <c r="M168" s="254">
        <f>([8]Consolidated!M168)*(1/0.79941)</f>
        <v/>
      </c>
      <c r="N168" s="249">
        <f>([8]Consolidated!N168)*(1/0.79941)</f>
        <v/>
      </c>
    </row>
    <row r="169" ht="12.75" customHeight="1" s="150">
      <c r="C169" s="245" t="inlineStr">
        <is>
          <t>Facilities Management</t>
        </is>
      </c>
      <c r="D169" s="254">
        <f>([8]Consolidated!D169)*(1/0.79941)</f>
        <v/>
      </c>
      <c r="E169" s="254">
        <f>([8]Consolidated!E169)*(1/0.79941)</f>
        <v/>
      </c>
      <c r="F169" s="254">
        <f>([8]Consolidated!F169)*(1/0.79941)</f>
        <v/>
      </c>
      <c r="G169" s="254">
        <f>([8]Consolidated!G169)*(1/0.79941)</f>
        <v/>
      </c>
      <c r="H169" s="254">
        <f>([8]Consolidated!H169)*(1/0.79941)</f>
        <v/>
      </c>
      <c r="I169" s="254">
        <f>([8]Consolidated!I169)*(1/0.79941)</f>
        <v/>
      </c>
      <c r="J169" s="256">
        <f>([8]Consolidated!J169)*(1/0.79941)</f>
        <v/>
      </c>
      <c r="K169" s="185" t="n"/>
      <c r="L169" s="256">
        <f>([8]Consolidated!L169)*(1/0.79941)</f>
        <v/>
      </c>
      <c r="M169" s="254">
        <f>([8]Consolidated!M169)*(1/0.79941)</f>
        <v/>
      </c>
      <c r="N169" s="249">
        <f>([8]Consolidated!N169)*(1/0.79941)</f>
        <v/>
      </c>
    </row>
    <row r="170" ht="13.5" customHeight="1" s="150">
      <c r="C170" s="250" t="inlineStr">
        <is>
          <t>Overheads</t>
        </is>
      </c>
      <c r="D170" s="258">
        <f>([8]Consolidated!D170)*(1/0.79941)</f>
        <v/>
      </c>
      <c r="E170" s="258">
        <f>([8]Consolidated!E170)*(1/0.79941)</f>
        <v/>
      </c>
      <c r="F170" s="258">
        <f>([8]Consolidated!F170)*(1/0.79941)</f>
        <v/>
      </c>
      <c r="G170" s="258">
        <f>([8]Consolidated!G170)*(1/0.79941)</f>
        <v/>
      </c>
      <c r="H170" s="258">
        <f>([8]Consolidated!H170)*(1/0.79941)</f>
        <v/>
      </c>
      <c r="I170" s="258">
        <f>([8]Consolidated!I170)*(1/0.79941)</f>
        <v/>
      </c>
      <c r="J170" s="253">
        <f>([8]Consolidated!J170)*(1/0.79941)</f>
        <v/>
      </c>
      <c r="K170" s="185" t="n"/>
      <c r="L170" s="253">
        <f>([8]Consolidated!L170)*(1/0.79941)</f>
        <v/>
      </c>
      <c r="M170" s="258">
        <f>([8]Consolidated!M170)*(1/0.79941)</f>
        <v/>
      </c>
      <c r="N170" s="253">
        <f>([8]Consolidated!N170)*(1/0.79941)</f>
        <v/>
      </c>
    </row>
    <row r="171" ht="12.75" customHeight="1" s="150">
      <c r="C171" s="245" t="n"/>
      <c r="D171" s="254">
        <f>0*(1/0.79941)</f>
        <v/>
      </c>
      <c r="E171" s="254">
        <f>0*(1/0.79941)</f>
        <v/>
      </c>
      <c r="F171" s="254">
        <f>0*(1/0.79941)</f>
        <v/>
      </c>
      <c r="G171" s="254">
        <f>0*(1/0.79941)</f>
        <v/>
      </c>
      <c r="H171" s="254">
        <f>0*(1/0.79941)</f>
        <v/>
      </c>
      <c r="I171" s="254">
        <f>0*(1/0.79941)</f>
        <v/>
      </c>
      <c r="J171" s="260">
        <f>0*(1/0.79941)</f>
        <v/>
      </c>
      <c r="K171" s="185" t="n"/>
      <c r="L171" s="256">
        <f>0*(1/0.79941)</f>
        <v/>
      </c>
      <c r="M171" s="254">
        <f>0*(1/0.79941)</f>
        <v/>
      </c>
      <c r="N171" s="260">
        <f>0*(1/0.79941)</f>
        <v/>
      </c>
    </row>
    <row r="172" ht="13.5" customHeight="1" s="150">
      <c r="C172" s="250" t="inlineStr">
        <is>
          <t>Total Operating Costs (incl. O/H)</t>
        </is>
      </c>
      <c r="D172" s="258">
        <f>([8]Consolidated!D172)*(1/0.79941)</f>
        <v/>
      </c>
      <c r="E172" s="258">
        <f>([8]Consolidated!E172)*(1/0.79941)</f>
        <v/>
      </c>
      <c r="F172" s="258">
        <f>([8]Consolidated!F172)*(1/0.79941)</f>
        <v/>
      </c>
      <c r="G172" s="258">
        <f>([8]Consolidated!G172)*(1/0.79941)</f>
        <v/>
      </c>
      <c r="H172" s="258">
        <f>([8]Consolidated!H172)*(1/0.79941)</f>
        <v/>
      </c>
      <c r="I172" s="258">
        <f>([8]Consolidated!I172)*(1/0.79941)</f>
        <v/>
      </c>
      <c r="J172" s="253">
        <f>([8]Consolidated!J172)*(1/0.79941)</f>
        <v/>
      </c>
      <c r="K172" s="185" t="n"/>
      <c r="L172" s="253">
        <f>([8]Consolidated!L172)*(1/0.79941)</f>
        <v/>
      </c>
      <c r="M172" s="258">
        <f>([8]Consolidated!M172)*(1/0.79941)</f>
        <v/>
      </c>
      <c r="N172" s="253">
        <f>([8]Consolidated!N172)*(1/0.79941)</f>
        <v/>
      </c>
    </row>
  </sheetData>
  <printOptions horizontalCentered="0" verticalCentered="0" headings="0" gridLines="0" gridLinesSet="1"/>
  <pageMargins left="0.747916666666667" right="0.747916666666667" top="0.9840277777777779" bottom="0.9840277777777779"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radfords</dc:creator>
  <dc:language xmlns:dc="http://purl.org/dc/elements/1.1/">en-US</dc:language>
  <dcterms:created xmlns:dcterms="http://purl.org/dc/terms/" xmlns:xsi="http://www.w3.org/2001/XMLSchema-instance" xsi:type="dcterms:W3CDTF">2006-09-26T03:03:49Z</dcterms:created>
  <dcterms:modified xmlns:dcterms="http://purl.org/dc/terms/" xmlns:xsi="http://www.w3.org/2001/XMLSchema-instance" xsi:type="dcterms:W3CDTF">2026-02-11T03:52:20Z</dcterms:modified>
  <cp:lastModifiedBy>Wenger Plattner</cp:lastModifiedBy>
  <cp:revision>0</cp:revision>
</cp:coreProperties>
</file>
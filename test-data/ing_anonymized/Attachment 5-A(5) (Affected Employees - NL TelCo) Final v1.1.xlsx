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lad1" sheetId="2" state="visible" r:id="rId2"/>
  </sheets>
  <externalReferences>
    <externalReference xmlns:r="http://schemas.openxmlformats.org/officeDocument/2006/relationships" r:id="rId3"/>
  </externalReferences>
  <definedNames>
    <definedName name="critical" hidden="0" function="0" vbProcedure="0">'[1]Critical affected'!$A$3:$B$38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_-* #,##0.0_-;_-* #,##0.0\-;_-* \-??_-;_-@_-"/>
    <numFmt numFmtId="165" formatCode="[$-409]m/d/yyyy"/>
    <numFmt numFmtId="166" formatCode="_-* #,##0.00_-;_-* #,##0.00\-;_-* \-??_-;_-@_-"/>
  </numFmts>
  <fonts count="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b val="1"/>
      <sz val="12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>
        <color rgb="FFFFFFFF"/>
      </left>
      <right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>
        <color rgb="FFFFFFFF"/>
      </top>
      <bottom/>
      <diagonal/>
    </border>
    <border>
      <left style="thin"/>
      <right/>
      <top style="thin"/>
      <bottom style="thin"/>
      <diagonal/>
    </border>
    <border>
      <left style="thin">
        <color rgb="FFFFFFFF"/>
      </left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166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3" applyAlignment="1" pivotButton="0" quotePrefix="0" xfId="15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2" borderId="2" applyAlignment="1" pivotButton="0" quotePrefix="0" xfId="0">
      <alignment horizontal="general" vertical="top" wrapText="1"/>
    </xf>
    <xf numFmtId="164" fontId="0" fillId="2" borderId="2" applyAlignment="1" pivotButton="0" quotePrefix="0" xfId="15">
      <alignment horizontal="general" vertical="top" wrapText="1"/>
    </xf>
    <xf numFmtId="0" fontId="0" fillId="2" borderId="4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left" vertical="top" wrapText="1"/>
    </xf>
    <xf numFmtId="164" fontId="0" fillId="0" borderId="2" applyAlignment="1" pivotButton="0" quotePrefix="0" xfId="15">
      <alignment horizontal="general" vertical="bottom"/>
    </xf>
    <xf numFmtId="3" fontId="0" fillId="0" borderId="5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164" fontId="0" fillId="0" borderId="8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164" fontId="0" fillId="0" borderId="0" applyAlignment="1" pivotButton="0" quotePrefix="0" xfId="15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3" applyAlignment="1" pivotButton="0" quotePrefix="0" xfId="15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2" borderId="2" applyAlignment="1" pivotButton="0" quotePrefix="0" xfId="0">
      <alignment horizontal="general" vertical="top" wrapText="1"/>
    </xf>
    <xf numFmtId="164" fontId="0" fillId="2" borderId="2" applyAlignment="1" pivotButton="0" quotePrefix="0" xfId="15">
      <alignment horizontal="general" vertical="top" wrapText="1"/>
    </xf>
    <xf numFmtId="0" fontId="0" fillId="2" borderId="4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left" vertical="top" wrapText="1"/>
    </xf>
    <xf numFmtId="164" fontId="0" fillId="0" borderId="2" applyAlignment="1" pivotButton="0" quotePrefix="0" xfId="15">
      <alignment horizontal="general" vertical="bottom"/>
    </xf>
    <xf numFmtId="3" fontId="0" fillId="0" borderId="5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164" fontId="0" fillId="0" borderId="8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vpnlfap00171/pdv00171/PRNL000310/Werkdirectory%20Ton/Personele%20kosten%202006%20in%20scope%20afdelingen%20v2006120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utaties per maand per medw"/>
      <sheetName val="Overzicht fte in scope p team"/>
      <sheetName val="Teams in scope DETAIL"/>
      <sheetName val="Overzicht fte per team p maand"/>
      <sheetName val="Medw per vendor bundel"/>
      <sheetName val="Overzicht scope tbv OC"/>
      <sheetName val="Functies per team voor OC"/>
      <sheetName val="Postcode"/>
      <sheetName val="Critical affected"/>
      <sheetName val="Check"/>
      <sheetName val="Maatman input"/>
      <sheetName val="Sofinummers"/>
      <sheetName val="Attachment 5A"/>
      <sheetName val="Functies per team detail"/>
      <sheetName val="Overzicht teams tbv OC"/>
      <sheetName val="Overzicht grootte afd in scope"/>
      <sheetName val="Overzicht locatie"/>
      <sheetName val="Locatietabel"/>
      <sheetName val="Vertrokken medw"/>
      <sheetName val="Leeftijd"/>
      <sheetName val="Medwtabel op naam"/>
      <sheetName val="Uitgegeven volgnummers"/>
      <sheetName val="Afd in scope"/>
      <sheetName val="Geen vlees en bloed"/>
      <sheetName val="In scope overzicht"/>
      <sheetName val="Woon werk per vendor"/>
      <sheetName val="Input - Perskosten per maand"/>
      <sheetName val="Formule bepaling level 2,3, 4  "/>
      <sheetName val="Grafieken demografisch"/>
      <sheetName val="Demografi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30.99" customWidth="1" style="34" min="2" max="2"/>
  </cols>
  <sheetData>
    <row r="1" ht="13.2" customHeight="1" s="35">
      <c r="C1" s="36" t="n"/>
    </row>
    <row r="2" ht="13.2" customHeight="1" s="35">
      <c r="C2" s="36" t="n"/>
    </row>
    <row r="3" ht="13.2" customHeight="1" s="35">
      <c r="C3" s="36" t="n"/>
    </row>
    <row r="4" ht="13.2" customHeight="1" s="35">
      <c r="C4" s="36" t="n"/>
    </row>
    <row r="5" ht="13.2" customHeight="1" s="35">
      <c r="C5" s="36" t="n"/>
    </row>
    <row r="6" ht="13.2" customHeight="1" s="35">
      <c r="C6" s="36" t="n"/>
    </row>
    <row r="7" ht="13.2" customHeight="1" s="35">
      <c r="C7" s="36" t="n"/>
    </row>
    <row r="8" ht="13.2" customHeight="1" s="35">
      <c r="C8" s="36" t="n"/>
    </row>
    <row r="9" ht="13.2" customHeight="1" s="35">
      <c r="C9" s="36" t="n"/>
    </row>
    <row r="10" ht="13.2" customHeight="1" s="35">
      <c r="C10" s="36" t="n"/>
    </row>
    <row r="11" ht="20.4" customHeight="1" s="35">
      <c r="C11" s="37" t="inlineStr">
        <is>
          <t>EuroBank</t>
        </is>
      </c>
      <c r="D11" s="38" t="n"/>
      <c r="E11" s="38" t="n"/>
      <c r="F11" s="38" t="n"/>
    </row>
    <row r="12" ht="20.4" customHeight="1" s="35">
      <c r="C12" s="37" t="n"/>
      <c r="D12" s="38" t="n"/>
      <c r="E12" s="38" t="n"/>
      <c r="F12" s="38" t="n"/>
    </row>
    <row r="13" ht="20.4" customHeight="1" s="35">
      <c r="C13" s="37" t="n"/>
      <c r="D13" s="38" t="n"/>
      <c r="E13" s="38" t="n"/>
      <c r="F13" s="38" t="n"/>
    </row>
    <row r="14" ht="20.4" customHeight="1" s="35">
      <c r="C14" s="37" t="n"/>
      <c r="D14" s="38" t="n"/>
      <c r="E14" s="38" t="n"/>
      <c r="F14" s="38" t="n"/>
    </row>
    <row r="15" ht="20.4" customHeight="1" s="35">
      <c r="C15" s="37" t="n"/>
      <c r="D15" s="38" t="n"/>
      <c r="E15" s="38" t="n"/>
      <c r="F15" s="38" t="n"/>
    </row>
    <row r="16" ht="20.4" customHeight="1" s="35">
      <c r="C16" s="37" t="inlineStr">
        <is>
          <t>ATTACHMENT 5-A (5)</t>
        </is>
      </c>
      <c r="D16" s="38" t="n"/>
      <c r="E16" s="38" t="n"/>
      <c r="F16" s="38" t="n"/>
    </row>
    <row r="17" ht="20.4" customHeight="1" s="35">
      <c r="C17" s="37" t="n"/>
      <c r="D17" s="38" t="n"/>
      <c r="E17" s="38" t="n"/>
      <c r="F17" s="38" t="n"/>
    </row>
    <row r="18" ht="20.4" customHeight="1" s="35">
      <c r="C18" s="37" t="inlineStr">
        <is>
          <t>AFFECTED EMPLOYEES</t>
        </is>
      </c>
      <c r="D18" s="38" t="n"/>
      <c r="E18" s="38" t="n"/>
      <c r="F18" s="38" t="n"/>
    </row>
    <row r="19" ht="20.4" customHeight="1" s="35">
      <c r="C19" s="37" t="inlineStr">
        <is>
          <t>Attachment to Exhibit 5 (Human Resources Provisions)</t>
        </is>
      </c>
      <c r="D19" s="38" t="n"/>
      <c r="E19" s="38" t="n"/>
      <c r="F19" s="38" t="n"/>
    </row>
    <row r="20" ht="13.2" customHeight="1" s="35">
      <c r="C20" s="36" t="n"/>
    </row>
    <row r="21" ht="13.2" customHeight="1" s="35">
      <c r="C21" s="36" t="n"/>
    </row>
    <row r="22" ht="20.4" customHeight="1" s="35">
      <c r="C22" s="37" t="inlineStr">
        <is>
          <t>(TelCo - Netherlands)</t>
        </is>
      </c>
    </row>
    <row r="23" ht="13.2" customHeight="1" s="35">
      <c r="C23" s="36" t="n"/>
    </row>
    <row r="24" ht="13.2" customHeight="1" s="35">
      <c r="C24" s="36" t="n"/>
    </row>
    <row r="25" ht="13.2" customHeight="1" s="35">
      <c r="C25" s="36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73"/>
  <sheetViews>
    <sheetView showFormulas="0" showGridLines="1" showRowColHeaders="1" showZeros="1" rightToLeft="0" tabSelected="1" showOutlineSymbols="1" defaultGridColor="1" view="pageBreakPreview" topLeftCell="A1" colorId="64" zoomScale="100" zoomScaleNormal="100" zoomScalePageLayoutView="100" workbookViewId="0">
      <pane xSplit="0" ySplit="8" topLeftCell="BM9" activePane="bottomLeft" state="frozen"/>
      <selection pane="topLeft" activeCell="A1" activeCellId="0" sqref="A1"/>
      <selection pane="bottomLeft" activeCell="M9" activeCellId="0" sqref="M9"/>
    </sheetView>
  </sheetViews>
  <sheetFormatPr baseColWidth="8" defaultColWidth="9.0546875" defaultRowHeight="13.2" customHeight="1" zeroHeight="0" outlineLevelRow="0"/>
  <cols>
    <col width="16.32" customWidth="1" style="34" min="1" max="1"/>
    <col width="11.55" customWidth="1" style="34" min="2" max="2"/>
    <col width="6.66" customWidth="1" style="34" min="3" max="3"/>
    <col width="5.99" customWidth="1" style="34" min="4" max="4"/>
    <col width="9.33" customWidth="1" style="34" min="5" max="5"/>
    <col width="16.32" customWidth="1" style="34" min="6" max="6"/>
    <col width="13.87" customWidth="1" style="34" min="7" max="7"/>
    <col width="9.99" customWidth="1" style="34" min="8" max="8"/>
  </cols>
  <sheetData>
    <row r="1" ht="15.6" customHeight="1" s="35">
      <c r="A1" s="39" t="inlineStr">
        <is>
          <t>Attachment 5A</t>
        </is>
      </c>
      <c r="C1" s="40" t="n"/>
      <c r="D1" s="41" t="n"/>
      <c r="E1" s="42" t="inlineStr">
        <is>
          <t>NL</t>
        </is>
      </c>
      <c r="F1" s="41" t="n"/>
      <c r="G1" s="43" t="n"/>
      <c r="H1" s="41" t="n"/>
      <c r="I1" s="41" t="n"/>
      <c r="J1" s="44" t="n"/>
    </row>
    <row r="2" ht="15.6" customHeight="1" s="35">
      <c r="A2" s="39" t="n"/>
      <c r="B2" s="39" t="n"/>
      <c r="C2" s="45" t="n"/>
      <c r="E2" s="36" t="n"/>
      <c r="G2" s="36" t="n"/>
      <c r="J2" s="46" t="n"/>
    </row>
    <row r="3" ht="13.2" customHeight="1" s="35">
      <c r="C3" s="45" t="n"/>
      <c r="E3" s="36" t="n"/>
      <c r="G3" s="36" t="n"/>
      <c r="J3" s="46" t="n"/>
    </row>
    <row r="4" ht="13.2" customHeight="1" s="35">
      <c r="A4" s="47" t="inlineStr">
        <is>
          <t>Afdeling in scope?</t>
        </is>
      </c>
      <c r="B4" s="47" t="inlineStr">
        <is>
          <t>X</t>
        </is>
      </c>
      <c r="C4" s="45" t="n"/>
      <c r="E4" s="36" t="n"/>
      <c r="G4" s="36" t="n"/>
      <c r="J4" s="46" t="n"/>
    </row>
    <row r="5" ht="13.2" customHeight="1" s="35">
      <c r="A5" s="47" t="inlineStr">
        <is>
          <t>Peildatum</t>
        </is>
      </c>
      <c r="B5" s="48" t="n">
        <v>39052</v>
      </c>
      <c r="C5" s="45" t="n"/>
      <c r="E5" s="36" t="n"/>
      <c r="G5" s="36" t="n"/>
      <c r="J5" s="46" t="n"/>
    </row>
    <row r="6" ht="13.2" customHeight="1" s="35">
      <c r="C6" s="45" t="n"/>
      <c r="E6" s="36" t="n"/>
      <c r="G6" s="36" t="n"/>
      <c r="J6" s="46" t="n"/>
    </row>
    <row r="7" ht="13.2" customHeight="1" s="35">
      <c r="A7" s="49" t="inlineStr">
        <is>
          <t># medw</t>
        </is>
      </c>
      <c r="B7" s="50" t="n"/>
      <c r="C7" s="51" t="n"/>
      <c r="D7" s="50" t="n"/>
      <c r="E7" s="52" t="n"/>
      <c r="G7" s="36" t="n"/>
      <c r="J7" s="46" t="n"/>
    </row>
    <row r="8" ht="26.4" customHeight="1" s="35">
      <c r="A8" s="53" t="inlineStr">
        <is>
          <t>Vendor</t>
        </is>
      </c>
      <c r="B8" s="53" t="inlineStr">
        <is>
          <t>Persid</t>
        </is>
      </c>
      <c r="C8" s="54" t="inlineStr">
        <is>
          <t>Fte</t>
        </is>
      </c>
      <c r="D8" s="53" t="inlineStr">
        <is>
          <t>Bundel</t>
        </is>
      </c>
      <c r="E8" s="55" t="inlineStr">
        <is>
          <t>Totaal</t>
        </is>
      </c>
      <c r="F8" s="56" t="inlineStr">
        <is>
          <t>Vrijwilliger</t>
        </is>
      </c>
      <c r="G8" s="57" t="inlineStr">
        <is>
          <t>Hardheidsclausule</t>
        </is>
      </c>
      <c r="H8" s="56" t="inlineStr">
        <is>
          <t>Critical affected</t>
        </is>
      </c>
      <c r="I8" s="58" t="inlineStr">
        <is>
          <t>Opmerking</t>
        </is>
      </c>
      <c r="J8" s="58" t="inlineStr">
        <is>
          <t>Afdeling vrijwilliger</t>
        </is>
      </c>
    </row>
    <row r="9" ht="13.2" customHeight="1" s="35">
      <c r="A9" s="49" t="inlineStr">
        <is>
          <t>TelCo</t>
        </is>
      </c>
      <c r="B9" s="49" t="n">
        <v>10</v>
      </c>
      <c r="C9" s="59" t="n">
        <v>1</v>
      </c>
      <c r="D9" s="49" t="inlineStr">
        <is>
          <t>Voice</t>
        </is>
      </c>
      <c r="E9" s="60" t="n">
        <v>1</v>
      </c>
      <c r="F9" s="52" t="n"/>
      <c r="G9" s="47" t="n"/>
      <c r="H9" s="52" t="n"/>
      <c r="I9" s="47" t="n"/>
      <c r="J9" s="61" t="n"/>
    </row>
    <row r="10" ht="13.2" customHeight="1" s="35">
      <c r="A10" s="62" t="n"/>
      <c r="B10" s="49" t="n">
        <v>17</v>
      </c>
      <c r="C10" s="59" t="n">
        <v>1</v>
      </c>
      <c r="D10" s="49" t="inlineStr">
        <is>
          <t>Voice</t>
        </is>
      </c>
      <c r="E10" s="60" t="n">
        <v>1</v>
      </c>
      <c r="F10" s="52" t="n"/>
      <c r="G10" s="47" t="n"/>
      <c r="H10" s="52" t="n"/>
      <c r="I10" s="47" t="n"/>
      <c r="J10" s="61" t="n"/>
    </row>
    <row r="11" ht="13.2" customHeight="1" s="35">
      <c r="A11" s="62" t="n"/>
      <c r="B11" s="49" t="n">
        <v>45</v>
      </c>
      <c r="C11" s="59" t="n">
        <v>1</v>
      </c>
      <c r="D11" s="49" t="inlineStr">
        <is>
          <t>Voice</t>
        </is>
      </c>
      <c r="E11" s="60" t="n">
        <v>1</v>
      </c>
      <c r="F11" s="52" t="n"/>
      <c r="G11" s="47" t="n"/>
      <c r="H11" s="52" t="n"/>
      <c r="I11" s="47" t="n"/>
      <c r="J11" s="61" t="n"/>
    </row>
    <row r="12" ht="13.2" customHeight="1" s="35">
      <c r="A12" s="62" t="n"/>
      <c r="B12" s="49" t="n">
        <v>46</v>
      </c>
      <c r="C12" s="59" t="n">
        <v>1</v>
      </c>
      <c r="D12" s="49" t="inlineStr">
        <is>
          <t>Voice</t>
        </is>
      </c>
      <c r="E12" s="60" t="n">
        <v>1</v>
      </c>
      <c r="F12" s="52" t="n"/>
      <c r="G12" s="47" t="n"/>
      <c r="H12" s="52" t="n"/>
      <c r="I12" s="47" t="n"/>
      <c r="J12" s="61" t="n"/>
    </row>
    <row r="13" ht="13.2" customHeight="1" s="35">
      <c r="A13" s="62" t="n"/>
      <c r="B13" s="49" t="n">
        <v>367</v>
      </c>
      <c r="C13" s="59" t="n">
        <v>1</v>
      </c>
      <c r="D13" s="49" t="inlineStr">
        <is>
          <t>Voice</t>
        </is>
      </c>
      <c r="E13" s="60" t="n">
        <v>1</v>
      </c>
      <c r="F13" s="52" t="n"/>
      <c r="G13" s="47" t="n"/>
      <c r="H13" s="52" t="n"/>
      <c r="I13" s="47" t="n"/>
      <c r="J13" s="61" t="n"/>
    </row>
    <row r="14" ht="13.2" customHeight="1" s="35">
      <c r="A14" s="62" t="n"/>
      <c r="B14" s="49" t="n">
        <v>368</v>
      </c>
      <c r="C14" s="59" t="n">
        <v>1</v>
      </c>
      <c r="D14" s="49" t="inlineStr">
        <is>
          <t>Voice</t>
        </is>
      </c>
      <c r="E14" s="60" t="n">
        <v>1</v>
      </c>
      <c r="F14" s="52" t="n"/>
      <c r="G14" s="47" t="n"/>
      <c r="H14" s="52" t="n"/>
      <c r="I14" s="47" t="n"/>
      <c r="J14" s="61" t="n"/>
    </row>
    <row r="15" ht="13.2" customHeight="1" s="35">
      <c r="A15" s="62" t="n"/>
      <c r="B15" s="49" t="n">
        <v>369</v>
      </c>
      <c r="C15" s="59" t="n">
        <v>1</v>
      </c>
      <c r="D15" s="49" t="inlineStr">
        <is>
          <t>Voice</t>
        </is>
      </c>
      <c r="E15" s="60" t="n">
        <v>1</v>
      </c>
      <c r="F15" s="52" t="n"/>
      <c r="G15" s="47" t="n"/>
      <c r="H15" s="52" t="n"/>
      <c r="I15" s="47" t="n"/>
      <c r="J15" s="61" t="n"/>
    </row>
    <row r="16" ht="13.2" customHeight="1" s="35">
      <c r="A16" s="62" t="n"/>
      <c r="B16" s="49" t="n">
        <v>427</v>
      </c>
      <c r="C16" s="59" t="n">
        <v>1</v>
      </c>
      <c r="D16" s="49" t="inlineStr">
        <is>
          <t>Voice</t>
        </is>
      </c>
      <c r="E16" s="60" t="n">
        <v>1</v>
      </c>
      <c r="F16" s="52" t="n"/>
      <c r="G16" s="47" t="n"/>
      <c r="H16" s="52" t="inlineStr">
        <is>
          <t>X</t>
        </is>
      </c>
      <c r="I16" s="47" t="n"/>
      <c r="J16" s="61" t="n"/>
    </row>
    <row r="17" ht="13.2" customHeight="1" s="35">
      <c r="A17" s="62" t="n"/>
      <c r="B17" s="49" t="n">
        <v>430</v>
      </c>
      <c r="C17" s="59" t="n">
        <v>1</v>
      </c>
      <c r="D17" s="49" t="inlineStr">
        <is>
          <t>Voice</t>
        </is>
      </c>
      <c r="E17" s="60" t="n">
        <v>1</v>
      </c>
      <c r="F17" s="52" t="n"/>
      <c r="G17" s="47" t="n"/>
      <c r="H17" s="52" t="inlineStr">
        <is>
          <t>X</t>
        </is>
      </c>
      <c r="I17" s="47" t="n"/>
      <c r="J17" s="61" t="n"/>
    </row>
    <row r="18" ht="13.2" customHeight="1" s="35">
      <c r="A18" s="62" t="n"/>
      <c r="B18" s="49" t="n">
        <v>446</v>
      </c>
      <c r="C18" s="59" t="n">
        <v>1</v>
      </c>
      <c r="D18" s="49" t="inlineStr">
        <is>
          <t>Voice</t>
        </is>
      </c>
      <c r="E18" s="60" t="n">
        <v>1</v>
      </c>
      <c r="F18" s="52" t="n"/>
      <c r="G18" s="47" t="n"/>
      <c r="H18" s="52" t="n"/>
      <c r="I18" s="47" t="n"/>
      <c r="J18" s="61" t="n"/>
    </row>
    <row r="19" ht="13.2" customHeight="1" s="35">
      <c r="A19" s="62" t="n"/>
      <c r="B19" s="49" t="n">
        <v>447</v>
      </c>
      <c r="C19" s="59" t="n">
        <v>1</v>
      </c>
      <c r="D19" s="49" t="inlineStr">
        <is>
          <t>Voice</t>
        </is>
      </c>
      <c r="E19" s="60" t="n">
        <v>1</v>
      </c>
      <c r="F19" s="52" t="n"/>
      <c r="G19" s="47" t="n"/>
      <c r="H19" s="52" t="n"/>
      <c r="I19" s="47" t="n"/>
      <c r="J19" s="61" t="n"/>
    </row>
    <row r="20" ht="13.2" customHeight="1" s="35">
      <c r="A20" s="62" t="n"/>
      <c r="B20" s="49" t="n">
        <v>448</v>
      </c>
      <c r="C20" s="59" t="n">
        <v>0.888888888888889</v>
      </c>
      <c r="D20" s="49" t="inlineStr">
        <is>
          <t>Voice</t>
        </is>
      </c>
      <c r="E20" s="60" t="n">
        <v>1</v>
      </c>
      <c r="F20" s="52" t="n"/>
      <c r="G20" s="47" t="n"/>
      <c r="H20" s="52" t="n"/>
      <c r="I20" s="47" t="n"/>
      <c r="J20" s="61" t="n"/>
    </row>
    <row r="21" ht="13.2" customHeight="1" s="35">
      <c r="A21" s="62" t="n"/>
      <c r="B21" s="49" t="n">
        <v>449</v>
      </c>
      <c r="C21" s="59" t="n">
        <v>1</v>
      </c>
      <c r="D21" s="49" t="inlineStr">
        <is>
          <t>Voice</t>
        </is>
      </c>
      <c r="E21" s="60" t="n">
        <v>1</v>
      </c>
      <c r="F21" s="52" t="n"/>
      <c r="G21" s="47" t="n"/>
      <c r="H21" s="52" t="n"/>
      <c r="I21" s="47" t="n"/>
      <c r="J21" s="61" t="n"/>
    </row>
    <row r="22" ht="13.2" customHeight="1" s="35">
      <c r="A22" s="62" t="n"/>
      <c r="B22" s="49" t="n">
        <v>450</v>
      </c>
      <c r="C22" s="59" t="n">
        <v>0.888888888888889</v>
      </c>
      <c r="D22" s="49" t="inlineStr">
        <is>
          <t>Voice</t>
        </is>
      </c>
      <c r="E22" s="60" t="n">
        <v>1</v>
      </c>
      <c r="F22" s="52" t="n"/>
      <c r="G22" s="47" t="n"/>
      <c r="H22" s="52" t="n"/>
      <c r="I22" s="47" t="n"/>
      <c r="J22" s="61" t="n"/>
    </row>
    <row r="23" ht="13.2" customHeight="1" s="35">
      <c r="A23" s="62" t="n"/>
      <c r="B23" s="49" t="n">
        <v>452</v>
      </c>
      <c r="C23" s="59" t="n">
        <v>1</v>
      </c>
      <c r="D23" s="49" t="inlineStr">
        <is>
          <t>Voice</t>
        </is>
      </c>
      <c r="E23" s="60" t="n">
        <v>1</v>
      </c>
      <c r="F23" s="52" t="n"/>
      <c r="G23" s="47" t="n"/>
      <c r="H23" s="52" t="n"/>
      <c r="I23" s="47" t="n"/>
      <c r="J23" s="61" t="n"/>
    </row>
    <row r="24" ht="13.2" customHeight="1" s="35">
      <c r="A24" s="62" t="n"/>
      <c r="B24" s="49" t="n">
        <v>453</v>
      </c>
      <c r="C24" s="59" t="n">
        <v>0.888888888888889</v>
      </c>
      <c r="D24" s="49" t="inlineStr">
        <is>
          <t>Voice</t>
        </is>
      </c>
      <c r="E24" s="60" t="n">
        <v>1</v>
      </c>
      <c r="F24" s="52" t="n"/>
      <c r="G24" s="47" t="n"/>
      <c r="H24" s="52" t="n"/>
      <c r="I24" s="47" t="n"/>
      <c r="J24" s="61" t="n"/>
    </row>
    <row r="25" ht="13.2" customHeight="1" s="35">
      <c r="A25" s="62" t="n"/>
      <c r="B25" s="49" t="n">
        <v>454</v>
      </c>
      <c r="C25" s="59" t="n">
        <v>1</v>
      </c>
      <c r="D25" s="49" t="inlineStr">
        <is>
          <t>Voice</t>
        </is>
      </c>
      <c r="E25" s="60" t="n">
        <v>1</v>
      </c>
      <c r="F25" s="52" t="n"/>
      <c r="G25" s="47" t="n"/>
      <c r="H25" s="52" t="n"/>
      <c r="I25" s="47" t="n"/>
      <c r="J25" s="61" t="n"/>
    </row>
    <row r="26" ht="13.2" customHeight="1" s="35">
      <c r="A26" s="62" t="n"/>
      <c r="B26" s="49" t="n">
        <v>455</v>
      </c>
      <c r="C26" s="59" t="n">
        <v>1</v>
      </c>
      <c r="D26" s="49" t="inlineStr">
        <is>
          <t>Voice</t>
        </is>
      </c>
      <c r="E26" s="60" t="n">
        <v>1</v>
      </c>
      <c r="F26" s="52" t="n"/>
      <c r="G26" s="47" t="n"/>
      <c r="H26" s="52" t="n"/>
      <c r="I26" s="47" t="n"/>
      <c r="J26" s="61" t="n"/>
    </row>
    <row r="27" ht="13.2" customHeight="1" s="35">
      <c r="A27" s="62" t="n"/>
      <c r="B27" s="49" t="n">
        <v>456</v>
      </c>
      <c r="C27" s="59" t="n">
        <v>0.777777777777778</v>
      </c>
      <c r="D27" s="49" t="inlineStr">
        <is>
          <t>Voice</t>
        </is>
      </c>
      <c r="E27" s="60" t="n">
        <v>1</v>
      </c>
      <c r="F27" s="52" t="n"/>
      <c r="G27" s="47" t="n"/>
      <c r="H27" s="52" t="n"/>
      <c r="I27" s="47" t="n"/>
      <c r="J27" s="61" t="n"/>
    </row>
    <row r="28" ht="13.2" customHeight="1" s="35">
      <c r="A28" s="62" t="n"/>
      <c r="B28" s="49" t="n">
        <v>457</v>
      </c>
      <c r="C28" s="59" t="n">
        <v>0.888888888888889</v>
      </c>
      <c r="D28" s="49" t="inlineStr">
        <is>
          <t>Voice</t>
        </is>
      </c>
      <c r="E28" s="60" t="n">
        <v>1</v>
      </c>
      <c r="F28" s="52" t="n"/>
      <c r="G28" s="47" t="n"/>
      <c r="H28" s="52" t="n"/>
      <c r="I28" s="47" t="n"/>
      <c r="J28" s="61" t="n"/>
    </row>
    <row r="29" ht="13.2" customHeight="1" s="35">
      <c r="A29" s="62" t="n"/>
      <c r="B29" s="49" t="n">
        <v>459</v>
      </c>
      <c r="C29" s="59" t="n">
        <v>1</v>
      </c>
      <c r="D29" s="49" t="inlineStr">
        <is>
          <t>Voice</t>
        </is>
      </c>
      <c r="E29" s="60" t="n">
        <v>1</v>
      </c>
      <c r="F29" s="52" t="n"/>
      <c r="G29" s="47" t="n"/>
      <c r="H29" s="52" t="n"/>
      <c r="I29" s="47" t="n"/>
      <c r="J29" s="61" t="n"/>
    </row>
    <row r="30" ht="13.2" customHeight="1" s="35">
      <c r="A30" s="62" t="n"/>
      <c r="B30" s="49" t="n">
        <v>460</v>
      </c>
      <c r="C30" s="59" t="n">
        <v>1</v>
      </c>
      <c r="D30" s="49" t="inlineStr">
        <is>
          <t>Voice</t>
        </is>
      </c>
      <c r="E30" s="60" t="n">
        <v>1</v>
      </c>
      <c r="F30" s="52" t="n"/>
      <c r="G30" s="47" t="n"/>
      <c r="H30" s="52" t="n"/>
      <c r="I30" s="47" t="n"/>
      <c r="J30" s="61" t="n"/>
    </row>
    <row r="31" ht="13.2" customHeight="1" s="35">
      <c r="A31" s="62" t="n"/>
      <c r="B31" s="49" t="n">
        <v>461</v>
      </c>
      <c r="C31" s="59" t="n">
        <v>1</v>
      </c>
      <c r="D31" s="49" t="inlineStr">
        <is>
          <t>Voice</t>
        </is>
      </c>
      <c r="E31" s="60" t="n">
        <v>1</v>
      </c>
      <c r="F31" s="52" t="n"/>
      <c r="G31" s="47" t="n"/>
      <c r="H31" s="52" t="n"/>
      <c r="I31" s="47" t="n"/>
      <c r="J31" s="61" t="n"/>
    </row>
    <row r="32" ht="13.2" customHeight="1" s="35">
      <c r="A32" s="62" t="n"/>
      <c r="B32" s="49" t="n">
        <v>462</v>
      </c>
      <c r="C32" s="59" t="n">
        <v>1</v>
      </c>
      <c r="D32" s="49" t="inlineStr">
        <is>
          <t>Voice</t>
        </is>
      </c>
      <c r="E32" s="60" t="n">
        <v>1</v>
      </c>
      <c r="F32" s="52" t="n"/>
      <c r="G32" s="47" t="n"/>
      <c r="H32" s="52" t="n"/>
      <c r="I32" s="47" t="n"/>
      <c r="J32" s="61" t="n"/>
    </row>
    <row r="33" ht="13.2" customHeight="1" s="35">
      <c r="A33" s="62" t="n"/>
      <c r="B33" s="49" t="n">
        <v>463</v>
      </c>
      <c r="C33" s="59" t="n">
        <v>1</v>
      </c>
      <c r="D33" s="49" t="inlineStr">
        <is>
          <t>Voice</t>
        </is>
      </c>
      <c r="E33" s="60" t="n">
        <v>1</v>
      </c>
      <c r="F33" s="52" t="n"/>
      <c r="G33" s="47" t="n"/>
      <c r="H33" s="52" t="n"/>
      <c r="I33" s="47" t="n"/>
      <c r="J33" s="61" t="n"/>
    </row>
    <row r="34" ht="13.2" customHeight="1" s="35">
      <c r="A34" s="62" t="n"/>
      <c r="B34" s="49" t="n">
        <v>464</v>
      </c>
      <c r="C34" s="59" t="n">
        <v>1</v>
      </c>
      <c r="D34" s="49" t="inlineStr">
        <is>
          <t>Voice</t>
        </is>
      </c>
      <c r="E34" s="60" t="n">
        <v>1</v>
      </c>
      <c r="F34" s="52" t="n"/>
      <c r="G34" s="47" t="n"/>
      <c r="H34" s="52" t="n"/>
      <c r="I34" s="47" t="n"/>
      <c r="J34" s="61" t="n"/>
    </row>
    <row r="35" ht="13.2" customHeight="1" s="35">
      <c r="A35" s="62" t="n"/>
      <c r="B35" s="49" t="n">
        <v>465</v>
      </c>
      <c r="C35" s="59" t="n">
        <v>1</v>
      </c>
      <c r="D35" s="49" t="inlineStr">
        <is>
          <t>Voice</t>
        </is>
      </c>
      <c r="E35" s="60" t="n">
        <v>1</v>
      </c>
      <c r="F35" s="52" t="n"/>
      <c r="G35" s="47" t="n"/>
      <c r="H35" s="52" t="n"/>
      <c r="I35" s="47" t="n"/>
      <c r="J35" s="61" t="n"/>
    </row>
    <row r="36" ht="13.2" customHeight="1" s="35">
      <c r="A36" s="62" t="n"/>
      <c r="B36" s="49" t="n">
        <v>466</v>
      </c>
      <c r="C36" s="59" t="n">
        <v>1</v>
      </c>
      <c r="D36" s="49" t="inlineStr">
        <is>
          <t>Voice</t>
        </is>
      </c>
      <c r="E36" s="60" t="n">
        <v>1</v>
      </c>
      <c r="F36" s="52" t="n"/>
      <c r="G36" s="47" t="n"/>
      <c r="H36" s="52" t="n"/>
      <c r="I36" s="47" t="n"/>
      <c r="J36" s="61" t="n"/>
    </row>
    <row r="37" ht="13.2" customHeight="1" s="35">
      <c r="A37" s="62" t="n"/>
      <c r="B37" s="49" t="n">
        <v>467</v>
      </c>
      <c r="C37" s="59" t="n">
        <v>1</v>
      </c>
      <c r="D37" s="49" t="inlineStr">
        <is>
          <t>Voice</t>
        </is>
      </c>
      <c r="E37" s="60" t="n">
        <v>1</v>
      </c>
      <c r="F37" s="52" t="n"/>
      <c r="G37" s="47" t="n"/>
      <c r="H37" s="52" t="n"/>
      <c r="I37" s="47" t="n"/>
      <c r="J37" s="61" t="n"/>
    </row>
    <row r="38" ht="13.2" customHeight="1" s="35">
      <c r="A38" s="62" t="n"/>
      <c r="B38" s="49" t="n">
        <v>468</v>
      </c>
      <c r="C38" s="59" t="n">
        <v>1</v>
      </c>
      <c r="D38" s="49" t="inlineStr">
        <is>
          <t>Voice</t>
        </is>
      </c>
      <c r="E38" s="60" t="n">
        <v>1</v>
      </c>
      <c r="F38" s="52" t="n"/>
      <c r="G38" s="47" t="n"/>
      <c r="H38" s="52" t="n"/>
      <c r="I38" s="47" t="n"/>
      <c r="J38" s="61" t="n"/>
    </row>
    <row r="39" ht="13.2" customHeight="1" s="35">
      <c r="A39" s="62" t="n"/>
      <c r="B39" s="49" t="n">
        <v>469</v>
      </c>
      <c r="C39" s="59" t="n">
        <v>1</v>
      </c>
      <c r="D39" s="49" t="inlineStr">
        <is>
          <t>Voice</t>
        </is>
      </c>
      <c r="E39" s="60" t="n">
        <v>1</v>
      </c>
      <c r="F39" s="52" t="n"/>
      <c r="G39" s="47" t="n"/>
      <c r="H39" s="52" t="n"/>
      <c r="I39" s="47" t="n"/>
      <c r="J39" s="61" t="n"/>
    </row>
    <row r="40" ht="13.2" customHeight="1" s="35">
      <c r="A40" s="62" t="n"/>
      <c r="B40" s="49" t="n">
        <v>470</v>
      </c>
      <c r="C40" s="59" t="n">
        <v>1</v>
      </c>
      <c r="D40" s="49" t="inlineStr">
        <is>
          <t>Voice</t>
        </is>
      </c>
      <c r="E40" s="60" t="n">
        <v>1</v>
      </c>
      <c r="F40" s="52" t="n"/>
      <c r="G40" s="47" t="n"/>
      <c r="H40" s="52" t="n"/>
      <c r="I40" s="47" t="n"/>
      <c r="J40" s="61" t="n"/>
    </row>
    <row r="41" ht="13.2" customHeight="1" s="35">
      <c r="A41" s="62" t="n"/>
      <c r="B41" s="49" t="n">
        <v>471</v>
      </c>
      <c r="C41" s="59" t="n">
        <v>1</v>
      </c>
      <c r="D41" s="49" t="inlineStr">
        <is>
          <t>Voice</t>
        </is>
      </c>
      <c r="E41" s="60" t="n">
        <v>1</v>
      </c>
      <c r="F41" s="52" t="n"/>
      <c r="G41" s="47" t="n"/>
      <c r="H41" s="52" t="n"/>
      <c r="I41" s="47" t="n"/>
      <c r="J41" s="61" t="n"/>
    </row>
    <row r="42" ht="13.2" customHeight="1" s="35">
      <c r="A42" s="62" t="n"/>
      <c r="B42" s="49" t="n">
        <v>472</v>
      </c>
      <c r="C42" s="59" t="n">
        <v>1</v>
      </c>
      <c r="D42" s="49" t="inlineStr">
        <is>
          <t>Voice</t>
        </is>
      </c>
      <c r="E42" s="60" t="n">
        <v>1</v>
      </c>
      <c r="F42" s="52" t="n"/>
      <c r="G42" s="47" t="n"/>
      <c r="H42" s="52" t="n"/>
      <c r="I42" s="47" t="n"/>
      <c r="J42" s="61" t="n"/>
    </row>
    <row r="43" ht="13.2" customHeight="1" s="35">
      <c r="A43" s="62" t="n"/>
      <c r="B43" s="49" t="n">
        <v>474</v>
      </c>
      <c r="C43" s="59" t="n">
        <v>1</v>
      </c>
      <c r="D43" s="49" t="inlineStr">
        <is>
          <t>Voice</t>
        </is>
      </c>
      <c r="E43" s="60" t="n">
        <v>1</v>
      </c>
      <c r="F43" s="52" t="n"/>
      <c r="G43" s="47" t="n"/>
      <c r="H43" s="52" t="n"/>
      <c r="I43" s="47" t="n"/>
      <c r="J43" s="61" t="n"/>
    </row>
    <row r="44" ht="13.2" customHeight="1" s="35">
      <c r="A44" s="62" t="n"/>
      <c r="B44" s="49" t="n">
        <v>475</v>
      </c>
      <c r="C44" s="59" t="n">
        <v>1</v>
      </c>
      <c r="D44" s="49" t="inlineStr">
        <is>
          <t>Voice</t>
        </is>
      </c>
      <c r="E44" s="60" t="n">
        <v>1</v>
      </c>
      <c r="F44" s="52" t="n"/>
      <c r="G44" s="47" t="n"/>
      <c r="H44" s="52" t="n"/>
      <c r="I44" s="47" t="n"/>
      <c r="J44" s="61" t="n"/>
    </row>
    <row r="45" ht="13.2" customHeight="1" s="35">
      <c r="A45" s="62" t="n"/>
      <c r="B45" s="49" t="n">
        <v>476</v>
      </c>
      <c r="C45" s="59" t="n">
        <v>1</v>
      </c>
      <c r="D45" s="49" t="inlineStr">
        <is>
          <t>Voice</t>
        </is>
      </c>
      <c r="E45" s="60" t="n">
        <v>1</v>
      </c>
      <c r="F45" s="52" t="n"/>
      <c r="G45" s="47" t="n"/>
      <c r="H45" s="52" t="n"/>
      <c r="I45" s="47" t="n"/>
      <c r="J45" s="61" t="n"/>
    </row>
    <row r="46" ht="13.2" customHeight="1" s="35">
      <c r="A46" s="62" t="n"/>
      <c r="B46" s="49" t="n">
        <v>477</v>
      </c>
      <c r="C46" s="59" t="n">
        <v>1</v>
      </c>
      <c r="D46" s="49" t="inlineStr">
        <is>
          <t>Voice</t>
        </is>
      </c>
      <c r="E46" s="60" t="n">
        <v>1</v>
      </c>
      <c r="F46" s="52" t="n"/>
      <c r="G46" s="47" t="n"/>
      <c r="H46" s="52" t="n"/>
      <c r="I46" s="47" t="n"/>
      <c r="J46" s="61" t="n"/>
    </row>
    <row r="47" ht="13.2" customHeight="1" s="35">
      <c r="A47" s="62" t="n"/>
      <c r="B47" s="49" t="n">
        <v>478</v>
      </c>
      <c r="C47" s="59" t="n">
        <v>1</v>
      </c>
      <c r="D47" s="49" t="inlineStr">
        <is>
          <t>Voice</t>
        </is>
      </c>
      <c r="E47" s="60" t="n">
        <v>1</v>
      </c>
      <c r="F47" s="52" t="n"/>
      <c r="G47" s="47" t="n"/>
      <c r="H47" s="52" t="n"/>
      <c r="I47" s="47" t="n"/>
      <c r="J47" s="61" t="n"/>
    </row>
    <row r="48" ht="13.2" customHeight="1" s="35">
      <c r="A48" s="62" t="n"/>
      <c r="B48" s="49" t="n">
        <v>479</v>
      </c>
      <c r="C48" s="59" t="n">
        <v>1</v>
      </c>
      <c r="D48" s="49" t="inlineStr">
        <is>
          <t>Voice</t>
        </is>
      </c>
      <c r="E48" s="60" t="n">
        <v>1</v>
      </c>
      <c r="F48" s="52" t="n"/>
      <c r="G48" s="47" t="n"/>
      <c r="H48" s="52" t="n"/>
      <c r="I48" s="47" t="n"/>
      <c r="J48" s="61" t="n"/>
    </row>
    <row r="49" ht="13.2" customHeight="1" s="35">
      <c r="A49" s="62" t="n"/>
      <c r="B49" s="49" t="n">
        <v>480</v>
      </c>
      <c r="C49" s="59" t="n">
        <v>1</v>
      </c>
      <c r="D49" s="49" t="inlineStr">
        <is>
          <t>Voice</t>
        </is>
      </c>
      <c r="E49" s="60" t="n">
        <v>1</v>
      </c>
      <c r="F49" s="52" t="n"/>
      <c r="G49" s="47" t="n"/>
      <c r="H49" s="52" t="n"/>
      <c r="I49" s="47" t="n"/>
      <c r="J49" s="61" t="n"/>
    </row>
    <row r="50" ht="13.2" customHeight="1" s="35">
      <c r="A50" s="62" t="n"/>
      <c r="B50" s="49" t="n">
        <v>481</v>
      </c>
      <c r="C50" s="59" t="n">
        <v>1</v>
      </c>
      <c r="D50" s="49" t="inlineStr">
        <is>
          <t>Voice</t>
        </is>
      </c>
      <c r="E50" s="60" t="n">
        <v>1</v>
      </c>
      <c r="F50" s="52" t="n"/>
      <c r="G50" s="47" t="n"/>
      <c r="H50" s="52" t="n"/>
      <c r="I50" s="47" t="n"/>
      <c r="J50" s="61" t="n"/>
    </row>
    <row r="51" ht="13.2" customHeight="1" s="35">
      <c r="A51" s="62" t="n"/>
      <c r="B51" s="49" t="n">
        <v>482</v>
      </c>
      <c r="C51" s="59" t="n">
        <v>1</v>
      </c>
      <c r="D51" s="49" t="inlineStr">
        <is>
          <t>Voice</t>
        </is>
      </c>
      <c r="E51" s="60" t="n">
        <v>1</v>
      </c>
      <c r="F51" s="52" t="n"/>
      <c r="G51" s="47" t="n"/>
      <c r="H51" s="52" t="n"/>
      <c r="I51" s="47" t="n"/>
      <c r="J51" s="61" t="n"/>
    </row>
    <row r="52" ht="13.2" customHeight="1" s="35">
      <c r="A52" s="62" t="n"/>
      <c r="B52" s="49" t="n">
        <v>483</v>
      </c>
      <c r="C52" s="59" t="n">
        <v>1</v>
      </c>
      <c r="D52" s="49" t="inlineStr">
        <is>
          <t>Voice</t>
        </is>
      </c>
      <c r="E52" s="60" t="n">
        <v>1</v>
      </c>
      <c r="F52" s="52" t="n"/>
      <c r="G52" s="47" t="n"/>
      <c r="H52" s="52" t="n"/>
      <c r="I52" s="47" t="n"/>
      <c r="J52" s="61" t="n"/>
    </row>
    <row r="53" ht="13.2" customHeight="1" s="35">
      <c r="A53" s="62" t="n"/>
      <c r="B53" s="49" t="n">
        <v>484</v>
      </c>
      <c r="C53" s="59" t="n">
        <v>1</v>
      </c>
      <c r="D53" s="49" t="inlineStr">
        <is>
          <t>Voice</t>
        </is>
      </c>
      <c r="E53" s="60" t="n">
        <v>1</v>
      </c>
      <c r="F53" s="52" t="n"/>
      <c r="G53" s="47" t="n"/>
      <c r="H53" s="52" t="n"/>
      <c r="I53" s="47" t="n"/>
      <c r="J53" s="61" t="n"/>
    </row>
    <row r="54" ht="13.2" customHeight="1" s="35">
      <c r="A54" s="62" t="n"/>
      <c r="B54" s="49" t="n">
        <v>485</v>
      </c>
      <c r="C54" s="59" t="n">
        <v>1</v>
      </c>
      <c r="D54" s="49" t="inlineStr">
        <is>
          <t>Voice</t>
        </is>
      </c>
      <c r="E54" s="60" t="n">
        <v>1</v>
      </c>
      <c r="F54" s="52" t="n"/>
      <c r="G54" s="47" t="n"/>
      <c r="H54" s="52" t="n"/>
      <c r="I54" s="47" t="n"/>
      <c r="J54" s="61" t="n"/>
    </row>
    <row r="55" ht="13.2" customHeight="1" s="35">
      <c r="A55" s="62" t="n"/>
      <c r="B55" s="49" t="n">
        <v>486</v>
      </c>
      <c r="C55" s="59" t="n">
        <v>1</v>
      </c>
      <c r="D55" s="49" t="inlineStr">
        <is>
          <t>Voice</t>
        </is>
      </c>
      <c r="E55" s="60" t="n">
        <v>1</v>
      </c>
      <c r="F55" s="52" t="n"/>
      <c r="G55" s="47" t="n"/>
      <c r="H55" s="52" t="n"/>
      <c r="I55" s="47" t="n"/>
      <c r="J55" s="61" t="n"/>
    </row>
    <row r="56" ht="13.2" customHeight="1" s="35">
      <c r="A56" s="62" t="n"/>
      <c r="B56" s="49" t="n">
        <v>487</v>
      </c>
      <c r="C56" s="59" t="n">
        <v>1</v>
      </c>
      <c r="D56" s="49" t="inlineStr">
        <is>
          <t>Voice</t>
        </is>
      </c>
      <c r="E56" s="60" t="n">
        <v>1</v>
      </c>
      <c r="F56" s="52" t="n"/>
      <c r="G56" s="47" t="n"/>
      <c r="H56" s="52" t="n"/>
      <c r="I56" s="47" t="n"/>
      <c r="J56" s="61" t="n"/>
    </row>
    <row r="57" ht="13.2" customHeight="1" s="35">
      <c r="A57" s="62" t="n"/>
      <c r="B57" s="49" t="n">
        <v>488</v>
      </c>
      <c r="C57" s="59" t="n">
        <v>1</v>
      </c>
      <c r="D57" s="49" t="inlineStr">
        <is>
          <t>Voice</t>
        </is>
      </c>
      <c r="E57" s="60" t="n">
        <v>1</v>
      </c>
      <c r="F57" s="52" t="n"/>
      <c r="G57" s="47" t="n"/>
      <c r="H57" s="52" t="n"/>
      <c r="I57" s="47" t="n"/>
      <c r="J57" s="61" t="n"/>
    </row>
    <row r="58" ht="13.2" customHeight="1" s="35">
      <c r="A58" s="62" t="n"/>
      <c r="B58" s="49" t="n">
        <v>509</v>
      </c>
      <c r="C58" s="59" t="n">
        <v>1</v>
      </c>
      <c r="D58" s="49" t="inlineStr">
        <is>
          <t>LAN</t>
        </is>
      </c>
      <c r="E58" s="60" t="n">
        <v>1</v>
      </c>
      <c r="F58" s="52" t="n"/>
      <c r="G58" s="47" t="n"/>
      <c r="H58" s="52" t="n"/>
      <c r="I58" s="47" t="n"/>
      <c r="J58" s="61" t="n"/>
    </row>
    <row r="59" ht="13.2" customHeight="1" s="35">
      <c r="A59" s="62" t="n"/>
      <c r="B59" s="49" t="n">
        <v>510</v>
      </c>
      <c r="C59" s="59" t="n">
        <v>1</v>
      </c>
      <c r="D59" s="49" t="inlineStr">
        <is>
          <t>LAN</t>
        </is>
      </c>
      <c r="E59" s="60" t="n">
        <v>1</v>
      </c>
      <c r="F59" s="52" t="n"/>
      <c r="G59" s="47" t="n"/>
      <c r="H59" s="52" t="n"/>
      <c r="I59" s="47" t="n"/>
      <c r="J59" s="61" t="n"/>
    </row>
    <row r="60" ht="13.2" customHeight="1" s="35">
      <c r="A60" s="62" t="n"/>
      <c r="B60" s="49" t="n">
        <v>533</v>
      </c>
      <c r="C60" s="59" t="n">
        <v>1</v>
      </c>
      <c r="D60" s="49" t="inlineStr">
        <is>
          <t>Voice</t>
        </is>
      </c>
      <c r="E60" s="60" t="n">
        <v>1</v>
      </c>
      <c r="F60" s="52" t="n"/>
      <c r="G60" s="47" t="n"/>
      <c r="H60" s="52" t="n"/>
      <c r="I60" s="47" t="inlineStr">
        <is>
          <t>Zoals bekend bij TelCo wordt nog overlegd of medewerker wel/niet in scope is</t>
        </is>
      </c>
      <c r="J60" s="61" t="n"/>
    </row>
    <row r="61" ht="13.2" customHeight="1" s="35">
      <c r="A61" s="62" t="n"/>
      <c r="B61" s="49" t="n">
        <v>538</v>
      </c>
      <c r="C61" s="59" t="n">
        <v>1</v>
      </c>
      <c r="D61" s="49" t="inlineStr">
        <is>
          <t>LAN</t>
        </is>
      </c>
      <c r="E61" s="60" t="n">
        <v>1</v>
      </c>
      <c r="F61" s="52" t="n"/>
      <c r="G61" s="47" t="n"/>
      <c r="H61" s="52" t="n"/>
      <c r="I61" s="47" t="n"/>
      <c r="J61" s="61" t="n"/>
    </row>
    <row r="62" ht="13.2" customHeight="1" s="35">
      <c r="A62" s="62" t="n"/>
      <c r="B62" s="49" t="n">
        <v>548</v>
      </c>
      <c r="C62" s="59" t="n">
        <v>1</v>
      </c>
      <c r="D62" s="49" t="inlineStr">
        <is>
          <t>LAN</t>
        </is>
      </c>
      <c r="E62" s="49" t="n">
        <v>1</v>
      </c>
      <c r="F62" s="52" t="inlineStr">
        <is>
          <t>X</t>
        </is>
      </c>
      <c r="G62" s="52" t="n"/>
      <c r="H62" s="47" t="n"/>
      <c r="I62" s="52">
        <f>IF(ISERROR(VLOOKUP(B62,critical,2,FALSE())),"","X")</f>
        <v/>
      </c>
      <c r="J62" s="47" t="inlineStr">
        <is>
          <t>OPS&amp;ITB/ECI/Bb E/INE/Team 1</t>
        </is>
      </c>
    </row>
    <row r="63" ht="13.2" customHeight="1" s="35">
      <c r="A63" s="62" t="n"/>
      <c r="B63" s="49" t="n">
        <v>595</v>
      </c>
      <c r="C63" s="59" t="n">
        <v>1</v>
      </c>
      <c r="D63" s="49" t="inlineStr">
        <is>
          <t>LAN</t>
        </is>
      </c>
      <c r="E63" s="60" t="n">
        <v>1</v>
      </c>
      <c r="F63" s="52" t="inlineStr">
        <is>
          <t>X</t>
        </is>
      </c>
      <c r="G63" s="47" t="n"/>
      <c r="H63" s="52" t="n"/>
      <c r="I63" s="47" t="n"/>
      <c r="J63" s="61" t="inlineStr">
        <is>
          <t>OPS&amp;ITB/DCO/G&amp;BS/NM/Team 1</t>
        </is>
      </c>
    </row>
    <row r="64" ht="13.2" customHeight="1" s="35">
      <c r="A64" s="62" t="n"/>
      <c r="B64" s="49" t="n">
        <v>596</v>
      </c>
      <c r="C64" s="59" t="n">
        <v>1</v>
      </c>
      <c r="D64" s="49" t="inlineStr">
        <is>
          <t>LAN</t>
        </is>
      </c>
      <c r="E64" s="60" t="n">
        <v>1</v>
      </c>
      <c r="F64" s="52" t="inlineStr">
        <is>
          <t>X</t>
        </is>
      </c>
      <c r="G64" s="47" t="n"/>
      <c r="H64" s="52" t="n"/>
      <c r="I64" s="47" t="n"/>
      <c r="J64" s="61" t="inlineStr">
        <is>
          <t>OPS&amp;ITB/DCO/G&amp;BS/NM/Team 1</t>
        </is>
      </c>
    </row>
    <row r="65" ht="13.2" customHeight="1" s="35">
      <c r="A65" s="62" t="n"/>
      <c r="B65" s="49" t="n">
        <v>598</v>
      </c>
      <c r="C65" s="59" t="n">
        <v>1</v>
      </c>
      <c r="D65" s="49" t="inlineStr">
        <is>
          <t>LAN</t>
        </is>
      </c>
      <c r="E65" s="60" t="n">
        <v>1</v>
      </c>
      <c r="F65" s="52" t="inlineStr">
        <is>
          <t>X</t>
        </is>
      </c>
      <c r="G65" s="47" t="n"/>
      <c r="H65" s="52" t="n"/>
      <c r="I65" s="47" t="n"/>
      <c r="J65" s="61" t="inlineStr">
        <is>
          <t>OPS&amp;ITB/ECI/Bb E/INE/Team 1</t>
        </is>
      </c>
    </row>
    <row r="66" ht="13.2" customHeight="1" s="35">
      <c r="A66" s="62" t="n"/>
      <c r="B66" s="49" t="n">
        <v>614</v>
      </c>
      <c r="C66" s="59" t="n">
        <v>1</v>
      </c>
      <c r="D66" s="49" t="inlineStr">
        <is>
          <t>LAN</t>
        </is>
      </c>
      <c r="E66" s="60" t="n">
        <v>1</v>
      </c>
      <c r="F66" s="52" t="inlineStr">
        <is>
          <t>X</t>
        </is>
      </c>
      <c r="G66" s="47" t="n"/>
      <c r="H66" s="52" t="n"/>
      <c r="I66" s="47" t="n"/>
      <c r="J66" s="61" t="inlineStr">
        <is>
          <t>OPS&amp;ITB/DCO/G&amp;BS/NM/Team 2</t>
        </is>
      </c>
    </row>
    <row r="67" ht="13.2" customHeight="1" s="35">
      <c r="A67" s="62" t="n"/>
      <c r="B67" s="49" t="n">
        <v>630</v>
      </c>
      <c r="C67" s="59" t="n">
        <v>1</v>
      </c>
      <c r="D67" s="49" t="inlineStr">
        <is>
          <t>Voice</t>
        </is>
      </c>
      <c r="E67" s="60" t="n">
        <v>1</v>
      </c>
      <c r="F67" s="52" t="n"/>
      <c r="G67" s="47" t="n"/>
      <c r="H67" s="52" t="n"/>
      <c r="I67" s="47" t="n"/>
      <c r="J67" s="61" t="n"/>
    </row>
    <row r="68" ht="13.2" customHeight="1" s="35">
      <c r="A68" s="62" t="n"/>
      <c r="B68" s="49" t="n">
        <v>631</v>
      </c>
      <c r="C68" s="59" t="n">
        <v>1</v>
      </c>
      <c r="D68" s="49" t="inlineStr">
        <is>
          <t>Voice</t>
        </is>
      </c>
      <c r="E68" s="60" t="n">
        <v>1</v>
      </c>
      <c r="F68" s="52" t="n"/>
      <c r="G68" s="47" t="n"/>
      <c r="H68" s="52" t="n"/>
      <c r="I68" s="47" t="n"/>
      <c r="J68" s="61" t="n"/>
    </row>
    <row r="69" ht="13.2" customHeight="1" s="35">
      <c r="A69" s="62" t="n"/>
      <c r="B69" s="49" t="n">
        <v>675</v>
      </c>
      <c r="C69" s="59" t="n">
        <v>1</v>
      </c>
      <c r="D69" s="49" t="inlineStr">
        <is>
          <t>Voice</t>
        </is>
      </c>
      <c r="E69" s="60" t="n">
        <v>1</v>
      </c>
      <c r="F69" s="52" t="n"/>
      <c r="G69" s="47" t="n"/>
      <c r="H69" s="52" t="n"/>
      <c r="I69" s="47" t="n"/>
      <c r="J69" s="61" t="n"/>
    </row>
    <row r="70" ht="13.2" customHeight="1" s="35">
      <c r="A70" s="62" t="n"/>
      <c r="B70" s="49" t="n">
        <v>676</v>
      </c>
      <c r="C70" s="59" t="n">
        <v>1</v>
      </c>
      <c r="D70" s="49" t="inlineStr">
        <is>
          <t>LAN</t>
        </is>
      </c>
      <c r="E70" s="60" t="n">
        <v>1</v>
      </c>
      <c r="F70" s="52" t="n"/>
      <c r="G70" s="47" t="n"/>
      <c r="H70" s="52" t="n"/>
      <c r="I70" s="47" t="n"/>
      <c r="J70" s="61" t="n"/>
    </row>
    <row r="71" ht="13.2" customHeight="1" s="35">
      <c r="A71" s="63" t="inlineStr">
        <is>
          <t>Eindtotaal</t>
        </is>
      </c>
      <c r="B71" s="64" t="n"/>
      <c r="C71" s="65" t="n"/>
      <c r="D71" s="64" t="n"/>
      <c r="E71" s="66">
        <f>SUM(E9:E70)</f>
        <v/>
      </c>
      <c r="F71" s="52">
        <f>COUNTIF(F9:F70,"X")</f>
        <v/>
      </c>
      <c r="G71" s="47" t="n"/>
      <c r="H71" s="52">
        <f>COUNTIF(H9:H70,"X")</f>
        <v/>
      </c>
      <c r="I71" s="47" t="n"/>
      <c r="J71" s="61" t="n"/>
    </row>
    <row r="72" ht="13.2" customHeight="1" s="35">
      <c r="C72" s="45" t="n"/>
      <c r="E72" s="36" t="n"/>
      <c r="G72" s="36" t="n"/>
      <c r="J72" s="46" t="n"/>
    </row>
    <row r="73" ht="13.2" customHeight="1" s="35">
      <c r="C73" s="45" t="n"/>
      <c r="E73" s="36" t="n"/>
      <c r="G73" s="36" t="n"/>
      <c r="J73" s="46" t="n"/>
    </row>
  </sheetData>
  <mergeCells count="1">
    <mergeCell ref="A1:B1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67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5-A (5)  Page: &amp;P&amp;R&amp;"Times New Roman,Regular"&amp;8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Ammy en Ton</dc:creator>
  <dc:language xmlns:dc="http://purl.org/dc/elements/1.1/">en-US</dc:language>
  <dcterms:created xmlns:dcterms="http://purl.org/dc/terms/" xmlns:xsi="http://www.w3.org/2001/XMLSchema-instance" xsi:type="dcterms:W3CDTF">2006-11-28T04:06:29Z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2006-12-12T22:12:15Z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1703211656</vt:r8>
  </property>
  <property name="_AuthorEmail" fmtid="{D5CDD505-2E9C-101B-9397-08002B2CF9AE}" pid="3">
    <vt:lpwstr xmlns:vt="http://schemas.openxmlformats.org/officeDocument/2006/docPropsVTypes">Margrethe.Tippersma@mail.ing.nl</vt:lpwstr>
  </property>
  <property name="_AuthorEmailDisplayName" fmtid="{D5CDD505-2E9C-101B-9397-08002B2CF9AE}" pid="4">
    <vt:lpwstr xmlns:vt="http://schemas.openxmlformats.org/officeDocument/2006/docPropsVTypes">Tippersma, M. (Margrethe)</vt:lpwstr>
  </property>
  <property name="_EmailSubject" fmtid="{D5CDD505-2E9C-101B-9397-08002B2CF9AE}" pid="5">
    <vt:lpwstr xmlns:vt="http://schemas.openxmlformats.org/officeDocument/2006/docPropsVTypes">Exhibit status &amp; where we are...</vt:lpwstr>
  </property>
  <property name="_ReviewingToolsShownOnce" fmtid="{D5CDD505-2E9C-101B-9397-08002B2CF9AE}" pid="6">
    <vt:lpwstr xmlns:vt="http://schemas.openxmlformats.org/officeDocument/2006/docPropsVTypes"/>
  </property>
</Properties>
</file>
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ist of Contracts" sheetId="2" state="visible" r:id="rId2"/>
  </sheets>
  <definedNames>
    <definedName name="Baseline" hidden="0" function="0" vbProcedure="0">#REF!</definedName>
    <definedName name="_xlnm.Print_Area" localSheetId="0">'Cover'!$A$1:$D$13</definedName>
    <definedName name="Z_DF568D66_EADD_4729_A0A7_C13F57C89CE5__wvu_FilterData" localSheetId="1" hidden="0" function="0" vbProcedure="0">'List of Contracts'!$A$1:$R$316</definedName>
    <definedName name="Z_DF568D66_EADD_4729_A0A7_C13F57C89CE5__wvu_PrintArea" localSheetId="1" hidden="0" function="0" vbProcedure="0">'List of Contracts'!$A$1:$R$295</definedName>
    <definedName name="_xlnm._FilterDatabase" localSheetId="1" hidden="1">'List of Contracts'!$A$1:$IH$381</definedName>
    <definedName name="_xlnm.Print_Area" localSheetId="1">'List of Contracts'!$A$1:$S$382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m/d/yyyy"/>
    <numFmt numFmtId="165" formatCode="_-* #,##0_-;_-* #,##0\-;_-* \-??_-;_-@_-"/>
    <numFmt numFmtId="166" formatCode="_-* #,##0.00_-;_-* #,##0.00\-;_-* \-??_-;_-@_-"/>
    <numFmt numFmtId="167" formatCode="_([$€]* #,##0.00_);_([$€]* \(#,##0.00\);_([$€]* \-??_);_(@_)"/>
  </numFmts>
  <fonts count="1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0"/>
      <sz val="10"/>
    </font>
    <font>
      <name val="MS Sans Serif"/>
      <family val="0"/>
      <color rgb="FF000000"/>
      <sz val="10"/>
    </font>
    <font>
      <name val="Arial"/>
      <family val="0"/>
      <color rgb="FF000000"/>
      <sz val="10"/>
    </font>
    <font>
      <name val="Times New Roman"/>
      <family val="1"/>
      <b val="1"/>
      <sz val="16"/>
    </font>
    <font>
      <name val="Times New Roman"/>
      <family val="1"/>
      <b val="1"/>
      <i val="1"/>
      <sz val="16"/>
    </font>
    <font>
      <name val="Arial"/>
      <family val="2"/>
      <color rgb="FF000000"/>
      <sz val="9"/>
    </font>
    <font>
      <name val="Arial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color rgb="FFFF0000"/>
      <sz val="9"/>
    </font>
    <font>
      <name val="Arial"/>
      <family val="2"/>
      <sz val="6"/>
    </font>
  </fonts>
  <fills count="6">
    <fill>
      <patternFill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0000FF"/>
        <bgColor rgb="FF0000FF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1">
    <xf numFmtId="0" fontId="3" fillId="0" borderId="0" applyAlignment="1">
      <alignment horizontal="general" vertical="bottom"/>
    </xf>
    <xf numFmtId="166" fontId="3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167" fontId="3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6" fillId="0" borderId="0" applyAlignment="1">
      <alignment horizontal="general" vertical="bottom"/>
    </xf>
  </cellStyleXfs>
  <cellXfs count="1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9" fillId="0" borderId="1" applyAlignment="1" pivotButton="0" quotePrefix="0" xfId="23">
      <alignment horizontal="center" vertical="bottom"/>
    </xf>
    <xf numFmtId="0" fontId="9" fillId="0" borderId="1" applyAlignment="1" pivotButton="0" quotePrefix="0" xfId="23">
      <alignment horizontal="center" vertical="center" wrapText="1"/>
    </xf>
    <xf numFmtId="0" fontId="9" fillId="0" borderId="1" applyAlignment="1" pivotButton="0" quotePrefix="0" xfId="23">
      <alignment horizontal="center" vertical="center"/>
    </xf>
    <xf numFmtId="9" fontId="9" fillId="2" borderId="1" applyAlignment="1" pivotButton="0" quotePrefix="0" xfId="23">
      <alignment horizontal="center" vertical="center"/>
    </xf>
    <xf numFmtId="0" fontId="9" fillId="0" borderId="1" applyAlignment="1" pivotButton="0" quotePrefix="0" xfId="23">
      <alignment horizontal="general" vertical="bottom"/>
    </xf>
    <xf numFmtId="0" fontId="10" fillId="0" borderId="1" applyAlignment="1" pivotButton="0" quotePrefix="0" xfId="23">
      <alignment horizontal="center" vertical="center" wrapText="1"/>
    </xf>
    <xf numFmtId="0" fontId="10" fillId="0" borderId="1" applyAlignment="1" pivotButton="0" quotePrefix="0" xfId="23">
      <alignment horizontal="center" vertical="center"/>
    </xf>
    <xf numFmtId="3" fontId="10" fillId="0" borderId="1" applyAlignment="1" pivotButton="0" quotePrefix="0" xfId="23">
      <alignment horizontal="center" vertical="center"/>
    </xf>
    <xf numFmtId="0" fontId="9" fillId="0" borderId="1" applyAlignment="1" pivotButton="0" quotePrefix="0" xfId="23">
      <alignment horizontal="center" vertical="center"/>
    </xf>
    <xf numFmtId="0" fontId="9" fillId="0" borderId="1" applyAlignment="1" pivotButton="0" quotePrefix="0" xfId="23">
      <alignment horizontal="general" vertical="bottom"/>
    </xf>
    <xf numFmtId="0" fontId="11" fillId="3" borderId="1" applyAlignment="1" pivotButton="0" quotePrefix="0" xfId="23">
      <alignment horizontal="center" vertical="center"/>
    </xf>
    <xf numFmtId="0" fontId="11" fillId="3" borderId="1" applyAlignment="1" pivotButton="0" quotePrefix="0" xfId="23">
      <alignment horizontal="center" vertical="center" wrapText="1"/>
    </xf>
    <xf numFmtId="0" fontId="12" fillId="3" borderId="1" applyAlignment="1" pivotButton="0" quotePrefix="0" xfId="23">
      <alignment horizontal="center" vertical="center" wrapText="1"/>
    </xf>
    <xf numFmtId="9" fontId="12" fillId="3" borderId="1" applyAlignment="1" pivotButton="0" quotePrefix="0" xfId="23">
      <alignment horizontal="center" vertical="center" wrapText="1"/>
    </xf>
    <xf numFmtId="3" fontId="12" fillId="3" borderId="1" applyAlignment="1" pivotButton="0" quotePrefix="0" xfId="23">
      <alignment horizontal="center" vertical="center" wrapText="1"/>
    </xf>
    <xf numFmtId="164" fontId="10" fillId="0" borderId="1" applyAlignment="1" pivotButton="0" quotePrefix="0" xfId="23">
      <alignment horizontal="center" vertical="center" wrapText="1"/>
    </xf>
    <xf numFmtId="3" fontId="13" fillId="0" borderId="1" applyAlignment="1" pivotButton="0" quotePrefix="0" xfId="0">
      <alignment horizontal="center" vertical="center"/>
    </xf>
    <xf numFmtId="9" fontId="13" fillId="0" borderId="1" applyAlignment="1" pivotButton="0" quotePrefix="0" xfId="0">
      <alignment horizontal="center" vertical="center"/>
    </xf>
    <xf numFmtId="3" fontId="10" fillId="0" borderId="1" applyAlignment="1" pivotButton="0" quotePrefix="0" xfId="23">
      <alignment horizontal="center" vertical="center" wrapText="1"/>
    </xf>
    <xf numFmtId="9" fontId="10" fillId="0" borderId="1" applyAlignment="1" pivotButton="0" quotePrefix="0" xfId="23">
      <alignment horizontal="center" vertical="center"/>
    </xf>
    <xf numFmtId="0" fontId="10" fillId="0" borderId="1" applyAlignment="1" pivotButton="0" quotePrefix="0" xfId="23">
      <alignment horizontal="left" vertical="top" wrapText="1"/>
    </xf>
    <xf numFmtId="3" fontId="13" fillId="0" borderId="1" applyAlignment="1" pivotButton="0" quotePrefix="0" xfId="0">
      <alignment horizontal="center" vertical="center"/>
    </xf>
    <xf numFmtId="9" fontId="13" fillId="0" borderId="1" applyAlignment="1" pivotButton="0" quotePrefix="0" xfId="0">
      <alignment horizontal="center" vertical="center"/>
    </xf>
    <xf numFmtId="3" fontId="10" fillId="0" borderId="1" applyAlignment="1" pivotButton="0" quotePrefix="0" xfId="19">
      <alignment horizontal="center" vertical="center" wrapText="1"/>
    </xf>
    <xf numFmtId="3" fontId="12" fillId="0" borderId="1" applyAlignment="1" pivotButton="0" quotePrefix="0" xfId="23">
      <alignment horizontal="center" vertical="center" wrapText="1"/>
    </xf>
    <xf numFmtId="9" fontId="10" fillId="0" borderId="1" applyAlignment="1" pivotButton="0" quotePrefix="0" xfId="19">
      <alignment horizontal="center" vertical="center" wrapText="1"/>
    </xf>
    <xf numFmtId="0" fontId="12" fillId="0" borderId="1" applyAlignment="1" pivotButton="0" quotePrefix="0" xfId="23">
      <alignment horizontal="center" vertical="center" wrapText="1"/>
    </xf>
    <xf numFmtId="0" fontId="14" fillId="0" borderId="1" applyAlignment="1" pivotButton="0" quotePrefix="0" xfId="23">
      <alignment horizontal="center" vertical="center" wrapText="1"/>
    </xf>
    <xf numFmtId="0" fontId="10" fillId="4" borderId="1" applyAlignment="1" pivotButton="0" quotePrefix="0" xfId="23">
      <alignment horizontal="center" vertical="center"/>
    </xf>
    <xf numFmtId="0" fontId="10" fillId="4" borderId="1" applyAlignment="1" pivotButton="0" quotePrefix="0" xfId="23">
      <alignment horizontal="center" vertical="center" wrapText="1"/>
    </xf>
    <xf numFmtId="164" fontId="10" fillId="4" borderId="1" applyAlignment="1" pivotButton="0" quotePrefix="0" xfId="23">
      <alignment horizontal="center" vertical="center" wrapText="1"/>
    </xf>
    <xf numFmtId="3" fontId="13" fillId="4" borderId="1" applyAlignment="1" pivotButton="0" quotePrefix="0" xfId="0">
      <alignment horizontal="center" vertical="center"/>
    </xf>
    <xf numFmtId="9" fontId="13" fillId="4" borderId="1" applyAlignment="1" pivotButton="0" quotePrefix="0" xfId="0">
      <alignment horizontal="center" vertical="center"/>
    </xf>
    <xf numFmtId="3" fontId="10" fillId="4" borderId="1" applyAlignment="1" pivotButton="0" quotePrefix="0" xfId="23">
      <alignment horizontal="center" vertical="center" wrapText="1"/>
    </xf>
    <xf numFmtId="1" fontId="10" fillId="0" borderId="1" applyAlignment="1" pivotButton="0" quotePrefix="0" xfId="23">
      <alignment horizontal="center" vertical="center" wrapText="1"/>
    </xf>
    <xf numFmtId="9" fontId="10" fillId="0" borderId="1" applyAlignment="1" pivotButton="0" quotePrefix="0" xfId="23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23">
      <alignment horizontal="left" vertical="bottom"/>
    </xf>
    <xf numFmtId="0" fontId="10" fillId="0" borderId="1" applyAlignment="1" pivotButton="0" quotePrefix="0" xfId="23">
      <alignment horizontal="general" vertical="bottom"/>
    </xf>
    <xf numFmtId="3" fontId="10" fillId="4" borderId="1" applyAlignment="1" pivotButton="0" quotePrefix="0" xfId="19">
      <alignment horizontal="center" vertical="center" wrapText="1"/>
    </xf>
    <xf numFmtId="164" fontId="10" fillId="0" borderId="1" applyAlignment="1" pivotButton="0" quotePrefix="0" xfId="0">
      <alignment horizontal="center" vertical="top" wrapText="1"/>
    </xf>
    <xf numFmtId="3" fontId="15" fillId="0" borderId="1" applyAlignment="1" pivotButton="0" quotePrefix="0" xfId="23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9" fontId="10" fillId="4" borderId="1" applyAlignment="1" pivotButton="0" quotePrefix="0" xfId="19">
      <alignment horizontal="center" vertical="center" wrapText="1"/>
    </xf>
    <xf numFmtId="0" fontId="10" fillId="4" borderId="1" applyAlignment="1" pivotButton="0" quotePrefix="0" xfId="23">
      <alignment horizontal="general" vertical="bottom"/>
    </xf>
    <xf numFmtId="0" fontId="10" fillId="0" borderId="1" applyAlignment="1" pivotButton="0" quotePrefix="0" xfId="23">
      <alignment horizontal="general" vertical="bottom" wrapText="1"/>
    </xf>
    <xf numFmtId="0" fontId="10" fillId="5" borderId="1" applyAlignment="1" pivotButton="0" quotePrefix="0" xfId="23">
      <alignment horizontal="center" vertical="center"/>
    </xf>
    <xf numFmtId="0" fontId="10" fillId="5" borderId="1" applyAlignment="1" pivotButton="0" quotePrefix="0" xfId="23">
      <alignment horizontal="center" vertical="center" wrapText="1"/>
    </xf>
    <xf numFmtId="9" fontId="13" fillId="5" borderId="1" applyAlignment="1" pivotButton="0" quotePrefix="0" xfId="0">
      <alignment horizontal="center" vertical="center"/>
    </xf>
    <xf numFmtId="3" fontId="10" fillId="5" borderId="1" applyAlignment="1" pivotButton="0" quotePrefix="0" xfId="23">
      <alignment horizontal="center" vertical="center" wrapText="1"/>
    </xf>
    <xf numFmtId="9" fontId="10" fillId="0" borderId="1" applyAlignment="1" pivotButton="0" quotePrefix="0" xfId="19">
      <alignment horizontal="center" vertical="center"/>
    </xf>
    <xf numFmtId="0" fontId="13" fillId="0" borderId="1" applyAlignment="1" pivotButton="0" quotePrefix="0" xfId="0">
      <alignment horizontal="general" vertical="bottom"/>
    </xf>
    <xf numFmtId="0" fontId="10" fillId="0" borderId="1" applyAlignment="1" pivotButton="0" quotePrefix="0" xfId="23">
      <alignment horizontal="center" vertical="bottom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10" fillId="0" borderId="1" applyAlignment="1" pivotButton="0" quotePrefix="0" xfId="23">
      <alignment horizontal="center" vertical="bottom"/>
    </xf>
    <xf numFmtId="0" fontId="10" fillId="0" borderId="1" applyAlignment="1" pivotButton="0" quotePrefix="0" xfId="23">
      <alignment horizontal="center" vertical="center"/>
    </xf>
    <xf numFmtId="3" fontId="9" fillId="0" borderId="1" applyAlignment="1" pivotButton="0" quotePrefix="0" xfId="23">
      <alignment horizontal="center" vertical="center"/>
    </xf>
    <xf numFmtId="9" fontId="9" fillId="0" borderId="1" applyAlignment="1" pivotButton="0" quotePrefix="0" xfId="23">
      <alignment horizontal="center" vertical="center"/>
    </xf>
    <xf numFmtId="3" fontId="9" fillId="0" borderId="1" applyAlignment="1" pivotButton="0" quotePrefix="0" xfId="23">
      <alignment horizontal="center" vertical="center"/>
    </xf>
    <xf numFmtId="165" fontId="9" fillId="0" borderId="1" applyAlignment="1" pivotButton="0" quotePrefix="0" xfId="15">
      <alignment horizontal="center" vertical="center"/>
    </xf>
    <xf numFmtId="165" fontId="9" fillId="0" borderId="1" applyAlignment="1" pivotButton="0" quotePrefix="0" xfId="23">
      <alignment horizontal="center" vertical="center"/>
    </xf>
    <xf numFmtId="165" fontId="9" fillId="0" borderId="1" applyAlignment="1" pivotButton="0" quotePrefix="0" xfId="15">
      <alignment horizontal="general" vertical="bottom"/>
    </xf>
    <xf numFmtId="165" fontId="9" fillId="0" borderId="1" applyAlignment="1" pivotButton="0" quotePrefix="0" xfId="23">
      <alignment horizontal="general" vertical="bottom"/>
    </xf>
    <xf numFmtId="0" fontId="9" fillId="0" borderId="1" applyAlignment="1" pivotButton="0" quotePrefix="0" xfId="23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center" vertical="bottom"/>
    </xf>
    <xf numFmtId="0" fontId="9" fillId="0" borderId="1" applyAlignment="1" pivotButton="0" quotePrefix="0" xfId="23">
      <alignment horizontal="center" vertical="bottom"/>
    </xf>
    <xf numFmtId="0" fontId="9" fillId="0" borderId="1" applyAlignment="1" pivotButton="0" quotePrefix="0" xfId="23">
      <alignment horizontal="center" vertical="center" wrapText="1"/>
    </xf>
    <xf numFmtId="0" fontId="9" fillId="0" borderId="1" applyAlignment="1" pivotButton="0" quotePrefix="0" xfId="23">
      <alignment horizontal="center" vertical="center"/>
    </xf>
    <xf numFmtId="9" fontId="9" fillId="2" borderId="1" applyAlignment="1" pivotButton="0" quotePrefix="0" xfId="23">
      <alignment horizontal="center" vertical="center"/>
    </xf>
    <xf numFmtId="0" fontId="9" fillId="0" borderId="1" applyAlignment="1" pivotButton="0" quotePrefix="0" xfId="23">
      <alignment horizontal="general" vertical="bottom"/>
    </xf>
    <xf numFmtId="0" fontId="10" fillId="0" borderId="1" applyAlignment="1" pivotButton="0" quotePrefix="0" xfId="23">
      <alignment horizontal="center" vertical="center" wrapText="1"/>
    </xf>
    <xf numFmtId="0" fontId="10" fillId="0" borderId="1" applyAlignment="1" pivotButton="0" quotePrefix="0" xfId="23">
      <alignment horizontal="center" vertical="center"/>
    </xf>
    <xf numFmtId="3" fontId="10" fillId="0" borderId="1" applyAlignment="1" pivotButton="0" quotePrefix="0" xfId="23">
      <alignment horizontal="center" vertical="center"/>
    </xf>
    <xf numFmtId="0" fontId="11" fillId="3" borderId="1" applyAlignment="1" pivotButton="0" quotePrefix="0" xfId="23">
      <alignment horizontal="center" vertical="center"/>
    </xf>
    <xf numFmtId="0" fontId="11" fillId="3" borderId="1" applyAlignment="1" pivotButton="0" quotePrefix="0" xfId="23">
      <alignment horizontal="center" vertical="center" wrapText="1"/>
    </xf>
    <xf numFmtId="0" fontId="12" fillId="3" borderId="1" applyAlignment="1" pivotButton="0" quotePrefix="0" xfId="23">
      <alignment horizontal="center" vertical="center" wrapText="1"/>
    </xf>
    <xf numFmtId="9" fontId="12" fillId="3" borderId="1" applyAlignment="1" pivotButton="0" quotePrefix="0" xfId="23">
      <alignment horizontal="center" vertical="center" wrapText="1"/>
    </xf>
    <xf numFmtId="3" fontId="12" fillId="3" borderId="1" applyAlignment="1" pivotButton="0" quotePrefix="0" xfId="23">
      <alignment horizontal="center" vertical="center" wrapText="1"/>
    </xf>
    <xf numFmtId="164" fontId="10" fillId="0" borderId="1" applyAlignment="1" pivotButton="0" quotePrefix="0" xfId="23">
      <alignment horizontal="center" vertical="center" wrapText="1"/>
    </xf>
    <xf numFmtId="3" fontId="13" fillId="0" borderId="1" applyAlignment="1" pivotButton="0" quotePrefix="0" xfId="0">
      <alignment horizontal="center" vertical="center"/>
    </xf>
    <xf numFmtId="9" fontId="13" fillId="0" borderId="1" applyAlignment="1" pivotButton="0" quotePrefix="0" xfId="0">
      <alignment horizontal="center" vertical="center"/>
    </xf>
    <xf numFmtId="3" fontId="10" fillId="0" borderId="1" applyAlignment="1" pivotButton="0" quotePrefix="0" xfId="23">
      <alignment horizontal="center" vertical="center" wrapText="1"/>
    </xf>
    <xf numFmtId="9" fontId="10" fillId="0" borderId="1" applyAlignment="1" pivotButton="0" quotePrefix="0" xfId="23">
      <alignment horizontal="center" vertical="center"/>
    </xf>
    <xf numFmtId="0" fontId="10" fillId="0" borderId="1" applyAlignment="1" pivotButton="0" quotePrefix="0" xfId="23">
      <alignment horizontal="left" vertical="top" wrapText="1"/>
    </xf>
    <xf numFmtId="3" fontId="10" fillId="0" borderId="1" applyAlignment="1" pivotButton="0" quotePrefix="0" xfId="19">
      <alignment horizontal="center" vertical="center" wrapText="1"/>
    </xf>
    <xf numFmtId="3" fontId="12" fillId="0" borderId="1" applyAlignment="1" pivotButton="0" quotePrefix="0" xfId="23">
      <alignment horizontal="center" vertical="center" wrapText="1"/>
    </xf>
    <xf numFmtId="9" fontId="10" fillId="0" borderId="1" applyAlignment="1" pivotButton="0" quotePrefix="0" xfId="19">
      <alignment horizontal="center" vertical="center" wrapText="1"/>
    </xf>
    <xf numFmtId="0" fontId="12" fillId="0" borderId="1" applyAlignment="1" pivotButton="0" quotePrefix="0" xfId="23">
      <alignment horizontal="center" vertical="center" wrapText="1"/>
    </xf>
    <xf numFmtId="0" fontId="14" fillId="0" borderId="1" applyAlignment="1" pivotButton="0" quotePrefix="0" xfId="23">
      <alignment horizontal="center" vertical="center" wrapText="1"/>
    </xf>
    <xf numFmtId="0" fontId="10" fillId="4" borderId="1" applyAlignment="1" pivotButton="0" quotePrefix="0" xfId="23">
      <alignment horizontal="center" vertical="center"/>
    </xf>
    <xf numFmtId="0" fontId="10" fillId="4" borderId="1" applyAlignment="1" pivotButton="0" quotePrefix="0" xfId="23">
      <alignment horizontal="center" vertical="center" wrapText="1"/>
    </xf>
    <xf numFmtId="164" fontId="10" fillId="4" borderId="1" applyAlignment="1" pivotButton="0" quotePrefix="0" xfId="23">
      <alignment horizontal="center" vertical="center" wrapText="1"/>
    </xf>
    <xf numFmtId="3" fontId="13" fillId="4" borderId="1" applyAlignment="1" pivotButton="0" quotePrefix="0" xfId="0">
      <alignment horizontal="center" vertical="center"/>
    </xf>
    <xf numFmtId="9" fontId="13" fillId="4" borderId="1" applyAlignment="1" pivotButton="0" quotePrefix="0" xfId="0">
      <alignment horizontal="center" vertical="center"/>
    </xf>
    <xf numFmtId="3" fontId="10" fillId="4" borderId="1" applyAlignment="1" pivotButton="0" quotePrefix="0" xfId="23">
      <alignment horizontal="center" vertical="center" wrapText="1"/>
    </xf>
    <xf numFmtId="1" fontId="10" fillId="0" borderId="1" applyAlignment="1" pivotButton="0" quotePrefix="0" xfId="23">
      <alignment horizontal="center" vertical="center" wrapText="1"/>
    </xf>
    <xf numFmtId="9" fontId="10" fillId="0" borderId="1" applyAlignment="1" pivotButton="0" quotePrefix="0" xfId="23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23">
      <alignment horizontal="left" vertical="bottom"/>
    </xf>
    <xf numFmtId="0" fontId="10" fillId="0" borderId="1" applyAlignment="1" pivotButton="0" quotePrefix="0" xfId="23">
      <alignment horizontal="general" vertical="bottom"/>
    </xf>
    <xf numFmtId="3" fontId="10" fillId="4" borderId="1" applyAlignment="1" pivotButton="0" quotePrefix="0" xfId="19">
      <alignment horizontal="center" vertical="center" wrapText="1"/>
    </xf>
    <xf numFmtId="164" fontId="10" fillId="0" borderId="1" applyAlignment="1" pivotButton="0" quotePrefix="0" xfId="0">
      <alignment horizontal="center" vertical="top" wrapText="1"/>
    </xf>
    <xf numFmtId="3" fontId="15" fillId="0" borderId="1" applyAlignment="1" pivotButton="0" quotePrefix="0" xfId="23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9" fontId="10" fillId="4" borderId="1" applyAlignment="1" pivotButton="0" quotePrefix="0" xfId="19">
      <alignment horizontal="center" vertical="center" wrapText="1"/>
    </xf>
    <xf numFmtId="0" fontId="10" fillId="4" borderId="1" applyAlignment="1" pivotButton="0" quotePrefix="0" xfId="23">
      <alignment horizontal="general" vertical="bottom"/>
    </xf>
    <xf numFmtId="0" fontId="10" fillId="0" borderId="1" applyAlignment="1" pivotButton="0" quotePrefix="0" xfId="23">
      <alignment horizontal="general" vertical="bottom" wrapText="1"/>
    </xf>
    <xf numFmtId="0" fontId="10" fillId="5" borderId="1" applyAlignment="1" pivotButton="0" quotePrefix="0" xfId="23">
      <alignment horizontal="center" vertical="center"/>
    </xf>
    <xf numFmtId="0" fontId="10" fillId="5" borderId="1" applyAlignment="1" pivotButton="0" quotePrefix="0" xfId="23">
      <alignment horizontal="center" vertical="center" wrapText="1"/>
    </xf>
    <xf numFmtId="9" fontId="13" fillId="5" borderId="1" applyAlignment="1" pivotButton="0" quotePrefix="0" xfId="0">
      <alignment horizontal="center" vertical="center"/>
    </xf>
    <xf numFmtId="3" fontId="10" fillId="5" borderId="1" applyAlignment="1" pivotButton="0" quotePrefix="0" xfId="23">
      <alignment horizontal="center" vertical="center" wrapText="1"/>
    </xf>
    <xf numFmtId="9" fontId="10" fillId="0" borderId="1" applyAlignment="1" pivotButton="0" quotePrefix="0" xfId="19">
      <alignment horizontal="center" vertical="center"/>
    </xf>
    <xf numFmtId="0" fontId="13" fillId="0" borderId="1" applyAlignment="1" pivotButton="0" quotePrefix="0" xfId="0">
      <alignment horizontal="general" vertical="bottom"/>
    </xf>
    <xf numFmtId="0" fontId="10" fillId="0" borderId="1" applyAlignment="1" pivotButton="0" quotePrefix="0" xfId="23">
      <alignment horizontal="center" vertical="bottom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3" fontId="9" fillId="0" borderId="1" applyAlignment="1" pivotButton="0" quotePrefix="0" xfId="23">
      <alignment horizontal="center" vertical="center"/>
    </xf>
    <xf numFmtId="9" fontId="9" fillId="0" borderId="1" applyAlignment="1" pivotButton="0" quotePrefix="0" xfId="23">
      <alignment horizontal="center" vertical="center"/>
    </xf>
    <xf numFmtId="165" fontId="9" fillId="0" borderId="1" applyAlignment="1" pivotButton="0" quotePrefix="0" xfId="15">
      <alignment horizontal="center" vertical="center"/>
    </xf>
    <xf numFmtId="165" fontId="9" fillId="0" borderId="1" applyAlignment="1" pivotButton="0" quotePrefix="0" xfId="23">
      <alignment horizontal="center" vertical="center"/>
    </xf>
    <xf numFmtId="165" fontId="9" fillId="0" borderId="1" applyAlignment="1" pivotButton="0" quotePrefix="0" xfId="15">
      <alignment horizontal="general" vertical="bottom"/>
    </xf>
    <xf numFmtId="165" fontId="9" fillId="0" borderId="1" applyAlignment="1" pivotButton="0" quotePrefix="0" xfId="23">
      <alignment horizontal="general" vertical="bottom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_Trimaran Overview Pass Through" xfId="7"/>
    <cellStyle name="Euro" xfId="8"/>
    <cellStyle name="Normal_Prepartion Negotiations - Finance V0-04-update DdG" xfId="9"/>
    <cellStyle name="Standaard_Blad1" xfId="10"/>
  </cellStyles>
  <dxfs count="6"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customHeight="1" zeroHeight="0" outlineLevelRow="0"/>
  <cols>
    <col width="35.1" customWidth="1" style="68" min="1" max="1"/>
    <col width="105.99" customWidth="1" style="68" min="2" max="2"/>
    <col width="3.99" customWidth="1" style="68" min="3" max="3"/>
  </cols>
  <sheetData>
    <row r="1" ht="72" customHeight="1" s="69"/>
    <row r="2" ht="21.75" customHeight="1" s="69">
      <c r="B2" s="70" t="inlineStr">
        <is>
          <t>EuroBank</t>
        </is>
      </c>
    </row>
    <row r="3" ht="20.4" customHeight="1" s="69">
      <c r="B3" s="70" t="n"/>
    </row>
    <row r="4" ht="45" customHeight="1" s="69">
      <c r="B4" s="70" t="n"/>
    </row>
    <row r="5" ht="20.4" customHeight="1" s="69">
      <c r="B5" s="70" t="inlineStr">
        <is>
          <t>ATTACHMENT 12-A</t>
        </is>
      </c>
    </row>
    <row r="6" ht="20.4" customHeight="1" s="69">
      <c r="B6" s="70" t="n"/>
    </row>
    <row r="7" ht="20.4" customHeight="1" s="69">
      <c r="B7" s="70" t="inlineStr">
        <is>
          <t>LIST of THIRD PARTY CONTRACTS</t>
        </is>
      </c>
    </row>
    <row r="8" ht="20.4" customHeight="1" s="69">
      <c r="B8" s="70" t="inlineStr">
        <is>
          <t>Attachment to Exhibit 12 (Third Party Contracts)</t>
        </is>
      </c>
    </row>
    <row r="9" ht="20.4" customHeight="1" s="69">
      <c r="B9" s="70" t="n"/>
    </row>
    <row r="10" ht="20.4" customHeight="1" s="69">
      <c r="B10" s="70" t="n"/>
    </row>
  </sheetData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landscape" paperSize="9" scale="72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Confidential&amp;R&amp;"Times New Roman,Regular"&amp;8 30/11/06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H1381"/>
  <sheetViews>
    <sheetView showFormulas="0" showGridLines="1" showRowColHeaders="1" showZeros="1" rightToLeft="0" tabSelected="1" showOutlineSymbols="1" defaultGridColor="1" view="normal" topLeftCell="A1" colorId="64" zoomScale="75" zoomScaleNormal="75" zoomScalePageLayoutView="100" workbookViewId="0">
      <pane xSplit="0" ySplit="1" topLeftCell="BM2" activePane="bottomLeft" state="frozen"/>
      <selection pane="topLeft" activeCell="A1" activeCellId="0" sqref="A1"/>
      <selection pane="bottomLeft" activeCell="R2" activeCellId="0" sqref="R2"/>
    </sheetView>
  </sheetViews>
  <sheetFormatPr baseColWidth="8" defaultColWidth="7.9921875" defaultRowHeight="11.4" customHeight="1" zeroHeight="0" outlineLevelRow="0"/>
  <cols>
    <col hidden="1" width="8.99" customWidth="1" style="71" min="1" max="1"/>
    <col hidden="1" width="10.43" customWidth="1" style="71" min="2" max="2"/>
    <col hidden="1" width="14.87" customWidth="1" style="72" min="3" max="3"/>
    <col hidden="1" width="8.66" customWidth="1" style="71" min="4" max="4"/>
    <col hidden="1" width="13.43" customWidth="1" style="71" min="5" max="5"/>
    <col width="26.66" customWidth="1" style="71" min="6" max="6"/>
    <col width="32.55" customWidth="1" style="71" min="7" max="7"/>
    <col width="14.66" customWidth="1" style="71" min="8" max="8"/>
    <col width="10.55" customWidth="1" style="73" min="9" max="9"/>
    <col width="10.66" customWidth="1" style="74" min="10" max="10"/>
    <col outlineLevel="1" width="12.32" customWidth="1" style="73" min="11" max="11"/>
    <col outlineLevel="1" width="16.1" customWidth="1" style="75" min="12" max="12"/>
    <col outlineLevel="1" width="9.66" customWidth="1" style="75" min="13" max="13"/>
    <col outlineLevel="1" width="10.32" customWidth="1" style="75" min="14" max="14"/>
    <col width="11.1" customWidth="1" style="76" min="15" max="15"/>
    <col width="14.99" customWidth="1" style="77" min="16" max="16"/>
    <col width="16.66" customWidth="1" style="77" min="17" max="17"/>
    <col width="13.33" customWidth="1" style="77" min="18" max="18"/>
    <col width="12.1" customWidth="1" style="78" min="19" max="19"/>
    <col width="7.99" customWidth="1" style="73" min="20" max="20"/>
    <col width="7.99" customWidth="1" style="75" min="21" max="257"/>
  </cols>
  <sheetData>
    <row r="1" ht="60" customHeight="1" s="69">
      <c r="A1" s="79" t="inlineStr">
        <is>
          <t>bundle</t>
        </is>
      </c>
      <c r="B1" s="80" t="inlineStr">
        <is>
          <t>Ref. No.</t>
        </is>
      </c>
      <c r="C1" s="80" t="inlineStr">
        <is>
          <t>Agreement Number</t>
        </is>
      </c>
      <c r="D1" s="80" t="inlineStr">
        <is>
          <t>Location</t>
        </is>
      </c>
      <c r="E1" s="80" t="inlineStr">
        <is>
          <t>Business Unit</t>
        </is>
      </c>
      <c r="F1" s="81" t="inlineStr">
        <is>
          <t>Third Party Vendor</t>
        </is>
      </c>
      <c r="G1" s="81" t="inlineStr">
        <is>
          <t>Description of Services</t>
        </is>
      </c>
      <c r="H1" s="81" t="inlineStr">
        <is>
          <t>Expiration Date</t>
        </is>
      </c>
      <c r="I1" s="81" t="inlineStr">
        <is>
          <t>Average Monthly Payment (excl VAT)</t>
        </is>
      </c>
      <c r="J1" s="82" t="inlineStr">
        <is>
          <t>Percentage In-Scope</t>
        </is>
      </c>
      <c r="K1" s="80" t="inlineStr">
        <is>
          <t>Software product name/ equipment model</t>
        </is>
      </c>
      <c r="L1" s="80" t="inlineStr">
        <is>
          <t>Termination Provisions</t>
        </is>
      </c>
      <c r="M1" s="80" t="inlineStr">
        <is>
          <t>Coverage (8x5, 24x7, etc.)</t>
        </is>
      </c>
      <c r="N1" s="80" t="inlineStr">
        <is>
          <t>Extended Coverage T&amp;M (Y/N)</t>
        </is>
      </c>
      <c r="O1" s="81" t="inlineStr">
        <is>
          <t>Dataroom code</t>
        </is>
      </c>
      <c r="P1" s="81" t="inlineStr">
        <is>
          <t>Novated
Retained
Terminated</t>
        </is>
      </c>
      <c r="Q1" s="81" t="inlineStr">
        <is>
          <t>Termination at expiry
Early termination</t>
        </is>
      </c>
      <c r="R1" s="81" t="inlineStr">
        <is>
          <t>PST member</t>
        </is>
      </c>
      <c r="S1" s="83" t="inlineStr">
        <is>
          <t>base charge portion corresponding with TPC/ month</t>
        </is>
      </c>
    </row>
    <row r="2" ht="24" customHeight="1" s="69">
      <c r="A2" s="77" t="inlineStr">
        <is>
          <t>EUC</t>
        </is>
      </c>
      <c r="B2" s="76" t="n"/>
      <c r="C2" s="76" t="n">
        <v>2001865</v>
      </c>
      <c r="D2" s="76" t="inlineStr">
        <is>
          <t>NL</t>
        </is>
      </c>
      <c r="E2" s="76" t="inlineStr">
        <is>
          <t>WPS (CADS)</t>
        </is>
      </c>
      <c r="F2" s="76" t="inlineStr">
        <is>
          <t>NETWORK ASSOCIATES Mcafee</t>
        </is>
      </c>
      <c r="G2" s="76" t="inlineStr">
        <is>
          <t>Mcafee Global  = opgenomen bij afschrijvingen</t>
        </is>
      </c>
      <c r="H2" s="84" t="inlineStr">
        <is>
          <t>13/07/2007</t>
        </is>
      </c>
      <c r="I2" s="85" t="n">
        <v>13596</v>
      </c>
      <c r="J2" s="86" t="n">
        <v>1</v>
      </c>
      <c r="K2" s="76" t="inlineStr">
        <is>
          <t>SW</t>
        </is>
      </c>
      <c r="L2" s="76" t="n"/>
      <c r="M2" s="76" t="n"/>
      <c r="N2" s="76" t="n"/>
      <c r="O2" s="76" t="inlineStr">
        <is>
          <t>A.004</t>
        </is>
      </c>
      <c r="P2" s="76" t="inlineStr">
        <is>
          <t>Retained</t>
        </is>
      </c>
      <c r="Q2" s="76" t="n"/>
      <c r="R2" s="76" t="inlineStr">
        <is>
          <t>VendorA</t>
        </is>
      </c>
      <c r="S2" s="87" t="n"/>
    </row>
    <row r="3" ht="24" customHeight="1" s="69">
      <c r="A3" s="76" t="inlineStr">
        <is>
          <t>EUC</t>
        </is>
      </c>
      <c r="B3" s="76" t="n"/>
      <c r="C3" s="76" t="n">
        <v>2002388</v>
      </c>
      <c r="D3" s="76" t="inlineStr">
        <is>
          <t>NL</t>
        </is>
      </c>
      <c r="E3" s="76" t="inlineStr">
        <is>
          <t>WPS (CADS)</t>
        </is>
      </c>
      <c r="F3" s="76" t="inlineStr">
        <is>
          <t>INNOVATIVE-IT BENELUX</t>
        </is>
      </c>
      <c r="G3" s="76" t="inlineStr">
        <is>
          <t>Purchase and Maintenance License DRA versie 4.x</t>
        </is>
      </c>
      <c r="H3" s="76" t="n"/>
      <c r="I3" s="76" t="n">
        <v>1363</v>
      </c>
      <c r="J3" s="88" t="n">
        <v>0.5</v>
      </c>
      <c r="K3" s="77" t="inlineStr">
        <is>
          <t>SW</t>
        </is>
      </c>
      <c r="O3" s="77" t="inlineStr">
        <is>
          <t>A.007</t>
        </is>
      </c>
      <c r="P3" s="76" t="inlineStr">
        <is>
          <t>Retained</t>
        </is>
      </c>
      <c r="R3" s="76" t="inlineStr">
        <is>
          <t>VendorA</t>
        </is>
      </c>
      <c r="S3" s="87" t="n"/>
      <c r="IF3" s="76" t="n"/>
      <c r="IG3" s="76" t="n"/>
      <c r="IH3" s="89" t="n"/>
    </row>
    <row r="4" ht="24" customHeight="1" s="69">
      <c r="A4" s="76" t="inlineStr">
        <is>
          <t>DTHW</t>
        </is>
      </c>
      <c r="B4" s="76" t="n"/>
      <c r="C4" s="77" t="n">
        <v>2002482</v>
      </c>
      <c r="D4" s="76" t="inlineStr">
        <is>
          <t>NL</t>
        </is>
      </c>
      <c r="E4" s="76" t="inlineStr">
        <is>
          <t>WPS (CADS)</t>
        </is>
      </c>
      <c r="F4" s="76" t="inlineStr">
        <is>
          <t xml:space="preserve">Hewlett Packard </t>
        </is>
      </c>
      <c r="G4" s="76" t="inlineStr">
        <is>
          <t>Maintenance Winzip</t>
        </is>
      </c>
      <c r="I4" s="76" t="n">
        <v>5107</v>
      </c>
      <c r="J4" s="88" t="n">
        <v>1</v>
      </c>
      <c r="K4" s="77" t="inlineStr">
        <is>
          <t>sw</t>
        </is>
      </c>
      <c r="O4" s="77" t="inlineStr">
        <is>
          <t>A.008</t>
        </is>
      </c>
      <c r="P4" s="76" t="inlineStr">
        <is>
          <t>Terminate</t>
        </is>
      </c>
      <c r="Q4" s="76" t="inlineStr">
        <is>
          <t>at expiry</t>
        </is>
      </c>
      <c r="R4" s="76" t="inlineStr">
        <is>
          <t>VendorA</t>
        </is>
      </c>
      <c r="S4" s="87" t="n">
        <v>5107</v>
      </c>
      <c r="HS4" s="76" t="n"/>
      <c r="HT4" s="76" t="n"/>
      <c r="HU4" s="89" t="n"/>
      <c r="IF4" s="76" t="n"/>
      <c r="IG4" s="76" t="n"/>
    </row>
    <row r="5" ht="24" customHeight="1" s="69">
      <c r="A5" s="77" t="inlineStr">
        <is>
          <t>DTHW</t>
        </is>
      </c>
      <c r="B5" s="76" t="n"/>
      <c r="C5" s="76" t="n">
        <v>2002489</v>
      </c>
      <c r="D5" s="76" t="inlineStr">
        <is>
          <t>NL</t>
        </is>
      </c>
      <c r="E5" s="76" t="inlineStr">
        <is>
          <t>WPS (CADS)</t>
        </is>
      </c>
      <c r="F5" s="76" t="inlineStr">
        <is>
          <t>NETSTONE</t>
        </is>
      </c>
      <c r="G5" s="76" t="inlineStr">
        <is>
          <t>Maintenance F-secure SSH Licence</t>
        </is>
      </c>
      <c r="H5" s="84" t="n">
        <v>37986</v>
      </c>
      <c r="I5" s="85">
        <f>57690/12</f>
        <v/>
      </c>
      <c r="J5" s="86" t="n">
        <v>1</v>
      </c>
      <c r="K5" s="76" t="inlineStr">
        <is>
          <t>sw</t>
        </is>
      </c>
      <c r="L5" s="76" t="n"/>
      <c r="M5" s="76" t="n"/>
      <c r="N5" s="76" t="n"/>
      <c r="O5" s="77" t="inlineStr">
        <is>
          <t>A.009</t>
        </is>
      </c>
      <c r="P5" s="76" t="inlineStr">
        <is>
          <t>Retained</t>
        </is>
      </c>
      <c r="Q5" s="76" t="n"/>
      <c r="R5" s="76" t="inlineStr">
        <is>
          <t>VendorA</t>
        </is>
      </c>
      <c r="S5" s="87" t="n"/>
    </row>
    <row r="6" ht="24" customHeight="1" s="69">
      <c r="A6" s="77" t="inlineStr">
        <is>
          <t>Server</t>
        </is>
      </c>
      <c r="B6" s="76" t="n"/>
      <c r="C6" s="76" t="n">
        <v>2002514</v>
      </c>
      <c r="D6" s="76" t="inlineStr">
        <is>
          <t>NL</t>
        </is>
      </c>
      <c r="E6" s="76" t="inlineStr">
        <is>
          <t>WPS (CADS)</t>
        </is>
      </c>
      <c r="F6" s="76" t="inlineStr">
        <is>
          <t>NOVELL NEDERLAND B.V.</t>
        </is>
      </c>
      <c r="G6" s="76" t="inlineStr">
        <is>
          <t>Nsure Indentity Manager</t>
        </is>
      </c>
      <c r="H6" s="84" t="n">
        <v>39813</v>
      </c>
      <c r="I6" s="85" t="n">
        <v>27523</v>
      </c>
      <c r="J6" s="86" t="n">
        <v>1</v>
      </c>
      <c r="K6" s="76" t="inlineStr">
        <is>
          <t>SW</t>
        </is>
      </c>
      <c r="L6" s="76" t="n"/>
      <c r="M6" s="76" t="n"/>
      <c r="N6" s="76" t="n"/>
      <c r="O6" s="77" t="inlineStr">
        <is>
          <t>A.011</t>
        </is>
      </c>
      <c r="P6" s="76" t="inlineStr">
        <is>
          <t>Retained</t>
        </is>
      </c>
      <c r="Q6" s="76" t="n"/>
      <c r="R6" s="76" t="inlineStr">
        <is>
          <t>VendorA</t>
        </is>
      </c>
      <c r="S6" s="87" t="n"/>
    </row>
    <row r="7" ht="24" customHeight="1" s="69">
      <c r="A7" s="77" t="inlineStr">
        <is>
          <t>EUC</t>
        </is>
      </c>
      <c r="B7" s="76" t="n"/>
      <c r="C7" s="76" t="n">
        <v>2002523</v>
      </c>
      <c r="D7" s="76" t="inlineStr">
        <is>
          <t>NL</t>
        </is>
      </c>
      <c r="E7" s="76" t="inlineStr">
        <is>
          <t>WPS (CADS)</t>
        </is>
      </c>
      <c r="F7" s="76" t="inlineStr">
        <is>
          <t>QUINTENS MEDIA = AND PUBLISHERS BV</t>
        </is>
      </c>
      <c r="G7" s="76" t="inlineStr">
        <is>
          <t>License AND Routeplanner</t>
        </is>
      </c>
      <c r="H7" s="84" t="n">
        <v>39235</v>
      </c>
      <c r="I7" s="85" t="n">
        <v>1244</v>
      </c>
      <c r="J7" s="86" t="n">
        <v>1</v>
      </c>
      <c r="K7" s="76" t="inlineStr">
        <is>
          <t>SW</t>
        </is>
      </c>
      <c r="L7" s="76" t="n"/>
      <c r="M7" s="76" t="n"/>
      <c r="N7" s="76" t="n"/>
      <c r="O7" s="77" t="inlineStr">
        <is>
          <t xml:space="preserve">A.012 </t>
        </is>
      </c>
      <c r="P7" s="76" t="inlineStr">
        <is>
          <t>Retained</t>
        </is>
      </c>
      <c r="Q7" s="76" t="n"/>
      <c r="R7" s="76" t="inlineStr">
        <is>
          <t>VendorA</t>
        </is>
      </c>
      <c r="S7" s="87" t="n"/>
    </row>
    <row r="8" ht="24" customHeight="1" s="69">
      <c r="A8" s="77" t="inlineStr">
        <is>
          <t>EUC</t>
        </is>
      </c>
      <c r="B8" s="76" t="n"/>
      <c r="C8" s="76" t="n">
        <v>2002527</v>
      </c>
      <c r="D8" s="76" t="inlineStr">
        <is>
          <t>NL</t>
        </is>
      </c>
      <c r="E8" s="76" t="inlineStr">
        <is>
          <t>WPS (CADS)</t>
        </is>
      </c>
      <c r="F8" s="76" t="inlineStr">
        <is>
          <t>PC-WARE</t>
        </is>
      </c>
      <c r="G8" s="76" t="inlineStr">
        <is>
          <t>CD-foongids licenses</t>
        </is>
      </c>
      <c r="H8" s="84" t="n"/>
      <c r="I8" s="85" t="n">
        <v>99</v>
      </c>
      <c r="J8" s="86" t="n">
        <v>1</v>
      </c>
      <c r="K8" s="76" t="inlineStr">
        <is>
          <t>sw</t>
        </is>
      </c>
      <c r="L8" s="76" t="n"/>
      <c r="M8" s="76" t="n"/>
      <c r="N8" s="76" t="n"/>
      <c r="O8" s="76" t="inlineStr">
        <is>
          <t>A.015</t>
        </is>
      </c>
      <c r="P8" s="76" t="inlineStr">
        <is>
          <t>Retained</t>
        </is>
      </c>
      <c r="Q8" s="76" t="n"/>
      <c r="R8" s="76" t="inlineStr">
        <is>
          <t>VendorA</t>
        </is>
      </c>
      <c r="S8" s="87" t="n"/>
    </row>
    <row r="9" ht="24" customHeight="1" s="69">
      <c r="A9" s="77" t="inlineStr">
        <is>
          <t>DTHW</t>
        </is>
      </c>
      <c r="B9" s="76" t="n"/>
      <c r="C9" s="76" t="n">
        <v>2002532</v>
      </c>
      <c r="D9" s="76" t="inlineStr">
        <is>
          <t>NL</t>
        </is>
      </c>
      <c r="E9" s="76" t="inlineStr">
        <is>
          <t>WPS (CADS)</t>
        </is>
      </c>
      <c r="F9" s="76" t="inlineStr">
        <is>
          <t>NETPRO</t>
        </is>
      </c>
      <c r="G9" s="76" t="inlineStr">
        <is>
          <t>Maintenance DSEexpert license</t>
        </is>
      </c>
      <c r="H9" s="84" t="n">
        <v>39092</v>
      </c>
      <c r="I9" s="85">
        <f>23400/12</f>
        <v/>
      </c>
      <c r="J9" s="86" t="n">
        <v>1</v>
      </c>
      <c r="K9" s="76" t="inlineStr">
        <is>
          <t>sw</t>
        </is>
      </c>
      <c r="L9" s="76" t="n"/>
      <c r="M9" s="76" t="n"/>
      <c r="N9" s="76" t="n"/>
      <c r="O9" s="76" t="inlineStr">
        <is>
          <t>A.018</t>
        </is>
      </c>
      <c r="P9" s="76" t="inlineStr">
        <is>
          <t>Retained</t>
        </is>
      </c>
      <c r="Q9" s="76" t="n"/>
      <c r="R9" s="76" t="inlineStr">
        <is>
          <t>VendorA</t>
        </is>
      </c>
      <c r="S9" s="87" t="n"/>
    </row>
    <row r="10" ht="24" customHeight="1" s="69">
      <c r="A10" s="77" t="inlineStr">
        <is>
          <t>EUC</t>
        </is>
      </c>
      <c r="B10" s="76" t="n"/>
      <c r="C10" s="76" t="n">
        <v>2002540</v>
      </c>
      <c r="D10" s="76" t="inlineStr">
        <is>
          <t>NL</t>
        </is>
      </c>
      <c r="E10" s="76" t="inlineStr">
        <is>
          <t>WPS (CADS)</t>
        </is>
      </c>
      <c r="F10" s="76" t="inlineStr">
        <is>
          <t>ERGO DIRECT B.V.</t>
        </is>
      </c>
      <c r="G10" s="76" t="inlineStr">
        <is>
          <t>Workplace License</t>
        </is>
      </c>
      <c r="H10" s="84" t="n">
        <v>39082</v>
      </c>
      <c r="I10" s="85" t="n">
        <v>6706</v>
      </c>
      <c r="J10" s="86" t="n">
        <v>1</v>
      </c>
      <c r="K10" s="76" t="inlineStr">
        <is>
          <t>SW</t>
        </is>
      </c>
      <c r="L10" s="76" t="n"/>
      <c r="M10" s="76" t="n"/>
      <c r="N10" s="76" t="n"/>
      <c r="O10" s="76" t="inlineStr">
        <is>
          <t>A.020</t>
        </is>
      </c>
      <c r="P10" s="76" t="inlineStr">
        <is>
          <t>Novate</t>
        </is>
      </c>
      <c r="Q10" s="76" t="n"/>
      <c r="R10" s="76" t="inlineStr">
        <is>
          <t>VendorA</t>
        </is>
      </c>
      <c r="S10" s="87" t="n">
        <v>6706</v>
      </c>
    </row>
    <row r="11" ht="24" customHeight="1" s="69">
      <c r="A11" s="77" t="inlineStr">
        <is>
          <t>DTHW</t>
        </is>
      </c>
      <c r="B11" s="76" t="n"/>
      <c r="C11" s="76" t="n">
        <v>2002540</v>
      </c>
      <c r="D11" s="76" t="inlineStr">
        <is>
          <t>NL</t>
        </is>
      </c>
      <c r="E11" s="76" t="inlineStr">
        <is>
          <t>WPS (CADS)</t>
        </is>
      </c>
      <c r="F11" s="76" t="inlineStr">
        <is>
          <t>ERGO DIRECT B.V.</t>
        </is>
      </c>
      <c r="G11" s="76" t="inlineStr">
        <is>
          <t>Mouse &amp; Keyboard special pricing</t>
        </is>
      </c>
      <c r="H11" s="84" t="n">
        <v>39082</v>
      </c>
      <c r="I11" s="85" t="n">
        <v>1545</v>
      </c>
      <c r="J11" s="86" t="n">
        <v>1</v>
      </c>
      <c r="K11" s="76" t="inlineStr">
        <is>
          <t>hw</t>
        </is>
      </c>
      <c r="L11" s="76" t="n"/>
      <c r="M11" s="76" t="n"/>
      <c r="N11" s="76" t="n"/>
      <c r="O11" s="76" t="inlineStr">
        <is>
          <t>A.020.II</t>
        </is>
      </c>
      <c r="P11" s="76" t="inlineStr">
        <is>
          <t>Terminate</t>
        </is>
      </c>
      <c r="Q11" s="76" t="inlineStr">
        <is>
          <t>at expiry</t>
        </is>
      </c>
      <c r="R11" s="76" t="inlineStr">
        <is>
          <t>VendorA</t>
        </is>
      </c>
      <c r="S11" s="87" t="n">
        <v>1545</v>
      </c>
    </row>
    <row r="12" ht="24" customHeight="1" s="69">
      <c r="A12" s="77" t="inlineStr">
        <is>
          <t>LAN</t>
        </is>
      </c>
      <c r="B12" s="76" t="n"/>
      <c r="C12" s="76" t="n">
        <v>2002555</v>
      </c>
      <c r="D12" s="76" t="inlineStr">
        <is>
          <t>NL</t>
        </is>
      </c>
      <c r="E12" s="76" t="inlineStr">
        <is>
          <t>OPS&amp;IT Banking</t>
        </is>
      </c>
      <c r="F12" s="76" t="inlineStr">
        <is>
          <t>CISCO Systems</t>
        </is>
      </c>
      <c r="G12" s="76" t="inlineStr">
        <is>
          <t>Advanced Services Contract (SW Support Cisco devices)</t>
        </is>
      </c>
      <c r="H12" s="84" t="n">
        <v>39082</v>
      </c>
      <c r="I12" s="85" t="n">
        <v>22095</v>
      </c>
      <c r="J12" s="86" t="n">
        <v>1</v>
      </c>
      <c r="K12" s="76" t="inlineStr">
        <is>
          <t>Dutch EuroBank networks and Euro Metro Core (excluding UK &amp; BElgium)</t>
        </is>
      </c>
      <c r="L12" s="76" t="n"/>
      <c r="M12" s="76" t="n"/>
      <c r="N12" s="76" t="n"/>
      <c r="O12" s="76" t="inlineStr">
        <is>
          <t>A.021</t>
        </is>
      </c>
      <c r="P12" s="76" t="inlineStr">
        <is>
          <t>Terminate</t>
        </is>
      </c>
      <c r="Q12" s="76" t="inlineStr">
        <is>
          <t>at expiry</t>
        </is>
      </c>
      <c r="R12" s="76" t="inlineStr">
        <is>
          <t>TelCo</t>
        </is>
      </c>
      <c r="S12" s="87" t="n"/>
      <c r="T12" s="77" t="n"/>
    </row>
    <row r="13" ht="24" customHeight="1" s="69">
      <c r="A13" s="77" t="inlineStr">
        <is>
          <t>Server</t>
        </is>
      </c>
      <c r="B13" s="76" t="n">
        <v>0</v>
      </c>
      <c r="C13" s="76" t="n">
        <v>2002567</v>
      </c>
      <c r="D13" s="76" t="inlineStr">
        <is>
          <t>NL</t>
        </is>
      </c>
      <c r="E13" s="76" t="n">
        <v>0</v>
      </c>
      <c r="F13" s="76" t="inlineStr">
        <is>
          <t>Hewlett Packard Company</t>
        </is>
      </c>
      <c r="G13" s="76" t="inlineStr">
        <is>
          <t>Global Agreement for PC's, Laptops, and Servers</t>
        </is>
      </c>
      <c r="H13" s="84" t="n">
        <v>39083</v>
      </c>
      <c r="I13" s="85" t="n">
        <v>44304</v>
      </c>
      <c r="J13" s="86" t="n">
        <v>1</v>
      </c>
      <c r="K13" s="76" t="inlineStr">
        <is>
          <t>ISS Hardware agreement</t>
        </is>
      </c>
      <c r="L13" s="76" t="n"/>
      <c r="M13" s="76" t="n"/>
      <c r="N13" s="76" t="n"/>
      <c r="O13" s="76" t="inlineStr">
        <is>
          <t>A.022.I</t>
        </is>
      </c>
      <c r="P13" s="76" t="inlineStr">
        <is>
          <t>Terminate</t>
        </is>
      </c>
      <c r="Q13" s="76" t="inlineStr">
        <is>
          <t>at expiry</t>
        </is>
      </c>
      <c r="R13" s="76" t="inlineStr">
        <is>
          <t>VendorA</t>
        </is>
      </c>
      <c r="S13" s="87" t="n">
        <v>0</v>
      </c>
    </row>
    <row r="14" ht="24" customHeight="1" s="69">
      <c r="A14" s="77" t="inlineStr">
        <is>
          <t>EUC</t>
        </is>
      </c>
      <c r="B14" s="76" t="n"/>
      <c r="C14" s="76" t="n"/>
      <c r="D14" s="76" t="inlineStr">
        <is>
          <t>NL</t>
        </is>
      </c>
      <c r="E14" s="76" t="inlineStr">
        <is>
          <t>WPS/UIS/CS</t>
        </is>
      </c>
      <c r="F14" s="76" t="inlineStr">
        <is>
          <t>Adobe</t>
        </is>
      </c>
      <c r="G14" s="76" t="inlineStr">
        <is>
          <t>Global Agreement Schedule for Acrobat License</t>
        </is>
      </c>
      <c r="H14" s="84" t="n">
        <v>39083</v>
      </c>
      <c r="I14" s="85" t="n">
        <v>11325</v>
      </c>
      <c r="J14" s="86" t="n">
        <v>1</v>
      </c>
      <c r="K14" s="76" t="inlineStr">
        <is>
          <t>SW</t>
        </is>
      </c>
      <c r="L14" s="76" t="n"/>
      <c r="M14" s="76" t="n"/>
      <c r="N14" s="76" t="n"/>
      <c r="O14" s="76" t="inlineStr">
        <is>
          <t>A.024</t>
        </is>
      </c>
      <c r="P14" s="76" t="inlineStr">
        <is>
          <t>Retained</t>
        </is>
      </c>
      <c r="Q14" s="76" t="n"/>
      <c r="R14" s="76" t="inlineStr">
        <is>
          <t>VendorA</t>
        </is>
      </c>
      <c r="S14" s="87" t="n"/>
    </row>
    <row r="15" ht="24" customHeight="1" s="69">
      <c r="A15" s="77" t="inlineStr">
        <is>
          <t>Voice</t>
        </is>
      </c>
      <c r="B15" s="76" t="n"/>
      <c r="C15" s="76" t="n">
        <v>2002574</v>
      </c>
      <c r="D15" s="76" t="inlineStr">
        <is>
          <t>NL</t>
        </is>
      </c>
      <c r="E15" s="76" t="inlineStr">
        <is>
          <t>WPS (CADS)</t>
        </is>
      </c>
      <c r="F15" s="76" t="inlineStr">
        <is>
          <t>CANS B.V.</t>
        </is>
      </c>
      <c r="G15" s="76" t="inlineStr">
        <is>
          <t>Maintenance and Support contract for iTRACS licenties</t>
        </is>
      </c>
      <c r="H15" s="84" t="n">
        <v>39082</v>
      </c>
      <c r="I15" s="85" t="n">
        <v>2736</v>
      </c>
      <c r="J15" s="86" t="n">
        <v>1</v>
      </c>
      <c r="K15" s="76" t="inlineStr">
        <is>
          <t>SW</t>
        </is>
      </c>
      <c r="L15" s="76" t="n"/>
      <c r="M15" s="76" t="n"/>
      <c r="N15" s="76" t="n"/>
      <c r="O15" s="76" t="inlineStr">
        <is>
          <t>A.025</t>
        </is>
      </c>
      <c r="P15" s="76" t="inlineStr">
        <is>
          <t>Novate</t>
        </is>
      </c>
      <c r="Q15" s="76" t="n"/>
      <c r="R15" s="76" t="inlineStr">
        <is>
          <t>TelCo</t>
        </is>
      </c>
      <c r="S15" s="87" t="n">
        <v>960</v>
      </c>
      <c r="T15" s="77" t="n"/>
    </row>
    <row r="16" ht="24" customHeight="1" s="69">
      <c r="A16" s="77" t="inlineStr">
        <is>
          <t>Cross</t>
        </is>
      </c>
      <c r="B16" s="76" t="n"/>
      <c r="C16" s="76" t="n">
        <v>2002577</v>
      </c>
      <c r="D16" s="76" t="inlineStr">
        <is>
          <t>NL</t>
        </is>
      </c>
      <c r="E16" s="76" t="inlineStr">
        <is>
          <t>WPS (CADS)</t>
        </is>
      </c>
      <c r="F16" s="90" t="inlineStr">
        <is>
          <t>MICROSOFT</t>
        </is>
      </c>
      <c r="G16" s="76" t="inlineStr">
        <is>
          <t>Global Maintenance and Support agreement</t>
        </is>
      </c>
      <c r="H16" s="84" t="n">
        <v>38717</v>
      </c>
      <c r="I16" s="85" t="n">
        <v>583333</v>
      </c>
      <c r="J16" s="86" t="n">
        <v>0.8</v>
      </c>
      <c r="K16" s="76" t="inlineStr">
        <is>
          <t>SW</t>
        </is>
      </c>
      <c r="L16" s="76" t="n"/>
      <c r="M16" s="76" t="n"/>
      <c r="N16" s="76" t="n"/>
      <c r="O16" s="76" t="inlineStr">
        <is>
          <t>A.026</t>
        </is>
      </c>
      <c r="P16" s="76" t="inlineStr">
        <is>
          <t>Retained</t>
        </is>
      </c>
      <c r="Q16" s="76" t="n"/>
      <c r="R16" s="76" t="inlineStr">
        <is>
          <t>VendorA</t>
        </is>
      </c>
      <c r="S16" s="87" t="n"/>
    </row>
    <row r="17" ht="24" customHeight="1" s="69">
      <c r="A17" s="77" t="inlineStr">
        <is>
          <t>Server</t>
        </is>
      </c>
      <c r="B17" s="76" t="n"/>
      <c r="C17" s="76" t="n">
        <v>2002606</v>
      </c>
      <c r="D17" s="76" t="inlineStr">
        <is>
          <t>NL</t>
        </is>
      </c>
      <c r="E17" s="76" t="inlineStr">
        <is>
          <t>DCO</t>
        </is>
      </c>
      <c r="F17" s="76" t="inlineStr">
        <is>
          <t>IBM NEDERLAND BV</t>
        </is>
      </c>
      <c r="G17" s="76" t="inlineStr">
        <is>
          <t>IRM-a</t>
        </is>
      </c>
      <c r="H17" s="84" t="inlineStr">
        <is>
          <t>31-10-2005</t>
        </is>
      </c>
      <c r="I17" s="85" t="n">
        <v>149345</v>
      </c>
      <c r="J17" s="86" t="n">
        <v>0.5</v>
      </c>
      <c r="K17" s="76" t="n"/>
      <c r="L17" s="76" t="n"/>
      <c r="M17" s="76" t="n"/>
      <c r="N17" s="76" t="n"/>
      <c r="O17" s="76" t="inlineStr">
        <is>
          <t>A.027</t>
        </is>
      </c>
      <c r="P17" s="76" t="inlineStr">
        <is>
          <t>Terminate</t>
        </is>
      </c>
      <c r="Q17" s="76" t="n"/>
      <c r="R17" s="76" t="inlineStr">
        <is>
          <t>VendorA</t>
        </is>
      </c>
      <c r="S17" s="87" t="n">
        <v>74673</v>
      </c>
    </row>
    <row r="18" ht="24" customHeight="1" s="69">
      <c r="A18" s="77" t="inlineStr">
        <is>
          <t>EUC</t>
        </is>
      </c>
      <c r="B18" s="76" t="n"/>
      <c r="C18" s="76" t="n">
        <v>2002622</v>
      </c>
      <c r="D18" s="76" t="inlineStr">
        <is>
          <t>NL</t>
        </is>
      </c>
      <c r="E18" s="76" t="inlineStr">
        <is>
          <t>WPS (CADS)</t>
        </is>
      </c>
      <c r="F18" s="76" t="inlineStr">
        <is>
          <t>CENDRIS DATACONSULTING B.V.</t>
        </is>
      </c>
      <c r="G18" s="76" t="inlineStr">
        <is>
          <t>Site license Postcode Tabel and supplementary Products</t>
        </is>
      </c>
      <c r="H18" s="84" t="n">
        <v>39082</v>
      </c>
      <c r="I18" s="85" t="n">
        <v>1413</v>
      </c>
      <c r="J18" s="86" t="n">
        <v>1</v>
      </c>
      <c r="K18" s="76" t="inlineStr">
        <is>
          <t>SW</t>
        </is>
      </c>
      <c r="L18" s="76" t="n"/>
      <c r="M18" s="76" t="n"/>
      <c r="N18" s="76" t="n"/>
      <c r="O18" s="76" t="inlineStr">
        <is>
          <t>A.029</t>
        </is>
      </c>
      <c r="P18" s="76" t="inlineStr">
        <is>
          <t>Novate</t>
        </is>
      </c>
      <c r="Q18" s="76" t="n"/>
      <c r="R18" s="76" t="inlineStr">
        <is>
          <t>VendorA</t>
        </is>
      </c>
      <c r="S18" s="87" t="n"/>
    </row>
    <row r="19" ht="24" customHeight="1" s="69">
      <c r="A19" s="77" t="inlineStr">
        <is>
          <t>LAN</t>
        </is>
      </c>
      <c r="B19" s="76" t="n">
        <v>0</v>
      </c>
      <c r="C19" s="76" t="n">
        <v>2004607</v>
      </c>
      <c r="D19" s="76" t="inlineStr">
        <is>
          <t>NL</t>
        </is>
      </c>
      <c r="E19" s="76" t="n"/>
      <c r="F19" s="76" t="inlineStr">
        <is>
          <t>Dimension data (NL) BV</t>
        </is>
      </c>
      <c r="G19" s="76" t="inlineStr">
        <is>
          <t>Concord License &amp; Maint</t>
        </is>
      </c>
      <c r="H19" s="84" t="n">
        <v>38717</v>
      </c>
      <c r="I19" s="85" t="n">
        <v>6353</v>
      </c>
      <c r="J19" s="86" t="n">
        <v>0.75</v>
      </c>
      <c r="K19" s="76" t="n">
        <v>0</v>
      </c>
      <c r="L19" s="76" t="n"/>
      <c r="M19" s="76" t="n"/>
      <c r="N19" s="76" t="n"/>
      <c r="O19" s="76" t="inlineStr">
        <is>
          <t>A.030.II</t>
        </is>
      </c>
      <c r="P19" s="76" t="inlineStr">
        <is>
          <t>Terminate</t>
        </is>
      </c>
      <c r="Q19" s="76" t="inlineStr">
        <is>
          <t>at expiry</t>
        </is>
      </c>
      <c r="R19" s="76" t="inlineStr">
        <is>
          <t>TelCo</t>
        </is>
      </c>
      <c r="S19" s="87">
        <f>I19*J19</f>
        <v/>
      </c>
      <c r="T19" s="77" t="n"/>
    </row>
    <row r="20" ht="24" customHeight="1" s="69">
      <c r="A20" s="77" t="inlineStr">
        <is>
          <t>EUC</t>
        </is>
      </c>
      <c r="B20" s="76" t="n"/>
      <c r="C20" s="76" t="n">
        <v>2004073</v>
      </c>
      <c r="D20" s="76" t="inlineStr">
        <is>
          <t>NL</t>
        </is>
      </c>
      <c r="E20" s="76" t="n"/>
      <c r="F20" s="76" t="inlineStr">
        <is>
          <t>Pecoma</t>
        </is>
      </c>
      <c r="G20" s="76" t="inlineStr">
        <is>
          <t>Packaging CEDS</t>
        </is>
      </c>
      <c r="H20" s="84" t="n">
        <v>38898</v>
      </c>
      <c r="I20" s="85" t="n">
        <v>23973</v>
      </c>
      <c r="J20" s="86" t="n">
        <v>1</v>
      </c>
      <c r="K20" s="76" t="n"/>
      <c r="L20" s="76" t="n"/>
      <c r="M20" s="76" t="n"/>
      <c r="N20" s="76" t="n"/>
      <c r="O20" s="76" t="inlineStr">
        <is>
          <t>A.034</t>
        </is>
      </c>
      <c r="P20" s="76" t="inlineStr">
        <is>
          <t>Terminate</t>
        </is>
      </c>
      <c r="Q20" s="76" t="inlineStr">
        <is>
          <t>at expiry</t>
        </is>
      </c>
      <c r="R20" s="76" t="inlineStr">
        <is>
          <t>VendorA</t>
        </is>
      </c>
      <c r="S20" s="87" t="n">
        <v>23973</v>
      </c>
    </row>
    <row r="21" ht="24" customHeight="1" s="69">
      <c r="A21" s="77" t="inlineStr">
        <is>
          <t>EUC</t>
        </is>
      </c>
      <c r="B21" s="76" t="n"/>
      <c r="C21" s="76" t="n">
        <v>2004501</v>
      </c>
      <c r="D21" s="76" t="inlineStr">
        <is>
          <t>NL</t>
        </is>
      </c>
      <c r="E21" s="76" t="inlineStr">
        <is>
          <t>WPS (CADS)</t>
        </is>
      </c>
      <c r="F21" s="76" t="inlineStr">
        <is>
          <t>NETMANAGE BENELUX</t>
        </is>
      </c>
      <c r="G21" s="76" t="inlineStr">
        <is>
          <t>Maintenance 2005 / ONE step / RUMBA</t>
        </is>
      </c>
      <c r="H21" s="84" t="n">
        <v>39416</v>
      </c>
      <c r="I21" s="85" t="n">
        <v>43363</v>
      </c>
      <c r="J21" s="86" t="n">
        <v>1</v>
      </c>
      <c r="K21" s="76" t="inlineStr">
        <is>
          <t>SW</t>
        </is>
      </c>
      <c r="L21" s="76" t="n"/>
      <c r="M21" s="76" t="n"/>
      <c r="N21" s="76" t="n"/>
      <c r="O21" s="76" t="inlineStr">
        <is>
          <t>A.035</t>
        </is>
      </c>
      <c r="P21" s="76" t="inlineStr">
        <is>
          <t>Retained</t>
        </is>
      </c>
      <c r="Q21" s="76" t="n"/>
      <c r="R21" s="76" t="inlineStr">
        <is>
          <t>VendorA</t>
        </is>
      </c>
      <c r="S21" s="87" t="n"/>
    </row>
    <row r="22" ht="24" customHeight="1" s="69">
      <c r="A22" s="77" t="inlineStr">
        <is>
          <t>Cross</t>
        </is>
      </c>
      <c r="B22" s="76" t="n"/>
      <c r="C22" s="76" t="n">
        <v>2003528</v>
      </c>
      <c r="D22" s="76" t="inlineStr">
        <is>
          <t>NL</t>
        </is>
      </c>
      <c r="E22" s="76" t="inlineStr">
        <is>
          <t>WPS (CADS)</t>
        </is>
      </c>
      <c r="F22" s="76" t="inlineStr">
        <is>
          <t>SLTN Group</t>
        </is>
      </c>
      <c r="G22" s="76" t="inlineStr">
        <is>
          <t>Maintenance IBM Passport Advantage; Lotus, db2, Websphere</t>
        </is>
      </c>
      <c r="H22" s="84" t="n">
        <v>38291</v>
      </c>
      <c r="I22" s="85" t="n">
        <v>58167</v>
      </c>
      <c r="J22" s="86" t="n">
        <v>1</v>
      </c>
      <c r="K22" s="76" t="inlineStr">
        <is>
          <t>SW</t>
        </is>
      </c>
      <c r="L22" s="76" t="n"/>
      <c r="M22" s="76" t="n"/>
      <c r="N22" s="76" t="n"/>
      <c r="O22" s="76" t="inlineStr">
        <is>
          <t>A.036</t>
        </is>
      </c>
      <c r="P22" s="76" t="inlineStr">
        <is>
          <t>Retained</t>
        </is>
      </c>
      <c r="Q22" s="76" t="n"/>
      <c r="R22" s="76" t="inlineStr">
        <is>
          <t>VendorA</t>
        </is>
      </c>
      <c r="S22" s="87" t="n"/>
    </row>
    <row r="23" ht="24" customHeight="1" s="69">
      <c r="A23" s="77" t="inlineStr">
        <is>
          <t>Server</t>
        </is>
      </c>
      <c r="B23" s="76" t="n"/>
      <c r="C23" s="76" t="n">
        <v>2003598</v>
      </c>
      <c r="D23" s="76" t="inlineStr">
        <is>
          <t>NL</t>
        </is>
      </c>
      <c r="E23" s="76" t="inlineStr">
        <is>
          <t>DCO</t>
        </is>
      </c>
      <c r="F23" s="76" t="inlineStr">
        <is>
          <t>SYSTEMS ADVISERS BENELUX B.V.</t>
        </is>
      </c>
      <c r="G23" s="76" t="inlineStr">
        <is>
          <t>Aanschaf, onderhoud en implementatie Solomon software</t>
        </is>
      </c>
      <c r="H23" s="84" t="inlineStr">
        <is>
          <t>31-12-2099</t>
        </is>
      </c>
      <c r="I23" s="85" t="n">
        <v>237</v>
      </c>
      <c r="J23" s="86" t="n">
        <v>1</v>
      </c>
      <c r="K23" s="76" t="inlineStr">
        <is>
          <t>Software Onderhoud - Infra</t>
        </is>
      </c>
      <c r="L23" s="76" t="n"/>
      <c r="M23" s="76" t="n"/>
      <c r="N23" s="76" t="n"/>
      <c r="O23" s="76" t="inlineStr">
        <is>
          <t>A.037</t>
        </is>
      </c>
      <c r="P23" s="76" t="inlineStr">
        <is>
          <t>Retained</t>
        </is>
      </c>
      <c r="Q23" s="76" t="n"/>
      <c r="R23" s="76" t="inlineStr">
        <is>
          <t>VendorA</t>
        </is>
      </c>
      <c r="S23" s="87" t="n"/>
    </row>
    <row r="24" ht="47.4" customHeight="1" s="69">
      <c r="A24" s="77" t="inlineStr">
        <is>
          <t>Server</t>
        </is>
      </c>
      <c r="B24" s="76" t="n"/>
      <c r="C24" s="76" t="n">
        <v>2003968</v>
      </c>
      <c r="D24" s="76" t="inlineStr">
        <is>
          <t>NL</t>
        </is>
      </c>
      <c r="E24" s="76" t="inlineStr">
        <is>
          <t>DCO</t>
        </is>
      </c>
      <c r="F24" s="76" t="inlineStr">
        <is>
          <t>PROGRESS SOFTWARE</t>
        </is>
      </c>
      <c r="G24" s="76" t="inlineStr">
        <is>
          <t>Aanschaf en onderhoud licenties Oracle DataServer, ontwikkelomgeving ProVision Plus, Enterprise DataServer</t>
        </is>
      </c>
      <c r="H24" s="84" t="inlineStr">
        <is>
          <t>14-3-2007</t>
        </is>
      </c>
      <c r="I24" s="85" t="n">
        <v>509</v>
      </c>
      <c r="J24" s="86" t="n">
        <v>0.5</v>
      </c>
      <c r="K24" s="76" t="inlineStr">
        <is>
          <t>Software Licenties - Infra</t>
        </is>
      </c>
      <c r="L24" s="76" t="n"/>
      <c r="M24" s="76" t="n"/>
      <c r="N24" s="76" t="n"/>
      <c r="O24" s="76" t="inlineStr">
        <is>
          <t>A.047</t>
        </is>
      </c>
      <c r="P24" s="76" t="inlineStr">
        <is>
          <t>Retained</t>
        </is>
      </c>
      <c r="Q24" s="76" t="n"/>
      <c r="R24" s="76" t="inlineStr">
        <is>
          <t>VendorA</t>
        </is>
      </c>
      <c r="S24" s="87" t="n"/>
    </row>
    <row r="25" ht="36" customHeight="1" s="69">
      <c r="A25" s="77" t="inlineStr">
        <is>
          <t>Server</t>
        </is>
      </c>
      <c r="B25" s="76" t="n"/>
      <c r="C25" s="76" t="n">
        <v>2004048</v>
      </c>
      <c r="D25" s="76" t="inlineStr">
        <is>
          <t>BE</t>
        </is>
      </c>
      <c r="E25" s="76" t="inlineStr">
        <is>
          <t>DCO</t>
        </is>
      </c>
      <c r="F25" s="76" t="inlineStr">
        <is>
          <t>ADVISIE COMPUTER CONSULTANTS B.V.</t>
        </is>
      </c>
      <c r="G25" s="76" t="inlineStr">
        <is>
          <t>Proc Infra BElgie: Aanschaf en onderhoud licenties Shavlik software producten</t>
        </is>
      </c>
      <c r="H25" s="84" t="n">
        <v>39041</v>
      </c>
      <c r="I25" s="85" t="n">
        <v>369</v>
      </c>
      <c r="J25" s="86" t="n">
        <v>1</v>
      </c>
      <c r="K25" s="76" t="inlineStr">
        <is>
          <t>Software Licenties - Infra</t>
        </is>
      </c>
      <c r="L25" s="76" t="n"/>
      <c r="M25" s="76" t="n"/>
      <c r="N25" s="76" t="n"/>
      <c r="O25" s="76" t="inlineStr">
        <is>
          <t>A.050</t>
        </is>
      </c>
      <c r="P25" s="76" t="inlineStr">
        <is>
          <t>Retained</t>
        </is>
      </c>
      <c r="Q25" s="76" t="n"/>
      <c r="R25" s="76" t="inlineStr">
        <is>
          <t>VendorA</t>
        </is>
      </c>
      <c r="S25" s="91" t="n">
        <v>369</v>
      </c>
      <c r="HQ25" s="77" t="n"/>
      <c r="HR25" s="77" t="n"/>
    </row>
    <row r="26" ht="34.2" customHeight="1" s="69">
      <c r="A26" s="77" t="inlineStr">
        <is>
          <t>EUC</t>
        </is>
      </c>
      <c r="B26" s="76" t="n"/>
      <c r="C26" s="76" t="n">
        <v>2004064</v>
      </c>
      <c r="D26" s="76" t="inlineStr">
        <is>
          <t>NL</t>
        </is>
      </c>
      <c r="E26" s="76" t="inlineStr">
        <is>
          <t>DCO</t>
        </is>
      </c>
      <c r="F26" s="76" t="inlineStr">
        <is>
          <t>HEWLETT PACKARD NEDERLAND B.V.</t>
        </is>
      </c>
      <c r="G26" s="76" t="inlineStr">
        <is>
          <t>Extended support OS Win98 en WinNT</t>
        </is>
      </c>
      <c r="H26" s="84" t="n">
        <v>38168</v>
      </c>
      <c r="I26" s="85" t="n">
        <v>72</v>
      </c>
      <c r="J26" s="86" t="n">
        <v>1</v>
      </c>
      <c r="K26" s="76" t="inlineStr">
        <is>
          <t>Software Onderhoud - Infra</t>
        </is>
      </c>
      <c r="L26" s="76" t="n"/>
      <c r="M26" s="76" t="n"/>
      <c r="N26" s="76" t="n"/>
      <c r="O26" s="76" t="inlineStr">
        <is>
          <t>A.051</t>
        </is>
      </c>
      <c r="P26" s="76" t="inlineStr">
        <is>
          <t>Terminate</t>
        </is>
      </c>
      <c r="Q26" s="76" t="inlineStr">
        <is>
          <t>at expiry</t>
        </is>
      </c>
      <c r="R26" s="76" t="inlineStr">
        <is>
          <t>VendorA</t>
        </is>
      </c>
      <c r="S26" s="87" t="n">
        <v>72</v>
      </c>
      <c r="HQ26" s="77" t="n"/>
      <c r="HR26" s="77" t="n"/>
    </row>
    <row r="27" ht="34.2" customHeight="1" s="69">
      <c r="A27" s="77" t="inlineStr">
        <is>
          <t>Server</t>
        </is>
      </c>
      <c r="B27" s="76" t="n"/>
      <c r="C27" s="76" t="n">
        <v>2004132</v>
      </c>
      <c r="D27" s="76" t="inlineStr">
        <is>
          <t>NL</t>
        </is>
      </c>
      <c r="E27" s="76" t="inlineStr">
        <is>
          <t>WPS (CADS)</t>
        </is>
      </c>
      <c r="F27" s="76" t="inlineStr">
        <is>
          <t>CAPTARIS</t>
        </is>
      </c>
      <c r="G27" s="76" t="inlineStr">
        <is>
          <t>Right Fax Maintenance, Software License (PC-Ware), and Hardware equipment (SCC)</t>
        </is>
      </c>
      <c r="H27" s="84" t="n"/>
      <c r="I27" s="90" t="n">
        <v>2543</v>
      </c>
      <c r="J27" s="92" t="n">
        <v>1</v>
      </c>
      <c r="K27" s="76" t="inlineStr">
        <is>
          <t>sw</t>
        </is>
      </c>
      <c r="L27" s="76" t="n"/>
      <c r="M27" s="76" t="n"/>
      <c r="N27" s="76" t="n"/>
      <c r="O27" s="76" t="inlineStr">
        <is>
          <t>A.053</t>
        </is>
      </c>
      <c r="P27" s="76" t="inlineStr">
        <is>
          <t>Retained</t>
        </is>
      </c>
      <c r="Q27" s="76" t="n"/>
      <c r="R27" s="76" t="inlineStr">
        <is>
          <t>VendorA</t>
        </is>
      </c>
      <c r="S27" s="87" t="n"/>
      <c r="HQ27" s="77" t="n"/>
      <c r="HR27" s="77" t="n"/>
    </row>
    <row r="28" ht="24" customHeight="1" s="69">
      <c r="A28" s="77" t="inlineStr">
        <is>
          <t>EUC</t>
        </is>
      </c>
      <c r="B28" s="76" t="n"/>
      <c r="C28" s="76" t="n">
        <v>2004158</v>
      </c>
      <c r="D28" s="76" t="inlineStr">
        <is>
          <t>NL</t>
        </is>
      </c>
      <c r="E28" s="76" t="inlineStr">
        <is>
          <t>WPS (CADS)</t>
        </is>
      </c>
      <c r="F28" s="76" t="inlineStr">
        <is>
          <t>Innovative Security Solutions BENELUX</t>
        </is>
      </c>
      <c r="G28" s="76" t="inlineStr">
        <is>
          <t>License and Maintenance NetIQ Active Directory Tooling</t>
        </is>
      </c>
      <c r="H28" s="84" t="n"/>
      <c r="I28" s="90" t="n">
        <v>21262</v>
      </c>
      <c r="J28" s="92" t="n">
        <v>0</v>
      </c>
      <c r="K28" s="76" t="inlineStr">
        <is>
          <t>SW</t>
        </is>
      </c>
      <c r="L28" s="76" t="n"/>
      <c r="M28" s="76" t="n"/>
      <c r="N28" s="76" t="n"/>
      <c r="O28" s="76" t="inlineStr">
        <is>
          <t>A.054</t>
        </is>
      </c>
      <c r="P28" s="76" t="inlineStr">
        <is>
          <t>Terminate</t>
        </is>
      </c>
      <c r="Q28" s="76" t="inlineStr">
        <is>
          <t>at expiry</t>
        </is>
      </c>
      <c r="R28" s="76" t="inlineStr">
        <is>
          <t>VendorA</t>
        </is>
      </c>
      <c r="S28" s="87" t="n">
        <v>19083</v>
      </c>
    </row>
    <row r="29" ht="36" customHeight="1" s="69">
      <c r="A29" s="77" t="inlineStr">
        <is>
          <t>Server</t>
        </is>
      </c>
      <c r="B29" s="76" t="n"/>
      <c r="C29" s="76" t="n">
        <v>2004473</v>
      </c>
      <c r="D29" s="76" t="inlineStr">
        <is>
          <t>NL</t>
        </is>
      </c>
      <c r="E29" s="76" t="inlineStr">
        <is>
          <t>WPS (CADS)</t>
        </is>
      </c>
      <c r="F29" s="76" t="inlineStr">
        <is>
          <t>HPSLMS Ierland / Symantec</t>
        </is>
      </c>
      <c r="G29" s="76" t="inlineStr">
        <is>
          <t>Brightmail AntiSpam 6.0 Subcription &amp; Gold Maintenance. (50.000 license x € 4,58)</t>
        </is>
      </c>
      <c r="H29" s="84" t="n"/>
      <c r="I29" s="90" t="n">
        <v>19083</v>
      </c>
      <c r="J29" s="92" t="n">
        <v>1</v>
      </c>
      <c r="K29" s="76" t="inlineStr">
        <is>
          <t>SW</t>
        </is>
      </c>
      <c r="L29" s="76" t="n"/>
      <c r="M29" s="76" t="n"/>
      <c r="N29" s="76" t="n"/>
      <c r="O29" s="76" t="inlineStr">
        <is>
          <t>A.055</t>
        </is>
      </c>
      <c r="P29" s="93" t="inlineStr">
        <is>
          <t>Terminate</t>
        </is>
      </c>
      <c r="Q29" s="76" t="n"/>
      <c r="R29" s="76" t="inlineStr">
        <is>
          <t>VendorA</t>
        </is>
      </c>
      <c r="S29" s="87" t="n">
        <v>4750</v>
      </c>
      <c r="FA29" s="77" t="n"/>
      <c r="FB29" s="77" t="n"/>
      <c r="FC29" s="76" t="n"/>
    </row>
    <row r="30" ht="24" customHeight="1" s="69">
      <c r="A30" s="77" t="inlineStr">
        <is>
          <t>LAN</t>
        </is>
      </c>
      <c r="B30" s="76" t="n"/>
      <c r="C30" s="76" t="n">
        <v>2004989</v>
      </c>
      <c r="D30" s="76" t="inlineStr">
        <is>
          <t>NL</t>
        </is>
      </c>
      <c r="E30" s="76" t="inlineStr">
        <is>
          <t>DCO</t>
        </is>
      </c>
      <c r="F30" s="76" t="inlineStr">
        <is>
          <t>Unit 4 Security Solutions BV</t>
        </is>
      </c>
      <c r="G30" s="76" t="inlineStr">
        <is>
          <t>Frame Purchase Agreement for Sniffer software</t>
        </is>
      </c>
      <c r="H30" s="84" t="n">
        <v>39448</v>
      </c>
      <c r="I30" s="85" t="n">
        <v>2188</v>
      </c>
      <c r="J30" s="86" t="n">
        <v>1</v>
      </c>
      <c r="K30" s="76" t="inlineStr">
        <is>
          <t>Software Licenties - Infra</t>
        </is>
      </c>
      <c r="L30" s="76" t="n"/>
      <c r="M30" s="76" t="n"/>
      <c r="N30" s="76" t="n"/>
      <c r="O30" s="76" t="inlineStr">
        <is>
          <t>A.057</t>
        </is>
      </c>
      <c r="P30" s="76" t="inlineStr">
        <is>
          <t>Terminate</t>
        </is>
      </c>
      <c r="Q30" s="76" t="inlineStr">
        <is>
          <t>at expiry</t>
        </is>
      </c>
      <c r="R30" s="76" t="inlineStr">
        <is>
          <t>TelCo</t>
        </is>
      </c>
      <c r="S30" s="93" t="n"/>
      <c r="T30" s="77" t="n"/>
    </row>
    <row r="31" ht="24" customHeight="1" s="69">
      <c r="A31" s="77" t="inlineStr">
        <is>
          <t>Voice</t>
        </is>
      </c>
      <c r="B31" s="76" t="n"/>
      <c r="C31" s="76" t="n"/>
      <c r="D31" s="76" t="inlineStr">
        <is>
          <t>NL</t>
        </is>
      </c>
      <c r="E31" s="76" t="inlineStr">
        <is>
          <t>WIA</t>
        </is>
      </c>
      <c r="F31" s="76" t="inlineStr">
        <is>
          <t>Motifact Service Management BV</t>
        </is>
      </c>
      <c r="G31" s="76" t="inlineStr">
        <is>
          <t>Remedy licence ARS</t>
        </is>
      </c>
      <c r="H31" s="84" t="n"/>
      <c r="I31" s="90" t="n">
        <v>541</v>
      </c>
      <c r="J31" s="92" t="n">
        <v>1</v>
      </c>
      <c r="K31" s="76" t="n"/>
      <c r="L31" s="76" t="n"/>
      <c r="M31" s="76" t="n"/>
      <c r="N31" s="76" t="n"/>
      <c r="O31" s="76" t="inlineStr">
        <is>
          <t xml:space="preserve">A.063   </t>
        </is>
      </c>
      <c r="P31" s="76" t="inlineStr">
        <is>
          <t>Terminate</t>
        </is>
      </c>
      <c r="Q31" s="76" t="inlineStr">
        <is>
          <t>at expiry</t>
        </is>
      </c>
      <c r="R31" s="76" t="inlineStr">
        <is>
          <t>TelCo</t>
        </is>
      </c>
      <c r="S31" s="87" t="n"/>
      <c r="T31" s="77" t="n"/>
    </row>
    <row r="32" ht="24" customHeight="1" s="69">
      <c r="A32" s="77" t="inlineStr">
        <is>
          <t>voice</t>
        </is>
      </c>
      <c r="B32" s="76" t="n"/>
      <c r="C32" s="76" t="n"/>
      <c r="D32" s="76" t="inlineStr">
        <is>
          <t>NL</t>
        </is>
      </c>
      <c r="E32" s="76" t="inlineStr">
        <is>
          <t>SIS</t>
        </is>
      </c>
      <c r="F32" s="76" t="inlineStr">
        <is>
          <t>Motifact Service Management BV</t>
        </is>
      </c>
      <c r="G32" s="76" t="inlineStr">
        <is>
          <t>maintenance ARS</t>
        </is>
      </c>
      <c r="H32" s="84" t="n"/>
      <c r="I32" s="90" t="n">
        <v>13824</v>
      </c>
      <c r="J32" s="92" t="n">
        <v>1</v>
      </c>
      <c r="K32" s="76" t="n"/>
      <c r="L32" s="76" t="n"/>
      <c r="M32" s="76" t="n"/>
      <c r="N32" s="76" t="n"/>
      <c r="O32" s="76" t="inlineStr">
        <is>
          <t xml:space="preserve">A.065 </t>
        </is>
      </c>
      <c r="P32" s="76" t="inlineStr">
        <is>
          <t>Terminate</t>
        </is>
      </c>
      <c r="Q32" s="76" t="inlineStr">
        <is>
          <t>at expiry</t>
        </is>
      </c>
      <c r="R32" s="76" t="inlineStr">
        <is>
          <t>TelCo</t>
        </is>
      </c>
      <c r="S32" s="87" t="n"/>
      <c r="T32" s="77" t="n"/>
    </row>
    <row r="33" ht="24" customHeight="1" s="69">
      <c r="A33" s="77" t="inlineStr">
        <is>
          <t>Cross</t>
        </is>
      </c>
      <c r="B33" s="76" t="n"/>
      <c r="C33" s="76" t="n">
        <v>2002607</v>
      </c>
      <c r="D33" s="76" t="inlineStr">
        <is>
          <t>NL</t>
        </is>
      </c>
      <c r="E33" s="76" t="inlineStr">
        <is>
          <t>DCO</t>
        </is>
      </c>
      <c r="F33" s="76" t="inlineStr">
        <is>
          <t>IBM NEDERLAND BV</t>
        </is>
      </c>
      <c r="G33" s="76" t="inlineStr">
        <is>
          <t>Peregrine Software</t>
        </is>
      </c>
      <c r="H33" s="84" t="inlineStr">
        <is>
          <t>22-12-2005</t>
        </is>
      </c>
      <c r="I33" s="90" t="n">
        <v>31192</v>
      </c>
      <c r="J33" s="92" t="n">
        <v>0.5</v>
      </c>
      <c r="K33" s="76" t="n"/>
      <c r="L33" s="76" t="n"/>
      <c r="M33" s="76" t="n"/>
      <c r="N33" s="76" t="n"/>
      <c r="O33" s="76" t="inlineStr">
        <is>
          <t>A.067</t>
        </is>
      </c>
      <c r="P33" s="76" t="inlineStr">
        <is>
          <t>Terminate</t>
        </is>
      </c>
      <c r="Q33" s="76" t="n"/>
      <c r="R33" s="76" t="inlineStr">
        <is>
          <t>Vendor Gamma</t>
        </is>
      </c>
      <c r="S33" s="87">
        <f>87*27</f>
        <v/>
      </c>
    </row>
    <row r="34" ht="24" customHeight="1" s="69">
      <c r="A34" s="77" t="inlineStr">
        <is>
          <t>Cross</t>
        </is>
      </c>
      <c r="B34" s="76" t="n"/>
      <c r="C34" s="76" t="n">
        <v>2002608</v>
      </c>
      <c r="D34" s="76" t="inlineStr">
        <is>
          <t>NL</t>
        </is>
      </c>
      <c r="E34" s="76" t="inlineStr">
        <is>
          <t>DCO</t>
        </is>
      </c>
      <c r="F34" s="76" t="inlineStr">
        <is>
          <t>IBM NEDERLAND BV</t>
        </is>
      </c>
      <c r="G34" s="76" t="inlineStr">
        <is>
          <t>Implemention Peregrine Software</t>
        </is>
      </c>
      <c r="H34" s="84" t="inlineStr">
        <is>
          <t>31-12-2005</t>
        </is>
      </c>
      <c r="I34" s="90" t="n">
        <v>235305</v>
      </c>
      <c r="J34" s="92" t="n">
        <v>0.5</v>
      </c>
      <c r="K34" s="76" t="n"/>
      <c r="L34" s="76" t="n"/>
      <c r="M34" s="76" t="n"/>
      <c r="N34" s="76" t="n"/>
      <c r="O34" s="76" t="inlineStr">
        <is>
          <t>A.068</t>
        </is>
      </c>
      <c r="P34" s="94" t="inlineStr">
        <is>
          <t>Terminate</t>
        </is>
      </c>
      <c r="Q34" s="76" t="n"/>
      <c r="R34" s="76" t="inlineStr">
        <is>
          <t>Vendor Gamma</t>
        </is>
      </c>
      <c r="S34" s="87" t="n"/>
    </row>
    <row r="35" ht="24" customHeight="1" s="69">
      <c r="A35" s="77" t="inlineStr">
        <is>
          <t>Server</t>
        </is>
      </c>
      <c r="B35" s="76" t="n"/>
      <c r="C35" s="76" t="n">
        <v>2004427</v>
      </c>
      <c r="D35" s="76" t="inlineStr">
        <is>
          <t>NL</t>
        </is>
      </c>
      <c r="E35" s="76" t="inlineStr">
        <is>
          <t>WPS (CADS)</t>
        </is>
      </c>
      <c r="F35" s="76" t="inlineStr">
        <is>
          <t>Citrix Systems International</t>
        </is>
      </c>
      <c r="G35" s="76" t="inlineStr">
        <is>
          <t>MetaFrame Xpe Renewal 3603x and Technical Support</t>
        </is>
      </c>
      <c r="H35" s="84" t="n">
        <v>39051</v>
      </c>
      <c r="I35" s="85" t="n">
        <v>33047</v>
      </c>
      <c r="J35" s="86" t="n">
        <v>1</v>
      </c>
      <c r="K35" s="76" t="inlineStr">
        <is>
          <t>SW</t>
        </is>
      </c>
      <c r="L35" s="76" t="n"/>
      <c r="M35" s="76" t="n"/>
      <c r="N35" s="76" t="n"/>
      <c r="O35" s="76" t="inlineStr">
        <is>
          <t>A.070</t>
        </is>
      </c>
      <c r="P35" s="76" t="inlineStr">
        <is>
          <t>Retained</t>
        </is>
      </c>
      <c r="Q35" s="76" t="n"/>
      <c r="R35" s="76" t="inlineStr">
        <is>
          <t>VendorA</t>
        </is>
      </c>
      <c r="S35" s="87" t="n"/>
    </row>
    <row r="36" ht="24" customHeight="1" s="69">
      <c r="A36" s="77" t="inlineStr">
        <is>
          <t>Server</t>
        </is>
      </c>
      <c r="B36" s="76" t="n"/>
      <c r="C36" s="76" t="n"/>
      <c r="D36" s="76" t="inlineStr">
        <is>
          <t>NL</t>
        </is>
      </c>
      <c r="E36" s="76" t="n"/>
      <c r="F36" s="76" t="inlineStr">
        <is>
          <t>SUN MICROSYSTEMS NEDERLAND BV</t>
        </is>
      </c>
      <c r="G36" s="76" t="inlineStr">
        <is>
          <t>SUN Directory Services licenses</t>
        </is>
      </c>
      <c r="H36" s="84" t="n">
        <v>39600</v>
      </c>
      <c r="I36" s="85" t="n">
        <v>12049</v>
      </c>
      <c r="J36" s="86" t="n">
        <v>1</v>
      </c>
      <c r="K36" s="76" t="inlineStr">
        <is>
          <t>SW</t>
        </is>
      </c>
      <c r="L36" s="76" t="n"/>
      <c r="M36" s="76" t="n"/>
      <c r="N36" s="76" t="n"/>
      <c r="O36" s="76" t="inlineStr">
        <is>
          <t>A.071</t>
        </is>
      </c>
      <c r="P36" s="76" t="inlineStr">
        <is>
          <t>Retained</t>
        </is>
      </c>
      <c r="Q36" s="76" t="n"/>
      <c r="R36" s="76" t="inlineStr">
        <is>
          <t>VendorA</t>
        </is>
      </c>
      <c r="S36" s="87" t="n"/>
    </row>
    <row r="37" ht="22.8" customHeight="1" s="69">
      <c r="A37" s="77" t="inlineStr">
        <is>
          <t>Server</t>
        </is>
      </c>
      <c r="B37" s="76" t="n"/>
      <c r="C37" s="76" t="n"/>
      <c r="D37" s="76" t="inlineStr">
        <is>
          <t>NL</t>
        </is>
      </c>
      <c r="E37" s="76" t="n"/>
      <c r="F37" s="76" t="inlineStr">
        <is>
          <t>SUN MICROSYSTEMS NEDERLAND BV</t>
        </is>
      </c>
      <c r="G37" s="76" t="inlineStr">
        <is>
          <t>SUN Directory Services maintenance</t>
        </is>
      </c>
      <c r="H37" s="84" t="n"/>
      <c r="I37" s="85" t="n">
        <v>8967</v>
      </c>
      <c r="J37" s="86" t="n">
        <v>1</v>
      </c>
      <c r="K37" s="76" t="inlineStr">
        <is>
          <t>SW</t>
        </is>
      </c>
      <c r="L37" s="76" t="n"/>
      <c r="M37" s="76" t="n"/>
      <c r="N37" s="76" t="n"/>
      <c r="O37" s="76" t="inlineStr">
        <is>
          <t>A.072</t>
        </is>
      </c>
      <c r="P37" s="76" t="inlineStr">
        <is>
          <t>Retained</t>
        </is>
      </c>
      <c r="Q37" s="76" t="n"/>
      <c r="R37" s="76" t="inlineStr">
        <is>
          <t>VendorA</t>
        </is>
      </c>
      <c r="S37" s="87" t="n"/>
    </row>
    <row r="38" ht="24" customHeight="1" s="69">
      <c r="A38" s="77" t="inlineStr">
        <is>
          <t>Server</t>
        </is>
      </c>
      <c r="B38" s="76" t="n"/>
      <c r="C38" s="76" t="n">
        <v>2005205</v>
      </c>
      <c r="D38" s="76" t="inlineStr">
        <is>
          <t>NL</t>
        </is>
      </c>
      <c r="E38" s="76" t="n"/>
      <c r="F38" s="76" t="inlineStr">
        <is>
          <t>CONTROL BREAK International BV</t>
        </is>
      </c>
      <c r="G38" s="76" t="inlineStr">
        <is>
          <t xml:space="preserve">Safeboot 3.5 Maintenance &amp; Support </t>
        </is>
      </c>
      <c r="H38" s="84" t="n"/>
      <c r="I38" s="85" t="n">
        <v>390</v>
      </c>
      <c r="J38" s="86" t="n">
        <v>0.4</v>
      </c>
      <c r="K38" s="76" t="n"/>
      <c r="L38" s="76" t="inlineStr">
        <is>
          <t>2 months</t>
        </is>
      </c>
      <c r="M38" s="76" t="n"/>
      <c r="N38" s="76" t="n"/>
      <c r="O38" s="76" t="inlineStr">
        <is>
          <t>A.101</t>
        </is>
      </c>
      <c r="P38" s="76" t="inlineStr">
        <is>
          <t>Retained</t>
        </is>
      </c>
      <c r="Q38" s="76" t="n"/>
      <c r="R38" s="76" t="inlineStr">
        <is>
          <t>VendorA</t>
        </is>
      </c>
      <c r="S38" s="87" t="n"/>
    </row>
    <row r="39" ht="24" customHeight="1" s="69">
      <c r="A39" s="77" t="inlineStr">
        <is>
          <t>Server</t>
        </is>
      </c>
      <c r="B39" s="76" t="n"/>
      <c r="C39" s="76" t="n"/>
      <c r="D39" s="76" t="inlineStr">
        <is>
          <t>NL</t>
        </is>
      </c>
      <c r="E39" s="76" t="n"/>
      <c r="F39" s="76" t="inlineStr">
        <is>
          <t>PC-WARE</t>
        </is>
      </c>
      <c r="G39" s="76" t="inlineStr">
        <is>
          <t>License Agreement for Netsupport Manager (75)</t>
        </is>
      </c>
      <c r="H39" s="84" t="n"/>
      <c r="I39" s="85" t="n">
        <v>9184</v>
      </c>
      <c r="J39" s="86" t="n">
        <v>0.1</v>
      </c>
      <c r="K39" s="76" t="n"/>
      <c r="L39" s="76" t="n"/>
      <c r="M39" s="76" t="n"/>
      <c r="N39" s="76" t="n"/>
      <c r="O39" s="76" t="inlineStr">
        <is>
          <t>A.105</t>
        </is>
      </c>
      <c r="P39" s="76" t="inlineStr">
        <is>
          <t>Terminate</t>
        </is>
      </c>
      <c r="Q39" s="76" t="inlineStr">
        <is>
          <t>at expiry</t>
        </is>
      </c>
      <c r="R39" s="76" t="inlineStr">
        <is>
          <t>VendorA</t>
        </is>
      </c>
      <c r="S39" s="87" t="n">
        <v>918</v>
      </c>
    </row>
    <row r="40" ht="36" customHeight="1" s="69">
      <c r="A40" s="95" t="inlineStr">
        <is>
          <t>Voice</t>
        </is>
      </c>
      <c r="B40" s="96" t="n">
        <v>0</v>
      </c>
      <c r="C40" s="96" t="n">
        <v>2003122</v>
      </c>
      <c r="D40" s="96" t="inlineStr">
        <is>
          <t>NL</t>
        </is>
      </c>
      <c r="E40" s="96" t="n">
        <v>0</v>
      </c>
      <c r="F40" s="96" t="inlineStr">
        <is>
          <t>TelCo</t>
        </is>
      </c>
      <c r="G40" s="96" t="inlineStr">
        <is>
          <t>Koop en onderhoudsovereenkomst - Upgrade CIC Systeem naar release 2.2</t>
        </is>
      </c>
      <c r="H40" s="97" t="n">
        <v>39082</v>
      </c>
      <c r="I40" s="98" t="n"/>
      <c r="J40" s="99" t="n">
        <v>1</v>
      </c>
      <c r="K40" s="96" t="n">
        <v>0</v>
      </c>
      <c r="L40" s="96" t="n"/>
      <c r="M40" s="96" t="n"/>
      <c r="N40" s="96" t="n"/>
      <c r="O40" s="96" t="inlineStr">
        <is>
          <t>A.112</t>
        </is>
      </c>
      <c r="P40" s="96" t="inlineStr">
        <is>
          <t>Novate</t>
        </is>
      </c>
      <c r="Q40" s="96" t="n"/>
      <c r="R40" s="96" t="inlineStr">
        <is>
          <t>TelCo</t>
        </is>
      </c>
      <c r="S40" s="100" t="n"/>
      <c r="T40" s="77" t="n"/>
    </row>
    <row r="41" ht="24" customHeight="1" s="69">
      <c r="A41" s="77" t="inlineStr">
        <is>
          <t>DTHW</t>
        </is>
      </c>
      <c r="B41" s="76" t="n"/>
      <c r="C41" s="76" t="n">
        <v>2000839</v>
      </c>
      <c r="D41" s="90" t="inlineStr">
        <is>
          <t>NL</t>
        </is>
      </c>
      <c r="E41" s="76" t="n"/>
      <c r="F41" s="76" t="inlineStr">
        <is>
          <t>COMPUTER SECURITY PRODUCTS INC.</t>
        </is>
      </c>
      <c r="G41" s="76" t="inlineStr">
        <is>
          <t>PROTECT-plus &amp; AUDITVIEW Software maintenance</t>
        </is>
      </c>
      <c r="H41" s="76" t="n"/>
      <c r="I41" s="101">
        <f>39308/12</f>
        <v/>
      </c>
      <c r="J41" s="102" t="n">
        <v>1</v>
      </c>
      <c r="K41" s="76" t="n"/>
      <c r="L41" s="76" t="n"/>
      <c r="O41" s="77" t="inlineStr">
        <is>
          <t>A.200</t>
        </is>
      </c>
      <c r="P41" s="76" t="inlineStr">
        <is>
          <t>Retained</t>
        </is>
      </c>
      <c r="Q41" s="76" t="n"/>
      <c r="R41" s="76" t="inlineStr">
        <is>
          <t>VendorA</t>
        </is>
      </c>
      <c r="S41" s="87" t="n"/>
    </row>
    <row r="42" ht="24" customHeight="1" s="69">
      <c r="A42" s="77" t="inlineStr">
        <is>
          <t>DTHW</t>
        </is>
      </c>
      <c r="B42" s="76" t="n"/>
      <c r="C42" s="76" t="n">
        <v>2001834</v>
      </c>
      <c r="D42" s="76" t="inlineStr">
        <is>
          <t>NL</t>
        </is>
      </c>
      <c r="E42" s="76" t="n"/>
      <c r="F42" s="90" t="inlineStr">
        <is>
          <t xml:space="preserve">ESL Syndetic Ltd. </t>
        </is>
      </c>
      <c r="G42" s="76" t="inlineStr">
        <is>
          <t xml:space="preserve">ESL licenses </t>
        </is>
      </c>
      <c r="H42" s="84" t="n">
        <v>38260</v>
      </c>
      <c r="I42" s="85" t="n">
        <v>4235</v>
      </c>
      <c r="J42" s="86" t="n">
        <v>1</v>
      </c>
      <c r="K42" s="76" t="inlineStr">
        <is>
          <t>ESL Software use and Maintenance. (4x NN corporate editions and unlimited runtime clients</t>
        </is>
      </c>
      <c r="L42" s="76" t="n"/>
      <c r="M42" s="76" t="n"/>
      <c r="N42" s="76" t="n"/>
      <c r="O42" s="76" t="inlineStr">
        <is>
          <t>A.202</t>
        </is>
      </c>
      <c r="P42" s="76" t="inlineStr">
        <is>
          <t>Retained</t>
        </is>
      </c>
      <c r="Q42" s="76" t="n"/>
      <c r="R42" s="76" t="inlineStr">
        <is>
          <t>VendorA</t>
        </is>
      </c>
      <c r="S42" s="87" t="n"/>
    </row>
    <row r="43" ht="24" customHeight="1" s="69">
      <c r="A43" s="77" t="inlineStr">
        <is>
          <t>Cross</t>
        </is>
      </c>
      <c r="B43" s="76" t="inlineStr">
        <is>
          <t>0078117792-2</t>
        </is>
      </c>
      <c r="C43" s="76" t="n">
        <v>2005436</v>
      </c>
      <c r="D43" s="76" t="inlineStr">
        <is>
          <t>NL</t>
        </is>
      </c>
      <c r="E43" s="76" t="n"/>
      <c r="F43" s="90" t="inlineStr">
        <is>
          <t>Microsoft BV</t>
        </is>
      </c>
      <c r="G43" s="76" t="inlineStr">
        <is>
          <t>Premier Support Services    Exhibit Number 0078117792-2</t>
        </is>
      </c>
      <c r="H43" s="76" t="inlineStr">
        <is>
          <t>31/12/06</t>
        </is>
      </c>
      <c r="I43" s="85" t="n">
        <v>70000</v>
      </c>
      <c r="J43" s="86" t="n">
        <v>0.8</v>
      </c>
      <c r="K43" s="76" t="n"/>
      <c r="L43" s="76" t="n"/>
      <c r="M43" s="76" t="n"/>
      <c r="N43" s="76" t="n"/>
      <c r="O43" s="76" t="inlineStr">
        <is>
          <t>A.203</t>
        </is>
      </c>
      <c r="P43" s="76" t="inlineStr">
        <is>
          <t>Retained</t>
        </is>
      </c>
      <c r="Q43" s="76" t="n"/>
      <c r="R43" s="76" t="inlineStr">
        <is>
          <t>VendorA</t>
        </is>
      </c>
      <c r="S43" s="87" t="n"/>
    </row>
    <row r="44" ht="60" customHeight="1" s="69">
      <c r="A44" s="77" t="inlineStr">
        <is>
          <t>EUC</t>
        </is>
      </c>
      <c r="B44" s="76" t="n">
        <v>6615</v>
      </c>
      <c r="C44" s="76" t="n"/>
      <c r="D44" s="76" t="inlineStr">
        <is>
          <t>BE</t>
        </is>
      </c>
      <c r="E44" s="76" t="n"/>
      <c r="F44" s="76" t="inlineStr">
        <is>
          <t>ATTACHMATE/2</t>
        </is>
      </c>
      <c r="G44" s="76" t="inlineStr">
        <is>
          <t>KEA/EXTRA/FILEXPRESS XST/INFOCONNECT OTS
All Emulator Products - telkens in Attachmate/2  toevoegen</t>
        </is>
      </c>
      <c r="H44" s="84" t="n"/>
      <c r="I44" s="85" t="n">
        <v>11953.5741666667</v>
      </c>
      <c r="J44" s="86" t="n">
        <v>1</v>
      </c>
      <c r="K44" s="76" t="n"/>
      <c r="L44" s="76" t="inlineStr">
        <is>
          <t>NET 30 days</t>
        </is>
      </c>
      <c r="M44" s="76" t="n"/>
      <c r="N44" s="76" t="n"/>
      <c r="O44" s="76" t="inlineStr">
        <is>
          <t>A.BE.002</t>
        </is>
      </c>
      <c r="P44" s="76" t="inlineStr">
        <is>
          <t>Retained</t>
        </is>
      </c>
      <c r="Q44" s="76" t="n"/>
      <c r="R44" s="76" t="inlineStr">
        <is>
          <t>VendorA</t>
        </is>
      </c>
      <c r="S44" s="87" t="n"/>
    </row>
    <row r="45" ht="24" customHeight="1" s="69">
      <c r="A45" s="77" t="inlineStr">
        <is>
          <t>Server</t>
        </is>
      </c>
      <c r="B45" s="76" t="n">
        <v>2785</v>
      </c>
      <c r="C45" s="76" t="inlineStr">
        <is>
          <t>000288</t>
        </is>
      </c>
      <c r="D45" s="76" t="inlineStr">
        <is>
          <t>BE</t>
        </is>
      </c>
      <c r="E45" s="76" t="n"/>
      <c r="F45" s="76" t="inlineStr">
        <is>
          <t>Contraste/3</t>
        </is>
      </c>
      <c r="G45" s="76" t="inlineStr">
        <is>
          <t>Wintel SysAdmin (bb 935,030,00409,80)</t>
        </is>
      </c>
      <c r="H45" s="84" t="n">
        <v>39386</v>
      </c>
      <c r="I45" s="85" t="n">
        <v>0</v>
      </c>
      <c r="J45" s="86" t="n">
        <v>0.65</v>
      </c>
      <c r="K45" s="76" t="n"/>
      <c r="L45" s="76" t="n"/>
      <c r="M45" s="76" t="n"/>
      <c r="N45" s="76" t="n"/>
      <c r="O45" s="76" t="inlineStr">
        <is>
          <t>A.BE.007</t>
        </is>
      </c>
      <c r="P45" s="76" t="inlineStr">
        <is>
          <t>Novate</t>
        </is>
      </c>
      <c r="Q45" s="76" t="n"/>
      <c r="R45" s="76" t="inlineStr">
        <is>
          <t>VendorA</t>
        </is>
      </c>
      <c r="S45" s="87" t="n">
        <v>70526</v>
      </c>
      <c r="EP45" s="77" t="n"/>
      <c r="EQ45" s="77" t="n"/>
      <c r="ER45" s="76" t="n"/>
      <c r="FA45" s="77" t="n"/>
      <c r="FB45" s="77" t="n"/>
      <c r="FC45" s="76" t="n"/>
    </row>
    <row r="46" ht="24" customHeight="1" s="69">
      <c r="A46" s="77" t="inlineStr">
        <is>
          <t>Server</t>
        </is>
      </c>
      <c r="B46" s="76" t="inlineStr">
        <is>
          <t>000288</t>
        </is>
      </c>
      <c r="C46" s="76" t="inlineStr">
        <is>
          <t>000288</t>
        </is>
      </c>
      <c r="D46" s="76" t="inlineStr">
        <is>
          <t>BE</t>
        </is>
      </c>
      <c r="E46" s="76" t="n"/>
      <c r="F46" s="76" t="inlineStr">
        <is>
          <t>Contraste/3</t>
        </is>
      </c>
      <c r="G46" s="76" t="inlineStr">
        <is>
          <t>Sysadmin</t>
        </is>
      </c>
      <c r="H46" s="84" t="n">
        <v>39386</v>
      </c>
      <c r="I46" s="90" t="n">
        <v>14185</v>
      </c>
      <c r="J46" s="92" t="n">
        <v>0.65</v>
      </c>
      <c r="K46" s="76" t="n"/>
      <c r="L46" s="76" t="n"/>
      <c r="M46" s="76" t="n"/>
      <c r="N46" s="76" t="n"/>
      <c r="O46" s="76" t="inlineStr">
        <is>
          <t>A.BE.007.I</t>
        </is>
      </c>
      <c r="P46" s="76" t="inlineStr">
        <is>
          <t>Novate</t>
        </is>
      </c>
      <c r="Q46" s="76" t="n"/>
      <c r="R46" s="76" t="inlineStr">
        <is>
          <t>VendorA</t>
        </is>
      </c>
      <c r="S46" s="87" t="inlineStr">
        <is>
          <t>included in A.BE.007</t>
        </is>
      </c>
    </row>
    <row r="47" ht="24" customHeight="1" s="69">
      <c r="A47" s="77" t="inlineStr">
        <is>
          <t>Server</t>
        </is>
      </c>
      <c r="B47" s="76" t="inlineStr">
        <is>
          <t>000288</t>
        </is>
      </c>
      <c r="C47" s="76" t="inlineStr">
        <is>
          <t>000288</t>
        </is>
      </c>
      <c r="D47" s="76" t="inlineStr">
        <is>
          <t>BE</t>
        </is>
      </c>
      <c r="E47" s="76" t="n"/>
      <c r="F47" s="76" t="inlineStr">
        <is>
          <t>Contraste/3</t>
        </is>
      </c>
      <c r="G47" s="76" t="inlineStr">
        <is>
          <t>Sysadmin Second line HQ</t>
        </is>
      </c>
      <c r="H47" s="84" t="n">
        <v>39386</v>
      </c>
      <c r="I47" s="85" t="n">
        <v>41909</v>
      </c>
      <c r="J47" s="92" t="n">
        <v>0.65</v>
      </c>
      <c r="K47" s="76" t="n"/>
      <c r="L47" s="76" t="n"/>
      <c r="M47" s="76" t="n"/>
      <c r="N47" s="76" t="n"/>
      <c r="O47" s="76" t="inlineStr">
        <is>
          <t>A.BE.007.II</t>
        </is>
      </c>
      <c r="P47" s="76" t="inlineStr">
        <is>
          <t>Novate</t>
        </is>
      </c>
      <c r="Q47" s="76" t="n"/>
      <c r="R47" s="76" t="inlineStr">
        <is>
          <t>VendorA</t>
        </is>
      </c>
      <c r="S47" s="87" t="inlineStr">
        <is>
          <t>included in A.BE.007</t>
        </is>
      </c>
    </row>
    <row r="48" ht="24" customHeight="1" s="69">
      <c r="A48" s="77" t="inlineStr">
        <is>
          <t>Server</t>
        </is>
      </c>
      <c r="B48" s="76" t="inlineStr">
        <is>
          <t>000288</t>
        </is>
      </c>
      <c r="C48" s="76" t="inlineStr">
        <is>
          <t>000288</t>
        </is>
      </c>
      <c r="D48" s="76" t="inlineStr">
        <is>
          <t>BE</t>
        </is>
      </c>
      <c r="E48" s="76" t="n"/>
      <c r="F48" s="76" t="inlineStr">
        <is>
          <t>Contraste/3</t>
        </is>
      </c>
      <c r="G48" s="76" t="inlineStr">
        <is>
          <t>Extension Sysadmin</t>
        </is>
      </c>
      <c r="H48" s="84" t="n">
        <v>39386</v>
      </c>
      <c r="I48" s="90" t="n">
        <v>16077</v>
      </c>
      <c r="J48" s="92" t="n">
        <v>0.65</v>
      </c>
      <c r="K48" s="76" t="n"/>
      <c r="L48" s="76" t="n"/>
      <c r="M48" s="76" t="n"/>
      <c r="N48" s="76" t="n"/>
      <c r="O48" s="76" t="inlineStr">
        <is>
          <t>A.BE.007.III</t>
        </is>
      </c>
      <c r="P48" s="76" t="inlineStr">
        <is>
          <t>Novate</t>
        </is>
      </c>
      <c r="Q48" s="76" t="n"/>
      <c r="R48" s="76" t="inlineStr">
        <is>
          <t>VendorA</t>
        </is>
      </c>
      <c r="S48" s="87" t="inlineStr">
        <is>
          <t>included in A.BE.007</t>
        </is>
      </c>
    </row>
    <row r="49" ht="24" customHeight="1" s="69">
      <c r="A49" s="77" t="inlineStr">
        <is>
          <t>Server</t>
        </is>
      </c>
      <c r="B49" s="76" t="n">
        <v>977</v>
      </c>
      <c r="C49" s="103" t="inlineStr">
        <is>
          <t>001352</t>
        </is>
      </c>
      <c r="D49" s="76" t="inlineStr">
        <is>
          <t>BE</t>
        </is>
      </c>
      <c r="E49" s="76" t="n"/>
      <c r="F49" s="76" t="inlineStr">
        <is>
          <t>Contraste/5</t>
        </is>
      </c>
      <c r="G49" s="76" t="inlineStr">
        <is>
          <t>SMS services management operational and SE</t>
        </is>
      </c>
      <c r="H49" s="84" t="n">
        <v>39386</v>
      </c>
      <c r="I49" s="90" t="n">
        <v>36331</v>
      </c>
      <c r="J49" s="86" t="n">
        <v>0.65</v>
      </c>
      <c r="K49" s="76" t="n"/>
      <c r="L49" s="76" t="inlineStr">
        <is>
          <t>30 days end of month</t>
        </is>
      </c>
      <c r="M49" s="76" t="n"/>
      <c r="N49" s="76" t="n"/>
      <c r="O49" s="76" t="inlineStr">
        <is>
          <t>A.BE.008</t>
        </is>
      </c>
      <c r="P49" s="76" t="inlineStr">
        <is>
          <t>Novate</t>
        </is>
      </c>
      <c r="Q49" s="76" t="n"/>
      <c r="R49" s="76" t="inlineStr">
        <is>
          <t>VendorA</t>
        </is>
      </c>
      <c r="S49" s="87" t="inlineStr">
        <is>
          <t>included in A.BE.007</t>
        </is>
      </c>
    </row>
    <row r="50" ht="24" customHeight="1" s="69">
      <c r="A50" s="77" t="inlineStr">
        <is>
          <t>Voice</t>
        </is>
      </c>
      <c r="B50" s="76" t="n">
        <v>6428</v>
      </c>
      <c r="C50" s="76" t="n"/>
      <c r="D50" s="76" t="inlineStr">
        <is>
          <t>BE</t>
        </is>
      </c>
      <c r="E50" s="76" t="n"/>
      <c r="F50" s="76" t="inlineStr">
        <is>
          <t>DATAPOINT/19</t>
        </is>
      </c>
      <c r="G50" s="76" t="inlineStr">
        <is>
          <t>ex-ICC - contract 62.980/0 (62980T)</t>
        </is>
      </c>
      <c r="H50" s="84" t="n"/>
      <c r="I50" s="90" t="n">
        <v>1804.58333333333</v>
      </c>
      <c r="J50" s="86" t="n">
        <v>1</v>
      </c>
      <c r="K50" s="76" t="n"/>
      <c r="L50" s="76" t="n"/>
      <c r="M50" s="76" t="n"/>
      <c r="N50" s="76" t="n"/>
      <c r="O50" s="76" t="inlineStr">
        <is>
          <t>A.BE.009</t>
        </is>
      </c>
      <c r="P50" s="76" t="inlineStr">
        <is>
          <t>Terminate</t>
        </is>
      </c>
      <c r="Q50" s="76" t="inlineStr">
        <is>
          <t>at expiry</t>
        </is>
      </c>
      <c r="R50" s="76" t="inlineStr">
        <is>
          <t>VendorA</t>
        </is>
      </c>
      <c r="S50" s="87" t="n">
        <v>1800</v>
      </c>
    </row>
    <row r="51" ht="24" customHeight="1" s="69">
      <c r="A51" s="77" t="inlineStr">
        <is>
          <t>Server</t>
        </is>
      </c>
      <c r="B51" s="76" t="n">
        <v>6673</v>
      </c>
      <c r="C51" s="76" t="n"/>
      <c r="D51" s="76" t="inlineStr">
        <is>
          <t>BE</t>
        </is>
      </c>
      <c r="E51" s="76" t="n"/>
      <c r="F51" s="76" t="inlineStr">
        <is>
          <t>DIGITAL/9</t>
        </is>
      </c>
      <c r="G51" s="76" t="inlineStr">
        <is>
          <t>TFM SUPPORT  Annexe 20/7/2000</t>
        </is>
      </c>
      <c r="H51" s="84" t="n"/>
      <c r="I51" s="90" t="n">
        <v>13893.25</v>
      </c>
      <c r="J51" s="86" t="n">
        <v>1</v>
      </c>
      <c r="K51" s="76" t="n"/>
      <c r="L51" s="76" t="n"/>
      <c r="M51" s="76" t="n"/>
      <c r="N51" s="76" t="n"/>
      <c r="O51" s="76" t="inlineStr">
        <is>
          <t>A.BE.010</t>
        </is>
      </c>
      <c r="P51" s="76" t="inlineStr">
        <is>
          <t>Retained</t>
        </is>
      </c>
      <c r="Q51" s="76" t="n"/>
      <c r="R51" s="76" t="inlineStr">
        <is>
          <t>VendorA</t>
        </is>
      </c>
      <c r="S51" s="87" t="n"/>
      <c r="T51" s="104" t="n"/>
    </row>
    <row r="52" ht="42" customHeight="1" s="69">
      <c r="A52" s="77" t="inlineStr">
        <is>
          <t>Server</t>
        </is>
      </c>
      <c r="B52" s="76" t="n">
        <v>1364</v>
      </c>
      <c r="C52" s="76" t="n"/>
      <c r="D52" s="76" t="inlineStr">
        <is>
          <t>BE</t>
        </is>
      </c>
      <c r="E52" s="76" t="n"/>
      <c r="F52" s="76" t="inlineStr">
        <is>
          <t>DIMENSION/3</t>
        </is>
      </c>
      <c r="G52" s="76" t="inlineStr">
        <is>
          <t>Checkpoint VPN-1 Secureclient for 25 workstations  935.020.00585.35</t>
        </is>
      </c>
      <c r="H52" s="84" t="n"/>
      <c r="I52" s="90" t="n"/>
      <c r="J52" s="92" t="n">
        <v>1</v>
      </c>
      <c r="K52" s="76" t="n"/>
      <c r="L52" s="76" t="inlineStr">
        <is>
          <t>30 jours</t>
        </is>
      </c>
      <c r="M52" s="76" t="n"/>
      <c r="N52" s="76" t="n"/>
      <c r="O52" s="76" t="inlineStr">
        <is>
          <t>A.BE.012</t>
        </is>
      </c>
      <c r="P52" s="76" t="inlineStr">
        <is>
          <t>Retained</t>
        </is>
      </c>
      <c r="Q52" s="76" t="n"/>
      <c r="R52" s="76" t="inlineStr">
        <is>
          <t>VendorA</t>
        </is>
      </c>
      <c r="S52" s="87" t="n"/>
    </row>
    <row r="53" ht="42.6" customHeight="1" s="69">
      <c r="A53" s="77" t="inlineStr">
        <is>
          <t>EUC</t>
        </is>
      </c>
      <c r="B53" s="76" t="n">
        <v>5394</v>
      </c>
      <c r="C53" s="76" t="n"/>
      <c r="D53" s="76" t="inlineStr">
        <is>
          <t>BE</t>
        </is>
      </c>
      <c r="E53" s="76" t="n"/>
      <c r="F53" s="76" t="inlineStr">
        <is>
          <t>DIMENSION/5</t>
        </is>
      </c>
      <c r="G53" s="76" t="inlineStr">
        <is>
          <t>VPN-1 SecureClient for 1000 workstations    SLA-935,020,00696,49</t>
        </is>
      </c>
      <c r="H53" s="84" t="n"/>
      <c r="I53" s="90" t="n">
        <v>85</v>
      </c>
      <c r="J53" s="92" t="n">
        <v>1</v>
      </c>
      <c r="K53" s="76" t="n"/>
      <c r="L53" s="76" t="inlineStr">
        <is>
          <t>30 jours</t>
        </is>
      </c>
      <c r="M53" s="76" t="n"/>
      <c r="N53" s="76" t="n"/>
      <c r="O53" s="76" t="inlineStr">
        <is>
          <t>A.BE.014</t>
        </is>
      </c>
      <c r="P53" s="76" t="inlineStr">
        <is>
          <t>Retained</t>
        </is>
      </c>
      <c r="Q53" s="76" t="n"/>
      <c r="R53" s="76" t="inlineStr">
        <is>
          <t>VendorA</t>
        </is>
      </c>
      <c r="S53" s="87" t="n"/>
    </row>
    <row r="54" ht="24" customHeight="1" s="69">
      <c r="A54" s="77" t="inlineStr">
        <is>
          <t>Cross</t>
        </is>
      </c>
      <c r="B54" s="76" t="n">
        <v>3240</v>
      </c>
      <c r="C54" s="76" t="n"/>
      <c r="D54" s="76" t="inlineStr">
        <is>
          <t>BE</t>
        </is>
      </c>
      <c r="E54" s="76" t="n"/>
      <c r="F54" s="76" t="inlineStr">
        <is>
          <t>HEWLETT PACKARD/5</t>
        </is>
      </c>
      <c r="G54" s="76" t="inlineStr">
        <is>
          <t>Microsoft Entreprise Agreement made by Corporate Procurement</t>
        </is>
      </c>
      <c r="H54" s="84" t="n"/>
      <c r="I54" s="90" t="n">
        <v>181667.21</v>
      </c>
      <c r="J54" s="86" t="n">
        <v>0.8</v>
      </c>
      <c r="K54" s="76" t="n"/>
      <c r="L54" s="76" t="n"/>
      <c r="M54" s="76" t="n"/>
      <c r="N54" s="76" t="n"/>
      <c r="O54" s="76" t="inlineStr">
        <is>
          <t>A.BE.021</t>
        </is>
      </c>
      <c r="P54" s="76" t="inlineStr">
        <is>
          <t>Retained</t>
        </is>
      </c>
      <c r="Q54" s="76" t="n"/>
      <c r="R54" s="76" t="inlineStr">
        <is>
          <t>VendorA</t>
        </is>
      </c>
      <c r="S54" s="87" t="n"/>
    </row>
    <row r="55" ht="24" customHeight="1" s="69">
      <c r="A55" s="77" t="inlineStr">
        <is>
          <t>Server</t>
        </is>
      </c>
      <c r="B55" s="76" t="n">
        <v>835</v>
      </c>
      <c r="C55" s="76" t="n"/>
      <c r="D55" s="76" t="inlineStr">
        <is>
          <t>BE</t>
        </is>
      </c>
      <c r="E55" s="76" t="n"/>
      <c r="F55" s="76" t="inlineStr">
        <is>
          <t>HEWLETT PACKARD/6</t>
        </is>
      </c>
      <c r="G55" s="76" t="inlineStr">
        <is>
          <t>Fenestrae Faxination    104-201-85</t>
        </is>
      </c>
      <c r="H55" s="84" t="n"/>
      <c r="I55" s="90" t="n">
        <v>1074</v>
      </c>
      <c r="J55" s="86" t="n">
        <v>1</v>
      </c>
      <c r="K55" s="76" t="n"/>
      <c r="L55" s="76" t="inlineStr">
        <is>
          <t>30 days end of month</t>
        </is>
      </c>
      <c r="M55" s="76" t="n"/>
      <c r="N55" s="76" t="n"/>
      <c r="O55" s="76" t="inlineStr">
        <is>
          <t>A.BE.022</t>
        </is>
      </c>
      <c r="P55" s="76" t="inlineStr">
        <is>
          <t>Terminate</t>
        </is>
      </c>
      <c r="Q55" s="76" t="inlineStr">
        <is>
          <t>at expiry</t>
        </is>
      </c>
      <c r="R55" s="76" t="inlineStr">
        <is>
          <t>VendorA</t>
        </is>
      </c>
      <c r="S55" s="87" t="n">
        <v>1074</v>
      </c>
    </row>
    <row r="56" ht="24" customHeight="1" s="69">
      <c r="A56" s="77" t="inlineStr">
        <is>
          <t>SD</t>
        </is>
      </c>
      <c r="B56" s="76" t="n">
        <v>1544</v>
      </c>
      <c r="C56" s="76" t="n"/>
      <c r="D56" s="76" t="inlineStr">
        <is>
          <t>BE</t>
        </is>
      </c>
      <c r="E56" s="76" t="n"/>
      <c r="F56" s="76" t="inlineStr">
        <is>
          <t>IBM/21</t>
        </is>
      </c>
      <c r="G56" s="76" t="inlineStr">
        <is>
          <t>210 licenties Peregrine Sevice Center, IRM-a complient</t>
        </is>
      </c>
      <c r="H56" s="84" t="n"/>
      <c r="I56" s="90" t="n">
        <v>966.96</v>
      </c>
      <c r="J56" s="86" t="n">
        <v>0.17</v>
      </c>
      <c r="K56" s="76" t="n"/>
      <c r="L56" s="76" t="inlineStr">
        <is>
          <t>30 DAYS END OF MONTH</t>
        </is>
      </c>
      <c r="M56" s="76" t="n"/>
      <c r="N56" s="76" t="n"/>
      <c r="O56" s="76" t="inlineStr">
        <is>
          <t>A.BE.023</t>
        </is>
      </c>
      <c r="P56" s="76" t="inlineStr">
        <is>
          <t>Terminate</t>
        </is>
      </c>
      <c r="Q56" s="76" t="n"/>
      <c r="R56" s="76" t="inlineStr">
        <is>
          <t>Vendor Gamma</t>
        </is>
      </c>
      <c r="S56" s="87">
        <f>27*37</f>
        <v/>
      </c>
      <c r="T56" s="105" t="n"/>
    </row>
    <row r="57" ht="24" customHeight="1" s="69">
      <c r="A57" s="77" t="inlineStr">
        <is>
          <t>Cross</t>
        </is>
      </c>
      <c r="B57" s="76" t="n">
        <v>0</v>
      </c>
      <c r="C57" s="76" t="n"/>
      <c r="D57" s="76" t="inlineStr">
        <is>
          <t>BE</t>
        </is>
      </c>
      <c r="E57" s="76" t="n">
        <v>0</v>
      </c>
      <c r="F57" s="76" t="inlineStr">
        <is>
          <t>IBM</t>
        </is>
      </c>
      <c r="G57" s="76" t="inlineStr">
        <is>
          <t>EuroBank IBM International Non-Disclosure Agreement</t>
        </is>
      </c>
      <c r="H57" s="84" t="n"/>
      <c r="I57" s="90" t="n"/>
      <c r="J57" s="92" t="n">
        <v>1</v>
      </c>
      <c r="K57" s="76" t="n">
        <v>0</v>
      </c>
      <c r="L57" s="76" t="n"/>
      <c r="M57" s="76" t="n"/>
      <c r="N57" s="76" t="n"/>
      <c r="O57" s="76" t="inlineStr">
        <is>
          <t>A.BE.023.II</t>
        </is>
      </c>
      <c r="P57" s="76" t="inlineStr">
        <is>
          <t>Retained</t>
        </is>
      </c>
      <c r="Q57" s="76" t="n"/>
      <c r="R57" s="76" t="inlineStr">
        <is>
          <t>Vendor Gamma</t>
        </is>
      </c>
      <c r="S57" s="87" t="n"/>
    </row>
    <row r="58" ht="24" customHeight="1" s="69">
      <c r="A58" s="77" t="inlineStr">
        <is>
          <t>EUC</t>
        </is>
      </c>
      <c r="B58" s="76" t="n">
        <v>1216</v>
      </c>
      <c r="C58" s="76" t="n">
        <v>595</v>
      </c>
      <c r="D58" s="76" t="inlineStr">
        <is>
          <t>BE</t>
        </is>
      </c>
      <c r="E58" s="76" t="n"/>
      <c r="F58" s="76" t="inlineStr">
        <is>
          <t>IDS SCHEER/3</t>
        </is>
      </c>
      <c r="G58" s="76" t="inlineStr">
        <is>
          <t>ARIS    935.040.00188.80</t>
        </is>
      </c>
      <c r="H58" s="84" t="n"/>
      <c r="I58" s="90" t="n">
        <v>221.42</v>
      </c>
      <c r="J58" s="86" t="n">
        <v>1</v>
      </c>
      <c r="K58" s="76" t="n"/>
      <c r="L58" s="76" t="inlineStr">
        <is>
          <t>30 days end of month</t>
        </is>
      </c>
      <c r="M58" s="76" t="n"/>
      <c r="N58" s="76" t="n"/>
      <c r="O58" s="76" t="inlineStr">
        <is>
          <t>A.BE.024</t>
        </is>
      </c>
      <c r="P58" s="76" t="inlineStr">
        <is>
          <t>Retained</t>
        </is>
      </c>
      <c r="Q58" s="76" t="n"/>
      <c r="R58" s="76" t="inlineStr">
        <is>
          <t>VendorA</t>
        </is>
      </c>
      <c r="S58" s="87" t="n"/>
    </row>
    <row r="59" ht="24" customHeight="1" s="69">
      <c r="A59" s="77" t="inlineStr">
        <is>
          <t>EUC</t>
        </is>
      </c>
      <c r="B59" s="76" t="n">
        <v>5285</v>
      </c>
      <c r="C59" s="76" t="n">
        <v>1415</v>
      </c>
      <c r="D59" s="76" t="inlineStr">
        <is>
          <t>BE</t>
        </is>
      </c>
      <c r="E59" s="76" t="n"/>
      <c r="F59" s="76" t="inlineStr">
        <is>
          <t>IDS SCHEER/4</t>
        </is>
      </c>
      <c r="G59" s="76" t="inlineStr">
        <is>
          <t>License ARIS Easy Design    935.050.00239.61</t>
        </is>
      </c>
      <c r="H59" s="84" t="n"/>
      <c r="I59" s="90" t="n">
        <v>28</v>
      </c>
      <c r="J59" s="86" t="n">
        <v>1</v>
      </c>
      <c r="K59" s="76" t="n"/>
      <c r="L59" s="76" t="inlineStr">
        <is>
          <t>30 days invoice date</t>
        </is>
      </c>
      <c r="M59" s="76" t="n"/>
      <c r="N59" s="76" t="n"/>
      <c r="O59" s="76" t="inlineStr">
        <is>
          <t>A.BE.025</t>
        </is>
      </c>
      <c r="P59" s="76" t="inlineStr">
        <is>
          <t>Retained</t>
        </is>
      </c>
      <c r="Q59" s="76" t="n"/>
      <c r="R59" s="76" t="inlineStr">
        <is>
          <t>VendorA</t>
        </is>
      </c>
      <c r="S59" s="87" t="n"/>
    </row>
    <row r="60" ht="24" customHeight="1" s="69">
      <c r="A60" s="77" t="inlineStr">
        <is>
          <t>EUC</t>
        </is>
      </c>
      <c r="B60" s="76" t="n">
        <v>6787</v>
      </c>
      <c r="C60" s="76" t="n">
        <v>576</v>
      </c>
      <c r="D60" s="76" t="inlineStr">
        <is>
          <t>BE</t>
        </is>
      </c>
      <c r="E60" s="76" t="n"/>
      <c r="F60" s="76" t="inlineStr">
        <is>
          <t>Flux Consultancy/140</t>
        </is>
      </c>
      <c r="G60" s="76" t="inlineStr">
        <is>
          <t>1 Year Maintennance of 10 lic. ARIS Easy Design  2002_015</t>
        </is>
      </c>
      <c r="H60" s="84" t="n"/>
      <c r="I60" s="90" t="n">
        <v>924.58</v>
      </c>
      <c r="J60" s="86" t="n">
        <v>1</v>
      </c>
      <c r="K60" s="76" t="n"/>
      <c r="L60" s="76" t="inlineStr">
        <is>
          <t>30 days invoice date</t>
        </is>
      </c>
      <c r="M60" s="76" t="n"/>
      <c r="N60" s="76" t="n"/>
      <c r="O60" s="76" t="inlineStr">
        <is>
          <t>A.BE.027</t>
        </is>
      </c>
      <c r="P60" s="76" t="inlineStr">
        <is>
          <t>Retained</t>
        </is>
      </c>
      <c r="Q60" s="76" t="n"/>
      <c r="R60" s="76" t="inlineStr">
        <is>
          <t>VendorA</t>
        </is>
      </c>
      <c r="S60" s="87" t="n"/>
    </row>
    <row r="61" ht="24" customHeight="1" s="69">
      <c r="A61" s="77" t="inlineStr">
        <is>
          <t>EUC</t>
        </is>
      </c>
      <c r="B61" s="76" t="n">
        <v>1451</v>
      </c>
      <c r="C61" s="76" t="n">
        <v>577</v>
      </c>
      <c r="D61" s="76" t="inlineStr">
        <is>
          <t>BE</t>
        </is>
      </c>
      <c r="E61" s="76" t="n"/>
      <c r="F61" s="76" t="inlineStr">
        <is>
          <t>Formula OpenSoft/141</t>
        </is>
      </c>
      <c r="G61" s="76" t="inlineStr">
        <is>
          <t>Sub: IDMS OCA-MQSeries interface    BE02DV</t>
        </is>
      </c>
      <c r="H61" s="84" t="n"/>
      <c r="I61" s="90" t="n">
        <v>551.1</v>
      </c>
      <c r="J61" s="86" t="n">
        <v>0.66</v>
      </c>
      <c r="K61" s="76" t="n"/>
      <c r="L61" s="76" t="inlineStr">
        <is>
          <t>30 days invoice date</t>
        </is>
      </c>
      <c r="M61" s="76" t="n"/>
      <c r="N61" s="76" t="n"/>
      <c r="O61" s="76" t="inlineStr">
        <is>
          <t>A.BE.028</t>
        </is>
      </c>
      <c r="P61" s="76" t="inlineStr">
        <is>
          <t>Retained</t>
        </is>
      </c>
      <c r="Q61" s="76" t="n"/>
      <c r="R61" s="76" t="inlineStr">
        <is>
          <t>VendorA</t>
        </is>
      </c>
      <c r="S61" s="87" t="n"/>
    </row>
    <row r="62" ht="48" customHeight="1" s="69">
      <c r="A62" s="77" t="inlineStr">
        <is>
          <t>EUC</t>
        </is>
      </c>
      <c r="B62" s="76" t="n">
        <v>5375</v>
      </c>
      <c r="C62" s="76" t="n">
        <v>578</v>
      </c>
      <c r="D62" s="76" t="inlineStr">
        <is>
          <t>BE</t>
        </is>
      </c>
      <c r="E62" s="76" t="n"/>
      <c r="F62" s="76" t="inlineStr">
        <is>
          <t>Functional IT/142</t>
        </is>
      </c>
      <c r="G62" s="76" t="inlineStr">
        <is>
          <t>2 x SMA-MAINT - Small Wonders Maintenance Security Explorer voor 1jaar (incl. vrachtkost = 3,75 EUR)</t>
        </is>
      </c>
      <c r="H62" s="84" t="n"/>
      <c r="I62" s="90" t="n">
        <v>9.9</v>
      </c>
      <c r="J62" s="86" t="n">
        <v>0.66</v>
      </c>
      <c r="K62" s="76" t="n"/>
      <c r="L62" s="76" t="inlineStr">
        <is>
          <t>30 days invoice date</t>
        </is>
      </c>
      <c r="M62" s="76" t="n"/>
      <c r="N62" s="76" t="n"/>
      <c r="O62" s="76" t="inlineStr">
        <is>
          <t>A.BE.029</t>
        </is>
      </c>
      <c r="P62" s="76" t="inlineStr">
        <is>
          <t>Retained</t>
        </is>
      </c>
      <c r="Q62" s="76" t="n"/>
      <c r="R62" s="76" t="inlineStr">
        <is>
          <t>VendorA</t>
        </is>
      </c>
      <c r="S62" s="87" t="n"/>
    </row>
    <row r="63" ht="48" customHeight="1" s="69">
      <c r="A63" s="77" t="inlineStr">
        <is>
          <t>EUC</t>
        </is>
      </c>
      <c r="B63" s="76" t="n">
        <v>7660</v>
      </c>
      <c r="C63" s="76" t="inlineStr">
        <is>
          <t>000590</t>
        </is>
      </c>
      <c r="D63" s="76" t="inlineStr">
        <is>
          <t>BE</t>
        </is>
      </c>
      <c r="E63" s="76" t="n"/>
      <c r="F63" s="76" t="inlineStr">
        <is>
          <t>SGS CORTEX QUALITY SOFTWARE/243</t>
        </is>
      </c>
      <c r="G63" s="76" t="inlineStr">
        <is>
          <t>Service Pack 3 jaar on-site herstelling met korting voor Infoprint 1120 + extencies</t>
        </is>
      </c>
      <c r="H63" s="84" t="n"/>
      <c r="I63" s="90" t="n">
        <v>110</v>
      </c>
      <c r="J63" s="86" t="n">
        <v>1</v>
      </c>
      <c r="K63" s="76" t="n"/>
      <c r="L63" s="76" t="inlineStr">
        <is>
          <t>30 days invoice date</t>
        </is>
      </c>
      <c r="M63" s="76" t="n"/>
      <c r="N63" s="76" t="n"/>
      <c r="O63" s="76" t="inlineStr">
        <is>
          <t>A.BE.033</t>
        </is>
      </c>
      <c r="P63" s="76" t="inlineStr">
        <is>
          <t>Retained</t>
        </is>
      </c>
      <c r="Q63" s="76" t="n"/>
      <c r="R63" s="76" t="inlineStr">
        <is>
          <t>VendorA</t>
        </is>
      </c>
      <c r="S63" s="87" t="n"/>
    </row>
    <row r="64" ht="24" customHeight="1" s="69">
      <c r="A64" s="77" t="inlineStr">
        <is>
          <t>Server</t>
        </is>
      </c>
      <c r="B64" s="76" t="n">
        <v>5854</v>
      </c>
      <c r="C64" s="76" t="n"/>
      <c r="D64" s="76" t="inlineStr">
        <is>
          <t>BE</t>
        </is>
      </c>
      <c r="E64" s="76" t="n"/>
      <c r="F64" s="76" t="inlineStr">
        <is>
          <t>EuroBank COMP LEASE/119</t>
        </is>
      </c>
      <c r="G64" s="76" t="inlineStr">
        <is>
          <t>6 x Fincad XL upgrade van version 3 naar version 7 104-201-50</t>
        </is>
      </c>
      <c r="H64" s="84" t="n">
        <v>39355</v>
      </c>
      <c r="I64" s="90" t="n">
        <v>142</v>
      </c>
      <c r="J64" s="86" t="n">
        <v>1</v>
      </c>
      <c r="K64" s="76" t="n"/>
      <c r="L64" s="76" t="inlineStr">
        <is>
          <t>30 days end of month</t>
        </is>
      </c>
      <c r="M64" s="76" t="n"/>
      <c r="N64" s="76" t="n"/>
      <c r="O64" s="76" t="inlineStr">
        <is>
          <t>A.BE.038</t>
        </is>
      </c>
      <c r="P64" s="76" t="inlineStr">
        <is>
          <t>Terminate</t>
        </is>
      </c>
      <c r="Q64" s="76" t="inlineStr">
        <is>
          <t>at expiry</t>
        </is>
      </c>
      <c r="R64" s="76" t="inlineStr">
        <is>
          <t>VendorA</t>
        </is>
      </c>
      <c r="S64" s="87" t="n"/>
    </row>
    <row r="65" ht="24" customHeight="1" s="69">
      <c r="A65" s="77" t="inlineStr">
        <is>
          <t>Server</t>
        </is>
      </c>
      <c r="B65" s="76" t="n">
        <v>5306</v>
      </c>
      <c r="C65" s="76" t="n"/>
      <c r="D65" s="76" t="inlineStr">
        <is>
          <t>BE</t>
        </is>
      </c>
      <c r="E65" s="76" t="n"/>
      <c r="F65" s="76" t="inlineStr">
        <is>
          <t>EuroBank COMP LEASE/159</t>
        </is>
      </c>
      <c r="G65" s="76" t="inlineStr">
        <is>
          <t>HP Secure Path 104-201-25</t>
        </is>
      </c>
      <c r="H65" s="84" t="n">
        <v>39294</v>
      </c>
      <c r="I65" s="90" t="n">
        <v>628.98</v>
      </c>
      <c r="J65" s="86" t="n">
        <v>0.66</v>
      </c>
      <c r="K65" s="76" t="n"/>
      <c r="L65" s="76" t="inlineStr">
        <is>
          <t>30 days end of month</t>
        </is>
      </c>
      <c r="M65" s="76" t="n"/>
      <c r="N65" s="76" t="n"/>
      <c r="O65" s="76" t="inlineStr">
        <is>
          <t>A.BE.040</t>
        </is>
      </c>
      <c r="P65" s="76" t="inlineStr">
        <is>
          <t>Terminate</t>
        </is>
      </c>
      <c r="Q65" s="76" t="inlineStr">
        <is>
          <t>at expiry</t>
        </is>
      </c>
      <c r="R65" s="76" t="inlineStr">
        <is>
          <t>VendorA</t>
        </is>
      </c>
      <c r="S65" s="87" t="n"/>
    </row>
    <row r="66" ht="24" customHeight="1" s="69">
      <c r="A66" s="77" t="inlineStr">
        <is>
          <t>Server</t>
        </is>
      </c>
      <c r="B66" s="76" t="n">
        <v>1419</v>
      </c>
      <c r="C66" s="76" t="n"/>
      <c r="D66" s="76" t="inlineStr">
        <is>
          <t>BE</t>
        </is>
      </c>
      <c r="E66" s="76" t="n"/>
      <c r="F66" s="76" t="inlineStr">
        <is>
          <t>EuroBank COMP LEASE/167</t>
        </is>
      </c>
      <c r="G66" s="76" t="inlineStr">
        <is>
          <t>Fenestrae Faxination 104-201-85</t>
        </is>
      </c>
      <c r="H66" s="84" t="n">
        <v>39416</v>
      </c>
      <c r="I66" s="90" t="n">
        <v>850</v>
      </c>
      <c r="J66" s="86" t="n">
        <v>1</v>
      </c>
      <c r="K66" s="76" t="n"/>
      <c r="L66" s="76" t="inlineStr">
        <is>
          <t>30 days end of month</t>
        </is>
      </c>
      <c r="M66" s="76" t="n"/>
      <c r="N66" s="76" t="n"/>
      <c r="O66" s="76" t="inlineStr">
        <is>
          <t>A.BE.041</t>
        </is>
      </c>
      <c r="P66" s="76" t="inlineStr">
        <is>
          <t>Terminate</t>
        </is>
      </c>
      <c r="Q66" s="76" t="inlineStr">
        <is>
          <t>at expiry</t>
        </is>
      </c>
      <c r="R66" s="76" t="inlineStr">
        <is>
          <t>VendorA</t>
        </is>
      </c>
      <c r="S66" s="87" t="n"/>
    </row>
    <row r="67" ht="24" customHeight="1" s="69">
      <c r="A67" s="77" t="inlineStr">
        <is>
          <t>Cross</t>
        </is>
      </c>
      <c r="B67" s="76" t="n">
        <v>5963</v>
      </c>
      <c r="C67" s="76" t="n"/>
      <c r="D67" s="76" t="inlineStr">
        <is>
          <t>BE</t>
        </is>
      </c>
      <c r="E67" s="76" t="n"/>
      <c r="F67" s="76" t="inlineStr">
        <is>
          <t>EuroBank COMP LEASE/69</t>
        </is>
      </c>
      <c r="G67" s="76" t="inlineStr">
        <is>
          <t>Peregrine licenties and 3 year maintenance    100-202-95</t>
        </is>
      </c>
      <c r="H67" s="84" t="n">
        <v>39082</v>
      </c>
      <c r="I67" s="90" t="n">
        <v>746.3</v>
      </c>
      <c r="J67" s="86" t="n">
        <v>0.17</v>
      </c>
      <c r="K67" s="76" t="n"/>
      <c r="L67" s="76" t="n"/>
      <c r="M67" s="76" t="n"/>
      <c r="N67" s="76" t="n"/>
      <c r="O67" s="76" t="inlineStr">
        <is>
          <t>A.BE.045</t>
        </is>
      </c>
      <c r="P67" s="76" t="inlineStr">
        <is>
          <t>Terminate</t>
        </is>
      </c>
      <c r="Q67" s="76" t="inlineStr">
        <is>
          <t>at expiry</t>
        </is>
      </c>
      <c r="R67" s="76" t="inlineStr">
        <is>
          <t>Vendor Gamma</t>
        </is>
      </c>
      <c r="S67" s="87" t="n"/>
    </row>
    <row r="68" ht="48" customHeight="1" s="69">
      <c r="A68" s="77" t="inlineStr">
        <is>
          <t>SD</t>
        </is>
      </c>
      <c r="B68" s="76" t="n">
        <v>6526</v>
      </c>
      <c r="C68" s="76" t="n"/>
      <c r="D68" s="76" t="inlineStr">
        <is>
          <t>BE</t>
        </is>
      </c>
      <c r="E68" s="76" t="n"/>
      <c r="F68" s="76" t="inlineStr">
        <is>
          <t>EuroBank COMP LEASE/85</t>
        </is>
      </c>
      <c r="G68" s="76" t="inlineStr">
        <is>
          <t>100 licenties Peregrine service center + upgrade van 110 licenties gekocht in 2001   104-201-16</t>
        </is>
      </c>
      <c r="H68" s="84" t="n">
        <v>39294</v>
      </c>
      <c r="I68" s="90" t="n">
        <v>1407.09</v>
      </c>
      <c r="J68" s="86" t="n">
        <v>0.17</v>
      </c>
      <c r="K68" s="76" t="n"/>
      <c r="L68" s="76" t="inlineStr">
        <is>
          <t>30 days end of month</t>
        </is>
      </c>
      <c r="M68" s="76" t="n"/>
      <c r="N68" s="76" t="n"/>
      <c r="O68" s="76" t="inlineStr">
        <is>
          <t>A.BE.046</t>
        </is>
      </c>
      <c r="P68" s="76" t="inlineStr">
        <is>
          <t>Terminate</t>
        </is>
      </c>
      <c r="Q68" s="76" t="inlineStr">
        <is>
          <t>at expiry</t>
        </is>
      </c>
      <c r="R68" s="76" t="inlineStr">
        <is>
          <t>Vendor Gamma</t>
        </is>
      </c>
      <c r="S68" s="87" t="n"/>
    </row>
    <row r="69" ht="24" customHeight="1" s="69">
      <c r="A69" s="77" t="inlineStr">
        <is>
          <t>Server</t>
        </is>
      </c>
      <c r="B69" s="76" t="n">
        <v>1411</v>
      </c>
      <c r="C69" s="76" t="n"/>
      <c r="D69" s="76" t="inlineStr">
        <is>
          <t>BE</t>
        </is>
      </c>
      <c r="E69" s="76" t="n"/>
      <c r="F69" s="76" t="inlineStr">
        <is>
          <t>EuroBank COMP LEASE/97</t>
        </is>
      </c>
      <c r="G69" s="76" t="inlineStr">
        <is>
          <t>Upgrade Software Lingot Extended V8 (Cosinus.nl)    104-201-29</t>
        </is>
      </c>
      <c r="H69" s="84" t="n">
        <v>39294</v>
      </c>
      <c r="I69" s="90" t="n">
        <v>245</v>
      </c>
      <c r="J69" s="86" t="n">
        <v>1</v>
      </c>
      <c r="K69" s="76" t="n"/>
      <c r="L69" s="76" t="inlineStr">
        <is>
          <t>30 days end of month</t>
        </is>
      </c>
      <c r="M69" s="76" t="n"/>
      <c r="N69" s="76" t="n"/>
      <c r="O69" s="76" t="inlineStr">
        <is>
          <t>A.BE.047</t>
        </is>
      </c>
      <c r="P69" s="76" t="inlineStr">
        <is>
          <t>Terminate</t>
        </is>
      </c>
      <c r="Q69" s="76" t="inlineStr">
        <is>
          <t>at expiry</t>
        </is>
      </c>
      <c r="R69" s="76" t="inlineStr">
        <is>
          <t>VendorA</t>
        </is>
      </c>
      <c r="S69" s="87" t="n"/>
    </row>
    <row r="70" ht="48" customHeight="1" s="69">
      <c r="A70" s="77" t="inlineStr">
        <is>
          <t>Cross</t>
        </is>
      </c>
      <c r="B70" s="76" t="n">
        <v>2068</v>
      </c>
      <c r="C70" s="76" t="n"/>
      <c r="D70" s="76" t="inlineStr">
        <is>
          <t>BE</t>
        </is>
      </c>
      <c r="E70" s="76" t="n"/>
      <c r="F70" s="90" t="inlineStr">
        <is>
          <t>IT MASTERS/1</t>
        </is>
      </c>
      <c r="G70" s="76" t="inlineStr">
        <is>
          <t>Software (analytical tool above System Monitoring, Tivoli and Peregrine compliant   BE01-1201-001</t>
        </is>
      </c>
      <c r="H70" s="76" t="n"/>
      <c r="I70" s="90" t="n">
        <v>264.787325</v>
      </c>
      <c r="J70" s="86" t="n">
        <v>0.17</v>
      </c>
      <c r="K70" s="76" t="n"/>
      <c r="L70" s="76" t="n"/>
      <c r="M70" s="76" t="n"/>
      <c r="N70" s="76" t="n"/>
      <c r="O70" s="76" t="inlineStr">
        <is>
          <t>A.BE.052</t>
        </is>
      </c>
      <c r="P70" s="76" t="inlineStr">
        <is>
          <t>Terminate</t>
        </is>
      </c>
      <c r="Q70" s="76" t="inlineStr">
        <is>
          <t>at expiry</t>
        </is>
      </c>
      <c r="R70" s="76" t="inlineStr">
        <is>
          <t>VendorA</t>
        </is>
      </c>
      <c r="S70" s="87" t="n"/>
    </row>
    <row r="71" ht="48" customHeight="1" s="69">
      <c r="A71" s="77" t="inlineStr">
        <is>
          <t>EUC</t>
        </is>
      </c>
      <c r="B71" s="76" t="n">
        <v>1300</v>
      </c>
      <c r="C71" s="76" t="n"/>
      <c r="D71" s="76" t="inlineStr">
        <is>
          <t>BE</t>
        </is>
      </c>
      <c r="E71" s="76" t="n"/>
      <c r="F71" s="76" t="inlineStr">
        <is>
          <t>NAT SYSTEMS/1</t>
        </is>
      </c>
      <c r="G71" s="76" t="inlineStr">
        <is>
          <t>JAARLIJKS SITELICENTIE ONTWIKKELINGSTOOLS NSDK1/2 , U2   MB95-07</t>
        </is>
      </c>
      <c r="H71" s="84" t="n"/>
      <c r="I71" s="90" t="n">
        <v>26985</v>
      </c>
      <c r="J71" s="86" t="n">
        <v>1</v>
      </c>
      <c r="K71" s="76" t="n"/>
      <c r="L71" s="76" t="n"/>
      <c r="M71" s="76" t="n"/>
      <c r="N71" s="76" t="n"/>
      <c r="O71" s="76" t="inlineStr">
        <is>
          <t>A.BE.054</t>
        </is>
      </c>
      <c r="P71" s="76" t="inlineStr">
        <is>
          <t>Retained</t>
        </is>
      </c>
      <c r="Q71" s="76" t="n"/>
      <c r="R71" s="76" t="inlineStr">
        <is>
          <t>VendorA</t>
        </is>
      </c>
      <c r="S71" s="87" t="n"/>
    </row>
    <row r="72" ht="24" customHeight="1" s="69">
      <c r="A72" s="77" t="inlineStr">
        <is>
          <t>EUC</t>
        </is>
      </c>
      <c r="B72" s="76" t="n">
        <v>1911</v>
      </c>
      <c r="C72" s="76" t="n"/>
      <c r="D72" s="76" t="inlineStr">
        <is>
          <t>BE</t>
        </is>
      </c>
      <c r="E72" s="76" t="n"/>
      <c r="F72" s="76" t="inlineStr">
        <is>
          <t>PLANON/7</t>
        </is>
      </c>
      <c r="G72" s="76" t="inlineStr">
        <is>
          <t>Modules FO Inventarisbeheer     935;040;00811;24</t>
        </is>
      </c>
      <c r="H72" s="84" t="n"/>
      <c r="I72" s="90" t="n">
        <v>14</v>
      </c>
      <c r="J72" s="86" t="n">
        <v>1</v>
      </c>
      <c r="K72" s="76" t="n"/>
      <c r="L72" s="76" t="inlineStr">
        <is>
          <t>30 days invoice date</t>
        </is>
      </c>
      <c r="M72" s="76" t="n"/>
      <c r="N72" s="76" t="n"/>
      <c r="O72" s="76" t="inlineStr">
        <is>
          <t>A.BE.056</t>
        </is>
      </c>
      <c r="P72" s="76" t="inlineStr">
        <is>
          <t>Retained</t>
        </is>
      </c>
      <c r="Q72" s="76" t="n"/>
      <c r="R72" s="76" t="inlineStr">
        <is>
          <t>VendorA</t>
        </is>
      </c>
      <c r="S72" s="87" t="n"/>
    </row>
    <row r="73" ht="24" customHeight="1" s="69">
      <c r="A73" s="77" t="inlineStr">
        <is>
          <t>EUC</t>
        </is>
      </c>
      <c r="B73" s="76" t="n">
        <v>1527</v>
      </c>
      <c r="C73" s="76" t="n"/>
      <c r="D73" s="76" t="inlineStr">
        <is>
          <t>BE</t>
        </is>
      </c>
      <c r="E73" s="76" t="n"/>
      <c r="F73" s="76" t="inlineStr">
        <is>
          <t>SPSS/10</t>
        </is>
      </c>
      <c r="G73" s="76" t="inlineStr">
        <is>
          <t>1 SPSS Base for Windows (gebruiker Cambier Thierry)  935,040,470,71</t>
        </is>
      </c>
      <c r="H73" s="84" t="n"/>
      <c r="I73" s="90" t="n">
        <v>33</v>
      </c>
      <c r="J73" s="86" t="n">
        <v>1</v>
      </c>
      <c r="K73" s="76" t="n"/>
      <c r="L73" s="76" t="inlineStr">
        <is>
          <t>30 days end of month</t>
        </is>
      </c>
      <c r="M73" s="76" t="n"/>
      <c r="N73" s="76" t="n"/>
      <c r="O73" s="76" t="inlineStr">
        <is>
          <t>A.BE.066</t>
        </is>
      </c>
      <c r="P73" s="76" t="inlineStr">
        <is>
          <t>Retained</t>
        </is>
      </c>
      <c r="Q73" s="76" t="n"/>
      <c r="R73" s="76" t="inlineStr">
        <is>
          <t>VendorA</t>
        </is>
      </c>
      <c r="S73" s="87" t="n"/>
    </row>
    <row r="74" ht="48" customHeight="1" s="69">
      <c r="A74" s="77" t="inlineStr">
        <is>
          <t>EUC</t>
        </is>
      </c>
      <c r="B74" s="76" t="n">
        <v>7803</v>
      </c>
      <c r="C74" s="76" t="n"/>
      <c r="D74" s="76" t="inlineStr">
        <is>
          <t>BE</t>
        </is>
      </c>
      <c r="E74" s="76" t="n"/>
      <c r="F74" s="76" t="inlineStr">
        <is>
          <t>SPSS/11</t>
        </is>
      </c>
      <c r="G74" s="76" t="inlineStr">
        <is>
          <t>License SPSS Base (1 module missing values for D'Haeninck)    935,040,01010,29</t>
        </is>
      </c>
      <c r="H74" s="84" t="n"/>
      <c r="I74" s="90" t="n">
        <v>16</v>
      </c>
      <c r="J74" s="86" t="n">
        <v>1</v>
      </c>
      <c r="K74" s="76" t="n"/>
      <c r="L74" s="76" t="inlineStr">
        <is>
          <t>30 days invoice date</t>
        </is>
      </c>
      <c r="M74" s="76" t="n"/>
      <c r="N74" s="76" t="n"/>
      <c r="O74" s="76" t="inlineStr">
        <is>
          <t>A.BE.067</t>
        </is>
      </c>
      <c r="P74" s="76" t="inlineStr">
        <is>
          <t>Retained</t>
        </is>
      </c>
      <c r="Q74" s="76" t="n"/>
      <c r="R74" s="76" t="inlineStr">
        <is>
          <t>VendorA</t>
        </is>
      </c>
      <c r="S74" s="87" t="n"/>
    </row>
    <row r="75" ht="24" customHeight="1" s="69">
      <c r="A75" s="77" t="inlineStr">
        <is>
          <t>EUC</t>
        </is>
      </c>
      <c r="B75" s="76" t="n">
        <v>1791</v>
      </c>
      <c r="C75" s="76" t="n"/>
      <c r="D75" s="76" t="inlineStr">
        <is>
          <t>BE</t>
        </is>
      </c>
      <c r="E75" s="76" t="n"/>
      <c r="F75" s="76" t="inlineStr">
        <is>
          <t>SPSS/12</t>
        </is>
      </c>
      <c r="G75" s="76" t="inlineStr">
        <is>
          <t>License SPSS Base for Windows (for Vitalie Sajin)     935,040,01008,27</t>
        </is>
      </c>
      <c r="H75" s="84" t="n"/>
      <c r="I75" s="90" t="n">
        <v>28</v>
      </c>
      <c r="J75" s="86" t="n">
        <v>1</v>
      </c>
      <c r="K75" s="76" t="n"/>
      <c r="L75" s="76" t="inlineStr">
        <is>
          <t>30 days end of month</t>
        </is>
      </c>
      <c r="M75" s="76" t="n"/>
      <c r="N75" s="76" t="n"/>
      <c r="O75" s="76" t="inlineStr">
        <is>
          <t>A.BE.068</t>
        </is>
      </c>
      <c r="P75" s="76" t="inlineStr">
        <is>
          <t>Retained</t>
        </is>
      </c>
      <c r="Q75" s="76" t="n"/>
      <c r="R75" s="76" t="inlineStr">
        <is>
          <t>VendorA</t>
        </is>
      </c>
      <c r="S75" s="87" t="n"/>
    </row>
    <row r="76" ht="24" customHeight="1" s="69">
      <c r="A76" s="77" t="inlineStr">
        <is>
          <t>EUC</t>
        </is>
      </c>
      <c r="B76" s="76" t="n">
        <v>1971</v>
      </c>
      <c r="C76" s="76" t="n"/>
      <c r="D76" s="76" t="inlineStr">
        <is>
          <t>BE</t>
        </is>
      </c>
      <c r="E76" s="76" t="n"/>
      <c r="F76" s="76" t="inlineStr">
        <is>
          <t>SPSS/13</t>
        </is>
      </c>
      <c r="G76" s="76" t="inlineStr">
        <is>
          <t>3 lic SPSS Base,5 lic Missing Val,6 lic Tables     935.050.00092.11</t>
        </is>
      </c>
      <c r="H76" s="84" t="n"/>
      <c r="I76" s="90" t="n">
        <v>254</v>
      </c>
      <c r="J76" s="86" t="n">
        <v>1</v>
      </c>
      <c r="K76" s="76" t="n"/>
      <c r="L76" s="76" t="inlineStr">
        <is>
          <t>30 days invoice date</t>
        </is>
      </c>
      <c r="M76" s="76" t="n"/>
      <c r="N76" s="76" t="n"/>
      <c r="O76" s="76" t="inlineStr">
        <is>
          <t>A.BE.069</t>
        </is>
      </c>
      <c r="P76" s="76" t="inlineStr">
        <is>
          <t>Retained</t>
        </is>
      </c>
      <c r="Q76" s="76" t="n"/>
      <c r="R76" s="76" t="inlineStr">
        <is>
          <t>VendorA</t>
        </is>
      </c>
      <c r="S76" s="87" t="n"/>
    </row>
    <row r="77" ht="24" customHeight="1" s="69">
      <c r="A77" s="77" t="inlineStr">
        <is>
          <t>EUC</t>
        </is>
      </c>
      <c r="B77" s="76" t="n">
        <v>1325</v>
      </c>
      <c r="C77" s="76" t="n"/>
      <c r="D77" s="76" t="inlineStr">
        <is>
          <t>BE</t>
        </is>
      </c>
      <c r="E77" s="76" t="n"/>
      <c r="F77" s="76" t="inlineStr">
        <is>
          <t>SPSS/9</t>
        </is>
      </c>
      <c r="G77" s="76" t="inlineStr">
        <is>
          <t>3 X SPSS Base for Windows (dept HR)    935,040,00625,32</t>
        </is>
      </c>
      <c r="H77" s="84" t="n"/>
      <c r="I77" s="90" t="n">
        <v>80</v>
      </c>
      <c r="J77" s="86" t="n">
        <v>1</v>
      </c>
      <c r="K77" s="76" t="n"/>
      <c r="L77" s="76" t="inlineStr">
        <is>
          <t>30 days end of month</t>
        </is>
      </c>
      <c r="M77" s="76" t="n"/>
      <c r="N77" s="76" t="n"/>
      <c r="O77" s="76" t="inlineStr">
        <is>
          <t>A.BE.070</t>
        </is>
      </c>
      <c r="P77" s="76" t="inlineStr">
        <is>
          <t>Retained</t>
        </is>
      </c>
      <c r="Q77" s="76" t="n"/>
      <c r="R77" s="76" t="inlineStr">
        <is>
          <t>VendorA</t>
        </is>
      </c>
      <c r="S77" s="87" t="n"/>
    </row>
    <row r="78" ht="24" customHeight="1" s="69">
      <c r="A78" s="77" t="inlineStr">
        <is>
          <t>Voice</t>
        </is>
      </c>
      <c r="B78" s="76" t="n">
        <v>1526</v>
      </c>
      <c r="C78" s="76" t="inlineStr">
        <is>
          <t>000525</t>
        </is>
      </c>
      <c r="D78" s="76" t="inlineStr">
        <is>
          <t>BE</t>
        </is>
      </c>
      <c r="E78" s="76" t="n"/>
      <c r="F78" s="76" t="inlineStr">
        <is>
          <t>AVOTUS/1</t>
        </is>
      </c>
      <c r="G78" s="76" t="inlineStr">
        <is>
          <t>Software Support PBX EuroBank Insurance</t>
        </is>
      </c>
      <c r="H78" s="84" t="n">
        <v>39447</v>
      </c>
      <c r="I78" s="90" t="n">
        <v>563</v>
      </c>
      <c r="J78" s="86" t="n">
        <v>1</v>
      </c>
      <c r="K78" s="76" t="n"/>
      <c r="L78" s="76" t="inlineStr">
        <is>
          <t>30 days invoice date</t>
        </is>
      </c>
      <c r="M78" s="76" t="n"/>
      <c r="N78" s="76" t="n"/>
      <c r="O78" s="76" t="inlineStr">
        <is>
          <t>A.BE.206</t>
        </is>
      </c>
      <c r="P78" s="76" t="inlineStr">
        <is>
          <t>Terminate</t>
        </is>
      </c>
      <c r="Q78" s="76" t="n"/>
      <c r="R78" s="76" t="inlineStr">
        <is>
          <t>TelCo</t>
        </is>
      </c>
      <c r="S78" s="87" t="n"/>
      <c r="T78" s="77" t="n"/>
    </row>
    <row r="79" ht="24" customHeight="1" s="69">
      <c r="A79" s="77" t="inlineStr">
        <is>
          <t>EUC</t>
        </is>
      </c>
      <c r="B79" s="76" t="n">
        <v>5277</v>
      </c>
      <c r="C79" s="76" t="n"/>
      <c r="D79" s="76" t="inlineStr">
        <is>
          <t>BE</t>
        </is>
      </c>
      <c r="E79" s="76" t="n"/>
      <c r="F79" s="76" t="inlineStr">
        <is>
          <t>IBM HC/1</t>
        </is>
      </c>
      <c r="G79" s="76" t="inlineStr">
        <is>
          <t>TECHNISCHE INTERVENTIES</t>
        </is>
      </c>
      <c r="H79" s="84" t="n"/>
      <c r="I79" s="90" t="n">
        <v>750</v>
      </c>
      <c r="J79" s="92" t="n">
        <v>1</v>
      </c>
      <c r="K79" s="76" t="n"/>
      <c r="L79" s="76" t="n"/>
      <c r="M79" s="76" t="n"/>
      <c r="N79" s="76" t="n"/>
      <c r="O79" s="76" t="inlineStr">
        <is>
          <t>A.BE.210</t>
        </is>
      </c>
      <c r="P79" s="76" t="inlineStr">
        <is>
          <t>Terminate</t>
        </is>
      </c>
      <c r="Q79" s="76" t="inlineStr">
        <is>
          <t>at expiry</t>
        </is>
      </c>
      <c r="R79" s="76" t="inlineStr">
        <is>
          <t>VendorA</t>
        </is>
      </c>
      <c r="S79" s="87" t="n"/>
    </row>
    <row r="80" ht="24" customHeight="1" s="69">
      <c r="A80" s="95" t="inlineStr">
        <is>
          <t>voice</t>
        </is>
      </c>
      <c r="B80" s="96" t="n">
        <v>53</v>
      </c>
      <c r="C80" s="96" t="n">
        <v>2001220</v>
      </c>
      <c r="D80" s="96" t="inlineStr">
        <is>
          <t>NL</t>
        </is>
      </c>
      <c r="E80" s="96" t="inlineStr">
        <is>
          <t>WPS (W&amp;CI/SP&amp;SV)</t>
        </is>
      </c>
      <c r="F80" s="96" t="inlineStr">
        <is>
          <t>TelCo</t>
        </is>
      </c>
      <c r="G80" s="96" t="inlineStr">
        <is>
          <t>Worldline discount</t>
        </is>
      </c>
      <c r="H80" s="97" t="n">
        <v>39097</v>
      </c>
      <c r="I80" s="106" t="n"/>
      <c r="J80" s="99" t="n">
        <v>1</v>
      </c>
      <c r="K80" s="96" t="inlineStr">
        <is>
          <t>Subsc + charges</t>
        </is>
      </c>
      <c r="L80" s="96" t="n"/>
      <c r="M80" s="96" t="n"/>
      <c r="N80" s="96" t="n"/>
      <c r="O80" s="96" t="inlineStr">
        <is>
          <t>B.002</t>
        </is>
      </c>
      <c r="P80" s="96" t="inlineStr">
        <is>
          <t>Novate</t>
        </is>
      </c>
      <c r="Q80" s="96" t="n"/>
      <c r="R80" s="96" t="inlineStr">
        <is>
          <t>TelCo</t>
        </is>
      </c>
      <c r="S80" s="100" t="n"/>
      <c r="T80" s="77" t="n"/>
    </row>
    <row r="81" ht="24" customHeight="1" s="69">
      <c r="A81" s="77" t="inlineStr">
        <is>
          <t>voice</t>
        </is>
      </c>
      <c r="B81" s="76" t="n">
        <v>55</v>
      </c>
      <c r="C81" s="76" t="n">
        <v>2001848</v>
      </c>
      <c r="D81" s="76" t="inlineStr">
        <is>
          <t>NL</t>
        </is>
      </c>
      <c r="E81" s="76" t="inlineStr">
        <is>
          <t>WPS (W&amp;CI/SP&amp;SV)</t>
        </is>
      </c>
      <c r="F81" s="76" t="inlineStr">
        <is>
          <t>Telfort</t>
        </is>
      </c>
      <c r="G81" s="76" t="inlineStr">
        <is>
          <t>Agreem.connections</t>
        </is>
      </c>
      <c r="H81" s="84" t="n">
        <v>38990</v>
      </c>
      <c r="I81" s="90" t="n"/>
      <c r="J81" s="86" t="n">
        <v>1</v>
      </c>
      <c r="K81" s="76" t="n"/>
      <c r="L81" s="76" t="n"/>
      <c r="M81" s="76" t="n"/>
      <c r="N81" s="76" t="n"/>
      <c r="O81" s="76" t="inlineStr">
        <is>
          <t>B.004</t>
        </is>
      </c>
      <c r="P81" s="76" t="inlineStr">
        <is>
          <t>Novate</t>
        </is>
      </c>
      <c r="Q81" s="76" t="n"/>
      <c r="R81" s="76" t="inlineStr">
        <is>
          <t>TelCo</t>
        </is>
      </c>
      <c r="S81" s="87" t="n"/>
      <c r="T81" s="77" t="n"/>
    </row>
    <row r="82" ht="24" customHeight="1" s="69">
      <c r="A82" s="77" t="inlineStr">
        <is>
          <t>Voice</t>
        </is>
      </c>
      <c r="B82" s="76" t="n"/>
      <c r="C82" s="76" t="n">
        <v>2002786</v>
      </c>
      <c r="D82" s="76" t="inlineStr">
        <is>
          <t>NL</t>
        </is>
      </c>
      <c r="E82" s="76" t="inlineStr">
        <is>
          <t>DCO</t>
        </is>
      </c>
      <c r="F82" s="76" t="inlineStr">
        <is>
          <t>Verizon UUNET GROEP</t>
        </is>
      </c>
      <c r="G82" s="76" t="inlineStr">
        <is>
          <t>Abonnementen Internet Dial in</t>
        </is>
      </c>
      <c r="H82" s="84" t="inlineStr">
        <is>
          <t>30-6-2006</t>
        </is>
      </c>
      <c r="I82" s="90" t="n">
        <v>11847</v>
      </c>
      <c r="J82" s="86" t="n">
        <v>1</v>
      </c>
      <c r="K82" s="76" t="inlineStr">
        <is>
          <t>Telefonie - Abonnementskosten</t>
        </is>
      </c>
      <c r="L82" s="76" t="n"/>
      <c r="M82" s="76" t="n"/>
      <c r="N82" s="76" t="n"/>
      <c r="O82" s="76" t="inlineStr">
        <is>
          <t>B.011</t>
        </is>
      </c>
      <c r="P82" s="76" t="inlineStr">
        <is>
          <t>Retained</t>
        </is>
      </c>
      <c r="Q82" s="76" t="n"/>
      <c r="R82" s="76" t="inlineStr">
        <is>
          <t>TelCo</t>
        </is>
      </c>
      <c r="S82" s="87" t="n"/>
      <c r="T82" s="77" t="n"/>
    </row>
    <row r="83" ht="24" customHeight="1" s="69">
      <c r="A83" s="77" t="inlineStr">
        <is>
          <t>Voice</t>
        </is>
      </c>
      <c r="B83" s="76" t="n"/>
      <c r="C83" s="76" t="n">
        <v>2002786</v>
      </c>
      <c r="D83" s="76" t="inlineStr">
        <is>
          <t>NL</t>
        </is>
      </c>
      <c r="E83" s="76" t="inlineStr">
        <is>
          <t>DCO</t>
        </is>
      </c>
      <c r="F83" s="76" t="inlineStr">
        <is>
          <t>Verizon UUNET GROEP</t>
        </is>
      </c>
      <c r="G83" s="76" t="inlineStr">
        <is>
          <t>Abonnementen Internet Dial in</t>
        </is>
      </c>
      <c r="H83" s="84" t="inlineStr">
        <is>
          <t>30-6-2006</t>
        </is>
      </c>
      <c r="I83" s="90" t="n">
        <v>600</v>
      </c>
      <c r="J83" s="92" t="n">
        <v>1</v>
      </c>
      <c r="K83" s="76" t="inlineStr">
        <is>
          <t>Telefonie - Abonnementskosten</t>
        </is>
      </c>
      <c r="L83" s="76" t="n"/>
      <c r="M83" s="76" t="n"/>
      <c r="N83" s="76" t="n"/>
      <c r="O83" s="76" t="inlineStr">
        <is>
          <t>B.012</t>
        </is>
      </c>
      <c r="P83" s="76" t="inlineStr">
        <is>
          <t>Retained</t>
        </is>
      </c>
      <c r="Q83" s="76" t="n"/>
      <c r="R83" s="76" t="inlineStr">
        <is>
          <t>TelCo</t>
        </is>
      </c>
      <c r="S83" s="87" t="n"/>
      <c r="T83" s="77" t="n"/>
    </row>
    <row r="84" ht="24" customHeight="1" s="69">
      <c r="A84" s="77" t="inlineStr">
        <is>
          <t>Voice</t>
        </is>
      </c>
      <c r="B84" s="76" t="n"/>
      <c r="C84" s="76" t="n">
        <v>2002786</v>
      </c>
      <c r="D84" s="76" t="inlineStr">
        <is>
          <t>NL</t>
        </is>
      </c>
      <c r="E84" s="76" t="inlineStr">
        <is>
          <t>DCO</t>
        </is>
      </c>
      <c r="F84" s="76" t="inlineStr">
        <is>
          <t>Verizon UUNET GROEP</t>
        </is>
      </c>
      <c r="G84" s="76" t="inlineStr">
        <is>
          <t>Abonnementen Internet Dial in</t>
        </is>
      </c>
      <c r="H84" s="84" t="inlineStr">
        <is>
          <t>30-6-2006</t>
        </is>
      </c>
      <c r="I84" s="90" t="n">
        <v>600</v>
      </c>
      <c r="J84" s="92" t="n">
        <v>1</v>
      </c>
      <c r="K84" s="76" t="inlineStr">
        <is>
          <t>Telefonie - Abonnementskosten</t>
        </is>
      </c>
      <c r="L84" s="76" t="n"/>
      <c r="M84" s="76" t="n"/>
      <c r="N84" s="76" t="n"/>
      <c r="O84" s="76" t="inlineStr">
        <is>
          <t>B.013</t>
        </is>
      </c>
      <c r="P84" s="76" t="inlineStr">
        <is>
          <t>Retained</t>
        </is>
      </c>
      <c r="Q84" s="76" t="n"/>
      <c r="R84" s="76" t="inlineStr">
        <is>
          <t>TelCo</t>
        </is>
      </c>
      <c r="S84" s="87" t="n"/>
      <c r="T84" s="77" t="n"/>
    </row>
    <row r="85" ht="24" customHeight="1" s="69">
      <c r="A85" s="77" t="inlineStr">
        <is>
          <t>Voice</t>
        </is>
      </c>
      <c r="B85" s="76" t="n"/>
      <c r="C85" s="76" t="n">
        <v>2002786</v>
      </c>
      <c r="D85" s="76" t="inlineStr">
        <is>
          <t>NL</t>
        </is>
      </c>
      <c r="E85" s="76" t="inlineStr">
        <is>
          <t>DCO</t>
        </is>
      </c>
      <c r="F85" s="76" t="inlineStr">
        <is>
          <t>Verizon UUNET GROEP</t>
        </is>
      </c>
      <c r="G85" s="76" t="inlineStr">
        <is>
          <t>Abonnementen Internet Dial in</t>
        </is>
      </c>
      <c r="H85" s="84" t="inlineStr">
        <is>
          <t>30-6-2006</t>
        </is>
      </c>
      <c r="I85" s="90" t="n">
        <v>600</v>
      </c>
      <c r="J85" s="92" t="n">
        <v>1</v>
      </c>
      <c r="K85" s="76" t="inlineStr">
        <is>
          <t>Telefonie - Abonnementskosten</t>
        </is>
      </c>
      <c r="L85" s="76" t="n"/>
      <c r="M85" s="76" t="n"/>
      <c r="N85" s="76" t="n"/>
      <c r="O85" s="76" t="inlineStr">
        <is>
          <t>B.014</t>
        </is>
      </c>
      <c r="P85" s="76" t="inlineStr">
        <is>
          <t>Retained</t>
        </is>
      </c>
      <c r="Q85" s="76" t="n"/>
      <c r="R85" s="76" t="inlineStr">
        <is>
          <t>TelCo</t>
        </is>
      </c>
      <c r="S85" s="87" t="n"/>
      <c r="T85" s="77" t="n"/>
    </row>
    <row r="86" ht="24" customHeight="1" s="69">
      <c r="A86" s="77" t="inlineStr">
        <is>
          <t>SD</t>
        </is>
      </c>
      <c r="B86" s="76" t="n"/>
      <c r="C86" s="76" t="n">
        <v>2003734</v>
      </c>
      <c r="D86" s="76" t="inlineStr">
        <is>
          <t>NL</t>
        </is>
      </c>
      <c r="E86" s="76" t="inlineStr">
        <is>
          <t>WPS (Servicedesk)</t>
        </is>
      </c>
      <c r="F86" s="76" t="inlineStr">
        <is>
          <t>CENTRIC BUSINESS SOLUTIONS</t>
        </is>
      </c>
      <c r="G86" s="76" t="inlineStr">
        <is>
          <t>Employe Personnel  ICT Servicedesk</t>
        </is>
      </c>
      <c r="H86" s="84" t="n">
        <v>38776</v>
      </c>
      <c r="I86" s="90" t="n">
        <v>183538</v>
      </c>
      <c r="J86" s="86" t="n">
        <v>1</v>
      </c>
      <c r="K86" s="76" t="inlineStr">
        <is>
          <t>FTE</t>
        </is>
      </c>
      <c r="L86" s="76" t="n"/>
      <c r="M86" s="76" t="n"/>
      <c r="N86" s="76" t="n"/>
      <c r="O86" s="76" t="inlineStr">
        <is>
          <t>B.016</t>
        </is>
      </c>
      <c r="P86" s="76" t="inlineStr">
        <is>
          <t>Terminate</t>
        </is>
      </c>
      <c r="Q86" s="76" t="inlineStr">
        <is>
          <t>at expiry</t>
        </is>
      </c>
      <c r="R86" s="76" t="inlineStr">
        <is>
          <t>Vendor Gamma</t>
        </is>
      </c>
      <c r="S86" s="87" t="n"/>
    </row>
    <row r="87" ht="24" customHeight="1" s="69">
      <c r="A87" s="95" t="inlineStr">
        <is>
          <t>voice</t>
        </is>
      </c>
      <c r="B87" s="96" t="n"/>
      <c r="C87" s="96" t="n">
        <v>2003752</v>
      </c>
      <c r="D87" s="96" t="inlineStr">
        <is>
          <t>NL</t>
        </is>
      </c>
      <c r="E87" s="96" t="inlineStr">
        <is>
          <t>DCO</t>
        </is>
      </c>
      <c r="F87" s="96" t="inlineStr">
        <is>
          <t>TelCo TELECOM B.V.</t>
        </is>
      </c>
      <c r="G87" s="96" t="inlineStr">
        <is>
          <t>Doorschakeldienst Adam - Arnhem tbv Finstream project</t>
        </is>
      </c>
      <c r="H87" s="97" t="n">
        <v>38321</v>
      </c>
      <c r="I87" s="106" t="n">
        <v>1117</v>
      </c>
      <c r="J87" s="99" t="n">
        <v>1</v>
      </c>
      <c r="K87" s="96" t="n"/>
      <c r="L87" s="96" t="n"/>
      <c r="M87" s="96" t="n"/>
      <c r="N87" s="96" t="n"/>
      <c r="O87" s="96" t="inlineStr">
        <is>
          <t>B.017</t>
        </is>
      </c>
      <c r="P87" s="96" t="inlineStr">
        <is>
          <t>Novate</t>
        </is>
      </c>
      <c r="Q87" s="96" t="n"/>
      <c r="R87" s="96" t="inlineStr">
        <is>
          <t>TelCo</t>
        </is>
      </c>
      <c r="S87" s="100" t="n"/>
      <c r="T87" s="77" t="n"/>
    </row>
    <row r="88" ht="24" customHeight="1" s="69">
      <c r="A88" s="77" t="inlineStr">
        <is>
          <t>DTHW</t>
        </is>
      </c>
      <c r="B88" s="76" t="n"/>
      <c r="C88" s="76" t="n">
        <v>2003975</v>
      </c>
      <c r="D88" s="76" t="inlineStr">
        <is>
          <t>NL</t>
        </is>
      </c>
      <c r="E88" s="76" t="inlineStr">
        <is>
          <t>WPS (CADS)</t>
        </is>
      </c>
      <c r="F88" s="76" t="inlineStr">
        <is>
          <t>UTS - VERKROOST/VOERMAN ABBINK</t>
        </is>
      </c>
      <c r="G88" s="76" t="inlineStr">
        <is>
          <t>Agreement Removal Werkplekapparatuur</t>
        </is>
      </c>
      <c r="H88" s="84" t="n">
        <v>38898</v>
      </c>
      <c r="I88" s="90" t="n">
        <v>12247</v>
      </c>
      <c r="J88" s="86" t="n">
        <v>1</v>
      </c>
      <c r="K88" s="76" t="inlineStr">
        <is>
          <t>FTE</t>
        </is>
      </c>
      <c r="L88" s="76" t="n"/>
      <c r="M88" s="76" t="n"/>
      <c r="N88" s="76" t="n"/>
      <c r="O88" s="76" t="inlineStr">
        <is>
          <t>B.019</t>
        </is>
      </c>
      <c r="P88" s="76" t="inlineStr">
        <is>
          <t>Terminate</t>
        </is>
      </c>
      <c r="Q88" s="76" t="inlineStr">
        <is>
          <t>early</t>
        </is>
      </c>
      <c r="R88" s="76" t="inlineStr">
        <is>
          <t>Vendor Gamma</t>
        </is>
      </c>
      <c r="S88" s="87" t="n"/>
    </row>
    <row r="89" ht="24" customHeight="1" s="69">
      <c r="A89" s="77" t="inlineStr">
        <is>
          <t>Voice</t>
        </is>
      </c>
      <c r="B89" s="76" t="n">
        <v>49</v>
      </c>
      <c r="C89" s="76" t="n">
        <v>2004272</v>
      </c>
      <c r="D89" s="76" t="inlineStr">
        <is>
          <t>NL</t>
        </is>
      </c>
      <c r="E89" s="76" t="inlineStr">
        <is>
          <t>WPS (W&amp;CI/SP&amp;SV)</t>
        </is>
      </c>
      <c r="F89" s="76" t="inlineStr">
        <is>
          <t>Teletigers</t>
        </is>
      </c>
      <c r="G89" s="76" t="inlineStr">
        <is>
          <t>Co-sourcingcontract</t>
        </is>
      </c>
      <c r="H89" s="84" t="n">
        <v>39355</v>
      </c>
      <c r="I89" s="90" t="n">
        <v>37061</v>
      </c>
      <c r="J89" s="86" t="n">
        <v>1</v>
      </c>
      <c r="K89" s="76" t="inlineStr">
        <is>
          <t>Helpdesk SP&amp;SV</t>
        </is>
      </c>
      <c r="L89" s="76" t="n"/>
      <c r="M89" s="76" t="n"/>
      <c r="N89" s="76" t="n"/>
      <c r="O89" s="76" t="inlineStr">
        <is>
          <t>B.024</t>
        </is>
      </c>
      <c r="P89" s="76" t="inlineStr">
        <is>
          <t>Terminate</t>
        </is>
      </c>
      <c r="Q89" s="76" t="inlineStr">
        <is>
          <t>early</t>
        </is>
      </c>
      <c r="R89" s="76" t="inlineStr">
        <is>
          <t>TelCo</t>
        </is>
      </c>
      <c r="S89" s="87" t="n"/>
      <c r="T89" s="77" t="n"/>
    </row>
    <row r="90" ht="24" customHeight="1" s="69">
      <c r="A90" s="77" t="inlineStr">
        <is>
          <t>Server</t>
        </is>
      </c>
      <c r="B90" s="76" t="n"/>
      <c r="C90" s="76" t="n"/>
      <c r="D90" s="76" t="inlineStr">
        <is>
          <t>NL</t>
        </is>
      </c>
      <c r="E90" s="76" t="inlineStr">
        <is>
          <t>WIA</t>
        </is>
      </c>
      <c r="F90" s="76" t="inlineStr">
        <is>
          <t>Hewlett Packard</t>
        </is>
      </c>
      <c r="G90" s="76" t="inlineStr">
        <is>
          <t>NT cluster omgeving / mission Cr</t>
        </is>
      </c>
      <c r="H90" s="84" t="n">
        <v>39082</v>
      </c>
      <c r="I90" s="90" t="n">
        <v>42355</v>
      </c>
      <c r="J90" s="86" t="n">
        <v>1</v>
      </c>
      <c r="K90" s="76" t="n"/>
      <c r="L90" s="76" t="n"/>
      <c r="M90" s="76" t="n"/>
      <c r="N90" s="76" t="n"/>
      <c r="O90" s="76" t="inlineStr">
        <is>
          <t>B.052</t>
        </is>
      </c>
      <c r="P90" s="76" t="inlineStr">
        <is>
          <t>Novate</t>
        </is>
      </c>
      <c r="Q90" s="76" t="inlineStr">
        <is>
          <t>at expiry</t>
        </is>
      </c>
      <c r="R90" s="76" t="inlineStr">
        <is>
          <t>VendorA</t>
        </is>
      </c>
      <c r="S90" s="87" t="n">
        <v>42355</v>
      </c>
      <c r="FA90" s="77" t="n"/>
      <c r="FB90" s="77" t="n"/>
      <c r="FC90" s="76" t="n"/>
    </row>
    <row r="91" ht="48" customHeight="1" s="69">
      <c r="A91" s="77" t="inlineStr">
        <is>
          <t>Voice</t>
        </is>
      </c>
      <c r="B91" s="76" t="n">
        <v>0</v>
      </c>
      <c r="C91" s="76" t="n">
        <v>2002483</v>
      </c>
      <c r="D91" s="76" t="inlineStr">
        <is>
          <t>NL</t>
        </is>
      </c>
      <c r="E91" s="76" t="n"/>
      <c r="F91" s="76" t="inlineStr">
        <is>
          <t>VODAFONE LIBERTEL N.V.</t>
        </is>
      </c>
      <c r="G91" s="76" t="inlineStr">
        <is>
          <t>Mantelovereenkomst Vodafone Telecommunicatiediensten 2005014, Prijslijst, SLA</t>
        </is>
      </c>
      <c r="H91" s="84" t="n">
        <v>39334</v>
      </c>
      <c r="I91" s="90" t="n">
        <v>59296</v>
      </c>
      <c r="J91" s="86" t="n">
        <v>1</v>
      </c>
      <c r="K91" s="76" t="n">
        <v>0</v>
      </c>
      <c r="L91" s="76" t="n"/>
      <c r="M91" s="76" t="n"/>
      <c r="N91" s="76" t="n"/>
      <c r="O91" s="76" t="inlineStr">
        <is>
          <t>B.057</t>
        </is>
      </c>
      <c r="P91" s="76" t="inlineStr">
        <is>
          <t>Terminate</t>
        </is>
      </c>
      <c r="Q91" s="76" t="inlineStr">
        <is>
          <t>at expiry</t>
        </is>
      </c>
      <c r="R91" s="76" t="inlineStr">
        <is>
          <t>TelCo</t>
        </is>
      </c>
      <c r="S91" s="87" t="n"/>
      <c r="T91" s="77" t="n"/>
    </row>
    <row r="92" ht="24" customHeight="1" s="69">
      <c r="A92" s="77" t="inlineStr">
        <is>
          <t>Voice</t>
        </is>
      </c>
      <c r="B92" s="76" t="n"/>
      <c r="C92" s="76" t="n"/>
      <c r="D92" s="76" t="inlineStr">
        <is>
          <t>NL</t>
        </is>
      </c>
      <c r="E92" s="76" t="inlineStr">
        <is>
          <t>WPS (CADS)</t>
        </is>
      </c>
      <c r="F92" s="76" t="inlineStr">
        <is>
          <t>XS4ALL</t>
        </is>
      </c>
      <c r="G92" s="76" t="inlineStr">
        <is>
          <t>ADSL Fast subscription</t>
        </is>
      </c>
      <c r="H92" s="84" t="n"/>
      <c r="I92" s="90" t="n">
        <v>482</v>
      </c>
      <c r="J92" s="92" t="n">
        <v>1</v>
      </c>
      <c r="K92" s="76" t="n"/>
      <c r="L92" s="76" t="n"/>
      <c r="M92" s="76" t="n"/>
      <c r="N92" s="76" t="n"/>
      <c r="O92" s="76" t="inlineStr">
        <is>
          <t>B.058</t>
        </is>
      </c>
      <c r="P92" s="76" t="inlineStr">
        <is>
          <t>Retained</t>
        </is>
      </c>
      <c r="Q92" s="76" t="n"/>
      <c r="R92" s="76" t="inlineStr">
        <is>
          <t>TelCo</t>
        </is>
      </c>
      <c r="S92" s="87" t="n"/>
      <c r="T92" s="76" t="n"/>
    </row>
    <row r="93" ht="24" customHeight="1" s="69">
      <c r="A93" s="77" t="inlineStr">
        <is>
          <t>DTHW</t>
        </is>
      </c>
      <c r="B93" s="76" t="n"/>
      <c r="C93" s="76" t="n">
        <v>2004913</v>
      </c>
      <c r="D93" s="76" t="inlineStr">
        <is>
          <t>NL</t>
        </is>
      </c>
      <c r="E93" s="76" t="n"/>
      <c r="F93" s="76" t="inlineStr">
        <is>
          <t>Sogeti</t>
        </is>
      </c>
      <c r="G93" s="76" t="inlineStr">
        <is>
          <t>Testing</t>
        </is>
      </c>
      <c r="H93" s="84" t="n">
        <v>38898</v>
      </c>
      <c r="I93" s="90" t="n">
        <v>73415</v>
      </c>
      <c r="J93" s="86" t="n">
        <v>1</v>
      </c>
      <c r="K93" s="76" t="n"/>
      <c r="L93" s="76" t="n"/>
      <c r="M93" s="76" t="n"/>
      <c r="N93" s="76" t="n"/>
      <c r="O93" s="76" t="inlineStr">
        <is>
          <t>B.200</t>
        </is>
      </c>
      <c r="P93" s="76" t="inlineStr">
        <is>
          <t>Terminate</t>
        </is>
      </c>
      <c r="Q93" s="76" t="inlineStr">
        <is>
          <t>at expiry</t>
        </is>
      </c>
      <c r="R93" s="76" t="inlineStr">
        <is>
          <t>VendorA</t>
        </is>
      </c>
      <c r="S93" s="87" t="n">
        <v>73145</v>
      </c>
    </row>
    <row r="94" ht="24" customHeight="1" s="69">
      <c r="A94" s="77" t="inlineStr">
        <is>
          <t>Server</t>
        </is>
      </c>
      <c r="B94" s="76" t="n"/>
      <c r="C94" s="76" t="n">
        <v>2004972</v>
      </c>
      <c r="D94" s="76" t="inlineStr">
        <is>
          <t>NL</t>
        </is>
      </c>
      <c r="E94" s="76" t="n"/>
      <c r="F94" s="76" t="inlineStr">
        <is>
          <t xml:space="preserve">Reisinformatiegroep </t>
        </is>
      </c>
      <c r="G94" s="76" t="inlineStr">
        <is>
          <t>9292 Professional</t>
        </is>
      </c>
      <c r="H94" s="84" t="n">
        <v>39429</v>
      </c>
      <c r="I94" s="90" t="n">
        <v>56</v>
      </c>
      <c r="J94" s="86" t="n">
        <v>1</v>
      </c>
      <c r="K94" s="76" t="n"/>
      <c r="L94" s="76" t="n"/>
      <c r="M94" s="76" t="n"/>
      <c r="N94" s="76" t="n"/>
      <c r="O94" s="76" t="inlineStr">
        <is>
          <t xml:space="preserve">B.201 </t>
        </is>
      </c>
      <c r="P94" s="76" t="inlineStr">
        <is>
          <t>Retained</t>
        </is>
      </c>
      <c r="Q94" s="76" t="n"/>
      <c r="R94" s="76" t="inlineStr">
        <is>
          <t>VendorA</t>
        </is>
      </c>
      <c r="S94" s="87" t="n"/>
    </row>
    <row r="95" ht="24" customHeight="1" s="69">
      <c r="A95" s="77" t="inlineStr">
        <is>
          <t>voice</t>
        </is>
      </c>
      <c r="B95" s="76" t="n">
        <v>5302</v>
      </c>
      <c r="C95" s="76" t="n">
        <v>2003611</v>
      </c>
      <c r="D95" s="76" t="inlineStr">
        <is>
          <t>BE</t>
        </is>
      </c>
      <c r="E95" s="76" t="n"/>
      <c r="F95" s="76" t="inlineStr">
        <is>
          <t>ACT/1</t>
        </is>
      </c>
      <c r="G95" s="76" t="inlineStr">
        <is>
          <t>ACT teleconferencing costs</t>
        </is>
      </c>
      <c r="H95" s="84" t="n">
        <v>38384</v>
      </c>
      <c r="I95" s="90" t="n">
        <v>625</v>
      </c>
      <c r="J95" s="86" t="n">
        <v>1</v>
      </c>
      <c r="K95" s="76" t="n"/>
      <c r="L95" s="76" t="inlineStr">
        <is>
          <t>30 days end of month</t>
        </is>
      </c>
      <c r="M95" s="76" t="n"/>
      <c r="N95" s="76" t="n"/>
      <c r="O95" s="76" t="inlineStr">
        <is>
          <t>B.BE.001</t>
        </is>
      </c>
      <c r="P95" s="76" t="inlineStr">
        <is>
          <t>Retained</t>
        </is>
      </c>
      <c r="Q95" s="76" t="n"/>
      <c r="R95" s="76" t="inlineStr">
        <is>
          <t>TelCo</t>
        </is>
      </c>
      <c r="S95" s="87" t="n"/>
      <c r="T95" s="77" t="n"/>
    </row>
    <row r="96" ht="48" customHeight="1" s="69">
      <c r="A96" s="77" t="inlineStr">
        <is>
          <t>voice</t>
        </is>
      </c>
      <c r="B96" s="76" t="n">
        <v>1660</v>
      </c>
      <c r="C96" s="76" t="inlineStr">
        <is>
          <t>000175</t>
        </is>
      </c>
      <c r="D96" s="76" t="inlineStr">
        <is>
          <t>BE</t>
        </is>
      </c>
      <c r="E96" s="76" t="n"/>
      <c r="F96" s="76" t="inlineStr">
        <is>
          <t>Ascom Nira</t>
        </is>
      </c>
      <c r="G96" s="76" t="inlineStr">
        <is>
          <t>Onderhoudskontrakt Personenbeveiligingssysteem 'Teleprotect'</t>
        </is>
      </c>
      <c r="H96" s="84" t="n">
        <v>39447</v>
      </c>
      <c r="I96" s="90" t="n">
        <v>253.088333333333</v>
      </c>
      <c r="J96" s="86" t="n">
        <v>1</v>
      </c>
      <c r="K96" s="76" t="n"/>
      <c r="L96" s="76" t="n"/>
      <c r="M96" s="76" t="n"/>
      <c r="N96" s="76" t="n"/>
      <c r="O96" s="76" t="inlineStr">
        <is>
          <t>B.BE.002</t>
        </is>
      </c>
      <c r="P96" s="76" t="inlineStr">
        <is>
          <t>Retained</t>
        </is>
      </c>
      <c r="Q96" s="76" t="n"/>
      <c r="R96" s="76" t="inlineStr">
        <is>
          <t>TelCo</t>
        </is>
      </c>
      <c r="S96" s="87" t="n"/>
      <c r="T96" s="77" t="n"/>
    </row>
    <row r="97" ht="48.6" customHeight="1" s="69">
      <c r="A97" s="77" t="inlineStr">
        <is>
          <t>voice</t>
        </is>
      </c>
      <c r="B97" s="76" t="n">
        <v>1875</v>
      </c>
      <c r="C97" s="76" t="inlineStr">
        <is>
          <t>000176</t>
        </is>
      </c>
      <c r="D97" s="76" t="inlineStr">
        <is>
          <t>BE</t>
        </is>
      </c>
      <c r="E97" s="76" t="n"/>
      <c r="F97" s="76" t="inlineStr">
        <is>
          <t>Ascom Nira</t>
        </is>
      </c>
      <c r="G97" s="76" t="inlineStr">
        <is>
          <t>Uitbreiding personenbeveiligingssysteem 'Teleprotect'</t>
        </is>
      </c>
      <c r="H97" s="84" t="n">
        <v>39447</v>
      </c>
      <c r="I97" s="90" t="n">
        <v>38.2702083333333</v>
      </c>
      <c r="J97" s="86" t="n">
        <v>1</v>
      </c>
      <c r="K97" s="76" t="n"/>
      <c r="L97" s="76" t="n"/>
      <c r="M97" s="76" t="n"/>
      <c r="N97" s="76" t="n"/>
      <c r="O97" s="76" t="inlineStr">
        <is>
          <t>B.BE.003</t>
        </is>
      </c>
      <c r="P97" s="76" t="inlineStr">
        <is>
          <t>Retained</t>
        </is>
      </c>
      <c r="Q97" s="76" t="n"/>
      <c r="R97" s="76" t="inlineStr">
        <is>
          <t>TelCo</t>
        </is>
      </c>
      <c r="S97" s="87" t="n"/>
      <c r="T97" s="77" t="n"/>
    </row>
    <row r="98" ht="24" customHeight="1" s="69">
      <c r="A98" s="77" t="inlineStr">
        <is>
          <t>SD</t>
        </is>
      </c>
      <c r="B98" s="76" t="n">
        <v>0</v>
      </c>
      <c r="C98" s="76" t="n"/>
      <c r="D98" s="76" t="inlineStr">
        <is>
          <t>BE</t>
        </is>
      </c>
      <c r="E98" s="76" t="n"/>
      <c r="F98" s="76" t="inlineStr">
        <is>
          <t>Contraste</t>
        </is>
      </c>
      <c r="G98" s="76" t="inlineStr">
        <is>
          <t>nightshifts</t>
        </is>
      </c>
      <c r="H98" s="84" t="n">
        <v>39386</v>
      </c>
      <c r="I98" s="90" t="n">
        <v>11000</v>
      </c>
      <c r="J98" s="92" t="n">
        <v>0.65</v>
      </c>
      <c r="K98" s="76" t="n"/>
      <c r="L98" s="76" t="n"/>
      <c r="M98" s="76" t="n"/>
      <c r="N98" s="76" t="n"/>
      <c r="O98" s="76" t="inlineStr">
        <is>
          <t>B.BE.008.II</t>
        </is>
      </c>
      <c r="P98" s="76" t="inlineStr">
        <is>
          <t>Terminate</t>
        </is>
      </c>
      <c r="Q98" s="76" t="inlineStr">
        <is>
          <t>at expiry</t>
        </is>
      </c>
      <c r="R98" s="76" t="inlineStr">
        <is>
          <t>Vendor Gamma</t>
        </is>
      </c>
      <c r="S98" s="87">
        <f>2350588/8</f>
        <v/>
      </c>
    </row>
    <row r="99" ht="24" customHeight="1" s="69">
      <c r="A99" s="77" t="inlineStr">
        <is>
          <t>SD</t>
        </is>
      </c>
      <c r="B99" s="76" t="n">
        <v>0</v>
      </c>
      <c r="C99" s="76" t="n"/>
      <c r="D99" s="76" t="inlineStr">
        <is>
          <t>BE</t>
        </is>
      </c>
      <c r="E99" s="76" t="n"/>
      <c r="F99" s="76" t="inlineStr">
        <is>
          <t>Contraste</t>
        </is>
      </c>
      <c r="G99" s="76" t="inlineStr">
        <is>
          <t>Additional resource for exchange</t>
        </is>
      </c>
      <c r="H99" s="84" t="n">
        <v>39386</v>
      </c>
      <c r="I99" s="90" t="n">
        <v>9000</v>
      </c>
      <c r="J99" s="92" t="n">
        <v>0.65</v>
      </c>
      <c r="K99" s="76" t="n"/>
      <c r="L99" s="76" t="n"/>
      <c r="M99" s="76" t="n"/>
      <c r="N99" s="76" t="n"/>
      <c r="O99" s="76" t="inlineStr">
        <is>
          <t>B.BE.009.II</t>
        </is>
      </c>
      <c r="P99" s="76" t="inlineStr">
        <is>
          <t>Terminate</t>
        </is>
      </c>
      <c r="Q99" s="76" t="inlineStr">
        <is>
          <t>at expiry</t>
        </is>
      </c>
      <c r="R99" s="76" t="inlineStr">
        <is>
          <t>Vendor Gamma</t>
        </is>
      </c>
      <c r="S99" s="87" t="inlineStr">
        <is>
          <t>included in B.BE.008 II</t>
        </is>
      </c>
    </row>
    <row r="100" ht="24" customHeight="1" s="69">
      <c r="A100" s="77" t="inlineStr">
        <is>
          <t>SD</t>
        </is>
      </c>
      <c r="B100" s="76" t="n">
        <v>2783</v>
      </c>
      <c r="C100" s="76" t="n">
        <v>287</v>
      </c>
      <c r="D100" s="76" t="inlineStr">
        <is>
          <t>BE</t>
        </is>
      </c>
      <c r="E100" s="76" t="n"/>
      <c r="F100" s="76" t="inlineStr">
        <is>
          <t>Contraste/2</t>
        </is>
      </c>
      <c r="G100" s="76" t="inlineStr">
        <is>
          <t>overtime and on call</t>
        </is>
      </c>
      <c r="H100" s="84" t="n">
        <v>39386</v>
      </c>
      <c r="I100" s="90" t="n">
        <v>5870</v>
      </c>
      <c r="J100" s="92" t="n">
        <v>0.65</v>
      </c>
      <c r="K100" s="76" t="n"/>
      <c r="L100" s="76" t="n"/>
      <c r="M100" s="76" t="n"/>
      <c r="N100" s="76" t="n"/>
      <c r="O100" s="76" t="inlineStr">
        <is>
          <t>B.BE.010</t>
        </is>
      </c>
      <c r="P100" s="76" t="inlineStr">
        <is>
          <t>Terminate</t>
        </is>
      </c>
      <c r="Q100" s="76" t="inlineStr">
        <is>
          <t>at expiry</t>
        </is>
      </c>
      <c r="R100" s="76" t="inlineStr">
        <is>
          <t>Vendor Gamma</t>
        </is>
      </c>
      <c r="S100" s="87" t="inlineStr">
        <is>
          <t>included in B.BE.008 II</t>
        </is>
      </c>
    </row>
    <row r="101" ht="24" customHeight="1" s="69">
      <c r="A101" s="77" t="inlineStr">
        <is>
          <t>SD</t>
        </is>
      </c>
      <c r="B101" s="76" t="inlineStr">
        <is>
          <t>000287</t>
        </is>
      </c>
      <c r="C101" s="103" t="inlineStr">
        <is>
          <t>000287</t>
        </is>
      </c>
      <c r="D101" s="76" t="inlineStr">
        <is>
          <t>BE</t>
        </is>
      </c>
      <c r="E101" s="76" t="n"/>
      <c r="F101" s="76" t="inlineStr">
        <is>
          <t>Contraste/2</t>
        </is>
      </c>
      <c r="G101" s="76" t="inlineStr">
        <is>
          <t>FLITS HQ</t>
        </is>
      </c>
      <c r="H101" s="84" t="n">
        <v>39386</v>
      </c>
      <c r="I101" s="90" t="n">
        <v>59751</v>
      </c>
      <c r="J101" s="92" t="n">
        <v>0.65</v>
      </c>
      <c r="K101" s="76" t="n"/>
      <c r="L101" s="76" t="n"/>
      <c r="M101" s="76" t="n"/>
      <c r="N101" s="76" t="n"/>
      <c r="O101" s="76" t="inlineStr">
        <is>
          <t>B.BE.010.I</t>
        </is>
      </c>
      <c r="P101" s="76" t="inlineStr">
        <is>
          <t>Terminate</t>
        </is>
      </c>
      <c r="Q101" s="76" t="inlineStr">
        <is>
          <t>at expiry</t>
        </is>
      </c>
      <c r="R101" s="76" t="inlineStr">
        <is>
          <t>Vendor Gamma</t>
        </is>
      </c>
      <c r="S101" s="87" t="inlineStr">
        <is>
          <t>included in B.BE.008 II</t>
        </is>
      </c>
    </row>
    <row r="102" ht="24" customHeight="1" s="69">
      <c r="A102" s="77" t="inlineStr">
        <is>
          <t>SD</t>
        </is>
      </c>
      <c r="B102" s="76" t="inlineStr">
        <is>
          <t>000287</t>
        </is>
      </c>
      <c r="C102" s="103" t="inlineStr">
        <is>
          <t>000287</t>
        </is>
      </c>
      <c r="D102" s="76" t="inlineStr">
        <is>
          <t>BE</t>
        </is>
      </c>
      <c r="E102" s="76" t="n"/>
      <c r="F102" s="76" t="inlineStr">
        <is>
          <t>Contraste/2</t>
        </is>
      </c>
      <c r="G102" s="76" t="inlineStr">
        <is>
          <t>Frontline upgrade 7500 calls</t>
        </is>
      </c>
      <c r="H102" s="84" t="n">
        <v>39386</v>
      </c>
      <c r="I102" s="90" t="n">
        <v>82888</v>
      </c>
      <c r="J102" s="92" t="n">
        <v>0.65</v>
      </c>
      <c r="K102" s="76" t="n"/>
      <c r="L102" s="76" t="n"/>
      <c r="M102" s="76" t="n"/>
      <c r="N102" s="76" t="n"/>
      <c r="O102" s="76" t="inlineStr">
        <is>
          <t>B.BE.010.II</t>
        </is>
      </c>
      <c r="P102" s="76" t="inlineStr">
        <is>
          <t>Terminate</t>
        </is>
      </c>
      <c r="Q102" s="76" t="inlineStr">
        <is>
          <t>at expiry</t>
        </is>
      </c>
      <c r="R102" s="76" t="inlineStr">
        <is>
          <t>Vendor Gamma</t>
        </is>
      </c>
      <c r="S102" s="87" t="inlineStr">
        <is>
          <t>included in B.BE.008 II</t>
        </is>
      </c>
      <c r="FA102" s="77" t="n"/>
      <c r="FB102" s="77" t="n"/>
      <c r="FC102" s="76" t="n"/>
    </row>
    <row r="103" ht="24" customHeight="1" s="69">
      <c r="A103" s="77" t="inlineStr">
        <is>
          <t>SD</t>
        </is>
      </c>
      <c r="B103" s="76" t="inlineStr">
        <is>
          <t>000287</t>
        </is>
      </c>
      <c r="C103" s="103" t="inlineStr">
        <is>
          <t>000287</t>
        </is>
      </c>
      <c r="D103" s="76" t="inlineStr">
        <is>
          <t>BE</t>
        </is>
      </c>
      <c r="E103" s="76" t="n"/>
      <c r="F103" s="76" t="inlineStr">
        <is>
          <t>Contraste/2</t>
        </is>
      </c>
      <c r="G103" s="76" t="inlineStr">
        <is>
          <t>EuroBank Insurrance</t>
        </is>
      </c>
      <c r="H103" s="84" t="n">
        <v>39386</v>
      </c>
      <c r="I103" s="90" t="n">
        <v>15034</v>
      </c>
      <c r="J103" s="92" t="n">
        <v>0.65</v>
      </c>
      <c r="K103" s="76" t="n"/>
      <c r="L103" s="76" t="n"/>
      <c r="M103" s="76" t="n"/>
      <c r="N103" s="76" t="n"/>
      <c r="O103" s="76" t="inlineStr">
        <is>
          <t>B.BE.010.III</t>
        </is>
      </c>
      <c r="P103" s="76" t="inlineStr">
        <is>
          <t>Terminate</t>
        </is>
      </c>
      <c r="Q103" s="76" t="inlineStr">
        <is>
          <t>at expiry</t>
        </is>
      </c>
      <c r="R103" s="76" t="inlineStr">
        <is>
          <t>Vendor Gamma</t>
        </is>
      </c>
      <c r="S103" s="87" t="inlineStr">
        <is>
          <t>included in B.BE.008 II</t>
        </is>
      </c>
    </row>
    <row r="104" ht="24" customHeight="1" s="69">
      <c r="A104" s="77" t="inlineStr">
        <is>
          <t>SD</t>
        </is>
      </c>
      <c r="B104" s="76" t="inlineStr">
        <is>
          <t>000287</t>
        </is>
      </c>
      <c r="C104" s="103" t="inlineStr">
        <is>
          <t>000287</t>
        </is>
      </c>
      <c r="D104" s="76" t="inlineStr">
        <is>
          <t>BE</t>
        </is>
      </c>
      <c r="E104" s="76" t="n"/>
      <c r="F104" s="76" t="inlineStr">
        <is>
          <t>Contraste/2</t>
        </is>
      </c>
      <c r="G104" s="76" t="inlineStr">
        <is>
          <t>EuroBank Insurrance add</t>
        </is>
      </c>
      <c r="H104" s="84" t="n">
        <v>39386</v>
      </c>
      <c r="I104" s="90" t="n">
        <v>15450</v>
      </c>
      <c r="J104" s="92" t="n">
        <v>0.65</v>
      </c>
      <c r="K104" s="76" t="n"/>
      <c r="L104" s="76" t="n"/>
      <c r="M104" s="76" t="n"/>
      <c r="N104" s="76" t="n"/>
      <c r="O104" s="76" t="inlineStr">
        <is>
          <t>B.BE.010.IV</t>
        </is>
      </c>
      <c r="P104" s="76" t="inlineStr">
        <is>
          <t>Terminate</t>
        </is>
      </c>
      <c r="Q104" s="76" t="inlineStr">
        <is>
          <t>at expiry</t>
        </is>
      </c>
      <c r="R104" s="76" t="inlineStr">
        <is>
          <t>Vendor Gamma</t>
        </is>
      </c>
      <c r="S104" s="87" t="inlineStr">
        <is>
          <t>included in B.BE.008 II</t>
        </is>
      </c>
    </row>
    <row r="105" ht="24" customHeight="1" s="69">
      <c r="A105" s="77" t="inlineStr">
        <is>
          <t>SD</t>
        </is>
      </c>
      <c r="B105" s="76" t="n">
        <v>1775</v>
      </c>
      <c r="C105" s="103" t="inlineStr">
        <is>
          <t>000289</t>
        </is>
      </c>
      <c r="D105" s="76" t="inlineStr">
        <is>
          <t>BE</t>
        </is>
      </c>
      <c r="E105" s="76" t="n"/>
      <c r="F105" s="76" t="inlineStr">
        <is>
          <t>Contraste/4</t>
        </is>
      </c>
      <c r="G105" s="76" t="inlineStr">
        <is>
          <t>Services Helpdesk Branches (BB 935,030,00401,72)</t>
        </is>
      </c>
      <c r="H105" s="84" t="n">
        <v>39386</v>
      </c>
      <c r="I105" s="90" t="n">
        <v>79593</v>
      </c>
      <c r="J105" s="92" t="n">
        <v>0.65</v>
      </c>
      <c r="K105" s="76" t="n"/>
      <c r="L105" s="76" t="n"/>
      <c r="M105" s="76" t="n"/>
      <c r="N105" s="76" t="n"/>
      <c r="O105" s="76" t="inlineStr">
        <is>
          <t>B.BE.011</t>
        </is>
      </c>
      <c r="P105" s="76" t="inlineStr">
        <is>
          <t>Terminate</t>
        </is>
      </c>
      <c r="Q105" s="76" t="inlineStr">
        <is>
          <t>at expiry</t>
        </is>
      </c>
      <c r="R105" s="76" t="inlineStr">
        <is>
          <t>Vendor Gamma</t>
        </is>
      </c>
      <c r="S105" s="87" t="inlineStr">
        <is>
          <t>included in B.BE.008 II</t>
        </is>
      </c>
    </row>
    <row r="106" ht="24" customHeight="1" s="69">
      <c r="A106" s="77" t="inlineStr">
        <is>
          <t>SD</t>
        </is>
      </c>
      <c r="B106" s="76" t="n"/>
      <c r="C106" s="76" t="inlineStr">
        <is>
          <t>001543</t>
        </is>
      </c>
      <c r="D106" s="76" t="inlineStr">
        <is>
          <t>BE</t>
        </is>
      </c>
      <c r="E106" s="76" t="n"/>
      <c r="F106" s="76" t="inlineStr">
        <is>
          <t>Contraste/6</t>
        </is>
      </c>
      <c r="G106" s="107" t="inlineStr">
        <is>
          <t>Incident Follow-up extension SYS admin
7 maanden incident follow up: 21753,33
7 maanden SYSadmin: 15687,50
Totaal bedrag: 26.2085,81</t>
        </is>
      </c>
      <c r="H106" s="84" t="n">
        <v>39386</v>
      </c>
      <c r="I106" s="90" t="n">
        <v>22293</v>
      </c>
      <c r="J106" s="92" t="n">
        <v>0.65</v>
      </c>
      <c r="K106" s="76" t="n"/>
      <c r="L106" s="76" t="n"/>
      <c r="M106" s="76" t="n"/>
      <c r="N106" s="76" t="n"/>
      <c r="O106" s="76" t="inlineStr">
        <is>
          <t>B.BE.012</t>
        </is>
      </c>
      <c r="P106" s="76" t="inlineStr">
        <is>
          <t>Terminate</t>
        </is>
      </c>
      <c r="Q106" s="76" t="inlineStr">
        <is>
          <t>at expiry</t>
        </is>
      </c>
      <c r="R106" s="76" t="inlineStr">
        <is>
          <t>Vendor Gamma</t>
        </is>
      </c>
      <c r="S106" s="87" t="inlineStr">
        <is>
          <t>included in B.BE.008 II</t>
        </is>
      </c>
    </row>
    <row r="107" ht="24" customHeight="1" s="69">
      <c r="A107" s="77" t="inlineStr">
        <is>
          <t>voice</t>
        </is>
      </c>
      <c r="B107" s="76" t="n">
        <v>2115</v>
      </c>
      <c r="C107" s="76" t="n"/>
      <c r="D107" s="76" t="inlineStr">
        <is>
          <t>BE</t>
        </is>
      </c>
      <c r="E107" s="76" t="n"/>
      <c r="F107" s="76" t="inlineStr">
        <is>
          <t>DAMOVO/15</t>
        </is>
      </c>
      <c r="G107" s="76" t="inlineStr">
        <is>
          <t xml:space="preserve">Services d'assistance   </t>
        </is>
      </c>
      <c r="H107" s="84" t="n">
        <v>39447</v>
      </c>
      <c r="I107" s="90" t="n">
        <v>11778.25</v>
      </c>
      <c r="J107" s="86" t="n">
        <v>1</v>
      </c>
      <c r="K107" s="76" t="n"/>
      <c r="L107" s="76" t="inlineStr">
        <is>
          <t>30 days end of month</t>
        </is>
      </c>
      <c r="M107" s="76" t="n"/>
      <c r="N107" s="76" t="n"/>
      <c r="O107" s="76" t="inlineStr">
        <is>
          <t>B.BE.013</t>
        </is>
      </c>
      <c r="P107" s="76" t="inlineStr">
        <is>
          <t>Terminate</t>
        </is>
      </c>
      <c r="Q107" s="76" t="inlineStr">
        <is>
          <t>at expiry</t>
        </is>
      </c>
      <c r="R107" s="76" t="inlineStr">
        <is>
          <t>TelCo</t>
        </is>
      </c>
      <c r="S107" s="87" t="n">
        <v>11778</v>
      </c>
      <c r="T107" s="77" t="n"/>
    </row>
    <row r="108" ht="24" customHeight="1" s="69">
      <c r="A108" s="77" t="inlineStr">
        <is>
          <t>Server</t>
        </is>
      </c>
      <c r="B108" s="76" t="n">
        <v>6788</v>
      </c>
      <c r="C108" s="76" t="n"/>
      <c r="D108" s="76" t="inlineStr">
        <is>
          <t>BE</t>
        </is>
      </c>
      <c r="E108" s="76" t="n"/>
      <c r="F108" s="76" t="inlineStr">
        <is>
          <t>EuroBank COMP LEASE/102</t>
        </is>
      </c>
      <c r="G108" s="76" t="inlineStr">
        <is>
          <t>Gresham License Tier 1 104-201-37</t>
        </is>
      </c>
      <c r="H108" s="84" t="n">
        <v>39294</v>
      </c>
      <c r="I108" s="90" t="n">
        <v>506</v>
      </c>
      <c r="J108" s="92" t="n">
        <v>1</v>
      </c>
      <c r="K108" s="76" t="n"/>
      <c r="L108" s="76" t="inlineStr">
        <is>
          <t>net on receipt invoice</t>
        </is>
      </c>
      <c r="M108" s="76" t="n"/>
      <c r="N108" s="76" t="n"/>
      <c r="O108" s="76" t="inlineStr">
        <is>
          <t>B.BE.043</t>
        </is>
      </c>
      <c r="P108" s="76" t="inlineStr">
        <is>
          <t>Terminate</t>
        </is>
      </c>
      <c r="Q108" s="76" t="inlineStr">
        <is>
          <t>at expiry</t>
        </is>
      </c>
      <c r="R108" s="76" t="inlineStr">
        <is>
          <t>VendorA</t>
        </is>
      </c>
      <c r="S108" s="87" t="n"/>
    </row>
    <row r="109" ht="24" customHeight="1" s="69">
      <c r="A109" s="77" t="inlineStr">
        <is>
          <t>DTHW</t>
        </is>
      </c>
      <c r="B109" s="76" t="n">
        <v>1424</v>
      </c>
      <c r="C109" s="76" t="n"/>
      <c r="D109" s="76" t="inlineStr">
        <is>
          <t>BE</t>
        </is>
      </c>
      <c r="E109" s="76" t="n"/>
      <c r="F109" s="76" t="inlineStr">
        <is>
          <t>EuroBank COMP LEASE/4</t>
        </is>
      </c>
      <c r="G109" s="76" t="inlineStr">
        <is>
          <t>Lease Contract for PC equipment 100-202-29</t>
        </is>
      </c>
      <c r="H109" s="84" t="n">
        <v>38717</v>
      </c>
      <c r="I109" s="90" t="n">
        <v>2.89</v>
      </c>
      <c r="J109" s="86" t="n">
        <v>1</v>
      </c>
      <c r="K109" s="76" t="n"/>
      <c r="L109" s="76" t="inlineStr">
        <is>
          <t>30 days invoice date</t>
        </is>
      </c>
      <c r="M109" s="76" t="n"/>
      <c r="N109" s="76" t="n"/>
      <c r="O109" s="76" t="inlineStr">
        <is>
          <t>B.BE.063</t>
        </is>
      </c>
      <c r="P109" s="76" t="inlineStr">
        <is>
          <t>Terminate</t>
        </is>
      </c>
      <c r="Q109" s="76" t="inlineStr">
        <is>
          <t>at expiry</t>
        </is>
      </c>
      <c r="R109" s="76" t="inlineStr">
        <is>
          <t>Vendor Gamma</t>
        </is>
      </c>
      <c r="S109" s="87" t="n"/>
      <c r="EP109" s="77" t="n"/>
      <c r="EQ109" s="77" t="n"/>
      <c r="ER109" s="76" t="n"/>
      <c r="FA109" s="77" t="n"/>
      <c r="FB109" s="77" t="n"/>
      <c r="FC109" s="76" t="n"/>
    </row>
    <row r="110" ht="24" customHeight="1" s="69">
      <c r="A110" s="95" t="inlineStr">
        <is>
          <t>Voice</t>
        </is>
      </c>
      <c r="B110" s="96" t="n">
        <v>6805</v>
      </c>
      <c r="C110" s="96" t="n">
        <v>805</v>
      </c>
      <c r="D110" s="96" t="inlineStr">
        <is>
          <t>BE</t>
        </is>
      </c>
      <c r="E110" s="96" t="n"/>
      <c r="F110" s="96" t="inlineStr">
        <is>
          <t>TelCo/1</t>
        </is>
      </c>
      <c r="G110" s="96" t="inlineStr">
        <is>
          <t>ISDN aansluiting in Nederland voor IIB+communicatie vr dhr Vernimmen</t>
        </is>
      </c>
      <c r="H110" s="97" t="n"/>
      <c r="I110" s="106" t="n">
        <v>125</v>
      </c>
      <c r="J110" s="99" t="n">
        <v>1</v>
      </c>
      <c r="K110" s="96" t="n"/>
      <c r="L110" s="96" t="inlineStr">
        <is>
          <t>14 days date of invoice</t>
        </is>
      </c>
      <c r="M110" s="96" t="n"/>
      <c r="N110" s="96" t="n"/>
      <c r="O110" s="96" t="inlineStr">
        <is>
          <t>B.BE.080</t>
        </is>
      </c>
      <c r="P110" s="96" t="inlineStr">
        <is>
          <t>Novate</t>
        </is>
      </c>
      <c r="Q110" s="96" t="n"/>
      <c r="R110" s="96" t="inlineStr">
        <is>
          <t>TelCo</t>
        </is>
      </c>
      <c r="S110" s="100" t="n"/>
      <c r="T110" s="76" t="n"/>
    </row>
    <row r="111" ht="24" customHeight="1" s="69">
      <c r="A111" s="77" t="inlineStr">
        <is>
          <t>voice</t>
        </is>
      </c>
      <c r="B111" s="76" t="n">
        <v>3241</v>
      </c>
      <c r="C111" s="76" t="n"/>
      <c r="D111" s="76" t="inlineStr">
        <is>
          <t>BE</t>
        </is>
      </c>
      <c r="E111" s="76" t="n"/>
      <c r="F111" s="76" t="inlineStr">
        <is>
          <t>MOBISTAR/2</t>
        </is>
      </c>
      <c r="G111" s="76" t="inlineStr">
        <is>
          <t>Mobiele en fix communicatie    fiche S. Jacoby</t>
        </is>
      </c>
      <c r="H111" s="84" t="n">
        <v>39265</v>
      </c>
      <c r="I111" s="90" t="n">
        <v>93691</v>
      </c>
      <c r="J111" s="86" t="n">
        <v>1</v>
      </c>
      <c r="K111" s="76" t="n"/>
      <c r="L111" s="76" t="n"/>
      <c r="M111" s="76" t="n"/>
      <c r="N111" s="76" t="n"/>
      <c r="O111" s="76" t="inlineStr">
        <is>
          <t>B.BE.081</t>
        </is>
      </c>
      <c r="P111" s="76" t="inlineStr">
        <is>
          <t>Terminate</t>
        </is>
      </c>
      <c r="Q111" s="76" t="inlineStr">
        <is>
          <t>at expiry</t>
        </is>
      </c>
      <c r="R111" s="76" t="inlineStr">
        <is>
          <t>TelCo</t>
        </is>
      </c>
      <c r="S111" s="108" t="inlineStr">
        <is>
          <t>no charge communications and subscriptions during termination</t>
        </is>
      </c>
      <c r="T111" s="77" t="n"/>
    </row>
    <row r="112" ht="24" customHeight="1" s="69">
      <c r="A112" s="77" t="inlineStr">
        <is>
          <t>voice</t>
        </is>
      </c>
      <c r="B112" s="76" t="n">
        <v>5960</v>
      </c>
      <c r="C112" s="76" t="n"/>
      <c r="D112" s="76" t="inlineStr">
        <is>
          <t>BE</t>
        </is>
      </c>
      <c r="E112" s="76" t="n"/>
      <c r="F112" s="76" t="inlineStr">
        <is>
          <t>PROXIMUS/2</t>
        </is>
      </c>
      <c r="G112" s="76" t="inlineStr">
        <is>
          <t>Mobiele communicatie    Fiche S. Jacoby</t>
        </is>
      </c>
      <c r="H112" s="84" t="n">
        <v>39268</v>
      </c>
      <c r="I112" s="90" t="n">
        <v>53384.0416666667</v>
      </c>
      <c r="J112" s="86" t="n">
        <v>1</v>
      </c>
      <c r="K112" s="76" t="n"/>
      <c r="L112" s="76" t="n"/>
      <c r="M112" s="76" t="n"/>
      <c r="N112" s="76" t="n"/>
      <c r="O112" s="76" t="inlineStr">
        <is>
          <t>B.BE.083</t>
        </is>
      </c>
      <c r="P112" s="76" t="inlineStr">
        <is>
          <t>Terminate</t>
        </is>
      </c>
      <c r="Q112" s="76" t="inlineStr">
        <is>
          <t>at expiry</t>
        </is>
      </c>
      <c r="R112" s="76" t="inlineStr">
        <is>
          <t>TelCo</t>
        </is>
      </c>
      <c r="S112" s="108" t="inlineStr">
        <is>
          <t>no charge communications and subscriptions during termination</t>
        </is>
      </c>
      <c r="T112" s="77" t="n"/>
    </row>
    <row r="113" ht="24" customHeight="1" s="69">
      <c r="A113" s="77" t="inlineStr">
        <is>
          <t>voice</t>
        </is>
      </c>
      <c r="B113" s="76" t="n">
        <v>2071</v>
      </c>
      <c r="C113" s="76" t="n"/>
      <c r="D113" s="76" t="inlineStr">
        <is>
          <t>BE</t>
        </is>
      </c>
      <c r="E113" s="76" t="n"/>
      <c r="F113" s="76" t="inlineStr">
        <is>
          <t>MOBISTAR/1</t>
        </is>
      </c>
      <c r="G113" s="76" t="inlineStr">
        <is>
          <t>Mobil calls tarifs</t>
        </is>
      </c>
      <c r="H113" s="84" t="n">
        <v>39265</v>
      </c>
      <c r="I113" s="90" t="n">
        <v>66346</v>
      </c>
      <c r="J113" s="92" t="n">
        <v>1</v>
      </c>
      <c r="K113" s="76" t="n"/>
      <c r="L113" s="76" t="inlineStr">
        <is>
          <t>30 JOURS FIN DE MOIS</t>
        </is>
      </c>
      <c r="M113" s="76" t="n"/>
      <c r="N113" s="76" t="n"/>
      <c r="O113" s="76" t="inlineStr">
        <is>
          <t>B.BE.100</t>
        </is>
      </c>
      <c r="P113" s="76" t="inlineStr">
        <is>
          <t>Terminate</t>
        </is>
      </c>
      <c r="Q113" s="76" t="inlineStr">
        <is>
          <t>at expiry</t>
        </is>
      </c>
      <c r="R113" s="76" t="inlineStr">
        <is>
          <t>TelCo</t>
        </is>
      </c>
      <c r="S113" s="108" t="inlineStr">
        <is>
          <t>no charge communications and subscriptions during termination</t>
        </is>
      </c>
      <c r="T113" s="77" t="n"/>
    </row>
    <row r="114" ht="24" customHeight="1" s="69">
      <c r="A114" s="77" t="inlineStr">
        <is>
          <t>voice</t>
        </is>
      </c>
      <c r="B114" s="76" t="n">
        <v>6053</v>
      </c>
      <c r="C114" s="76" t="n">
        <v>2002556</v>
      </c>
      <c r="D114" s="76" t="inlineStr">
        <is>
          <t>BE</t>
        </is>
      </c>
      <c r="E114" s="76" t="n"/>
      <c r="F114" s="76" t="inlineStr">
        <is>
          <t>PROXIMUS/1</t>
        </is>
      </c>
      <c r="G114" s="76" t="inlineStr">
        <is>
          <t>Tariffs mobile calls</t>
        </is>
      </c>
      <c r="H114" s="84" t="n">
        <v>39268</v>
      </c>
      <c r="I114" s="90" t="n">
        <v>7360</v>
      </c>
      <c r="J114" s="92" t="n">
        <v>1</v>
      </c>
      <c r="K114" s="76" t="n"/>
      <c r="L114" s="76" t="inlineStr">
        <is>
          <t>30 days end of month</t>
        </is>
      </c>
      <c r="M114" s="76" t="n"/>
      <c r="N114" s="76" t="n"/>
      <c r="O114" s="76" t="inlineStr">
        <is>
          <t>B.BE.101</t>
        </is>
      </c>
      <c r="P114" s="76" t="inlineStr">
        <is>
          <t>Terminate</t>
        </is>
      </c>
      <c r="Q114" s="76" t="inlineStr">
        <is>
          <t>at expiry</t>
        </is>
      </c>
      <c r="R114" s="76" t="inlineStr">
        <is>
          <t>TelCo</t>
        </is>
      </c>
      <c r="S114" s="108" t="inlineStr">
        <is>
          <t>no charge communications and subscriptions during termination</t>
        </is>
      </c>
      <c r="T114" s="77" t="n"/>
    </row>
    <row r="115" ht="24" customHeight="1" s="69">
      <c r="A115" s="77" t="inlineStr">
        <is>
          <t>voice</t>
        </is>
      </c>
      <c r="B115" s="76" t="n">
        <v>1539</v>
      </c>
      <c r="C115" s="76" t="n"/>
      <c r="D115" s="76" t="inlineStr">
        <is>
          <t>BE</t>
        </is>
      </c>
      <c r="E115" s="76" t="n"/>
      <c r="F115" s="76" t="inlineStr">
        <is>
          <t>PROXIMUS/3</t>
        </is>
      </c>
      <c r="G115" s="76" t="inlineStr">
        <is>
          <t>Abonnement 3G 100 Mb (50eur/month)    935.040.00456.57</t>
        </is>
      </c>
      <c r="H115" s="84" t="n">
        <v>39263</v>
      </c>
      <c r="I115" s="90" t="n">
        <v>63</v>
      </c>
      <c r="J115" s="92" t="n">
        <v>1</v>
      </c>
      <c r="K115" s="76" t="n"/>
      <c r="L115" s="76" t="n"/>
      <c r="M115" s="76" t="n"/>
      <c r="N115" s="76" t="n"/>
      <c r="O115" s="76" t="inlineStr">
        <is>
          <t>B.BE.102</t>
        </is>
      </c>
      <c r="P115" s="76" t="inlineStr">
        <is>
          <t>Terminate</t>
        </is>
      </c>
      <c r="Q115" s="76" t="inlineStr">
        <is>
          <t>at expiry</t>
        </is>
      </c>
      <c r="R115" s="76" t="inlineStr">
        <is>
          <t>TelCo</t>
        </is>
      </c>
      <c r="S115" s="108" t="inlineStr">
        <is>
          <t>no charge communications and subscriptions during termination</t>
        </is>
      </c>
      <c r="T115" s="77" t="n"/>
    </row>
    <row r="116" ht="24" customHeight="1" s="69">
      <c r="A116" s="77" t="inlineStr">
        <is>
          <t>Voice</t>
        </is>
      </c>
      <c r="B116" s="76" t="n">
        <v>1889</v>
      </c>
      <c r="C116" s="76" t="n"/>
      <c r="D116" s="76" t="inlineStr">
        <is>
          <t>BE</t>
        </is>
      </c>
      <c r="E116" s="76" t="n"/>
      <c r="F116" s="76" t="inlineStr">
        <is>
          <t>BELGACOM/2</t>
        </is>
      </c>
      <c r="G116" s="76" t="inlineStr">
        <is>
          <t>Huur van 11 multipay compact toestellen</t>
        </is>
      </c>
      <c r="H116" s="84" t="n"/>
      <c r="I116" s="90" t="n"/>
      <c r="J116" s="92" t="n">
        <v>1</v>
      </c>
      <c r="K116" s="76" t="n"/>
      <c r="L116" s="76" t="n"/>
      <c r="M116" s="76" t="n"/>
      <c r="N116" s="76" t="n"/>
      <c r="O116" s="76" t="inlineStr">
        <is>
          <t>B.BE.105</t>
        </is>
      </c>
      <c r="P116" s="76" t="inlineStr">
        <is>
          <t>Retained</t>
        </is>
      </c>
      <c r="Q116" s="76" t="n"/>
      <c r="R116" s="76" t="inlineStr">
        <is>
          <t>TelCo</t>
        </is>
      </c>
      <c r="S116" s="87" t="n"/>
      <c r="T116" s="77" t="n"/>
    </row>
    <row r="117" ht="24" customHeight="1" s="69">
      <c r="A117" s="77" t="inlineStr">
        <is>
          <t>voice</t>
        </is>
      </c>
      <c r="B117" s="76" t="n">
        <v>1820</v>
      </c>
      <c r="C117" s="76" t="n"/>
      <c r="D117" s="76" t="inlineStr">
        <is>
          <t>BE</t>
        </is>
      </c>
      <c r="E117" s="76" t="n"/>
      <c r="F117" s="76" t="inlineStr">
        <is>
          <t>BELGACOM/11</t>
        </is>
      </c>
      <c r="G117" s="76" t="inlineStr">
        <is>
          <t>ELISE _ELECTRONIC LEGAL INVOICE _ STANDARD EDIFACT</t>
        </is>
      </c>
      <c r="H117" s="84" t="n"/>
      <c r="I117" s="90" t="n"/>
      <c r="J117" s="92" t="n">
        <v>0.5</v>
      </c>
      <c r="K117" s="76" t="n"/>
      <c r="L117" s="76" t="n"/>
      <c r="M117" s="76" t="n"/>
      <c r="N117" s="76" t="n"/>
      <c r="O117" s="76" t="inlineStr">
        <is>
          <t>B.BE.108</t>
        </is>
      </c>
      <c r="P117" s="76" t="inlineStr">
        <is>
          <t>Retained</t>
        </is>
      </c>
      <c r="Q117" s="76" t="n"/>
      <c r="R117" s="76" t="inlineStr">
        <is>
          <t>TelCo</t>
        </is>
      </c>
      <c r="S117" s="87" t="n"/>
      <c r="T117" s="77" t="n"/>
    </row>
    <row r="118" ht="48.6" customHeight="1" s="69">
      <c r="A118" s="77" t="inlineStr">
        <is>
          <t>voice</t>
        </is>
      </c>
      <c r="B118" s="76" t="n">
        <v>5513</v>
      </c>
      <c r="C118" s="76" t="n"/>
      <c r="D118" s="76" t="inlineStr">
        <is>
          <t>BE</t>
        </is>
      </c>
      <c r="E118" s="76" t="n"/>
      <c r="F118" s="76" t="inlineStr">
        <is>
          <t>BELGACOM/13</t>
        </is>
      </c>
      <c r="G118" s="76" t="inlineStr">
        <is>
          <t>Deviation of telephone calls of dealing room in case of disaster     935.030.01067.59</t>
        </is>
      </c>
      <c r="H118" s="84" t="n"/>
      <c r="I118" s="90" t="n"/>
      <c r="J118" s="92" t="n">
        <v>1</v>
      </c>
      <c r="K118" s="76" t="n"/>
      <c r="L118" s="76" t="inlineStr">
        <is>
          <t>30 days invoice date</t>
        </is>
      </c>
      <c r="M118" s="76" t="n"/>
      <c r="N118" s="76" t="n"/>
      <c r="O118" s="76" t="inlineStr">
        <is>
          <t>B.BE.109</t>
        </is>
      </c>
      <c r="P118" s="76" t="inlineStr">
        <is>
          <t>Novate</t>
        </is>
      </c>
      <c r="Q118" s="76" t="n"/>
      <c r="R118" s="76" t="inlineStr">
        <is>
          <t>TelCo</t>
        </is>
      </c>
      <c r="S118" s="87" t="n"/>
      <c r="T118" s="77" t="n"/>
    </row>
    <row r="119" ht="24" customHeight="1" s="69">
      <c r="A119" s="77" t="inlineStr">
        <is>
          <t>voice</t>
        </is>
      </c>
      <c r="B119" s="76" t="n">
        <v>7654</v>
      </c>
      <c r="C119" s="76" t="n"/>
      <c r="D119" s="76" t="inlineStr">
        <is>
          <t>BE</t>
        </is>
      </c>
      <c r="E119" s="76" t="n"/>
      <c r="F119" s="76" t="inlineStr">
        <is>
          <t>BELGACOM/6</t>
        </is>
      </c>
      <c r="G119" s="76" t="inlineStr">
        <is>
          <t>Telecom call Costs-Corporate BEnefit</t>
        </is>
      </c>
      <c r="H119" s="84" t="n"/>
      <c r="I119" s="90">
        <f>3191190/12</f>
        <v/>
      </c>
      <c r="J119" s="92" t="n">
        <v>1</v>
      </c>
      <c r="K119" s="76" t="n"/>
      <c r="L119" s="76" t="inlineStr">
        <is>
          <t>30 days invoice</t>
        </is>
      </c>
      <c r="M119" s="76" t="n"/>
      <c r="N119" s="76" t="n"/>
      <c r="O119" s="76" t="inlineStr">
        <is>
          <t>B.BE.116</t>
        </is>
      </c>
      <c r="P119" s="76" t="inlineStr">
        <is>
          <t>Novate</t>
        </is>
      </c>
      <c r="Q119" s="76" t="n"/>
      <c r="R119" s="76" t="inlineStr">
        <is>
          <t>TelCo</t>
        </is>
      </c>
      <c r="S119" s="87" t="n"/>
      <c r="T119" s="77" t="n"/>
    </row>
    <row r="120" ht="48.6" customHeight="1" s="69">
      <c r="A120" s="77" t="inlineStr">
        <is>
          <t>EUC</t>
        </is>
      </c>
      <c r="B120" s="76" t="n">
        <v>6119</v>
      </c>
      <c r="C120" s="76" t="n"/>
      <c r="D120" s="76" t="inlineStr">
        <is>
          <t>BE</t>
        </is>
      </c>
      <c r="E120" s="76" t="n"/>
      <c r="F120" s="76" t="inlineStr">
        <is>
          <t>EuroBank Technics PUNCTUAL</t>
        </is>
      </c>
      <c r="G120" s="76" t="inlineStr">
        <is>
          <t>Maintenance of Agencies, ATM's, Office equipment, Servers; installation, replacement and repair</t>
        </is>
      </c>
      <c r="H120" s="84" t="n"/>
      <c r="I120" s="90" t="n">
        <v>205333.3326</v>
      </c>
      <c r="J120" s="86" t="n">
        <v>0.22</v>
      </c>
      <c r="K120" s="76" t="n"/>
      <c r="L120" s="76" t="n"/>
      <c r="M120" s="76" t="n"/>
      <c r="N120" s="76" t="n"/>
      <c r="O120" s="76" t="inlineStr">
        <is>
          <t>B.BE.132</t>
        </is>
      </c>
      <c r="P120" s="76" t="inlineStr">
        <is>
          <t>Terminate</t>
        </is>
      </c>
      <c r="Q120" s="76" t="inlineStr">
        <is>
          <t>at expiry</t>
        </is>
      </c>
      <c r="R120" s="76" t="inlineStr">
        <is>
          <t>Vendor Gamma</t>
        </is>
      </c>
      <c r="S120" s="87">
        <f>2798384/8</f>
        <v/>
      </c>
    </row>
    <row r="121" ht="48" customHeight="1" s="69">
      <c r="A121" s="77" t="inlineStr">
        <is>
          <t>EUC</t>
        </is>
      </c>
      <c r="B121" s="76" t="n">
        <v>2784</v>
      </c>
      <c r="C121" s="76" t="n"/>
      <c r="D121" s="76" t="inlineStr">
        <is>
          <t>BE</t>
        </is>
      </c>
      <c r="E121" s="76" t="n"/>
      <c r="F121" s="76" t="inlineStr">
        <is>
          <t>EuroBank Technics RECURRENT</t>
        </is>
      </c>
      <c r="G121" s="76" t="inlineStr">
        <is>
          <t>Maintenance of Agencies, ATM's, Office equipment, Servers; installation, replacement and repair</t>
        </is>
      </c>
      <c r="H121" s="84" t="n"/>
      <c r="I121" s="90" t="n">
        <v>1000000</v>
      </c>
      <c r="J121" s="86" t="n">
        <v>0.22</v>
      </c>
      <c r="K121" s="76" t="n"/>
      <c r="L121" s="76" t="n"/>
      <c r="M121" s="76" t="n"/>
      <c r="N121" s="76" t="n"/>
      <c r="O121" s="76" t="inlineStr">
        <is>
          <t>B.BE.133</t>
        </is>
      </c>
      <c r="P121" s="76" t="inlineStr">
        <is>
          <t>Terminate</t>
        </is>
      </c>
      <c r="Q121" s="76" t="inlineStr">
        <is>
          <t>at expiry</t>
        </is>
      </c>
      <c r="R121" s="76" t="inlineStr">
        <is>
          <t>Vendor Gamma</t>
        </is>
      </c>
      <c r="S121" s="87" t="n"/>
    </row>
    <row r="122" ht="24" customHeight="1" s="69">
      <c r="A122" s="77" t="inlineStr">
        <is>
          <t>voice</t>
        </is>
      </c>
      <c r="B122" s="76" t="n">
        <v>1631</v>
      </c>
      <c r="C122" s="76" t="n"/>
      <c r="D122" s="76" t="inlineStr">
        <is>
          <t>BE</t>
        </is>
      </c>
      <c r="E122" s="76" t="n"/>
      <c r="F122" s="76" t="inlineStr">
        <is>
          <t>JNV/HC [Polymedia]</t>
        </is>
      </c>
      <c r="G122" s="76" t="inlineStr">
        <is>
          <t>Interventies op Video-Conferencing systemen</t>
        </is>
      </c>
      <c r="H122" s="84" t="n"/>
      <c r="I122" s="90" t="n"/>
      <c r="J122" s="92" t="n">
        <v>1</v>
      </c>
      <c r="K122" s="76" t="n"/>
      <c r="L122" s="76" t="n"/>
      <c r="M122" s="76" t="n"/>
      <c r="N122" s="76" t="n"/>
      <c r="O122" s="76" t="inlineStr">
        <is>
          <t>B.BE.134</t>
        </is>
      </c>
      <c r="P122" s="76" t="inlineStr">
        <is>
          <t>Terminate</t>
        </is>
      </c>
      <c r="Q122" s="76" t="inlineStr">
        <is>
          <t>at expiry</t>
        </is>
      </c>
      <c r="R122" s="76" t="inlineStr">
        <is>
          <t>TelCo</t>
        </is>
      </c>
      <c r="S122" s="87" t="n"/>
      <c r="T122" s="77" t="n"/>
    </row>
    <row r="123" ht="24" customHeight="1" s="69">
      <c r="A123" s="95" t="inlineStr">
        <is>
          <t>Voice</t>
        </is>
      </c>
      <c r="B123" s="96" t="n">
        <v>39</v>
      </c>
      <c r="C123" s="96" t="n">
        <v>2000534</v>
      </c>
      <c r="D123" s="96" t="inlineStr">
        <is>
          <t>NL</t>
        </is>
      </c>
      <c r="E123" s="96" t="inlineStr">
        <is>
          <t>WPS (W&amp;CI/SP&amp;SV)</t>
        </is>
      </c>
      <c r="F123" s="96" t="inlineStr">
        <is>
          <t>TelCo</t>
        </is>
      </c>
      <c r="G123" s="96" t="inlineStr">
        <is>
          <t>Maintenance PABX Ericsson locations A'dam ZO</t>
        </is>
      </c>
      <c r="H123" s="97" t="n">
        <v>38718</v>
      </c>
      <c r="I123" s="106" t="n">
        <v>20500</v>
      </c>
      <c r="J123" s="99" t="n">
        <v>1</v>
      </c>
      <c r="K123" s="96" t="inlineStr">
        <is>
          <t>PABX</t>
        </is>
      </c>
      <c r="L123" s="96" t="n"/>
      <c r="M123" s="96" t="n"/>
      <c r="N123" s="96" t="n"/>
      <c r="O123" s="96" t="inlineStr">
        <is>
          <t>C.006</t>
        </is>
      </c>
      <c r="P123" s="96" t="inlineStr">
        <is>
          <t>Novate</t>
        </is>
      </c>
      <c r="Q123" s="96" t="n"/>
      <c r="R123" s="96" t="inlineStr">
        <is>
          <t>TelCo</t>
        </is>
      </c>
      <c r="S123" s="100" t="n"/>
      <c r="T123" s="77" t="n"/>
    </row>
    <row r="124" ht="24" customHeight="1" s="69">
      <c r="A124" s="77" t="inlineStr">
        <is>
          <t>Voice</t>
        </is>
      </c>
      <c r="B124" s="76" t="n"/>
      <c r="C124" s="76" t="n">
        <v>2000666</v>
      </c>
      <c r="D124" s="76" t="inlineStr">
        <is>
          <t>NL</t>
        </is>
      </c>
      <c r="E124" s="76" t="inlineStr">
        <is>
          <t>DCO</t>
        </is>
      </c>
      <c r="F124" s="76" t="inlineStr">
        <is>
          <t>ZENITEL NETHERLANDS B.V.</t>
        </is>
      </c>
      <c r="G124" s="76" t="inlineStr">
        <is>
          <t>Onderhoud girokantoor Arnhem (vaste apparatuur en portofoons)</t>
        </is>
      </c>
      <c r="H124" s="84" t="n"/>
      <c r="I124" s="90" t="n">
        <v>242</v>
      </c>
      <c r="J124" s="86" t="n">
        <v>1</v>
      </c>
      <c r="K124" s="76" t="inlineStr">
        <is>
          <t>Hardware Onderhoud</t>
        </is>
      </c>
      <c r="L124" s="76" t="n"/>
      <c r="M124" s="76" t="n"/>
      <c r="N124" s="76" t="n"/>
      <c r="O124" s="76" t="inlineStr">
        <is>
          <t>C.014</t>
        </is>
      </c>
      <c r="P124" s="76" t="inlineStr">
        <is>
          <t>Retained</t>
        </is>
      </c>
      <c r="Q124" s="76" t="n"/>
      <c r="R124" s="76" t="inlineStr">
        <is>
          <t>TelCo</t>
        </is>
      </c>
      <c r="S124" s="87" t="n"/>
      <c r="T124" s="77" t="n"/>
    </row>
    <row r="125" ht="24" customHeight="1" s="69">
      <c r="A125" s="77" t="inlineStr">
        <is>
          <t>Voice</t>
        </is>
      </c>
      <c r="B125" s="76" t="n">
        <v>54</v>
      </c>
      <c r="C125" s="76" t="n">
        <v>2001381</v>
      </c>
      <c r="D125" s="76" t="inlineStr">
        <is>
          <t>NL</t>
        </is>
      </c>
      <c r="E125" s="76" t="inlineStr">
        <is>
          <t>WPS (W&amp;CI/SP&amp;SV)</t>
        </is>
      </c>
      <c r="F125" s="76" t="inlineStr">
        <is>
          <t>CSS Telecom</t>
        </is>
      </c>
      <c r="G125" s="76" t="inlineStr">
        <is>
          <t>Purchase equipment</t>
        </is>
      </c>
      <c r="H125" s="84" t="n">
        <v>39355</v>
      </c>
      <c r="I125" s="90" t="n">
        <v>9283</v>
      </c>
      <c r="J125" s="86" t="n">
        <v>1</v>
      </c>
      <c r="K125" s="76" t="n"/>
      <c r="L125" s="76" t="n"/>
      <c r="M125" s="76" t="n"/>
      <c r="N125" s="76" t="n"/>
      <c r="O125" s="76" t="inlineStr">
        <is>
          <t>C.016</t>
        </is>
      </c>
      <c r="P125" s="76" t="inlineStr">
        <is>
          <t>Novate</t>
        </is>
      </c>
      <c r="Q125" s="76" t="n"/>
      <c r="R125" s="76" t="inlineStr">
        <is>
          <t>TelCo</t>
        </is>
      </c>
      <c r="S125" s="87" t="n"/>
      <c r="T125" s="77" t="n"/>
    </row>
    <row r="126" ht="24" customHeight="1" s="69">
      <c r="A126" s="95" t="inlineStr">
        <is>
          <t>LAN</t>
        </is>
      </c>
      <c r="B126" s="96" t="n">
        <v>0</v>
      </c>
      <c r="C126" s="96" t="n">
        <v>2002310</v>
      </c>
      <c r="D126" s="96" t="inlineStr">
        <is>
          <t>NL</t>
        </is>
      </c>
      <c r="E126" s="96" t="n">
        <v>0</v>
      </c>
      <c r="F126" s="96" t="inlineStr">
        <is>
          <t>VENDOR GAMMA NEDERLAND B.V.</t>
        </is>
      </c>
      <c r="G126" s="96" t="inlineStr">
        <is>
          <t>Onderhoud Cisco componenten (Cisco LAN RVS)</t>
        </is>
      </c>
      <c r="H126" s="97" t="n">
        <v>38321</v>
      </c>
      <c r="I126" s="106" t="n">
        <v>2335</v>
      </c>
      <c r="J126" s="99" t="n">
        <v>1</v>
      </c>
      <c r="K126" s="96" t="n">
        <v>0</v>
      </c>
      <c r="L126" s="96" t="n"/>
      <c r="M126" s="96" t="n"/>
      <c r="N126" s="96" t="n"/>
      <c r="O126" s="96" t="inlineStr">
        <is>
          <t>C.018</t>
        </is>
      </c>
      <c r="P126" s="96" t="inlineStr">
        <is>
          <t>Novate</t>
        </is>
      </c>
      <c r="Q126" s="96" t="n"/>
      <c r="R126" s="96" t="inlineStr">
        <is>
          <t>TelCo</t>
        </is>
      </c>
      <c r="S126" s="100" t="n"/>
      <c r="T126" s="77" t="n"/>
    </row>
    <row r="127" ht="24" customHeight="1" s="69">
      <c r="A127" s="77" t="inlineStr">
        <is>
          <t>Voice</t>
        </is>
      </c>
      <c r="B127" s="76" t="n">
        <v>56</v>
      </c>
      <c r="C127" s="76" t="n">
        <v>2002356</v>
      </c>
      <c r="D127" s="76" t="inlineStr">
        <is>
          <t>NL</t>
        </is>
      </c>
      <c r="E127" s="76" t="inlineStr">
        <is>
          <t>WPS (W&amp;CI/SP&amp;SV)</t>
        </is>
      </c>
      <c r="F127" s="76" t="inlineStr">
        <is>
          <t>TALK &amp; VISION  SERVICE B.V.</t>
        </is>
      </c>
      <c r="G127" s="76" t="inlineStr">
        <is>
          <t>Maintenance videoconference products</t>
        </is>
      </c>
      <c r="H127" s="84" t="n">
        <v>39294</v>
      </c>
      <c r="I127" s="90" t="n">
        <v>5647</v>
      </c>
      <c r="J127" s="86" t="n">
        <v>1</v>
      </c>
      <c r="K127" s="76" t="n"/>
      <c r="L127" s="76" t="n"/>
      <c r="M127" s="76" t="n"/>
      <c r="N127" s="76" t="n"/>
      <c r="O127" s="76" t="inlineStr">
        <is>
          <t>C.020</t>
        </is>
      </c>
      <c r="P127" s="76" t="inlineStr">
        <is>
          <t>Novate</t>
        </is>
      </c>
      <c r="Q127" s="76" t="n"/>
      <c r="R127" s="76" t="inlineStr">
        <is>
          <t>TelCo</t>
        </is>
      </c>
      <c r="S127" s="87" t="inlineStr">
        <is>
          <t>included in C074</t>
        </is>
      </c>
      <c r="T127" s="77" t="n"/>
    </row>
    <row r="128" ht="24" customHeight="1" s="69">
      <c r="A128" s="77" t="inlineStr">
        <is>
          <t>Voice</t>
        </is>
      </c>
      <c r="B128" s="76" t="n"/>
      <c r="C128" s="76" t="n">
        <v>2002405</v>
      </c>
      <c r="D128" s="76" t="inlineStr">
        <is>
          <t>NL</t>
        </is>
      </c>
      <c r="E128" s="76" t="inlineStr">
        <is>
          <t>DCO</t>
        </is>
      </c>
      <c r="F128" s="76" t="inlineStr">
        <is>
          <t>COMSYS B.V.</t>
        </is>
      </c>
      <c r="G128" s="76" t="inlineStr">
        <is>
          <t>onderhoud apparatuur comsys voice center servers</t>
        </is>
      </c>
      <c r="H128" s="84" t="n">
        <v>39082</v>
      </c>
      <c r="I128" s="90" t="n">
        <v>360</v>
      </c>
      <c r="J128" s="86" t="n">
        <v>1</v>
      </c>
      <c r="K128" s="76" t="n"/>
      <c r="L128" s="76" t="n"/>
      <c r="M128" s="76" t="n"/>
      <c r="N128" s="76" t="n"/>
      <c r="O128" s="76" t="inlineStr">
        <is>
          <t>C.022</t>
        </is>
      </c>
      <c r="P128" s="76" t="inlineStr">
        <is>
          <t>Novate</t>
        </is>
      </c>
      <c r="Q128" s="76" t="n"/>
      <c r="R128" s="76" t="inlineStr">
        <is>
          <t>TelCo</t>
        </is>
      </c>
      <c r="S128" s="87" t="inlineStr">
        <is>
          <t>Included in E008</t>
        </is>
      </c>
      <c r="T128" s="76" t="n"/>
    </row>
    <row r="129" ht="24" customHeight="1" s="69">
      <c r="A129" s="77" t="inlineStr">
        <is>
          <t>Voice</t>
        </is>
      </c>
      <c r="B129" s="76" t="n">
        <v>57</v>
      </c>
      <c r="C129" s="76" t="n">
        <v>2002413</v>
      </c>
      <c r="D129" s="76" t="inlineStr">
        <is>
          <t>NL</t>
        </is>
      </c>
      <c r="E129" s="76" t="inlineStr">
        <is>
          <t>WPS (W&amp;CI/SP&amp;SV)</t>
        </is>
      </c>
      <c r="F129" s="76" t="inlineStr">
        <is>
          <t>Avensus (Evolve Datacom BV)</t>
        </is>
      </c>
      <c r="G129" s="76" t="inlineStr">
        <is>
          <t>Maint.voicelogging Capelle en Groningen</t>
        </is>
      </c>
      <c r="H129" s="84" t="n">
        <v>38990</v>
      </c>
      <c r="I129" s="90" t="n">
        <v>1412</v>
      </c>
      <c r="J129" s="86" t="n">
        <v>1</v>
      </c>
      <c r="K129" s="76" t="n"/>
      <c r="L129" s="76" t="n"/>
      <c r="M129" s="76" t="n"/>
      <c r="N129" s="76" t="n"/>
      <c r="O129" s="76" t="inlineStr">
        <is>
          <t>C.023</t>
        </is>
      </c>
      <c r="P129" s="76" t="inlineStr">
        <is>
          <t>Novate</t>
        </is>
      </c>
      <c r="Q129" s="76" t="n"/>
      <c r="R129" s="76" t="inlineStr">
        <is>
          <t>TelCo</t>
        </is>
      </c>
      <c r="S129" s="87" t="inlineStr">
        <is>
          <t>included in E031</t>
        </is>
      </c>
      <c r="T129" s="77" t="n"/>
    </row>
    <row r="130" ht="24" customHeight="1" s="69">
      <c r="A130" s="77" t="inlineStr">
        <is>
          <t>Voice</t>
        </is>
      </c>
      <c r="B130" s="76" t="n"/>
      <c r="C130" s="76" t="n">
        <v>2002444</v>
      </c>
      <c r="D130" s="76" t="inlineStr">
        <is>
          <t>NL</t>
        </is>
      </c>
      <c r="E130" s="76" t="inlineStr">
        <is>
          <t>DCO</t>
        </is>
      </c>
      <c r="F130" s="76" t="inlineStr">
        <is>
          <t>COMSYS B.V.</t>
        </is>
      </c>
      <c r="G130" s="76" t="inlineStr">
        <is>
          <t>Onderhoud COMSYS Voice Center Servers</t>
        </is>
      </c>
      <c r="H130" s="84" t="n">
        <v>39082</v>
      </c>
      <c r="I130" s="90" t="n">
        <v>17648</v>
      </c>
      <c r="J130" s="86" t="n">
        <v>1</v>
      </c>
      <c r="K130" s="76" t="inlineStr">
        <is>
          <t>Hardware Onderhoud</t>
        </is>
      </c>
      <c r="L130" s="76" t="n"/>
      <c r="M130" s="76" t="n"/>
      <c r="N130" s="76" t="n"/>
      <c r="O130" s="76" t="inlineStr">
        <is>
          <t>C.025</t>
        </is>
      </c>
      <c r="P130" s="76" t="inlineStr">
        <is>
          <t>Novate</t>
        </is>
      </c>
      <c r="Q130" s="76" t="n"/>
      <c r="R130" s="76" t="inlineStr">
        <is>
          <t>TelCo</t>
        </is>
      </c>
      <c r="S130" s="87" t="inlineStr">
        <is>
          <t>Included in E008</t>
        </is>
      </c>
      <c r="T130" s="77" t="n"/>
    </row>
    <row r="131" ht="24" customHeight="1" s="69">
      <c r="A131" s="77" t="inlineStr">
        <is>
          <t>Voice</t>
        </is>
      </c>
      <c r="B131" s="76" t="n">
        <v>0</v>
      </c>
      <c r="C131" s="76" t="n">
        <v>2001636</v>
      </c>
      <c r="D131" s="76" t="inlineStr">
        <is>
          <t>NL</t>
        </is>
      </c>
      <c r="E131" s="76" t="n">
        <v>0</v>
      </c>
      <c r="F131" s="76" t="inlineStr">
        <is>
          <t>Comsys International B.V.</t>
        </is>
      </c>
      <c r="G131" s="109" t="inlineStr">
        <is>
          <t>Maintenance VRU/TTS Software</t>
        </is>
      </c>
      <c r="H131" s="84" t="n">
        <v>39082</v>
      </c>
      <c r="I131" s="90" t="n">
        <v>8335</v>
      </c>
      <c r="J131" s="86" t="n">
        <v>1</v>
      </c>
      <c r="K131" s="76" t="n">
        <v>0</v>
      </c>
      <c r="L131" s="76" t="n"/>
      <c r="M131" s="76" t="n"/>
      <c r="N131" s="76" t="n"/>
      <c r="O131" s="76" t="inlineStr">
        <is>
          <t>C.035.II</t>
        </is>
      </c>
      <c r="P131" s="76" t="inlineStr">
        <is>
          <t>Novate</t>
        </is>
      </c>
      <c r="Q131" s="76" t="n"/>
      <c r="R131" s="76" t="inlineStr">
        <is>
          <t>TelCo</t>
        </is>
      </c>
      <c r="S131" s="87" t="inlineStr">
        <is>
          <t>Included in E008</t>
        </is>
      </c>
      <c r="T131" s="77" t="n"/>
    </row>
    <row r="132" ht="24" customHeight="1" s="69">
      <c r="A132" s="77" t="inlineStr">
        <is>
          <t>Voice</t>
        </is>
      </c>
      <c r="B132" s="76" t="n">
        <v>62</v>
      </c>
      <c r="C132" s="76" t="n">
        <v>2002691</v>
      </c>
      <c r="D132" s="76" t="inlineStr">
        <is>
          <t>NL</t>
        </is>
      </c>
      <c r="E132" s="76" t="inlineStr">
        <is>
          <t>WPS (W&amp;CI/SP&amp;SV)</t>
        </is>
      </c>
      <c r="F132" s="76" t="inlineStr">
        <is>
          <t>Intervoice</t>
        </is>
      </c>
      <c r="G132" s="76" t="inlineStr">
        <is>
          <t>Purchase equipment</t>
        </is>
      </c>
      <c r="H132" s="84" t="n">
        <v>39278</v>
      </c>
      <c r="I132" s="90" t="n">
        <v>35296</v>
      </c>
      <c r="J132" s="86" t="n">
        <v>1</v>
      </c>
      <c r="K132" s="76" t="n"/>
      <c r="L132" s="76" t="n"/>
      <c r="M132" s="76" t="n"/>
      <c r="N132" s="76" t="n"/>
      <c r="O132" s="76" t="inlineStr">
        <is>
          <t>C.037</t>
        </is>
      </c>
      <c r="P132" s="76" t="inlineStr">
        <is>
          <t>Novate</t>
        </is>
      </c>
      <c r="Q132" s="76" t="n"/>
      <c r="R132" s="76" t="inlineStr">
        <is>
          <t>TelCo</t>
        </is>
      </c>
      <c r="S132" s="87">
        <f>123552/12</f>
        <v/>
      </c>
      <c r="T132" s="77" t="n"/>
    </row>
    <row r="133" ht="24" customHeight="1" s="69">
      <c r="A133" s="95" t="inlineStr">
        <is>
          <t>Server</t>
        </is>
      </c>
      <c r="B133" s="96" t="n"/>
      <c r="C133" s="96" t="n">
        <v>2002699</v>
      </c>
      <c r="D133" s="96" t="inlineStr">
        <is>
          <t>NL</t>
        </is>
      </c>
      <c r="E133" s="96" t="inlineStr">
        <is>
          <t>DCO</t>
        </is>
      </c>
      <c r="F133" s="96" t="inlineStr">
        <is>
          <t>VENDOR GAMMA NEDERLAND B.V.</t>
        </is>
      </c>
      <c r="G133" s="96" t="inlineStr">
        <is>
          <t>Deelovereenkomst onderhoud servers</t>
        </is>
      </c>
      <c r="H133" s="97" t="inlineStr">
        <is>
          <t>31-3-2005</t>
        </is>
      </c>
      <c r="I133" s="106" t="n">
        <v>46586</v>
      </c>
      <c r="J133" s="99" t="n">
        <v>0.5</v>
      </c>
      <c r="K133" s="96" t="inlineStr">
        <is>
          <t>Hardware Onderhoud</t>
        </is>
      </c>
      <c r="L133" s="96" t="n"/>
      <c r="M133" s="96" t="n"/>
      <c r="N133" s="96" t="n"/>
      <c r="O133" s="96" t="inlineStr">
        <is>
          <t>C.039</t>
        </is>
      </c>
      <c r="P133" s="96" t="inlineStr">
        <is>
          <t>Novate</t>
        </is>
      </c>
      <c r="Q133" s="96" t="n"/>
      <c r="R133" s="96" t="inlineStr">
        <is>
          <t>VendorA</t>
        </is>
      </c>
      <c r="S133" s="100" t="n"/>
    </row>
    <row r="134" ht="24" customHeight="1" s="69">
      <c r="A134" s="95" t="inlineStr">
        <is>
          <t>Lan</t>
        </is>
      </c>
      <c r="B134" s="96" t="n"/>
      <c r="C134" s="96" t="n">
        <v>2002671</v>
      </c>
      <c r="D134" s="96" t="inlineStr">
        <is>
          <t>NL</t>
        </is>
      </c>
      <c r="E134" s="96" t="inlineStr">
        <is>
          <t>DCO</t>
        </is>
      </c>
      <c r="F134" s="96" t="inlineStr">
        <is>
          <t>VENDOR GAMMA NEDERLAND B.V.</t>
        </is>
      </c>
      <c r="G134" s="96" t="inlineStr">
        <is>
          <t>Hardware support Cisco devices</t>
        </is>
      </c>
      <c r="H134" s="97" t="inlineStr">
        <is>
          <t>31-10-2006</t>
        </is>
      </c>
      <c r="I134" s="106" t="n">
        <v>157672</v>
      </c>
      <c r="J134" s="99" t="n">
        <v>0.31</v>
      </c>
      <c r="K134" s="96" t="inlineStr">
        <is>
          <t>Core switches, distribution switches, Specials, access server switches, Access user switches</t>
        </is>
      </c>
      <c r="L134" s="96" t="n"/>
      <c r="M134" s="96" t="n"/>
      <c r="N134" s="96" t="n"/>
      <c r="O134" s="96" t="inlineStr">
        <is>
          <t>C.047</t>
        </is>
      </c>
      <c r="P134" s="96" t="inlineStr">
        <is>
          <t>Novate</t>
        </is>
      </c>
      <c r="Q134" s="96" t="n"/>
      <c r="R134" s="96" t="inlineStr">
        <is>
          <t>TelCo</t>
        </is>
      </c>
      <c r="S134" s="100" t="n"/>
      <c r="T134" s="77" t="n"/>
    </row>
    <row r="135" ht="24" customHeight="1" s="69">
      <c r="A135" s="95" t="inlineStr">
        <is>
          <t>DTHW</t>
        </is>
      </c>
      <c r="B135" s="96" t="n"/>
      <c r="C135" s="96" t="n">
        <v>2002700</v>
      </c>
      <c r="D135" s="96" t="inlineStr">
        <is>
          <t>NL</t>
        </is>
      </c>
      <c r="E135" s="96" t="inlineStr">
        <is>
          <t>WPS (CADS)</t>
        </is>
      </c>
      <c r="F135" s="96" t="inlineStr">
        <is>
          <t>VENDOR GAMMA NEDERLAND B.V.</t>
        </is>
      </c>
      <c r="G135" s="96" t="inlineStr">
        <is>
          <t>Maintenance Contract Printers.</t>
        </is>
      </c>
      <c r="H135" s="97" t="n">
        <v>38868</v>
      </c>
      <c r="I135" s="106" t="n">
        <v>105887</v>
      </c>
      <c r="J135" s="99" t="n">
        <v>1</v>
      </c>
      <c r="K135" s="96" t="inlineStr">
        <is>
          <t>HW</t>
        </is>
      </c>
      <c r="L135" s="96" t="n"/>
      <c r="M135" s="96" t="n"/>
      <c r="N135" s="96" t="n"/>
      <c r="O135" s="96" t="inlineStr">
        <is>
          <t>C.048</t>
        </is>
      </c>
      <c r="P135" s="96" t="inlineStr">
        <is>
          <t>Novate</t>
        </is>
      </c>
      <c r="Q135" s="96" t="n"/>
      <c r="R135" s="96" t="inlineStr">
        <is>
          <t>Vendor Gamma</t>
        </is>
      </c>
      <c r="S135" s="100" t="n"/>
    </row>
    <row r="136" ht="24" customHeight="1" s="69">
      <c r="A136" s="95" t="inlineStr">
        <is>
          <t>DTHW</t>
        </is>
      </c>
      <c r="B136" s="96" t="n"/>
      <c r="C136" s="96" t="n">
        <v>2002701</v>
      </c>
      <c r="D136" s="96" t="inlineStr">
        <is>
          <t>NL</t>
        </is>
      </c>
      <c r="E136" s="96" t="inlineStr">
        <is>
          <t>WPS (CADS)</t>
        </is>
      </c>
      <c r="F136" s="96" t="inlineStr">
        <is>
          <t>VENDOR GAMMA NEDERLAND B.V.</t>
        </is>
      </c>
      <c r="G136" s="96" t="inlineStr">
        <is>
          <t>Maintenance External Storage.</t>
        </is>
      </c>
      <c r="H136" s="97" t="n">
        <v>38868</v>
      </c>
      <c r="I136" s="106" t="n">
        <v>28237</v>
      </c>
      <c r="J136" s="99" t="n">
        <v>1</v>
      </c>
      <c r="K136" s="96" t="inlineStr">
        <is>
          <t>HW</t>
        </is>
      </c>
      <c r="L136" s="96" t="n"/>
      <c r="M136" s="96" t="n"/>
      <c r="N136" s="96" t="n"/>
      <c r="O136" s="96" t="inlineStr">
        <is>
          <t>C.049</t>
        </is>
      </c>
      <c r="P136" s="96" t="inlineStr">
        <is>
          <t>Novate</t>
        </is>
      </c>
      <c r="Q136" s="96" t="n"/>
      <c r="R136" s="96" t="inlineStr">
        <is>
          <t>Vendor Gamma</t>
        </is>
      </c>
      <c r="S136" s="100" t="n"/>
    </row>
    <row r="137" ht="24" customHeight="1" s="69">
      <c r="A137" s="95" t="inlineStr">
        <is>
          <t>DTHW</t>
        </is>
      </c>
      <c r="B137" s="96" t="n"/>
      <c r="C137" s="96" t="n">
        <v>2003620</v>
      </c>
      <c r="D137" s="96" t="inlineStr">
        <is>
          <t>NL</t>
        </is>
      </c>
      <c r="E137" s="96" t="inlineStr">
        <is>
          <t>WPS (CADS)</t>
        </is>
      </c>
      <c r="F137" s="96" t="inlineStr">
        <is>
          <t>VENDOR GAMMA NEDERLAND B.V.</t>
        </is>
      </c>
      <c r="G137" s="96" t="inlineStr">
        <is>
          <t>Full-Service Maintenance Desktop EuroBank Bank Kantoren</t>
        </is>
      </c>
      <c r="H137" s="97" t="n"/>
      <c r="I137" s="106" t="n">
        <v>90710</v>
      </c>
      <c r="J137" s="110" t="n">
        <v>1</v>
      </c>
      <c r="K137" s="96" t="inlineStr">
        <is>
          <t>HW</t>
        </is>
      </c>
      <c r="L137" s="96" t="n"/>
      <c r="M137" s="96" t="n"/>
      <c r="N137" s="96" t="n"/>
      <c r="O137" s="96" t="inlineStr">
        <is>
          <t>C.050</t>
        </is>
      </c>
      <c r="P137" s="96" t="inlineStr">
        <is>
          <t>Novate</t>
        </is>
      </c>
      <c r="Q137" s="96" t="n"/>
      <c r="R137" s="96" t="inlineStr">
        <is>
          <t>Vendor Gamma</t>
        </is>
      </c>
      <c r="S137" s="100" t="n"/>
    </row>
    <row r="138" ht="48" customHeight="1" s="69">
      <c r="A138" s="95" t="inlineStr">
        <is>
          <t>cross</t>
        </is>
      </c>
      <c r="B138" s="96" t="n"/>
      <c r="C138" s="96" t="n">
        <v>2003621</v>
      </c>
      <c r="D138" s="96" t="inlineStr">
        <is>
          <t>NL</t>
        </is>
      </c>
      <c r="E138" s="96" t="inlineStr">
        <is>
          <t>WPS (CADS)</t>
        </is>
      </c>
      <c r="F138" s="96" t="inlineStr">
        <is>
          <t>VENDOR GAMMA NEDERLAND B.V.</t>
        </is>
      </c>
      <c r="G138" s="96" t="inlineStr">
        <is>
          <t>Framework agreement for Maintenance on Desktop, Laptop, Servers and Printers.</t>
        </is>
      </c>
      <c r="H138" s="97" t="n">
        <v>39538</v>
      </c>
      <c r="I138" s="106" t="n">
        <v>35296</v>
      </c>
      <c r="J138" s="99" t="n">
        <v>1</v>
      </c>
      <c r="K138" s="96" t="inlineStr">
        <is>
          <t>HW</t>
        </is>
      </c>
      <c r="L138" s="96" t="n"/>
      <c r="M138" s="96" t="n"/>
      <c r="N138" s="96" t="n"/>
      <c r="O138" s="96" t="inlineStr">
        <is>
          <t>C.051</t>
        </is>
      </c>
      <c r="P138" s="96" t="inlineStr">
        <is>
          <t>Novate</t>
        </is>
      </c>
      <c r="Q138" s="96" t="n"/>
      <c r="R138" s="96" t="inlineStr">
        <is>
          <t>Vendor Gamma</t>
        </is>
      </c>
      <c r="S138" s="100" t="n"/>
    </row>
    <row r="139" ht="24" customHeight="1" s="69">
      <c r="A139" s="77" t="inlineStr">
        <is>
          <t>Voice</t>
        </is>
      </c>
      <c r="B139" s="76" t="n">
        <v>47</v>
      </c>
      <c r="C139" s="76" t="n">
        <v>2002770</v>
      </c>
      <c r="D139" s="76" t="inlineStr">
        <is>
          <t>NL</t>
        </is>
      </c>
      <c r="E139" s="76" t="inlineStr">
        <is>
          <t>WPS (W&amp;CI/SP&amp;SV)</t>
        </is>
      </c>
      <c r="F139" s="76" t="inlineStr">
        <is>
          <t>Nextira one</t>
        </is>
      </c>
      <c r="G139" s="76" t="inlineStr">
        <is>
          <t>2e/3e maintenance</t>
        </is>
      </c>
      <c r="H139" s="84" t="n">
        <v>39233</v>
      </c>
      <c r="I139" s="90" t="n">
        <v>4916</v>
      </c>
      <c r="J139" s="86" t="n">
        <v>1</v>
      </c>
      <c r="K139" s="76" t="inlineStr">
        <is>
          <t>PABX</t>
        </is>
      </c>
      <c r="L139" s="76" t="n"/>
      <c r="M139" s="76" t="n"/>
      <c r="N139" s="76" t="n"/>
      <c r="O139" s="76" t="inlineStr">
        <is>
          <t>C.054</t>
        </is>
      </c>
      <c r="P139" s="76" t="inlineStr">
        <is>
          <t>Novate</t>
        </is>
      </c>
      <c r="Q139" s="76" t="n"/>
      <c r="R139" s="76" t="inlineStr">
        <is>
          <t>TelCo</t>
        </is>
      </c>
      <c r="S139" s="87">
        <f>24600/12</f>
        <v/>
      </c>
      <c r="T139" s="77" t="n"/>
    </row>
    <row r="140" ht="24" customHeight="1" s="69">
      <c r="A140" s="77" t="inlineStr">
        <is>
          <t>DTHW</t>
        </is>
      </c>
      <c r="B140" s="76" t="n"/>
      <c r="C140" s="76" t="n">
        <v>2002920</v>
      </c>
      <c r="D140" s="76" t="inlineStr">
        <is>
          <t>NL</t>
        </is>
      </c>
      <c r="E140" s="76" t="inlineStr">
        <is>
          <t>WPS (CADS)</t>
        </is>
      </c>
      <c r="F140" s="76" t="inlineStr">
        <is>
          <t>SCC SERVICES B.V.  ( V/H INFO PRODUCTS B.V. )</t>
        </is>
      </c>
      <c r="G140" s="76" t="inlineStr">
        <is>
          <t>Framework agreement delivery PC hardware by Re-seller</t>
        </is>
      </c>
      <c r="H140" s="84" t="n"/>
      <c r="I140" s="90" t="n">
        <v>148251</v>
      </c>
      <c r="J140" s="92" t="n">
        <v>1</v>
      </c>
      <c r="K140" s="76" t="inlineStr">
        <is>
          <t>FTE</t>
        </is>
      </c>
      <c r="L140" s="76" t="n"/>
      <c r="M140" s="76" t="n"/>
      <c r="N140" s="76" t="n"/>
      <c r="O140" s="76" t="inlineStr">
        <is>
          <t>C.056</t>
        </is>
      </c>
      <c r="P140" s="76" t="inlineStr">
        <is>
          <t>Terminate</t>
        </is>
      </c>
      <c r="Q140" s="76" t="inlineStr">
        <is>
          <t>at expiry</t>
        </is>
      </c>
      <c r="R140" s="76" t="inlineStr">
        <is>
          <t>Vendor Gamma</t>
        </is>
      </c>
      <c r="S140" s="87" t="n"/>
    </row>
    <row r="141" ht="24" customHeight="1" s="69">
      <c r="A141" s="95" t="inlineStr">
        <is>
          <t>Voice</t>
        </is>
      </c>
      <c r="B141" s="96" t="n">
        <v>31</v>
      </c>
      <c r="C141" s="96" t="n">
        <v>2002965</v>
      </c>
      <c r="D141" s="96" t="inlineStr">
        <is>
          <t>NL</t>
        </is>
      </c>
      <c r="E141" s="96" t="inlineStr">
        <is>
          <t>WPS (W&amp;CI/SP&amp;SV)</t>
        </is>
      </c>
      <c r="F141" s="96" t="inlineStr">
        <is>
          <t>TelCo</t>
        </is>
      </c>
      <c r="G141" s="96" t="inlineStr">
        <is>
          <t>2e/3e maintenance</t>
        </is>
      </c>
      <c r="H141" s="97" t="n">
        <v>38922</v>
      </c>
      <c r="I141" s="106" t="n">
        <v>23648</v>
      </c>
      <c r="J141" s="99" t="n">
        <v>1</v>
      </c>
      <c r="K141" s="96" t="inlineStr">
        <is>
          <t>PABX</t>
        </is>
      </c>
      <c r="L141" s="96" t="n"/>
      <c r="M141" s="96" t="n"/>
      <c r="N141" s="96" t="n"/>
      <c r="O141" s="96" t="inlineStr">
        <is>
          <t>C.058</t>
        </is>
      </c>
      <c r="P141" s="96" t="inlineStr">
        <is>
          <t>Novate</t>
        </is>
      </c>
      <c r="Q141" s="96" t="n"/>
      <c r="R141" s="96" t="inlineStr">
        <is>
          <t>TelCo</t>
        </is>
      </c>
      <c r="S141" s="100" t="n"/>
      <c r="T141" s="77" t="n"/>
    </row>
    <row r="142" ht="24" customHeight="1" s="69">
      <c r="A142" s="77" t="inlineStr">
        <is>
          <t>Lan</t>
        </is>
      </c>
      <c r="B142" s="76" t="n"/>
      <c r="C142" s="76" t="n">
        <v>2003109</v>
      </c>
      <c r="D142" s="76" t="inlineStr">
        <is>
          <t>NL</t>
        </is>
      </c>
      <c r="E142" s="76" t="inlineStr">
        <is>
          <t>DCO</t>
        </is>
      </c>
      <c r="F142" s="76" t="inlineStr">
        <is>
          <t>VOSKO NETWORKING B.V.</t>
        </is>
      </c>
      <c r="G142" s="76" t="inlineStr">
        <is>
          <t>Onderhoud hard- en software mbt Vosko apparatuur</t>
        </is>
      </c>
      <c r="H142" s="84" t="n">
        <v>39082</v>
      </c>
      <c r="I142" s="90" t="n">
        <v>1361</v>
      </c>
      <c r="J142" s="86" t="n">
        <v>0.5</v>
      </c>
      <c r="K142" s="76" t="inlineStr">
        <is>
          <t>Hardware Onderhoud</t>
        </is>
      </c>
      <c r="L142" s="76" t="n"/>
      <c r="M142" s="76" t="n"/>
      <c r="N142" s="76" t="n"/>
      <c r="O142" s="76" t="inlineStr">
        <is>
          <t>C.068</t>
        </is>
      </c>
      <c r="P142" s="76" t="inlineStr">
        <is>
          <t>Novate</t>
        </is>
      </c>
      <c r="Q142" s="76" t="n"/>
      <c r="R142" s="76" t="inlineStr">
        <is>
          <t>TelCo</t>
        </is>
      </c>
      <c r="S142" s="87">
        <f>7428/12</f>
        <v/>
      </c>
      <c r="T142" s="77" t="n"/>
    </row>
    <row r="143" ht="24" customHeight="1" s="69">
      <c r="A143" s="77" t="inlineStr">
        <is>
          <t>Cross</t>
        </is>
      </c>
      <c r="B143" s="76" t="n"/>
      <c r="C143" s="76" t="n">
        <v>2003646</v>
      </c>
      <c r="D143" s="76" t="inlineStr">
        <is>
          <t>NL</t>
        </is>
      </c>
      <c r="E143" s="76" t="inlineStr">
        <is>
          <t>DCO</t>
        </is>
      </c>
      <c r="F143" s="76" t="inlineStr">
        <is>
          <t>IBM NEDERLAND BV</t>
        </is>
      </c>
      <c r="G143" s="76" t="inlineStr">
        <is>
          <t>Levering Priority Support op Lotus omgeving</t>
        </is>
      </c>
      <c r="H143" s="84" t="n">
        <v>38656</v>
      </c>
      <c r="I143" s="90" t="n">
        <v>4416</v>
      </c>
      <c r="J143" s="86" t="n">
        <v>1</v>
      </c>
      <c r="K143" s="76" t="inlineStr">
        <is>
          <t>Software Onderhoud - Infra</t>
        </is>
      </c>
      <c r="L143" s="76" t="n"/>
      <c r="M143" s="76" t="n"/>
      <c r="N143" s="76" t="n"/>
      <c r="O143" s="76" t="inlineStr">
        <is>
          <t>C.072</t>
        </is>
      </c>
      <c r="P143" s="76" t="inlineStr">
        <is>
          <t xml:space="preserve"> novate</t>
        </is>
      </c>
      <c r="Q143" s="76" t="n"/>
      <c r="R143" s="76" t="inlineStr">
        <is>
          <t>VendorA</t>
        </is>
      </c>
      <c r="S143" s="87" t="n">
        <v>4416</v>
      </c>
    </row>
    <row r="144" ht="24" customHeight="1" s="69">
      <c r="A144" s="77" t="inlineStr">
        <is>
          <t>Voice</t>
        </is>
      </c>
      <c r="B144" s="76" t="n">
        <v>64</v>
      </c>
      <c r="C144" s="76" t="n">
        <v>2004052</v>
      </c>
      <c r="D144" s="76" t="inlineStr">
        <is>
          <t>NL</t>
        </is>
      </c>
      <c r="E144" s="76" t="inlineStr">
        <is>
          <t>DCO</t>
        </is>
      </c>
      <c r="F144" s="76" t="inlineStr">
        <is>
          <t>TALK &amp; VISION  SERVICE B.V.</t>
        </is>
      </c>
      <c r="G144" s="76" t="inlineStr">
        <is>
          <t>Maintenance MCU</t>
        </is>
      </c>
      <c r="H144" s="84" t="n">
        <v>39294</v>
      </c>
      <c r="I144" s="90" t="n">
        <v>11119</v>
      </c>
      <c r="J144" s="86" t="n">
        <v>1</v>
      </c>
      <c r="K144" s="76" t="inlineStr">
        <is>
          <t>MCU (not SP&amp;SV)</t>
        </is>
      </c>
      <c r="L144" s="76" t="n"/>
      <c r="M144" s="76" t="n"/>
      <c r="N144" s="76" t="n"/>
      <c r="O144" s="76" t="inlineStr">
        <is>
          <t>C.074</t>
        </is>
      </c>
      <c r="P144" s="76" t="inlineStr">
        <is>
          <t>Novate</t>
        </is>
      </c>
      <c r="Q144" s="76" t="n"/>
      <c r="R144" s="76" t="inlineStr">
        <is>
          <t>TelCo</t>
        </is>
      </c>
      <c r="S144" s="87" t="n">
        <v>5000</v>
      </c>
      <c r="T144" s="77" t="n"/>
    </row>
    <row r="145" ht="24" customHeight="1" s="69">
      <c r="A145" s="77" t="inlineStr">
        <is>
          <t>Voice</t>
        </is>
      </c>
      <c r="B145" s="76" t="n">
        <v>9</v>
      </c>
      <c r="C145" s="76" t="n">
        <v>2004688</v>
      </c>
      <c r="D145" s="76" t="inlineStr">
        <is>
          <t>NL</t>
        </is>
      </c>
      <c r="E145" s="76" t="inlineStr">
        <is>
          <t>WPS (W&amp;CI/SP&amp;SV)</t>
        </is>
      </c>
      <c r="F145" s="84" t="inlineStr">
        <is>
          <t>AVAYA NEDERLAND BV</t>
        </is>
      </c>
      <c r="G145" s="109" t="inlineStr">
        <is>
          <t>Maintenance PABX Postbank Arnhem</t>
        </is>
      </c>
      <c r="H145" s="84" t="n">
        <v>39172</v>
      </c>
      <c r="I145" s="90" t="n">
        <v>7186</v>
      </c>
      <c r="J145" s="86" t="n">
        <v>1</v>
      </c>
      <c r="K145" s="76" t="inlineStr">
        <is>
          <t>PABX+ Nice voicelog.</t>
        </is>
      </c>
      <c r="L145" s="76" t="n"/>
      <c r="M145" s="76" t="n"/>
      <c r="N145" s="76" t="n"/>
      <c r="O145" s="76" t="inlineStr">
        <is>
          <t>C.075</t>
        </is>
      </c>
      <c r="P145" s="76" t="inlineStr">
        <is>
          <t>Novate</t>
        </is>
      </c>
      <c r="Q145" s="76" t="n"/>
      <c r="R145" s="76" t="inlineStr">
        <is>
          <t>TelCo</t>
        </is>
      </c>
      <c r="S145" s="87" t="inlineStr">
        <is>
          <t>included in E014</t>
        </is>
      </c>
      <c r="T145" s="77" t="n"/>
    </row>
    <row r="146" ht="24" customHeight="1" s="69">
      <c r="A146" s="77" t="inlineStr">
        <is>
          <t>Voice</t>
        </is>
      </c>
      <c r="B146" s="76" t="n">
        <v>11</v>
      </c>
      <c r="C146" s="76" t="n">
        <v>2004691</v>
      </c>
      <c r="D146" s="76" t="inlineStr">
        <is>
          <t>NL</t>
        </is>
      </c>
      <c r="E146" s="76" t="inlineStr">
        <is>
          <t>WPS (W&amp;CI/SP&amp;SV)</t>
        </is>
      </c>
      <c r="F146" s="84" t="inlineStr">
        <is>
          <t>AVAYA NEDERLAND BV</t>
        </is>
      </c>
      <c r="G146" s="109" t="inlineStr">
        <is>
          <t>Maintenance PABX IBN Capelle</t>
        </is>
      </c>
      <c r="H146" s="84" t="n">
        <v>39172</v>
      </c>
      <c r="I146" s="90" t="n">
        <v>2510</v>
      </c>
      <c r="J146" s="86" t="n">
        <v>1</v>
      </c>
      <c r="K146" s="76" t="inlineStr">
        <is>
          <t>PABX+ Nice voicelog.</t>
        </is>
      </c>
      <c r="L146" s="76" t="n"/>
      <c r="M146" s="76" t="n"/>
      <c r="N146" s="76" t="n"/>
      <c r="O146" s="76" t="inlineStr">
        <is>
          <t>C.076</t>
        </is>
      </c>
      <c r="P146" s="76" t="inlineStr">
        <is>
          <t>Novate</t>
        </is>
      </c>
      <c r="Q146" s="76" t="n"/>
      <c r="R146" s="76" t="inlineStr">
        <is>
          <t>TelCo</t>
        </is>
      </c>
      <c r="S146" s="87" t="inlineStr">
        <is>
          <t>included in E014</t>
        </is>
      </c>
      <c r="T146" s="77" t="n"/>
    </row>
    <row r="147" ht="24" customHeight="1" s="69">
      <c r="A147" s="77" t="inlineStr">
        <is>
          <t>Voice</t>
        </is>
      </c>
      <c r="B147" s="76" t="n">
        <v>12</v>
      </c>
      <c r="C147" s="76" t="n">
        <v>2004692</v>
      </c>
      <c r="D147" s="76" t="inlineStr">
        <is>
          <t>NL</t>
        </is>
      </c>
      <c r="E147" s="76" t="inlineStr">
        <is>
          <t>WPS (W&amp;CI/SP&amp;SV)</t>
        </is>
      </c>
      <c r="F147" s="84" t="inlineStr">
        <is>
          <t>AVAYA NEDERLAND BV</t>
        </is>
      </c>
      <c r="G147" s="76" t="inlineStr">
        <is>
          <t>2e/3e maintenance IBN Groningen</t>
        </is>
      </c>
      <c r="H147" s="84" t="n">
        <v>39172</v>
      </c>
      <c r="I147" s="90" t="n">
        <v>1329</v>
      </c>
      <c r="J147" s="86" t="n">
        <v>1</v>
      </c>
      <c r="K147" s="76" t="inlineStr">
        <is>
          <t>PABX</t>
        </is>
      </c>
      <c r="L147" s="76" t="n"/>
      <c r="M147" s="76" t="n"/>
      <c r="N147" s="76" t="n"/>
      <c r="O147" s="76" t="inlineStr">
        <is>
          <t>C.077</t>
        </is>
      </c>
      <c r="P147" s="76" t="inlineStr">
        <is>
          <t>Novate</t>
        </is>
      </c>
      <c r="Q147" s="76" t="n"/>
      <c r="R147" s="76" t="inlineStr">
        <is>
          <t>TelCo</t>
        </is>
      </c>
      <c r="S147" s="87" t="inlineStr">
        <is>
          <t>included in E014</t>
        </is>
      </c>
      <c r="T147" s="77" t="n"/>
    </row>
    <row r="148" ht="24" customHeight="1" s="69">
      <c r="A148" s="77" t="inlineStr">
        <is>
          <t>Voice</t>
        </is>
      </c>
      <c r="B148" s="76" t="n">
        <v>7</v>
      </c>
      <c r="C148" s="76" t="n">
        <v>2004693</v>
      </c>
      <c r="D148" s="76" t="inlineStr">
        <is>
          <t>NL</t>
        </is>
      </c>
      <c r="E148" s="76" t="inlineStr">
        <is>
          <t>WPS (W&amp;CI/SP&amp;SV)</t>
        </is>
      </c>
      <c r="F148" s="84" t="inlineStr">
        <is>
          <t>AVAYA NEDERLAND BV</t>
        </is>
      </c>
      <c r="G148" s="76" t="inlineStr">
        <is>
          <t>2e/3e maintenance IBN Arnhem</t>
        </is>
      </c>
      <c r="H148" s="84" t="n">
        <v>39172</v>
      </c>
      <c r="I148" s="90" t="n">
        <v>2036</v>
      </c>
      <c r="J148" s="86" t="n">
        <v>1</v>
      </c>
      <c r="K148" s="76" t="inlineStr">
        <is>
          <t>PABX + Nice voicelog.</t>
        </is>
      </c>
      <c r="L148" s="76" t="n"/>
      <c r="M148" s="76" t="n"/>
      <c r="N148" s="76" t="n"/>
      <c r="O148" s="76" t="inlineStr">
        <is>
          <t>C.078</t>
        </is>
      </c>
      <c r="P148" s="76" t="inlineStr">
        <is>
          <t>Novate</t>
        </is>
      </c>
      <c r="Q148" s="76" t="n"/>
      <c r="R148" s="76" t="inlineStr">
        <is>
          <t>TelCo</t>
        </is>
      </c>
      <c r="S148" s="87" t="inlineStr">
        <is>
          <t>included in E014</t>
        </is>
      </c>
      <c r="T148" s="77" t="n"/>
    </row>
    <row r="149" ht="24" customHeight="1" s="69">
      <c r="A149" s="77" t="inlineStr">
        <is>
          <t>Voice</t>
        </is>
      </c>
      <c r="B149" s="76" t="n">
        <v>13</v>
      </c>
      <c r="C149" s="76" t="n">
        <v>2004694</v>
      </c>
      <c r="D149" s="76" t="inlineStr">
        <is>
          <t>NL</t>
        </is>
      </c>
      <c r="E149" s="76" t="inlineStr">
        <is>
          <t>WPS (W&amp;CI/SP&amp;SV)</t>
        </is>
      </c>
      <c r="F149" s="84" t="inlineStr">
        <is>
          <t>AVAYA NEDERLAND BV</t>
        </is>
      </c>
      <c r="G149" s="76" t="inlineStr">
        <is>
          <t>2e/3e maintenance IBN Diemen</t>
        </is>
      </c>
      <c r="H149" s="84" t="n">
        <v>39172</v>
      </c>
      <c r="I149" s="90" t="n">
        <v>8470</v>
      </c>
      <c r="J149" s="86" t="n">
        <v>1</v>
      </c>
      <c r="K149" s="76" t="inlineStr">
        <is>
          <t>PABX</t>
        </is>
      </c>
      <c r="L149" s="76" t="n"/>
      <c r="M149" s="76" t="n"/>
      <c r="N149" s="76" t="n"/>
      <c r="O149" s="76" t="inlineStr">
        <is>
          <t>C.079</t>
        </is>
      </c>
      <c r="P149" s="76" t="inlineStr">
        <is>
          <t>Novate</t>
        </is>
      </c>
      <c r="Q149" s="76" t="n"/>
      <c r="R149" s="76" t="inlineStr">
        <is>
          <t>TelCo</t>
        </is>
      </c>
      <c r="S149" s="87" t="inlineStr">
        <is>
          <t>included in E014</t>
        </is>
      </c>
      <c r="T149" s="77" t="n"/>
    </row>
    <row r="150" ht="24" customHeight="1" s="69">
      <c r="A150" s="77" t="inlineStr">
        <is>
          <t>Voice</t>
        </is>
      </c>
      <c r="B150" s="76" t="n">
        <v>10</v>
      </c>
      <c r="C150" s="76" t="n">
        <v>2004696</v>
      </c>
      <c r="D150" s="76" t="inlineStr">
        <is>
          <t>NL</t>
        </is>
      </c>
      <c r="E150" s="76" t="inlineStr">
        <is>
          <t>WPS (W&amp;CI/SP&amp;SV)</t>
        </is>
      </c>
      <c r="F150" s="84" t="inlineStr">
        <is>
          <t>AVAYA NEDERLAND BV</t>
        </is>
      </c>
      <c r="G150" s="76" t="inlineStr">
        <is>
          <t>2e/3e maintenance  Shared Servcie ceters hypotheken</t>
        </is>
      </c>
      <c r="H150" s="84" t="n">
        <v>39172</v>
      </c>
      <c r="I150" s="90" t="n">
        <v>5805</v>
      </c>
      <c r="J150" s="86" t="n">
        <v>1</v>
      </c>
      <c r="K150" s="76" t="inlineStr">
        <is>
          <t>PABX+ Nice voicelog.</t>
        </is>
      </c>
      <c r="L150" s="76" t="n"/>
      <c r="M150" s="76" t="n"/>
      <c r="N150" s="76" t="n"/>
      <c r="O150" s="76" t="inlineStr">
        <is>
          <t>C.080</t>
        </is>
      </c>
      <c r="P150" s="76" t="inlineStr">
        <is>
          <t>Novate</t>
        </is>
      </c>
      <c r="Q150" s="76" t="n"/>
      <c r="R150" s="76" t="inlineStr">
        <is>
          <t>TelCo</t>
        </is>
      </c>
      <c r="S150" s="87" t="inlineStr">
        <is>
          <t>included in E014</t>
        </is>
      </c>
      <c r="T150" s="77" t="n"/>
    </row>
    <row r="151" ht="24" customHeight="1" s="69">
      <c r="A151" s="77" t="inlineStr">
        <is>
          <t>Voice</t>
        </is>
      </c>
      <c r="B151" s="76" t="n">
        <v>8</v>
      </c>
      <c r="C151" s="76" t="n">
        <v>2004697</v>
      </c>
      <c r="D151" s="76" t="inlineStr">
        <is>
          <t>NL</t>
        </is>
      </c>
      <c r="E151" s="76" t="inlineStr">
        <is>
          <t>WPS (W&amp;CI/SP&amp;SV)</t>
        </is>
      </c>
      <c r="F151" s="84" t="inlineStr">
        <is>
          <t>AVAYA NEDERLAND BV</t>
        </is>
      </c>
      <c r="G151" s="76" t="inlineStr">
        <is>
          <t>2e/3e maintenance EuroBank Arenda</t>
        </is>
      </c>
      <c r="H151" s="84" t="n">
        <v>39172</v>
      </c>
      <c r="I151" s="90" t="n">
        <v>3699</v>
      </c>
      <c r="J151" s="86" t="n">
        <v>1</v>
      </c>
      <c r="K151" s="76" t="inlineStr">
        <is>
          <t>PABX</t>
        </is>
      </c>
      <c r="L151" s="76" t="n"/>
      <c r="M151" s="76" t="n"/>
      <c r="N151" s="76" t="n"/>
      <c r="O151" s="76" t="inlineStr">
        <is>
          <t>C.081</t>
        </is>
      </c>
      <c r="P151" s="76" t="inlineStr">
        <is>
          <t>Novate</t>
        </is>
      </c>
      <c r="Q151" s="76" t="n"/>
      <c r="R151" s="76" t="inlineStr">
        <is>
          <t>TelCo</t>
        </is>
      </c>
      <c r="S151" s="87" t="inlineStr">
        <is>
          <t>included in E014</t>
        </is>
      </c>
      <c r="T151" s="77" t="n"/>
    </row>
    <row r="152" ht="24" customHeight="1" s="69">
      <c r="A152" s="77" t="inlineStr">
        <is>
          <t>Voice</t>
        </is>
      </c>
      <c r="B152" s="76" t="n">
        <v>4</v>
      </c>
      <c r="C152" s="76" t="n">
        <v>2004698</v>
      </c>
      <c r="D152" s="76" t="inlineStr">
        <is>
          <t>NL</t>
        </is>
      </c>
      <c r="E152" s="76" t="inlineStr">
        <is>
          <t>WPS (W&amp;CI/SP&amp;SV)</t>
        </is>
      </c>
      <c r="F152" s="84" t="inlineStr">
        <is>
          <t>AVAYA NEDERLAND BV</t>
        </is>
      </c>
      <c r="G152" s="76" t="inlineStr">
        <is>
          <t>2e/3e maintenance Fiditon Amsterdam</t>
        </is>
      </c>
      <c r="H152" s="84" t="n">
        <v>39172</v>
      </c>
      <c r="I152" s="90" t="n">
        <v>928</v>
      </c>
      <c r="J152" s="86" t="n">
        <v>1</v>
      </c>
      <c r="K152" s="76" t="inlineStr">
        <is>
          <t>PABX</t>
        </is>
      </c>
      <c r="L152" s="76" t="n"/>
      <c r="M152" s="76" t="n"/>
      <c r="N152" s="76" t="n"/>
      <c r="O152" s="76" t="inlineStr">
        <is>
          <t>C.082</t>
        </is>
      </c>
      <c r="P152" s="76" t="inlineStr">
        <is>
          <t>Novate</t>
        </is>
      </c>
      <c r="Q152" s="76" t="n"/>
      <c r="R152" s="76" t="inlineStr">
        <is>
          <t>TelCo</t>
        </is>
      </c>
      <c r="S152" s="87" t="inlineStr">
        <is>
          <t>included in E014</t>
        </is>
      </c>
      <c r="T152" s="77" t="n"/>
    </row>
    <row r="153" ht="24" customHeight="1" s="69">
      <c r="A153" s="77" t="inlineStr">
        <is>
          <t>Voice</t>
        </is>
      </c>
      <c r="B153" s="76" t="n">
        <v>3</v>
      </c>
      <c r="C153" s="76" t="n">
        <v>2004699</v>
      </c>
      <c r="D153" s="76" t="inlineStr">
        <is>
          <t>NL</t>
        </is>
      </c>
      <c r="E153" s="76" t="inlineStr">
        <is>
          <t>WPS (W&amp;CI/SP&amp;SV)</t>
        </is>
      </c>
      <c r="F153" s="84" t="inlineStr">
        <is>
          <t>AVAYA NEDERLAND BV</t>
        </is>
      </c>
      <c r="G153" s="76" t="inlineStr">
        <is>
          <t>2e/3e maintenance RVS Ede</t>
        </is>
      </c>
      <c r="H153" s="84" t="n">
        <v>39172</v>
      </c>
      <c r="I153" s="90" t="n">
        <v>8471</v>
      </c>
      <c r="J153" s="86" t="n">
        <v>1</v>
      </c>
      <c r="K153" s="76" t="inlineStr">
        <is>
          <t>PABX</t>
        </is>
      </c>
      <c r="L153" s="76" t="n"/>
      <c r="M153" s="76" t="n"/>
      <c r="N153" s="76" t="n"/>
      <c r="O153" s="76" t="inlineStr">
        <is>
          <t>C.083</t>
        </is>
      </c>
      <c r="P153" s="76" t="inlineStr">
        <is>
          <t>Novate</t>
        </is>
      </c>
      <c r="Q153" s="76" t="n"/>
      <c r="R153" s="76" t="inlineStr">
        <is>
          <t>TelCo</t>
        </is>
      </c>
      <c r="S153" s="87" t="inlineStr">
        <is>
          <t>included in E014</t>
        </is>
      </c>
      <c r="T153" s="77" t="n"/>
    </row>
    <row r="154" ht="24" customHeight="1" s="69">
      <c r="A154" s="77" t="inlineStr">
        <is>
          <t>Voice</t>
        </is>
      </c>
      <c r="B154" s="76" t="n">
        <v>0</v>
      </c>
      <c r="C154" s="76" t="n">
        <v>2004700</v>
      </c>
      <c r="D154" s="76" t="inlineStr">
        <is>
          <t>NL</t>
        </is>
      </c>
      <c r="E154" s="76" t="inlineStr">
        <is>
          <t>OPS&amp;IT Banking/Infra/WPS (W&amp;CI/SP&amp;SV)</t>
        </is>
      </c>
      <c r="F154" s="84" t="inlineStr">
        <is>
          <t>AVAYA NEDERLAND BV</t>
        </is>
      </c>
      <c r="G154" s="76" t="inlineStr">
        <is>
          <t>2e/3e maintenance Postbank Amsterdam</t>
        </is>
      </c>
      <c r="H154" s="84" t="n">
        <v>39172</v>
      </c>
      <c r="I154" s="90" t="n">
        <v>9697</v>
      </c>
      <c r="J154" s="86" t="n">
        <v>1</v>
      </c>
      <c r="K154" s="76" t="n">
        <v>0</v>
      </c>
      <c r="L154" s="76" t="n"/>
      <c r="M154" s="76" t="n"/>
      <c r="N154" s="76" t="n"/>
      <c r="O154" s="76" t="inlineStr">
        <is>
          <t>C.084</t>
        </is>
      </c>
      <c r="P154" s="76" t="inlineStr">
        <is>
          <t>Novate</t>
        </is>
      </c>
      <c r="Q154" s="76" t="n"/>
      <c r="R154" s="76" t="inlineStr">
        <is>
          <t>TelCo</t>
        </is>
      </c>
      <c r="S154" s="87" t="inlineStr">
        <is>
          <t>included in E014</t>
        </is>
      </c>
      <c r="T154" s="77" t="n"/>
    </row>
    <row r="155" ht="24" customHeight="1" s="69">
      <c r="A155" s="77" t="inlineStr">
        <is>
          <t>Voice</t>
        </is>
      </c>
      <c r="B155" s="76" t="n">
        <v>2</v>
      </c>
      <c r="C155" s="76" t="n">
        <v>2004701</v>
      </c>
      <c r="D155" s="76" t="inlineStr">
        <is>
          <t>NL</t>
        </is>
      </c>
      <c r="E155" s="76" t="inlineStr">
        <is>
          <t>WPS (W&amp;CI/SP&amp;SV)</t>
        </is>
      </c>
      <c r="F155" s="84" t="inlineStr">
        <is>
          <t>AVAYA NEDERLAND BV</t>
        </is>
      </c>
      <c r="G155" s="76" t="inlineStr">
        <is>
          <t>2e/3e maintenance Postbank Leeuwarden</t>
        </is>
      </c>
      <c r="H155" s="84" t="n">
        <v>39172</v>
      </c>
      <c r="I155" s="90" t="n">
        <v>8088</v>
      </c>
      <c r="J155" s="86" t="n">
        <v>1</v>
      </c>
      <c r="K155" s="76" t="inlineStr">
        <is>
          <t>PABX</t>
        </is>
      </c>
      <c r="L155" s="76" t="n"/>
      <c r="M155" s="76" t="n"/>
      <c r="N155" s="76" t="n"/>
      <c r="O155" s="76" t="inlineStr">
        <is>
          <t>C.085</t>
        </is>
      </c>
      <c r="P155" s="76" t="inlineStr">
        <is>
          <t>Novate</t>
        </is>
      </c>
      <c r="Q155" s="76" t="n"/>
      <c r="R155" s="76" t="inlineStr">
        <is>
          <t>TelCo</t>
        </is>
      </c>
      <c r="S155" s="87" t="inlineStr">
        <is>
          <t>included in E014</t>
        </is>
      </c>
      <c r="T155" s="77" t="n"/>
    </row>
    <row r="156" ht="24" customHeight="1" s="69">
      <c r="A156" s="77" t="inlineStr">
        <is>
          <t>Voice</t>
        </is>
      </c>
      <c r="B156" s="76" t="n">
        <v>5</v>
      </c>
      <c r="C156" s="76" t="n">
        <v>2004935</v>
      </c>
      <c r="D156" s="76" t="inlineStr">
        <is>
          <t>NL</t>
        </is>
      </c>
      <c r="E156" s="76" t="inlineStr">
        <is>
          <t>WPS (W&amp;CI/SP&amp;SV)</t>
        </is>
      </c>
      <c r="F156" s="84" t="inlineStr">
        <is>
          <t>AVAYA NEDERLAND BV</t>
        </is>
      </c>
      <c r="G156" s="76" t="inlineStr">
        <is>
          <t>2e/3e maintenance NN Rotterdam</t>
        </is>
      </c>
      <c r="H156" s="84" t="n">
        <v>39172</v>
      </c>
      <c r="I156" s="90" t="n">
        <v>4235</v>
      </c>
      <c r="J156" s="86" t="n">
        <v>1</v>
      </c>
      <c r="K156" s="76" t="inlineStr">
        <is>
          <t>PABX</t>
        </is>
      </c>
      <c r="L156" s="76" t="n"/>
      <c r="M156" s="76" t="n"/>
      <c r="N156" s="76" t="n"/>
      <c r="O156" s="76" t="inlineStr">
        <is>
          <t>C.086</t>
        </is>
      </c>
      <c r="P156" s="76" t="inlineStr">
        <is>
          <t>Novate</t>
        </is>
      </c>
      <c r="Q156" s="76" t="n"/>
      <c r="R156" s="76" t="inlineStr">
        <is>
          <t>TelCo</t>
        </is>
      </c>
      <c r="S156" s="87" t="inlineStr">
        <is>
          <t>included in E014</t>
        </is>
      </c>
      <c r="T156" s="77" t="n"/>
    </row>
    <row r="157" ht="24" customHeight="1" s="69">
      <c r="A157" s="77" t="inlineStr">
        <is>
          <t>Voice</t>
        </is>
      </c>
      <c r="B157" s="76" t="n">
        <v>1</v>
      </c>
      <c r="C157" s="76" t="n">
        <v>2004936</v>
      </c>
      <c r="D157" s="76" t="inlineStr">
        <is>
          <t>NL</t>
        </is>
      </c>
      <c r="E157" s="76" t="inlineStr">
        <is>
          <t>WPS (W&amp;CI/SP&amp;SV)</t>
        </is>
      </c>
      <c r="F157" s="84" t="inlineStr">
        <is>
          <t>AVAYA NEDERLAND BV</t>
        </is>
      </c>
      <c r="G157" s="76" t="inlineStr">
        <is>
          <t>2e/3e maintenance NN Den Haag</t>
        </is>
      </c>
      <c r="H157" s="84" t="n">
        <v>39172</v>
      </c>
      <c r="I157" s="90" t="n">
        <v>12159</v>
      </c>
      <c r="J157" s="86" t="n">
        <v>1</v>
      </c>
      <c r="K157" s="76" t="inlineStr">
        <is>
          <t xml:space="preserve">PABX </t>
        </is>
      </c>
      <c r="L157" s="76" t="n"/>
      <c r="M157" s="76" t="n"/>
      <c r="N157" s="76" t="n"/>
      <c r="O157" s="76" t="inlineStr">
        <is>
          <t>C.087</t>
        </is>
      </c>
      <c r="P157" s="76" t="inlineStr">
        <is>
          <t>Novate</t>
        </is>
      </c>
      <c r="Q157" s="76" t="n"/>
      <c r="R157" s="76" t="inlineStr">
        <is>
          <t>TelCo</t>
        </is>
      </c>
      <c r="S157" s="87" t="inlineStr">
        <is>
          <t>included in E014</t>
        </is>
      </c>
      <c r="T157" s="77" t="n"/>
    </row>
    <row r="158" ht="47.4" customHeight="1" s="69">
      <c r="A158" s="77" t="inlineStr">
        <is>
          <t>DTHW</t>
        </is>
      </c>
      <c r="B158" s="76" t="n"/>
      <c r="C158" s="76" t="n"/>
      <c r="D158" s="76" t="inlineStr">
        <is>
          <t>NL</t>
        </is>
      </c>
      <c r="E158" s="76" t="n"/>
      <c r="F158" s="76" t="inlineStr">
        <is>
          <t>Canon/Xerox</t>
        </is>
      </c>
      <c r="G158" s="76" t="inlineStr">
        <is>
          <t>Pricop, Multifunction Copieers     nr 2003742 (Xerox) en 2003741 (CANON)</t>
        </is>
      </c>
      <c r="H158" s="84" t="n"/>
      <c r="I158" s="90" t="n">
        <v>141183</v>
      </c>
      <c r="J158" s="92" t="n">
        <v>0</v>
      </c>
      <c r="K158" s="76" t="n"/>
      <c r="L158" s="76" t="n"/>
      <c r="M158" s="76" t="n"/>
      <c r="N158" s="76" t="n"/>
      <c r="O158" s="76" t="inlineStr">
        <is>
          <t>C.092</t>
        </is>
      </c>
      <c r="P158" s="76" t="inlineStr">
        <is>
          <t>Retained</t>
        </is>
      </c>
      <c r="Q158" s="76" t="n"/>
      <c r="R158" s="76" t="inlineStr">
        <is>
          <t>Vendor Gamma</t>
        </is>
      </c>
      <c r="S158" s="87" t="n"/>
    </row>
    <row r="159" ht="24" customHeight="1" s="69">
      <c r="A159" s="77" t="inlineStr">
        <is>
          <t>DTHW</t>
        </is>
      </c>
      <c r="B159" s="76" t="n"/>
      <c r="C159" s="76" t="n">
        <v>2005422</v>
      </c>
      <c r="D159" s="76" t="inlineStr">
        <is>
          <t>NL</t>
        </is>
      </c>
      <c r="E159" s="76" t="inlineStr">
        <is>
          <t>WPS (CADS)</t>
        </is>
      </c>
      <c r="F159" s="76" t="inlineStr">
        <is>
          <t>OCE</t>
        </is>
      </c>
      <c r="G159" s="76" t="inlineStr">
        <is>
          <t>Maintenance OCE copiers ZT</t>
        </is>
      </c>
      <c r="H159" s="84" t="n">
        <v>39295</v>
      </c>
      <c r="I159" s="90" t="n">
        <v>16631</v>
      </c>
      <c r="J159" s="86" t="n">
        <v>1</v>
      </c>
      <c r="K159" s="76" t="inlineStr">
        <is>
          <t>hw</t>
        </is>
      </c>
      <c r="L159" s="76" t="n"/>
      <c r="M159" s="76" t="n"/>
      <c r="N159" s="76" t="n"/>
      <c r="O159" s="76" t="inlineStr">
        <is>
          <t>C.093</t>
        </is>
      </c>
      <c r="P159" s="76" t="inlineStr">
        <is>
          <t>Retained</t>
        </is>
      </c>
      <c r="Q159" s="76" t="n"/>
      <c r="R159" s="76" t="inlineStr">
        <is>
          <t>Vendor Gamma</t>
        </is>
      </c>
      <c r="S159" s="87" t="n"/>
    </row>
    <row r="160" ht="24" customHeight="1" s="69">
      <c r="A160" s="77" t="inlineStr">
        <is>
          <t>Voice</t>
        </is>
      </c>
      <c r="B160" s="76" t="n">
        <v>6</v>
      </c>
      <c r="C160" s="76" t="n"/>
      <c r="D160" s="76" t="inlineStr">
        <is>
          <t>NL</t>
        </is>
      </c>
      <c r="E160" s="76" t="inlineStr">
        <is>
          <t>WPS (W&amp;CI/SP&amp;SV)</t>
        </is>
      </c>
      <c r="F160" s="84" t="inlineStr">
        <is>
          <t>AVAYA NEDERLAND BV</t>
        </is>
      </c>
      <c r="G160" s="76" t="inlineStr">
        <is>
          <t>2e/3e maintenance NN Leeuwarden de Zwei</t>
        </is>
      </c>
      <c r="H160" s="84" t="n">
        <v>39172</v>
      </c>
      <c r="I160" s="90" t="n">
        <v>2118</v>
      </c>
      <c r="J160" s="86" t="n">
        <v>1</v>
      </c>
      <c r="K160" s="76" t="inlineStr">
        <is>
          <t>PABX</t>
        </is>
      </c>
      <c r="L160" s="76" t="n"/>
      <c r="M160" s="76" t="n"/>
      <c r="N160" s="76" t="n"/>
      <c r="O160" s="76" t="inlineStr">
        <is>
          <t>C.110</t>
        </is>
      </c>
      <c r="P160" s="76" t="inlineStr">
        <is>
          <t>Novate</t>
        </is>
      </c>
      <c r="Q160" s="76" t="n"/>
      <c r="R160" s="76" t="inlineStr">
        <is>
          <t>TelCo</t>
        </is>
      </c>
      <c r="S160" s="87" t="inlineStr">
        <is>
          <t>included in E014</t>
        </is>
      </c>
      <c r="T160" s="77" t="n"/>
    </row>
    <row r="161" ht="24" customHeight="1" s="69">
      <c r="A161" s="95" t="inlineStr">
        <is>
          <t>DTHW</t>
        </is>
      </c>
      <c r="B161" s="96" t="n"/>
      <c r="C161" s="96" t="n"/>
      <c r="D161" s="96" t="inlineStr">
        <is>
          <t>NL</t>
        </is>
      </c>
      <c r="E161" s="96" t="inlineStr">
        <is>
          <t>WIA</t>
        </is>
      </c>
      <c r="F161" s="96" t="inlineStr">
        <is>
          <t>Vendor Gamma infrastructure solutions</t>
        </is>
      </c>
      <c r="G161" s="96" t="inlineStr">
        <is>
          <t>Maintenance BErings contract</t>
        </is>
      </c>
      <c r="H161" s="97" t="n">
        <v>38717</v>
      </c>
      <c r="I161" s="106" t="n">
        <v>48708</v>
      </c>
      <c r="J161" s="99" t="n">
        <v>1</v>
      </c>
      <c r="K161" s="96" t="n"/>
      <c r="L161" s="96" t="n"/>
      <c r="M161" s="96" t="n"/>
      <c r="N161" s="96" t="n"/>
      <c r="O161" s="96" t="inlineStr">
        <is>
          <t>C.115</t>
        </is>
      </c>
      <c r="P161" s="96" t="inlineStr">
        <is>
          <t>Novate</t>
        </is>
      </c>
      <c r="Q161" s="96" t="n"/>
      <c r="R161" s="96" t="inlineStr">
        <is>
          <t>Vendor Gamma</t>
        </is>
      </c>
      <c r="S161" s="100" t="n"/>
    </row>
    <row r="162" ht="24" customHeight="1" s="69">
      <c r="A162" s="95" t="inlineStr">
        <is>
          <t>LAN</t>
        </is>
      </c>
      <c r="B162" s="96" t="n"/>
      <c r="C162" s="96" t="n"/>
      <c r="D162" s="96" t="inlineStr">
        <is>
          <t>NL</t>
        </is>
      </c>
      <c r="E162" s="96" t="inlineStr">
        <is>
          <t>WIA</t>
        </is>
      </c>
      <c r="F162" s="96" t="inlineStr">
        <is>
          <t>Vendor Gamma infrastructure solutions</t>
        </is>
      </c>
      <c r="G162" s="96" t="inlineStr">
        <is>
          <t>cable-wiring general contract for treasury and HKB building</t>
        </is>
      </c>
      <c r="H162" s="97" t="n">
        <v>38869</v>
      </c>
      <c r="I162" s="106">
        <f>2000000/12</f>
        <v/>
      </c>
      <c r="J162" s="99" t="n">
        <v>1</v>
      </c>
      <c r="K162" s="96" t="n"/>
      <c r="L162" s="96" t="n"/>
      <c r="M162" s="96" t="n"/>
      <c r="N162" s="96" t="n"/>
      <c r="O162" s="96" t="inlineStr">
        <is>
          <t>C.116</t>
        </is>
      </c>
      <c r="P162" s="96" t="inlineStr">
        <is>
          <t>Novate</t>
        </is>
      </c>
      <c r="Q162" s="96" t="n"/>
      <c r="R162" s="96" t="inlineStr">
        <is>
          <t>Vendor Gamma</t>
        </is>
      </c>
      <c r="S162" s="100" t="n"/>
    </row>
    <row r="163" ht="24" customHeight="1" s="69">
      <c r="A163" s="77" t="inlineStr">
        <is>
          <t>Server</t>
        </is>
      </c>
      <c r="B163" s="76" t="n"/>
      <c r="C163" s="76" t="n"/>
      <c r="D163" s="76" t="inlineStr">
        <is>
          <t>NL</t>
        </is>
      </c>
      <c r="E163" s="76" t="inlineStr">
        <is>
          <t>CP</t>
        </is>
      </c>
      <c r="F163" s="76" t="inlineStr">
        <is>
          <t>Hewlett Packard</t>
        </is>
      </c>
      <c r="G163" s="76" t="inlineStr">
        <is>
          <t>Netserver</t>
        </is>
      </c>
      <c r="H163" s="84" t="n">
        <v>39082</v>
      </c>
      <c r="I163" s="90" t="n">
        <v>30925</v>
      </c>
      <c r="J163" s="86" t="n">
        <v>0.1</v>
      </c>
      <c r="K163" s="76" t="n"/>
      <c r="L163" s="76" t="n"/>
      <c r="M163" s="76" t="n"/>
      <c r="N163" s="76" t="n"/>
      <c r="O163" s="76" t="inlineStr">
        <is>
          <t>C.118</t>
        </is>
      </c>
      <c r="P163" s="76" t="inlineStr">
        <is>
          <t>Terminate</t>
        </is>
      </c>
      <c r="Q163" s="76" t="inlineStr">
        <is>
          <t>at expiry</t>
        </is>
      </c>
      <c r="R163" s="76" t="inlineStr">
        <is>
          <t>VendorA</t>
        </is>
      </c>
      <c r="S163" s="87" t="n">
        <v>3093</v>
      </c>
    </row>
    <row r="164" ht="24" customHeight="1" s="69">
      <c r="A164" s="77" t="inlineStr">
        <is>
          <t>DTHW</t>
        </is>
      </c>
      <c r="B164" s="76" t="n"/>
      <c r="C164" s="76" t="n"/>
      <c r="D164" s="76" t="inlineStr">
        <is>
          <t>NL</t>
        </is>
      </c>
      <c r="E164" s="76" t="inlineStr">
        <is>
          <t>SIS</t>
        </is>
      </c>
      <c r="F164" s="76" t="inlineStr">
        <is>
          <t>Hewlett Packard</t>
        </is>
      </c>
      <c r="G164" s="76" t="inlineStr">
        <is>
          <t>support overeenkomst 857126007GP</t>
        </is>
      </c>
      <c r="H164" s="84" t="n">
        <v>39294</v>
      </c>
      <c r="I164" s="90" t="n">
        <v>35296</v>
      </c>
      <c r="J164" s="86" t="n">
        <v>0.1</v>
      </c>
      <c r="K164" s="76" t="n"/>
      <c r="L164" s="76" t="n"/>
      <c r="M164" s="76" t="n"/>
      <c r="N164" s="76" t="n"/>
      <c r="O164" s="76" t="inlineStr">
        <is>
          <t>C.119</t>
        </is>
      </c>
      <c r="P164" s="76" t="inlineStr">
        <is>
          <t>Retained</t>
        </is>
      </c>
      <c r="Q164" s="76" t="n"/>
      <c r="R164" s="76" t="inlineStr">
        <is>
          <t>Vendor Gamma</t>
        </is>
      </c>
      <c r="S164" s="87" t="n"/>
    </row>
    <row r="165" ht="24" customHeight="1" s="69">
      <c r="A165" s="77" t="inlineStr">
        <is>
          <t>Server</t>
        </is>
      </c>
      <c r="B165" s="76" t="n"/>
      <c r="C165" s="76" t="n"/>
      <c r="D165" s="76" t="inlineStr">
        <is>
          <t>NL</t>
        </is>
      </c>
      <c r="E165" s="76" t="inlineStr">
        <is>
          <t>CP</t>
        </is>
      </c>
      <c r="F165" s="76" t="inlineStr">
        <is>
          <t>Hewlett Packard</t>
        </is>
      </c>
      <c r="G165" s="76" t="inlineStr">
        <is>
          <t>Various Hardware and support</t>
        </is>
      </c>
      <c r="H165" s="84" t="n">
        <v>38564</v>
      </c>
      <c r="I165" s="90" t="n">
        <v>35296</v>
      </c>
      <c r="J165" s="86" t="n">
        <v>0.1</v>
      </c>
      <c r="K165" s="76" t="n"/>
      <c r="L165" s="76" t="n"/>
      <c r="M165" s="76" t="n"/>
      <c r="N165" s="76" t="n"/>
      <c r="O165" s="76" t="inlineStr">
        <is>
          <t>C.121</t>
        </is>
      </c>
      <c r="P165" s="76" t="inlineStr">
        <is>
          <t>Terminate</t>
        </is>
      </c>
      <c r="Q165" s="76" t="inlineStr">
        <is>
          <t>at expiry</t>
        </is>
      </c>
      <c r="R165" s="76" t="inlineStr">
        <is>
          <t>VendorA</t>
        </is>
      </c>
      <c r="S165" s="87" t="n">
        <v>3530</v>
      </c>
    </row>
    <row r="166" ht="24" customHeight="1" s="69">
      <c r="A166" s="77" t="inlineStr">
        <is>
          <t>DTHW</t>
        </is>
      </c>
      <c r="B166" s="76" t="n"/>
      <c r="C166" s="76" t="inlineStr">
        <is>
          <t xml:space="preserve"> </t>
        </is>
      </c>
      <c r="D166" s="76" t="inlineStr">
        <is>
          <t>NL</t>
        </is>
      </c>
      <c r="E166" s="76" t="n"/>
      <c r="F166" s="76" t="inlineStr">
        <is>
          <t>IMATION INTERNATIONAL BV</t>
        </is>
      </c>
      <c r="G166" s="76" t="inlineStr">
        <is>
          <t>Ordering of CD and consumables</t>
        </is>
      </c>
      <c r="H166" s="84" t="n"/>
      <c r="I166" s="90" t="n">
        <v>2577</v>
      </c>
      <c r="J166" s="86" t="n">
        <v>1</v>
      </c>
      <c r="K166" s="76" t="n"/>
      <c r="L166" s="76" t="n"/>
      <c r="M166" s="76" t="n"/>
      <c r="N166" s="76" t="n"/>
      <c r="O166" s="76" t="inlineStr">
        <is>
          <t>C.123</t>
        </is>
      </c>
      <c r="P166" s="76" t="inlineStr">
        <is>
          <t>Retained</t>
        </is>
      </c>
      <c r="Q166" s="76" t="n"/>
      <c r="R166" s="76" t="inlineStr">
        <is>
          <t>Vendor Gamma</t>
        </is>
      </c>
      <c r="S166" s="87" t="n"/>
    </row>
    <row r="167" ht="24" customHeight="1" s="69">
      <c r="A167" s="77" t="inlineStr">
        <is>
          <t>Server</t>
        </is>
      </c>
      <c r="B167" s="76" t="n"/>
      <c r="C167" s="76" t="n"/>
      <c r="D167" s="76" t="inlineStr">
        <is>
          <t>NL</t>
        </is>
      </c>
      <c r="E167" s="76" t="n"/>
      <c r="F167" s="76" t="inlineStr">
        <is>
          <t>Kender Thijssen Solutions B.V.</t>
        </is>
      </c>
      <c r="G167" s="76" t="inlineStr">
        <is>
          <t>Computer rental agreement</t>
        </is>
      </c>
      <c r="H167" s="84" t="n"/>
      <c r="I167" s="90" t="n"/>
      <c r="J167" s="86" t="n">
        <v>0.1</v>
      </c>
      <c r="K167" s="76" t="n"/>
      <c r="L167" s="76" t="n"/>
      <c r="M167" s="76" t="n"/>
      <c r="N167" s="76" t="n"/>
      <c r="O167" s="76" t="inlineStr">
        <is>
          <t>C.124</t>
        </is>
      </c>
      <c r="P167" s="76" t="inlineStr">
        <is>
          <t>Terminate</t>
        </is>
      </c>
      <c r="Q167" s="76" t="inlineStr">
        <is>
          <t>at expiry</t>
        </is>
      </c>
      <c r="R167" s="76" t="inlineStr">
        <is>
          <t>VendorA</t>
        </is>
      </c>
      <c r="S167" s="87" t="n"/>
    </row>
    <row r="168" ht="24" customHeight="1" s="69">
      <c r="A168" s="77" t="inlineStr">
        <is>
          <t>Server</t>
        </is>
      </c>
      <c r="B168" s="76" t="n"/>
      <c r="C168" s="76" t="n"/>
      <c r="D168" s="76" t="inlineStr">
        <is>
          <t>NL</t>
        </is>
      </c>
      <c r="E168" s="76" t="n"/>
      <c r="F168" s="76" t="inlineStr">
        <is>
          <t>LIVINGSTON B.V.</t>
        </is>
      </c>
      <c r="G168" s="76" t="inlineStr">
        <is>
          <t>Rental Equipment</t>
        </is>
      </c>
      <c r="H168" s="84" t="n"/>
      <c r="I168" s="90" t="n">
        <v>6880</v>
      </c>
      <c r="J168" s="86" t="n">
        <v>1</v>
      </c>
      <c r="K168" s="76" t="n"/>
      <c r="L168" s="76" t="n"/>
      <c r="M168" s="76" t="n"/>
      <c r="N168" s="76" t="n"/>
      <c r="O168" s="76" t="inlineStr">
        <is>
          <t>C.127</t>
        </is>
      </c>
      <c r="P168" s="76" t="inlineStr">
        <is>
          <t>Terminate</t>
        </is>
      </c>
      <c r="Q168" s="76" t="inlineStr">
        <is>
          <t>at expiry</t>
        </is>
      </c>
      <c r="R168" s="76" t="inlineStr">
        <is>
          <t>VendorA</t>
        </is>
      </c>
      <c r="S168" s="87" t="n">
        <v>6880</v>
      </c>
    </row>
    <row r="169" ht="24" customHeight="1" s="69">
      <c r="A169" s="95" t="inlineStr">
        <is>
          <t>Voice</t>
        </is>
      </c>
      <c r="B169" s="96" t="n">
        <v>28</v>
      </c>
      <c r="C169" s="96" t="n"/>
      <c r="D169" s="96" t="inlineStr">
        <is>
          <t>NL</t>
        </is>
      </c>
      <c r="E169" s="96" t="inlineStr">
        <is>
          <t>WPS (W&amp;CI/SP&amp;SV)</t>
        </is>
      </c>
      <c r="F169" s="96" t="inlineStr">
        <is>
          <t>Nortel (TelCo)</t>
        </is>
      </c>
      <c r="G169" s="96" t="inlineStr">
        <is>
          <t>2e/3e maintenance</t>
        </is>
      </c>
      <c r="H169" s="97" t="n">
        <v>38718</v>
      </c>
      <c r="I169" s="106" t="n">
        <v>30973</v>
      </c>
      <c r="J169" s="99" t="n">
        <v>1</v>
      </c>
      <c r="K169" s="96" t="inlineStr">
        <is>
          <t>PABX</t>
        </is>
      </c>
      <c r="L169" s="96" t="n"/>
      <c r="M169" s="96" t="n"/>
      <c r="N169" s="96" t="n"/>
      <c r="O169" s="96" t="inlineStr">
        <is>
          <t>C.128</t>
        </is>
      </c>
      <c r="P169" s="96" t="inlineStr">
        <is>
          <t>Novate</t>
        </is>
      </c>
      <c r="Q169" s="96" t="n"/>
      <c r="R169" s="96" t="inlineStr">
        <is>
          <t>TelCo</t>
        </is>
      </c>
      <c r="S169" s="100" t="n"/>
      <c r="T169" s="77" t="n"/>
    </row>
    <row r="170" ht="24" customHeight="1" s="69">
      <c r="A170" s="95" t="inlineStr">
        <is>
          <t>Voice</t>
        </is>
      </c>
      <c r="B170" s="96" t="n">
        <v>16</v>
      </c>
      <c r="C170" s="96" t="n"/>
      <c r="D170" s="96" t="inlineStr">
        <is>
          <t>NL</t>
        </is>
      </c>
      <c r="E170" s="96" t="inlineStr">
        <is>
          <t>WPS (W&amp;CI/SP&amp;SV)</t>
        </is>
      </c>
      <c r="F170" s="96" t="inlineStr">
        <is>
          <t>Nortel (TelCo)</t>
        </is>
      </c>
      <c r="G170" s="96" t="inlineStr">
        <is>
          <t>2e/3e maintenance</t>
        </is>
      </c>
      <c r="H170" s="97" t="n">
        <v>38718</v>
      </c>
      <c r="I170" s="106" t="n">
        <v>3360</v>
      </c>
      <c r="J170" s="110" t="n">
        <v>1</v>
      </c>
      <c r="K170" s="96" t="inlineStr">
        <is>
          <t>PABX</t>
        </is>
      </c>
      <c r="L170" s="96" t="n"/>
      <c r="M170" s="96" t="n"/>
      <c r="N170" s="96" t="n"/>
      <c r="O170" s="96" t="inlineStr">
        <is>
          <t>C.129</t>
        </is>
      </c>
      <c r="P170" s="96" t="inlineStr">
        <is>
          <t>Novate</t>
        </is>
      </c>
      <c r="Q170" s="96" t="n"/>
      <c r="R170" s="96" t="inlineStr">
        <is>
          <t>TelCo</t>
        </is>
      </c>
      <c r="S170" s="100" t="n"/>
      <c r="T170" s="77" t="n"/>
    </row>
    <row r="171" ht="24" customHeight="1" s="69">
      <c r="A171" s="95" t="inlineStr">
        <is>
          <t>Voice</t>
        </is>
      </c>
      <c r="B171" s="96" t="n">
        <v>22</v>
      </c>
      <c r="C171" s="96" t="n"/>
      <c r="D171" s="96" t="inlineStr">
        <is>
          <t>NL</t>
        </is>
      </c>
      <c r="E171" s="96" t="inlineStr">
        <is>
          <t>WPS (W&amp;CI/SP&amp;SV)</t>
        </is>
      </c>
      <c r="F171" s="96" t="inlineStr">
        <is>
          <t>Nortel (TelCo)</t>
        </is>
      </c>
      <c r="G171" s="96" t="inlineStr">
        <is>
          <t>2e/3e maintenance</t>
        </is>
      </c>
      <c r="H171" s="97" t="n">
        <v>38718</v>
      </c>
      <c r="I171" s="106" t="n">
        <v>308</v>
      </c>
      <c r="J171" s="110" t="n">
        <v>1</v>
      </c>
      <c r="K171" s="96" t="inlineStr">
        <is>
          <t>PABX</t>
        </is>
      </c>
      <c r="L171" s="96" t="n"/>
      <c r="M171" s="96" t="n"/>
      <c r="N171" s="96" t="n"/>
      <c r="O171" s="96" t="inlineStr">
        <is>
          <t>C.130</t>
        </is>
      </c>
      <c r="P171" s="96" t="inlineStr">
        <is>
          <t>Novate</t>
        </is>
      </c>
      <c r="Q171" s="96" t="n"/>
      <c r="R171" s="96" t="inlineStr">
        <is>
          <t>TelCo</t>
        </is>
      </c>
      <c r="S171" s="100" t="n"/>
      <c r="T171" s="77" t="n"/>
    </row>
    <row r="172" ht="24" customHeight="1" s="69">
      <c r="A172" s="95" t="inlineStr">
        <is>
          <t>Voice</t>
        </is>
      </c>
      <c r="B172" s="96" t="n">
        <v>25</v>
      </c>
      <c r="C172" s="96" t="n"/>
      <c r="D172" s="96" t="inlineStr">
        <is>
          <t>NL</t>
        </is>
      </c>
      <c r="E172" s="96" t="inlineStr">
        <is>
          <t>WPS (W&amp;CI/SP&amp;SV)</t>
        </is>
      </c>
      <c r="F172" s="96" t="inlineStr">
        <is>
          <t>Nortel (TelCo)</t>
        </is>
      </c>
      <c r="G172" s="96" t="inlineStr">
        <is>
          <t>2e/3e maintenance</t>
        </is>
      </c>
      <c r="H172" s="97" t="n">
        <v>38718</v>
      </c>
      <c r="I172" s="106" t="n">
        <v>2780</v>
      </c>
      <c r="J172" s="110" t="n">
        <v>1</v>
      </c>
      <c r="K172" s="96" t="inlineStr">
        <is>
          <t>PABX</t>
        </is>
      </c>
      <c r="L172" s="96" t="n"/>
      <c r="M172" s="96" t="n"/>
      <c r="N172" s="96" t="n"/>
      <c r="O172" s="96" t="inlineStr">
        <is>
          <t>C.131</t>
        </is>
      </c>
      <c r="P172" s="96" t="inlineStr">
        <is>
          <t>Novate</t>
        </is>
      </c>
      <c r="Q172" s="96" t="n"/>
      <c r="R172" s="96" t="inlineStr">
        <is>
          <t>TelCo</t>
        </is>
      </c>
      <c r="S172" s="100" t="n"/>
      <c r="T172" s="76" t="n"/>
    </row>
    <row r="173" ht="24" customHeight="1" s="69">
      <c r="A173" s="95" t="inlineStr">
        <is>
          <t>Voice</t>
        </is>
      </c>
      <c r="B173" s="96" t="n">
        <v>17</v>
      </c>
      <c r="C173" s="96" t="n"/>
      <c r="D173" s="96" t="inlineStr">
        <is>
          <t>NL</t>
        </is>
      </c>
      <c r="E173" s="96" t="inlineStr">
        <is>
          <t>WPS (W&amp;CI/SP&amp;SV)</t>
        </is>
      </c>
      <c r="F173" s="96" t="inlineStr">
        <is>
          <t>Nortel (TelCo)</t>
        </is>
      </c>
      <c r="G173" s="96" t="inlineStr">
        <is>
          <t>2e/3e maintenance</t>
        </is>
      </c>
      <c r="H173" s="97" t="n">
        <v>38718</v>
      </c>
      <c r="I173" s="106" t="n">
        <v>2135</v>
      </c>
      <c r="J173" s="110" t="n">
        <v>1</v>
      </c>
      <c r="K173" s="96" t="inlineStr">
        <is>
          <t>PABX</t>
        </is>
      </c>
      <c r="L173" s="96" t="n"/>
      <c r="M173" s="96" t="n"/>
      <c r="N173" s="96" t="n"/>
      <c r="O173" s="96" t="inlineStr">
        <is>
          <t>C.132</t>
        </is>
      </c>
      <c r="P173" s="96" t="inlineStr">
        <is>
          <t>Novate</t>
        </is>
      </c>
      <c r="Q173" s="96" t="n"/>
      <c r="R173" s="96" t="inlineStr">
        <is>
          <t>TelCo</t>
        </is>
      </c>
      <c r="S173" s="100" t="n"/>
      <c r="T173" s="77" t="n"/>
    </row>
    <row r="174" ht="24" customHeight="1" s="69">
      <c r="A174" s="95" t="inlineStr">
        <is>
          <t>Voice</t>
        </is>
      </c>
      <c r="B174" s="96" t="n">
        <v>20</v>
      </c>
      <c r="C174" s="96" t="n"/>
      <c r="D174" s="96" t="inlineStr">
        <is>
          <t>NL</t>
        </is>
      </c>
      <c r="E174" s="96" t="inlineStr">
        <is>
          <t>WPS (W&amp;CI/SP&amp;SV)</t>
        </is>
      </c>
      <c r="F174" s="97" t="inlineStr">
        <is>
          <t>Nortel (TelCo)</t>
        </is>
      </c>
      <c r="G174" s="106" t="inlineStr">
        <is>
          <t>2e/3e maintenance</t>
        </is>
      </c>
      <c r="H174" s="96" t="n">
        <v>38718</v>
      </c>
      <c r="I174" s="106" t="n">
        <v>1364</v>
      </c>
      <c r="J174" s="110" t="n">
        <v>1</v>
      </c>
      <c r="K174" s="96" t="inlineStr">
        <is>
          <t>PABX</t>
        </is>
      </c>
      <c r="L174" s="96" t="n"/>
      <c r="M174" s="111" t="n"/>
      <c r="N174" s="96" t="n"/>
      <c r="O174" s="96" t="inlineStr">
        <is>
          <t>C.133</t>
        </is>
      </c>
      <c r="P174" s="96" t="inlineStr">
        <is>
          <t>Novate</t>
        </is>
      </c>
      <c r="Q174" s="96" t="n"/>
      <c r="R174" s="96" t="inlineStr">
        <is>
          <t>TelCo</t>
        </is>
      </c>
      <c r="S174" s="100" t="n"/>
      <c r="T174" s="77" t="n"/>
    </row>
    <row r="175" ht="24" customHeight="1" s="69">
      <c r="A175" s="95" t="inlineStr">
        <is>
          <t>Voice</t>
        </is>
      </c>
      <c r="B175" s="96" t="n">
        <v>26</v>
      </c>
      <c r="C175" s="96" t="n"/>
      <c r="D175" s="96" t="inlineStr">
        <is>
          <t>NL</t>
        </is>
      </c>
      <c r="E175" s="96" t="inlineStr">
        <is>
          <t>WPS (W&amp;CI/SP&amp;SV)</t>
        </is>
      </c>
      <c r="F175" s="96" t="inlineStr">
        <is>
          <t>Nortel (TelCo)</t>
        </is>
      </c>
      <c r="G175" s="96" t="inlineStr">
        <is>
          <t>2e/3e maintenance</t>
        </is>
      </c>
      <c r="H175" s="97" t="n">
        <v>38718</v>
      </c>
      <c r="I175" s="106" t="n">
        <v>30973</v>
      </c>
      <c r="J175" s="110" t="n">
        <v>1</v>
      </c>
      <c r="K175" s="96" t="inlineStr">
        <is>
          <t>PABX</t>
        </is>
      </c>
      <c r="L175" s="96" t="n"/>
      <c r="M175" s="96" t="n"/>
      <c r="N175" s="96" t="n"/>
      <c r="O175" s="96" t="inlineStr">
        <is>
          <t>C.134</t>
        </is>
      </c>
      <c r="P175" s="96" t="inlineStr">
        <is>
          <t>Novate</t>
        </is>
      </c>
      <c r="Q175" s="96" t="n"/>
      <c r="R175" s="96" t="inlineStr">
        <is>
          <t>TelCo</t>
        </is>
      </c>
      <c r="S175" s="100" t="n"/>
      <c r="T175" s="77" t="n"/>
    </row>
    <row r="176" ht="24" customHeight="1" s="69">
      <c r="A176" s="95" t="inlineStr">
        <is>
          <t>Voice</t>
        </is>
      </c>
      <c r="B176" s="96" t="n">
        <v>15</v>
      </c>
      <c r="C176" s="96" t="n"/>
      <c r="D176" s="96" t="inlineStr">
        <is>
          <t>NL</t>
        </is>
      </c>
      <c r="E176" s="96" t="inlineStr">
        <is>
          <t>WPS (W&amp;CI/SP&amp;SV)</t>
        </is>
      </c>
      <c r="F176" s="96" t="inlineStr">
        <is>
          <t>Nortel (TelCo)</t>
        </is>
      </c>
      <c r="G176" s="96" t="inlineStr">
        <is>
          <t>2e/3e maintenance</t>
        </is>
      </c>
      <c r="H176" s="97" t="n">
        <v>38718</v>
      </c>
      <c r="I176" s="106" t="n">
        <v>1247</v>
      </c>
      <c r="J176" s="110" t="n">
        <v>1</v>
      </c>
      <c r="K176" s="96" t="inlineStr">
        <is>
          <t>PABX</t>
        </is>
      </c>
      <c r="L176" s="96" t="n"/>
      <c r="M176" s="96" t="n"/>
      <c r="N176" s="96" t="n"/>
      <c r="O176" s="96" t="inlineStr">
        <is>
          <t>C.135</t>
        </is>
      </c>
      <c r="P176" s="96" t="inlineStr">
        <is>
          <t>Novate</t>
        </is>
      </c>
      <c r="Q176" s="96" t="n"/>
      <c r="R176" s="96" t="inlineStr">
        <is>
          <t>TelCo</t>
        </is>
      </c>
      <c r="S176" s="100" t="n"/>
      <c r="T176" s="77" t="n"/>
    </row>
    <row r="177" ht="24" customHeight="1" s="69">
      <c r="A177" s="95" t="inlineStr">
        <is>
          <t>Voice</t>
        </is>
      </c>
      <c r="B177" s="96" t="n">
        <v>27</v>
      </c>
      <c r="C177" s="96" t="n"/>
      <c r="D177" s="96" t="inlineStr">
        <is>
          <t>NL</t>
        </is>
      </c>
      <c r="E177" s="96" t="inlineStr">
        <is>
          <t>WPS (W&amp;CI/SP&amp;SV)</t>
        </is>
      </c>
      <c r="F177" s="96" t="inlineStr">
        <is>
          <t>Nortel (TelCo)</t>
        </is>
      </c>
      <c r="G177" s="96" t="inlineStr">
        <is>
          <t>2e/3e maintenance</t>
        </is>
      </c>
      <c r="H177" s="97" t="n">
        <v>38718</v>
      </c>
      <c r="I177" s="106" t="n">
        <v>992</v>
      </c>
      <c r="J177" s="110" t="n">
        <v>1</v>
      </c>
      <c r="K177" s="96" t="inlineStr">
        <is>
          <t>PABX</t>
        </is>
      </c>
      <c r="L177" s="96" t="n"/>
      <c r="M177" s="96" t="n"/>
      <c r="N177" s="96" t="n"/>
      <c r="O177" s="96" t="inlineStr">
        <is>
          <t>C.136</t>
        </is>
      </c>
      <c r="P177" s="96" t="inlineStr">
        <is>
          <t>Novate</t>
        </is>
      </c>
      <c r="Q177" s="96" t="n"/>
      <c r="R177" s="96" t="inlineStr">
        <is>
          <t>TelCo</t>
        </is>
      </c>
      <c r="S177" s="100" t="n"/>
      <c r="T177" s="77" t="n"/>
    </row>
    <row r="178" ht="24" customHeight="1" s="69">
      <c r="A178" s="95" t="inlineStr">
        <is>
          <t>Voice</t>
        </is>
      </c>
      <c r="B178" s="96" t="n">
        <v>19</v>
      </c>
      <c r="C178" s="96" t="n"/>
      <c r="D178" s="96" t="inlineStr">
        <is>
          <t>NL</t>
        </is>
      </c>
      <c r="E178" s="96" t="inlineStr">
        <is>
          <t>WPS (W&amp;CI/SP&amp;SV)</t>
        </is>
      </c>
      <c r="F178" s="96" t="inlineStr">
        <is>
          <t>Nortel (TelCo)</t>
        </is>
      </c>
      <c r="G178" s="96" t="inlineStr">
        <is>
          <t>2e/3e maintenance</t>
        </is>
      </c>
      <c r="H178" s="97" t="n">
        <v>38718</v>
      </c>
      <c r="I178" s="106" t="n">
        <v>981</v>
      </c>
      <c r="J178" s="110" t="n">
        <v>1</v>
      </c>
      <c r="K178" s="96" t="inlineStr">
        <is>
          <t>PABX</t>
        </is>
      </c>
      <c r="L178" s="96" t="n"/>
      <c r="M178" s="96" t="n"/>
      <c r="N178" s="96" t="n"/>
      <c r="O178" s="96" t="inlineStr">
        <is>
          <t>C.137</t>
        </is>
      </c>
      <c r="P178" s="96" t="inlineStr">
        <is>
          <t>Novate</t>
        </is>
      </c>
      <c r="Q178" s="96" t="n"/>
      <c r="R178" s="96" t="inlineStr">
        <is>
          <t>TelCo</t>
        </is>
      </c>
      <c r="S178" s="100" t="n"/>
      <c r="T178" s="77" t="n"/>
    </row>
    <row r="179" ht="24" customHeight="1" s="69">
      <c r="A179" s="95" t="inlineStr">
        <is>
          <t>Voice</t>
        </is>
      </c>
      <c r="B179" s="96" t="n">
        <v>21</v>
      </c>
      <c r="C179" s="96" t="n"/>
      <c r="D179" s="96" t="inlineStr">
        <is>
          <t>NL</t>
        </is>
      </c>
      <c r="E179" s="96" t="inlineStr">
        <is>
          <t>WPS (W&amp;CI/SP&amp;SV)</t>
        </is>
      </c>
      <c r="F179" s="96" t="inlineStr">
        <is>
          <t>Nortel (TelCo)</t>
        </is>
      </c>
      <c r="G179" s="96" t="inlineStr">
        <is>
          <t>2e/3e maintenance</t>
        </is>
      </c>
      <c r="H179" s="97" t="n">
        <v>38718</v>
      </c>
      <c r="I179" s="106" t="n">
        <v>879</v>
      </c>
      <c r="J179" s="110" t="n">
        <v>1</v>
      </c>
      <c r="K179" s="96" t="inlineStr">
        <is>
          <t>PABX</t>
        </is>
      </c>
      <c r="L179" s="96" t="n"/>
      <c r="M179" s="96" t="n"/>
      <c r="N179" s="96" t="n"/>
      <c r="O179" s="96" t="inlineStr">
        <is>
          <t>C.138</t>
        </is>
      </c>
      <c r="P179" s="96" t="inlineStr">
        <is>
          <t>Novate</t>
        </is>
      </c>
      <c r="Q179" s="96" t="n"/>
      <c r="R179" s="96" t="inlineStr">
        <is>
          <t>TelCo</t>
        </is>
      </c>
      <c r="S179" s="100" t="n"/>
      <c r="T179" s="77" t="n"/>
    </row>
    <row r="180" ht="24" customHeight="1" s="69">
      <c r="A180" s="95" t="inlineStr">
        <is>
          <t>Voice</t>
        </is>
      </c>
      <c r="B180" s="96" t="n"/>
      <c r="C180" s="96" t="n"/>
      <c r="D180" s="96" t="inlineStr">
        <is>
          <t>NL</t>
        </is>
      </c>
      <c r="E180" s="96" t="inlineStr">
        <is>
          <t>WPS (W&amp;CI/SP&amp;SV)</t>
        </is>
      </c>
      <c r="F180" s="96" t="inlineStr">
        <is>
          <t>Nortel (TelCo)</t>
        </is>
      </c>
      <c r="G180" s="96" t="inlineStr">
        <is>
          <t>2e/3e maintenance</t>
        </is>
      </c>
      <c r="H180" s="97" t="n">
        <v>38718</v>
      </c>
      <c r="I180" s="106" t="n">
        <v>405</v>
      </c>
      <c r="J180" s="110" t="n">
        <v>1</v>
      </c>
      <c r="K180" s="96" t="n"/>
      <c r="L180" s="96" t="n"/>
      <c r="M180" s="96" t="n"/>
      <c r="N180" s="96" t="n"/>
      <c r="O180" s="96" t="inlineStr">
        <is>
          <t>C.139</t>
        </is>
      </c>
      <c r="P180" s="96" t="inlineStr">
        <is>
          <t>Novate</t>
        </is>
      </c>
      <c r="Q180" s="96" t="n"/>
      <c r="R180" s="96" t="inlineStr">
        <is>
          <t>TelCo</t>
        </is>
      </c>
      <c r="S180" s="100" t="n"/>
      <c r="T180" s="77" t="n"/>
    </row>
    <row r="181" ht="24" customHeight="1" s="69">
      <c r="A181" s="95" t="inlineStr">
        <is>
          <t>Voice</t>
        </is>
      </c>
      <c r="B181" s="96" t="n">
        <v>22</v>
      </c>
      <c r="C181" s="96" t="n"/>
      <c r="D181" s="96" t="inlineStr">
        <is>
          <t>NL</t>
        </is>
      </c>
      <c r="E181" s="96" t="inlineStr">
        <is>
          <t>WPS (W&amp;CI/SP&amp;SV)</t>
        </is>
      </c>
      <c r="F181" s="96" t="inlineStr">
        <is>
          <t>Nortel (TelCo)</t>
        </is>
      </c>
      <c r="G181" s="96" t="inlineStr">
        <is>
          <t>2e/3e maintenance</t>
        </is>
      </c>
      <c r="H181" s="97" t="n">
        <v>38718</v>
      </c>
      <c r="I181" s="106" t="n">
        <v>3017</v>
      </c>
      <c r="J181" s="110" t="n">
        <v>1</v>
      </c>
      <c r="K181" s="96" t="inlineStr">
        <is>
          <t>PABX</t>
        </is>
      </c>
      <c r="L181" s="96" t="n"/>
      <c r="M181" s="96" t="n"/>
      <c r="N181" s="96" t="n"/>
      <c r="O181" s="96" t="inlineStr">
        <is>
          <t>C.140</t>
        </is>
      </c>
      <c r="P181" s="96" t="inlineStr">
        <is>
          <t>Novate</t>
        </is>
      </c>
      <c r="Q181" s="96" t="n"/>
      <c r="R181" s="96" t="inlineStr">
        <is>
          <t>TelCo</t>
        </is>
      </c>
      <c r="S181" s="100" t="n"/>
      <c r="T181" s="77" t="n"/>
    </row>
    <row r="182" ht="24" customHeight="1" s="69">
      <c r="A182" s="95" t="inlineStr">
        <is>
          <t>Voice</t>
        </is>
      </c>
      <c r="B182" s="96" t="n">
        <v>18</v>
      </c>
      <c r="C182" s="96" t="n"/>
      <c r="D182" s="96" t="inlineStr">
        <is>
          <t>NL</t>
        </is>
      </c>
      <c r="E182" s="96" t="inlineStr">
        <is>
          <t>WPS (W&amp;CI/SP&amp;SV)</t>
        </is>
      </c>
      <c r="F182" s="96" t="inlineStr">
        <is>
          <t>Nortel (TelCo)</t>
        </is>
      </c>
      <c r="G182" s="96" t="inlineStr">
        <is>
          <t>2e/3e maintenance</t>
        </is>
      </c>
      <c r="H182" s="97" t="n">
        <v>38718</v>
      </c>
      <c r="I182" s="106" t="n">
        <v>218</v>
      </c>
      <c r="J182" s="110" t="n">
        <v>1</v>
      </c>
      <c r="K182" s="96" t="inlineStr">
        <is>
          <t>PABX</t>
        </is>
      </c>
      <c r="L182" s="96" t="n"/>
      <c r="M182" s="96" t="n"/>
      <c r="N182" s="96" t="n"/>
      <c r="O182" s="96" t="inlineStr">
        <is>
          <t>C.141</t>
        </is>
      </c>
      <c r="P182" s="96" t="inlineStr">
        <is>
          <t>Novate</t>
        </is>
      </c>
      <c r="Q182" s="96" t="n"/>
      <c r="R182" s="96" t="inlineStr">
        <is>
          <t>TelCo</t>
        </is>
      </c>
      <c r="S182" s="100" t="n"/>
      <c r="T182" s="77" t="n"/>
    </row>
    <row r="183" ht="24" customHeight="1" s="69">
      <c r="A183" s="95" t="inlineStr">
        <is>
          <t>Voice</t>
        </is>
      </c>
      <c r="B183" s="96" t="n">
        <v>24</v>
      </c>
      <c r="C183" s="96" t="n"/>
      <c r="D183" s="96" t="inlineStr">
        <is>
          <t>NL</t>
        </is>
      </c>
      <c r="E183" s="96" t="inlineStr">
        <is>
          <t>WPS (W&amp;CI/SP&amp;SV)</t>
        </is>
      </c>
      <c r="F183" s="96" t="inlineStr">
        <is>
          <t>Nortel (TelCo)</t>
        </is>
      </c>
      <c r="G183" s="96" t="inlineStr">
        <is>
          <t>2e/3e maintenance</t>
        </is>
      </c>
      <c r="H183" s="97" t="n">
        <v>38718</v>
      </c>
      <c r="I183" s="106" t="n">
        <v>113</v>
      </c>
      <c r="J183" s="110" t="n">
        <v>1</v>
      </c>
      <c r="K183" s="96" t="inlineStr">
        <is>
          <t>PABX</t>
        </is>
      </c>
      <c r="L183" s="96" t="n"/>
      <c r="M183" s="96" t="n"/>
      <c r="N183" s="96" t="n"/>
      <c r="O183" s="96" t="inlineStr">
        <is>
          <t>C.142</t>
        </is>
      </c>
      <c r="P183" s="96" t="inlineStr">
        <is>
          <t>Novate</t>
        </is>
      </c>
      <c r="Q183" s="96" t="n"/>
      <c r="R183" s="96" t="inlineStr">
        <is>
          <t>TelCo</t>
        </is>
      </c>
      <c r="S183" s="100" t="n"/>
      <c r="T183" s="77" t="n"/>
    </row>
    <row r="184" ht="24" customHeight="1" s="69">
      <c r="A184" s="95" t="inlineStr">
        <is>
          <t>Voice</t>
        </is>
      </c>
      <c r="B184" s="96" t="n">
        <v>23</v>
      </c>
      <c r="C184" s="96" t="n"/>
      <c r="D184" s="96" t="inlineStr">
        <is>
          <t>NL</t>
        </is>
      </c>
      <c r="E184" s="96" t="inlineStr">
        <is>
          <t>WPS (W&amp;CI/SP&amp;SV)</t>
        </is>
      </c>
      <c r="F184" s="96" t="inlineStr">
        <is>
          <t>Nortel (TelCo)</t>
        </is>
      </c>
      <c r="G184" s="96" t="inlineStr">
        <is>
          <t>2e/3e maintenance</t>
        </is>
      </c>
      <c r="H184" s="97" t="n">
        <v>38718</v>
      </c>
      <c r="I184" s="106" t="n">
        <v>78</v>
      </c>
      <c r="J184" s="110" t="n">
        <v>1</v>
      </c>
      <c r="K184" s="96" t="inlineStr">
        <is>
          <t>PABX</t>
        </is>
      </c>
      <c r="L184" s="96" t="n"/>
      <c r="M184" s="96" t="n"/>
      <c r="N184" s="96" t="n"/>
      <c r="O184" s="96" t="inlineStr">
        <is>
          <t>C.143</t>
        </is>
      </c>
      <c r="P184" s="96" t="inlineStr">
        <is>
          <t>Novate</t>
        </is>
      </c>
      <c r="Q184" s="96" t="n"/>
      <c r="R184" s="96" t="inlineStr">
        <is>
          <t>TelCo</t>
        </is>
      </c>
      <c r="S184" s="100" t="n"/>
      <c r="T184" s="77" t="n"/>
    </row>
    <row r="185" ht="24" customHeight="1" s="69">
      <c r="A185" s="77" t="inlineStr">
        <is>
          <t>Server</t>
        </is>
      </c>
      <c r="B185" s="76" t="n"/>
      <c r="C185" s="76" t="n"/>
      <c r="D185" s="76" t="inlineStr">
        <is>
          <t>NL</t>
        </is>
      </c>
      <c r="E185" s="76" t="n"/>
      <c r="F185" s="76" t="inlineStr">
        <is>
          <t>IBM NEDERLAND BV</t>
        </is>
      </c>
      <c r="G185" s="76" t="inlineStr">
        <is>
          <t>Tivoli System Manager</t>
        </is>
      </c>
      <c r="H185" s="84" t="n"/>
      <c r="I185" s="90" t="n">
        <v>353</v>
      </c>
      <c r="J185" s="86" t="n">
        <v>0.1</v>
      </c>
      <c r="K185" s="76" t="n"/>
      <c r="L185" s="76" t="inlineStr">
        <is>
          <t>2 months</t>
        </is>
      </c>
      <c r="M185" s="76" t="n"/>
      <c r="N185" s="76" t="n"/>
      <c r="O185" s="76" t="inlineStr">
        <is>
          <t>C.147</t>
        </is>
      </c>
      <c r="P185" s="76" t="inlineStr">
        <is>
          <t>Retained</t>
        </is>
      </c>
      <c r="Q185" s="76" t="n"/>
      <c r="R185" s="76" t="inlineStr">
        <is>
          <t>VendorA</t>
        </is>
      </c>
      <c r="S185" s="87" t="n"/>
    </row>
    <row r="186" ht="24" customHeight="1" s="69">
      <c r="A186" s="77" t="inlineStr">
        <is>
          <t>Voice</t>
        </is>
      </c>
      <c r="B186" s="76" t="n">
        <v>0</v>
      </c>
      <c r="C186" s="76" t="n">
        <v>2004689</v>
      </c>
      <c r="D186" s="76" t="inlineStr">
        <is>
          <t>NL</t>
        </is>
      </c>
      <c r="E186" s="76" t="n">
        <v>0</v>
      </c>
      <c r="F186" s="84" t="inlineStr">
        <is>
          <t>AVAYA NEDERLAND BV</t>
        </is>
      </c>
      <c r="G186" s="76" t="inlineStr">
        <is>
          <t>IBN Kantorennet Nederland</t>
        </is>
      </c>
      <c r="H186" s="84" t="n">
        <v>39172</v>
      </c>
      <c r="I186" s="90" t="n">
        <v>8326</v>
      </c>
      <c r="J186" s="86" t="n">
        <v>1</v>
      </c>
      <c r="K186" s="76" t="inlineStr">
        <is>
          <t>Niet opgenomen in exhibit 12, wel in scope</t>
        </is>
      </c>
      <c r="L186" s="76" t="n"/>
      <c r="M186" s="76" t="n"/>
      <c r="N186" s="76" t="n"/>
      <c r="O186" s="76" t="inlineStr">
        <is>
          <t>C.150</t>
        </is>
      </c>
      <c r="P186" s="76" t="inlineStr">
        <is>
          <t>Novate</t>
        </is>
      </c>
      <c r="Q186" s="76" t="n"/>
      <c r="R186" s="76" t="inlineStr">
        <is>
          <t>TelCo</t>
        </is>
      </c>
      <c r="S186" s="87" t="inlineStr">
        <is>
          <t>included in E014</t>
        </is>
      </c>
      <c r="T186" s="77" t="n"/>
      <c r="FA186" s="77" t="n"/>
      <c r="FB186" s="77" t="n"/>
      <c r="FC186" s="76" t="n"/>
    </row>
    <row r="187" ht="24" customHeight="1" s="69">
      <c r="A187" s="77" t="inlineStr">
        <is>
          <t>Voice</t>
        </is>
      </c>
      <c r="B187" s="76" t="n"/>
      <c r="C187" s="76" t="n">
        <v>2002254</v>
      </c>
      <c r="D187" s="76" t="inlineStr">
        <is>
          <t>NL</t>
        </is>
      </c>
      <c r="E187" s="76" t="inlineStr">
        <is>
          <t>WPS (W&amp;CI/SP&amp;SV)</t>
        </is>
      </c>
      <c r="F187" s="84" t="inlineStr">
        <is>
          <t>AVAYA NEDERLAND BV</t>
        </is>
      </c>
      <c r="G187" s="90" t="inlineStr">
        <is>
          <t>2e/3e maintenance Telewerkcentrum</t>
        </is>
      </c>
      <c r="H187" s="84" t="n">
        <v>39172</v>
      </c>
      <c r="I187" s="90" t="n">
        <v>141</v>
      </c>
      <c r="J187" s="86" t="n">
        <v>1</v>
      </c>
      <c r="K187" s="76" t="n"/>
      <c r="L187" s="76" t="n"/>
      <c r="M187" s="112" t="n"/>
      <c r="N187" s="76" t="n"/>
      <c r="O187" s="76" t="inlineStr">
        <is>
          <t>C.151</t>
        </is>
      </c>
      <c r="P187" s="76" t="inlineStr">
        <is>
          <t>Novate</t>
        </is>
      </c>
      <c r="Q187" s="76" t="n"/>
      <c r="R187" s="76" t="inlineStr">
        <is>
          <t>TelCo</t>
        </is>
      </c>
      <c r="S187" s="87" t="inlineStr">
        <is>
          <t>included in E014</t>
        </is>
      </c>
      <c r="T187" s="77" t="n"/>
    </row>
    <row r="188" ht="24" customHeight="1" s="69">
      <c r="A188" s="77" t="inlineStr">
        <is>
          <t>Voice</t>
        </is>
      </c>
      <c r="B188" s="76" t="n"/>
      <c r="C188" s="76" t="n">
        <v>2002188</v>
      </c>
      <c r="D188" s="76" t="inlineStr">
        <is>
          <t>NL</t>
        </is>
      </c>
      <c r="E188" s="76" t="n"/>
      <c r="F188" s="84" t="inlineStr">
        <is>
          <t>AVAYA NEDERLAND BV</t>
        </is>
      </c>
      <c r="G188" s="90" t="inlineStr">
        <is>
          <t>Purchase equipment telephony</t>
        </is>
      </c>
      <c r="H188" s="84" t="n">
        <v>39172</v>
      </c>
      <c r="I188" s="90" t="n">
        <v>81068</v>
      </c>
      <c r="J188" s="86" t="n">
        <v>1</v>
      </c>
      <c r="K188" s="76" t="n"/>
      <c r="L188" s="76" t="n"/>
      <c r="N188" s="76" t="n"/>
      <c r="O188" s="76" t="inlineStr">
        <is>
          <t>C.200</t>
        </is>
      </c>
      <c r="P188" s="76" t="inlineStr">
        <is>
          <t>Novate</t>
        </is>
      </c>
      <c r="Q188" s="76" t="n"/>
      <c r="R188" s="76" t="inlineStr">
        <is>
          <t>TelCo</t>
        </is>
      </c>
      <c r="S188" s="87" t="inlineStr">
        <is>
          <t>included in E014</t>
        </is>
      </c>
      <c r="T188" s="77" t="n"/>
    </row>
    <row r="189" ht="47.4" customHeight="1" s="69">
      <c r="A189" s="77" t="inlineStr">
        <is>
          <t>DTHW</t>
        </is>
      </c>
      <c r="B189" s="76" t="n"/>
      <c r="C189" s="76" t="n">
        <v>2002567</v>
      </c>
      <c r="D189" s="76" t="inlineStr">
        <is>
          <t>NL</t>
        </is>
      </c>
      <c r="E189" s="76" t="n"/>
      <c r="F189" s="76" t="inlineStr">
        <is>
          <t>HEWLETT PACKARD NEDERLAND B.V.</t>
        </is>
      </c>
      <c r="G189" s="76" t="inlineStr">
        <is>
          <t>Addendum to Global Agreement stipulating outsourcing and audit rights</t>
        </is>
      </c>
      <c r="H189" s="76" t="n"/>
      <c r="I189" s="90" t="n"/>
      <c r="J189" s="86" t="n">
        <v>1</v>
      </c>
      <c r="K189" s="76" t="n"/>
      <c r="L189" s="76" t="n"/>
      <c r="M189" s="76" t="n"/>
      <c r="N189" s="76" t="n"/>
      <c r="O189" s="76" t="inlineStr">
        <is>
          <t>C.201</t>
        </is>
      </c>
      <c r="P189" s="76" t="inlineStr">
        <is>
          <t>Retained</t>
        </is>
      </c>
      <c r="Q189" s="76" t="n"/>
      <c r="R189" s="76" t="inlineStr">
        <is>
          <t>Vendor Gamma</t>
        </is>
      </c>
      <c r="S189" s="87" t="n"/>
    </row>
    <row r="190" ht="24" customHeight="1" s="69">
      <c r="A190" s="77" t="inlineStr">
        <is>
          <t>DTHW</t>
        </is>
      </c>
      <c r="B190" s="76" t="n"/>
      <c r="C190" s="76" t="n">
        <v>2003882</v>
      </c>
      <c r="D190" s="76" t="inlineStr">
        <is>
          <t>NL</t>
        </is>
      </c>
      <c r="E190" s="76" t="n"/>
      <c r="F190" s="90" t="inlineStr">
        <is>
          <t>Centric Managed ICT Services B.V.</t>
        </is>
      </c>
      <c r="G190" s="76" t="inlineStr">
        <is>
          <t>SLA Voorraadbeheer EuroBank</t>
        </is>
      </c>
      <c r="H190" s="84" t="n">
        <v>39172</v>
      </c>
      <c r="I190" s="90" t="n">
        <v>42355</v>
      </c>
      <c r="J190" s="86" t="n">
        <v>1</v>
      </c>
      <c r="K190" s="76" t="n"/>
      <c r="L190" s="76" t="n"/>
      <c r="M190" s="76" t="n"/>
      <c r="N190" s="76" t="n"/>
      <c r="O190" s="76" t="inlineStr">
        <is>
          <t>C.202</t>
        </is>
      </c>
      <c r="P190" s="76" t="inlineStr">
        <is>
          <t>Terminate</t>
        </is>
      </c>
      <c r="Q190" s="76" t="inlineStr">
        <is>
          <t>at expiry</t>
        </is>
      </c>
      <c r="R190" s="76" t="inlineStr">
        <is>
          <t>Vendor Gamma</t>
        </is>
      </c>
      <c r="S190" s="87" t="n"/>
    </row>
    <row r="191" ht="24" customHeight="1" s="69">
      <c r="A191" s="77" t="inlineStr">
        <is>
          <t>DTHW</t>
        </is>
      </c>
      <c r="B191" s="76" t="n"/>
      <c r="C191" s="76" t="n">
        <v>2004899</v>
      </c>
      <c r="D191" s="76" t="inlineStr">
        <is>
          <t>NL</t>
        </is>
      </c>
      <c r="E191" s="76" t="n"/>
      <c r="F191" s="90" t="inlineStr">
        <is>
          <t>Guide Automatisering; now called Digihuis</t>
        </is>
      </c>
      <c r="G191" s="76" t="inlineStr">
        <is>
          <t>Apple Equipment all in service contract 17xWS and 3x server</t>
        </is>
      </c>
      <c r="H191" s="84" t="n">
        <v>39264</v>
      </c>
      <c r="I191" s="90" t="n">
        <v>2448</v>
      </c>
      <c r="J191" s="86" t="n">
        <v>1</v>
      </c>
      <c r="K191" s="76" t="n"/>
      <c r="L191" s="76" t="n"/>
      <c r="M191" s="76" t="n"/>
      <c r="N191" s="76" t="n"/>
      <c r="O191" s="76" t="inlineStr">
        <is>
          <t>C.203</t>
        </is>
      </c>
      <c r="P191" s="76" t="inlineStr">
        <is>
          <t>Novate</t>
        </is>
      </c>
      <c r="Q191" s="76" t="n"/>
      <c r="R191" s="76" t="inlineStr">
        <is>
          <t>VendorA</t>
        </is>
      </c>
      <c r="S191" s="87" t="n">
        <v>2448</v>
      </c>
    </row>
    <row r="192" ht="24" customHeight="1" s="69">
      <c r="A192" s="77" t="inlineStr">
        <is>
          <t>Voice</t>
        </is>
      </c>
      <c r="B192" s="76" t="n"/>
      <c r="C192" s="76" t="n">
        <v>2005130</v>
      </c>
      <c r="D192" s="76" t="inlineStr">
        <is>
          <t>NL</t>
        </is>
      </c>
      <c r="E192" s="76" t="n"/>
      <c r="F192" s="76" t="inlineStr">
        <is>
          <t>Avensus (Evolve Datacom BV)</t>
        </is>
      </c>
      <c r="G192" s="76" t="inlineStr">
        <is>
          <t>Maintenance Voice logging system</t>
        </is>
      </c>
      <c r="H192" s="84" t="n">
        <v>39447</v>
      </c>
      <c r="I192" s="90" t="n">
        <v>9177</v>
      </c>
      <c r="J192" s="86" t="n">
        <v>1</v>
      </c>
      <c r="K192" s="76" t="n"/>
      <c r="L192" s="76" t="n"/>
      <c r="M192" s="76" t="n"/>
      <c r="N192" s="76" t="n"/>
      <c r="O192" s="76" t="inlineStr">
        <is>
          <t>C.204</t>
        </is>
      </c>
      <c r="P192" s="76" t="inlineStr">
        <is>
          <t>Novate</t>
        </is>
      </c>
      <c r="Q192" s="76" t="n"/>
      <c r="R192" s="76" t="inlineStr">
        <is>
          <t>TelCo</t>
        </is>
      </c>
      <c r="S192" s="87" t="inlineStr">
        <is>
          <t>included in E031</t>
        </is>
      </c>
      <c r="T192" s="77" t="n"/>
    </row>
    <row r="193" ht="24" customHeight="1" s="69">
      <c r="A193" s="77" t="inlineStr">
        <is>
          <t>Voice</t>
        </is>
      </c>
      <c r="B193" s="76" t="n"/>
      <c r="C193" s="76" t="n"/>
      <c r="D193" s="76" t="inlineStr">
        <is>
          <t>NL</t>
        </is>
      </c>
      <c r="E193" s="76" t="n"/>
      <c r="F193" s="84" t="inlineStr">
        <is>
          <t>AVAYA NEDERLAND BV</t>
        </is>
      </c>
      <c r="G193" s="90" t="inlineStr">
        <is>
          <t>Maintenance PABX NN Arnhem</t>
        </is>
      </c>
      <c r="H193" s="84" t="n">
        <v>39172</v>
      </c>
      <c r="I193" s="90" t="n">
        <v>212</v>
      </c>
      <c r="J193" s="86" t="n">
        <v>1</v>
      </c>
      <c r="K193" s="76" t="n"/>
      <c r="L193" s="76" t="n"/>
      <c r="M193" s="112" t="n"/>
      <c r="N193" s="76" t="n"/>
      <c r="O193" s="76" t="inlineStr">
        <is>
          <t>C.205</t>
        </is>
      </c>
      <c r="P193" s="76" t="inlineStr">
        <is>
          <t>Novate</t>
        </is>
      </c>
      <c r="Q193" s="76" t="n"/>
      <c r="R193" s="76" t="inlineStr">
        <is>
          <t>TelCo</t>
        </is>
      </c>
      <c r="S193" s="87" t="inlineStr">
        <is>
          <t>included in E014</t>
        </is>
      </c>
      <c r="T193" s="77" t="n"/>
    </row>
    <row r="194" ht="24" customHeight="1" s="69">
      <c r="A194" s="77" t="inlineStr">
        <is>
          <t>DTHW</t>
        </is>
      </c>
      <c r="B194" s="76" t="n"/>
      <c r="C194" s="84" t="n"/>
      <c r="D194" s="90" t="inlineStr">
        <is>
          <t>NL</t>
        </is>
      </c>
      <c r="E194" s="76" t="n"/>
      <c r="F194" s="76" t="inlineStr">
        <is>
          <t>IBM NEDERLAND BV</t>
        </is>
      </c>
      <c r="G194" s="76" t="inlineStr">
        <is>
          <t>IBM Laptops     7/18/1900</t>
        </is>
      </c>
      <c r="H194" s="76" t="n"/>
      <c r="I194" s="90" t="n"/>
      <c r="J194" s="102" t="n">
        <v>1</v>
      </c>
      <c r="K194" s="76" t="n"/>
      <c r="L194" s="76" t="n"/>
      <c r="O194" s="77" t="inlineStr">
        <is>
          <t>C.206</t>
        </is>
      </c>
      <c r="P194" s="76" t="inlineStr">
        <is>
          <t>Terminate</t>
        </is>
      </c>
      <c r="Q194" s="76" t="inlineStr">
        <is>
          <t>at expiry</t>
        </is>
      </c>
      <c r="R194" s="76" t="inlineStr">
        <is>
          <t>Vendor Gamma</t>
        </is>
      </c>
      <c r="S194" s="87" t="n"/>
    </row>
    <row r="195" ht="24" customHeight="1" s="69">
      <c r="A195" s="77" t="inlineStr">
        <is>
          <t>Server</t>
        </is>
      </c>
      <c r="B195" s="76" t="n"/>
      <c r="C195" s="76" t="n">
        <v>2002603</v>
      </c>
      <c r="D195" s="76" t="inlineStr">
        <is>
          <t>NL</t>
        </is>
      </c>
      <c r="E195" s="76" t="n"/>
      <c r="F195" s="76" t="inlineStr">
        <is>
          <t>IBM NEDERLAND BV</t>
        </is>
      </c>
      <c r="G195" s="76" t="inlineStr">
        <is>
          <t>IBM Servers</t>
        </is>
      </c>
      <c r="H195" s="76" t="n"/>
      <c r="I195" s="90" t="n"/>
      <c r="J195" s="86" t="n">
        <v>0.5</v>
      </c>
      <c r="K195" s="76" t="n"/>
      <c r="L195" s="76" t="n"/>
      <c r="M195" s="76" t="n"/>
      <c r="N195" s="76" t="n"/>
      <c r="O195" s="76" t="inlineStr">
        <is>
          <t>C.207</t>
        </is>
      </c>
      <c r="P195" s="76" t="inlineStr">
        <is>
          <t>Retained</t>
        </is>
      </c>
      <c r="Q195" s="76" t="n"/>
      <c r="R195" s="76" t="inlineStr">
        <is>
          <t>VendorA</t>
        </is>
      </c>
      <c r="S195" s="87" t="n"/>
    </row>
    <row r="196" ht="24" customHeight="1" s="69">
      <c r="A196" s="77" t="inlineStr">
        <is>
          <t>DTHW</t>
        </is>
      </c>
      <c r="B196" s="76" t="n"/>
      <c r="C196" s="76" t="n">
        <v>2003836</v>
      </c>
      <c r="D196" s="76" t="inlineStr">
        <is>
          <t>NL</t>
        </is>
      </c>
      <c r="E196" s="76" t="n"/>
      <c r="F196" s="76" t="inlineStr">
        <is>
          <t>Valid Express</t>
        </is>
      </c>
      <c r="G196" s="76" t="inlineStr">
        <is>
          <t>Courier Services</t>
        </is>
      </c>
      <c r="H196" s="84" t="n">
        <v>39263</v>
      </c>
      <c r="I196" s="90" t="n">
        <v>4966</v>
      </c>
      <c r="J196" s="86" t="n">
        <v>1</v>
      </c>
      <c r="K196" s="76" t="n"/>
      <c r="L196" s="76" t="n"/>
      <c r="M196" s="76" t="n"/>
      <c r="N196" s="76" t="n"/>
      <c r="O196" s="76" t="inlineStr">
        <is>
          <t>C.208</t>
        </is>
      </c>
      <c r="P196" s="76" t="inlineStr">
        <is>
          <t>Terminate</t>
        </is>
      </c>
      <c r="Q196" s="76" t="inlineStr">
        <is>
          <t>at expiry</t>
        </is>
      </c>
      <c r="R196" s="76" t="inlineStr">
        <is>
          <t>Vendor Gamma</t>
        </is>
      </c>
      <c r="S196" s="87" t="n"/>
    </row>
    <row r="197" ht="24" customHeight="1" s="69">
      <c r="A197" s="77" t="inlineStr">
        <is>
          <t>voice</t>
        </is>
      </c>
      <c r="B197" s="76" t="n">
        <v>6525</v>
      </c>
      <c r="C197" s="76" t="inlineStr">
        <is>
          <t>001085</t>
        </is>
      </c>
      <c r="D197" s="76" t="inlineStr">
        <is>
          <t>BE</t>
        </is>
      </c>
      <c r="E197" s="76" t="n"/>
      <c r="F197" s="76" t="inlineStr">
        <is>
          <t>Ascom Nira</t>
        </is>
      </c>
      <c r="G197" s="76" t="inlineStr">
        <is>
          <t>Maintenance home mort Borgerhout</t>
        </is>
      </c>
      <c r="H197" s="84" t="n">
        <v>39447</v>
      </c>
      <c r="I197" s="90" t="n">
        <v>45</v>
      </c>
      <c r="J197" s="86" t="n">
        <v>1</v>
      </c>
      <c r="K197" s="76" t="n"/>
      <c r="L197" s="76" t="inlineStr">
        <is>
          <t>30 days end of month</t>
        </is>
      </c>
      <c r="M197" s="76" t="n"/>
      <c r="N197" s="76" t="n"/>
      <c r="O197" s="76" t="inlineStr">
        <is>
          <t>C.BE.004</t>
        </is>
      </c>
      <c r="P197" s="76" t="inlineStr">
        <is>
          <t>Retained</t>
        </is>
      </c>
      <c r="Q197" s="76" t="n"/>
      <c r="R197" s="76" t="inlineStr">
        <is>
          <t>TelCo</t>
        </is>
      </c>
      <c r="S197" s="87" t="n"/>
      <c r="T197" s="77" t="n"/>
    </row>
    <row r="198" ht="24" customHeight="1" s="69">
      <c r="A198" s="77" t="inlineStr">
        <is>
          <t>Voice</t>
        </is>
      </c>
      <c r="B198" s="76" t="n">
        <v>6247</v>
      </c>
      <c r="C198" s="76" t="inlineStr">
        <is>
          <t>001086</t>
        </is>
      </c>
      <c r="D198" s="76" t="inlineStr">
        <is>
          <t>BE</t>
        </is>
      </c>
      <c r="E198" s="76" t="n"/>
      <c r="F198" s="76" t="inlineStr">
        <is>
          <t>Ascom Nira</t>
        </is>
      </c>
      <c r="G198" s="76" t="inlineStr">
        <is>
          <t>Maintenance paging contract 7/7 24/24 - Pagers beepers CSM Marnix</t>
        </is>
      </c>
      <c r="H198" s="84" t="n">
        <v>39447</v>
      </c>
      <c r="I198" s="90" t="n">
        <v>574.333333333333</v>
      </c>
      <c r="J198" s="86" t="n">
        <v>1</v>
      </c>
      <c r="K198" s="76" t="n"/>
      <c r="L198" s="76" t="inlineStr">
        <is>
          <t>30 days end of month</t>
        </is>
      </c>
      <c r="M198" s="76" t="n"/>
      <c r="N198" s="76" t="n"/>
      <c r="O198" s="76" t="inlineStr">
        <is>
          <t>C.BE.005</t>
        </is>
      </c>
      <c r="P198" s="76" t="inlineStr">
        <is>
          <t>Novate</t>
        </is>
      </c>
      <c r="Q198" s="76" t="n"/>
      <c r="R198" s="76" t="inlineStr">
        <is>
          <t>TelCo</t>
        </is>
      </c>
      <c r="S198" s="87" t="n">
        <v>413</v>
      </c>
      <c r="T198" s="77" t="n"/>
    </row>
    <row r="199" ht="24" customHeight="1" s="69">
      <c r="A199" s="77" t="inlineStr">
        <is>
          <t>EUC</t>
        </is>
      </c>
      <c r="B199" s="76" t="n">
        <v>6047</v>
      </c>
      <c r="C199" s="76" t="n"/>
      <c r="D199" s="76" t="inlineStr">
        <is>
          <t>BE</t>
        </is>
      </c>
      <c r="E199" s="76" t="n"/>
      <c r="F199" s="76" t="inlineStr">
        <is>
          <t>B&amp;L/1</t>
        </is>
      </c>
      <c r="G199" s="76" t="inlineStr">
        <is>
          <t>Maintenance  BL/LIB</t>
        </is>
      </c>
      <c r="H199" s="84" t="n"/>
      <c r="I199" s="90" t="n">
        <v>7981.41666666667</v>
      </c>
      <c r="J199" s="92" t="n">
        <v>1</v>
      </c>
      <c r="K199" s="76" t="n"/>
      <c r="L199" s="76" t="n"/>
      <c r="M199" s="76" t="n"/>
      <c r="N199" s="76" t="n"/>
      <c r="O199" s="76" t="inlineStr">
        <is>
          <t>C.BE.009</t>
        </is>
      </c>
      <c r="P199" s="76" t="inlineStr">
        <is>
          <t>Retained</t>
        </is>
      </c>
      <c r="Q199" s="76" t="n"/>
      <c r="R199" s="76" t="inlineStr">
        <is>
          <t>VendorA</t>
        </is>
      </c>
      <c r="S199" s="87" t="n"/>
      <c r="FA199" s="77" t="n"/>
      <c r="FB199" s="77" t="n"/>
      <c r="FC199" s="76" t="n"/>
    </row>
    <row r="200" ht="24" customHeight="1" s="69">
      <c r="A200" s="77" t="inlineStr">
        <is>
          <t>EUC</t>
        </is>
      </c>
      <c r="B200" s="76" t="n">
        <v>5850</v>
      </c>
      <c r="C200" s="76" t="inlineStr">
        <is>
          <t>000712</t>
        </is>
      </c>
      <c r="D200" s="76" t="inlineStr">
        <is>
          <t>BE</t>
        </is>
      </c>
      <c r="E200" s="76" t="n"/>
      <c r="F200" s="76" t="inlineStr">
        <is>
          <t>CANON/7</t>
        </is>
      </c>
      <c r="G200" s="76" t="inlineStr">
        <is>
          <t>Renting &amp; maintenance &amp; supplies MFP</t>
        </is>
      </c>
      <c r="H200" s="84" t="n"/>
      <c r="I200" s="90" t="n">
        <v>156039</v>
      </c>
      <c r="J200" s="86" t="n">
        <v>1</v>
      </c>
      <c r="K200" s="76" t="n"/>
      <c r="L200" s="76" t="inlineStr">
        <is>
          <t>within 14 days</t>
        </is>
      </c>
      <c r="M200" s="76" t="n"/>
      <c r="N200" s="76" t="n"/>
      <c r="O200" s="76" t="inlineStr">
        <is>
          <t>C.BE.014</t>
        </is>
      </c>
      <c r="P200" s="76" t="inlineStr">
        <is>
          <t>Retained</t>
        </is>
      </c>
      <c r="Q200" s="76" t="n"/>
      <c r="R200" s="76" t="inlineStr">
        <is>
          <t>Vendor Gamma</t>
        </is>
      </c>
      <c r="S200" s="87" t="n"/>
      <c r="FA200" s="77" t="n"/>
      <c r="FB200" s="77" t="n"/>
      <c r="FC200" s="76" t="n"/>
    </row>
    <row r="201" ht="24" customHeight="1" s="69">
      <c r="A201" s="77" t="inlineStr">
        <is>
          <t>Voice</t>
        </is>
      </c>
      <c r="B201" s="76" t="n">
        <v>1990</v>
      </c>
      <c r="C201" s="76" t="n"/>
      <c r="D201" s="76" t="inlineStr">
        <is>
          <t>BE</t>
        </is>
      </c>
      <c r="E201" s="76" t="n"/>
      <c r="F201" s="76" t="inlineStr">
        <is>
          <t>DAMOVO/12</t>
        </is>
      </c>
      <c r="G201" s="76" t="inlineStr">
        <is>
          <t>Maintenance Nortel Telefooncentrales (45550178)</t>
        </is>
      </c>
      <c r="H201" s="84" t="n">
        <v>39051</v>
      </c>
      <c r="I201" s="90" t="n">
        <v>13292.03</v>
      </c>
      <c r="J201" s="86" t="n">
        <v>1</v>
      </c>
      <c r="K201" s="76" t="n"/>
      <c r="L201" s="76" t="inlineStr">
        <is>
          <t>30 days end of month</t>
        </is>
      </c>
      <c r="M201" s="76" t="n"/>
      <c r="N201" s="76" t="n"/>
      <c r="O201" s="76" t="inlineStr">
        <is>
          <t>C.BE.070</t>
        </is>
      </c>
      <c r="P201" s="76" t="inlineStr">
        <is>
          <t>Novate</t>
        </is>
      </c>
      <c r="Q201" s="76" t="n"/>
      <c r="R201" s="76" t="inlineStr">
        <is>
          <t>TelCo</t>
        </is>
      </c>
      <c r="S201" s="87" t="n">
        <v>13292</v>
      </c>
      <c r="T201" s="77" t="n"/>
    </row>
    <row r="202" ht="24" customHeight="1" s="69">
      <c r="A202" s="77" t="inlineStr">
        <is>
          <t>Voice</t>
        </is>
      </c>
      <c r="B202" s="76" t="n">
        <v>2012</v>
      </c>
      <c r="C202" s="76" t="n"/>
      <c r="D202" s="76" t="inlineStr">
        <is>
          <t>BE</t>
        </is>
      </c>
      <c r="E202" s="76" t="n"/>
      <c r="F202" s="76" t="inlineStr">
        <is>
          <t>DAMOVO/13</t>
        </is>
      </c>
      <c r="G202" s="76" t="inlineStr">
        <is>
          <t>Maintenance PBX central sites (3 types of SLA)    Custom nr 268551</t>
        </is>
      </c>
      <c r="H202" s="84" t="n">
        <v>39051</v>
      </c>
      <c r="I202" s="90" t="n">
        <v>13334.68</v>
      </c>
      <c r="J202" s="86" t="n">
        <v>1</v>
      </c>
      <c r="K202" s="76" t="n"/>
      <c r="L202" s="76" t="inlineStr">
        <is>
          <t>30 days end of month</t>
        </is>
      </c>
      <c r="M202" s="76" t="n"/>
      <c r="N202" s="76" t="n"/>
      <c r="O202" s="76" t="inlineStr">
        <is>
          <t>C.BE.072</t>
        </is>
      </c>
      <c r="P202" s="76" t="inlineStr">
        <is>
          <t>Novate</t>
        </is>
      </c>
      <c r="Q202" s="76" t="n"/>
      <c r="R202" s="76" t="inlineStr">
        <is>
          <t>TelCo</t>
        </is>
      </c>
      <c r="S202" s="87" t="n">
        <v>13335</v>
      </c>
      <c r="T202" s="77" t="n"/>
    </row>
    <row r="203" ht="24" customHeight="1" s="69">
      <c r="A203" s="77" t="inlineStr">
        <is>
          <t>Server</t>
        </is>
      </c>
      <c r="B203" s="76" t="n">
        <v>5851</v>
      </c>
      <c r="C203" s="76" t="n"/>
      <c r="D203" s="76" t="inlineStr">
        <is>
          <t>BE</t>
        </is>
      </c>
      <c r="E203" s="76" t="n"/>
      <c r="F203" s="76" t="inlineStr">
        <is>
          <t>DATAPOINT/17</t>
        </is>
      </c>
      <c r="G203" s="76" t="inlineStr">
        <is>
          <t>BBL frame agreement for support NT servers    63405 T/64929T</t>
        </is>
      </c>
      <c r="H203" s="84" t="n"/>
      <c r="I203" s="90" t="n">
        <v>27234.24</v>
      </c>
      <c r="J203" s="86" t="n">
        <v>0.66</v>
      </c>
      <c r="K203" s="76" t="n"/>
      <c r="L203" s="76" t="inlineStr">
        <is>
          <t>invoice dependong on support</t>
        </is>
      </c>
      <c r="M203" s="76" t="n"/>
      <c r="N203" s="76" t="n"/>
      <c r="O203" s="76" t="inlineStr">
        <is>
          <t>C.BE.079</t>
        </is>
      </c>
      <c r="P203" s="76" t="inlineStr">
        <is>
          <t>Terminate</t>
        </is>
      </c>
      <c r="Q203" s="76" t="inlineStr">
        <is>
          <t>at expiry</t>
        </is>
      </c>
      <c r="R203" s="76" t="inlineStr">
        <is>
          <t>VendorA</t>
        </is>
      </c>
      <c r="S203" s="87" t="n">
        <v>17975</v>
      </c>
    </row>
    <row r="204" ht="24" customHeight="1" s="69">
      <c r="A204" s="77" t="inlineStr">
        <is>
          <t>Voice</t>
        </is>
      </c>
      <c r="B204" s="76" t="n">
        <v>1665</v>
      </c>
      <c r="C204" s="76" t="n"/>
      <c r="D204" s="76" t="inlineStr">
        <is>
          <t>BE</t>
        </is>
      </c>
      <c r="E204" s="76" t="n"/>
      <c r="F204" s="76" t="inlineStr">
        <is>
          <t>DIMENSION/2</t>
        </is>
      </c>
      <c r="G204" s="76" t="inlineStr">
        <is>
          <t>Maintenance contracts Cisco ICM
maintenance en service</t>
        </is>
      </c>
      <c r="H204" s="84" t="n">
        <v>39082</v>
      </c>
      <c r="I204" s="90" t="n">
        <v>13068</v>
      </c>
      <c r="J204" s="86" t="n">
        <v>1</v>
      </c>
      <c r="K204" s="76" t="n"/>
      <c r="L204" s="76" t="inlineStr">
        <is>
          <t>30 days end of month</t>
        </is>
      </c>
      <c r="M204" s="76" t="n"/>
      <c r="N204" s="76" t="n"/>
      <c r="O204" s="76" t="inlineStr">
        <is>
          <t>C.BE.082</t>
        </is>
      </c>
      <c r="P204" s="76" t="inlineStr">
        <is>
          <t>Novate</t>
        </is>
      </c>
      <c r="Q204" s="76" t="n"/>
      <c r="R204" s="76" t="inlineStr">
        <is>
          <t>TelCo</t>
        </is>
      </c>
      <c r="S204" s="87">
        <f>62940/12</f>
        <v/>
      </c>
      <c r="T204" s="77" t="n"/>
    </row>
    <row r="205" ht="24" customHeight="1" s="69">
      <c r="A205" s="95" t="inlineStr">
        <is>
          <t>EUC</t>
        </is>
      </c>
      <c r="B205" s="96" t="n">
        <v>6801</v>
      </c>
      <c r="C205" s="96" t="n"/>
      <c r="D205" s="96" t="inlineStr">
        <is>
          <t>BE</t>
        </is>
      </c>
      <c r="E205" s="96" t="n"/>
      <c r="F205" s="96" t="inlineStr">
        <is>
          <t>VENDOR GAMMA/15</t>
        </is>
      </c>
      <c r="G205" s="96" t="inlineStr">
        <is>
          <t>Contrat de services maintenance N° 2003-01</t>
        </is>
      </c>
      <c r="H205" s="97" t="n"/>
      <c r="I205" s="106" t="n">
        <v>35063.724725</v>
      </c>
      <c r="J205" s="99" t="n">
        <v>0.1</v>
      </c>
      <c r="K205" s="96" t="n"/>
      <c r="L205" s="96" t="inlineStr">
        <is>
          <t>in advance</t>
        </is>
      </c>
      <c r="M205" s="96" t="n"/>
      <c r="N205" s="96" t="n"/>
      <c r="O205" s="96" t="inlineStr">
        <is>
          <t>C.BE.106</t>
        </is>
      </c>
      <c r="P205" s="96" t="inlineStr">
        <is>
          <t>Novate</t>
        </is>
      </c>
      <c r="Q205" s="96" t="n"/>
      <c r="R205" s="96" t="inlineStr">
        <is>
          <t>Vendor Gamma</t>
        </is>
      </c>
      <c r="S205" s="100" t="n"/>
    </row>
    <row r="206" ht="48.6" customHeight="1" s="69">
      <c r="A206" s="95" t="inlineStr">
        <is>
          <t>Lan</t>
        </is>
      </c>
      <c r="B206" s="96" t="n">
        <v>1444</v>
      </c>
      <c r="C206" s="96" t="n"/>
      <c r="D206" s="96" t="inlineStr">
        <is>
          <t>BE</t>
        </is>
      </c>
      <c r="E206" s="96" t="n"/>
      <c r="F206" s="96" t="inlineStr">
        <is>
          <t>VENDOR GAMMA/3</t>
        </is>
      </c>
      <c r="G206" s="96" t="inlineStr">
        <is>
          <t>Onderhoudscontract voor Cisco hardware en software    PROJET Departemental SWITCHING</t>
        </is>
      </c>
      <c r="H206" s="97" t="n"/>
      <c r="I206" s="106" t="n">
        <v>24057.5201375</v>
      </c>
      <c r="J206" s="99" t="n">
        <v>0.5</v>
      </c>
      <c r="K206" s="96" t="n"/>
      <c r="L206" s="96" t="n"/>
      <c r="M206" s="96" t="n"/>
      <c r="N206" s="96" t="n"/>
      <c r="O206" s="96" t="inlineStr">
        <is>
          <t>C.BE.112</t>
        </is>
      </c>
      <c r="P206" s="96" t="inlineStr">
        <is>
          <t>Novate</t>
        </is>
      </c>
      <c r="Q206" s="96" t="n"/>
      <c r="R206" s="96" t="inlineStr">
        <is>
          <t>TelCo</t>
        </is>
      </c>
      <c r="S206" s="100" t="n"/>
      <c r="T206" s="77" t="n"/>
    </row>
    <row r="207" ht="24" customHeight="1" s="69">
      <c r="A207" s="77" t="inlineStr">
        <is>
          <t>Server</t>
        </is>
      </c>
      <c r="B207" s="76" t="n">
        <v>6351</v>
      </c>
      <c r="C207" s="76" t="n"/>
      <c r="D207" s="76" t="inlineStr">
        <is>
          <t>BE</t>
        </is>
      </c>
      <c r="E207" s="76" t="n"/>
      <c r="F207" s="76" t="inlineStr">
        <is>
          <t>Hewlett-Packard/143</t>
        </is>
      </c>
      <c r="G207" s="76" t="inlineStr">
        <is>
          <t>Supportovereenkomst H5351A NetServers EuroBank INSURANCE</t>
        </is>
      </c>
      <c r="H207" s="84" t="n"/>
      <c r="I207" s="90" t="n">
        <v>1691</v>
      </c>
      <c r="J207" s="92" t="n">
        <v>1</v>
      </c>
      <c r="K207" s="76" t="n"/>
      <c r="L207" s="76" t="inlineStr">
        <is>
          <t>30 days invoice date</t>
        </is>
      </c>
      <c r="M207" s="76" t="n"/>
      <c r="N207" s="76" t="n"/>
      <c r="O207" s="76" t="inlineStr">
        <is>
          <t>C.BE.125</t>
        </is>
      </c>
      <c r="P207" s="76" t="inlineStr">
        <is>
          <t>Terminate</t>
        </is>
      </c>
      <c r="Q207" s="76" t="inlineStr">
        <is>
          <t>at expiry</t>
        </is>
      </c>
      <c r="R207" s="76" t="inlineStr">
        <is>
          <t>VendorA</t>
        </is>
      </c>
      <c r="S207" s="87" t="n">
        <v>1691</v>
      </c>
    </row>
    <row r="208" ht="48" customHeight="1" s="69">
      <c r="A208" s="77" t="inlineStr">
        <is>
          <t>Server</t>
        </is>
      </c>
      <c r="B208" s="76" t="n">
        <v>1904</v>
      </c>
      <c r="C208" s="76" t="n"/>
      <c r="D208" s="76" t="inlineStr">
        <is>
          <t>BE</t>
        </is>
      </c>
      <c r="E208" s="76" t="n"/>
      <c r="F208" s="76" t="inlineStr">
        <is>
          <t>Optima Networks/121</t>
        </is>
      </c>
      <c r="G208" s="76" t="inlineStr">
        <is>
          <t>Maintenance 3 years for one Optiserver cat. C systems, all-in, on site; Next business day</t>
        </is>
      </c>
      <c r="H208" s="84" t="n"/>
      <c r="I208" s="90" t="n">
        <v>18.48</v>
      </c>
      <c r="J208" s="86" t="n">
        <v>0.66</v>
      </c>
      <c r="K208" s="76" t="n"/>
      <c r="L208" s="76" t="inlineStr">
        <is>
          <t>30 days invoice date</t>
        </is>
      </c>
      <c r="M208" s="76" t="n"/>
      <c r="N208" s="76" t="n"/>
      <c r="O208" s="76" t="inlineStr">
        <is>
          <t>C.BE.133</t>
        </is>
      </c>
      <c r="P208" s="76" t="inlineStr">
        <is>
          <t>Terminate</t>
        </is>
      </c>
      <c r="Q208" s="76" t="inlineStr">
        <is>
          <t>at expiry</t>
        </is>
      </c>
      <c r="R208" s="76" t="inlineStr">
        <is>
          <t>VendorA</t>
        </is>
      </c>
      <c r="S208" s="87" t="n">
        <v>12</v>
      </c>
    </row>
    <row r="209" ht="24" customHeight="1" s="69">
      <c r="A209" s="77" t="inlineStr">
        <is>
          <t>DTHW</t>
        </is>
      </c>
      <c r="B209" s="76" t="n">
        <v>1458</v>
      </c>
      <c r="C209" s="76" t="n"/>
      <c r="D209" s="76" t="inlineStr">
        <is>
          <t>BE</t>
        </is>
      </c>
      <c r="E209" s="76" t="n"/>
      <c r="F209" s="76" t="inlineStr">
        <is>
          <t>Rank Xerox/255</t>
        </is>
      </c>
      <c r="G209" s="76" t="inlineStr">
        <is>
          <t>5828 CS Equipment Xerox    serienr 2130724682</t>
        </is>
      </c>
      <c r="H209" s="84" t="n"/>
      <c r="I209" s="90" t="n">
        <v>216</v>
      </c>
      <c r="J209" s="86" t="n">
        <v>1</v>
      </c>
      <c r="K209" s="76" t="n"/>
      <c r="L209" s="76" t="n"/>
      <c r="M209" s="76" t="n"/>
      <c r="N209" s="76" t="n"/>
      <c r="O209" s="76" t="inlineStr">
        <is>
          <t>C.BE.136</t>
        </is>
      </c>
      <c r="P209" s="76" t="inlineStr">
        <is>
          <t>Retained</t>
        </is>
      </c>
      <c r="Q209" s="76" t="n"/>
      <c r="R209" s="76" t="inlineStr">
        <is>
          <t>Vendor Gamma</t>
        </is>
      </c>
      <c r="S209" s="87" t="n"/>
    </row>
    <row r="210" ht="24" customHeight="1" s="69">
      <c r="A210" s="77" t="inlineStr">
        <is>
          <t>DTHW</t>
        </is>
      </c>
      <c r="B210" s="76" t="n">
        <v>1798</v>
      </c>
      <c r="C210" s="76" t="n"/>
      <c r="D210" s="76" t="inlineStr">
        <is>
          <t>BE</t>
        </is>
      </c>
      <c r="E210" s="76" t="n"/>
      <c r="F210" s="76" t="inlineStr">
        <is>
          <t>Rank Xerox/256</t>
        </is>
      </c>
      <c r="G210" s="76" t="inlineStr">
        <is>
          <t>5614 Zoom Equipment Xerox - serienr 2980654314</t>
        </is>
      </c>
      <c r="H210" s="84" t="n"/>
      <c r="I210" s="90" t="n">
        <v>26</v>
      </c>
      <c r="J210" s="86" t="n">
        <v>1</v>
      </c>
      <c r="K210" s="76" t="n"/>
      <c r="L210" s="76" t="n"/>
      <c r="M210" s="76" t="n"/>
      <c r="N210" s="76" t="n"/>
      <c r="O210" s="76" t="inlineStr">
        <is>
          <t>C.BE.138</t>
        </is>
      </c>
      <c r="P210" s="76" t="inlineStr">
        <is>
          <t>Retained</t>
        </is>
      </c>
      <c r="Q210" s="76" t="n"/>
      <c r="R210" s="76" t="inlineStr">
        <is>
          <t>Vendor Gamma</t>
        </is>
      </c>
      <c r="S210" s="87" t="n"/>
    </row>
    <row r="211" ht="24" customHeight="1" s="69">
      <c r="A211" s="77" t="inlineStr">
        <is>
          <t>DTHW</t>
        </is>
      </c>
      <c r="B211" s="76" t="n">
        <v>1818</v>
      </c>
      <c r="C211" s="76" t="n"/>
      <c r="D211" s="76" t="inlineStr">
        <is>
          <t>BE</t>
        </is>
      </c>
      <c r="E211" s="76" t="n"/>
      <c r="F211" s="76" t="inlineStr">
        <is>
          <t>Rank Xerox/257</t>
        </is>
      </c>
      <c r="G211" s="76" t="inlineStr">
        <is>
          <t>5830 CS equipment Xerox    2134917574</t>
        </is>
      </c>
      <c r="H211" s="84" t="n"/>
      <c r="I211" s="90" t="n">
        <v>25</v>
      </c>
      <c r="J211" s="86" t="n">
        <v>1</v>
      </c>
      <c r="K211" s="76" t="n"/>
      <c r="L211" s="76" t="inlineStr">
        <is>
          <t>30 days end of month</t>
        </is>
      </c>
      <c r="M211" s="76" t="n"/>
      <c r="N211" s="76" t="n"/>
      <c r="O211" s="76" t="inlineStr">
        <is>
          <t>C.BE.139</t>
        </is>
      </c>
      <c r="P211" s="76" t="inlineStr">
        <is>
          <t>Retained</t>
        </is>
      </c>
      <c r="Q211" s="76" t="n"/>
      <c r="R211" s="76" t="inlineStr">
        <is>
          <t>Vendor Gamma</t>
        </is>
      </c>
      <c r="S211" s="87" t="n"/>
    </row>
    <row r="212" ht="24" customHeight="1" s="69">
      <c r="A212" s="77" t="inlineStr">
        <is>
          <t>DTHW</t>
        </is>
      </c>
      <c r="B212" s="76" t="n">
        <v>2003</v>
      </c>
      <c r="C212" s="76" t="n"/>
      <c r="D212" s="76" t="inlineStr">
        <is>
          <t>BE</t>
        </is>
      </c>
      <c r="E212" s="76" t="n"/>
      <c r="F212" s="76" t="inlineStr">
        <is>
          <t>Rank Xerox/258</t>
        </is>
      </c>
      <c r="G212" s="76" t="inlineStr">
        <is>
          <t>5815 B (contract 40214605)    3502045619</t>
        </is>
      </c>
      <c r="H212" s="84" t="n"/>
      <c r="I212" s="90" t="n">
        <v>9</v>
      </c>
      <c r="J212" s="86" t="n">
        <v>1</v>
      </c>
      <c r="K212" s="76" t="n"/>
      <c r="L212" s="76" t="inlineStr">
        <is>
          <t>30 days end of month</t>
        </is>
      </c>
      <c r="M212" s="76" t="n"/>
      <c r="N212" s="76" t="n"/>
      <c r="O212" s="76" t="inlineStr">
        <is>
          <t>C.BE.140</t>
        </is>
      </c>
      <c r="P212" s="76" t="inlineStr">
        <is>
          <t>Retained</t>
        </is>
      </c>
      <c r="Q212" s="76" t="n"/>
      <c r="R212" s="76" t="inlineStr">
        <is>
          <t>Vendor Gamma</t>
        </is>
      </c>
      <c r="S212" s="87" t="n"/>
    </row>
    <row r="213" ht="24" customHeight="1" s="69">
      <c r="A213" s="77" t="inlineStr">
        <is>
          <t>DTHW</t>
        </is>
      </c>
      <c r="B213" s="76" t="n">
        <v>710</v>
      </c>
      <c r="C213" s="76" t="n"/>
      <c r="D213" s="76" t="inlineStr">
        <is>
          <t>BE</t>
        </is>
      </c>
      <c r="E213" s="76" t="n"/>
      <c r="F213" s="76" t="inlineStr">
        <is>
          <t>EuroBank COMP LEASE/10</t>
        </is>
      </c>
      <c r="G213" s="76" t="inlineStr">
        <is>
          <t>Leasing PC equipment (1000 pieces) 100-202-32</t>
        </is>
      </c>
      <c r="H213" s="84" t="n">
        <v>38898</v>
      </c>
      <c r="I213" s="90" t="n">
        <v>9948.75</v>
      </c>
      <c r="J213" s="86" t="n">
        <v>1</v>
      </c>
      <c r="K213" s="76" t="n"/>
      <c r="L213" s="76" t="inlineStr">
        <is>
          <t>domiciliation bancaire</t>
        </is>
      </c>
      <c r="M213" s="76" t="n"/>
      <c r="N213" s="76" t="n"/>
      <c r="O213" s="76" t="inlineStr">
        <is>
          <t>C.BE.142</t>
        </is>
      </c>
      <c r="P213" s="76" t="inlineStr">
        <is>
          <t>Terminate</t>
        </is>
      </c>
      <c r="Q213" s="76" t="inlineStr">
        <is>
          <t>at expiry</t>
        </is>
      </c>
      <c r="R213" s="76" t="inlineStr">
        <is>
          <t>Vendor Gamma</t>
        </is>
      </c>
      <c r="S213" s="87" t="n"/>
    </row>
    <row r="214" ht="24" customHeight="1" s="69">
      <c r="A214" s="77" t="inlineStr">
        <is>
          <t>DTHW</t>
        </is>
      </c>
      <c r="B214" s="76" t="n">
        <v>2125</v>
      </c>
      <c r="C214" s="76" t="n"/>
      <c r="D214" s="76" t="inlineStr">
        <is>
          <t>BE</t>
        </is>
      </c>
      <c r="E214" s="76" t="n"/>
      <c r="F214" s="76" t="inlineStr">
        <is>
          <t>EuroBank COMP LEASE/132</t>
        </is>
      </c>
      <c r="G214" s="76" t="inlineStr">
        <is>
          <t>1000 PC Desktop CEDS Celeron (O.B. 104-201-00-11) 104-201-62</t>
        </is>
      </c>
      <c r="H214" s="84" t="n">
        <v>39416</v>
      </c>
      <c r="I214" s="90" t="n">
        <v>13672</v>
      </c>
      <c r="J214" s="86" t="n">
        <v>1</v>
      </c>
      <c r="K214" s="76" t="n"/>
      <c r="L214" s="76" t="inlineStr">
        <is>
          <t>30 days end of month</t>
        </is>
      </c>
      <c r="M214" s="76" t="n"/>
      <c r="N214" s="76" t="n"/>
      <c r="O214" s="76" t="inlineStr">
        <is>
          <t>C.BE.151</t>
        </is>
      </c>
      <c r="P214" s="76" t="inlineStr">
        <is>
          <t>Terminate</t>
        </is>
      </c>
      <c r="Q214" s="76" t="inlineStr">
        <is>
          <t>at expiry</t>
        </is>
      </c>
      <c r="R214" s="76" t="inlineStr">
        <is>
          <t>Vendor Gamma</t>
        </is>
      </c>
      <c r="S214" s="87" t="n"/>
    </row>
    <row r="215" ht="24" customHeight="1" s="69">
      <c r="A215" s="77" t="inlineStr">
        <is>
          <t>Voice</t>
        </is>
      </c>
      <c r="B215" s="76" t="n">
        <v>5294</v>
      </c>
      <c r="C215" s="76" t="n"/>
      <c r="D215" s="76" t="inlineStr">
        <is>
          <t>BE</t>
        </is>
      </c>
      <c r="E215" s="76" t="n"/>
      <c r="F215" s="76" t="inlineStr">
        <is>
          <t>EuroBank COMP LEASE/140</t>
        </is>
      </c>
      <c r="G215" s="76" t="inlineStr">
        <is>
          <t>Leasing Avaya Material with Telindus 104-201-73</t>
        </is>
      </c>
      <c r="H215" s="84" t="n">
        <v>39416</v>
      </c>
      <c r="I215" s="90" t="n">
        <v>2073</v>
      </c>
      <c r="J215" s="86" t="n">
        <v>1</v>
      </c>
      <c r="K215" s="76" t="n"/>
      <c r="L215" s="76" t="inlineStr">
        <is>
          <t>30 days end of month</t>
        </is>
      </c>
      <c r="M215" s="76" t="n"/>
      <c r="N215" s="76" t="n"/>
      <c r="O215" s="76" t="inlineStr">
        <is>
          <t>C.BE.154</t>
        </is>
      </c>
      <c r="P215" s="76" t="inlineStr">
        <is>
          <t>Novate</t>
        </is>
      </c>
      <c r="Q215" s="76" t="n"/>
      <c r="R215" s="76" t="inlineStr">
        <is>
          <t>TelCo</t>
        </is>
      </c>
      <c r="S215" s="87" t="n"/>
      <c r="T215" s="77" t="n"/>
      <c r="HQ215" s="77" t="n"/>
      <c r="HR215" s="77" t="n"/>
    </row>
    <row r="216" ht="24" customHeight="1" s="69">
      <c r="A216" s="77" t="inlineStr">
        <is>
          <t>Voice</t>
        </is>
      </c>
      <c r="B216" s="76" t="n">
        <v>5298</v>
      </c>
      <c r="C216" s="76" t="n"/>
      <c r="D216" s="76" t="inlineStr">
        <is>
          <t>BE</t>
        </is>
      </c>
      <c r="E216" s="76" t="n"/>
      <c r="F216" s="76" t="inlineStr">
        <is>
          <t>EuroBank COMP LEASE/144</t>
        </is>
      </c>
      <c r="G216" s="76" t="inlineStr">
        <is>
          <t>Leasing 50 gsm's + managed services 104-201-48</t>
        </is>
      </c>
      <c r="H216" s="84" t="n">
        <v>39325</v>
      </c>
      <c r="I216" s="90" t="n">
        <v>651</v>
      </c>
      <c r="J216" s="86" t="n">
        <v>1</v>
      </c>
      <c r="K216" s="76" t="n"/>
      <c r="L216" s="76" t="inlineStr">
        <is>
          <t>30 days end of month</t>
        </is>
      </c>
      <c r="M216" s="76" t="n"/>
      <c r="N216" s="76" t="n"/>
      <c r="O216" s="76" t="inlineStr">
        <is>
          <t>C.BE.158</t>
        </is>
      </c>
      <c r="P216" s="76" t="inlineStr">
        <is>
          <t>Novate</t>
        </is>
      </c>
      <c r="Q216" s="76" t="n"/>
      <c r="R216" s="76" t="inlineStr">
        <is>
          <t>TelCo</t>
        </is>
      </c>
      <c r="S216" s="87" t="n"/>
      <c r="T216" s="77" t="n"/>
      <c r="U216" s="105" t="n"/>
      <c r="V216" s="105" t="n"/>
      <c r="W216" s="105" t="n"/>
      <c r="X216" s="105" t="n"/>
      <c r="Y216" s="105" t="n"/>
      <c r="Z216" s="105" t="n"/>
      <c r="AA216" s="105" t="n"/>
      <c r="AB216" s="105" t="n"/>
      <c r="AC216" s="105" t="n"/>
      <c r="AD216" s="105" t="n"/>
      <c r="AE216" s="105" t="n"/>
      <c r="AF216" s="105" t="n"/>
      <c r="AG216" s="105" t="n"/>
      <c r="AH216" s="105" t="n"/>
      <c r="AI216" s="105" t="n"/>
      <c r="AJ216" s="105" t="n"/>
      <c r="AK216" s="105" t="n"/>
      <c r="AL216" s="105" t="n"/>
      <c r="AM216" s="105" t="n"/>
      <c r="AN216" s="105" t="n"/>
      <c r="AO216" s="105" t="n"/>
      <c r="AP216" s="105" t="n"/>
      <c r="AQ216" s="105" t="n"/>
      <c r="AR216" s="105" t="n"/>
      <c r="AS216" s="105" t="n"/>
      <c r="AT216" s="105" t="n"/>
      <c r="AU216" s="105" t="n"/>
      <c r="AV216" s="105" t="n"/>
      <c r="AW216" s="105" t="n"/>
      <c r="AX216" s="105" t="n"/>
      <c r="AY216" s="105" t="n"/>
      <c r="AZ216" s="105" t="n"/>
      <c r="BA216" s="105" t="n"/>
      <c r="BB216" s="105" t="n"/>
      <c r="BC216" s="105" t="n"/>
      <c r="BD216" s="105" t="n"/>
      <c r="BE216" s="105" t="n"/>
      <c r="BF216" s="105" t="n"/>
      <c r="BG216" s="105" t="n"/>
      <c r="BH216" s="105" t="n"/>
      <c r="BI216" s="105" t="n"/>
      <c r="BJ216" s="105" t="n"/>
      <c r="BK216" s="105" t="n"/>
      <c r="BL216" s="105" t="n"/>
      <c r="BM216" s="105" t="n"/>
      <c r="BN216" s="105" t="n"/>
      <c r="BO216" s="105" t="n"/>
      <c r="BP216" s="105" t="n"/>
      <c r="BQ216" s="105" t="n"/>
      <c r="BR216" s="105" t="n"/>
      <c r="BS216" s="105" t="n"/>
      <c r="BT216" s="105" t="n"/>
      <c r="BU216" s="105" t="n"/>
      <c r="BV216" s="105" t="n"/>
      <c r="BW216" s="105" t="n"/>
      <c r="BX216" s="105" t="n"/>
      <c r="BY216" s="105" t="n"/>
      <c r="BZ216" s="105" t="n"/>
      <c r="CA216" s="105" t="n"/>
      <c r="CB216" s="105" t="n"/>
      <c r="CC216" s="105" t="n"/>
      <c r="CD216" s="105" t="n"/>
      <c r="CE216" s="105" t="n"/>
      <c r="CF216" s="105" t="n"/>
      <c r="CG216" s="105" t="n"/>
      <c r="CH216" s="105" t="n"/>
      <c r="CI216" s="105" t="n"/>
      <c r="CJ216" s="105" t="n"/>
      <c r="CK216" s="105" t="n"/>
      <c r="CL216" s="105" t="n"/>
      <c r="CM216" s="105" t="n"/>
      <c r="CN216" s="105" t="n"/>
      <c r="CO216" s="105" t="n"/>
      <c r="CP216" s="105" t="n"/>
      <c r="CQ216" s="105" t="n"/>
      <c r="CR216" s="105" t="n"/>
      <c r="CS216" s="105" t="n"/>
      <c r="CT216" s="105" t="n"/>
      <c r="CU216" s="105" t="n"/>
      <c r="CV216" s="105" t="n"/>
      <c r="CW216" s="105" t="n"/>
      <c r="CX216" s="105" t="n"/>
      <c r="CY216" s="105" t="n"/>
      <c r="CZ216" s="105" t="n"/>
      <c r="DA216" s="105" t="n"/>
      <c r="DB216" s="105" t="n"/>
      <c r="DC216" s="105" t="n"/>
      <c r="DD216" s="105" t="n"/>
      <c r="DE216" s="105" t="n"/>
      <c r="DF216" s="105" t="n"/>
      <c r="DG216" s="105" t="n"/>
      <c r="DH216" s="105" t="n"/>
      <c r="DI216" s="105" t="n"/>
      <c r="DJ216" s="105" t="n"/>
      <c r="DK216" s="105" t="n"/>
      <c r="DL216" s="105" t="n"/>
      <c r="DM216" s="105" t="n"/>
      <c r="DN216" s="105" t="n"/>
      <c r="DO216" s="105" t="n"/>
      <c r="DP216" s="105" t="n"/>
      <c r="DQ216" s="105" t="n"/>
      <c r="DR216" s="105" t="n"/>
      <c r="DS216" s="105" t="n"/>
      <c r="DT216" s="105" t="n"/>
      <c r="DU216" s="105" t="n"/>
      <c r="DV216" s="105" t="n"/>
      <c r="DW216" s="105" t="n"/>
      <c r="DX216" s="105" t="n"/>
      <c r="DY216" s="105" t="n"/>
      <c r="DZ216" s="105" t="n"/>
      <c r="EA216" s="105" t="n"/>
      <c r="EB216" s="105" t="n"/>
      <c r="EC216" s="105" t="n"/>
      <c r="ED216" s="105" t="n"/>
      <c r="EE216" s="105" t="n"/>
      <c r="EF216" s="105" t="n"/>
      <c r="EG216" s="105" t="n"/>
      <c r="EH216" s="105" t="n"/>
      <c r="EI216" s="105" t="n"/>
      <c r="EJ216" s="105" t="n"/>
      <c r="EK216" s="105" t="n"/>
      <c r="EL216" s="105" t="n"/>
      <c r="EM216" s="105" t="n"/>
      <c r="EN216" s="105" t="n"/>
      <c r="EO216" s="105" t="n"/>
      <c r="EP216" s="105" t="n"/>
      <c r="EQ216" s="105" t="n"/>
      <c r="ER216" s="105" t="n"/>
      <c r="ES216" s="105" t="n"/>
      <c r="ET216" s="105" t="n"/>
      <c r="EU216" s="105" t="n"/>
      <c r="EV216" s="105" t="n"/>
      <c r="EW216" s="105" t="n"/>
      <c r="EX216" s="105" t="n"/>
      <c r="EY216" s="105" t="n"/>
      <c r="EZ216" s="105" t="n"/>
      <c r="FA216" s="105" t="n"/>
      <c r="FB216" s="105" t="n"/>
      <c r="FC216" s="105" t="n"/>
      <c r="FD216" s="105" t="n"/>
      <c r="FE216" s="105" t="n"/>
      <c r="FF216" s="105" t="n"/>
      <c r="FG216" s="105" t="n"/>
      <c r="FH216" s="105" t="n"/>
      <c r="FI216" s="105" t="n"/>
      <c r="FJ216" s="105" t="n"/>
      <c r="FK216" s="105" t="n"/>
      <c r="FL216" s="105" t="n"/>
      <c r="FM216" s="105" t="n"/>
      <c r="FN216" s="105" t="n"/>
      <c r="FO216" s="105" t="n"/>
      <c r="FP216" s="105" t="n"/>
      <c r="FQ216" s="105" t="n"/>
      <c r="FR216" s="105" t="n"/>
      <c r="FS216" s="105" t="n"/>
      <c r="FT216" s="105" t="n"/>
      <c r="FU216" s="105" t="n"/>
      <c r="FV216" s="105" t="n"/>
      <c r="FW216" s="105" t="n"/>
      <c r="FX216" s="105" t="n"/>
      <c r="FY216" s="105" t="n"/>
      <c r="FZ216" s="105" t="n"/>
      <c r="GA216" s="105" t="n"/>
      <c r="GB216" s="105" t="n"/>
      <c r="GC216" s="105" t="n"/>
      <c r="GD216" s="105" t="n"/>
      <c r="GE216" s="105" t="n"/>
      <c r="GF216" s="105" t="n"/>
      <c r="GG216" s="105" t="n"/>
      <c r="GH216" s="105" t="n"/>
      <c r="GI216" s="105" t="n"/>
      <c r="GJ216" s="105" t="n"/>
      <c r="GK216" s="105" t="n"/>
      <c r="GL216" s="105" t="n"/>
      <c r="GM216" s="105" t="n"/>
      <c r="GN216" s="105" t="n"/>
      <c r="GO216" s="105" t="n"/>
      <c r="GP216" s="105" t="n"/>
      <c r="GQ216" s="105" t="n"/>
      <c r="GR216" s="105" t="n"/>
      <c r="GS216" s="105" t="n"/>
      <c r="GT216" s="105" t="n"/>
      <c r="GU216" s="105" t="n"/>
      <c r="GV216" s="105" t="n"/>
      <c r="GW216" s="105" t="n"/>
      <c r="GX216" s="105" t="n"/>
      <c r="GY216" s="105" t="n"/>
      <c r="GZ216" s="105" t="n"/>
      <c r="HA216" s="105" t="n"/>
      <c r="HB216" s="105" t="n"/>
      <c r="HC216" s="105" t="n"/>
      <c r="HD216" s="105" t="n"/>
      <c r="HE216" s="105" t="n"/>
      <c r="HF216" s="105" t="n"/>
      <c r="HG216" s="105" t="n"/>
      <c r="HH216" s="105" t="n"/>
      <c r="HI216" s="105" t="n"/>
      <c r="HJ216" s="105" t="n"/>
      <c r="HK216" s="105" t="n"/>
      <c r="HL216" s="105" t="n"/>
      <c r="HM216" s="105" t="n"/>
      <c r="HN216" s="105" t="n"/>
      <c r="HO216" s="105" t="n"/>
      <c r="HP216" s="105" t="n"/>
      <c r="HQ216" s="105" t="n"/>
      <c r="HR216" s="105" t="n"/>
    </row>
    <row r="217" ht="24" customHeight="1" s="69">
      <c r="A217" s="77" t="inlineStr">
        <is>
          <t>Voice</t>
        </is>
      </c>
      <c r="B217" s="76" t="n">
        <v>5297</v>
      </c>
      <c r="C217" s="76" t="n"/>
      <c r="D217" s="76" t="inlineStr">
        <is>
          <t>BE</t>
        </is>
      </c>
      <c r="E217" s="76" t="n"/>
      <c r="F217" s="76" t="inlineStr">
        <is>
          <t>EuroBank COMP LEASE/145</t>
        </is>
      </c>
      <c r="G217" s="76" t="inlineStr">
        <is>
          <t>Telindus Avaya Gateway EuroBank Ins 104-201-39</t>
        </is>
      </c>
      <c r="H217" s="84" t="inlineStr">
        <is>
          <t>31/09/2007</t>
        </is>
      </c>
      <c r="I217" s="90" t="n">
        <v>765</v>
      </c>
      <c r="J217" s="86" t="n">
        <v>1</v>
      </c>
      <c r="K217" s="76" t="n"/>
      <c r="L217" s="76" t="inlineStr">
        <is>
          <t>30 days end of month</t>
        </is>
      </c>
      <c r="M217" s="76" t="n"/>
      <c r="N217" s="76" t="n"/>
      <c r="O217" s="76" t="inlineStr">
        <is>
          <t>C.BE.159</t>
        </is>
      </c>
      <c r="P217" s="76" t="inlineStr">
        <is>
          <t>Novate</t>
        </is>
      </c>
      <c r="Q217" s="76" t="n"/>
      <c r="R217" s="76" t="inlineStr">
        <is>
          <t>TelCo</t>
        </is>
      </c>
      <c r="S217" s="87" t="n"/>
      <c r="T217" s="77" t="n"/>
      <c r="U217" s="105" t="n"/>
      <c r="V217" s="105" t="n"/>
      <c r="W217" s="105" t="n"/>
      <c r="X217" s="105" t="n"/>
      <c r="Y217" s="105" t="n"/>
      <c r="Z217" s="105" t="n"/>
      <c r="AA217" s="105" t="n"/>
      <c r="AB217" s="105" t="n"/>
      <c r="AC217" s="105" t="n"/>
      <c r="AD217" s="105" t="n"/>
      <c r="AE217" s="105" t="n"/>
      <c r="AF217" s="105" t="n"/>
      <c r="AG217" s="105" t="n"/>
      <c r="AH217" s="105" t="n"/>
      <c r="AI217" s="105" t="n"/>
      <c r="AJ217" s="105" t="n"/>
      <c r="AK217" s="105" t="n"/>
      <c r="AL217" s="105" t="n"/>
      <c r="AM217" s="105" t="n"/>
      <c r="AN217" s="105" t="n"/>
      <c r="AO217" s="105" t="n"/>
      <c r="AP217" s="105" t="n"/>
      <c r="AQ217" s="105" t="n"/>
      <c r="AR217" s="105" t="n"/>
      <c r="AS217" s="105" t="n"/>
      <c r="AT217" s="105" t="n"/>
      <c r="AU217" s="105" t="n"/>
      <c r="AV217" s="105" t="n"/>
      <c r="AW217" s="105" t="n"/>
      <c r="AX217" s="105" t="n"/>
      <c r="AY217" s="105" t="n"/>
      <c r="AZ217" s="105" t="n"/>
      <c r="BA217" s="105" t="n"/>
      <c r="BB217" s="105" t="n"/>
      <c r="BC217" s="105" t="n"/>
      <c r="BD217" s="105" t="n"/>
      <c r="BE217" s="105" t="n"/>
      <c r="BF217" s="105" t="n"/>
      <c r="BG217" s="105" t="n"/>
      <c r="BH217" s="105" t="n"/>
      <c r="BI217" s="105" t="n"/>
      <c r="BJ217" s="105" t="n"/>
      <c r="BK217" s="105" t="n"/>
      <c r="BL217" s="105" t="n"/>
      <c r="BM217" s="105" t="n"/>
      <c r="BN217" s="105" t="n"/>
      <c r="BO217" s="105" t="n"/>
      <c r="BP217" s="105" t="n"/>
      <c r="BQ217" s="105" t="n"/>
      <c r="BR217" s="105" t="n"/>
      <c r="BS217" s="105" t="n"/>
      <c r="BT217" s="105" t="n"/>
      <c r="BU217" s="105" t="n"/>
      <c r="BV217" s="105" t="n"/>
      <c r="BW217" s="105" t="n"/>
      <c r="BX217" s="105" t="n"/>
      <c r="BY217" s="105" t="n"/>
      <c r="BZ217" s="105" t="n"/>
      <c r="CA217" s="105" t="n"/>
      <c r="CB217" s="105" t="n"/>
      <c r="CC217" s="105" t="n"/>
      <c r="CD217" s="105" t="n"/>
      <c r="CE217" s="105" t="n"/>
      <c r="CF217" s="105" t="n"/>
      <c r="CG217" s="105" t="n"/>
      <c r="CH217" s="105" t="n"/>
      <c r="CI217" s="105" t="n"/>
      <c r="CJ217" s="105" t="n"/>
      <c r="CK217" s="105" t="n"/>
      <c r="CL217" s="105" t="n"/>
      <c r="CM217" s="105" t="n"/>
      <c r="CN217" s="105" t="n"/>
      <c r="CO217" s="105" t="n"/>
      <c r="CP217" s="105" t="n"/>
      <c r="CQ217" s="105" t="n"/>
      <c r="CR217" s="105" t="n"/>
      <c r="CS217" s="105" t="n"/>
      <c r="CT217" s="105" t="n"/>
      <c r="CU217" s="105" t="n"/>
      <c r="CV217" s="105" t="n"/>
      <c r="CW217" s="105" t="n"/>
      <c r="CX217" s="105" t="n"/>
      <c r="CY217" s="105" t="n"/>
      <c r="CZ217" s="105" t="n"/>
      <c r="DA217" s="105" t="n"/>
      <c r="DB217" s="105" t="n"/>
      <c r="DC217" s="105" t="n"/>
      <c r="DD217" s="105" t="n"/>
      <c r="DE217" s="105" t="n"/>
      <c r="DF217" s="105" t="n"/>
      <c r="DG217" s="105" t="n"/>
      <c r="DH217" s="105" t="n"/>
      <c r="DI217" s="105" t="n"/>
      <c r="DJ217" s="105" t="n"/>
      <c r="DK217" s="105" t="n"/>
      <c r="DL217" s="105" t="n"/>
      <c r="DM217" s="105" t="n"/>
      <c r="DN217" s="105" t="n"/>
      <c r="DO217" s="105" t="n"/>
      <c r="DP217" s="105" t="n"/>
      <c r="DQ217" s="105" t="n"/>
      <c r="DR217" s="105" t="n"/>
      <c r="DS217" s="105" t="n"/>
      <c r="DT217" s="105" t="n"/>
      <c r="DU217" s="105" t="n"/>
      <c r="DV217" s="105" t="n"/>
      <c r="DW217" s="105" t="n"/>
      <c r="DX217" s="105" t="n"/>
      <c r="DY217" s="105" t="n"/>
      <c r="DZ217" s="105" t="n"/>
      <c r="EA217" s="105" t="n"/>
      <c r="EB217" s="105" t="n"/>
      <c r="EC217" s="105" t="n"/>
      <c r="ED217" s="105" t="n"/>
      <c r="EE217" s="105" t="n"/>
      <c r="EF217" s="105" t="n"/>
      <c r="EG217" s="105" t="n"/>
      <c r="EH217" s="105" t="n"/>
      <c r="EI217" s="105" t="n"/>
      <c r="EJ217" s="105" t="n"/>
      <c r="EK217" s="105" t="n"/>
      <c r="EL217" s="105" t="n"/>
      <c r="EM217" s="105" t="n"/>
      <c r="EN217" s="105" t="n"/>
      <c r="EO217" s="105" t="n"/>
      <c r="EP217" s="105" t="n"/>
      <c r="EQ217" s="105" t="n"/>
      <c r="ER217" s="105" t="n"/>
      <c r="ES217" s="105" t="n"/>
      <c r="ET217" s="105" t="n"/>
      <c r="EU217" s="105" t="n"/>
      <c r="EV217" s="105" t="n"/>
      <c r="EW217" s="105" t="n"/>
      <c r="EX217" s="105" t="n"/>
      <c r="EY217" s="105" t="n"/>
      <c r="EZ217" s="105" t="n"/>
      <c r="FA217" s="105" t="n"/>
      <c r="FB217" s="105" t="n"/>
      <c r="FC217" s="105" t="n"/>
      <c r="FD217" s="105" t="n"/>
      <c r="FE217" s="105" t="n"/>
      <c r="FF217" s="105" t="n"/>
      <c r="FG217" s="105" t="n"/>
      <c r="FH217" s="105" t="n"/>
      <c r="FI217" s="105" t="n"/>
      <c r="FJ217" s="105" t="n"/>
      <c r="FK217" s="105" t="n"/>
      <c r="FL217" s="105" t="n"/>
      <c r="FM217" s="105" t="n"/>
      <c r="FN217" s="105" t="n"/>
      <c r="FO217" s="105" t="n"/>
      <c r="FP217" s="105" t="n"/>
      <c r="FQ217" s="105" t="n"/>
      <c r="FR217" s="105" t="n"/>
      <c r="FS217" s="105" t="n"/>
      <c r="FT217" s="105" t="n"/>
      <c r="FU217" s="105" t="n"/>
      <c r="FV217" s="105" t="n"/>
      <c r="FW217" s="105" t="n"/>
      <c r="FX217" s="105" t="n"/>
      <c r="FY217" s="105" t="n"/>
      <c r="FZ217" s="105" t="n"/>
      <c r="GA217" s="105" t="n"/>
      <c r="GB217" s="105" t="n"/>
      <c r="GC217" s="105" t="n"/>
      <c r="GD217" s="105" t="n"/>
      <c r="GE217" s="105" t="n"/>
      <c r="GF217" s="105" t="n"/>
      <c r="GG217" s="105" t="n"/>
      <c r="GH217" s="105" t="n"/>
      <c r="GI217" s="105" t="n"/>
      <c r="GJ217" s="105" t="n"/>
      <c r="GK217" s="105" t="n"/>
      <c r="GL217" s="105" t="n"/>
      <c r="GM217" s="105" t="n"/>
      <c r="GN217" s="105" t="n"/>
      <c r="GO217" s="105" t="n"/>
      <c r="GP217" s="105" t="n"/>
      <c r="GQ217" s="105" t="n"/>
      <c r="GR217" s="105" t="n"/>
      <c r="GS217" s="105" t="n"/>
      <c r="GT217" s="105" t="n"/>
      <c r="GU217" s="105" t="n"/>
      <c r="GV217" s="105" t="n"/>
      <c r="GW217" s="105" t="n"/>
      <c r="GX217" s="105" t="n"/>
      <c r="GY217" s="105" t="n"/>
      <c r="GZ217" s="105" t="n"/>
      <c r="HA217" s="105" t="n"/>
      <c r="HB217" s="105" t="n"/>
      <c r="HC217" s="105" t="n"/>
      <c r="HD217" s="105" t="n"/>
      <c r="HE217" s="105" t="n"/>
      <c r="HF217" s="105" t="n"/>
      <c r="HG217" s="105" t="n"/>
      <c r="HH217" s="105" t="n"/>
      <c r="HI217" s="105" t="n"/>
      <c r="HJ217" s="105" t="n"/>
      <c r="HK217" s="105" t="n"/>
      <c r="HL217" s="105" t="n"/>
      <c r="HM217" s="105" t="n"/>
      <c r="HN217" s="105" t="n"/>
      <c r="HO217" s="105" t="n"/>
      <c r="HP217" s="105" t="n"/>
      <c r="HQ217" s="105" t="n"/>
      <c r="HR217" s="105" t="n"/>
    </row>
    <row r="218" ht="24" customHeight="1" s="69">
      <c r="A218" s="77" t="inlineStr">
        <is>
          <t>EUC</t>
        </is>
      </c>
      <c r="B218" s="76" t="n">
        <v>5305</v>
      </c>
      <c r="C218" s="76" t="n"/>
      <c r="D218" s="76" t="inlineStr">
        <is>
          <t>BE</t>
        </is>
      </c>
      <c r="E218" s="76" t="n"/>
      <c r="F218" s="76" t="inlineStr">
        <is>
          <t>EuroBank COMP LEASE/158</t>
        </is>
      </c>
      <c r="G218" s="76" t="inlineStr">
        <is>
          <t>HP HW support EuroBank Insurance 104-201-24</t>
        </is>
      </c>
      <c r="H218" s="84" t="n">
        <v>39263</v>
      </c>
      <c r="I218" s="90" t="n">
        <v>879.78</v>
      </c>
      <c r="J218" s="86" t="n">
        <v>0.66</v>
      </c>
      <c r="K218" s="76" t="n"/>
      <c r="L218" s="76" t="inlineStr">
        <is>
          <t>30 days end of month</t>
        </is>
      </c>
      <c r="M218" s="76" t="n"/>
      <c r="N218" s="76" t="n"/>
      <c r="O218" s="76" t="inlineStr">
        <is>
          <t>C.BE.163</t>
        </is>
      </c>
      <c r="P218" s="76" t="inlineStr">
        <is>
          <t>Terminate</t>
        </is>
      </c>
      <c r="Q218" s="76" t="inlineStr">
        <is>
          <t>at expiry</t>
        </is>
      </c>
      <c r="R218" s="76" t="inlineStr">
        <is>
          <t>Vendor Gamma</t>
        </is>
      </c>
      <c r="S218" s="87" t="n"/>
      <c r="T218" s="105" t="n"/>
      <c r="U218" s="105" t="n"/>
      <c r="V218" s="105" t="n"/>
      <c r="W218" s="105" t="n"/>
      <c r="X218" s="105" t="n"/>
      <c r="Y218" s="105" t="n"/>
      <c r="Z218" s="105" t="n"/>
      <c r="AA218" s="105" t="n"/>
      <c r="AB218" s="105" t="n"/>
      <c r="AC218" s="105" t="n"/>
      <c r="AD218" s="105" t="n"/>
      <c r="AE218" s="105" t="n"/>
      <c r="AF218" s="105" t="n"/>
      <c r="AG218" s="105" t="n"/>
      <c r="AH218" s="105" t="n"/>
      <c r="AI218" s="105" t="n"/>
      <c r="AJ218" s="105" t="n"/>
      <c r="AK218" s="105" t="n"/>
      <c r="AL218" s="105" t="n"/>
      <c r="AM218" s="105" t="n"/>
      <c r="AN218" s="105" t="n"/>
      <c r="AO218" s="105" t="n"/>
      <c r="AP218" s="105" t="n"/>
      <c r="AQ218" s="105" t="n"/>
      <c r="AR218" s="105" t="n"/>
      <c r="AS218" s="105" t="n"/>
      <c r="AT218" s="105" t="n"/>
      <c r="AU218" s="105" t="n"/>
      <c r="AV218" s="105" t="n"/>
      <c r="AW218" s="105" t="n"/>
      <c r="AX218" s="105" t="n"/>
      <c r="AY218" s="105" t="n"/>
      <c r="AZ218" s="105" t="n"/>
      <c r="BA218" s="105" t="n"/>
      <c r="BB218" s="105" t="n"/>
      <c r="BC218" s="105" t="n"/>
      <c r="BD218" s="105" t="n"/>
      <c r="BE218" s="105" t="n"/>
      <c r="BF218" s="105" t="n"/>
      <c r="BG218" s="105" t="n"/>
      <c r="BH218" s="105" t="n"/>
      <c r="BI218" s="105" t="n"/>
      <c r="BJ218" s="105" t="n"/>
      <c r="BK218" s="105" t="n"/>
      <c r="BL218" s="105" t="n"/>
      <c r="BM218" s="105" t="n"/>
      <c r="BN218" s="105" t="n"/>
      <c r="BO218" s="105" t="n"/>
      <c r="BP218" s="105" t="n"/>
      <c r="BQ218" s="105" t="n"/>
      <c r="BR218" s="105" t="n"/>
      <c r="BS218" s="105" t="n"/>
      <c r="BT218" s="105" t="n"/>
      <c r="BU218" s="105" t="n"/>
      <c r="BV218" s="105" t="n"/>
      <c r="BW218" s="105" t="n"/>
      <c r="BX218" s="105" t="n"/>
      <c r="BY218" s="105" t="n"/>
      <c r="BZ218" s="105" t="n"/>
      <c r="CA218" s="105" t="n"/>
      <c r="CB218" s="105" t="n"/>
      <c r="CC218" s="105" t="n"/>
      <c r="CD218" s="105" t="n"/>
      <c r="CE218" s="105" t="n"/>
      <c r="CF218" s="105" t="n"/>
      <c r="CG218" s="105" t="n"/>
      <c r="CH218" s="105" t="n"/>
      <c r="CI218" s="105" t="n"/>
      <c r="CJ218" s="105" t="n"/>
      <c r="CK218" s="105" t="n"/>
      <c r="CL218" s="105" t="n"/>
      <c r="CM218" s="105" t="n"/>
      <c r="CN218" s="105" t="n"/>
      <c r="CO218" s="105" t="n"/>
      <c r="CP218" s="105" t="n"/>
      <c r="CQ218" s="105" t="n"/>
      <c r="CR218" s="105" t="n"/>
      <c r="CS218" s="105" t="n"/>
      <c r="CT218" s="105" t="n"/>
      <c r="CU218" s="105" t="n"/>
      <c r="CV218" s="105" t="n"/>
      <c r="CW218" s="105" t="n"/>
      <c r="CX218" s="105" t="n"/>
      <c r="CY218" s="105" t="n"/>
      <c r="CZ218" s="105" t="n"/>
      <c r="DA218" s="105" t="n"/>
      <c r="DB218" s="105" t="n"/>
      <c r="DC218" s="105" t="n"/>
      <c r="DD218" s="105" t="n"/>
      <c r="DE218" s="105" t="n"/>
      <c r="DF218" s="105" t="n"/>
      <c r="DG218" s="105" t="n"/>
      <c r="DH218" s="105" t="n"/>
      <c r="DI218" s="105" t="n"/>
      <c r="DJ218" s="105" t="n"/>
      <c r="DK218" s="105" t="n"/>
      <c r="DL218" s="105" t="n"/>
      <c r="DM218" s="105" t="n"/>
      <c r="DN218" s="105" t="n"/>
      <c r="DO218" s="105" t="n"/>
      <c r="DP218" s="105" t="n"/>
      <c r="DQ218" s="105" t="n"/>
      <c r="DR218" s="105" t="n"/>
      <c r="DS218" s="105" t="n"/>
      <c r="DT218" s="105" t="n"/>
      <c r="DU218" s="105" t="n"/>
      <c r="DV218" s="105" t="n"/>
      <c r="DW218" s="105" t="n"/>
      <c r="DX218" s="105" t="n"/>
      <c r="DY218" s="105" t="n"/>
      <c r="DZ218" s="105" t="n"/>
      <c r="EA218" s="105" t="n"/>
      <c r="EB218" s="105" t="n"/>
      <c r="EC218" s="105" t="n"/>
      <c r="ED218" s="105" t="n"/>
      <c r="EE218" s="105" t="n"/>
      <c r="EF218" s="105" t="n"/>
      <c r="EG218" s="105" t="n"/>
      <c r="EH218" s="105" t="n"/>
      <c r="EI218" s="105" t="n"/>
      <c r="EJ218" s="105" t="n"/>
      <c r="EK218" s="105" t="n"/>
      <c r="EL218" s="105" t="n"/>
      <c r="EM218" s="105" t="n"/>
      <c r="EN218" s="105" t="n"/>
      <c r="EO218" s="105" t="n"/>
      <c r="EP218" s="105" t="n"/>
      <c r="EQ218" s="105" t="n"/>
      <c r="ER218" s="105" t="n"/>
      <c r="ES218" s="105" t="n"/>
      <c r="ET218" s="105" t="n"/>
      <c r="EU218" s="105" t="n"/>
      <c r="EV218" s="105" t="n"/>
      <c r="EW218" s="105" t="n"/>
      <c r="EX218" s="105" t="n"/>
      <c r="EY218" s="105" t="n"/>
      <c r="EZ218" s="105" t="n"/>
      <c r="FA218" s="105" t="n"/>
      <c r="FB218" s="105" t="n"/>
      <c r="FC218" s="105" t="n"/>
      <c r="FD218" s="105" t="n"/>
      <c r="FE218" s="105" t="n"/>
      <c r="FF218" s="105" t="n"/>
      <c r="FG218" s="105" t="n"/>
      <c r="FH218" s="105" t="n"/>
      <c r="FI218" s="105" t="n"/>
      <c r="FJ218" s="105" t="n"/>
      <c r="FK218" s="105" t="n"/>
      <c r="FL218" s="105" t="n"/>
      <c r="FM218" s="105" t="n"/>
      <c r="FN218" s="105" t="n"/>
      <c r="FO218" s="105" t="n"/>
      <c r="FP218" s="105" t="n"/>
      <c r="FQ218" s="105" t="n"/>
      <c r="FR218" s="105" t="n"/>
      <c r="FS218" s="105" t="n"/>
      <c r="FT218" s="105" t="n"/>
      <c r="FU218" s="105" t="n"/>
      <c r="FV218" s="105" t="n"/>
      <c r="FW218" s="105" t="n"/>
      <c r="FX218" s="105" t="n"/>
      <c r="FY218" s="105" t="n"/>
      <c r="FZ218" s="105" t="n"/>
      <c r="GA218" s="105" t="n"/>
      <c r="GB218" s="105" t="n"/>
      <c r="GC218" s="105" t="n"/>
      <c r="GD218" s="105" t="n"/>
      <c r="GE218" s="105" t="n"/>
      <c r="GF218" s="105" t="n"/>
      <c r="GG218" s="105" t="n"/>
      <c r="GH218" s="105" t="n"/>
      <c r="GI218" s="105" t="n"/>
      <c r="GJ218" s="105" t="n"/>
      <c r="GK218" s="105" t="n"/>
      <c r="GL218" s="105" t="n"/>
      <c r="GM218" s="105" t="n"/>
      <c r="GN218" s="105" t="n"/>
      <c r="GO218" s="105" t="n"/>
      <c r="GP218" s="105" t="n"/>
      <c r="GQ218" s="105" t="n"/>
      <c r="GR218" s="105" t="n"/>
      <c r="GS218" s="105" t="n"/>
      <c r="GT218" s="105" t="n"/>
      <c r="GU218" s="105" t="n"/>
      <c r="GV218" s="105" t="n"/>
      <c r="GW218" s="105" t="n"/>
      <c r="GX218" s="105" t="n"/>
      <c r="GY218" s="105" t="n"/>
      <c r="GZ218" s="105" t="n"/>
      <c r="HA218" s="105" t="n"/>
      <c r="HB218" s="105" t="n"/>
      <c r="HC218" s="105" t="n"/>
      <c r="HD218" s="105" t="n"/>
      <c r="HE218" s="105" t="n"/>
      <c r="HF218" s="105" t="n"/>
      <c r="HG218" s="105" t="n"/>
      <c r="HH218" s="105" t="n"/>
      <c r="HI218" s="105" t="n"/>
      <c r="HJ218" s="105" t="n"/>
      <c r="HK218" s="105" t="n"/>
      <c r="HL218" s="105" t="n"/>
      <c r="HM218" s="105" t="n"/>
      <c r="HN218" s="105" t="n"/>
      <c r="HO218" s="105" t="n"/>
      <c r="HP218" s="105" t="n"/>
      <c r="HQ218" s="105" t="n"/>
      <c r="HR218" s="105" t="n"/>
    </row>
    <row r="219" ht="24" customHeight="1" s="69">
      <c r="A219" s="77" t="inlineStr">
        <is>
          <t>Voice</t>
        </is>
      </c>
      <c r="B219" s="76" t="n">
        <v>5300</v>
      </c>
      <c r="C219" s="76" t="n"/>
      <c r="D219" s="76" t="inlineStr">
        <is>
          <t>BE</t>
        </is>
      </c>
      <c r="E219" s="76" t="n"/>
      <c r="F219" s="76" t="inlineStr">
        <is>
          <t>EuroBank COMP LEASE/163</t>
        </is>
      </c>
      <c r="G219" s="76" t="inlineStr">
        <is>
          <t>500 GSM Sony Ericsson T630 104-201-65</t>
        </is>
      </c>
      <c r="H219" s="84" t="n">
        <v>39447</v>
      </c>
      <c r="I219" s="90" t="n">
        <v>7312</v>
      </c>
      <c r="J219" s="86" t="n">
        <v>1</v>
      </c>
      <c r="K219" s="76" t="n"/>
      <c r="L219" s="76" t="inlineStr">
        <is>
          <t>30 days end of month</t>
        </is>
      </c>
      <c r="M219" s="76" t="n"/>
      <c r="N219" s="76" t="n"/>
      <c r="O219" s="76" t="inlineStr">
        <is>
          <t>C.BE.166</t>
        </is>
      </c>
      <c r="P219" s="76" t="inlineStr">
        <is>
          <t>Novate</t>
        </is>
      </c>
      <c r="Q219" s="76" t="n"/>
      <c r="R219" s="76" t="inlineStr">
        <is>
          <t>TelCo</t>
        </is>
      </c>
      <c r="S219" s="87" t="n"/>
      <c r="T219" s="77" t="n"/>
      <c r="U219" s="105" t="n"/>
      <c r="V219" s="105" t="n"/>
      <c r="W219" s="105" t="n"/>
      <c r="X219" s="105" t="n"/>
      <c r="Y219" s="105" t="n"/>
      <c r="Z219" s="105" t="n"/>
      <c r="AA219" s="105" t="n"/>
      <c r="AB219" s="105" t="n"/>
      <c r="AC219" s="105" t="n"/>
      <c r="AD219" s="105" t="n"/>
      <c r="AE219" s="105" t="n"/>
      <c r="AF219" s="105" t="n"/>
      <c r="AG219" s="105" t="n"/>
      <c r="AH219" s="105" t="n"/>
      <c r="AI219" s="105" t="n"/>
      <c r="AJ219" s="105" t="n"/>
      <c r="AK219" s="105" t="n"/>
      <c r="AL219" s="105" t="n"/>
      <c r="AM219" s="105" t="n"/>
      <c r="AN219" s="105" t="n"/>
      <c r="AO219" s="105" t="n"/>
      <c r="AP219" s="105" t="n"/>
      <c r="AQ219" s="105" t="n"/>
      <c r="AR219" s="105" t="n"/>
      <c r="AS219" s="105" t="n"/>
      <c r="AT219" s="105" t="n"/>
      <c r="AU219" s="105" t="n"/>
      <c r="AV219" s="105" t="n"/>
      <c r="AW219" s="105" t="n"/>
      <c r="AX219" s="105" t="n"/>
      <c r="AY219" s="105" t="n"/>
      <c r="AZ219" s="105" t="n"/>
      <c r="BA219" s="105" t="n"/>
      <c r="BB219" s="105" t="n"/>
      <c r="BC219" s="105" t="n"/>
      <c r="BD219" s="105" t="n"/>
      <c r="BE219" s="105" t="n"/>
      <c r="BF219" s="105" t="n"/>
      <c r="BG219" s="105" t="n"/>
      <c r="BH219" s="105" t="n"/>
      <c r="BI219" s="105" t="n"/>
      <c r="BJ219" s="105" t="n"/>
      <c r="BK219" s="105" t="n"/>
      <c r="BL219" s="105" t="n"/>
      <c r="BM219" s="105" t="n"/>
      <c r="BN219" s="105" t="n"/>
      <c r="BO219" s="105" t="n"/>
      <c r="BP219" s="105" t="n"/>
      <c r="BQ219" s="105" t="n"/>
      <c r="BR219" s="105" t="n"/>
      <c r="BS219" s="105" t="n"/>
      <c r="BT219" s="105" t="n"/>
      <c r="BU219" s="105" t="n"/>
      <c r="BV219" s="105" t="n"/>
      <c r="BW219" s="105" t="n"/>
      <c r="BX219" s="105" t="n"/>
      <c r="BY219" s="105" t="n"/>
      <c r="BZ219" s="105" t="n"/>
      <c r="CA219" s="105" t="n"/>
      <c r="CB219" s="105" t="n"/>
      <c r="CC219" s="105" t="n"/>
      <c r="CD219" s="105" t="n"/>
      <c r="CE219" s="105" t="n"/>
      <c r="CF219" s="105" t="n"/>
      <c r="CG219" s="105" t="n"/>
      <c r="CH219" s="105" t="n"/>
      <c r="CI219" s="105" t="n"/>
      <c r="CJ219" s="105" t="n"/>
      <c r="CK219" s="105" t="n"/>
      <c r="CL219" s="105" t="n"/>
      <c r="CM219" s="105" t="n"/>
      <c r="CN219" s="105" t="n"/>
      <c r="CO219" s="105" t="n"/>
      <c r="CP219" s="105" t="n"/>
      <c r="CQ219" s="105" t="n"/>
      <c r="CR219" s="105" t="n"/>
      <c r="CS219" s="105" t="n"/>
      <c r="CT219" s="105" t="n"/>
      <c r="CU219" s="105" t="n"/>
      <c r="CV219" s="105" t="n"/>
      <c r="CW219" s="105" t="n"/>
      <c r="CX219" s="105" t="n"/>
      <c r="CY219" s="105" t="n"/>
      <c r="CZ219" s="105" t="n"/>
      <c r="DA219" s="105" t="n"/>
      <c r="DB219" s="105" t="n"/>
      <c r="DC219" s="105" t="n"/>
      <c r="DD219" s="105" t="n"/>
      <c r="DE219" s="105" t="n"/>
      <c r="DF219" s="105" t="n"/>
      <c r="DG219" s="105" t="n"/>
      <c r="DH219" s="105" t="n"/>
      <c r="DI219" s="105" t="n"/>
      <c r="DJ219" s="105" t="n"/>
      <c r="DK219" s="105" t="n"/>
      <c r="DL219" s="105" t="n"/>
      <c r="DM219" s="105" t="n"/>
      <c r="DN219" s="105" t="n"/>
      <c r="DO219" s="105" t="n"/>
      <c r="DP219" s="105" t="n"/>
      <c r="DQ219" s="105" t="n"/>
      <c r="DR219" s="105" t="n"/>
      <c r="DS219" s="105" t="n"/>
      <c r="DT219" s="105" t="n"/>
      <c r="DU219" s="105" t="n"/>
      <c r="DV219" s="105" t="n"/>
      <c r="DW219" s="105" t="n"/>
      <c r="DX219" s="105" t="n"/>
      <c r="DY219" s="105" t="n"/>
      <c r="DZ219" s="105" t="n"/>
      <c r="EA219" s="105" t="n"/>
      <c r="EB219" s="105" t="n"/>
      <c r="EC219" s="105" t="n"/>
      <c r="ED219" s="105" t="n"/>
      <c r="EE219" s="105" t="n"/>
      <c r="EF219" s="105" t="n"/>
      <c r="EG219" s="105" t="n"/>
      <c r="EH219" s="105" t="n"/>
      <c r="EI219" s="105" t="n"/>
      <c r="EJ219" s="105" t="n"/>
      <c r="EK219" s="105" t="n"/>
      <c r="EL219" s="105" t="n"/>
      <c r="EM219" s="105" t="n"/>
      <c r="EN219" s="105" t="n"/>
      <c r="EO219" s="105" t="n"/>
      <c r="EP219" s="105" t="n"/>
      <c r="EQ219" s="105" t="n"/>
      <c r="ER219" s="105" t="n"/>
      <c r="ES219" s="105" t="n"/>
      <c r="ET219" s="105" t="n"/>
      <c r="EU219" s="105" t="n"/>
      <c r="EV219" s="105" t="n"/>
      <c r="EW219" s="105" t="n"/>
      <c r="EX219" s="105" t="n"/>
      <c r="EY219" s="105" t="n"/>
      <c r="EZ219" s="105" t="n"/>
      <c r="FA219" s="105" t="n"/>
      <c r="FB219" s="105" t="n"/>
      <c r="FC219" s="105" t="n"/>
      <c r="FD219" s="105" t="n"/>
      <c r="FE219" s="105" t="n"/>
      <c r="FF219" s="105" t="n"/>
      <c r="FG219" s="105" t="n"/>
      <c r="FH219" s="105" t="n"/>
      <c r="FI219" s="105" t="n"/>
      <c r="FJ219" s="105" t="n"/>
      <c r="FK219" s="105" t="n"/>
      <c r="FL219" s="105" t="n"/>
      <c r="FM219" s="105" t="n"/>
      <c r="FN219" s="105" t="n"/>
      <c r="FO219" s="105" t="n"/>
      <c r="FP219" s="105" t="n"/>
      <c r="FQ219" s="105" t="n"/>
      <c r="FR219" s="105" t="n"/>
      <c r="FS219" s="105" t="n"/>
      <c r="FT219" s="105" t="n"/>
      <c r="FU219" s="105" t="n"/>
      <c r="FV219" s="105" t="n"/>
      <c r="FW219" s="105" t="n"/>
      <c r="FX219" s="105" t="n"/>
      <c r="FY219" s="105" t="n"/>
      <c r="FZ219" s="105" t="n"/>
      <c r="GA219" s="105" t="n"/>
      <c r="GB219" s="105" t="n"/>
      <c r="GC219" s="105" t="n"/>
      <c r="GD219" s="105" t="n"/>
      <c r="GE219" s="105" t="n"/>
      <c r="GF219" s="105" t="n"/>
      <c r="GG219" s="105" t="n"/>
      <c r="GH219" s="105" t="n"/>
      <c r="GI219" s="105" t="n"/>
      <c r="GJ219" s="105" t="n"/>
      <c r="GK219" s="105" t="n"/>
      <c r="GL219" s="105" t="n"/>
      <c r="GM219" s="105" t="n"/>
      <c r="GN219" s="105" t="n"/>
      <c r="GO219" s="105" t="n"/>
      <c r="GP219" s="105" t="n"/>
      <c r="GQ219" s="105" t="n"/>
      <c r="GR219" s="105" t="n"/>
      <c r="GS219" s="105" t="n"/>
      <c r="GT219" s="105" t="n"/>
      <c r="GU219" s="105" t="n"/>
      <c r="GV219" s="105" t="n"/>
      <c r="GW219" s="105" t="n"/>
      <c r="GX219" s="105" t="n"/>
      <c r="GY219" s="105" t="n"/>
      <c r="GZ219" s="105" t="n"/>
      <c r="HA219" s="105" t="n"/>
      <c r="HB219" s="105" t="n"/>
      <c r="HC219" s="105" t="n"/>
      <c r="HD219" s="105" t="n"/>
      <c r="HE219" s="105" t="n"/>
      <c r="HF219" s="105" t="n"/>
      <c r="HG219" s="105" t="n"/>
      <c r="HH219" s="105" t="n"/>
      <c r="HI219" s="105" t="n"/>
      <c r="HJ219" s="105" t="n"/>
      <c r="HK219" s="105" t="n"/>
      <c r="HL219" s="105" t="n"/>
      <c r="HM219" s="105" t="n"/>
      <c r="HN219" s="105" t="n"/>
      <c r="HO219" s="105" t="n"/>
      <c r="HP219" s="105" t="n"/>
      <c r="HQ219" s="105" t="n"/>
      <c r="HR219" s="105" t="n"/>
    </row>
    <row r="220" ht="24" customHeight="1" s="69">
      <c r="A220" s="77" t="inlineStr">
        <is>
          <t>Server</t>
        </is>
      </c>
      <c r="B220" s="76" t="n">
        <v>2768</v>
      </c>
      <c r="C220" s="76" t="n"/>
      <c r="D220" s="76" t="inlineStr">
        <is>
          <t>BE</t>
        </is>
      </c>
      <c r="E220" s="76" t="n"/>
      <c r="F220" s="76" t="inlineStr">
        <is>
          <t>EuroBank COMP LEASE/17</t>
        </is>
      </c>
      <c r="G220" s="76" t="inlineStr">
        <is>
          <t>Lease HP Proliants 100-202-41</t>
        </is>
      </c>
      <c r="H220" s="84" t="n">
        <v>38960</v>
      </c>
      <c r="I220" s="90" t="n">
        <v>841.665</v>
      </c>
      <c r="J220" s="86" t="n">
        <v>0.66</v>
      </c>
      <c r="K220" s="76" t="n"/>
      <c r="L220" s="76" t="inlineStr">
        <is>
          <t>30 days end of month</t>
        </is>
      </c>
      <c r="M220" s="76" t="n"/>
      <c r="N220" s="76" t="n"/>
      <c r="O220" s="76" t="inlineStr">
        <is>
          <t>C.BE.170</t>
        </is>
      </c>
      <c r="P220" s="76" t="inlineStr">
        <is>
          <t>Terminate</t>
        </is>
      </c>
      <c r="Q220" s="76" t="inlineStr">
        <is>
          <t>at expiry</t>
        </is>
      </c>
      <c r="R220" s="76" t="inlineStr">
        <is>
          <t>VendorA</t>
        </is>
      </c>
      <c r="S220" s="87" t="n"/>
      <c r="T220" s="105" t="n"/>
      <c r="U220" s="105" t="n"/>
      <c r="V220" s="105" t="n"/>
      <c r="W220" s="105" t="n"/>
      <c r="X220" s="105" t="n"/>
      <c r="Y220" s="105" t="n"/>
      <c r="Z220" s="105" t="n"/>
      <c r="AA220" s="105" t="n"/>
      <c r="AB220" s="105" t="n"/>
      <c r="AC220" s="105" t="n"/>
      <c r="AD220" s="105" t="n"/>
      <c r="AE220" s="105" t="n"/>
      <c r="AF220" s="105" t="n"/>
      <c r="AG220" s="105" t="n"/>
      <c r="AH220" s="105" t="n"/>
      <c r="AI220" s="105" t="n"/>
      <c r="AJ220" s="105" t="n"/>
      <c r="AK220" s="105" t="n"/>
      <c r="AL220" s="105" t="n"/>
      <c r="AM220" s="105" t="n"/>
      <c r="AN220" s="105" t="n"/>
      <c r="AO220" s="105" t="n"/>
      <c r="AP220" s="105" t="n"/>
      <c r="AQ220" s="105" t="n"/>
      <c r="AR220" s="105" t="n"/>
      <c r="AS220" s="105" t="n"/>
      <c r="AT220" s="105" t="n"/>
      <c r="AU220" s="105" t="n"/>
      <c r="AV220" s="105" t="n"/>
      <c r="AW220" s="105" t="n"/>
      <c r="AX220" s="105" t="n"/>
      <c r="AY220" s="105" t="n"/>
      <c r="AZ220" s="105" t="n"/>
      <c r="BA220" s="105" t="n"/>
      <c r="BB220" s="105" t="n"/>
      <c r="BC220" s="105" t="n"/>
      <c r="BD220" s="105" t="n"/>
      <c r="BE220" s="105" t="n"/>
      <c r="BF220" s="105" t="n"/>
      <c r="BG220" s="105" t="n"/>
      <c r="BH220" s="105" t="n"/>
      <c r="BI220" s="105" t="n"/>
      <c r="BJ220" s="105" t="n"/>
      <c r="BK220" s="105" t="n"/>
      <c r="BL220" s="105" t="n"/>
      <c r="BM220" s="105" t="n"/>
      <c r="BN220" s="105" t="n"/>
      <c r="BO220" s="105" t="n"/>
      <c r="BP220" s="105" t="n"/>
      <c r="BQ220" s="105" t="n"/>
      <c r="BR220" s="105" t="n"/>
      <c r="BS220" s="105" t="n"/>
      <c r="BT220" s="105" t="n"/>
      <c r="BU220" s="105" t="n"/>
      <c r="BV220" s="105" t="n"/>
      <c r="BW220" s="105" t="n"/>
      <c r="BX220" s="105" t="n"/>
      <c r="BY220" s="105" t="n"/>
      <c r="BZ220" s="105" t="n"/>
      <c r="CA220" s="105" t="n"/>
      <c r="CB220" s="105" t="n"/>
      <c r="CC220" s="105" t="n"/>
      <c r="CD220" s="105" t="n"/>
      <c r="CE220" s="105" t="n"/>
      <c r="CF220" s="105" t="n"/>
      <c r="CG220" s="105" t="n"/>
      <c r="CH220" s="105" t="n"/>
      <c r="CI220" s="105" t="n"/>
      <c r="CJ220" s="105" t="n"/>
      <c r="CK220" s="105" t="n"/>
      <c r="CL220" s="105" t="n"/>
      <c r="CM220" s="105" t="n"/>
      <c r="CN220" s="105" t="n"/>
      <c r="CO220" s="105" t="n"/>
      <c r="CP220" s="105" t="n"/>
      <c r="CQ220" s="105" t="n"/>
      <c r="CR220" s="105" t="n"/>
      <c r="CS220" s="105" t="n"/>
      <c r="CT220" s="105" t="n"/>
      <c r="CU220" s="105" t="n"/>
      <c r="CV220" s="105" t="n"/>
      <c r="CW220" s="105" t="n"/>
      <c r="CX220" s="105" t="n"/>
      <c r="CY220" s="105" t="n"/>
      <c r="CZ220" s="105" t="n"/>
      <c r="DA220" s="105" t="n"/>
      <c r="DB220" s="105" t="n"/>
      <c r="DC220" s="105" t="n"/>
      <c r="DD220" s="105" t="n"/>
      <c r="DE220" s="105" t="n"/>
      <c r="DF220" s="105" t="n"/>
      <c r="DG220" s="105" t="n"/>
      <c r="DH220" s="105" t="n"/>
      <c r="DI220" s="105" t="n"/>
      <c r="DJ220" s="105" t="n"/>
      <c r="DK220" s="105" t="n"/>
      <c r="DL220" s="105" t="n"/>
      <c r="DM220" s="105" t="n"/>
      <c r="DN220" s="105" t="n"/>
      <c r="DO220" s="105" t="n"/>
      <c r="DP220" s="105" t="n"/>
      <c r="DQ220" s="105" t="n"/>
      <c r="DR220" s="105" t="n"/>
      <c r="DS220" s="105" t="n"/>
      <c r="DT220" s="105" t="n"/>
      <c r="DU220" s="105" t="n"/>
      <c r="DV220" s="105" t="n"/>
      <c r="DW220" s="105" t="n"/>
      <c r="DX220" s="105" t="n"/>
      <c r="DY220" s="105" t="n"/>
      <c r="DZ220" s="105" t="n"/>
      <c r="EA220" s="105" t="n"/>
      <c r="EB220" s="105" t="n"/>
      <c r="EC220" s="105" t="n"/>
      <c r="ED220" s="105" t="n"/>
      <c r="EE220" s="105" t="n"/>
      <c r="EF220" s="105" t="n"/>
      <c r="EG220" s="105" t="n"/>
      <c r="EH220" s="105" t="n"/>
      <c r="EI220" s="105" t="n"/>
      <c r="EJ220" s="105" t="n"/>
      <c r="EK220" s="105" t="n"/>
      <c r="EL220" s="105" t="n"/>
      <c r="EM220" s="105" t="n"/>
      <c r="EN220" s="105" t="n"/>
      <c r="EO220" s="105" t="n"/>
      <c r="EP220" s="105" t="n"/>
      <c r="EQ220" s="105" t="n"/>
      <c r="ER220" s="105" t="n"/>
      <c r="ES220" s="105" t="n"/>
      <c r="ET220" s="105" t="n"/>
      <c r="EU220" s="105" t="n"/>
      <c r="EV220" s="105" t="n"/>
      <c r="EW220" s="105" t="n"/>
      <c r="EX220" s="105" t="n"/>
      <c r="EY220" s="105" t="n"/>
      <c r="EZ220" s="105" t="n"/>
      <c r="FA220" s="105" t="n"/>
      <c r="FB220" s="105" t="n"/>
      <c r="FC220" s="105" t="n"/>
      <c r="FD220" s="105" t="n"/>
      <c r="FE220" s="105" t="n"/>
      <c r="FF220" s="105" t="n"/>
      <c r="FG220" s="105" t="n"/>
      <c r="FH220" s="105" t="n"/>
      <c r="FI220" s="105" t="n"/>
      <c r="FJ220" s="105" t="n"/>
      <c r="FK220" s="105" t="n"/>
      <c r="FL220" s="105" t="n"/>
      <c r="FM220" s="105" t="n"/>
      <c r="FN220" s="105" t="n"/>
      <c r="FO220" s="105" t="n"/>
      <c r="FP220" s="105" t="n"/>
      <c r="FQ220" s="105" t="n"/>
      <c r="FR220" s="105" t="n"/>
      <c r="FS220" s="105" t="n"/>
      <c r="FT220" s="105" t="n"/>
      <c r="FU220" s="105" t="n"/>
      <c r="FV220" s="105" t="n"/>
      <c r="FW220" s="105" t="n"/>
      <c r="FX220" s="105" t="n"/>
      <c r="FY220" s="105" t="n"/>
      <c r="FZ220" s="105" t="n"/>
      <c r="GA220" s="105" t="n"/>
      <c r="GB220" s="105" t="n"/>
      <c r="GC220" s="105" t="n"/>
      <c r="GD220" s="105" t="n"/>
      <c r="GE220" s="105" t="n"/>
      <c r="GF220" s="105" t="n"/>
      <c r="GG220" s="105" t="n"/>
      <c r="GH220" s="105" t="n"/>
      <c r="GI220" s="105" t="n"/>
      <c r="GJ220" s="105" t="n"/>
      <c r="GK220" s="105" t="n"/>
      <c r="GL220" s="105" t="n"/>
      <c r="GM220" s="105" t="n"/>
      <c r="GN220" s="105" t="n"/>
      <c r="GO220" s="105" t="n"/>
      <c r="GP220" s="105" t="n"/>
      <c r="GQ220" s="105" t="n"/>
      <c r="GR220" s="105" t="n"/>
      <c r="GS220" s="105" t="n"/>
      <c r="GT220" s="105" t="n"/>
      <c r="GU220" s="105" t="n"/>
      <c r="GV220" s="105" t="n"/>
      <c r="GW220" s="105" t="n"/>
      <c r="GX220" s="105" t="n"/>
      <c r="GY220" s="105" t="n"/>
      <c r="GZ220" s="105" t="n"/>
      <c r="HA220" s="105" t="n"/>
      <c r="HB220" s="105" t="n"/>
      <c r="HC220" s="105" t="n"/>
      <c r="HD220" s="105" t="n"/>
      <c r="HE220" s="105" t="n"/>
      <c r="HF220" s="105" t="n"/>
      <c r="HG220" s="105" t="n"/>
      <c r="HH220" s="105" t="n"/>
      <c r="HI220" s="105" t="n"/>
      <c r="HJ220" s="105" t="n"/>
      <c r="HK220" s="105" t="n"/>
      <c r="HL220" s="105" t="n"/>
      <c r="HM220" s="105" t="n"/>
      <c r="HN220" s="105" t="n"/>
      <c r="HO220" s="105" t="n"/>
      <c r="HP220" s="105" t="n"/>
      <c r="HQ220" s="105" t="n"/>
      <c r="HR220" s="105" t="n"/>
    </row>
    <row r="221" ht="24" customHeight="1" s="69">
      <c r="A221" s="77" t="inlineStr">
        <is>
          <t>Server</t>
        </is>
      </c>
      <c r="B221" s="76" t="n">
        <v>5303</v>
      </c>
      <c r="C221" s="76" t="n"/>
      <c r="D221" s="76" t="inlineStr">
        <is>
          <t>BE</t>
        </is>
      </c>
      <c r="E221" s="76" t="n"/>
      <c r="F221" s="76" t="inlineStr">
        <is>
          <t>EuroBank COMP LEASE/171</t>
        </is>
      </c>
      <c r="G221" s="76" t="inlineStr">
        <is>
          <t>IBM Branch Servers 104-201-89</t>
        </is>
      </c>
      <c r="H221" s="84" t="n">
        <v>39447</v>
      </c>
      <c r="I221" s="90" t="n">
        <v>27581.4</v>
      </c>
      <c r="J221" s="86" t="n">
        <v>0.66</v>
      </c>
      <c r="K221" s="76" t="n"/>
      <c r="L221" s="76" t="inlineStr">
        <is>
          <t>30 days end of month</t>
        </is>
      </c>
      <c r="M221" s="76" t="n"/>
      <c r="N221" s="76" t="n"/>
      <c r="O221" s="76" t="inlineStr">
        <is>
          <t>C.BE.171</t>
        </is>
      </c>
      <c r="P221" s="76" t="inlineStr">
        <is>
          <t>Terminate</t>
        </is>
      </c>
      <c r="Q221" s="76" t="inlineStr">
        <is>
          <t>at expiry</t>
        </is>
      </c>
      <c r="R221" s="76" t="inlineStr">
        <is>
          <t>VendorA</t>
        </is>
      </c>
      <c r="S221" s="87" t="n"/>
      <c r="T221" s="105" t="n"/>
      <c r="U221" s="105" t="n"/>
      <c r="V221" s="105" t="n"/>
      <c r="W221" s="105" t="n"/>
      <c r="X221" s="105" t="n"/>
      <c r="Y221" s="105" t="n"/>
      <c r="Z221" s="105" t="n"/>
      <c r="AA221" s="105" t="n"/>
      <c r="AB221" s="105" t="n"/>
      <c r="AC221" s="105" t="n"/>
      <c r="AD221" s="105" t="n"/>
      <c r="AE221" s="105" t="n"/>
      <c r="AF221" s="105" t="n"/>
      <c r="AG221" s="105" t="n"/>
      <c r="AH221" s="105" t="n"/>
      <c r="AI221" s="105" t="n"/>
      <c r="AJ221" s="105" t="n"/>
      <c r="AK221" s="105" t="n"/>
      <c r="AL221" s="105" t="n"/>
      <c r="AM221" s="105" t="n"/>
      <c r="AN221" s="105" t="n"/>
      <c r="AO221" s="105" t="n"/>
      <c r="AP221" s="105" t="n"/>
      <c r="AQ221" s="105" t="n"/>
      <c r="AR221" s="105" t="n"/>
      <c r="AS221" s="105" t="n"/>
      <c r="AT221" s="105" t="n"/>
      <c r="AU221" s="105" t="n"/>
      <c r="AV221" s="105" t="n"/>
      <c r="AW221" s="105" t="n"/>
      <c r="AX221" s="105" t="n"/>
      <c r="AY221" s="105" t="n"/>
      <c r="AZ221" s="105" t="n"/>
      <c r="BA221" s="105" t="n"/>
      <c r="BB221" s="105" t="n"/>
      <c r="BC221" s="105" t="n"/>
      <c r="BD221" s="105" t="n"/>
      <c r="BE221" s="105" t="n"/>
      <c r="BF221" s="105" t="n"/>
      <c r="BG221" s="105" t="n"/>
      <c r="BH221" s="105" t="n"/>
      <c r="BI221" s="105" t="n"/>
      <c r="BJ221" s="105" t="n"/>
      <c r="BK221" s="105" t="n"/>
      <c r="BL221" s="105" t="n"/>
      <c r="BM221" s="105" t="n"/>
      <c r="BN221" s="105" t="n"/>
      <c r="BO221" s="105" t="n"/>
      <c r="BP221" s="105" t="n"/>
      <c r="BQ221" s="105" t="n"/>
      <c r="BR221" s="105" t="n"/>
      <c r="BS221" s="105" t="n"/>
      <c r="BT221" s="105" t="n"/>
      <c r="BU221" s="105" t="n"/>
      <c r="BV221" s="105" t="n"/>
      <c r="BW221" s="105" t="n"/>
      <c r="BX221" s="105" t="n"/>
      <c r="BY221" s="105" t="n"/>
      <c r="BZ221" s="105" t="n"/>
      <c r="CA221" s="105" t="n"/>
      <c r="CB221" s="105" t="n"/>
      <c r="CC221" s="105" t="n"/>
      <c r="CD221" s="105" t="n"/>
      <c r="CE221" s="105" t="n"/>
      <c r="CF221" s="105" t="n"/>
      <c r="CG221" s="105" t="n"/>
      <c r="CH221" s="105" t="n"/>
      <c r="CI221" s="105" t="n"/>
      <c r="CJ221" s="105" t="n"/>
      <c r="CK221" s="105" t="n"/>
      <c r="CL221" s="105" t="n"/>
      <c r="CM221" s="105" t="n"/>
      <c r="CN221" s="105" t="n"/>
      <c r="CO221" s="105" t="n"/>
      <c r="CP221" s="105" t="n"/>
      <c r="CQ221" s="105" t="n"/>
      <c r="CR221" s="105" t="n"/>
      <c r="CS221" s="105" t="n"/>
      <c r="CT221" s="105" t="n"/>
      <c r="CU221" s="105" t="n"/>
      <c r="CV221" s="105" t="n"/>
      <c r="CW221" s="105" t="n"/>
      <c r="CX221" s="105" t="n"/>
      <c r="CY221" s="105" t="n"/>
      <c r="CZ221" s="105" t="n"/>
      <c r="DA221" s="105" t="n"/>
      <c r="DB221" s="105" t="n"/>
      <c r="DC221" s="105" t="n"/>
      <c r="DD221" s="105" t="n"/>
      <c r="DE221" s="105" t="n"/>
      <c r="DF221" s="105" t="n"/>
      <c r="DG221" s="105" t="n"/>
      <c r="DH221" s="105" t="n"/>
      <c r="DI221" s="105" t="n"/>
      <c r="DJ221" s="105" t="n"/>
      <c r="DK221" s="105" t="n"/>
      <c r="DL221" s="105" t="n"/>
      <c r="DM221" s="105" t="n"/>
      <c r="DN221" s="105" t="n"/>
      <c r="DO221" s="105" t="n"/>
      <c r="DP221" s="105" t="n"/>
      <c r="DQ221" s="105" t="n"/>
      <c r="DR221" s="105" t="n"/>
      <c r="DS221" s="105" t="n"/>
      <c r="DT221" s="105" t="n"/>
      <c r="DU221" s="105" t="n"/>
      <c r="DV221" s="105" t="n"/>
      <c r="DW221" s="105" t="n"/>
      <c r="DX221" s="105" t="n"/>
      <c r="DY221" s="105" t="n"/>
      <c r="DZ221" s="105" t="n"/>
      <c r="EA221" s="105" t="n"/>
      <c r="EB221" s="105" t="n"/>
      <c r="EC221" s="105" t="n"/>
      <c r="ED221" s="105" t="n"/>
      <c r="EE221" s="105" t="n"/>
      <c r="EF221" s="105" t="n"/>
      <c r="EG221" s="105" t="n"/>
      <c r="EH221" s="105" t="n"/>
      <c r="EI221" s="105" t="n"/>
      <c r="EJ221" s="105" t="n"/>
      <c r="EK221" s="105" t="n"/>
      <c r="EL221" s="105" t="n"/>
      <c r="EM221" s="105" t="n"/>
      <c r="EN221" s="105" t="n"/>
      <c r="EO221" s="105" t="n"/>
      <c r="EP221" s="105" t="n"/>
      <c r="EQ221" s="105" t="n"/>
      <c r="ER221" s="105" t="n"/>
      <c r="ES221" s="105" t="n"/>
      <c r="ET221" s="105" t="n"/>
      <c r="EU221" s="105" t="n"/>
      <c r="EV221" s="105" t="n"/>
      <c r="EW221" s="105" t="n"/>
      <c r="EX221" s="105" t="n"/>
      <c r="EY221" s="105" t="n"/>
      <c r="EZ221" s="105" t="n"/>
      <c r="FA221" s="105" t="n"/>
      <c r="FB221" s="105" t="n"/>
      <c r="FC221" s="105" t="n"/>
      <c r="FD221" s="105" t="n"/>
      <c r="FE221" s="105" t="n"/>
      <c r="FF221" s="105" t="n"/>
      <c r="FG221" s="105" t="n"/>
      <c r="FH221" s="105" t="n"/>
      <c r="FI221" s="105" t="n"/>
      <c r="FJ221" s="105" t="n"/>
      <c r="FK221" s="105" t="n"/>
      <c r="FL221" s="105" t="n"/>
      <c r="FM221" s="105" t="n"/>
      <c r="FN221" s="105" t="n"/>
      <c r="FO221" s="105" t="n"/>
      <c r="FP221" s="105" t="n"/>
      <c r="FQ221" s="105" t="n"/>
      <c r="FR221" s="105" t="n"/>
      <c r="FS221" s="105" t="n"/>
      <c r="FT221" s="105" t="n"/>
      <c r="FU221" s="105" t="n"/>
      <c r="FV221" s="105" t="n"/>
      <c r="FW221" s="105" t="n"/>
      <c r="FX221" s="105" t="n"/>
      <c r="FY221" s="105" t="n"/>
      <c r="FZ221" s="105" t="n"/>
      <c r="GA221" s="105" t="n"/>
      <c r="GB221" s="105" t="n"/>
      <c r="GC221" s="105" t="n"/>
      <c r="GD221" s="105" t="n"/>
      <c r="GE221" s="105" t="n"/>
      <c r="GF221" s="105" t="n"/>
      <c r="GG221" s="105" t="n"/>
      <c r="GH221" s="105" t="n"/>
      <c r="GI221" s="105" t="n"/>
      <c r="GJ221" s="105" t="n"/>
      <c r="GK221" s="105" t="n"/>
      <c r="GL221" s="105" t="n"/>
      <c r="GM221" s="105" t="n"/>
      <c r="GN221" s="105" t="n"/>
      <c r="GO221" s="105" t="n"/>
      <c r="GP221" s="105" t="n"/>
      <c r="GQ221" s="105" t="n"/>
      <c r="GR221" s="105" t="n"/>
      <c r="GS221" s="105" t="n"/>
      <c r="GT221" s="105" t="n"/>
      <c r="GU221" s="105" t="n"/>
      <c r="GV221" s="105" t="n"/>
      <c r="GW221" s="105" t="n"/>
      <c r="GX221" s="105" t="n"/>
      <c r="GY221" s="105" t="n"/>
      <c r="GZ221" s="105" t="n"/>
      <c r="HA221" s="105" t="n"/>
      <c r="HB221" s="105" t="n"/>
      <c r="HC221" s="105" t="n"/>
      <c r="HD221" s="105" t="n"/>
      <c r="HE221" s="105" t="n"/>
      <c r="HF221" s="105" t="n"/>
      <c r="HG221" s="105" t="n"/>
      <c r="HH221" s="105" t="n"/>
      <c r="HI221" s="105" t="n"/>
      <c r="HJ221" s="105" t="n"/>
      <c r="HK221" s="105" t="n"/>
      <c r="HL221" s="105" t="n"/>
      <c r="HM221" s="105" t="n"/>
      <c r="HN221" s="105" t="n"/>
      <c r="HO221" s="105" t="n"/>
      <c r="HP221" s="105" t="n"/>
      <c r="HQ221" s="105" t="n"/>
      <c r="HR221" s="105" t="n"/>
    </row>
    <row r="222" ht="24" customHeight="1" s="69">
      <c r="A222" s="77" t="inlineStr">
        <is>
          <t>Server</t>
        </is>
      </c>
      <c r="B222" s="76" t="n">
        <v>5296</v>
      </c>
      <c r="C222" s="76" t="n"/>
      <c r="D222" s="76" t="inlineStr">
        <is>
          <t>BE</t>
        </is>
      </c>
      <c r="E222" s="76" t="n"/>
      <c r="F222" s="76" t="inlineStr">
        <is>
          <t>EuroBank COMP LEASE/174</t>
        </is>
      </c>
      <c r="G222" s="76" t="inlineStr">
        <is>
          <t>HP HW Fenestrae 104-201-94</t>
        </is>
      </c>
      <c r="H222" s="84" t="n">
        <v>39478</v>
      </c>
      <c r="I222" s="90" t="n">
        <v>852</v>
      </c>
      <c r="J222" s="86" t="n">
        <v>1</v>
      </c>
      <c r="K222" s="76" t="n"/>
      <c r="L222" s="76" t="inlineStr">
        <is>
          <t>30 days end of month</t>
        </is>
      </c>
      <c r="M222" s="76" t="n"/>
      <c r="N222" s="76" t="n"/>
      <c r="O222" s="76" t="inlineStr">
        <is>
          <t>C.BE.172</t>
        </is>
      </c>
      <c r="P222" s="76" t="inlineStr">
        <is>
          <t>Terminate</t>
        </is>
      </c>
      <c r="Q222" s="76" t="inlineStr">
        <is>
          <t>at expiry</t>
        </is>
      </c>
      <c r="R222" s="76" t="inlineStr">
        <is>
          <t>VendorA</t>
        </is>
      </c>
      <c r="S222" s="87" t="n"/>
      <c r="T222" s="105" t="n"/>
      <c r="U222" s="105" t="n"/>
      <c r="V222" s="105" t="n"/>
      <c r="W222" s="105" t="n"/>
      <c r="X222" s="105" t="n"/>
      <c r="Y222" s="105" t="n"/>
      <c r="Z222" s="105" t="n"/>
      <c r="AA222" s="105" t="n"/>
      <c r="AB222" s="105" t="n"/>
      <c r="AC222" s="105" t="n"/>
      <c r="AD222" s="105" t="n"/>
      <c r="AE222" s="105" t="n"/>
      <c r="AF222" s="105" t="n"/>
      <c r="AG222" s="105" t="n"/>
      <c r="AH222" s="105" t="n"/>
      <c r="AI222" s="105" t="n"/>
      <c r="AJ222" s="105" t="n"/>
      <c r="AK222" s="105" t="n"/>
      <c r="AL222" s="105" t="n"/>
      <c r="AM222" s="105" t="n"/>
      <c r="AN222" s="105" t="n"/>
      <c r="AO222" s="105" t="n"/>
      <c r="AP222" s="105" t="n"/>
      <c r="AQ222" s="105" t="n"/>
      <c r="AR222" s="105" t="n"/>
      <c r="AS222" s="105" t="n"/>
      <c r="AT222" s="105" t="n"/>
      <c r="AU222" s="105" t="n"/>
      <c r="AV222" s="105" t="n"/>
      <c r="AW222" s="105" t="n"/>
      <c r="AX222" s="105" t="n"/>
      <c r="AY222" s="105" t="n"/>
      <c r="AZ222" s="105" t="n"/>
      <c r="BA222" s="105" t="n"/>
      <c r="BB222" s="105" t="n"/>
      <c r="BC222" s="105" t="n"/>
      <c r="BD222" s="105" t="n"/>
      <c r="BE222" s="105" t="n"/>
      <c r="BF222" s="105" t="n"/>
      <c r="BG222" s="105" t="n"/>
      <c r="BH222" s="105" t="n"/>
      <c r="BI222" s="105" t="n"/>
      <c r="BJ222" s="105" t="n"/>
      <c r="BK222" s="105" t="n"/>
      <c r="BL222" s="105" t="n"/>
      <c r="BM222" s="105" t="n"/>
      <c r="BN222" s="105" t="n"/>
      <c r="BO222" s="105" t="n"/>
      <c r="BP222" s="105" t="n"/>
      <c r="BQ222" s="105" t="n"/>
      <c r="BR222" s="105" t="n"/>
      <c r="BS222" s="105" t="n"/>
      <c r="BT222" s="105" t="n"/>
      <c r="BU222" s="105" t="n"/>
      <c r="BV222" s="105" t="n"/>
      <c r="BW222" s="105" t="n"/>
      <c r="BX222" s="105" t="n"/>
      <c r="BY222" s="105" t="n"/>
      <c r="BZ222" s="105" t="n"/>
      <c r="CA222" s="105" t="n"/>
      <c r="CB222" s="105" t="n"/>
      <c r="CC222" s="105" t="n"/>
      <c r="CD222" s="105" t="n"/>
      <c r="CE222" s="105" t="n"/>
      <c r="CF222" s="105" t="n"/>
      <c r="CG222" s="105" t="n"/>
      <c r="CH222" s="105" t="n"/>
      <c r="CI222" s="105" t="n"/>
      <c r="CJ222" s="105" t="n"/>
      <c r="CK222" s="105" t="n"/>
      <c r="CL222" s="105" t="n"/>
      <c r="CM222" s="105" t="n"/>
      <c r="CN222" s="105" t="n"/>
      <c r="CO222" s="105" t="n"/>
      <c r="CP222" s="105" t="n"/>
      <c r="CQ222" s="105" t="n"/>
      <c r="CR222" s="105" t="n"/>
      <c r="CS222" s="105" t="n"/>
      <c r="CT222" s="105" t="n"/>
      <c r="CU222" s="105" t="n"/>
      <c r="CV222" s="105" t="n"/>
      <c r="CW222" s="105" t="n"/>
      <c r="CX222" s="105" t="n"/>
      <c r="CY222" s="105" t="n"/>
      <c r="CZ222" s="105" t="n"/>
      <c r="DA222" s="105" t="n"/>
      <c r="DB222" s="105" t="n"/>
      <c r="DC222" s="105" t="n"/>
      <c r="DD222" s="105" t="n"/>
      <c r="DE222" s="105" t="n"/>
      <c r="DF222" s="105" t="n"/>
      <c r="DG222" s="105" t="n"/>
      <c r="DH222" s="105" t="n"/>
      <c r="DI222" s="105" t="n"/>
      <c r="DJ222" s="105" t="n"/>
      <c r="DK222" s="105" t="n"/>
      <c r="DL222" s="105" t="n"/>
      <c r="DM222" s="105" t="n"/>
      <c r="DN222" s="105" t="n"/>
      <c r="DO222" s="105" t="n"/>
      <c r="DP222" s="105" t="n"/>
      <c r="DQ222" s="105" t="n"/>
      <c r="DR222" s="105" t="n"/>
      <c r="DS222" s="105" t="n"/>
      <c r="DT222" s="105" t="n"/>
      <c r="DU222" s="105" t="n"/>
      <c r="DV222" s="105" t="n"/>
      <c r="DW222" s="105" t="n"/>
      <c r="DX222" s="105" t="n"/>
      <c r="DY222" s="105" t="n"/>
      <c r="DZ222" s="105" t="n"/>
      <c r="EA222" s="105" t="n"/>
      <c r="EB222" s="105" t="n"/>
      <c r="EC222" s="105" t="n"/>
      <c r="ED222" s="105" t="n"/>
      <c r="EE222" s="105" t="n"/>
      <c r="EF222" s="105" t="n"/>
      <c r="EG222" s="105" t="n"/>
      <c r="EH222" s="105" t="n"/>
      <c r="EI222" s="105" t="n"/>
      <c r="EJ222" s="105" t="n"/>
      <c r="EK222" s="105" t="n"/>
      <c r="EL222" s="105" t="n"/>
      <c r="EM222" s="105" t="n"/>
      <c r="EN222" s="105" t="n"/>
      <c r="EO222" s="105" t="n"/>
      <c r="EP222" s="105" t="n"/>
      <c r="EQ222" s="105" t="n"/>
      <c r="ER222" s="105" t="n"/>
      <c r="ES222" s="105" t="n"/>
      <c r="ET222" s="105" t="n"/>
      <c r="EU222" s="105" t="n"/>
      <c r="EV222" s="105" t="n"/>
      <c r="EW222" s="105" t="n"/>
      <c r="EX222" s="105" t="n"/>
      <c r="EY222" s="105" t="n"/>
      <c r="EZ222" s="105" t="n"/>
      <c r="FA222" s="105" t="n"/>
      <c r="FB222" s="105" t="n"/>
      <c r="FC222" s="105" t="n"/>
      <c r="FD222" s="105" t="n"/>
      <c r="FE222" s="105" t="n"/>
      <c r="FF222" s="105" t="n"/>
      <c r="FG222" s="105" t="n"/>
      <c r="FH222" s="105" t="n"/>
      <c r="FI222" s="105" t="n"/>
      <c r="FJ222" s="105" t="n"/>
      <c r="FK222" s="105" t="n"/>
      <c r="FL222" s="105" t="n"/>
      <c r="FM222" s="105" t="n"/>
      <c r="FN222" s="105" t="n"/>
      <c r="FO222" s="105" t="n"/>
      <c r="FP222" s="105" t="n"/>
      <c r="FQ222" s="105" t="n"/>
      <c r="FR222" s="105" t="n"/>
      <c r="FS222" s="105" t="n"/>
      <c r="FT222" s="105" t="n"/>
      <c r="FU222" s="105" t="n"/>
      <c r="FV222" s="105" t="n"/>
      <c r="FW222" s="105" t="n"/>
      <c r="FX222" s="105" t="n"/>
      <c r="FY222" s="105" t="n"/>
      <c r="FZ222" s="105" t="n"/>
      <c r="GA222" s="105" t="n"/>
      <c r="GB222" s="105" t="n"/>
      <c r="GC222" s="105" t="n"/>
      <c r="GD222" s="105" t="n"/>
      <c r="GE222" s="105" t="n"/>
      <c r="GF222" s="105" t="n"/>
      <c r="GG222" s="105" t="n"/>
      <c r="GH222" s="105" t="n"/>
      <c r="GI222" s="105" t="n"/>
      <c r="GJ222" s="105" t="n"/>
      <c r="GK222" s="105" t="n"/>
      <c r="GL222" s="105" t="n"/>
      <c r="GM222" s="105" t="n"/>
      <c r="GN222" s="105" t="n"/>
      <c r="GO222" s="105" t="n"/>
      <c r="GP222" s="105" t="n"/>
      <c r="GQ222" s="105" t="n"/>
      <c r="GR222" s="105" t="n"/>
      <c r="GS222" s="105" t="n"/>
      <c r="GT222" s="105" t="n"/>
      <c r="GU222" s="105" t="n"/>
      <c r="GV222" s="105" t="n"/>
      <c r="GW222" s="105" t="n"/>
      <c r="GX222" s="105" t="n"/>
      <c r="GY222" s="105" t="n"/>
      <c r="GZ222" s="105" t="n"/>
      <c r="HA222" s="105" t="n"/>
      <c r="HB222" s="105" t="n"/>
      <c r="HC222" s="105" t="n"/>
      <c r="HD222" s="105" t="n"/>
      <c r="HE222" s="105" t="n"/>
      <c r="HF222" s="105" t="n"/>
      <c r="HG222" s="105" t="n"/>
      <c r="HH222" s="105" t="n"/>
      <c r="HI222" s="105" t="n"/>
      <c r="HJ222" s="105" t="n"/>
      <c r="HK222" s="105" t="n"/>
      <c r="HL222" s="105" t="n"/>
      <c r="HM222" s="105" t="n"/>
      <c r="HN222" s="105" t="n"/>
      <c r="HO222" s="105" t="n"/>
      <c r="HP222" s="105" t="n"/>
      <c r="HQ222" s="105" t="n"/>
      <c r="HR222" s="105" t="n"/>
    </row>
    <row r="223" ht="24" customHeight="1" s="69">
      <c r="A223" s="77" t="inlineStr">
        <is>
          <t>Voice</t>
        </is>
      </c>
      <c r="B223" s="76" t="n">
        <v>5299</v>
      </c>
      <c r="C223" s="76" t="n"/>
      <c r="D223" s="76" t="inlineStr">
        <is>
          <t>BE</t>
        </is>
      </c>
      <c r="E223" s="76" t="n"/>
      <c r="F223" s="76" t="inlineStr">
        <is>
          <t>EuroBank COMP LEASE/175</t>
        </is>
      </c>
      <c r="G223" s="76" t="inlineStr">
        <is>
          <t xml:space="preserve"> 4 TLU 76/1 Cards 104-201-95</t>
        </is>
      </c>
      <c r="H223" s="84" t="n">
        <v>39478</v>
      </c>
      <c r="I223" s="90" t="n">
        <v>314</v>
      </c>
      <c r="J223" s="86" t="n">
        <v>1</v>
      </c>
      <c r="K223" s="76" t="n"/>
      <c r="L223" s="76" t="inlineStr">
        <is>
          <t>30 days end of month</t>
        </is>
      </c>
      <c r="M223" s="76" t="n"/>
      <c r="N223" s="76" t="n"/>
      <c r="O223" s="76" t="inlineStr">
        <is>
          <t>C.BE.173</t>
        </is>
      </c>
      <c r="P223" s="76" t="inlineStr">
        <is>
          <t>Novate</t>
        </is>
      </c>
      <c r="Q223" s="76" t="n"/>
      <c r="R223" s="76" t="inlineStr">
        <is>
          <t>TelCo</t>
        </is>
      </c>
      <c r="S223" s="87" t="n"/>
      <c r="T223" s="77" t="n"/>
      <c r="U223" s="105" t="n"/>
      <c r="V223" s="105" t="n"/>
      <c r="W223" s="105" t="n"/>
      <c r="X223" s="105" t="n"/>
      <c r="Y223" s="105" t="n"/>
      <c r="Z223" s="105" t="n"/>
      <c r="AA223" s="105" t="n"/>
      <c r="AB223" s="105" t="n"/>
      <c r="AC223" s="105" t="n"/>
      <c r="AD223" s="105" t="n"/>
      <c r="AE223" s="105" t="n"/>
      <c r="AF223" s="105" t="n"/>
      <c r="AG223" s="105" t="n"/>
      <c r="AH223" s="105" t="n"/>
      <c r="AI223" s="105" t="n"/>
      <c r="AJ223" s="105" t="n"/>
      <c r="AK223" s="105" t="n"/>
      <c r="AL223" s="105" t="n"/>
      <c r="AM223" s="105" t="n"/>
      <c r="AN223" s="105" t="n"/>
      <c r="AO223" s="105" t="n"/>
      <c r="AP223" s="105" t="n"/>
      <c r="AQ223" s="105" t="n"/>
      <c r="AR223" s="105" t="n"/>
      <c r="AS223" s="105" t="n"/>
      <c r="AT223" s="105" t="n"/>
      <c r="AU223" s="105" t="n"/>
      <c r="AV223" s="105" t="n"/>
      <c r="AW223" s="105" t="n"/>
      <c r="AX223" s="105" t="n"/>
      <c r="AY223" s="105" t="n"/>
      <c r="AZ223" s="105" t="n"/>
      <c r="BA223" s="105" t="n"/>
      <c r="BB223" s="105" t="n"/>
      <c r="BC223" s="105" t="n"/>
      <c r="BD223" s="105" t="n"/>
      <c r="BE223" s="105" t="n"/>
      <c r="BF223" s="105" t="n"/>
      <c r="BG223" s="105" t="n"/>
      <c r="BH223" s="105" t="n"/>
      <c r="BI223" s="105" t="n"/>
      <c r="BJ223" s="105" t="n"/>
      <c r="BK223" s="105" t="n"/>
      <c r="BL223" s="105" t="n"/>
      <c r="BM223" s="105" t="n"/>
      <c r="BN223" s="105" t="n"/>
      <c r="BO223" s="105" t="n"/>
      <c r="BP223" s="105" t="n"/>
      <c r="BQ223" s="105" t="n"/>
      <c r="BR223" s="105" t="n"/>
      <c r="BS223" s="105" t="n"/>
      <c r="BT223" s="105" t="n"/>
      <c r="BU223" s="105" t="n"/>
      <c r="BV223" s="105" t="n"/>
      <c r="BW223" s="105" t="n"/>
      <c r="BX223" s="105" t="n"/>
      <c r="BY223" s="105" t="n"/>
      <c r="BZ223" s="105" t="n"/>
      <c r="CA223" s="105" t="n"/>
      <c r="CB223" s="105" t="n"/>
      <c r="CC223" s="105" t="n"/>
      <c r="CD223" s="105" t="n"/>
      <c r="CE223" s="105" t="n"/>
      <c r="CF223" s="105" t="n"/>
      <c r="CG223" s="105" t="n"/>
      <c r="CH223" s="105" t="n"/>
      <c r="CI223" s="105" t="n"/>
      <c r="CJ223" s="105" t="n"/>
      <c r="CK223" s="105" t="n"/>
      <c r="CL223" s="105" t="n"/>
      <c r="CM223" s="105" t="n"/>
      <c r="CN223" s="105" t="n"/>
      <c r="CO223" s="105" t="n"/>
      <c r="CP223" s="105" t="n"/>
      <c r="CQ223" s="105" t="n"/>
      <c r="CR223" s="105" t="n"/>
      <c r="CS223" s="105" t="n"/>
      <c r="CT223" s="105" t="n"/>
      <c r="CU223" s="105" t="n"/>
      <c r="CV223" s="105" t="n"/>
      <c r="CW223" s="105" t="n"/>
      <c r="CX223" s="105" t="n"/>
      <c r="CY223" s="105" t="n"/>
      <c r="CZ223" s="105" t="n"/>
      <c r="DA223" s="105" t="n"/>
      <c r="DB223" s="105" t="n"/>
      <c r="DC223" s="105" t="n"/>
      <c r="DD223" s="105" t="n"/>
      <c r="DE223" s="105" t="n"/>
      <c r="DF223" s="105" t="n"/>
      <c r="DG223" s="105" t="n"/>
      <c r="DH223" s="105" t="n"/>
      <c r="DI223" s="105" t="n"/>
      <c r="DJ223" s="105" t="n"/>
      <c r="DK223" s="105" t="n"/>
      <c r="DL223" s="105" t="n"/>
      <c r="DM223" s="105" t="n"/>
      <c r="DN223" s="105" t="n"/>
      <c r="DO223" s="105" t="n"/>
      <c r="DP223" s="105" t="n"/>
      <c r="DQ223" s="105" t="n"/>
      <c r="DR223" s="105" t="n"/>
      <c r="DS223" s="105" t="n"/>
      <c r="DT223" s="105" t="n"/>
      <c r="DU223" s="105" t="n"/>
      <c r="DV223" s="105" t="n"/>
      <c r="DW223" s="105" t="n"/>
      <c r="DX223" s="105" t="n"/>
      <c r="DY223" s="105" t="n"/>
      <c r="DZ223" s="105" t="n"/>
      <c r="EA223" s="105" t="n"/>
      <c r="EB223" s="105" t="n"/>
      <c r="EC223" s="105" t="n"/>
      <c r="ED223" s="105" t="n"/>
      <c r="EE223" s="105" t="n"/>
      <c r="EF223" s="105" t="n"/>
      <c r="EG223" s="105" t="n"/>
      <c r="EH223" s="105" t="n"/>
      <c r="EI223" s="105" t="n"/>
      <c r="EJ223" s="105" t="n"/>
      <c r="EK223" s="105" t="n"/>
      <c r="EL223" s="105" t="n"/>
      <c r="EM223" s="105" t="n"/>
      <c r="EN223" s="105" t="n"/>
      <c r="EO223" s="105" t="n"/>
      <c r="EP223" s="105" t="n"/>
      <c r="EQ223" s="105" t="n"/>
      <c r="ER223" s="105" t="n"/>
      <c r="ES223" s="105" t="n"/>
      <c r="ET223" s="105" t="n"/>
      <c r="EU223" s="105" t="n"/>
      <c r="EV223" s="105" t="n"/>
      <c r="EW223" s="105" t="n"/>
      <c r="EX223" s="105" t="n"/>
      <c r="EY223" s="105" t="n"/>
      <c r="EZ223" s="105" t="n"/>
      <c r="FA223" s="105" t="n"/>
      <c r="FB223" s="105" t="n"/>
      <c r="FC223" s="105" t="n"/>
      <c r="FD223" s="105" t="n"/>
      <c r="FE223" s="105" t="n"/>
      <c r="FF223" s="105" t="n"/>
      <c r="FG223" s="105" t="n"/>
      <c r="FH223" s="105" t="n"/>
      <c r="FI223" s="105" t="n"/>
      <c r="FJ223" s="105" t="n"/>
      <c r="FK223" s="105" t="n"/>
      <c r="FL223" s="105" t="n"/>
      <c r="FM223" s="105" t="n"/>
      <c r="FN223" s="105" t="n"/>
      <c r="FO223" s="105" t="n"/>
      <c r="FP223" s="105" t="n"/>
      <c r="FQ223" s="105" t="n"/>
      <c r="FR223" s="105" t="n"/>
      <c r="FS223" s="105" t="n"/>
      <c r="FT223" s="105" t="n"/>
      <c r="FU223" s="105" t="n"/>
      <c r="FV223" s="105" t="n"/>
      <c r="FW223" s="105" t="n"/>
      <c r="FX223" s="105" t="n"/>
      <c r="FY223" s="105" t="n"/>
      <c r="FZ223" s="105" t="n"/>
      <c r="GA223" s="105" t="n"/>
      <c r="GB223" s="105" t="n"/>
      <c r="GC223" s="105" t="n"/>
      <c r="GD223" s="105" t="n"/>
      <c r="GE223" s="105" t="n"/>
      <c r="GF223" s="105" t="n"/>
      <c r="GG223" s="105" t="n"/>
      <c r="GH223" s="105" t="n"/>
      <c r="GI223" s="105" t="n"/>
      <c r="GJ223" s="105" t="n"/>
      <c r="GK223" s="105" t="n"/>
      <c r="GL223" s="105" t="n"/>
      <c r="GM223" s="105" t="n"/>
      <c r="GN223" s="105" t="n"/>
      <c r="GO223" s="105" t="n"/>
      <c r="GP223" s="105" t="n"/>
      <c r="GQ223" s="105" t="n"/>
      <c r="GR223" s="105" t="n"/>
      <c r="GS223" s="105" t="n"/>
      <c r="GT223" s="105" t="n"/>
      <c r="GU223" s="105" t="n"/>
      <c r="GV223" s="105" t="n"/>
      <c r="GW223" s="105" t="n"/>
      <c r="GX223" s="105" t="n"/>
      <c r="GY223" s="105" t="n"/>
      <c r="GZ223" s="105" t="n"/>
      <c r="HA223" s="105" t="n"/>
      <c r="HB223" s="105" t="n"/>
      <c r="HC223" s="105" t="n"/>
      <c r="HD223" s="105" t="n"/>
      <c r="HE223" s="105" t="n"/>
      <c r="HF223" s="105" t="n"/>
      <c r="HG223" s="105" t="n"/>
      <c r="HH223" s="105" t="n"/>
      <c r="HI223" s="105" t="n"/>
      <c r="HJ223" s="105" t="n"/>
      <c r="HK223" s="105" t="n"/>
      <c r="HL223" s="105" t="n"/>
      <c r="HM223" s="105" t="n"/>
      <c r="HN223" s="105" t="n"/>
      <c r="HO223" s="105" t="n"/>
      <c r="HP223" s="105" t="n"/>
      <c r="HQ223" s="105" t="n"/>
      <c r="HR223" s="105" t="n"/>
    </row>
    <row r="224" ht="24" customHeight="1" s="69">
      <c r="A224" s="77" t="inlineStr">
        <is>
          <t>Server</t>
        </is>
      </c>
      <c r="B224" s="76" t="n">
        <v>5307</v>
      </c>
      <c r="C224" s="76" t="n"/>
      <c r="D224" s="76" t="inlineStr">
        <is>
          <t>BE</t>
        </is>
      </c>
      <c r="E224" s="76" t="n"/>
      <c r="F224" s="76" t="inlineStr">
        <is>
          <t>EuroBank COMP LEASE/185</t>
        </is>
      </c>
      <c r="G224" s="76" t="inlineStr">
        <is>
          <t>Racks pour "Sourcing UK" 104-401-17</t>
        </is>
      </c>
      <c r="H224" s="84" t="n">
        <v>39552</v>
      </c>
      <c r="I224" s="90" t="n">
        <v>82</v>
      </c>
      <c r="J224" s="92" t="n">
        <v>1</v>
      </c>
      <c r="K224" s="76" t="n"/>
      <c r="L224" s="76" t="inlineStr">
        <is>
          <t>30 days end of month</t>
        </is>
      </c>
      <c r="M224" s="76" t="n"/>
      <c r="N224" s="76" t="n"/>
      <c r="O224" s="76" t="inlineStr">
        <is>
          <t>C.BE.178</t>
        </is>
      </c>
      <c r="P224" s="76" t="inlineStr">
        <is>
          <t>Terminate</t>
        </is>
      </c>
      <c r="Q224" s="76" t="inlineStr">
        <is>
          <t>at expiry</t>
        </is>
      </c>
      <c r="R224" s="76" t="inlineStr">
        <is>
          <t>VendorA</t>
        </is>
      </c>
      <c r="S224" s="87" t="n"/>
      <c r="T224" s="105" t="n"/>
      <c r="U224" s="105" t="n"/>
      <c r="V224" s="105" t="n"/>
      <c r="W224" s="105" t="n"/>
      <c r="X224" s="105" t="n"/>
      <c r="Y224" s="105" t="n"/>
      <c r="Z224" s="105" t="n"/>
      <c r="AA224" s="105" t="n"/>
      <c r="AB224" s="105" t="n"/>
      <c r="AC224" s="105" t="n"/>
      <c r="AD224" s="105" t="n"/>
      <c r="AE224" s="105" t="n"/>
      <c r="AF224" s="105" t="n"/>
      <c r="AG224" s="105" t="n"/>
      <c r="AH224" s="105" t="n"/>
      <c r="AI224" s="105" t="n"/>
      <c r="AJ224" s="105" t="n"/>
      <c r="AK224" s="105" t="n"/>
      <c r="AL224" s="105" t="n"/>
      <c r="AM224" s="105" t="n"/>
      <c r="AN224" s="105" t="n"/>
      <c r="AO224" s="105" t="n"/>
      <c r="AP224" s="105" t="n"/>
      <c r="AQ224" s="105" t="n"/>
      <c r="AR224" s="105" t="n"/>
      <c r="AS224" s="105" t="n"/>
      <c r="AT224" s="105" t="n"/>
      <c r="AU224" s="105" t="n"/>
      <c r="AV224" s="105" t="n"/>
      <c r="AW224" s="105" t="n"/>
      <c r="AX224" s="105" t="n"/>
      <c r="AY224" s="105" t="n"/>
      <c r="AZ224" s="105" t="n"/>
      <c r="BA224" s="105" t="n"/>
      <c r="BB224" s="105" t="n"/>
      <c r="BC224" s="105" t="n"/>
      <c r="BD224" s="105" t="n"/>
      <c r="BE224" s="105" t="n"/>
      <c r="BF224" s="105" t="n"/>
      <c r="BG224" s="105" t="n"/>
      <c r="BH224" s="105" t="n"/>
      <c r="BI224" s="105" t="n"/>
      <c r="BJ224" s="105" t="n"/>
      <c r="BK224" s="105" t="n"/>
      <c r="BL224" s="105" t="n"/>
      <c r="BM224" s="105" t="n"/>
      <c r="BN224" s="105" t="n"/>
      <c r="BO224" s="105" t="n"/>
      <c r="BP224" s="105" t="n"/>
      <c r="BQ224" s="105" t="n"/>
      <c r="BR224" s="105" t="n"/>
      <c r="BS224" s="105" t="n"/>
      <c r="BT224" s="105" t="n"/>
      <c r="BU224" s="105" t="n"/>
      <c r="BV224" s="105" t="n"/>
      <c r="BW224" s="105" t="n"/>
      <c r="BX224" s="105" t="n"/>
      <c r="BY224" s="105" t="n"/>
      <c r="BZ224" s="105" t="n"/>
      <c r="CA224" s="105" t="n"/>
      <c r="CB224" s="105" t="n"/>
      <c r="CC224" s="105" t="n"/>
      <c r="CD224" s="105" t="n"/>
      <c r="CE224" s="105" t="n"/>
      <c r="CF224" s="105" t="n"/>
      <c r="CG224" s="105" t="n"/>
      <c r="CH224" s="105" t="n"/>
      <c r="CI224" s="105" t="n"/>
      <c r="CJ224" s="105" t="n"/>
      <c r="CK224" s="105" t="n"/>
      <c r="CL224" s="105" t="n"/>
      <c r="CM224" s="105" t="n"/>
      <c r="CN224" s="105" t="n"/>
      <c r="CO224" s="105" t="n"/>
      <c r="CP224" s="105" t="n"/>
      <c r="CQ224" s="105" t="n"/>
      <c r="CR224" s="105" t="n"/>
      <c r="CS224" s="105" t="n"/>
      <c r="CT224" s="105" t="n"/>
      <c r="CU224" s="105" t="n"/>
      <c r="CV224" s="105" t="n"/>
      <c r="CW224" s="105" t="n"/>
      <c r="CX224" s="105" t="n"/>
      <c r="CY224" s="105" t="n"/>
      <c r="CZ224" s="105" t="n"/>
      <c r="DA224" s="105" t="n"/>
      <c r="DB224" s="105" t="n"/>
      <c r="DC224" s="105" t="n"/>
      <c r="DD224" s="105" t="n"/>
      <c r="DE224" s="105" t="n"/>
      <c r="DF224" s="105" t="n"/>
      <c r="DG224" s="105" t="n"/>
      <c r="DH224" s="105" t="n"/>
      <c r="DI224" s="105" t="n"/>
      <c r="DJ224" s="105" t="n"/>
      <c r="DK224" s="105" t="n"/>
      <c r="DL224" s="105" t="n"/>
      <c r="DM224" s="105" t="n"/>
      <c r="DN224" s="105" t="n"/>
      <c r="DO224" s="105" t="n"/>
      <c r="DP224" s="105" t="n"/>
      <c r="DQ224" s="105" t="n"/>
      <c r="DR224" s="105" t="n"/>
      <c r="DS224" s="105" t="n"/>
      <c r="DT224" s="105" t="n"/>
      <c r="DU224" s="105" t="n"/>
      <c r="DV224" s="105" t="n"/>
      <c r="DW224" s="105" t="n"/>
      <c r="DX224" s="105" t="n"/>
      <c r="DY224" s="105" t="n"/>
      <c r="DZ224" s="105" t="n"/>
      <c r="EA224" s="105" t="n"/>
      <c r="EB224" s="105" t="n"/>
      <c r="EC224" s="105" t="n"/>
      <c r="ED224" s="105" t="n"/>
      <c r="EE224" s="105" t="n"/>
      <c r="EF224" s="105" t="n"/>
      <c r="EG224" s="105" t="n"/>
      <c r="EH224" s="105" t="n"/>
      <c r="EI224" s="105" t="n"/>
      <c r="EJ224" s="105" t="n"/>
      <c r="EK224" s="105" t="n"/>
      <c r="EL224" s="105" t="n"/>
      <c r="EM224" s="105" t="n"/>
      <c r="EN224" s="105" t="n"/>
      <c r="EO224" s="105" t="n"/>
      <c r="EP224" s="105" t="n"/>
      <c r="EQ224" s="105" t="n"/>
      <c r="ER224" s="105" t="n"/>
      <c r="ES224" s="105" t="n"/>
      <c r="ET224" s="105" t="n"/>
      <c r="EU224" s="105" t="n"/>
      <c r="EV224" s="105" t="n"/>
      <c r="EW224" s="105" t="n"/>
      <c r="EX224" s="105" t="n"/>
      <c r="EY224" s="105" t="n"/>
      <c r="EZ224" s="105" t="n"/>
      <c r="FA224" s="105" t="n"/>
      <c r="FB224" s="105" t="n"/>
      <c r="FC224" s="105" t="n"/>
      <c r="FD224" s="105" t="n"/>
      <c r="FE224" s="105" t="n"/>
      <c r="FF224" s="105" t="n"/>
      <c r="FG224" s="105" t="n"/>
      <c r="FH224" s="105" t="n"/>
      <c r="FI224" s="105" t="n"/>
      <c r="FJ224" s="105" t="n"/>
      <c r="FK224" s="105" t="n"/>
      <c r="FL224" s="105" t="n"/>
      <c r="FM224" s="105" t="n"/>
      <c r="FN224" s="105" t="n"/>
      <c r="FO224" s="105" t="n"/>
      <c r="FP224" s="105" t="n"/>
      <c r="FQ224" s="105" t="n"/>
      <c r="FR224" s="105" t="n"/>
      <c r="FS224" s="105" t="n"/>
      <c r="FT224" s="105" t="n"/>
      <c r="FU224" s="105" t="n"/>
      <c r="FV224" s="105" t="n"/>
      <c r="FW224" s="105" t="n"/>
      <c r="FX224" s="105" t="n"/>
      <c r="FY224" s="105" t="n"/>
      <c r="FZ224" s="105" t="n"/>
      <c r="GA224" s="105" t="n"/>
      <c r="GB224" s="105" t="n"/>
      <c r="GC224" s="105" t="n"/>
      <c r="GD224" s="105" t="n"/>
      <c r="GE224" s="105" t="n"/>
      <c r="GF224" s="105" t="n"/>
      <c r="GG224" s="105" t="n"/>
      <c r="GH224" s="105" t="n"/>
      <c r="GI224" s="105" t="n"/>
      <c r="GJ224" s="105" t="n"/>
      <c r="GK224" s="105" t="n"/>
      <c r="GL224" s="105" t="n"/>
      <c r="GM224" s="105" t="n"/>
      <c r="GN224" s="105" t="n"/>
      <c r="GO224" s="105" t="n"/>
      <c r="GP224" s="105" t="n"/>
      <c r="GQ224" s="105" t="n"/>
      <c r="GR224" s="105" t="n"/>
      <c r="GS224" s="105" t="n"/>
      <c r="GT224" s="105" t="n"/>
      <c r="GU224" s="105" t="n"/>
      <c r="GV224" s="105" t="n"/>
      <c r="GW224" s="105" t="n"/>
      <c r="GX224" s="105" t="n"/>
      <c r="GY224" s="105" t="n"/>
      <c r="GZ224" s="105" t="n"/>
      <c r="HA224" s="105" t="n"/>
      <c r="HB224" s="105" t="n"/>
      <c r="HC224" s="105" t="n"/>
      <c r="HD224" s="105" t="n"/>
      <c r="HE224" s="105" t="n"/>
      <c r="HF224" s="105" t="n"/>
      <c r="HG224" s="105" t="n"/>
      <c r="HH224" s="105" t="n"/>
      <c r="HI224" s="105" t="n"/>
      <c r="HJ224" s="105" t="n"/>
      <c r="HK224" s="105" t="n"/>
      <c r="HL224" s="105" t="n"/>
      <c r="HM224" s="105" t="n"/>
      <c r="HN224" s="105" t="n"/>
      <c r="HO224" s="105" t="n"/>
      <c r="HP224" s="105" t="n"/>
      <c r="HQ224" s="105" t="n"/>
      <c r="HR224" s="105" t="n"/>
    </row>
    <row r="225" ht="24" customHeight="1" s="69">
      <c r="A225" s="77" t="inlineStr">
        <is>
          <t>Lan</t>
        </is>
      </c>
      <c r="B225" s="76" t="n">
        <v>1654</v>
      </c>
      <c r="C225" s="76" t="n"/>
      <c r="D225" s="76" t="inlineStr">
        <is>
          <t>BE</t>
        </is>
      </c>
      <c r="E225" s="76" t="n"/>
      <c r="F225" s="76" t="inlineStr">
        <is>
          <t>EuroBank COMP LEASE/186</t>
        </is>
      </c>
      <c r="G225" s="76" t="inlineStr">
        <is>
          <t>Switches Cisco 105-2 01-01</t>
        </is>
      </c>
      <c r="H225" s="84" t="n">
        <v>39538</v>
      </c>
      <c r="I225" s="90" t="n">
        <v>16138.5</v>
      </c>
      <c r="J225" s="86" t="n">
        <v>0.5</v>
      </c>
      <c r="K225" s="76" t="n"/>
      <c r="L225" s="76" t="inlineStr">
        <is>
          <t>30 days end of month</t>
        </is>
      </c>
      <c r="M225" s="76" t="n"/>
      <c r="N225" s="76" t="n"/>
      <c r="O225" s="76" t="inlineStr">
        <is>
          <t>C.BE.179</t>
        </is>
      </c>
      <c r="P225" s="76" t="inlineStr">
        <is>
          <t>Novate</t>
        </is>
      </c>
      <c r="Q225" s="76" t="n"/>
      <c r="R225" s="76" t="inlineStr">
        <is>
          <t>TelCo</t>
        </is>
      </c>
      <c r="S225" s="87" t="n"/>
      <c r="T225" s="77" t="n"/>
    </row>
    <row r="226" ht="24" customHeight="1" s="69">
      <c r="A226" s="77" t="inlineStr">
        <is>
          <t>Server</t>
        </is>
      </c>
      <c r="B226" s="76" t="n">
        <v>6812</v>
      </c>
      <c r="C226" s="76" t="n"/>
      <c r="D226" s="76" t="inlineStr">
        <is>
          <t>BE</t>
        </is>
      </c>
      <c r="E226" s="76" t="n"/>
      <c r="F226" s="76" t="inlineStr">
        <is>
          <t>EuroBank COMP LEASE/24</t>
        </is>
      </c>
      <c r="G226" s="76" t="inlineStr">
        <is>
          <t>Lease HP Proliant 100-202-51</t>
        </is>
      </c>
      <c r="H226" s="84" t="n">
        <v>38960</v>
      </c>
      <c r="I226" s="90" t="n">
        <v>560.833333333333</v>
      </c>
      <c r="J226" s="86" t="n">
        <v>1</v>
      </c>
      <c r="K226" s="76" t="n"/>
      <c r="L226" s="76" t="inlineStr">
        <is>
          <t>30 days end of month</t>
        </is>
      </c>
      <c r="M226" s="76" t="n"/>
      <c r="N226" s="76" t="n"/>
      <c r="O226" s="76" t="inlineStr">
        <is>
          <t>C.BE.186</t>
        </is>
      </c>
      <c r="P226" s="76" t="inlineStr">
        <is>
          <t>Terminate</t>
        </is>
      </c>
      <c r="Q226" s="76" t="inlineStr">
        <is>
          <t>at expiry</t>
        </is>
      </c>
      <c r="R226" s="76" t="inlineStr">
        <is>
          <t>VendorA</t>
        </is>
      </c>
      <c r="S226" s="87" t="n"/>
    </row>
    <row r="227" ht="24" customHeight="1" s="69">
      <c r="A227" s="77" t="inlineStr">
        <is>
          <t>DTHW</t>
        </is>
      </c>
      <c r="B227" s="76" t="n">
        <v>2144</v>
      </c>
      <c r="C227" s="76" t="n"/>
      <c r="D227" s="76" t="inlineStr">
        <is>
          <t>BE</t>
        </is>
      </c>
      <c r="E227" s="76" t="n"/>
      <c r="F227" s="76" t="inlineStr">
        <is>
          <t>EuroBank COMP LEASE/26</t>
        </is>
      </c>
      <c r="G227" s="76" t="inlineStr">
        <is>
          <t>Leasing Notebook N610C (300 pieces) 100-202-48</t>
        </is>
      </c>
      <c r="H227" s="84" t="n">
        <v>38960</v>
      </c>
      <c r="I227" s="90" t="n">
        <v>6981.08333333333</v>
      </c>
      <c r="J227" s="86" t="n">
        <v>1</v>
      </c>
      <c r="K227" s="76" t="n"/>
      <c r="L227" s="76" t="inlineStr">
        <is>
          <t>domiciliation bancaire</t>
        </is>
      </c>
      <c r="M227" s="76" t="n"/>
      <c r="N227" s="76" t="n"/>
      <c r="O227" s="76" t="inlineStr">
        <is>
          <t>C.BE.188</t>
        </is>
      </c>
      <c r="P227" s="76" t="inlineStr">
        <is>
          <t>Terminate</t>
        </is>
      </c>
      <c r="Q227" s="76" t="inlineStr">
        <is>
          <t>at expiry</t>
        </is>
      </c>
      <c r="R227" s="76" t="inlineStr">
        <is>
          <t>Vendor Gamma</t>
        </is>
      </c>
      <c r="S227" s="87" t="n"/>
    </row>
    <row r="228" ht="24" customHeight="1" s="69">
      <c r="A228" s="77" t="inlineStr">
        <is>
          <t>DTHW</t>
        </is>
      </c>
      <c r="B228" s="76" t="n">
        <v>6829</v>
      </c>
      <c r="C228" s="76" t="n"/>
      <c r="D228" s="76" t="inlineStr">
        <is>
          <t>BE</t>
        </is>
      </c>
      <c r="E228" s="84" t="n"/>
      <c r="F228" s="76" t="inlineStr">
        <is>
          <t>EuroBank COMP LEASE/27</t>
        </is>
      </c>
      <c r="G228" s="76" t="inlineStr">
        <is>
          <t>Leasing XW6000 workstations 100-202-49</t>
        </is>
      </c>
      <c r="H228" s="84" t="n">
        <v>38960</v>
      </c>
      <c r="I228" s="90" t="n">
        <v>2111.41666666667</v>
      </c>
      <c r="J228" s="86" t="n">
        <v>1</v>
      </c>
      <c r="K228" s="76" t="n"/>
      <c r="L228" s="76" t="inlineStr">
        <is>
          <t>domiciliation bancaire</t>
        </is>
      </c>
      <c r="M228" s="76" t="n"/>
      <c r="N228" s="76" t="n"/>
      <c r="O228" s="76" t="inlineStr">
        <is>
          <t>C.BE.189</t>
        </is>
      </c>
      <c r="P228" s="76" t="inlineStr">
        <is>
          <t>Terminate</t>
        </is>
      </c>
      <c r="Q228" s="76" t="inlineStr">
        <is>
          <t>at expiry</t>
        </is>
      </c>
      <c r="R228" s="76" t="inlineStr">
        <is>
          <t>Vendor Gamma</t>
        </is>
      </c>
      <c r="S228" s="87" t="n"/>
    </row>
    <row r="229" ht="24" customHeight="1" s="69">
      <c r="A229" s="77" t="inlineStr">
        <is>
          <t>DTHW</t>
        </is>
      </c>
      <c r="B229" s="76" t="n">
        <v>92</v>
      </c>
      <c r="C229" s="76" t="n"/>
      <c r="D229" s="76" t="inlineStr">
        <is>
          <t>BE</t>
        </is>
      </c>
      <c r="E229" s="76" t="n"/>
      <c r="F229" s="76" t="inlineStr">
        <is>
          <t>EuroBank COMP LEASE/28</t>
        </is>
      </c>
      <c r="G229" s="76" t="inlineStr">
        <is>
          <t>Leasing 15" en 18" NEC TFT screens 100-202-50</t>
        </is>
      </c>
      <c r="H229" s="84" t="n">
        <v>38960</v>
      </c>
      <c r="I229" s="90" t="n">
        <v>3929.83333333333</v>
      </c>
      <c r="J229" s="86" t="n">
        <v>1</v>
      </c>
      <c r="K229" s="76" t="n"/>
      <c r="L229" s="76" t="inlineStr">
        <is>
          <t>domiciliation bancaire</t>
        </is>
      </c>
      <c r="M229" s="76" t="n"/>
      <c r="N229" s="76" t="n"/>
      <c r="O229" s="76" t="inlineStr">
        <is>
          <t>C.BE.190</t>
        </is>
      </c>
      <c r="P229" s="76" t="inlineStr">
        <is>
          <t>Terminate</t>
        </is>
      </c>
      <c r="Q229" s="76" t="inlineStr">
        <is>
          <t>at expiry</t>
        </is>
      </c>
      <c r="R229" s="76" t="inlineStr">
        <is>
          <t>Vendor Gamma</t>
        </is>
      </c>
      <c r="S229" s="87" t="n"/>
    </row>
    <row r="230" ht="24" customHeight="1" s="69">
      <c r="A230" s="77" t="inlineStr">
        <is>
          <t>Voice</t>
        </is>
      </c>
      <c r="B230" s="76" t="n">
        <v>5288</v>
      </c>
      <c r="C230" s="76" t="n"/>
      <c r="D230" s="76" t="inlineStr">
        <is>
          <t>BE</t>
        </is>
      </c>
      <c r="E230" s="76" t="n"/>
      <c r="F230" s="76" t="inlineStr">
        <is>
          <t>EuroBank COMP LEASE/3</t>
        </is>
      </c>
      <c r="G230" s="76" t="inlineStr">
        <is>
          <t>Leasing mobile phone (includes helpdesk services) lot 100-202-31</t>
        </is>
      </c>
      <c r="H230" s="84" t="n">
        <v>38717</v>
      </c>
      <c r="I230" s="90" t="n">
        <v>68.54000000000001</v>
      </c>
      <c r="J230" s="86" t="n">
        <v>1</v>
      </c>
      <c r="K230" s="76" t="n"/>
      <c r="L230" s="76" t="inlineStr">
        <is>
          <t>30 days end of month</t>
        </is>
      </c>
      <c r="M230" s="76" t="n"/>
      <c r="N230" s="76" t="n"/>
      <c r="O230" s="76" t="inlineStr">
        <is>
          <t>C.BE.192</t>
        </is>
      </c>
      <c r="P230" s="76" t="inlineStr">
        <is>
          <t>Novate</t>
        </is>
      </c>
      <c r="Q230" s="76" t="n"/>
      <c r="R230" s="76" t="inlineStr">
        <is>
          <t>TelCo</t>
        </is>
      </c>
      <c r="S230" s="87" t="n"/>
      <c r="T230" s="77" t="n"/>
    </row>
    <row r="231" ht="24" customHeight="1" s="69">
      <c r="A231" s="77" t="inlineStr">
        <is>
          <t>Server</t>
        </is>
      </c>
      <c r="B231" s="76" t="n">
        <v>1329</v>
      </c>
      <c r="C231" s="76" t="n"/>
      <c r="D231" s="76" t="inlineStr">
        <is>
          <t>BE</t>
        </is>
      </c>
      <c r="E231" s="76" t="n"/>
      <c r="F231" s="76" t="inlineStr">
        <is>
          <t>EuroBank COMP LEASE/44</t>
        </is>
      </c>
      <c r="G231" s="76" t="inlineStr">
        <is>
          <t>Lease HP Proliant (935,030,01763,76)  100-202-67</t>
        </is>
      </c>
      <c r="H231" s="84" t="n">
        <v>39021</v>
      </c>
      <c r="I231" s="90" t="n">
        <v>3140.28</v>
      </c>
      <c r="J231" s="86" t="n">
        <v>0.66</v>
      </c>
      <c r="K231" s="76" t="n"/>
      <c r="L231" s="76" t="inlineStr">
        <is>
          <t>30 days end of month</t>
        </is>
      </c>
      <c r="M231" s="76" t="n"/>
      <c r="N231" s="76" t="n"/>
      <c r="O231" s="76" t="inlineStr">
        <is>
          <t>C.BE.195</t>
        </is>
      </c>
      <c r="P231" s="76" t="inlineStr">
        <is>
          <t>Terminate</t>
        </is>
      </c>
      <c r="Q231" s="76" t="inlineStr">
        <is>
          <t>at expiry</t>
        </is>
      </c>
      <c r="R231" s="76" t="inlineStr">
        <is>
          <t>VendorA</t>
        </is>
      </c>
      <c r="S231" s="87" t="n"/>
    </row>
    <row r="232" ht="24" customHeight="1" s="69">
      <c r="A232" s="77" t="inlineStr">
        <is>
          <t>DTHW</t>
        </is>
      </c>
      <c r="B232" s="76" t="n">
        <v>7742</v>
      </c>
      <c r="C232" s="76" t="n"/>
      <c r="D232" s="76" t="inlineStr">
        <is>
          <t>BE</t>
        </is>
      </c>
      <c r="E232" s="76" t="n"/>
      <c r="F232" s="76" t="inlineStr">
        <is>
          <t>EuroBank COMP LEASE/5</t>
        </is>
      </c>
      <c r="G232" s="76" t="inlineStr">
        <is>
          <t>PC HP Vectra Evo D510 100-202-22</t>
        </is>
      </c>
      <c r="H232" s="84" t="n">
        <v>38717</v>
      </c>
      <c r="I232" s="90" t="n">
        <v>7.16</v>
      </c>
      <c r="J232" s="86" t="n">
        <v>1</v>
      </c>
      <c r="K232" s="76" t="n"/>
      <c r="L232" s="76" t="inlineStr">
        <is>
          <t>30 days invoice date</t>
        </is>
      </c>
      <c r="M232" s="76" t="n"/>
      <c r="N232" s="76" t="n"/>
      <c r="O232" s="76" t="inlineStr">
        <is>
          <t>C.BE.199</t>
        </is>
      </c>
      <c r="P232" s="76" t="inlineStr">
        <is>
          <t>Terminate</t>
        </is>
      </c>
      <c r="Q232" s="76" t="inlineStr">
        <is>
          <t>at expiry</t>
        </is>
      </c>
      <c r="R232" s="76" t="inlineStr">
        <is>
          <t>Vendor Gamma</t>
        </is>
      </c>
      <c r="S232" s="87" t="n"/>
    </row>
    <row r="233" ht="24" customHeight="1" s="69">
      <c r="A233" s="77" t="inlineStr">
        <is>
          <t>DTHW</t>
        </is>
      </c>
      <c r="B233" s="76" t="n">
        <v>1567</v>
      </c>
      <c r="C233" s="76" t="n"/>
      <c r="D233" s="76" t="inlineStr">
        <is>
          <t>BE</t>
        </is>
      </c>
      <c r="E233" s="76" t="n"/>
      <c r="F233" s="76" t="inlineStr">
        <is>
          <t>EuroBank COMP LEASE/51</t>
        </is>
      </c>
      <c r="G233" s="76" t="inlineStr">
        <is>
          <t>Desktop D530 - CEDS configuratie Eizo 15" TFT L367  100-202-88</t>
        </is>
      </c>
      <c r="H233" s="84" t="n">
        <v>39082</v>
      </c>
      <c r="I233" s="90" t="n">
        <v>7208</v>
      </c>
      <c r="J233" s="86" t="n">
        <v>1</v>
      </c>
      <c r="K233" s="76" t="n"/>
      <c r="L233" s="76" t="inlineStr">
        <is>
          <t>30 days invoice date</t>
        </is>
      </c>
      <c r="M233" s="76" t="n"/>
      <c r="N233" s="76" t="n"/>
      <c r="O233" s="76" t="inlineStr">
        <is>
          <t>C.BE.201</t>
        </is>
      </c>
      <c r="P233" s="76" t="inlineStr">
        <is>
          <t>Terminate</t>
        </is>
      </c>
      <c r="Q233" s="76" t="inlineStr">
        <is>
          <t>at expiry</t>
        </is>
      </c>
      <c r="R233" s="76" t="inlineStr">
        <is>
          <t>Vendor Gamma</t>
        </is>
      </c>
      <c r="S233" s="87" t="n"/>
    </row>
    <row r="234" ht="24" customHeight="1" s="69">
      <c r="A234" s="77" t="inlineStr">
        <is>
          <t>Voice</t>
        </is>
      </c>
      <c r="B234" s="76" t="n">
        <v>1948</v>
      </c>
      <c r="C234" s="76" t="n"/>
      <c r="D234" s="76" t="inlineStr">
        <is>
          <t>BE</t>
        </is>
      </c>
      <c r="E234" s="76" t="n"/>
      <c r="F234" s="76" t="inlineStr">
        <is>
          <t>EuroBank COMP LEASE/54</t>
        </is>
      </c>
      <c r="G234" s="76" t="inlineStr">
        <is>
          <t>Lease 13 x PBX BP32 Ericsson  100-202-82</t>
        </is>
      </c>
      <c r="H234" s="84" t="n">
        <v>39082</v>
      </c>
      <c r="I234" s="90" t="n">
        <v>1227</v>
      </c>
      <c r="J234" s="86" t="n">
        <v>1</v>
      </c>
      <c r="K234" s="76" t="n"/>
      <c r="L234" s="76" t="inlineStr">
        <is>
          <t>30 days end of month</t>
        </is>
      </c>
      <c r="M234" s="76" t="n"/>
      <c r="N234" s="76" t="n"/>
      <c r="O234" s="76" t="inlineStr">
        <is>
          <t>C.BE.203</t>
        </is>
      </c>
      <c r="P234" s="76" t="inlineStr">
        <is>
          <t>Novate</t>
        </is>
      </c>
      <c r="Q234" s="76" t="n"/>
      <c r="R234" s="76" t="inlineStr">
        <is>
          <t>TelCo</t>
        </is>
      </c>
      <c r="S234" s="87" t="n"/>
      <c r="T234" s="77" t="n"/>
    </row>
    <row r="235" ht="48" customHeight="1" s="69">
      <c r="A235" s="77" t="inlineStr">
        <is>
          <t>DTHW</t>
        </is>
      </c>
      <c r="B235" s="76" t="n">
        <v>7689</v>
      </c>
      <c r="C235" s="76" t="n"/>
      <c r="D235" s="76" t="inlineStr">
        <is>
          <t>BE</t>
        </is>
      </c>
      <c r="E235" s="76" t="n"/>
      <c r="F235" s="76" t="inlineStr">
        <is>
          <t>EuroBank COMP LEASE/55</t>
        </is>
      </c>
      <c r="G235" s="76" t="inlineStr">
        <is>
          <t>Notebook-Card Readers-Stop Labels-Floppy drives-cable for FDD 100-202-68</t>
        </is>
      </c>
      <c r="H235" s="84" t="n">
        <v>39051</v>
      </c>
      <c r="I235" s="90" t="n">
        <v>5365</v>
      </c>
      <c r="J235" s="86" t="n">
        <v>1</v>
      </c>
      <c r="K235" s="76" t="n"/>
      <c r="L235" s="76" t="inlineStr">
        <is>
          <t>30 days end of monht</t>
        </is>
      </c>
      <c r="M235" s="76" t="n"/>
      <c r="N235" s="76" t="n"/>
      <c r="O235" s="76" t="inlineStr">
        <is>
          <t>C.BE.204</t>
        </is>
      </c>
      <c r="P235" s="76" t="inlineStr">
        <is>
          <t>Terminate</t>
        </is>
      </c>
      <c r="Q235" s="76" t="inlineStr">
        <is>
          <t>at expiry</t>
        </is>
      </c>
      <c r="R235" s="76" t="inlineStr">
        <is>
          <t>Vendor Gamma</t>
        </is>
      </c>
      <c r="S235" s="87" t="n"/>
    </row>
    <row r="236" ht="24" customHeight="1" s="69">
      <c r="A236" s="77" t="inlineStr">
        <is>
          <t>Server</t>
        </is>
      </c>
      <c r="B236" s="76" t="n">
        <v>866</v>
      </c>
      <c r="C236" s="76" t="n"/>
      <c r="D236" s="76" t="inlineStr">
        <is>
          <t>BE</t>
        </is>
      </c>
      <c r="E236" s="76" t="n"/>
      <c r="F236" s="76" t="inlineStr">
        <is>
          <t>EuroBank COMP LEASE/56</t>
        </is>
      </c>
      <c r="G236" s="76" t="inlineStr">
        <is>
          <t>Lease HP-Proliant  100-202-71</t>
        </is>
      </c>
      <c r="H236" s="84" t="n">
        <v>39051</v>
      </c>
      <c r="I236" s="90" t="n">
        <v>6671.28</v>
      </c>
      <c r="J236" s="86" t="n">
        <v>0.66</v>
      </c>
      <c r="K236" s="76" t="n"/>
      <c r="L236" s="76" t="inlineStr">
        <is>
          <t>30 days end of month</t>
        </is>
      </c>
      <c r="M236" s="76" t="n"/>
      <c r="N236" s="76" t="n"/>
      <c r="O236" s="76" t="inlineStr">
        <is>
          <t>C.BE.206</t>
        </is>
      </c>
      <c r="P236" s="76" t="inlineStr">
        <is>
          <t>Terminate</t>
        </is>
      </c>
      <c r="Q236" s="76" t="inlineStr">
        <is>
          <t>at expiry</t>
        </is>
      </c>
      <c r="R236" s="76" t="inlineStr">
        <is>
          <t>VendorA</t>
        </is>
      </c>
      <c r="S236" s="87" t="n"/>
    </row>
    <row r="237" ht="24" customHeight="1" s="69">
      <c r="A237" s="77" t="inlineStr">
        <is>
          <t>DTHW</t>
        </is>
      </c>
      <c r="B237" s="76" t="n">
        <v>6117</v>
      </c>
      <c r="C237" s="76" t="n"/>
      <c r="D237" s="76" t="inlineStr">
        <is>
          <t>BE</t>
        </is>
      </c>
      <c r="E237" s="76" t="n"/>
      <c r="F237" s="76" t="inlineStr">
        <is>
          <t>EuroBank COMP LEASE/58</t>
        </is>
      </c>
      <c r="G237" s="76" t="inlineStr">
        <is>
          <t>31  Flat Screens NEC 18" TFT 1880SX+ 150 1802 P4  100-202-74</t>
        </is>
      </c>
      <c r="H237" s="84" t="n">
        <v>39051</v>
      </c>
      <c r="I237" s="90" t="n">
        <v>2305</v>
      </c>
      <c r="J237" s="86" t="n">
        <v>1</v>
      </c>
      <c r="K237" s="76" t="n"/>
      <c r="L237" s="76" t="inlineStr">
        <is>
          <t>30 days end of month</t>
        </is>
      </c>
      <c r="M237" s="76" t="n"/>
      <c r="N237" s="76" t="n"/>
      <c r="O237" s="76" t="inlineStr">
        <is>
          <t>C.BE.208</t>
        </is>
      </c>
      <c r="P237" s="76" t="inlineStr">
        <is>
          <t>Terminate</t>
        </is>
      </c>
      <c r="Q237" s="76" t="inlineStr">
        <is>
          <t>at expiry</t>
        </is>
      </c>
      <c r="R237" s="76" t="inlineStr">
        <is>
          <t>Vendor Gamma</t>
        </is>
      </c>
      <c r="S237" s="87" t="n"/>
    </row>
    <row r="238" ht="24" customHeight="1" s="69">
      <c r="A238" s="77" t="inlineStr">
        <is>
          <t>DTHW</t>
        </is>
      </c>
      <c r="B238" s="76" t="n">
        <v>6785</v>
      </c>
      <c r="C238" s="76" t="n"/>
      <c r="D238" s="76" t="inlineStr">
        <is>
          <t>BE</t>
        </is>
      </c>
      <c r="E238" s="76" t="n"/>
      <c r="F238" s="76" t="inlineStr">
        <is>
          <t>EuroBank COMP LEASE/6</t>
        </is>
      </c>
      <c r="G238" s="76" t="inlineStr">
        <is>
          <t>Portable PC HP OB500 - PC Equipment  100-202-23</t>
        </is>
      </c>
      <c r="H238" s="84" t="n">
        <v>38717</v>
      </c>
      <c r="I238" s="90" t="n">
        <v>33.07</v>
      </c>
      <c r="J238" s="86" t="n">
        <v>1</v>
      </c>
      <c r="K238" s="76" t="n"/>
      <c r="L238" s="76" t="inlineStr">
        <is>
          <t>30 days invoice date</t>
        </is>
      </c>
      <c r="M238" s="76" t="n"/>
      <c r="N238" s="76" t="n"/>
      <c r="O238" s="76" t="inlineStr">
        <is>
          <t>C.BE.210</t>
        </is>
      </c>
      <c r="P238" s="76" t="inlineStr">
        <is>
          <t>Terminate</t>
        </is>
      </c>
      <c r="Q238" s="76" t="inlineStr">
        <is>
          <t>at expiry</t>
        </is>
      </c>
      <c r="R238" s="76" t="inlineStr">
        <is>
          <t>Vendor Gamma</t>
        </is>
      </c>
      <c r="S238" s="87" t="n"/>
    </row>
    <row r="239" ht="24" customHeight="1" s="69">
      <c r="A239" s="77" t="inlineStr">
        <is>
          <t>DTHW</t>
        </is>
      </c>
      <c r="B239" s="76" t="n">
        <v>1715</v>
      </c>
      <c r="C239" s="76" t="n"/>
      <c r="D239" s="76" t="inlineStr">
        <is>
          <t>BE</t>
        </is>
      </c>
      <c r="E239" s="76" t="n"/>
      <c r="F239" s="76" t="inlineStr">
        <is>
          <t>EuroBank COMP LEASE/63</t>
        </is>
      </c>
      <c r="G239" s="76" t="inlineStr">
        <is>
          <t>Divers materiaal (zie bijlage)  100-202-33</t>
        </is>
      </c>
      <c r="H239" s="84" t="n">
        <v>39355</v>
      </c>
      <c r="I239" s="90" t="n">
        <v>479</v>
      </c>
      <c r="J239" s="86" t="n">
        <v>1</v>
      </c>
      <c r="K239" s="76" t="n"/>
      <c r="L239" s="76" t="inlineStr">
        <is>
          <t>30 days end of month</t>
        </is>
      </c>
      <c r="M239" s="76" t="n"/>
      <c r="N239" s="76" t="n"/>
      <c r="O239" s="76" t="inlineStr">
        <is>
          <t>C.BE.213</t>
        </is>
      </c>
      <c r="P239" s="76" t="inlineStr">
        <is>
          <t>Terminate</t>
        </is>
      </c>
      <c r="Q239" s="76" t="inlineStr">
        <is>
          <t>at expiry</t>
        </is>
      </c>
      <c r="R239" s="76" t="inlineStr">
        <is>
          <t>Vendor Gamma</t>
        </is>
      </c>
      <c r="S239" s="87" t="n"/>
    </row>
    <row r="240" ht="24" customHeight="1" s="69">
      <c r="A240" s="77" t="inlineStr">
        <is>
          <t>Server</t>
        </is>
      </c>
      <c r="B240" s="76" t="n">
        <v>2039</v>
      </c>
      <c r="C240" s="76" t="n"/>
      <c r="D240" s="76" t="inlineStr">
        <is>
          <t>BE</t>
        </is>
      </c>
      <c r="E240" s="76" t="n"/>
      <c r="F240" s="76" t="inlineStr">
        <is>
          <t>EuroBank COMP LEASE/66</t>
        </is>
      </c>
      <c r="G240" s="76" t="inlineStr">
        <is>
          <t>Lease HP Proliant   100-202-94</t>
        </is>
      </c>
      <c r="H240" s="84" t="n">
        <v>39113</v>
      </c>
      <c r="I240" s="90" t="n">
        <v>1514.7</v>
      </c>
      <c r="J240" s="86" t="n">
        <v>0.66</v>
      </c>
      <c r="K240" s="76" t="n"/>
      <c r="L240" s="76" t="inlineStr">
        <is>
          <t>30 days end of month</t>
        </is>
      </c>
      <c r="M240" s="76" t="n"/>
      <c r="N240" s="76" t="n"/>
      <c r="O240" s="76" t="inlineStr">
        <is>
          <t>C.BE.215</t>
        </is>
      </c>
      <c r="P240" s="76" t="inlineStr">
        <is>
          <t>Terminate</t>
        </is>
      </c>
      <c r="Q240" s="76" t="inlineStr">
        <is>
          <t>at expiry</t>
        </is>
      </c>
      <c r="R240" s="76" t="inlineStr">
        <is>
          <t>VendorA</t>
        </is>
      </c>
      <c r="S240" s="87" t="n"/>
    </row>
    <row r="241" ht="48.6" customHeight="1" s="69">
      <c r="A241" s="77" t="inlineStr">
        <is>
          <t>DTHW</t>
        </is>
      </c>
      <c r="B241" s="76" t="n">
        <v>1934</v>
      </c>
      <c r="C241" s="76" t="n"/>
      <c r="D241" s="76" t="inlineStr">
        <is>
          <t>BE</t>
        </is>
      </c>
      <c r="E241" s="76" t="n"/>
      <c r="F241" s="76" t="inlineStr">
        <is>
          <t>EuroBank COMP LEASE/7</t>
        </is>
      </c>
      <c r="G241" s="76" t="inlineStr">
        <is>
          <t>PC HP Vectra Evo D510,PC HP Vectra VL420,PC HP Omnibook 6000   100-202-28</t>
        </is>
      </c>
      <c r="H241" s="84" t="n">
        <v>38838</v>
      </c>
      <c r="I241" s="90" t="n">
        <v>58100.9166666667</v>
      </c>
      <c r="J241" s="86" t="n">
        <v>1</v>
      </c>
      <c r="K241" s="76" t="n"/>
      <c r="L241" s="76" t="inlineStr">
        <is>
          <t>30 days invoice date</t>
        </is>
      </c>
      <c r="M241" s="76" t="n"/>
      <c r="N241" s="76" t="n"/>
      <c r="O241" s="76" t="inlineStr">
        <is>
          <t>C.BE.217</t>
        </is>
      </c>
      <c r="P241" s="76" t="inlineStr">
        <is>
          <t>Terminate</t>
        </is>
      </c>
      <c r="Q241" s="76" t="inlineStr">
        <is>
          <t>at expiry</t>
        </is>
      </c>
      <c r="R241" s="76" t="inlineStr">
        <is>
          <t>Vendor Gamma</t>
        </is>
      </c>
      <c r="S241" s="87" t="n"/>
    </row>
    <row r="242" ht="24" customHeight="1" s="69">
      <c r="A242" s="77" t="inlineStr">
        <is>
          <t>Voice</t>
        </is>
      </c>
      <c r="B242" s="76" t="n">
        <v>2148</v>
      </c>
      <c r="C242" s="76" t="n"/>
      <c r="D242" s="76" t="inlineStr">
        <is>
          <t>BE</t>
        </is>
      </c>
      <c r="E242" s="76" t="n"/>
      <c r="F242" s="76" t="inlineStr">
        <is>
          <t>EuroBank COMP LEASE/70</t>
        </is>
      </c>
      <c r="G242" s="76" t="inlineStr">
        <is>
          <t>Leasing mobile phones + management + helpdesk  100-202-83</t>
        </is>
      </c>
      <c r="H242" s="84" t="n">
        <v>39082</v>
      </c>
      <c r="I242" s="90" t="n">
        <v>7189</v>
      </c>
      <c r="J242" s="86" t="n">
        <v>1</v>
      </c>
      <c r="K242" s="76" t="n"/>
      <c r="L242" s="76" t="inlineStr">
        <is>
          <t>30 days end of month</t>
        </is>
      </c>
      <c r="M242" s="76" t="n"/>
      <c r="N242" s="76" t="n"/>
      <c r="O242" s="76" t="inlineStr">
        <is>
          <t>C.BE.218</t>
        </is>
      </c>
      <c r="P242" s="76" t="inlineStr">
        <is>
          <t>Novate</t>
        </is>
      </c>
      <c r="Q242" s="76" t="n"/>
      <c r="R242" s="76" t="inlineStr">
        <is>
          <t>TelCo</t>
        </is>
      </c>
      <c r="S242" s="87" t="n"/>
      <c r="T242" s="77" t="n"/>
    </row>
    <row r="243" ht="24" customHeight="1" s="69">
      <c r="A243" s="77" t="inlineStr">
        <is>
          <t>Server</t>
        </is>
      </c>
      <c r="B243" s="76" t="n">
        <v>6796</v>
      </c>
      <c r="C243" s="76" t="n"/>
      <c r="D243" s="76" t="inlineStr">
        <is>
          <t>BE</t>
        </is>
      </c>
      <c r="E243" s="76" t="n"/>
      <c r="F243" s="76" t="inlineStr">
        <is>
          <t>EuroBank COMP LEASE/76</t>
        </is>
      </c>
      <c r="G243" s="76" t="inlineStr">
        <is>
          <t>Lease HP Proliant   100-202-85</t>
        </is>
      </c>
      <c r="H243" s="84" t="n">
        <v>39082</v>
      </c>
      <c r="I243" s="90" t="n">
        <v>5189.58</v>
      </c>
      <c r="J243" s="86" t="n">
        <v>0.66</v>
      </c>
      <c r="K243" s="76" t="n"/>
      <c r="L243" s="76" t="inlineStr">
        <is>
          <t>30 days end of month</t>
        </is>
      </c>
      <c r="M243" s="76" t="n"/>
      <c r="N243" s="76" t="n"/>
      <c r="O243" s="76" t="inlineStr">
        <is>
          <t>C.BE.221</t>
        </is>
      </c>
      <c r="P243" s="76" t="inlineStr">
        <is>
          <t>Terminate</t>
        </is>
      </c>
      <c r="Q243" s="76" t="inlineStr">
        <is>
          <t>at expiry</t>
        </is>
      </c>
      <c r="R243" s="76" t="inlineStr">
        <is>
          <t>VendorA</t>
        </is>
      </c>
      <c r="S243" s="87" t="n"/>
    </row>
    <row r="244" ht="24" customHeight="1" s="69">
      <c r="A244" s="77" t="inlineStr">
        <is>
          <t>DTHW</t>
        </is>
      </c>
      <c r="B244" s="76" t="n">
        <v>772</v>
      </c>
      <c r="C244" s="76" t="n"/>
      <c r="D244" s="76" t="inlineStr">
        <is>
          <t>BE</t>
        </is>
      </c>
      <c r="E244" s="76" t="n"/>
      <c r="F244" s="76" t="inlineStr">
        <is>
          <t>EuroBank COMP LEASE/77</t>
        </is>
      </c>
      <c r="G244" s="76" t="inlineStr">
        <is>
          <t>Screen 18" Philips   104-201-02</t>
        </is>
      </c>
      <c r="H244" s="84" t="n">
        <v>39172</v>
      </c>
      <c r="I244" s="90" t="n">
        <v>2143</v>
      </c>
      <c r="J244" s="86" t="n">
        <v>1</v>
      </c>
      <c r="K244" s="76" t="n"/>
      <c r="L244" s="76" t="inlineStr">
        <is>
          <t>3 months</t>
        </is>
      </c>
      <c r="M244" s="76" t="n"/>
      <c r="N244" s="76" t="n"/>
      <c r="O244" s="76" t="inlineStr">
        <is>
          <t>C.BE.222</t>
        </is>
      </c>
      <c r="P244" s="76" t="inlineStr">
        <is>
          <t>Terminate</t>
        </is>
      </c>
      <c r="Q244" s="76" t="inlineStr">
        <is>
          <t>at expiry</t>
        </is>
      </c>
      <c r="R244" s="76" t="inlineStr">
        <is>
          <t>Vendor Gamma</t>
        </is>
      </c>
      <c r="S244" s="87" t="n"/>
    </row>
    <row r="245" ht="24" customHeight="1" s="69">
      <c r="A245" s="77" t="inlineStr">
        <is>
          <t>DTHW</t>
        </is>
      </c>
      <c r="B245" s="76" t="n">
        <v>5959</v>
      </c>
      <c r="C245" s="76" t="n"/>
      <c r="D245" s="76" t="inlineStr">
        <is>
          <t>BE</t>
        </is>
      </c>
      <c r="E245" s="76" t="n"/>
      <c r="F245" s="76" t="inlineStr">
        <is>
          <t>EuroBank COMP LEASE/83</t>
        </is>
      </c>
      <c r="G245" s="76" t="inlineStr">
        <is>
          <t>120 PC P4 numéro OPG RMVY 120718 version 8   104-201-05</t>
        </is>
      </c>
      <c r="H245" s="84" t="n">
        <v>39202</v>
      </c>
      <c r="I245" s="90" t="n">
        <v>1892</v>
      </c>
      <c r="J245" s="86" t="n">
        <v>1</v>
      </c>
      <c r="K245" s="76" t="n"/>
      <c r="L245" s="76" t="inlineStr">
        <is>
          <t>net on receipt invoice</t>
        </is>
      </c>
      <c r="M245" s="76" t="n"/>
      <c r="N245" s="76" t="n"/>
      <c r="O245" s="76" t="inlineStr">
        <is>
          <t>C.BE.225</t>
        </is>
      </c>
      <c r="P245" s="76" t="inlineStr">
        <is>
          <t>Terminate</t>
        </is>
      </c>
      <c r="Q245" s="76" t="inlineStr">
        <is>
          <t>at expiry</t>
        </is>
      </c>
      <c r="R245" s="76" t="inlineStr">
        <is>
          <t>Vendor Gamma</t>
        </is>
      </c>
      <c r="S245" s="87" t="n"/>
    </row>
    <row r="246" ht="24" customHeight="1" s="69">
      <c r="A246" s="77" t="inlineStr">
        <is>
          <t>DTHW</t>
        </is>
      </c>
      <c r="B246" s="76" t="n">
        <v>2771</v>
      </c>
      <c r="C246" s="76" t="n"/>
      <c r="D246" s="76" t="inlineStr">
        <is>
          <t>BE</t>
        </is>
      </c>
      <c r="E246" s="76" t="n"/>
      <c r="F246" s="76" t="inlineStr">
        <is>
          <t>EuroBank COMP LEASE/89</t>
        </is>
      </c>
      <c r="G246" s="76" t="inlineStr">
        <is>
          <t>Notebook NC6000 conform catalogus 59x    104-201-01</t>
        </is>
      </c>
      <c r="H246" s="84" t="n">
        <v>39172</v>
      </c>
      <c r="I246" s="90" t="n">
        <v>3306</v>
      </c>
      <c r="J246" s="86" t="n">
        <v>1</v>
      </c>
      <c r="K246" s="76" t="n"/>
      <c r="L246" s="76" t="inlineStr">
        <is>
          <t>30 days end of month</t>
        </is>
      </c>
      <c r="M246" s="76" t="n"/>
      <c r="N246" s="76" t="n"/>
      <c r="O246" s="76" t="inlineStr">
        <is>
          <t>C.BE.228</t>
        </is>
      </c>
      <c r="P246" s="76" t="inlineStr">
        <is>
          <t>Terminate</t>
        </is>
      </c>
      <c r="Q246" s="76" t="inlineStr">
        <is>
          <t>at expiry</t>
        </is>
      </c>
      <c r="R246" s="76" t="inlineStr">
        <is>
          <t>Vendor Gamma</t>
        </is>
      </c>
      <c r="S246" s="87" t="n"/>
    </row>
    <row r="247" ht="24" customHeight="1" s="69">
      <c r="A247" s="77" t="inlineStr">
        <is>
          <t>Voice</t>
        </is>
      </c>
      <c r="B247" s="76" t="n">
        <v>2778</v>
      </c>
      <c r="C247" s="76" t="n"/>
      <c r="D247" s="76" t="inlineStr">
        <is>
          <t>BE</t>
        </is>
      </c>
      <c r="E247" s="76" t="n"/>
      <c r="F247" s="76" t="inlineStr">
        <is>
          <t>EuroBank COMP LEASE/9</t>
        </is>
      </c>
      <c r="G247" s="76" t="inlineStr">
        <is>
          <t>Leasing mobile phone (including helpdesk services)    100-202-40</t>
        </is>
      </c>
      <c r="H247" s="84" t="n">
        <v>38929</v>
      </c>
      <c r="I247" s="90" t="n">
        <v>809.958333333333</v>
      </c>
      <c r="J247" s="86" t="n">
        <v>1</v>
      </c>
      <c r="K247" s="76" t="n"/>
      <c r="L247" s="76" t="inlineStr">
        <is>
          <t>domiciliation bancaire</t>
        </is>
      </c>
      <c r="M247" s="76" t="n"/>
      <c r="N247" s="76" t="n"/>
      <c r="O247" s="76" t="inlineStr">
        <is>
          <t>C.BE.229</t>
        </is>
      </c>
      <c r="P247" s="76" t="inlineStr">
        <is>
          <t>Novate</t>
        </is>
      </c>
      <c r="Q247" s="76" t="n"/>
      <c r="R247" s="76" t="inlineStr">
        <is>
          <t>TelCo</t>
        </is>
      </c>
      <c r="S247" s="87" t="n"/>
      <c r="T247" s="77" t="n"/>
    </row>
    <row r="248" ht="24" customHeight="1" s="69">
      <c r="A248" s="77" t="inlineStr">
        <is>
          <t>EUC</t>
        </is>
      </c>
      <c r="B248" s="76" t="n">
        <v>1348</v>
      </c>
      <c r="C248" s="76" t="inlineStr">
        <is>
          <t>0268121483</t>
        </is>
      </c>
      <c r="D248" s="76" t="inlineStr">
        <is>
          <t>BE</t>
        </is>
      </c>
      <c r="E248" s="76" t="n"/>
      <c r="F248" s="76" t="inlineStr">
        <is>
          <t>MICROSOFT/10</t>
        </is>
      </c>
      <c r="G248" s="76" t="inlineStr">
        <is>
          <t>TAM Services - GTAM contribution - Incidents (rkm)</t>
        </is>
      </c>
      <c r="H248" s="84" t="n"/>
      <c r="I248" s="90" t="n">
        <v>11500</v>
      </c>
      <c r="J248" s="86" t="n">
        <v>0.8</v>
      </c>
      <c r="K248" s="76" t="n"/>
      <c r="L248" s="76" t="n"/>
      <c r="M248" s="76" t="n"/>
      <c r="N248" s="76" t="n"/>
      <c r="O248" s="76" t="inlineStr">
        <is>
          <t>C.BE.240</t>
        </is>
      </c>
      <c r="P248" s="76" t="inlineStr">
        <is>
          <t>Retained</t>
        </is>
      </c>
      <c r="Q248" s="76" t="n"/>
      <c r="R248" s="76" t="inlineStr">
        <is>
          <t>VendorA</t>
        </is>
      </c>
      <c r="S248" s="87" t="n"/>
    </row>
    <row r="249" ht="24" customHeight="1" s="69">
      <c r="A249" s="77" t="inlineStr">
        <is>
          <t>DTHW</t>
        </is>
      </c>
      <c r="B249" s="76" t="n">
        <v>7809</v>
      </c>
      <c r="C249" s="76" t="inlineStr">
        <is>
          <t>1992</t>
        </is>
      </c>
      <c r="D249" s="76" t="inlineStr">
        <is>
          <t>BE</t>
        </is>
      </c>
      <c r="E249" s="76" t="n"/>
      <c r="F249" s="76" t="inlineStr">
        <is>
          <t>PHI DATA/4</t>
        </is>
      </c>
      <c r="G249" s="76" t="inlineStr">
        <is>
          <t>Onderhoud 4032 EXS Print System</t>
        </is>
      </c>
      <c r="H249" s="84" t="n"/>
      <c r="I249" s="90" t="n">
        <v>2180.22729166667</v>
      </c>
      <c r="J249" s="86" t="n">
        <v>1</v>
      </c>
      <c r="K249" s="76" t="n"/>
      <c r="L249" s="76" t="n"/>
      <c r="M249" s="76" t="n"/>
      <c r="N249" s="76" t="n"/>
      <c r="O249" s="76" t="inlineStr">
        <is>
          <t>C.BE.247</t>
        </is>
      </c>
      <c r="P249" s="76" t="inlineStr">
        <is>
          <t>Novate</t>
        </is>
      </c>
      <c r="Q249" s="76" t="n"/>
      <c r="R249" s="76" t="inlineStr">
        <is>
          <t>Vendor Gamma</t>
        </is>
      </c>
      <c r="S249" s="87" t="n"/>
    </row>
    <row r="250" ht="24" customHeight="1" s="69">
      <c r="A250" s="77" t="inlineStr">
        <is>
          <t>Voice</t>
        </is>
      </c>
      <c r="B250" s="76" t="n">
        <v>746</v>
      </c>
      <c r="C250" s="76" t="n"/>
      <c r="D250" s="76" t="inlineStr">
        <is>
          <t>BE</t>
        </is>
      </c>
      <c r="E250" s="76" t="n"/>
      <c r="F250" s="76" t="inlineStr">
        <is>
          <t>PROXIMUS/4</t>
        </is>
      </c>
      <c r="G250" s="76" t="inlineStr">
        <is>
          <t>Blackberry</t>
        </is>
      </c>
      <c r="H250" s="84" t="n">
        <v>39401</v>
      </c>
      <c r="I250" s="90" t="n">
        <v>3477.91666666667</v>
      </c>
      <c r="J250" s="86" t="n">
        <v>1</v>
      </c>
      <c r="K250" s="76" t="n"/>
      <c r="L250" s="76" t="inlineStr">
        <is>
          <t>30 days end of month</t>
        </is>
      </c>
      <c r="M250" s="76" t="n"/>
      <c r="N250" s="76" t="n"/>
      <c r="O250" s="76" t="inlineStr">
        <is>
          <t>C.BE.254</t>
        </is>
      </c>
      <c r="P250" s="76" t="inlineStr">
        <is>
          <t>Terminate</t>
        </is>
      </c>
      <c r="Q250" s="76" t="inlineStr">
        <is>
          <t>at expiry</t>
        </is>
      </c>
      <c r="R250" s="76" t="inlineStr">
        <is>
          <t>TelCo</t>
        </is>
      </c>
      <c r="S250" s="108" t="inlineStr">
        <is>
          <t>no charge communications during termination</t>
        </is>
      </c>
      <c r="T250" s="77" t="n"/>
    </row>
    <row r="251" ht="24" customHeight="1" s="69">
      <c r="A251" s="77" t="inlineStr">
        <is>
          <t>DTHW</t>
        </is>
      </c>
      <c r="B251" s="76" t="n">
        <v>5849</v>
      </c>
      <c r="C251" s="76" t="n"/>
      <c r="D251" s="76" t="inlineStr">
        <is>
          <t>BE</t>
        </is>
      </c>
      <c r="E251" s="76" t="n"/>
      <c r="F251" s="76" t="inlineStr">
        <is>
          <t>RANK XEROX/24</t>
        </is>
      </c>
      <c r="G251" s="76" t="inlineStr">
        <is>
          <t>DCCS 50     T2470</t>
        </is>
      </c>
      <c r="H251" s="84" t="n"/>
      <c r="I251" s="90" t="n">
        <v>1794.3625</v>
      </c>
      <c r="J251" s="86" t="n">
        <v>1</v>
      </c>
      <c r="K251" s="76" t="n"/>
      <c r="L251" s="76" t="n"/>
      <c r="M251" s="76" t="n"/>
      <c r="N251" s="76" t="n"/>
      <c r="O251" s="76" t="inlineStr">
        <is>
          <t>C.BE.256</t>
        </is>
      </c>
      <c r="P251" s="76" t="inlineStr">
        <is>
          <t>Retained</t>
        </is>
      </c>
      <c r="Q251" s="76" t="n"/>
      <c r="R251" s="76" t="inlineStr">
        <is>
          <t>Vendor Gamma</t>
        </is>
      </c>
      <c r="S251" s="87" t="n"/>
    </row>
    <row r="252" ht="24" customHeight="1" s="69">
      <c r="A252" s="77" t="inlineStr">
        <is>
          <t>DTHW</t>
        </is>
      </c>
      <c r="B252" s="76" t="n">
        <v>2075</v>
      </c>
      <c r="C252" s="76" t="n"/>
      <c r="D252" s="76" t="inlineStr">
        <is>
          <t>BE</t>
        </is>
      </c>
      <c r="E252" s="76" t="n"/>
      <c r="F252" s="76" t="inlineStr">
        <is>
          <t>RANK XEROX/29</t>
        </is>
      </c>
      <c r="G252" s="76" t="inlineStr">
        <is>
          <t>Renting &amp; Maint &amp; Supplies Xerox 3535TTM</t>
        </is>
      </c>
      <c r="H252" s="84" t="n"/>
      <c r="I252" s="90" t="n">
        <v>1459.325</v>
      </c>
      <c r="J252" s="86" t="n">
        <v>1</v>
      </c>
      <c r="K252" s="76" t="n"/>
      <c r="L252" s="76" t="inlineStr">
        <is>
          <t>30 days end of month</t>
        </is>
      </c>
      <c r="M252" s="76" t="n"/>
      <c r="N252" s="76" t="n"/>
      <c r="O252" s="76" t="inlineStr">
        <is>
          <t>C.BE.258</t>
        </is>
      </c>
      <c r="P252" s="76" t="inlineStr">
        <is>
          <t>Retained</t>
        </is>
      </c>
      <c r="Q252" s="76" t="n"/>
      <c r="R252" s="76" t="inlineStr">
        <is>
          <t>Vendor Gamma</t>
        </is>
      </c>
      <c r="S252" s="87" t="n"/>
    </row>
    <row r="253" ht="24" customHeight="1" s="69">
      <c r="A253" s="77" t="inlineStr">
        <is>
          <t>DTHW</t>
        </is>
      </c>
      <c r="B253" s="76" t="n">
        <v>5397</v>
      </c>
      <c r="C253" s="76" t="inlineStr">
        <is>
          <t>00695V</t>
        </is>
      </c>
      <c r="D253" s="76" t="inlineStr">
        <is>
          <t>BE</t>
        </is>
      </c>
      <c r="E253" s="76" t="n"/>
      <c r="F253" s="76" t="inlineStr">
        <is>
          <t>RICOH/5</t>
        </is>
      </c>
      <c r="G253" s="76" t="inlineStr">
        <is>
          <t>AF6010 - snH1100300156</t>
        </is>
      </c>
      <c r="H253" s="84" t="n"/>
      <c r="I253" s="90" t="n">
        <v>2600</v>
      </c>
      <c r="J253" s="86" t="n">
        <v>1</v>
      </c>
      <c r="K253" s="76" t="n"/>
      <c r="L253" s="76" t="n"/>
      <c r="M253" s="76" t="n"/>
      <c r="N253" s="76" t="n"/>
      <c r="O253" s="76" t="inlineStr">
        <is>
          <t>C.BE.261</t>
        </is>
      </c>
      <c r="P253" s="76" t="inlineStr">
        <is>
          <t>Retained</t>
        </is>
      </c>
      <c r="Q253" s="76" t="n"/>
      <c r="R253" s="76" t="inlineStr">
        <is>
          <t>Vendor Gamma</t>
        </is>
      </c>
      <c r="S253" s="87" t="n"/>
    </row>
    <row r="254" ht="24" customHeight="1" s="69">
      <c r="A254" s="77" t="inlineStr">
        <is>
          <t>DTHW</t>
        </is>
      </c>
      <c r="B254" s="76" t="n">
        <v>2126</v>
      </c>
      <c r="C254" s="76" t="n"/>
      <c r="D254" s="76" t="inlineStr">
        <is>
          <t>BE</t>
        </is>
      </c>
      <c r="E254" s="76" t="n"/>
      <c r="F254" s="76" t="inlineStr">
        <is>
          <t>RICOH/6</t>
        </is>
      </c>
      <c r="G254" s="76" t="inlineStr">
        <is>
          <t>AF6010 - snH1100800107</t>
        </is>
      </c>
      <c r="H254" s="84" t="n"/>
      <c r="I254" s="90" t="n">
        <v>2555</v>
      </c>
      <c r="J254" s="86" t="n">
        <v>1</v>
      </c>
      <c r="K254" s="76" t="n"/>
      <c r="L254" s="76" t="n"/>
      <c r="M254" s="76" t="n"/>
      <c r="N254" s="76" t="n"/>
      <c r="O254" s="76" t="inlineStr">
        <is>
          <t>C.BE.263</t>
        </is>
      </c>
      <c r="P254" s="76" t="inlineStr">
        <is>
          <t>Retained</t>
        </is>
      </c>
      <c r="Q254" s="76" t="n"/>
      <c r="R254" s="76" t="inlineStr">
        <is>
          <t>Vendor Gamma</t>
        </is>
      </c>
      <c r="S254" s="87" t="n"/>
    </row>
    <row r="255" ht="24" customHeight="1" s="69">
      <c r="A255" s="77" t="inlineStr">
        <is>
          <t>DTHW</t>
        </is>
      </c>
      <c r="B255" s="76" t="n">
        <v>2037</v>
      </c>
      <c r="C255" s="76" t="inlineStr">
        <is>
          <t>020379</t>
        </is>
      </c>
      <c r="D255" s="76" t="inlineStr">
        <is>
          <t>BE</t>
        </is>
      </c>
      <c r="E255" s="76" t="n"/>
      <c r="F255" s="76" t="inlineStr">
        <is>
          <t>RICOH/7</t>
        </is>
      </c>
      <c r="G255" s="76" t="inlineStr">
        <is>
          <t>Ricoh colorcopier sn. H6311100517 (6513+DF64+ST33+Fiery)</t>
        </is>
      </c>
      <c r="H255" s="84" t="n"/>
      <c r="I255" s="90" t="n">
        <v>1590.5</v>
      </c>
      <c r="J255" s="86" t="n">
        <v>1</v>
      </c>
      <c r="K255" s="76" t="n"/>
      <c r="L255" s="76" t="n"/>
      <c r="M255" s="76" t="n"/>
      <c r="N255" s="76" t="n"/>
      <c r="O255" s="76" t="inlineStr">
        <is>
          <t>C.BE.265</t>
        </is>
      </c>
      <c r="P255" s="76" t="inlineStr">
        <is>
          <t>Retained</t>
        </is>
      </c>
      <c r="Q255" s="76" t="n"/>
      <c r="R255" s="76" t="inlineStr">
        <is>
          <t>Vendor Gamma</t>
        </is>
      </c>
      <c r="S255" s="87" t="n"/>
    </row>
    <row r="256" ht="48.6" customHeight="1" s="69">
      <c r="A256" s="77" t="inlineStr">
        <is>
          <t>Voice</t>
        </is>
      </c>
      <c r="B256" s="76" t="n">
        <v>1920</v>
      </c>
      <c r="C256" s="76" t="inlineStr">
        <is>
          <t>120063/2</t>
        </is>
      </c>
      <c r="D256" s="76" t="inlineStr">
        <is>
          <t>BE</t>
        </is>
      </c>
      <c r="E256" s="76" t="n"/>
      <c r="F256" s="76" t="inlineStr">
        <is>
          <t>TEIN/12</t>
        </is>
      </c>
      <c r="G256" s="76" t="inlineStr">
        <is>
          <t>Upgrade Mirra Recorder BBL Antwerpen (zie Tein/4) - BB 935.020.00701.54</t>
        </is>
      </c>
      <c r="H256" s="84" t="n"/>
      <c r="I256" s="90" t="n">
        <v>20</v>
      </c>
      <c r="J256" s="92" t="n">
        <v>1</v>
      </c>
      <c r="K256" s="76" t="n"/>
      <c r="L256" s="76" t="inlineStr">
        <is>
          <t>30 days invoice date</t>
        </is>
      </c>
      <c r="M256" s="76" t="n"/>
      <c r="N256" s="76" t="n"/>
      <c r="O256" s="76" t="inlineStr">
        <is>
          <t>C.BE.279</t>
        </is>
      </c>
      <c r="P256" s="76" t="inlineStr">
        <is>
          <t>Novate</t>
        </is>
      </c>
      <c r="Q256" s="76" t="n"/>
      <c r="R256" s="76" t="inlineStr">
        <is>
          <t>TelCo</t>
        </is>
      </c>
      <c r="S256" s="87" t="n">
        <v>20</v>
      </c>
      <c r="T256" s="77" t="n"/>
    </row>
    <row r="257" ht="24" customHeight="1" s="69">
      <c r="A257" s="77" t="inlineStr">
        <is>
          <t>Voice</t>
        </is>
      </c>
      <c r="B257" s="76" t="n">
        <v>2146</v>
      </c>
      <c r="C257" s="76" t="n"/>
      <c r="D257" s="76" t="inlineStr">
        <is>
          <t>BE</t>
        </is>
      </c>
      <c r="E257" s="76" t="n"/>
      <c r="F257" s="76" t="inlineStr">
        <is>
          <t>TEIN/14</t>
        </is>
      </c>
      <c r="G257" s="76" t="inlineStr">
        <is>
          <t>Maintenance Nice Voice  Loggers ICC</t>
        </is>
      </c>
      <c r="H257" s="84" t="n"/>
      <c r="I257" s="90" t="n">
        <v>2761.00333333333</v>
      </c>
      <c r="J257" s="86" t="n">
        <v>1</v>
      </c>
      <c r="K257" s="76" t="n"/>
      <c r="L257" s="76" t="inlineStr">
        <is>
          <t>30 days end of month</t>
        </is>
      </c>
      <c r="M257" s="76" t="n"/>
      <c r="N257" s="76" t="n"/>
      <c r="O257" s="76" t="inlineStr">
        <is>
          <t>C.BE.282</t>
        </is>
      </c>
      <c r="P257" s="76" t="inlineStr">
        <is>
          <t>Novate</t>
        </is>
      </c>
      <c r="Q257" s="76" t="n"/>
      <c r="R257" s="76" t="inlineStr">
        <is>
          <t>TelCo</t>
        </is>
      </c>
      <c r="S257" s="87" t="n">
        <v>2000</v>
      </c>
      <c r="T257" s="77" t="n"/>
    </row>
    <row r="258" ht="48" customHeight="1" s="69">
      <c r="A258" s="77" t="inlineStr">
        <is>
          <t>Voice</t>
        </is>
      </c>
      <c r="B258" s="76" t="n">
        <v>6146</v>
      </c>
      <c r="C258" s="76" t="inlineStr">
        <is>
          <t>120114</t>
        </is>
      </c>
      <c r="D258" s="76" t="inlineStr">
        <is>
          <t>BE</t>
        </is>
      </c>
      <c r="E258" s="76" t="n"/>
      <c r="F258" s="76" t="inlineStr">
        <is>
          <t>TEIN/4</t>
        </is>
      </c>
      <c r="G258" s="76" t="inlineStr">
        <is>
          <t>Onderhoudscontract Racal Recorder Mirra Series 2,8 channel dual deck mainframes ANTWERPEN</t>
        </is>
      </c>
      <c r="H258" s="84" t="n"/>
      <c r="I258" s="90" t="n">
        <v>81</v>
      </c>
      <c r="J258" s="92" t="n">
        <v>1</v>
      </c>
      <c r="K258" s="76" t="n"/>
      <c r="L258" s="76" t="n"/>
      <c r="M258" s="76" t="n"/>
      <c r="N258" s="76" t="n"/>
      <c r="O258" s="76" t="inlineStr">
        <is>
          <t>C.BE.283</t>
        </is>
      </c>
      <c r="P258" s="76" t="inlineStr">
        <is>
          <t>Novate</t>
        </is>
      </c>
      <c r="Q258" s="76" t="n"/>
      <c r="R258" s="76" t="inlineStr">
        <is>
          <t>TelCo</t>
        </is>
      </c>
      <c r="S258" s="87" t="n">
        <v>81</v>
      </c>
      <c r="T258" s="77" t="n"/>
    </row>
    <row r="259" ht="24" customHeight="1" s="69">
      <c r="A259" s="77" t="inlineStr">
        <is>
          <t>Voice</t>
        </is>
      </c>
      <c r="B259" s="76" t="n">
        <v>918</v>
      </c>
      <c r="C259" s="76" t="n"/>
      <c r="D259" s="76" t="inlineStr">
        <is>
          <t>BE</t>
        </is>
      </c>
      <c r="E259" s="76" t="n"/>
      <c r="F259" s="76" t="inlineStr">
        <is>
          <t>TELINDUS/12</t>
        </is>
      </c>
      <c r="G259" s="76" t="inlineStr">
        <is>
          <t>Maintenance on Avaya platform</t>
        </is>
      </c>
      <c r="H259" s="84" t="n">
        <v>39447</v>
      </c>
      <c r="I259" s="90" t="n">
        <v>1938</v>
      </c>
      <c r="J259" s="92" t="n">
        <v>1</v>
      </c>
      <c r="K259" s="76" t="n"/>
      <c r="L259" s="76" t="inlineStr">
        <is>
          <t>30 days end of month</t>
        </is>
      </c>
      <c r="M259" s="76" t="n"/>
      <c r="N259" s="76" t="n"/>
      <c r="O259" s="76" t="inlineStr">
        <is>
          <t>C.BE.285</t>
        </is>
      </c>
      <c r="P259" s="76" t="inlineStr">
        <is>
          <t>Novate</t>
        </is>
      </c>
      <c r="Q259" s="76" t="n"/>
      <c r="R259" s="76" t="inlineStr">
        <is>
          <t>TelCo</t>
        </is>
      </c>
      <c r="S259" s="87" t="n">
        <v>1500</v>
      </c>
      <c r="T259" s="77" t="n"/>
    </row>
    <row r="260" ht="24" customHeight="1" s="69">
      <c r="A260" s="77" t="inlineStr">
        <is>
          <t>Voice</t>
        </is>
      </c>
      <c r="B260" s="76" t="n">
        <v>1908</v>
      </c>
      <c r="C260" s="76" t="n"/>
      <c r="D260" s="76" t="inlineStr">
        <is>
          <t>BE</t>
        </is>
      </c>
      <c r="E260" s="76" t="n"/>
      <c r="F260" s="76" t="inlineStr">
        <is>
          <t>DATAPOINT/20</t>
        </is>
      </c>
      <c r="G260" s="76" t="inlineStr">
        <is>
          <t>ex-ICC - contract 62.980/0 (62911T-62913T)</t>
        </is>
      </c>
      <c r="H260" s="84" t="n"/>
      <c r="I260" s="90" t="n">
        <v>380.32</v>
      </c>
      <c r="J260" s="86" t="n">
        <v>1</v>
      </c>
      <c r="K260" s="76" t="n"/>
      <c r="L260" s="76" t="n"/>
      <c r="M260" s="76" t="n"/>
      <c r="N260" s="76" t="n"/>
      <c r="O260" s="76" t="inlineStr">
        <is>
          <t>C.BE.322</t>
        </is>
      </c>
      <c r="P260" s="76" t="inlineStr">
        <is>
          <t>Terminate</t>
        </is>
      </c>
      <c r="Q260" s="76" t="inlineStr">
        <is>
          <t>at expiry</t>
        </is>
      </c>
      <c r="R260" s="76" t="inlineStr">
        <is>
          <t>TelCo</t>
        </is>
      </c>
      <c r="S260" s="87" t="n"/>
      <c r="T260" s="77" t="n"/>
    </row>
    <row r="261" ht="24" customHeight="1" s="69">
      <c r="A261" s="77" t="inlineStr">
        <is>
          <t>Voice</t>
        </is>
      </c>
      <c r="B261" s="76" t="n">
        <v>1374</v>
      </c>
      <c r="C261" s="76" t="n"/>
      <c r="D261" s="76" t="inlineStr">
        <is>
          <t>BE</t>
        </is>
      </c>
      <c r="E261" s="76" t="n"/>
      <c r="F261" s="76" t="inlineStr">
        <is>
          <t>JNV</t>
        </is>
      </c>
      <c r="G261" s="76" t="inlineStr">
        <is>
          <t>Mainenance video conference apparatuur te Brussel</t>
        </is>
      </c>
      <c r="H261" s="84" t="n"/>
      <c r="I261" s="90" t="n">
        <v>110</v>
      </c>
      <c r="J261" s="92" t="n">
        <v>1</v>
      </c>
      <c r="K261" s="76" t="n"/>
      <c r="L261" s="76" t="n"/>
      <c r="M261" s="76" t="n"/>
      <c r="N261" s="76" t="n"/>
      <c r="O261" s="76" t="inlineStr">
        <is>
          <t>C.BE.323</t>
        </is>
      </c>
      <c r="P261" s="76" t="inlineStr">
        <is>
          <t>Novate</t>
        </is>
      </c>
      <c r="Q261" s="76" t="n"/>
      <c r="R261" s="76" t="inlineStr">
        <is>
          <t>TelCo</t>
        </is>
      </c>
      <c r="S261" s="87" t="n"/>
      <c r="T261" s="77" t="n"/>
    </row>
    <row r="262" ht="24" customHeight="1" s="69">
      <c r="A262" s="77" t="inlineStr">
        <is>
          <t>Server</t>
        </is>
      </c>
      <c r="B262" s="76" t="n">
        <v>6344</v>
      </c>
      <c r="C262" s="76" t="n"/>
      <c r="D262" s="76" t="inlineStr">
        <is>
          <t>BE</t>
        </is>
      </c>
      <c r="E262" s="76" t="n"/>
      <c r="F262" s="76" t="inlineStr">
        <is>
          <t>SUNGARD/3</t>
        </is>
      </c>
      <c r="G262" s="76" t="inlineStr">
        <is>
          <t>ex-ICC - Service de Secours    ex-ICC-01/06/SBU/036</t>
        </is>
      </c>
      <c r="H262" s="84" t="n"/>
      <c r="I262" s="90" t="n">
        <v>7767.92</v>
      </c>
      <c r="J262" s="86" t="n">
        <v>1</v>
      </c>
      <c r="K262" s="76" t="n"/>
      <c r="L262" s="76" t="inlineStr">
        <is>
          <t>30 days end of month</t>
        </is>
      </c>
      <c r="M262" s="76" t="n"/>
      <c r="N262" s="76" t="n"/>
      <c r="O262" s="76" t="inlineStr">
        <is>
          <t>C.BE.324</t>
        </is>
      </c>
      <c r="P262" s="76" t="inlineStr">
        <is>
          <t>Retained</t>
        </is>
      </c>
      <c r="Q262" s="76" t="n"/>
      <c r="R262" s="76" t="inlineStr">
        <is>
          <t>VendorA</t>
        </is>
      </c>
      <c r="S262" s="87" t="n"/>
    </row>
    <row r="263" ht="24" customHeight="1" s="69">
      <c r="A263" s="77" t="inlineStr">
        <is>
          <t>EUC</t>
        </is>
      </c>
      <c r="B263" s="76" t="n">
        <v>1701</v>
      </c>
      <c r="C263" s="76" t="n"/>
      <c r="D263" s="76" t="inlineStr">
        <is>
          <t>BE</t>
        </is>
      </c>
      <c r="E263" s="76" t="n"/>
      <c r="F263" s="76" t="inlineStr">
        <is>
          <t>CANON HC /PRIVATEKAS</t>
        </is>
      </c>
      <c r="G263" s="76" t="inlineStr">
        <is>
          <t>INTERVENTIES</t>
        </is>
      </c>
      <c r="H263" s="84" t="n"/>
      <c r="I263" s="90" t="n"/>
      <c r="J263" s="92" t="n">
        <v>1</v>
      </c>
      <c r="K263" s="76" t="n"/>
      <c r="L263" s="76" t="n"/>
      <c r="M263" s="76" t="n"/>
      <c r="N263" s="76" t="n"/>
      <c r="O263" s="76" t="inlineStr">
        <is>
          <t>C.BE.327</t>
        </is>
      </c>
      <c r="P263" s="76" t="inlineStr">
        <is>
          <t>Retained</t>
        </is>
      </c>
      <c r="Q263" s="76" t="n"/>
      <c r="R263" s="76" t="inlineStr">
        <is>
          <t>Vendor Gamma</t>
        </is>
      </c>
      <c r="S263" s="87" t="n"/>
    </row>
    <row r="264" ht="24" customHeight="1" s="69">
      <c r="A264" s="77" t="inlineStr">
        <is>
          <t>EUC</t>
        </is>
      </c>
      <c r="B264" s="76" t="n">
        <v>1517</v>
      </c>
      <c r="C264" s="76" t="n"/>
      <c r="D264" s="76" t="inlineStr">
        <is>
          <t>BE</t>
        </is>
      </c>
      <c r="E264" s="76" t="n"/>
      <c r="F264" s="76" t="inlineStr">
        <is>
          <t>CANON HC/1</t>
        </is>
      </c>
      <c r="G264" s="76" t="inlineStr">
        <is>
          <t>VERHUISKOSTEN</t>
        </is>
      </c>
      <c r="H264" s="84" t="n"/>
      <c r="I264" s="90" t="n"/>
      <c r="J264" s="92" t="n">
        <v>1</v>
      </c>
      <c r="K264" s="76" t="n"/>
      <c r="L264" s="76" t="n"/>
      <c r="M264" s="76" t="n"/>
      <c r="N264" s="76" t="n"/>
      <c r="O264" s="76" t="inlineStr">
        <is>
          <t>C.BE.328</t>
        </is>
      </c>
      <c r="P264" s="76" t="inlineStr">
        <is>
          <t>Retained</t>
        </is>
      </c>
      <c r="Q264" s="76" t="n"/>
      <c r="R264" s="76" t="inlineStr">
        <is>
          <t>Vendor Gamma</t>
        </is>
      </c>
      <c r="S264" s="87" t="n"/>
    </row>
    <row r="265" ht="24" customHeight="1" s="69">
      <c r="A265" s="77" t="inlineStr">
        <is>
          <t>EUC</t>
        </is>
      </c>
      <c r="B265" s="76" t="n">
        <v>1834</v>
      </c>
      <c r="C265" s="76" t="n"/>
      <c r="D265" s="76" t="inlineStr">
        <is>
          <t>BE</t>
        </is>
      </c>
      <c r="E265" s="76" t="n"/>
      <c r="F265" s="76" t="inlineStr">
        <is>
          <t>CANON HC/2</t>
        </is>
      </c>
      <c r="G265" s="76" t="inlineStr">
        <is>
          <t>CANON HERSTELLINGEN MICROPRINTER</t>
        </is>
      </c>
      <c r="H265" s="84" t="n"/>
      <c r="I265" s="90" t="n"/>
      <c r="J265" s="92" t="n">
        <v>1</v>
      </c>
      <c r="K265" s="76" t="n"/>
      <c r="L265" s="76" t="n"/>
      <c r="M265" s="76" t="n"/>
      <c r="N265" s="76" t="n"/>
      <c r="O265" s="76" t="inlineStr">
        <is>
          <t>C.BE.329</t>
        </is>
      </c>
      <c r="P265" s="76" t="inlineStr">
        <is>
          <t>Retained</t>
        </is>
      </c>
      <c r="Q265" s="76" t="n"/>
      <c r="R265" s="76" t="inlineStr">
        <is>
          <t>Vendor Gamma</t>
        </is>
      </c>
      <c r="S265" s="87" t="n"/>
    </row>
    <row r="266" ht="24" customHeight="1" s="69">
      <c r="A266" s="77" t="inlineStr">
        <is>
          <t>Voice</t>
        </is>
      </c>
      <c r="B266" s="76" t="n">
        <v>6431</v>
      </c>
      <c r="C266" s="76" t="n"/>
      <c r="D266" s="76" t="inlineStr">
        <is>
          <t>BE</t>
        </is>
      </c>
      <c r="E266" s="76" t="n"/>
      <c r="F266" s="76" t="inlineStr">
        <is>
          <t>CEL DATA HC/20</t>
        </is>
      </c>
      <c r="G266" s="76" t="inlineStr">
        <is>
          <t>INSTALLATION OF VIDEO CONFERENCE SYSTEM</t>
        </is>
      </c>
      <c r="H266" s="84" t="n"/>
      <c r="I266" s="90" t="n"/>
      <c r="J266" s="92" t="n">
        <v>1</v>
      </c>
      <c r="K266" s="76" t="n"/>
      <c r="L266" s="76" t="n"/>
      <c r="M266" s="76" t="n"/>
      <c r="N266" s="76" t="n"/>
      <c r="O266" s="76" t="inlineStr">
        <is>
          <t>C.BE.330</t>
        </is>
      </c>
      <c r="P266" s="76" t="inlineStr">
        <is>
          <t>Terminate</t>
        </is>
      </c>
      <c r="Q266" s="76" t="inlineStr">
        <is>
          <t>at expiry</t>
        </is>
      </c>
      <c r="R266" s="76" t="inlineStr">
        <is>
          <t>TelCo</t>
        </is>
      </c>
      <c r="S266" s="87" t="n"/>
      <c r="T266" s="77" t="n"/>
    </row>
    <row r="267" ht="24" customHeight="1" s="69">
      <c r="A267" s="77" t="inlineStr">
        <is>
          <t>EUC</t>
        </is>
      </c>
      <c r="B267" s="76" t="n">
        <v>5276</v>
      </c>
      <c r="C267" s="76" t="n"/>
      <c r="D267" s="76" t="inlineStr">
        <is>
          <t>BE</t>
        </is>
      </c>
      <c r="E267" s="76" t="n"/>
      <c r="F267" s="76" t="inlineStr">
        <is>
          <t>HEWLETT PACKARD HC</t>
        </is>
      </c>
      <c r="G267" s="76" t="inlineStr">
        <is>
          <t>Service de Support</t>
        </is>
      </c>
      <c r="H267" s="84" t="n"/>
      <c r="I267" s="90" t="n">
        <v>14000</v>
      </c>
      <c r="J267" s="92" t="n">
        <v>1</v>
      </c>
      <c r="K267" s="76" t="n"/>
      <c r="L267" s="76" t="n"/>
      <c r="M267" s="76" t="n"/>
      <c r="N267" s="76" t="n"/>
      <c r="O267" s="76" t="inlineStr">
        <is>
          <t>C.BE.333</t>
        </is>
      </c>
      <c r="P267" s="76" t="inlineStr">
        <is>
          <t>Terminate</t>
        </is>
      </c>
      <c r="Q267" s="76" t="inlineStr">
        <is>
          <t>at expiry</t>
        </is>
      </c>
      <c r="R267" s="76" t="inlineStr">
        <is>
          <t>VendorA</t>
        </is>
      </c>
      <c r="S267" s="87" t="n">
        <v>14000</v>
      </c>
    </row>
    <row r="268" ht="24" customHeight="1" s="69">
      <c r="A268" s="77" t="inlineStr">
        <is>
          <t>Server</t>
        </is>
      </c>
      <c r="B268" s="76" t="n">
        <v>718</v>
      </c>
      <c r="C268" s="76" t="n"/>
      <c r="D268" s="76" t="inlineStr">
        <is>
          <t>BE</t>
        </is>
      </c>
      <c r="E268" s="76" t="n"/>
      <c r="F268" s="76" t="inlineStr">
        <is>
          <t>IRIS HC</t>
        </is>
      </c>
      <c r="G268" s="76" t="inlineStr">
        <is>
          <t>Frais d'installation</t>
        </is>
      </c>
      <c r="H268" s="84" t="n"/>
      <c r="I268" s="90" t="n"/>
      <c r="J268" s="92" t="n">
        <v>1</v>
      </c>
      <c r="K268" s="76" t="n"/>
      <c r="L268" s="76" t="n"/>
      <c r="M268" s="76" t="n"/>
      <c r="N268" s="76" t="n"/>
      <c r="O268" s="76" t="inlineStr">
        <is>
          <t>C.BE.340</t>
        </is>
      </c>
      <c r="P268" s="76" t="inlineStr">
        <is>
          <t>Terminate</t>
        </is>
      </c>
      <c r="Q268" s="76" t="inlineStr">
        <is>
          <t>at expiry</t>
        </is>
      </c>
      <c r="R268" s="76" t="inlineStr">
        <is>
          <t>VendorA</t>
        </is>
      </c>
      <c r="S268" s="87" t="n"/>
    </row>
    <row r="269" ht="24" customHeight="1" s="69">
      <c r="A269" s="77" t="inlineStr">
        <is>
          <t>Server</t>
        </is>
      </c>
      <c r="B269" s="76" t="n">
        <v>1069</v>
      </c>
      <c r="C269" s="76" t="n"/>
      <c r="D269" s="76" t="inlineStr">
        <is>
          <t>BE</t>
        </is>
      </c>
      <c r="E269" s="76" t="n"/>
      <c r="F269" s="76" t="inlineStr">
        <is>
          <t>IRIS HC/2</t>
        </is>
      </c>
      <c r="G269" s="76" t="inlineStr">
        <is>
          <t>VERVANGSTUKKEN(niet inbegrepen in onderhoudscontract)</t>
        </is>
      </c>
      <c r="H269" s="84" t="n"/>
      <c r="I269" s="90" t="n">
        <v>13500</v>
      </c>
      <c r="J269" s="92" t="n">
        <v>1</v>
      </c>
      <c r="K269" s="76" t="n"/>
      <c r="L269" s="76" t="n"/>
      <c r="M269" s="76" t="n"/>
      <c r="N269" s="76" t="n"/>
      <c r="O269" s="76" t="inlineStr">
        <is>
          <t>C.BE.341</t>
        </is>
      </c>
      <c r="P269" s="76" t="inlineStr">
        <is>
          <t>Terminate</t>
        </is>
      </c>
      <c r="Q269" s="76" t="inlineStr">
        <is>
          <t>at expiry</t>
        </is>
      </c>
      <c r="R269" s="76" t="inlineStr">
        <is>
          <t>VendorA</t>
        </is>
      </c>
      <c r="S269" s="87" t="n"/>
    </row>
    <row r="270" ht="24" customHeight="1" s="69">
      <c r="A270" s="77" t="inlineStr">
        <is>
          <t>DTHW</t>
        </is>
      </c>
      <c r="B270" s="76" t="n">
        <v>1488</v>
      </c>
      <c r="C270" s="76" t="n"/>
      <c r="D270" s="76" t="inlineStr">
        <is>
          <t>BE</t>
        </is>
      </c>
      <c r="E270" s="76" t="n"/>
      <c r="F270" s="76" t="inlineStr">
        <is>
          <t>NASHUATEC HC/3</t>
        </is>
      </c>
      <c r="G270" s="76" t="inlineStr">
        <is>
          <t>TECHNISCHE INTERVENTIES</t>
        </is>
      </c>
      <c r="H270" s="84" t="n"/>
      <c r="I270" s="90" t="n">
        <v>135</v>
      </c>
      <c r="J270" s="92" t="n">
        <v>1</v>
      </c>
      <c r="K270" s="76" t="n"/>
      <c r="L270" s="76" t="n"/>
      <c r="M270" s="76" t="n"/>
      <c r="N270" s="76" t="n"/>
      <c r="O270" s="76" t="inlineStr">
        <is>
          <t>C.BE.343</t>
        </is>
      </c>
      <c r="P270" s="76" t="inlineStr">
        <is>
          <t>Retained</t>
        </is>
      </c>
      <c r="Q270" s="76" t="n"/>
      <c r="R270" s="76" t="inlineStr">
        <is>
          <t>Vendor Gamma</t>
        </is>
      </c>
      <c r="S270" s="87" t="n"/>
    </row>
    <row r="271" ht="24" customHeight="1" s="69">
      <c r="A271" s="77" t="inlineStr">
        <is>
          <t>DTHW</t>
        </is>
      </c>
      <c r="B271" s="76" t="n">
        <v>470</v>
      </c>
      <c r="C271" s="76" t="n"/>
      <c r="D271" s="76" t="inlineStr">
        <is>
          <t>BE</t>
        </is>
      </c>
      <c r="E271" s="76" t="n"/>
      <c r="F271" s="76" t="inlineStr">
        <is>
          <t>NASHUATEC HC</t>
        </is>
      </c>
      <c r="G271" s="76" t="inlineStr">
        <is>
          <t>Déménagements / Verhuizingen</t>
        </is>
      </c>
      <c r="H271" s="84" t="n"/>
      <c r="I271" s="90" t="n">
        <v>69</v>
      </c>
      <c r="J271" s="92" t="n">
        <v>1</v>
      </c>
      <c r="K271" s="76" t="n"/>
      <c r="L271" s="76" t="n"/>
      <c r="M271" s="76" t="n"/>
      <c r="N271" s="76" t="n"/>
      <c r="O271" s="76" t="inlineStr">
        <is>
          <t>C.BE.349</t>
        </is>
      </c>
      <c r="P271" s="76" t="inlineStr">
        <is>
          <t>Retained</t>
        </is>
      </c>
      <c r="Q271" s="76" t="n"/>
      <c r="R271" s="76" t="inlineStr">
        <is>
          <t>Vendor Gamma</t>
        </is>
      </c>
      <c r="S271" s="87" t="n"/>
    </row>
    <row r="272" ht="24" customHeight="1" s="69">
      <c r="A272" s="77" t="inlineStr">
        <is>
          <t>DTHW</t>
        </is>
      </c>
      <c r="B272" s="76" t="n">
        <v>1480</v>
      </c>
      <c r="C272" s="76" t="n"/>
      <c r="D272" s="76" t="inlineStr">
        <is>
          <t>BE</t>
        </is>
      </c>
      <c r="E272" s="76" t="n"/>
      <c r="F272" s="76" t="inlineStr">
        <is>
          <t>NASHUATEC HC</t>
        </is>
      </c>
      <c r="G272" s="76" t="inlineStr">
        <is>
          <t>AUTEURSRECHTEN</t>
        </is>
      </c>
      <c r="H272" s="84" t="n"/>
      <c r="I272" s="90" t="n">
        <v>341</v>
      </c>
      <c r="J272" s="92" t="n">
        <v>1</v>
      </c>
      <c r="K272" s="76" t="n"/>
      <c r="L272" s="76" t="n"/>
      <c r="M272" s="76" t="n"/>
      <c r="N272" s="76" t="n"/>
      <c r="O272" s="76" t="inlineStr">
        <is>
          <t>C.BE.350</t>
        </is>
      </c>
      <c r="P272" s="76" t="inlineStr">
        <is>
          <t>Retained</t>
        </is>
      </c>
      <c r="Q272" s="76" t="n"/>
      <c r="R272" s="76" t="inlineStr">
        <is>
          <t>Vendor Gamma</t>
        </is>
      </c>
      <c r="S272" s="87" t="n"/>
    </row>
    <row r="273" ht="24" customHeight="1" s="69">
      <c r="A273" s="77" t="inlineStr">
        <is>
          <t>DTHW</t>
        </is>
      </c>
      <c r="B273" s="76" t="n">
        <v>5961</v>
      </c>
      <c r="C273" s="76" t="n"/>
      <c r="D273" s="76" t="inlineStr">
        <is>
          <t>BE</t>
        </is>
      </c>
      <c r="E273" s="76" t="n"/>
      <c r="F273" s="76" t="inlineStr">
        <is>
          <t>RANK XEROX HC/2</t>
        </is>
      </c>
      <c r="G273" s="76" t="inlineStr">
        <is>
          <t>AUTEURSRECHTEN</t>
        </is>
      </c>
      <c r="H273" s="84" t="n"/>
      <c r="I273" s="90" t="n">
        <v>663</v>
      </c>
      <c r="J273" s="92" t="n">
        <v>1</v>
      </c>
      <c r="K273" s="76" t="n"/>
      <c r="L273" s="76" t="n"/>
      <c r="M273" s="76" t="n"/>
      <c r="N273" s="76" t="n"/>
      <c r="O273" s="76" t="inlineStr">
        <is>
          <t>C.BE.352</t>
        </is>
      </c>
      <c r="P273" s="76" t="inlineStr">
        <is>
          <t>Retained</t>
        </is>
      </c>
      <c r="Q273" s="76" t="n"/>
      <c r="R273" s="76" t="inlineStr">
        <is>
          <t>Vendor Gamma</t>
        </is>
      </c>
      <c r="S273" s="87" t="n"/>
    </row>
    <row r="274" ht="24" customHeight="1" s="69">
      <c r="A274" s="77" t="inlineStr">
        <is>
          <t>DTHW</t>
        </is>
      </c>
      <c r="B274" s="76" t="n">
        <v>1545</v>
      </c>
      <c r="C274" s="76" t="n"/>
      <c r="D274" s="76" t="inlineStr">
        <is>
          <t>BE</t>
        </is>
      </c>
      <c r="E274" s="76" t="n"/>
      <c r="F274" s="76" t="inlineStr">
        <is>
          <t>REPROBEL HC</t>
        </is>
      </c>
      <c r="G274" s="76" t="inlineStr">
        <is>
          <t>AUTEURSRECHTEN</t>
        </is>
      </c>
      <c r="H274" s="84" t="n"/>
      <c r="I274" s="90">
        <f>39894/12</f>
        <v/>
      </c>
      <c r="J274" s="92" t="n">
        <v>1</v>
      </c>
      <c r="K274" s="76" t="n"/>
      <c r="L274" s="76" t="n"/>
      <c r="M274" s="76" t="n"/>
      <c r="N274" s="76" t="n"/>
      <c r="O274" s="76" t="inlineStr">
        <is>
          <t>C.BE.353</t>
        </is>
      </c>
      <c r="P274" s="76" t="inlineStr">
        <is>
          <t>Retained</t>
        </is>
      </c>
      <c r="Q274" s="76" t="n"/>
      <c r="R274" s="76" t="inlineStr">
        <is>
          <t>Vendor Gamma</t>
        </is>
      </c>
      <c r="S274" s="87" t="n"/>
    </row>
    <row r="275" ht="24" customHeight="1" s="69">
      <c r="A275" s="77" t="inlineStr">
        <is>
          <t>DTHW</t>
        </is>
      </c>
      <c r="B275" s="76" t="n">
        <v>1583</v>
      </c>
      <c r="C275" s="76" t="n"/>
      <c r="D275" s="76" t="inlineStr">
        <is>
          <t>BE</t>
        </is>
      </c>
      <c r="E275" s="76" t="n"/>
      <c r="F275" s="76" t="inlineStr">
        <is>
          <t>RICOH HC</t>
        </is>
      </c>
      <c r="G275" s="76" t="inlineStr">
        <is>
          <t>AUTEURSRECHTEN</t>
        </is>
      </c>
      <c r="H275" s="84" t="n"/>
      <c r="I275" s="90" t="n">
        <v>240</v>
      </c>
      <c r="J275" s="92" t="n">
        <v>1</v>
      </c>
      <c r="K275" s="76" t="n"/>
      <c r="L275" s="76" t="n"/>
      <c r="M275" s="76" t="n"/>
      <c r="N275" s="76" t="n"/>
      <c r="O275" s="76" t="inlineStr">
        <is>
          <t>C.BE.354</t>
        </is>
      </c>
      <c r="P275" s="76" t="inlineStr">
        <is>
          <t>Retained</t>
        </is>
      </c>
      <c r="Q275" s="76" t="n"/>
      <c r="R275" s="76" t="inlineStr">
        <is>
          <t>Vendor Gamma</t>
        </is>
      </c>
      <c r="S275" s="87" t="n"/>
    </row>
    <row r="276" ht="24" customHeight="1" s="69">
      <c r="A276" s="77" t="inlineStr">
        <is>
          <t>EUC</t>
        </is>
      </c>
      <c r="B276" s="76" t="n">
        <v>1549</v>
      </c>
      <c r="C276" s="76" t="n"/>
      <c r="D276" s="76" t="inlineStr">
        <is>
          <t>BE</t>
        </is>
      </c>
      <c r="E276" s="76" t="n"/>
      <c r="F276" s="76" t="inlineStr">
        <is>
          <t>RICOH HC/2</t>
        </is>
      </c>
      <c r="G276" s="76" t="inlineStr">
        <is>
          <t>INTERVENTIES</t>
        </is>
      </c>
      <c r="H276" s="84" t="n"/>
      <c r="I276" s="90" t="n">
        <v>120</v>
      </c>
      <c r="J276" s="92" t="n">
        <v>1</v>
      </c>
      <c r="K276" s="76" t="n"/>
      <c r="L276" s="76" t="n"/>
      <c r="M276" s="76" t="n"/>
      <c r="N276" s="76" t="n"/>
      <c r="O276" s="76" t="inlineStr">
        <is>
          <t>C.BE.355</t>
        </is>
      </c>
      <c r="P276" s="76" t="inlineStr">
        <is>
          <t>Retained</t>
        </is>
      </c>
      <c r="Q276" s="76" t="n"/>
      <c r="R276" s="76" t="inlineStr">
        <is>
          <t>Vendor Gamma</t>
        </is>
      </c>
      <c r="S276" s="87" t="n"/>
    </row>
    <row r="277" ht="24" customHeight="1" s="69">
      <c r="A277" s="77" t="inlineStr">
        <is>
          <t>DTHW</t>
        </is>
      </c>
      <c r="B277" s="76" t="n">
        <v>1441</v>
      </c>
      <c r="C277" s="76" t="n"/>
      <c r="D277" s="76" t="inlineStr">
        <is>
          <t>BE</t>
        </is>
      </c>
      <c r="E277" s="76" t="n"/>
      <c r="F277" s="76" t="inlineStr">
        <is>
          <t>XEROX HC</t>
        </is>
      </c>
      <c r="G277" s="76" t="inlineStr">
        <is>
          <t>Interventions techniques</t>
        </is>
      </c>
      <c r="H277" s="84" t="n"/>
      <c r="I277" s="90" t="n">
        <v>600</v>
      </c>
      <c r="J277" s="92" t="n">
        <v>1</v>
      </c>
      <c r="K277" s="76" t="n"/>
      <c r="L277" s="76" t="n"/>
      <c r="M277" s="76" t="n"/>
      <c r="N277" s="76" t="n"/>
      <c r="O277" s="76" t="inlineStr">
        <is>
          <t>C.BE.357</t>
        </is>
      </c>
      <c r="P277" s="76" t="inlineStr">
        <is>
          <t>Retained</t>
        </is>
      </c>
      <c r="Q277" s="76" t="n"/>
      <c r="R277" s="76" t="inlineStr">
        <is>
          <t>Vendor Gamma</t>
        </is>
      </c>
      <c r="S277" s="87" t="n"/>
    </row>
    <row r="278" ht="24" customHeight="1" s="69">
      <c r="A278" s="77" t="inlineStr">
        <is>
          <t>Voice</t>
        </is>
      </c>
      <c r="B278" s="76" t="inlineStr">
        <is>
          <t>0212</t>
        </is>
      </c>
      <c r="C278" s="76" t="inlineStr">
        <is>
          <t>001686</t>
        </is>
      </c>
      <c r="D278" s="76" t="inlineStr">
        <is>
          <t>BE</t>
        </is>
      </c>
      <c r="E278" s="76" t="n"/>
      <c r="F278" s="76" t="inlineStr">
        <is>
          <t>EuroBank COMP LEASE/212</t>
        </is>
      </c>
      <c r="G278" s="76" t="inlineStr">
        <is>
          <t>500 GSM Sony Ericsson T630 104-201-17</t>
        </is>
      </c>
      <c r="H278" s="84" t="n">
        <v>39538</v>
      </c>
      <c r="I278" s="90" t="n">
        <v>5982</v>
      </c>
      <c r="J278" s="86" t="n">
        <v>1</v>
      </c>
      <c r="K278" s="76" t="n">
        <v>0</v>
      </c>
      <c r="L278" s="76" t="n"/>
      <c r="M278" s="76" t="n"/>
      <c r="N278" s="76" t="n"/>
      <c r="O278" s="76" t="inlineStr">
        <is>
          <t>C.BE.360</t>
        </is>
      </c>
      <c r="P278" s="76" t="inlineStr">
        <is>
          <t>Novate</t>
        </is>
      </c>
      <c r="Q278" s="76" t="n"/>
      <c r="R278" s="76" t="inlineStr">
        <is>
          <t>TelCo</t>
        </is>
      </c>
      <c r="S278" s="87" t="n"/>
      <c r="T278" s="77" t="n"/>
    </row>
    <row r="279" ht="24" customHeight="1" s="69">
      <c r="A279" s="77" t="inlineStr">
        <is>
          <t>Voice</t>
        </is>
      </c>
      <c r="B279" s="76" t="n">
        <v>0</v>
      </c>
      <c r="C279" s="76" t="n"/>
      <c r="D279" s="76" t="inlineStr">
        <is>
          <t>BE</t>
        </is>
      </c>
      <c r="E279" s="76" t="n">
        <v>0</v>
      </c>
      <c r="F279" s="76" t="inlineStr">
        <is>
          <t>EuroBank COMP LEASE/49</t>
        </is>
      </c>
      <c r="G279" s="76" t="inlineStr">
        <is>
          <t>upgrade Avaya PBX</t>
        </is>
      </c>
      <c r="H279" s="84" t="n">
        <v>39082</v>
      </c>
      <c r="I279" s="90" t="n">
        <v>2997</v>
      </c>
      <c r="J279" s="86" t="n">
        <v>1</v>
      </c>
      <c r="K279" s="76" t="n">
        <v>0</v>
      </c>
      <c r="L279" s="76" t="n"/>
      <c r="M279" s="76" t="n"/>
      <c r="N279" s="76" t="n"/>
      <c r="O279" s="76" t="inlineStr">
        <is>
          <t>C.BE.362</t>
        </is>
      </c>
      <c r="P279" s="76" t="inlineStr">
        <is>
          <t>Novate</t>
        </is>
      </c>
      <c r="Q279" s="76" t="n"/>
      <c r="R279" s="76" t="inlineStr">
        <is>
          <t>TelCo</t>
        </is>
      </c>
      <c r="S279" s="87" t="n"/>
      <c r="T279" s="77" t="n"/>
    </row>
    <row r="280" ht="48.6" customHeight="1" s="69">
      <c r="A280" s="77" t="inlineStr">
        <is>
          <t>Voice</t>
        </is>
      </c>
      <c r="B280" s="76" t="n"/>
      <c r="C280" s="76" t="n"/>
      <c r="D280" s="76" t="inlineStr">
        <is>
          <t>BE</t>
        </is>
      </c>
      <c r="E280" s="76" t="n"/>
      <c r="F280" s="76" t="inlineStr">
        <is>
          <t>EuroBank COMP LEASE/139</t>
        </is>
      </c>
      <c r="G280" s="76" t="inlineStr">
        <is>
          <t>Rubriek 5190: Hardware leasing renting (leasing blackberrie devices Proximus, Telecom)</t>
        </is>
      </c>
      <c r="H280" s="84" t="n">
        <v>39447</v>
      </c>
      <c r="I280" s="90" t="n">
        <v>438</v>
      </c>
      <c r="J280" s="86" t="n">
        <v>1</v>
      </c>
      <c r="K280" s="76" t="n"/>
      <c r="L280" s="76" t="n"/>
      <c r="M280" s="76" t="n"/>
      <c r="N280" s="76" t="n"/>
      <c r="O280" s="76" t="inlineStr">
        <is>
          <t>C.BE.363</t>
        </is>
      </c>
      <c r="P280" s="76" t="inlineStr">
        <is>
          <t>Novate</t>
        </is>
      </c>
      <c r="Q280" s="76" t="n"/>
      <c r="R280" s="76" t="inlineStr">
        <is>
          <t>TelCo</t>
        </is>
      </c>
      <c r="S280" s="87" t="n"/>
      <c r="T280" s="77" t="n"/>
    </row>
    <row r="281" ht="24" customHeight="1" s="69">
      <c r="A281" s="77" t="inlineStr">
        <is>
          <t>Voice</t>
        </is>
      </c>
      <c r="B281" s="76" t="n"/>
      <c r="C281" s="76" t="n"/>
      <c r="D281" s="76" t="inlineStr">
        <is>
          <t>BE</t>
        </is>
      </c>
      <c r="E281" s="76" t="n"/>
      <c r="F281" s="76" t="inlineStr">
        <is>
          <t>EuroBank COMP LEASE/108</t>
        </is>
      </c>
      <c r="G281" s="76" t="inlineStr">
        <is>
          <t>Rubriek 5190: Hardware leasing renting (open book)</t>
        </is>
      </c>
      <c r="H281" s="84" t="n">
        <v>39325</v>
      </c>
      <c r="I281" s="90" t="n">
        <v>10058</v>
      </c>
      <c r="J281" s="86" t="n">
        <v>1</v>
      </c>
      <c r="K281" s="76" t="n"/>
      <c r="L281" s="76" t="n"/>
      <c r="M281" s="76" t="n"/>
      <c r="N281" s="76" t="n"/>
      <c r="O281" s="76" t="inlineStr">
        <is>
          <t>C.BE.364</t>
        </is>
      </c>
      <c r="P281" s="76" t="inlineStr">
        <is>
          <t>Novate</t>
        </is>
      </c>
      <c r="Q281" s="76" t="n"/>
      <c r="R281" s="76" t="inlineStr">
        <is>
          <t>TelCo</t>
        </is>
      </c>
      <c r="S281" s="87" t="n"/>
      <c r="T281" s="77" t="n"/>
    </row>
    <row r="282" ht="24" customHeight="1" s="69">
      <c r="A282" s="77" t="inlineStr">
        <is>
          <t>Voice</t>
        </is>
      </c>
      <c r="B282" s="76" t="n"/>
      <c r="C282" s="76" t="n"/>
      <c r="D282" s="76" t="inlineStr">
        <is>
          <t>BE</t>
        </is>
      </c>
      <c r="E282" s="76" t="n"/>
      <c r="F282" s="76" t="inlineStr">
        <is>
          <t>EuroBank COMP LEASE/203</t>
        </is>
      </c>
      <c r="G282" s="76" t="inlineStr">
        <is>
          <t>Rubriek 5190: Hardware leasing renting (telecom materiaal)</t>
        </is>
      </c>
      <c r="H282" s="84" t="n">
        <v>39416</v>
      </c>
      <c r="I282" s="90" t="n">
        <v>32378</v>
      </c>
      <c r="J282" s="86" t="n">
        <v>1</v>
      </c>
      <c r="K282" s="76" t="n"/>
      <c r="L282" s="76" t="n"/>
      <c r="M282" s="76" t="n"/>
      <c r="N282" s="76" t="n"/>
      <c r="O282" s="76" t="inlineStr">
        <is>
          <t>C.BE.365</t>
        </is>
      </c>
      <c r="P282" s="76" t="inlineStr">
        <is>
          <t>Novate</t>
        </is>
      </c>
      <c r="Q282" s="76" t="n"/>
      <c r="R282" s="76" t="inlineStr">
        <is>
          <t>TelCo</t>
        </is>
      </c>
      <c r="S282" s="87" t="n"/>
      <c r="T282" s="77" t="n"/>
    </row>
    <row r="283" ht="48" customHeight="1" s="69">
      <c r="A283" s="77" t="inlineStr">
        <is>
          <t>Voice</t>
        </is>
      </c>
      <c r="B283" s="76" t="inlineStr">
        <is>
          <t>0212</t>
        </is>
      </c>
      <c r="C283" s="76" t="inlineStr">
        <is>
          <t>001914</t>
        </is>
      </c>
      <c r="D283" s="76" t="inlineStr">
        <is>
          <t>BE</t>
        </is>
      </c>
      <c r="E283" s="76" t="n"/>
      <c r="F283" s="76" t="inlineStr">
        <is>
          <t>EuroBank COMP LEASE/226</t>
        </is>
      </c>
      <c r="G283" s="76" t="inlineStr">
        <is>
          <t>Rubriek 5190: Hardware leasing renting (telecom materiaal)   105-201-10</t>
        </is>
      </c>
      <c r="H283" s="84" t="n">
        <v>39568</v>
      </c>
      <c r="I283" s="90" t="n">
        <v>2376</v>
      </c>
      <c r="J283" s="86" t="n">
        <v>1</v>
      </c>
      <c r="K283" s="76" t="n"/>
      <c r="L283" s="76" t="n"/>
      <c r="M283" s="76" t="n"/>
      <c r="N283" s="76" t="n"/>
      <c r="O283" s="76" t="inlineStr">
        <is>
          <t>C.BE.366</t>
        </is>
      </c>
      <c r="P283" s="76" t="inlineStr">
        <is>
          <t>Novate</t>
        </is>
      </c>
      <c r="Q283" s="76" t="n"/>
      <c r="R283" s="76" t="inlineStr">
        <is>
          <t>TelCo</t>
        </is>
      </c>
      <c r="S283" s="87" t="n"/>
      <c r="T283" s="77" t="n"/>
    </row>
    <row r="284" ht="24" customHeight="1" s="69">
      <c r="A284" s="77" t="inlineStr">
        <is>
          <t>Voice</t>
        </is>
      </c>
      <c r="B284" s="76" t="inlineStr">
        <is>
          <t>0227</t>
        </is>
      </c>
      <c r="C284" s="76" t="inlineStr">
        <is>
          <t>001705</t>
        </is>
      </c>
      <c r="D284" s="76" t="inlineStr">
        <is>
          <t>BE</t>
        </is>
      </c>
      <c r="E284" s="76" t="n"/>
      <c r="F284" s="76" t="inlineStr">
        <is>
          <t>EuroBank COMP LEASE/224</t>
        </is>
      </c>
      <c r="G284" s="76" t="inlineStr">
        <is>
          <t>Achats divers de matériel informatique 104-201-81</t>
        </is>
      </c>
      <c r="H284" s="84" t="n">
        <v>39538</v>
      </c>
      <c r="I284" s="90" t="n">
        <v>32890</v>
      </c>
      <c r="J284" s="86" t="n">
        <v>1</v>
      </c>
      <c r="K284" s="76" t="n"/>
      <c r="L284" s="76" t="n"/>
      <c r="M284" s="76" t="n"/>
      <c r="N284" s="76" t="n"/>
      <c r="O284" s="76" t="inlineStr">
        <is>
          <t>C.BE.370</t>
        </is>
      </c>
      <c r="P284" s="76" t="inlineStr">
        <is>
          <t>Terminate</t>
        </is>
      </c>
      <c r="Q284" s="76" t="inlineStr">
        <is>
          <t>at expiry</t>
        </is>
      </c>
      <c r="R284" s="76" t="inlineStr">
        <is>
          <t>Vendor Gamma</t>
        </is>
      </c>
      <c r="S284" s="87" t="n"/>
    </row>
    <row r="285" ht="24" customHeight="1" s="69">
      <c r="A285" s="77" t="inlineStr">
        <is>
          <t>Voice</t>
        </is>
      </c>
      <c r="B285" s="76" t="n"/>
      <c r="C285" s="76" t="n"/>
      <c r="D285" s="76" t="inlineStr">
        <is>
          <t>BE</t>
        </is>
      </c>
      <c r="E285" s="76" t="n"/>
      <c r="F285" s="76" t="inlineStr">
        <is>
          <t>EuroBank COMP LEASE/225</t>
        </is>
      </c>
      <c r="G285" s="76" t="inlineStr">
        <is>
          <t xml:space="preserve">Servers? </t>
        </is>
      </c>
      <c r="H285" s="84" t="n">
        <v>39538</v>
      </c>
      <c r="I285" s="90" t="n">
        <v>10853.7</v>
      </c>
      <c r="J285" s="86" t="n">
        <v>0.66</v>
      </c>
      <c r="K285" s="76" t="n"/>
      <c r="L285" s="76" t="n"/>
      <c r="M285" s="76" t="n"/>
      <c r="N285" s="76" t="n"/>
      <c r="O285" s="76" t="inlineStr">
        <is>
          <t>C.BE.371</t>
        </is>
      </c>
      <c r="P285" s="76" t="inlineStr">
        <is>
          <t>Terminate</t>
        </is>
      </c>
      <c r="Q285" s="76" t="inlineStr">
        <is>
          <t>at expiry</t>
        </is>
      </c>
      <c r="R285" s="76" t="inlineStr">
        <is>
          <t>VendorA</t>
        </is>
      </c>
      <c r="S285" s="87" t="n"/>
    </row>
    <row r="286" ht="24" customHeight="1" s="69">
      <c r="A286" s="77" t="inlineStr">
        <is>
          <t>Server</t>
        </is>
      </c>
      <c r="B286" s="76" t="n"/>
      <c r="C286" s="76" t="n"/>
      <c r="D286" s="76" t="inlineStr">
        <is>
          <t>BE</t>
        </is>
      </c>
      <c r="E286" s="76" t="n"/>
      <c r="F286" s="76" t="inlineStr">
        <is>
          <t>Sungard/2</t>
        </is>
      </c>
      <c r="G286" s="76" t="inlineStr">
        <is>
          <t>Intel image cache securities module</t>
        </is>
      </c>
      <c r="H286" s="76" t="n"/>
      <c r="I286" s="90" t="n">
        <v>6395.69</v>
      </c>
      <c r="J286" s="86" t="n">
        <v>1</v>
      </c>
      <c r="K286" s="76" t="n"/>
      <c r="L286" s="76" t="n"/>
      <c r="M286" s="76" t="n"/>
      <c r="N286" s="76" t="n"/>
      <c r="O286" s="76" t="inlineStr">
        <is>
          <t>C.BE.372</t>
        </is>
      </c>
      <c r="P286" s="76" t="inlineStr">
        <is>
          <t>Retained</t>
        </is>
      </c>
      <c r="Q286" s="76" t="n"/>
      <c r="R286" s="76" t="inlineStr">
        <is>
          <t>VendorA</t>
        </is>
      </c>
      <c r="S286" s="87" t="n"/>
    </row>
    <row r="287" ht="24" customHeight="1" s="69">
      <c r="A287" s="95" t="inlineStr">
        <is>
          <t>lan</t>
        </is>
      </c>
      <c r="B287" s="96" t="n"/>
      <c r="C287" s="96" t="n"/>
      <c r="D287" s="96" t="inlineStr">
        <is>
          <t>BE</t>
        </is>
      </c>
      <c r="E287" s="96" t="n"/>
      <c r="F287" s="96" t="inlineStr">
        <is>
          <t>Vendor Gamma/30</t>
        </is>
      </c>
      <c r="G287" s="96" t="inlineStr">
        <is>
          <t>Checkpoint licenses</t>
        </is>
      </c>
      <c r="H287" s="96" t="n"/>
      <c r="I287" s="106" t="n">
        <v>58.5833333333333</v>
      </c>
      <c r="J287" s="99" t="n">
        <v>1</v>
      </c>
      <c r="K287" s="96" t="n"/>
      <c r="L287" s="96" t="n"/>
      <c r="M287" s="96" t="n"/>
      <c r="N287" s="96" t="n"/>
      <c r="O287" s="96" t="inlineStr">
        <is>
          <t>C.BE.373</t>
        </is>
      </c>
      <c r="P287" s="96" t="inlineStr">
        <is>
          <t>Novate</t>
        </is>
      </c>
      <c r="Q287" s="96" t="n"/>
      <c r="R287" s="96" t="inlineStr">
        <is>
          <t>VendorA</t>
        </is>
      </c>
      <c r="S287" s="100" t="n"/>
    </row>
    <row r="288" ht="24" customHeight="1" s="69">
      <c r="A288" s="77" t="inlineStr">
        <is>
          <t>Lan</t>
        </is>
      </c>
      <c r="B288" s="76" t="n"/>
      <c r="C288" s="76" t="n"/>
      <c r="D288" s="76" t="inlineStr">
        <is>
          <t>BE</t>
        </is>
      </c>
      <c r="E288" s="76" t="n"/>
      <c r="F288" s="76" t="inlineStr">
        <is>
          <t>Telenet/2</t>
        </is>
      </c>
      <c r="G288" s="76" t="inlineStr">
        <is>
          <t>Internet connection homeworkers</t>
        </is>
      </c>
      <c r="H288" s="76" t="n"/>
      <c r="I288" s="90" t="n">
        <v>448</v>
      </c>
      <c r="J288" s="86" t="n">
        <v>1</v>
      </c>
      <c r="K288" s="76" t="n"/>
      <c r="L288" s="76" t="n"/>
      <c r="M288" s="76" t="n"/>
      <c r="N288" s="76" t="n"/>
      <c r="O288" s="76" t="inlineStr">
        <is>
          <t>C.BE.374</t>
        </is>
      </c>
      <c r="P288" s="76" t="inlineStr">
        <is>
          <t>Retained</t>
        </is>
      </c>
      <c r="Q288" s="76" t="n"/>
      <c r="R288" s="76" t="inlineStr">
        <is>
          <t>TelCo</t>
        </is>
      </c>
      <c r="S288" s="87" t="n"/>
      <c r="T288" s="77" t="n"/>
    </row>
    <row r="289" ht="24" customHeight="1" s="69">
      <c r="A289" s="113" t="inlineStr">
        <is>
          <t>euc</t>
        </is>
      </c>
      <c r="B289" s="114" t="n"/>
      <c r="C289" s="76" t="inlineStr">
        <is>
          <t>001929</t>
        </is>
      </c>
      <c r="D289" s="114" t="inlineStr">
        <is>
          <t>BE</t>
        </is>
      </c>
      <c r="E289" s="114" t="n"/>
      <c r="F289" s="114" t="inlineStr">
        <is>
          <t>Quentris</t>
        </is>
      </c>
      <c r="G289" s="114" t="inlineStr">
        <is>
          <t>Maintenance NortelPBX Evere Meridian</t>
        </is>
      </c>
      <c r="H289" s="114" t="n"/>
      <c r="I289" s="90" t="n">
        <v>910</v>
      </c>
      <c r="J289" s="115" t="n">
        <v>1</v>
      </c>
      <c r="K289" s="114" t="n"/>
      <c r="L289" s="114" t="n"/>
      <c r="M289" s="114" t="n"/>
      <c r="N289" s="114" t="n"/>
      <c r="O289" s="114" t="inlineStr">
        <is>
          <t>C.BE.375</t>
        </is>
      </c>
      <c r="P289" s="114" t="inlineStr">
        <is>
          <t>Novate</t>
        </is>
      </c>
      <c r="Q289" s="114" t="n"/>
      <c r="R289" s="114" t="inlineStr">
        <is>
          <t>TelCo</t>
        </is>
      </c>
      <c r="S289" s="116">
        <f>3920/12</f>
        <v/>
      </c>
      <c r="T289" s="77" t="n"/>
    </row>
    <row r="290" ht="24" customHeight="1" s="69">
      <c r="A290" s="77" t="inlineStr">
        <is>
          <t>euc</t>
        </is>
      </c>
      <c r="B290" s="76" t="n"/>
      <c r="C290" s="76" t="n"/>
      <c r="D290" s="76" t="inlineStr">
        <is>
          <t>BE</t>
        </is>
      </c>
      <c r="E290" s="76" t="n"/>
      <c r="F290" s="76" t="inlineStr">
        <is>
          <t>SPSS/14</t>
        </is>
      </c>
      <c r="G290" s="76" t="n"/>
      <c r="H290" s="76" t="n"/>
      <c r="I290" s="90" t="n">
        <v>19</v>
      </c>
      <c r="J290" s="86" t="n">
        <v>1</v>
      </c>
      <c r="K290" s="76" t="n"/>
      <c r="L290" s="76" t="n"/>
      <c r="M290" s="76" t="n"/>
      <c r="N290" s="76" t="n"/>
      <c r="O290" s="76" t="inlineStr">
        <is>
          <t>C.BE.376</t>
        </is>
      </c>
      <c r="P290" s="76" t="inlineStr">
        <is>
          <t>Retained</t>
        </is>
      </c>
      <c r="Q290" s="76" t="n"/>
      <c r="R290" s="76" t="inlineStr">
        <is>
          <t>VendorA</t>
        </is>
      </c>
      <c r="S290" s="87" t="n"/>
    </row>
    <row r="291" ht="24" customHeight="1" s="69">
      <c r="A291" s="77" t="inlineStr">
        <is>
          <t>DTHW</t>
        </is>
      </c>
      <c r="B291" s="76" t="inlineStr">
        <is>
          <t>0250</t>
        </is>
      </c>
      <c r="C291" s="76" t="inlineStr">
        <is>
          <t>002159</t>
        </is>
      </c>
      <c r="D291" s="76" t="inlineStr">
        <is>
          <t>BE</t>
        </is>
      </c>
      <c r="E291" s="76" t="n"/>
      <c r="F291" s="76" t="inlineStr">
        <is>
          <t>EuroBank COMP LEASE/235</t>
        </is>
      </c>
      <c r="G291" s="76" t="inlineStr">
        <is>
          <t>IronPort --- Email Security - DMZ 105-201-36</t>
        </is>
      </c>
      <c r="H291" s="84" t="n">
        <v>39721</v>
      </c>
      <c r="I291" s="90" t="n">
        <v>14519</v>
      </c>
      <c r="J291" s="86" t="n">
        <v>1</v>
      </c>
      <c r="K291" s="76" t="n"/>
      <c r="L291" s="76" t="n"/>
      <c r="M291" s="76" t="n"/>
      <c r="N291" s="76" t="n"/>
      <c r="O291" s="76" t="inlineStr">
        <is>
          <t>C.BE.377</t>
        </is>
      </c>
      <c r="P291" s="76" t="inlineStr">
        <is>
          <t>Terminate</t>
        </is>
      </c>
      <c r="Q291" s="76" t="inlineStr">
        <is>
          <t>at expiry</t>
        </is>
      </c>
      <c r="R291" s="76" t="inlineStr">
        <is>
          <t>VendorA</t>
        </is>
      </c>
      <c r="S291" s="87" t="n"/>
    </row>
    <row r="292" ht="24" customHeight="1" s="69">
      <c r="A292" s="77" t="inlineStr">
        <is>
          <t>DTHW</t>
        </is>
      </c>
      <c r="B292" s="76" t="inlineStr">
        <is>
          <t>0227</t>
        </is>
      </c>
      <c r="C292" s="76" t="inlineStr">
        <is>
          <t>001915</t>
        </is>
      </c>
      <c r="D292" s="76" t="inlineStr">
        <is>
          <t>BE</t>
        </is>
      </c>
      <c r="E292" s="76" t="n"/>
      <c r="F292" s="76" t="inlineStr">
        <is>
          <t>EuroBank COMP LEASE/227</t>
        </is>
      </c>
      <c r="G292" s="76" t="inlineStr">
        <is>
          <t>open book desktop   105-201-14</t>
        </is>
      </c>
      <c r="H292" s="84" t="n">
        <v>39629</v>
      </c>
      <c r="I292" s="90" t="n">
        <v>14577</v>
      </c>
      <c r="J292" s="86" t="n">
        <v>1</v>
      </c>
      <c r="K292" s="76" t="n"/>
      <c r="L292" s="76" t="n"/>
      <c r="M292" s="76" t="n"/>
      <c r="N292" s="76" t="n"/>
      <c r="O292" s="76" t="inlineStr">
        <is>
          <t>C.BE.378</t>
        </is>
      </c>
      <c r="P292" s="76" t="inlineStr">
        <is>
          <t>Terminate</t>
        </is>
      </c>
      <c r="Q292" s="76" t="inlineStr">
        <is>
          <t>at expiry</t>
        </is>
      </c>
      <c r="R292" s="76" t="inlineStr">
        <is>
          <t>Vendor Gamma</t>
        </is>
      </c>
      <c r="S292" s="87" t="n"/>
    </row>
    <row r="293" ht="24" customHeight="1" s="69">
      <c r="A293" s="77" t="inlineStr">
        <is>
          <t>DTHW</t>
        </is>
      </c>
      <c r="B293" s="76" t="n"/>
      <c r="C293" s="76" t="n"/>
      <c r="D293" s="76" t="inlineStr">
        <is>
          <t>BE</t>
        </is>
      </c>
      <c r="E293" s="76" t="n"/>
      <c r="F293" s="76" t="inlineStr">
        <is>
          <t>EuroBank COMP LEASE/228</t>
        </is>
      </c>
      <c r="G293" s="76" t="inlineStr">
        <is>
          <t>Wintel servers</t>
        </is>
      </c>
      <c r="H293" s="84" t="n">
        <v>39629</v>
      </c>
      <c r="I293" s="90" t="n">
        <v>3571.92</v>
      </c>
      <c r="J293" s="86" t="n">
        <v>0.66</v>
      </c>
      <c r="K293" s="76" t="n"/>
      <c r="L293" s="76" t="n"/>
      <c r="M293" s="76" t="n"/>
      <c r="N293" s="76" t="n"/>
      <c r="O293" s="76" t="inlineStr">
        <is>
          <t>C.BE.379</t>
        </is>
      </c>
      <c r="P293" s="76" t="inlineStr">
        <is>
          <t>Terminate</t>
        </is>
      </c>
      <c r="Q293" s="76" t="inlineStr">
        <is>
          <t>at expiry</t>
        </is>
      </c>
      <c r="R293" s="76" t="inlineStr">
        <is>
          <t>Vendor Gamma</t>
        </is>
      </c>
      <c r="S293" s="87" t="n"/>
    </row>
    <row r="294" ht="24" customHeight="1" s="69">
      <c r="A294" s="77" t="inlineStr">
        <is>
          <t>DTHW</t>
        </is>
      </c>
      <c r="B294" s="76" t="n"/>
      <c r="C294" s="76" t="n"/>
      <c r="D294" s="76" t="inlineStr">
        <is>
          <t>BE</t>
        </is>
      </c>
      <c r="E294" s="76" t="n"/>
      <c r="F294" s="76" t="inlineStr">
        <is>
          <t>EuroBank COMP LEASE/230</t>
        </is>
      </c>
      <c r="G294" s="76" t="inlineStr">
        <is>
          <t>software</t>
        </is>
      </c>
      <c r="H294" s="84" t="n">
        <v>39629</v>
      </c>
      <c r="I294" s="90" t="n">
        <v>8633</v>
      </c>
      <c r="J294" s="88" t="n">
        <v>1</v>
      </c>
      <c r="K294" s="76" t="n"/>
      <c r="L294" s="76" t="n"/>
      <c r="M294" s="76" t="n"/>
      <c r="N294" s="76" t="n"/>
      <c r="O294" s="76" t="inlineStr">
        <is>
          <t>C.BE.380</t>
        </is>
      </c>
      <c r="P294" s="76" t="inlineStr">
        <is>
          <t>Terminate</t>
        </is>
      </c>
      <c r="Q294" s="76" t="inlineStr">
        <is>
          <t>at expiry</t>
        </is>
      </c>
      <c r="R294" s="76" t="inlineStr">
        <is>
          <t>Vendor Gamma</t>
        </is>
      </c>
      <c r="S294" s="87" t="n"/>
      <c r="FA294" s="77" t="n"/>
      <c r="FB294" s="77" t="n"/>
      <c r="FC294" s="76" t="n"/>
    </row>
    <row r="295" ht="24" customHeight="1" s="69">
      <c r="A295" s="77" t="inlineStr">
        <is>
          <t>SD</t>
        </is>
      </c>
      <c r="B295" s="76" t="n">
        <v>0</v>
      </c>
      <c r="C295" s="76" t="n"/>
      <c r="D295" s="76" t="inlineStr">
        <is>
          <t>NL</t>
        </is>
      </c>
      <c r="E295" s="76" t="n">
        <v>0</v>
      </c>
      <c r="F295" s="76" t="inlineStr">
        <is>
          <t>Contraste Europe</t>
        </is>
      </c>
      <c r="G295" s="76" t="inlineStr">
        <is>
          <t>Non-Disclosure Agreement</t>
        </is>
      </c>
      <c r="H295" s="84" t="n">
        <v>39386</v>
      </c>
      <c r="I295" s="90" t="n">
        <v>0</v>
      </c>
      <c r="J295" s="92" t="n">
        <v>0.65</v>
      </c>
      <c r="K295" s="76" t="n"/>
      <c r="L295" s="76" t="n"/>
      <c r="M295" s="76" t="n"/>
      <c r="N295" s="76" t="n"/>
      <c r="O295" s="76" t="inlineStr">
        <is>
          <t>D.015</t>
        </is>
      </c>
      <c r="P295" s="76" t="inlineStr">
        <is>
          <t>Terminate</t>
        </is>
      </c>
      <c r="Q295" s="76" t="inlineStr">
        <is>
          <t>at expiry</t>
        </is>
      </c>
      <c r="R295" s="76" t="inlineStr">
        <is>
          <t>Vendor Gamma</t>
        </is>
      </c>
      <c r="S295" s="87" t="inlineStr">
        <is>
          <t>included in B.BE.008 II</t>
        </is>
      </c>
    </row>
    <row r="296" ht="24" customHeight="1" s="69">
      <c r="A296" s="77" t="inlineStr">
        <is>
          <t>Voice</t>
        </is>
      </c>
      <c r="B296" s="76" t="n"/>
      <c r="C296" s="76" t="n"/>
      <c r="D296" s="76" t="inlineStr">
        <is>
          <t>BE</t>
        </is>
      </c>
      <c r="E296" s="76" t="n"/>
      <c r="F296" s="76" t="inlineStr">
        <is>
          <t>CHanSE</t>
        </is>
      </c>
      <c r="G296" s="76" t="inlineStr">
        <is>
          <t>helpdesk services mobile devices</t>
        </is>
      </c>
      <c r="H296" s="84" t="n"/>
      <c r="I296" s="90" t="n"/>
      <c r="J296" s="92" t="n">
        <v>1</v>
      </c>
      <c r="K296" s="76" t="inlineStr">
        <is>
          <t>Helpdesk GSM</t>
        </is>
      </c>
      <c r="L296" s="76" t="n"/>
      <c r="M296" s="76" t="n"/>
      <c r="N296" s="76" t="n"/>
      <c r="O296" s="76" t="inlineStr">
        <is>
          <t>D.020</t>
        </is>
      </c>
      <c r="P296" s="76" t="inlineStr">
        <is>
          <t>Novate</t>
        </is>
      </c>
      <c r="Q296" s="76" t="n"/>
      <c r="R296" s="76" t="inlineStr">
        <is>
          <t>TelCo</t>
        </is>
      </c>
      <c r="S296" s="87" t="n">
        <v>0</v>
      </c>
      <c r="T296" s="77" t="n"/>
    </row>
    <row r="297" ht="24" customHeight="1" s="69">
      <c r="A297" s="77" t="inlineStr">
        <is>
          <t>Voice</t>
        </is>
      </c>
      <c r="B297" s="76" t="inlineStr">
        <is>
          <t>0212</t>
        </is>
      </c>
      <c r="C297" s="76" t="n">
        <v>2003611</v>
      </c>
      <c r="D297" s="76" t="inlineStr">
        <is>
          <t>NL</t>
        </is>
      </c>
      <c r="E297" s="76" t="n"/>
      <c r="F297" s="76" t="inlineStr">
        <is>
          <t>ACT TELECONFERENCING</t>
        </is>
      </c>
      <c r="G297" s="76" t="inlineStr">
        <is>
          <t>ACT teleconferencing costs</t>
        </is>
      </c>
      <c r="H297" s="84" t="n">
        <v>38384</v>
      </c>
      <c r="I297" s="90" t="n">
        <v>688</v>
      </c>
      <c r="J297" s="86" t="n">
        <v>1</v>
      </c>
      <c r="K297" s="76" t="n"/>
      <c r="L297" s="76" t="n"/>
      <c r="M297" s="76" t="n"/>
      <c r="N297" s="76" t="n"/>
      <c r="O297" s="76" t="inlineStr">
        <is>
          <t>E.001</t>
        </is>
      </c>
      <c r="P297" s="76" t="inlineStr">
        <is>
          <t>Retained</t>
        </is>
      </c>
      <c r="Q297" s="76" t="n"/>
      <c r="R297" s="76" t="inlineStr">
        <is>
          <t>TelCo</t>
        </is>
      </c>
      <c r="S297" s="87" t="n"/>
      <c r="T297" s="77" t="n"/>
    </row>
    <row r="298" ht="24" customHeight="1" s="69">
      <c r="A298" s="95" t="n"/>
      <c r="B298" s="96" t="n"/>
      <c r="C298" s="96" t="n">
        <v>2004810</v>
      </c>
      <c r="D298" s="96" t="inlineStr">
        <is>
          <t>NL</t>
        </is>
      </c>
      <c r="E298" s="96" t="inlineStr">
        <is>
          <t>WPS/D&amp;S</t>
        </is>
      </c>
      <c r="F298" s="96" t="inlineStr">
        <is>
          <t>VENDOR ALPHA</t>
        </is>
      </c>
      <c r="G298" s="96" t="inlineStr">
        <is>
          <t>Data migration Novell</t>
        </is>
      </c>
      <c r="H298" s="97" t="n"/>
      <c r="I298" s="106" t="n">
        <v>4200</v>
      </c>
      <c r="J298" s="110" t="n">
        <v>1</v>
      </c>
      <c r="K298" s="96" t="n"/>
      <c r="L298" s="96" t="n"/>
      <c r="M298" s="96" t="n"/>
      <c r="N298" s="96" t="n"/>
      <c r="O298" s="96" t="inlineStr">
        <is>
          <t>E.002</t>
        </is>
      </c>
      <c r="P298" s="96" t="inlineStr">
        <is>
          <t>Novate</t>
        </is>
      </c>
      <c r="Q298" s="96" t="n"/>
      <c r="R298" s="96" t="inlineStr">
        <is>
          <t>VendorA</t>
        </is>
      </c>
      <c r="S298" s="100" t="n"/>
    </row>
    <row r="299" ht="24" customHeight="1" s="69">
      <c r="A299" s="77" t="n"/>
      <c r="B299" s="76" t="n"/>
      <c r="C299" s="76" t="n"/>
      <c r="D299" s="76" t="inlineStr">
        <is>
          <t>NL</t>
        </is>
      </c>
      <c r="E299" s="76" t="n"/>
      <c r="F299" s="76" t="inlineStr">
        <is>
          <t>TEIN TELECOM</t>
        </is>
      </c>
      <c r="G299" s="76" t="inlineStr">
        <is>
          <t>Telephone Equipment and Voice Recorders</t>
        </is>
      </c>
      <c r="H299" s="84" t="n">
        <v>39062</v>
      </c>
      <c r="I299" s="90" t="n">
        <v>13441</v>
      </c>
      <c r="J299" s="86" t="n">
        <v>0</v>
      </c>
      <c r="K299" s="76" t="n"/>
      <c r="L299" s="76" t="n"/>
      <c r="M299" s="76" t="n"/>
      <c r="N299" s="76" t="n"/>
      <c r="O299" s="76" t="inlineStr">
        <is>
          <t>E.004</t>
        </is>
      </c>
      <c r="P299" s="76" t="inlineStr">
        <is>
          <t>Novate</t>
        </is>
      </c>
      <c r="Q299" s="76" t="n"/>
      <c r="R299" s="76" t="inlineStr">
        <is>
          <t>TelCo</t>
        </is>
      </c>
      <c r="S299" s="87" t="n">
        <v>0</v>
      </c>
      <c r="T299" s="77" t="n"/>
    </row>
    <row r="300" ht="24" customHeight="1" s="69">
      <c r="A300" s="77" t="n"/>
      <c r="B300" s="76" t="n"/>
      <c r="C300" s="76" t="n">
        <v>2006050</v>
      </c>
      <c r="D300" s="76" t="inlineStr">
        <is>
          <t>NL</t>
        </is>
      </c>
      <c r="E300" s="76" t="n"/>
      <c r="F300" s="76" t="inlineStr">
        <is>
          <t>CISCO Systems</t>
        </is>
      </c>
      <c r="G300" s="76" t="inlineStr">
        <is>
          <t>Global Frame Pricing Agreement</t>
        </is>
      </c>
      <c r="H300" s="84" t="n"/>
      <c r="I300" s="90" t="n"/>
      <c r="J300" s="92" t="n">
        <v>1</v>
      </c>
      <c r="K300" s="76" t="n"/>
      <c r="L300" s="76" t="n"/>
      <c r="M300" s="76" t="n"/>
      <c r="N300" s="76" t="n"/>
      <c r="O300" s="76" t="inlineStr">
        <is>
          <t>E.005</t>
        </is>
      </c>
      <c r="P300" s="76" t="inlineStr">
        <is>
          <t>Retained</t>
        </is>
      </c>
      <c r="Q300" s="76" t="n"/>
      <c r="R300" s="76" t="inlineStr">
        <is>
          <t>TelCo</t>
        </is>
      </c>
      <c r="S300" s="87" t="n"/>
      <c r="T300" s="77" t="n"/>
    </row>
    <row r="301" ht="48" customHeight="1" s="69">
      <c r="A301" s="77" t="n"/>
      <c r="B301" s="76" t="n"/>
      <c r="C301" s="76" t="n"/>
      <c r="D301" s="76" t="inlineStr">
        <is>
          <t>NL</t>
        </is>
      </c>
      <c r="E301" s="76" t="n"/>
      <c r="F301" s="76" t="inlineStr">
        <is>
          <t>HEWLETT PACKARD NEDERLAND B.V.</t>
        </is>
      </c>
      <c r="G301" s="76" t="inlineStr">
        <is>
          <t>Service Agreement EuroBank WIA RAAR Arnhem, Switches; EuroBank Bank, Switches</t>
        </is>
      </c>
      <c r="H301" s="84" t="n">
        <v>38960</v>
      </c>
      <c r="I301" s="90" t="n"/>
      <c r="J301" s="92" t="n">
        <v>1</v>
      </c>
      <c r="K301" s="76" t="n"/>
      <c r="L301" s="76" t="n"/>
      <c r="M301" s="76" t="n"/>
      <c r="N301" s="76" t="n"/>
      <c r="O301" s="76" t="inlineStr">
        <is>
          <t>E.006</t>
        </is>
      </c>
      <c r="P301" s="76" t="inlineStr">
        <is>
          <t>Terminate</t>
        </is>
      </c>
      <c r="Q301" s="76" t="inlineStr">
        <is>
          <t>at expiry</t>
        </is>
      </c>
      <c r="R301" s="76" t="inlineStr">
        <is>
          <t>VendorA</t>
        </is>
      </c>
      <c r="S301" s="87" t="n"/>
    </row>
    <row r="302" ht="24" customHeight="1" s="69">
      <c r="A302" s="77" t="n"/>
      <c r="B302" s="76" t="n"/>
      <c r="C302" s="76" t="n"/>
      <c r="D302" s="76" t="inlineStr">
        <is>
          <t>NL</t>
        </is>
      </c>
      <c r="E302" s="76" t="n"/>
      <c r="F302" s="76" t="inlineStr">
        <is>
          <t>HEWLETT PACKARD NEDERLAND B.V.</t>
        </is>
      </c>
      <c r="G302" s="76" t="inlineStr">
        <is>
          <t>Service Agreement EuroBank WIA Front Office</t>
        </is>
      </c>
      <c r="H302" s="84" t="n">
        <v>38776</v>
      </c>
      <c r="I302" s="90">
        <f>188627/12</f>
        <v/>
      </c>
      <c r="J302" s="92" t="n">
        <v>1</v>
      </c>
      <c r="K302" s="76" t="n"/>
      <c r="L302" s="76" t="n"/>
      <c r="M302" s="76" t="n"/>
      <c r="N302" s="76" t="n"/>
      <c r="O302" s="76" t="inlineStr">
        <is>
          <t>E.007</t>
        </is>
      </c>
      <c r="P302" s="76" t="inlineStr">
        <is>
          <t>Terminate</t>
        </is>
      </c>
      <c r="Q302" s="76" t="inlineStr">
        <is>
          <t>at expiry</t>
        </is>
      </c>
      <c r="R302" s="76" t="inlineStr">
        <is>
          <t>VendorA</t>
        </is>
      </c>
      <c r="S302" s="87" t="n">
        <v>15719</v>
      </c>
    </row>
    <row r="303" ht="24" customHeight="1" s="69">
      <c r="A303" s="77" t="n"/>
      <c r="B303" s="76" t="n"/>
      <c r="C303" s="76" t="n">
        <v>2005171</v>
      </c>
      <c r="D303" s="76" t="inlineStr">
        <is>
          <t>NL</t>
        </is>
      </c>
      <c r="E303" s="76" t="inlineStr">
        <is>
          <t>WPS/WSS/SPSV</t>
        </is>
      </c>
      <c r="F303" s="76" t="inlineStr">
        <is>
          <t>COMSYS B.V.</t>
        </is>
      </c>
      <c r="G303" s="76" t="inlineStr">
        <is>
          <t>Maintenance Non GF, Prepaid Girofoon</t>
        </is>
      </c>
      <c r="H303" s="84" t="n">
        <v>39082</v>
      </c>
      <c r="I303" s="90" t="n">
        <v>17207</v>
      </c>
      <c r="J303" s="86" t="n">
        <v>1</v>
      </c>
      <c r="K303" s="76" t="n"/>
      <c r="L303" s="76" t="n"/>
      <c r="M303" s="76" t="n"/>
      <c r="N303" s="76" t="n"/>
      <c r="O303" s="76" t="inlineStr">
        <is>
          <t>E.008</t>
        </is>
      </c>
      <c r="P303" s="76" t="inlineStr">
        <is>
          <t>novate</t>
        </is>
      </c>
      <c r="Q303" s="76" t="n"/>
      <c r="R303" s="76" t="inlineStr">
        <is>
          <t>TelCo</t>
        </is>
      </c>
      <c r="S303" s="87" t="n">
        <v>13330</v>
      </c>
      <c r="T303" s="77" t="n"/>
    </row>
    <row r="304" ht="24" customHeight="1" s="69">
      <c r="A304" s="77" t="n"/>
      <c r="B304" s="76" t="n"/>
      <c r="C304" s="76" t="n">
        <v>2004942</v>
      </c>
      <c r="D304" s="76" t="inlineStr">
        <is>
          <t>NL</t>
        </is>
      </c>
      <c r="E304" s="76" t="n"/>
      <c r="F304" s="76" t="inlineStr">
        <is>
          <t>Hewlett Packard</t>
        </is>
      </c>
      <c r="G304" s="76" t="inlineStr">
        <is>
          <t>License Distribution Agreement</t>
        </is>
      </c>
      <c r="H304" s="84" t="n">
        <v>38717</v>
      </c>
      <c r="I304" s="90" t="n"/>
      <c r="J304" s="86" t="n">
        <v>1</v>
      </c>
      <c r="K304" s="76" t="n"/>
      <c r="L304" s="76" t="n"/>
      <c r="M304" s="76" t="n"/>
      <c r="N304" s="76" t="n"/>
      <c r="O304" s="76" t="inlineStr">
        <is>
          <t>E.009</t>
        </is>
      </c>
      <c r="P304" s="76" t="inlineStr">
        <is>
          <t>Terminate</t>
        </is>
      </c>
      <c r="Q304" s="76" t="inlineStr">
        <is>
          <t>at expiry</t>
        </is>
      </c>
      <c r="R304" s="76" t="inlineStr">
        <is>
          <t>VendorA</t>
        </is>
      </c>
      <c r="S304" s="87" t="n"/>
    </row>
    <row r="305" ht="24" customHeight="1" s="69">
      <c r="A305" s="77" t="n"/>
      <c r="B305" s="76" t="n"/>
      <c r="C305" s="76" t="n">
        <v>2004010</v>
      </c>
      <c r="D305" s="76" t="inlineStr">
        <is>
          <t>NL</t>
        </is>
      </c>
      <c r="E305" s="76" t="n"/>
      <c r="F305" s="76" t="inlineStr">
        <is>
          <t>Avensus (Evolve Datacom BV)</t>
        </is>
      </c>
      <c r="G305" s="76" t="inlineStr">
        <is>
          <t>HSM 8000 Ethernet High and Medium Speed</t>
        </is>
      </c>
      <c r="H305" s="84" t="n">
        <v>39202</v>
      </c>
      <c r="I305" s="90" t="n">
        <v>1239</v>
      </c>
      <c r="J305" s="86" t="n">
        <v>1</v>
      </c>
      <c r="K305" s="76" t="n"/>
      <c r="L305" s="76" t="n"/>
      <c r="M305" s="76" t="n"/>
      <c r="N305" s="76" t="n"/>
      <c r="O305" s="76" t="inlineStr">
        <is>
          <t>E.010</t>
        </is>
      </c>
      <c r="P305" s="76" t="inlineStr">
        <is>
          <t>Novate</t>
        </is>
      </c>
      <c r="Q305" s="76" t="n"/>
      <c r="R305" s="76" t="inlineStr">
        <is>
          <t>TelCo</t>
        </is>
      </c>
      <c r="S305" s="87" t="inlineStr">
        <is>
          <t>included in E031</t>
        </is>
      </c>
      <c r="T305" s="77" t="n"/>
    </row>
    <row r="306" ht="24" customHeight="1" s="69">
      <c r="A306" s="77" t="n"/>
      <c r="B306" s="76" t="n"/>
      <c r="C306" s="76" t="n">
        <v>2001291</v>
      </c>
      <c r="D306" s="76" t="inlineStr">
        <is>
          <t>NL</t>
        </is>
      </c>
      <c r="E306" s="76" t="n"/>
      <c r="F306" s="76" t="inlineStr">
        <is>
          <t>Cosa Solutions Nederland B.V.</t>
        </is>
      </c>
      <c r="G306" s="76" t="inlineStr">
        <is>
          <t>Purchase and Maintenance of Cosa Workflow Suite software</t>
        </is>
      </c>
      <c r="H306" s="84" t="n">
        <v>39264</v>
      </c>
      <c r="I306" s="90" t="n">
        <v>12410</v>
      </c>
      <c r="J306" s="86" t="n">
        <v>1</v>
      </c>
      <c r="K306" s="76" t="n"/>
      <c r="L306" s="76" t="n"/>
      <c r="M306" s="76" t="n"/>
      <c r="N306" s="76" t="n"/>
      <c r="O306" s="76" t="inlineStr">
        <is>
          <t>E.011</t>
        </is>
      </c>
      <c r="P306" s="76" t="inlineStr">
        <is>
          <t>Retained</t>
        </is>
      </c>
      <c r="Q306" s="76" t="n"/>
      <c r="R306" s="76" t="inlineStr">
        <is>
          <t>VendorA</t>
        </is>
      </c>
      <c r="S306" s="87" t="n"/>
    </row>
    <row r="307" ht="24" customHeight="1" s="69">
      <c r="A307" s="77" t="n"/>
      <c r="B307" s="76" t="n"/>
      <c r="C307" s="76" t="n">
        <v>2005948</v>
      </c>
      <c r="D307" s="76" t="inlineStr">
        <is>
          <t>NL</t>
        </is>
      </c>
      <c r="E307" s="76" t="inlineStr">
        <is>
          <t>WPS/UIS/CS</t>
        </is>
      </c>
      <c r="F307" s="76" t="inlineStr">
        <is>
          <t>Centric Managed ICT Services B.V.</t>
        </is>
      </c>
      <c r="G307" s="76" t="inlineStr">
        <is>
          <t>Flexible External capacity</t>
        </is>
      </c>
      <c r="H307" s="84" t="n">
        <v>39082</v>
      </c>
      <c r="I307" s="90" t="n">
        <v>35295</v>
      </c>
      <c r="J307" s="86" t="n">
        <v>1</v>
      </c>
      <c r="K307" s="76" t="n"/>
      <c r="L307" s="76" t="n"/>
      <c r="M307" s="76" t="n"/>
      <c r="N307" s="76" t="n"/>
      <c r="O307" s="76" t="inlineStr">
        <is>
          <t>E.012</t>
        </is>
      </c>
      <c r="P307" s="76" t="inlineStr">
        <is>
          <t>Terminate</t>
        </is>
      </c>
      <c r="Q307" s="76" t="inlineStr">
        <is>
          <t>at expiry</t>
        </is>
      </c>
      <c r="R307" s="76" t="inlineStr">
        <is>
          <t>Vendor Gamma</t>
        </is>
      </c>
      <c r="S307" s="87" t="n"/>
    </row>
    <row r="308" ht="24" customHeight="1" s="69">
      <c r="A308" s="77" t="inlineStr">
        <is>
          <t>Voice</t>
        </is>
      </c>
      <c r="B308" s="76" t="n"/>
      <c r="C308" s="76" t="n">
        <v>2004689</v>
      </c>
      <c r="D308" s="76" t="inlineStr">
        <is>
          <t>NL</t>
        </is>
      </c>
      <c r="E308" s="76" t="inlineStr">
        <is>
          <t>WPS/UIS/CS</t>
        </is>
      </c>
      <c r="F308" s="76" t="inlineStr">
        <is>
          <t>AVAYA NEDERLAND BV</t>
        </is>
      </c>
      <c r="G308" s="76" t="inlineStr">
        <is>
          <t>Addendum to C.150</t>
        </is>
      </c>
      <c r="H308" s="84" t="n">
        <v>39172</v>
      </c>
      <c r="I308" s="90" t="n">
        <v>8326</v>
      </c>
      <c r="J308" s="86" t="n">
        <v>1</v>
      </c>
      <c r="K308" s="76" t="n"/>
      <c r="L308" s="76" t="n"/>
      <c r="M308" s="76" t="n"/>
      <c r="N308" s="76" t="n"/>
      <c r="O308" s="76" t="inlineStr">
        <is>
          <t>E.013</t>
        </is>
      </c>
      <c r="P308" s="76" t="inlineStr">
        <is>
          <t>Novate</t>
        </is>
      </c>
      <c r="Q308" s="76" t="n"/>
      <c r="R308" s="76" t="inlineStr">
        <is>
          <t>TelCo</t>
        </is>
      </c>
      <c r="S308" s="87" t="inlineStr">
        <is>
          <t>included in E014</t>
        </is>
      </c>
      <c r="T308" s="77" t="n"/>
    </row>
    <row r="309" ht="24" customHeight="1" s="69">
      <c r="A309" s="77" t="inlineStr">
        <is>
          <t>Voice</t>
        </is>
      </c>
      <c r="B309" s="76" t="n"/>
      <c r="C309" s="76" t="n">
        <v>2004560</v>
      </c>
      <c r="D309" s="76" t="inlineStr">
        <is>
          <t>NL</t>
        </is>
      </c>
      <c r="E309" s="76" t="inlineStr">
        <is>
          <t>WPS/WSS/SPSV</t>
        </is>
      </c>
      <c r="F309" s="76" t="inlineStr">
        <is>
          <t>AVAYA NEDERLAND BV</t>
        </is>
      </c>
      <c r="G309" s="76" t="inlineStr">
        <is>
          <t>Global Pricing Agreement</t>
        </is>
      </c>
      <c r="H309" s="84" t="n">
        <v>39172</v>
      </c>
      <c r="I309" s="90" t="n">
        <v>67062</v>
      </c>
      <c r="J309" s="86" t="n">
        <v>1</v>
      </c>
      <c r="K309" s="76" t="n"/>
      <c r="L309" s="76" t="n"/>
      <c r="M309" s="76" t="n"/>
      <c r="N309" s="76" t="n"/>
      <c r="O309" s="76" t="inlineStr">
        <is>
          <t>E.014</t>
        </is>
      </c>
      <c r="P309" s="76" t="inlineStr">
        <is>
          <t>Novate</t>
        </is>
      </c>
      <c r="Q309" s="76" t="n"/>
      <c r="R309" s="76" t="inlineStr">
        <is>
          <t>TelCo</t>
        </is>
      </c>
      <c r="S309" s="87" t="n">
        <v>50000</v>
      </c>
      <c r="T309" s="77" t="n"/>
    </row>
    <row r="310" ht="24" customHeight="1" s="69">
      <c r="A310" s="77" t="n"/>
      <c r="B310" s="76" t="n"/>
      <c r="C310" s="76" t="n">
        <v>2005418</v>
      </c>
      <c r="D310" s="76" t="inlineStr">
        <is>
          <t>NL</t>
        </is>
      </c>
      <c r="E310" s="76" t="n"/>
      <c r="F310" s="76" t="inlineStr">
        <is>
          <t>IBM NEDERLAND BV</t>
        </is>
      </c>
      <c r="G310" s="76" t="inlineStr">
        <is>
          <t>Peregrine licenses and maintenance</t>
        </is>
      </c>
      <c r="H310" s="84" t="n">
        <v>39844</v>
      </c>
      <c r="I310" s="90">
        <f>1189307/12</f>
        <v/>
      </c>
      <c r="J310" s="92" t="n">
        <v>0.5</v>
      </c>
      <c r="K310" s="76" t="n"/>
      <c r="L310" s="76" t="n"/>
      <c r="M310" s="76" t="n"/>
      <c r="N310" s="76" t="n"/>
      <c r="O310" s="76" t="inlineStr">
        <is>
          <t>E.015</t>
        </is>
      </c>
      <c r="P310" s="76" t="inlineStr">
        <is>
          <t>Terminate</t>
        </is>
      </c>
      <c r="Q310" s="76" t="n"/>
      <c r="R310" s="76" t="inlineStr">
        <is>
          <t>Vendor Gamma</t>
        </is>
      </c>
      <c r="S310" s="87" t="n"/>
    </row>
    <row r="311" ht="24" customHeight="1" s="69">
      <c r="A311" s="77" t="n"/>
      <c r="B311" s="76" t="n"/>
      <c r="C311" s="76" t="n">
        <v>2004042</v>
      </c>
      <c r="D311" s="76" t="inlineStr">
        <is>
          <t>NL</t>
        </is>
      </c>
      <c r="E311" s="76" t="n"/>
      <c r="F311" s="76" t="inlineStr">
        <is>
          <t>IBM NEDERLAND BV</t>
        </is>
      </c>
      <c r="G311" s="76" t="inlineStr">
        <is>
          <t>Maintenance of Goods Agreement</t>
        </is>
      </c>
      <c r="H311" s="84" t="n">
        <v>39082</v>
      </c>
      <c r="I311" s="90" t="n"/>
      <c r="J311" s="92" t="n">
        <v>0.1</v>
      </c>
      <c r="K311" s="76" t="n"/>
      <c r="L311" s="76" t="n"/>
      <c r="M311" s="76" t="n"/>
      <c r="N311" s="76" t="n"/>
      <c r="O311" s="76" t="inlineStr">
        <is>
          <t>E.017</t>
        </is>
      </c>
      <c r="P311" s="76" t="inlineStr">
        <is>
          <t>Retained</t>
        </is>
      </c>
      <c r="Q311" s="76" t="n"/>
      <c r="R311" s="76" t="inlineStr">
        <is>
          <t>Vendor Gamma</t>
        </is>
      </c>
      <c r="S311" s="87" t="n"/>
    </row>
    <row r="312" ht="24" customHeight="1" s="69">
      <c r="A312" s="77" t="n"/>
      <c r="B312" s="76" t="n"/>
      <c r="C312" s="76" t="n">
        <v>2001320</v>
      </c>
      <c r="D312" s="76" t="inlineStr">
        <is>
          <t>NL</t>
        </is>
      </c>
      <c r="E312" s="76" t="n"/>
      <c r="F312" s="76" t="inlineStr">
        <is>
          <t>NOVELL NEDERLAND B.V.</t>
        </is>
      </c>
      <c r="G312" s="76" t="inlineStr">
        <is>
          <t>Registration Explanation Novell MLA license</t>
        </is>
      </c>
      <c r="H312" s="84" t="n">
        <v>38649</v>
      </c>
      <c r="I312" s="90" t="n">
        <v>43625</v>
      </c>
      <c r="J312" s="86" t="n">
        <v>0.5</v>
      </c>
      <c r="K312" s="76" t="n"/>
      <c r="L312" s="76" t="n"/>
      <c r="M312" s="76" t="n"/>
      <c r="N312" s="76" t="n"/>
      <c r="O312" s="76" t="inlineStr">
        <is>
          <t>E.019</t>
        </is>
      </c>
      <c r="P312" s="76" t="inlineStr">
        <is>
          <t>Retained</t>
        </is>
      </c>
      <c r="Q312" s="76" t="n"/>
      <c r="R312" s="76" t="inlineStr">
        <is>
          <t>VendorA</t>
        </is>
      </c>
      <c r="S312" s="87" t="n"/>
    </row>
    <row r="313" ht="24" customHeight="1" s="69">
      <c r="A313" s="95" t="inlineStr">
        <is>
          <t>Desktop HW</t>
        </is>
      </c>
      <c r="B313" s="96" t="n"/>
      <c r="C313" s="96" t="n">
        <v>2004160</v>
      </c>
      <c r="D313" s="96" t="inlineStr">
        <is>
          <t>NL</t>
        </is>
      </c>
      <c r="E313" s="96" t="inlineStr">
        <is>
          <t>WPS/UIS/CS</t>
        </is>
      </c>
      <c r="F313" s="96" t="inlineStr">
        <is>
          <t>VENDOR GAMMA NEDERLAND B.V.</t>
        </is>
      </c>
      <c r="G313" s="96" t="inlineStr">
        <is>
          <t>Maintenance Desktop EuroBank Bank kantoren (EuroBank/00000*)</t>
        </is>
      </c>
      <c r="H313" s="97" t="n">
        <v>38533</v>
      </c>
      <c r="I313" s="106" t="n">
        <v>70592</v>
      </c>
      <c r="J313" s="99" t="n">
        <v>1</v>
      </c>
      <c r="K313" s="96" t="n"/>
      <c r="L313" s="96" t="n"/>
      <c r="M313" s="96" t="n"/>
      <c r="N313" s="96" t="n"/>
      <c r="O313" s="96" t="inlineStr">
        <is>
          <t>E.020</t>
        </is>
      </c>
      <c r="P313" s="96" t="inlineStr">
        <is>
          <t>novate</t>
        </is>
      </c>
      <c r="Q313" s="96" t="n"/>
      <c r="R313" s="96" t="inlineStr">
        <is>
          <t>Vendor Gamma</t>
        </is>
      </c>
      <c r="S313" s="100" t="n"/>
    </row>
    <row r="314" ht="24" customHeight="1" s="69">
      <c r="A314" s="77" t="n"/>
      <c r="B314" s="76" t="inlineStr">
        <is>
          <t xml:space="preserve"> </t>
        </is>
      </c>
      <c r="C314" s="76" t="n">
        <v>2003912</v>
      </c>
      <c r="D314" s="76" t="inlineStr">
        <is>
          <t>NL</t>
        </is>
      </c>
      <c r="E314" s="76" t="n"/>
      <c r="F314" s="76" t="inlineStr">
        <is>
          <t>EXACT MAATWERK BV</t>
        </is>
      </c>
      <c r="G314" s="76" t="inlineStr">
        <is>
          <t>Exact license and Maintenance</t>
        </is>
      </c>
      <c r="H314" s="84" t="n">
        <v>39119</v>
      </c>
      <c r="I314" s="90" t="n">
        <v>71</v>
      </c>
      <c r="J314" s="86" t="n">
        <v>0</v>
      </c>
      <c r="K314" s="76" t="n"/>
      <c r="L314" s="76" t="n"/>
      <c r="M314" s="76" t="n"/>
      <c r="N314" s="76" t="n"/>
      <c r="O314" s="76" t="inlineStr">
        <is>
          <t>E.021</t>
        </is>
      </c>
      <c r="P314" s="76" t="inlineStr">
        <is>
          <t>Retained</t>
        </is>
      </c>
      <c r="Q314" s="76" t="n"/>
      <c r="R314" s="76" t="inlineStr">
        <is>
          <t>VendorA</t>
        </is>
      </c>
      <c r="S314" s="87" t="n"/>
    </row>
    <row r="315" ht="48" customHeight="1" s="69">
      <c r="A315" s="77" t="n"/>
      <c r="B315" s="76" t="n"/>
      <c r="C315" s="76" t="n">
        <v>2004387</v>
      </c>
      <c r="D315" s="76" t="inlineStr">
        <is>
          <t>NL</t>
        </is>
      </c>
      <c r="E315" s="76" t="inlineStr">
        <is>
          <t>WPS/UIS/CS</t>
        </is>
      </c>
      <c r="F315" s="76" t="inlineStr">
        <is>
          <t>DELL COMPUTER BV</t>
        </is>
      </c>
      <c r="G315" s="76" t="inlineStr">
        <is>
          <t>Aanschaf Laptop's (This is not a maintenance contract but a guaranteecontract)</t>
        </is>
      </c>
      <c r="H315" s="84" t="n">
        <v>38322</v>
      </c>
      <c r="I315" s="90" t="n"/>
      <c r="J315" s="86" t="n">
        <v>1</v>
      </c>
      <c r="K315" s="76" t="n"/>
      <c r="L315" s="76" t="n"/>
      <c r="M315" s="76" t="n"/>
      <c r="N315" s="76" t="n"/>
      <c r="O315" s="76" t="inlineStr">
        <is>
          <t>E.022</t>
        </is>
      </c>
      <c r="P315" s="76" t="inlineStr">
        <is>
          <t>Terminate</t>
        </is>
      </c>
      <c r="Q315" s="76" t="inlineStr">
        <is>
          <t>at expiry</t>
        </is>
      </c>
      <c r="R315" s="76" t="inlineStr">
        <is>
          <t>Vendor Gamma</t>
        </is>
      </c>
      <c r="S315" s="87" t="n"/>
    </row>
    <row r="316" ht="24" customHeight="1" s="69">
      <c r="A316" s="77" t="n"/>
      <c r="B316" s="76" t="n"/>
      <c r="C316" s="76" t="n">
        <v>2002669</v>
      </c>
      <c r="D316" s="76" t="inlineStr">
        <is>
          <t>NL</t>
        </is>
      </c>
      <c r="E316" s="76" t="n"/>
      <c r="F316" s="76" t="inlineStr">
        <is>
          <t>SUN MICROSYSTEMS NEDERLAND BV</t>
        </is>
      </c>
      <c r="G316" s="76" t="inlineStr">
        <is>
          <t>Mantelovereenkomst Hardware &amp; Onderhoud</t>
        </is>
      </c>
      <c r="H316" s="84" t="n"/>
      <c r="I316" s="90" t="n">
        <v>777</v>
      </c>
      <c r="J316" s="92" t="n">
        <v>1</v>
      </c>
      <c r="K316" s="76" t="n"/>
      <c r="L316" s="76" t="n"/>
      <c r="M316" s="76" t="n"/>
      <c r="N316" s="76" t="n"/>
      <c r="O316" s="76" t="inlineStr">
        <is>
          <t>E.024</t>
        </is>
      </c>
      <c r="P316" s="76" t="inlineStr">
        <is>
          <t>Retained</t>
        </is>
      </c>
      <c r="Q316" s="76" t="n"/>
      <c r="R316" s="76" t="inlineStr">
        <is>
          <t>VendorA</t>
        </is>
      </c>
      <c r="S316" s="87" t="n"/>
    </row>
    <row r="317" ht="24" customHeight="1" s="69">
      <c r="A317" s="77" t="n"/>
      <c r="B317" s="76" t="n"/>
      <c r="C317" s="76" t="n">
        <v>2002362</v>
      </c>
      <c r="D317" s="76" t="inlineStr">
        <is>
          <t>NL</t>
        </is>
      </c>
      <c r="E317" s="76" t="n"/>
      <c r="F317" s="76" t="inlineStr">
        <is>
          <t>PROF DEVELOPMENT SYS</t>
        </is>
      </c>
      <c r="G317" s="76" t="inlineStr">
        <is>
          <t>Installshield License Global (no maintenance)</t>
        </is>
      </c>
      <c r="H317" s="84" t="n">
        <v>38857</v>
      </c>
      <c r="I317" s="90" t="n">
        <v>13751</v>
      </c>
      <c r="J317" s="86" t="n">
        <v>1</v>
      </c>
      <c r="K317" s="76" t="n"/>
      <c r="L317" s="76" t="n"/>
      <c r="M317" s="76" t="n"/>
      <c r="N317" s="76" t="n"/>
      <c r="O317" s="76" t="inlineStr">
        <is>
          <t>E.025</t>
        </is>
      </c>
      <c r="P317" s="76" t="inlineStr">
        <is>
          <t>Terminate</t>
        </is>
      </c>
      <c r="Q317" s="76" t="inlineStr">
        <is>
          <t>at expiry</t>
        </is>
      </c>
      <c r="R317" s="76" t="inlineStr">
        <is>
          <t>VendorA</t>
        </is>
      </c>
      <c r="S317" s="87" t="n">
        <v>13751</v>
      </c>
    </row>
    <row r="318" ht="47.4" customHeight="1" s="69">
      <c r="A318" s="77" t="n"/>
      <c r="B318" s="76" t="n"/>
      <c r="C318" s="76" t="n">
        <v>2005622</v>
      </c>
      <c r="D318" s="76" t="inlineStr">
        <is>
          <t>NL</t>
        </is>
      </c>
      <c r="E318" s="76" t="n"/>
      <c r="F318" s="76" t="inlineStr">
        <is>
          <t>NETIQ EUROPE LTD</t>
        </is>
      </c>
      <c r="G318" s="76" t="inlineStr">
        <is>
          <t>Statement of Work for Training, Implementation, Consultancy of NETIQ Software</t>
        </is>
      </c>
      <c r="H318" s="84" t="n"/>
      <c r="I318" s="90" t="n">
        <v>6000</v>
      </c>
      <c r="J318" s="86" t="n">
        <v>0.5</v>
      </c>
      <c r="K318" s="76" t="n"/>
      <c r="L318" s="76" t="n"/>
      <c r="M318" s="76" t="n"/>
      <c r="N318" s="76" t="n"/>
      <c r="O318" s="76" t="inlineStr">
        <is>
          <t>E.026</t>
        </is>
      </c>
      <c r="P318" s="76" t="inlineStr">
        <is>
          <t>Terminate</t>
        </is>
      </c>
      <c r="Q318" s="76" t="inlineStr">
        <is>
          <t>at expiry</t>
        </is>
      </c>
      <c r="R318" s="76" t="inlineStr">
        <is>
          <t>VendorA</t>
        </is>
      </c>
      <c r="S318" s="87" t="n"/>
    </row>
    <row r="319" ht="24" customHeight="1" s="69">
      <c r="A319" s="95" t="n"/>
      <c r="B319" s="96" t="n"/>
      <c r="C319" s="96" t="n">
        <v>2004110</v>
      </c>
      <c r="D319" s="96" t="inlineStr">
        <is>
          <t>NL</t>
        </is>
      </c>
      <c r="E319" s="96" t="inlineStr">
        <is>
          <t>WPS/WSS/SPSV</t>
        </is>
      </c>
      <c r="F319" s="96" t="inlineStr">
        <is>
          <t>TelCo</t>
        </is>
      </c>
      <c r="G319" s="96" t="inlineStr">
        <is>
          <t>Maintenance PABX Nortel EuroBank Locations</t>
        </is>
      </c>
      <c r="H319" s="97" t="n">
        <v>39082</v>
      </c>
      <c r="I319" s="106" t="n">
        <v>25919</v>
      </c>
      <c r="J319" s="99" t="n">
        <v>1</v>
      </c>
      <c r="K319" s="96" t="n"/>
      <c r="L319" s="96" t="n"/>
      <c r="M319" s="96" t="n"/>
      <c r="N319" s="96" t="n"/>
      <c r="O319" s="96" t="inlineStr">
        <is>
          <t>E.028</t>
        </is>
      </c>
      <c r="P319" s="96" t="inlineStr">
        <is>
          <t>Novate</t>
        </is>
      </c>
      <c r="Q319" s="96" t="n"/>
      <c r="R319" s="96" t="inlineStr">
        <is>
          <t>TelCo</t>
        </is>
      </c>
      <c r="S319" s="100" t="n"/>
      <c r="T319" s="77" t="n"/>
    </row>
    <row r="320" ht="24" customHeight="1" s="69">
      <c r="A320" s="95" t="n"/>
      <c r="B320" s="96" t="n"/>
      <c r="C320" s="96" t="n">
        <v>2002709</v>
      </c>
      <c r="D320" s="96" t="inlineStr">
        <is>
          <t>NL</t>
        </is>
      </c>
      <c r="E320" s="96" t="inlineStr">
        <is>
          <t>WPS/WSS/SPSV</t>
        </is>
      </c>
      <c r="F320" s="96" t="inlineStr">
        <is>
          <t>TelCo</t>
        </is>
      </c>
      <c r="G320" s="96" t="inlineStr">
        <is>
          <t>Purchase equipment, Maintenance, Installation.</t>
        </is>
      </c>
      <c r="H320" s="97" t="n">
        <v>39247</v>
      </c>
      <c r="I320" s="106" t="n">
        <v>111870</v>
      </c>
      <c r="J320" s="99" t="n">
        <v>1</v>
      </c>
      <c r="K320" s="96" t="n"/>
      <c r="L320" s="96" t="n"/>
      <c r="M320" s="96" t="n"/>
      <c r="N320" s="96" t="n"/>
      <c r="O320" s="96" t="inlineStr">
        <is>
          <t>E.029</t>
        </is>
      </c>
      <c r="P320" s="96" t="inlineStr">
        <is>
          <t>Novate</t>
        </is>
      </c>
      <c r="Q320" s="96" t="n"/>
      <c r="R320" s="96" t="inlineStr">
        <is>
          <t>TelCo</t>
        </is>
      </c>
      <c r="S320" s="100" t="n"/>
      <c r="T320" s="77" t="n"/>
    </row>
    <row r="321" ht="24" customHeight="1" s="69">
      <c r="A321" s="77" t="n"/>
      <c r="B321" s="76" t="n"/>
      <c r="C321" s="76" t="n"/>
      <c r="D321" s="76" t="inlineStr">
        <is>
          <t>NL</t>
        </is>
      </c>
      <c r="E321" s="76" t="n"/>
      <c r="F321" s="76" t="inlineStr">
        <is>
          <t>AVENSUS (EVOLVE DATACOM BV)</t>
        </is>
      </c>
      <c r="G321" s="76" t="inlineStr">
        <is>
          <t>Nicelog</t>
        </is>
      </c>
      <c r="H321" s="84" t="n"/>
      <c r="I321" s="90" t="n">
        <v>3637</v>
      </c>
      <c r="J321" s="86" t="n">
        <v>1</v>
      </c>
      <c r="K321" s="76" t="n"/>
      <c r="L321" s="76" t="n"/>
      <c r="M321" s="76" t="n"/>
      <c r="N321" s="76" t="n"/>
      <c r="O321" s="76" t="inlineStr">
        <is>
          <t>E.031</t>
        </is>
      </c>
      <c r="P321" s="76" t="inlineStr">
        <is>
          <t>Novate</t>
        </is>
      </c>
      <c r="Q321" s="76" t="n"/>
      <c r="R321" s="76" t="inlineStr">
        <is>
          <t>TelCo</t>
        </is>
      </c>
      <c r="S321" s="87" t="n">
        <v>6667</v>
      </c>
      <c r="T321" s="77" t="n"/>
    </row>
    <row r="322" ht="24" customHeight="1" s="69">
      <c r="A322" s="77" t="n"/>
      <c r="B322" s="76" t="n"/>
      <c r="C322" s="76" t="n">
        <v>2004726</v>
      </c>
      <c r="D322" s="76" t="inlineStr">
        <is>
          <t>NL</t>
        </is>
      </c>
      <c r="E322" s="76" t="n"/>
      <c r="F322" s="76" t="inlineStr">
        <is>
          <t>AVNET</t>
        </is>
      </c>
      <c r="G322" s="76" t="inlineStr">
        <is>
          <t>EIZO TFT's</t>
        </is>
      </c>
      <c r="H322" s="84" t="n"/>
      <c r="I322" s="90" t="n">
        <v>723</v>
      </c>
      <c r="J322" s="86" t="n">
        <v>1</v>
      </c>
      <c r="K322" s="76" t="n"/>
      <c r="L322" s="76" t="n"/>
      <c r="M322" s="76" t="n"/>
      <c r="N322" s="76" t="n"/>
      <c r="O322" s="76" t="inlineStr">
        <is>
          <t>E.032</t>
        </is>
      </c>
      <c r="P322" s="76" t="inlineStr">
        <is>
          <t>Terminate</t>
        </is>
      </c>
      <c r="Q322" s="76" t="inlineStr">
        <is>
          <t>at expiry</t>
        </is>
      </c>
      <c r="R322" s="76" t="inlineStr">
        <is>
          <t>Vendor Gamma</t>
        </is>
      </c>
      <c r="S322" s="87" t="n"/>
    </row>
    <row r="323" ht="24" customHeight="1" s="69">
      <c r="A323" s="77" t="n"/>
      <c r="B323" s="76" t="n"/>
      <c r="C323" s="76" t="n">
        <v>2002637</v>
      </c>
      <c r="D323" s="76" t="inlineStr">
        <is>
          <t>NL</t>
        </is>
      </c>
      <c r="E323" s="76" t="inlineStr">
        <is>
          <t>WPS/UIS/CS</t>
        </is>
      </c>
      <c r="F323" s="76" t="inlineStr">
        <is>
          <t>Centric Network &amp; Office Automation B.V.</t>
        </is>
      </c>
      <c r="G323" s="76" t="inlineStr">
        <is>
          <t>Service Level Agreement EuroBank-ICT CADS</t>
        </is>
      </c>
      <c r="H323" s="84" t="n">
        <v>38898</v>
      </c>
      <c r="I323" s="90" t="n">
        <v>15000</v>
      </c>
      <c r="J323" s="86" t="n">
        <v>1</v>
      </c>
      <c r="K323" s="76" t="n"/>
      <c r="L323" s="76" t="n"/>
      <c r="M323" s="76" t="n"/>
      <c r="N323" s="76" t="n"/>
      <c r="O323" s="76" t="inlineStr">
        <is>
          <t>E.033</t>
        </is>
      </c>
      <c r="P323" s="76" t="inlineStr">
        <is>
          <t>Terminate</t>
        </is>
      </c>
      <c r="Q323" s="76" t="inlineStr">
        <is>
          <t>at expiry</t>
        </is>
      </c>
      <c r="R323" s="76" t="inlineStr">
        <is>
          <t>Vendor Gamma</t>
        </is>
      </c>
      <c r="S323" s="87" t="n"/>
    </row>
    <row r="324" ht="48" customHeight="1" s="69">
      <c r="A324" s="95" t="inlineStr">
        <is>
          <t>Desktop HW</t>
        </is>
      </c>
      <c r="B324" s="96" t="n">
        <v>8525630</v>
      </c>
      <c r="C324" s="96" t="n"/>
      <c r="D324" s="96" t="inlineStr">
        <is>
          <t>NL</t>
        </is>
      </c>
      <c r="E324" s="96" t="inlineStr">
        <is>
          <t>CS/SD</t>
        </is>
      </c>
      <c r="F324" s="96" t="inlineStr">
        <is>
          <t>VENDOR GAMMA INFRASTRUCTURE SOLUTIONS</t>
        </is>
      </c>
      <c r="G324" s="96" t="inlineStr">
        <is>
          <t>global (reseller hardware)</t>
        </is>
      </c>
      <c r="H324" s="97" t="n"/>
      <c r="I324" s="106" t="n">
        <v>32472</v>
      </c>
      <c r="J324" s="99" t="n">
        <v>1</v>
      </c>
      <c r="K324" s="96" t="n"/>
      <c r="L324" s="96" t="n"/>
      <c r="M324" s="96" t="n"/>
      <c r="N324" s="96" t="n"/>
      <c r="O324" s="96" t="inlineStr">
        <is>
          <t>E.035</t>
        </is>
      </c>
      <c r="P324" s="96" t="inlineStr">
        <is>
          <t>novate</t>
        </is>
      </c>
      <c r="Q324" s="96" t="n"/>
      <c r="R324" s="96" t="inlineStr">
        <is>
          <t>Vendor Gamma</t>
        </is>
      </c>
      <c r="S324" s="100" t="n"/>
    </row>
    <row r="325" ht="24" customHeight="1" s="69">
      <c r="A325" s="95" t="n"/>
      <c r="B325" s="96" t="n"/>
      <c r="C325" s="96" t="n">
        <v>2006163</v>
      </c>
      <c r="D325" s="96" t="inlineStr">
        <is>
          <t>NL</t>
        </is>
      </c>
      <c r="E325" s="96" t="inlineStr">
        <is>
          <t>WPS/UIS/CS</t>
        </is>
      </c>
      <c r="F325" s="96" t="inlineStr">
        <is>
          <t>VENDOR GAMMA NEDERLAND B.V.</t>
        </is>
      </c>
      <c r="G325" s="96" t="inlineStr">
        <is>
          <t>Patch. Activiteiten ivm verhuizingen</t>
        </is>
      </c>
      <c r="H325" s="97" t="n"/>
      <c r="I325" s="106" t="n">
        <v>88500</v>
      </c>
      <c r="J325" s="99" t="n">
        <v>0.2</v>
      </c>
      <c r="K325" s="96" t="n"/>
      <c r="L325" s="96" t="n"/>
      <c r="M325" s="96" t="n"/>
      <c r="N325" s="96" t="n"/>
      <c r="O325" s="96" t="inlineStr">
        <is>
          <t>E.037</t>
        </is>
      </c>
      <c r="P325" s="96" t="inlineStr">
        <is>
          <t>novate</t>
        </is>
      </c>
      <c r="Q325" s="96" t="n"/>
      <c r="R325" s="96" t="inlineStr">
        <is>
          <t>Vendor Gamma</t>
        </is>
      </c>
      <c r="S325" s="100" t="n"/>
    </row>
    <row r="326" ht="24" customHeight="1" s="69">
      <c r="A326" s="95" t="n"/>
      <c r="B326" s="96" t="n"/>
      <c r="C326" s="96" t="n"/>
      <c r="D326" s="96" t="inlineStr">
        <is>
          <t>NL</t>
        </is>
      </c>
      <c r="E326" s="96" t="n"/>
      <c r="F326" s="96" t="inlineStr">
        <is>
          <t>VENDOR GAMMA NEDERLAND BV</t>
        </is>
      </c>
      <c r="G326" s="96" t="inlineStr">
        <is>
          <t>Testing</t>
        </is>
      </c>
      <c r="H326" s="97" t="n"/>
      <c r="I326" s="106" t="n">
        <v>4235</v>
      </c>
      <c r="J326" s="99" t="n">
        <v>0.2</v>
      </c>
      <c r="K326" s="96" t="n"/>
      <c r="L326" s="96" t="n"/>
      <c r="M326" s="96" t="n"/>
      <c r="N326" s="96" t="n"/>
      <c r="O326" s="96" t="inlineStr">
        <is>
          <t>E.038</t>
        </is>
      </c>
      <c r="P326" s="96" t="inlineStr">
        <is>
          <t>novate</t>
        </is>
      </c>
      <c r="Q326" s="96" t="n"/>
      <c r="R326" s="96" t="inlineStr">
        <is>
          <t>Vendor Gamma</t>
        </is>
      </c>
      <c r="S326" s="100" t="n"/>
    </row>
    <row r="327" ht="24" customHeight="1" s="69">
      <c r="A327" s="95" t="n"/>
      <c r="B327" s="96" t="n"/>
      <c r="C327" s="96" t="n"/>
      <c r="D327" s="96" t="inlineStr">
        <is>
          <t>NL</t>
        </is>
      </c>
      <c r="E327" s="96" t="inlineStr">
        <is>
          <t>WPS/WSS/SPSV</t>
        </is>
      </c>
      <c r="F327" s="96" t="inlineStr">
        <is>
          <t>TelCo</t>
        </is>
      </c>
      <c r="G327" s="96" t="inlineStr">
        <is>
          <t>Telephony Charges</t>
        </is>
      </c>
      <c r="H327" s="97" t="n"/>
      <c r="I327" s="106" t="n">
        <v>500000</v>
      </c>
      <c r="J327" s="99" t="n">
        <v>1</v>
      </c>
      <c r="K327" s="96" t="n"/>
      <c r="L327" s="96" t="n"/>
      <c r="M327" s="96" t="n"/>
      <c r="N327" s="96" t="n"/>
      <c r="O327" s="96" t="inlineStr">
        <is>
          <t>E.040</t>
        </is>
      </c>
      <c r="P327" s="96" t="inlineStr">
        <is>
          <t>Novate</t>
        </is>
      </c>
      <c r="Q327" s="96" t="n"/>
      <c r="R327" s="96" t="inlineStr">
        <is>
          <t>TelCo</t>
        </is>
      </c>
      <c r="S327" s="100" t="n"/>
      <c r="T327" s="77" t="n"/>
    </row>
    <row r="328" ht="24" customHeight="1" s="69">
      <c r="A328" s="95" t="n"/>
      <c r="B328" s="96" t="n"/>
      <c r="C328" s="96" t="n"/>
      <c r="D328" s="96" t="inlineStr">
        <is>
          <t>NL</t>
        </is>
      </c>
      <c r="E328" s="96" t="inlineStr">
        <is>
          <t>WPS/WSS/SPSV</t>
        </is>
      </c>
      <c r="F328" s="96" t="inlineStr">
        <is>
          <t>TelCo</t>
        </is>
      </c>
      <c r="G328" s="96" t="inlineStr">
        <is>
          <t>Telephony Subcriptions</t>
        </is>
      </c>
      <c r="H328" s="97" t="n"/>
      <c r="I328" s="106" t="n">
        <v>190000</v>
      </c>
      <c r="J328" s="99" t="n">
        <v>1</v>
      </c>
      <c r="K328" s="96" t="n"/>
      <c r="L328" s="96" t="n"/>
      <c r="M328" s="96" t="n"/>
      <c r="N328" s="96" t="n"/>
      <c r="O328" s="96" t="inlineStr">
        <is>
          <t>E.041</t>
        </is>
      </c>
      <c r="P328" s="96" t="inlineStr">
        <is>
          <t>Novate</t>
        </is>
      </c>
      <c r="Q328" s="96" t="n"/>
      <c r="R328" s="96" t="inlineStr">
        <is>
          <t>TelCo</t>
        </is>
      </c>
      <c r="S328" s="100" t="n"/>
      <c r="T328" s="77" t="n"/>
    </row>
    <row r="329" ht="24" customHeight="1" s="69">
      <c r="A329" s="77" t="inlineStr">
        <is>
          <t>Desktop HW</t>
        </is>
      </c>
      <c r="B329" s="76" t="n"/>
      <c r="C329" s="76" t="n"/>
      <c r="D329" s="76" t="inlineStr">
        <is>
          <t>NL</t>
        </is>
      </c>
      <c r="E329" s="76" t="inlineStr">
        <is>
          <t>WPS/UIS/CS</t>
        </is>
      </c>
      <c r="F329" s="76" t="inlineStr">
        <is>
          <t xml:space="preserve">LENOVO </t>
        </is>
      </c>
      <c r="G329" s="76" t="inlineStr">
        <is>
          <t>IBM Thinkpad Laptops</t>
        </is>
      </c>
      <c r="H329" s="84" t="n"/>
      <c r="I329" s="90" t="n">
        <v>86534</v>
      </c>
      <c r="J329" s="86" t="n">
        <v>1</v>
      </c>
      <c r="K329" s="76" t="n"/>
      <c r="L329" s="76" t="n"/>
      <c r="M329" s="76" t="n"/>
      <c r="N329" s="76" t="n"/>
      <c r="O329" s="76" t="inlineStr">
        <is>
          <t>E.042</t>
        </is>
      </c>
      <c r="P329" s="76" t="inlineStr">
        <is>
          <t>Terminate</t>
        </is>
      </c>
      <c r="Q329" s="76" t="inlineStr">
        <is>
          <t>at expiry</t>
        </is>
      </c>
      <c r="R329" s="76" t="inlineStr">
        <is>
          <t>Vendor Gamma</t>
        </is>
      </c>
      <c r="S329" s="87" t="n"/>
    </row>
    <row r="330" ht="48" customHeight="1" s="69">
      <c r="A330" s="77" t="n"/>
      <c r="B330" s="76" t="n"/>
      <c r="C330" s="76" t="n"/>
      <c r="D330" s="76" t="inlineStr">
        <is>
          <t>NL</t>
        </is>
      </c>
      <c r="E330" s="76" t="n"/>
      <c r="F330" s="76" t="inlineStr">
        <is>
          <t>LIVINGSTON B.V.</t>
        </is>
      </c>
      <c r="G330" s="76" t="inlineStr">
        <is>
          <t>AD598A MSL6030 ULTRIUM 460 LIBRARY, 1 ULTRIUM 4760 DRIVE, RACKMOUNT</t>
        </is>
      </c>
      <c r="H330" s="84" t="n"/>
      <c r="I330" s="90" t="n">
        <v>1485</v>
      </c>
      <c r="J330" s="86" t="n">
        <v>1</v>
      </c>
      <c r="K330" s="76" t="n"/>
      <c r="L330" s="76" t="n"/>
      <c r="M330" s="76" t="n"/>
      <c r="N330" s="76" t="n"/>
      <c r="O330" s="76" t="inlineStr">
        <is>
          <t>E.044</t>
        </is>
      </c>
      <c r="P330" s="76" t="inlineStr">
        <is>
          <t>Terminate</t>
        </is>
      </c>
      <c r="Q330" s="76" t="inlineStr">
        <is>
          <t>at expiry</t>
        </is>
      </c>
      <c r="R330" s="76" t="inlineStr">
        <is>
          <t>VendorA</t>
        </is>
      </c>
      <c r="S330" s="87" t="n">
        <v>1485</v>
      </c>
    </row>
    <row r="331" ht="24" customHeight="1" s="69">
      <c r="A331" s="77" t="inlineStr">
        <is>
          <t>EUC/UAS</t>
        </is>
      </c>
      <c r="B331" s="76" t="n"/>
      <c r="C331" s="76" t="n">
        <v>2004158</v>
      </c>
      <c r="D331" s="76" t="inlineStr">
        <is>
          <t>NL</t>
        </is>
      </c>
      <c r="E331" s="76" t="inlineStr">
        <is>
          <t>WPS/UIS/CS</t>
        </is>
      </c>
      <c r="F331" s="76" t="inlineStr">
        <is>
          <t>NETIQ EUROPE LTD</t>
        </is>
      </c>
      <c r="G331" s="76" t="inlineStr">
        <is>
          <t>NetIQ Active Directory Tooling</t>
        </is>
      </c>
      <c r="H331" s="84" t="n">
        <v>39306</v>
      </c>
      <c r="I331" s="90" t="n">
        <v>21267</v>
      </c>
      <c r="J331" s="86" t="n">
        <v>0</v>
      </c>
      <c r="K331" s="76" t="n"/>
      <c r="L331" s="76" t="n"/>
      <c r="M331" s="76" t="n"/>
      <c r="N331" s="76" t="n"/>
      <c r="O331" s="76" t="inlineStr">
        <is>
          <t>E.045</t>
        </is>
      </c>
      <c r="P331" s="76" t="inlineStr">
        <is>
          <t>Terminate</t>
        </is>
      </c>
      <c r="Q331" s="76" t="inlineStr">
        <is>
          <t>at expiry</t>
        </is>
      </c>
      <c r="R331" s="76" t="inlineStr">
        <is>
          <t>VendorA</t>
        </is>
      </c>
      <c r="S331" s="87" t="n"/>
    </row>
    <row r="332" ht="24" customHeight="1" s="69">
      <c r="A332" s="77" t="n"/>
      <c r="B332" s="76" t="n"/>
      <c r="C332" s="76" t="n">
        <v>2002527</v>
      </c>
      <c r="D332" s="76" t="inlineStr">
        <is>
          <t>NL</t>
        </is>
      </c>
      <c r="E332" s="76" t="n"/>
      <c r="F332" s="76" t="inlineStr">
        <is>
          <t>NOVELL NEDERLAND B.V.</t>
        </is>
      </c>
      <c r="G332" s="76" t="inlineStr">
        <is>
          <t>Overeenkomst tot samenwerking EuroBank - PC-Ware</t>
        </is>
      </c>
      <c r="H332" s="84" t="n">
        <v>39447</v>
      </c>
      <c r="I332" s="90" t="n">
        <v>12982</v>
      </c>
      <c r="J332" s="86" t="n">
        <v>0.5</v>
      </c>
      <c r="K332" s="76" t="n"/>
      <c r="L332" s="76" t="n"/>
      <c r="M332" s="76" t="n"/>
      <c r="N332" s="76" t="n"/>
      <c r="O332" s="76" t="inlineStr">
        <is>
          <t>E.046</t>
        </is>
      </c>
      <c r="P332" s="76" t="inlineStr">
        <is>
          <t>Retained</t>
        </is>
      </c>
      <c r="Q332" s="76" t="n"/>
      <c r="R332" s="76" t="inlineStr">
        <is>
          <t>VendorA</t>
        </is>
      </c>
      <c r="S332" s="87" t="n"/>
    </row>
    <row r="333" ht="24" customHeight="1" s="69">
      <c r="A333" s="77" t="n"/>
      <c r="B333" s="76" t="n"/>
      <c r="C333" s="76" t="n">
        <v>2003922</v>
      </c>
      <c r="D333" s="76" t="inlineStr">
        <is>
          <t>NL</t>
        </is>
      </c>
      <c r="E333" s="76" t="inlineStr">
        <is>
          <t>WPS/UIS/CS</t>
        </is>
      </c>
      <c r="F333" s="76" t="inlineStr">
        <is>
          <t>PHILIPS NEDERLAND B.V.</t>
        </is>
      </c>
      <c r="G333" s="76" t="inlineStr">
        <is>
          <t>Proc Infra BElgie: Monitor Purchase &amp; Sales Agrteement</t>
        </is>
      </c>
      <c r="H333" s="84" t="n">
        <v>39019</v>
      </c>
      <c r="I333" s="90" t="n">
        <v>363021</v>
      </c>
      <c r="J333" s="86" t="n">
        <v>1</v>
      </c>
      <c r="K333" s="76" t="n"/>
      <c r="L333" s="76" t="n"/>
      <c r="M333" s="76" t="n"/>
      <c r="N333" s="76" t="n"/>
      <c r="O333" s="76" t="inlineStr">
        <is>
          <t>E.048</t>
        </is>
      </c>
      <c r="P333" s="76" t="inlineStr">
        <is>
          <t>terminate</t>
        </is>
      </c>
      <c r="Q333" s="76" t="inlineStr">
        <is>
          <t>at expiry</t>
        </is>
      </c>
      <c r="R333" s="76" t="inlineStr">
        <is>
          <t>Vendor Gamma</t>
        </is>
      </c>
      <c r="S333" s="87" t="n"/>
    </row>
    <row r="334" ht="24" customHeight="1" s="69">
      <c r="A334" s="77" t="n"/>
      <c r="B334" s="76" t="inlineStr">
        <is>
          <t xml:space="preserve"> </t>
        </is>
      </c>
      <c r="C334" s="76" t="n"/>
      <c r="D334" s="76" t="inlineStr">
        <is>
          <t>NL</t>
        </is>
      </c>
      <c r="E334" s="76" t="n"/>
      <c r="F334" s="76" t="inlineStr">
        <is>
          <t>SYSTEAM GMBH</t>
        </is>
      </c>
      <c r="G334" s="76" t="inlineStr">
        <is>
          <t>Ether Peek NX to Omni Workgroup Pro/Volp perpetual license</t>
        </is>
      </c>
      <c r="H334" s="84" t="n">
        <v>39447</v>
      </c>
      <c r="I334" s="90">
        <f>6186/12</f>
        <v/>
      </c>
      <c r="J334" s="92" t="n">
        <v>1</v>
      </c>
      <c r="K334" s="76" t="n"/>
      <c r="L334" s="76" t="n"/>
      <c r="M334" s="76" t="n"/>
      <c r="N334" s="76" t="n"/>
      <c r="O334" s="76" t="inlineStr">
        <is>
          <t>E.051</t>
        </is>
      </c>
      <c r="P334" s="76" t="inlineStr">
        <is>
          <t>Novate</t>
        </is>
      </c>
      <c r="Q334" s="76" t="n"/>
      <c r="R334" s="76" t="inlineStr">
        <is>
          <t>TelCo</t>
        </is>
      </c>
      <c r="S334" s="87">
        <f>1186/12</f>
        <v/>
      </c>
      <c r="T334" s="77" t="n"/>
    </row>
    <row r="335" ht="24" customHeight="1" s="69">
      <c r="A335" s="77" t="inlineStr">
        <is>
          <t>EUC</t>
        </is>
      </c>
      <c r="B335" s="76" t="n"/>
      <c r="C335" s="76" t="n">
        <v>2002535</v>
      </c>
      <c r="D335" s="76" t="inlineStr">
        <is>
          <t>NL</t>
        </is>
      </c>
      <c r="E335" s="76" t="inlineStr">
        <is>
          <t>WPS/UIS/CS</t>
        </is>
      </c>
      <c r="F335" s="76" t="inlineStr">
        <is>
          <t>VAN DALE LEXICOGRAFIE BV</t>
        </is>
      </c>
      <c r="G335" s="76" t="inlineStr">
        <is>
          <t>License agreement Van Dale Woordenboeken</t>
        </is>
      </c>
      <c r="H335" s="84" t="n">
        <v>38790</v>
      </c>
      <c r="I335" s="90" t="n">
        <v>1765</v>
      </c>
      <c r="J335" s="86" t="n">
        <v>1</v>
      </c>
      <c r="K335" s="76" t="n"/>
      <c r="L335" s="76" t="n"/>
      <c r="M335" s="76" t="n"/>
      <c r="N335" s="76" t="n"/>
      <c r="O335" s="76" t="inlineStr">
        <is>
          <t>E.052</t>
        </is>
      </c>
      <c r="P335" s="76" t="inlineStr">
        <is>
          <t>Novate</t>
        </is>
      </c>
      <c r="Q335" s="76" t="n"/>
      <c r="R335" s="76" t="inlineStr">
        <is>
          <t>VendorA</t>
        </is>
      </c>
      <c r="S335" s="87" t="n"/>
    </row>
    <row r="336" ht="24" customHeight="1" s="69">
      <c r="A336" s="77" t="inlineStr">
        <is>
          <t>Voice</t>
        </is>
      </c>
      <c r="B336" s="76" t="n"/>
      <c r="C336" s="76" t="n">
        <v>2005014</v>
      </c>
      <c r="D336" s="76" t="inlineStr">
        <is>
          <t>NL</t>
        </is>
      </c>
      <c r="E336" s="76" t="inlineStr">
        <is>
          <t>WPS/WSS/SPSV</t>
        </is>
      </c>
      <c r="F336" s="76" t="inlineStr">
        <is>
          <t>VODAFONE LIBERTEL N.V.</t>
        </is>
      </c>
      <c r="G336" s="76" t="inlineStr">
        <is>
          <t>Global Framework Agreement mobile phones</t>
        </is>
      </c>
      <c r="H336" s="84" t="n">
        <v>39146</v>
      </c>
      <c r="I336" s="90" t="n">
        <v>49414</v>
      </c>
      <c r="J336" s="86" t="n">
        <v>1</v>
      </c>
      <c r="K336" s="76" t="n"/>
      <c r="L336" s="76" t="n"/>
      <c r="M336" s="76" t="n"/>
      <c r="N336" s="76" t="n"/>
      <c r="O336" s="76" t="inlineStr">
        <is>
          <t>E.053</t>
        </is>
      </c>
      <c r="P336" s="76" t="inlineStr">
        <is>
          <t>Terminate</t>
        </is>
      </c>
      <c r="Q336" s="76" t="inlineStr">
        <is>
          <t>at expiry</t>
        </is>
      </c>
      <c r="R336" s="76" t="inlineStr">
        <is>
          <t>TelCo</t>
        </is>
      </c>
      <c r="S336" s="87" t="n"/>
      <c r="T336" s="77" t="n"/>
    </row>
    <row r="337" ht="24" customHeight="1" s="69">
      <c r="A337" s="77" t="n"/>
      <c r="B337" s="76" t="n"/>
      <c r="C337" s="76" t="n">
        <v>2005912</v>
      </c>
      <c r="D337" s="76" t="inlineStr">
        <is>
          <t>NL</t>
        </is>
      </c>
      <c r="E337" s="76" t="n"/>
      <c r="F337" s="76" t="inlineStr">
        <is>
          <t>NETIQ EUROPE LTD</t>
        </is>
      </c>
      <c r="G337" s="76" t="inlineStr">
        <is>
          <t xml:space="preserve">Master Services Agreement </t>
        </is>
      </c>
      <c r="H337" s="84" t="n"/>
      <c r="I337" s="90" t="n">
        <v>25000</v>
      </c>
      <c r="J337" s="92" t="n">
        <v>1</v>
      </c>
      <c r="K337" s="76" t="n"/>
      <c r="L337" s="76" t="n"/>
      <c r="M337" s="76" t="n"/>
      <c r="N337" s="76" t="n"/>
      <c r="O337" s="76" t="inlineStr">
        <is>
          <t>E.054</t>
        </is>
      </c>
      <c r="P337" s="76" t="inlineStr">
        <is>
          <t>Terminate</t>
        </is>
      </c>
      <c r="Q337" s="76" t="inlineStr">
        <is>
          <t>at expiry</t>
        </is>
      </c>
      <c r="R337" s="76" t="inlineStr">
        <is>
          <t>VendorA</t>
        </is>
      </c>
      <c r="S337" s="87" t="n">
        <v>25000</v>
      </c>
    </row>
    <row r="338" ht="24" customHeight="1" s="69">
      <c r="A338" s="95" t="n"/>
      <c r="B338" s="96" t="n"/>
      <c r="C338" s="96" t="inlineStr">
        <is>
          <t>Pending</t>
        </is>
      </c>
      <c r="D338" s="96" t="inlineStr">
        <is>
          <t>NL</t>
        </is>
      </c>
      <c r="E338" s="96" t="n"/>
      <c r="F338" s="96" t="inlineStr">
        <is>
          <t>TelCo</t>
        </is>
      </c>
      <c r="G338" s="96" t="inlineStr">
        <is>
          <t>Nortel Meridian PABX System, Postbank</t>
        </is>
      </c>
      <c r="H338" s="97" t="n"/>
      <c r="I338" s="106">
        <f>307000/12</f>
        <v/>
      </c>
      <c r="J338" s="110" t="n">
        <v>1</v>
      </c>
      <c r="K338" s="96" t="n"/>
      <c r="L338" s="96" t="n"/>
      <c r="M338" s="96" t="n"/>
      <c r="N338" s="96" t="n"/>
      <c r="O338" s="96" t="inlineStr">
        <is>
          <t>E.055</t>
        </is>
      </c>
      <c r="P338" s="96" t="inlineStr">
        <is>
          <t>Novate</t>
        </is>
      </c>
      <c r="Q338" s="96" t="n"/>
      <c r="R338" s="96" t="inlineStr">
        <is>
          <t>TelCo</t>
        </is>
      </c>
      <c r="S338" s="100" t="n"/>
      <c r="T338" s="77" t="n"/>
    </row>
    <row r="339" ht="24" customHeight="1" s="69">
      <c r="A339" s="77" t="n"/>
      <c r="B339" s="76" t="n"/>
      <c r="C339" s="76" t="inlineStr">
        <is>
          <t>003853</t>
        </is>
      </c>
      <c r="D339" s="76" t="inlineStr">
        <is>
          <t>BE</t>
        </is>
      </c>
      <c r="E339" s="76" t="n"/>
      <c r="F339" s="76" t="inlineStr">
        <is>
          <t>SIEMENS/10</t>
        </is>
      </c>
      <c r="G339" s="76" t="inlineStr">
        <is>
          <t>call flow management</t>
        </is>
      </c>
      <c r="H339" s="84" t="n">
        <v>40908</v>
      </c>
      <c r="I339" s="90" t="n">
        <v>0</v>
      </c>
      <c r="J339" s="92" t="n">
        <v>1</v>
      </c>
      <c r="K339" s="76" t="n"/>
      <c r="L339" s="76" t="n"/>
      <c r="M339" s="76" t="n"/>
      <c r="N339" s="76" t="n"/>
      <c r="O339" s="76" t="inlineStr">
        <is>
          <t>E.BE.001</t>
        </is>
      </c>
      <c r="P339" s="76" t="inlineStr">
        <is>
          <t>Terminate</t>
        </is>
      </c>
      <c r="Q339" s="76" t="inlineStr">
        <is>
          <t>early</t>
        </is>
      </c>
      <c r="R339" s="76" t="inlineStr">
        <is>
          <t>TelCo</t>
        </is>
      </c>
      <c r="S339" s="87" t="n"/>
      <c r="T339" s="77" t="n"/>
    </row>
    <row r="340" ht="24" customHeight="1" s="69">
      <c r="A340" s="77" t="n"/>
      <c r="B340" s="76" t="n"/>
      <c r="C340" s="76" t="inlineStr">
        <is>
          <t>003854</t>
        </is>
      </c>
      <c r="D340" s="76" t="inlineStr">
        <is>
          <t>BE</t>
        </is>
      </c>
      <c r="E340" s="76" t="n"/>
      <c r="F340" s="76" t="inlineStr">
        <is>
          <t>SIEMENS/7</t>
        </is>
      </c>
      <c r="G340" s="76" t="inlineStr">
        <is>
          <t>call flow management</t>
        </is>
      </c>
      <c r="H340" s="84" t="n">
        <v>40908</v>
      </c>
      <c r="I340" s="90" t="n">
        <v>0</v>
      </c>
      <c r="J340" s="92" t="n">
        <v>1</v>
      </c>
      <c r="K340" s="76" t="n"/>
      <c r="L340" s="76" t="n"/>
      <c r="M340" s="76" t="n"/>
      <c r="N340" s="76" t="n"/>
      <c r="O340" s="76" t="inlineStr">
        <is>
          <t>E.BE.001.I</t>
        </is>
      </c>
      <c r="P340" s="76" t="inlineStr">
        <is>
          <t>Terminate</t>
        </is>
      </c>
      <c r="Q340" s="76" t="inlineStr">
        <is>
          <t>early</t>
        </is>
      </c>
      <c r="R340" s="76" t="inlineStr">
        <is>
          <t>TelCo</t>
        </is>
      </c>
      <c r="S340" s="87" t="n"/>
      <c r="T340" s="77" t="n"/>
    </row>
    <row r="341" ht="24" customHeight="1" s="69">
      <c r="A341" s="77" t="n"/>
      <c r="B341" s="76" t="n"/>
      <c r="C341" s="76" t="inlineStr">
        <is>
          <t>003855</t>
        </is>
      </c>
      <c r="D341" s="76" t="inlineStr">
        <is>
          <t>BE</t>
        </is>
      </c>
      <c r="E341" s="76" t="n"/>
      <c r="F341" s="76" t="inlineStr">
        <is>
          <t>SIEMENS/8</t>
        </is>
      </c>
      <c r="G341" s="76" t="inlineStr">
        <is>
          <t>call flow management</t>
        </is>
      </c>
      <c r="H341" s="84" t="n">
        <v>40908</v>
      </c>
      <c r="I341" s="90" t="n">
        <v>0</v>
      </c>
      <c r="J341" s="92" t="n">
        <v>1</v>
      </c>
      <c r="K341" s="76" t="n"/>
      <c r="L341" s="76" t="n"/>
      <c r="M341" s="76" t="n"/>
      <c r="N341" s="76" t="n"/>
      <c r="O341" s="76" t="inlineStr">
        <is>
          <t>E.BE.001.II</t>
        </is>
      </c>
      <c r="P341" s="76" t="inlineStr">
        <is>
          <t>Terminate</t>
        </is>
      </c>
      <c r="Q341" s="76" t="inlineStr">
        <is>
          <t>early</t>
        </is>
      </c>
      <c r="R341" s="76" t="inlineStr">
        <is>
          <t>TelCo</t>
        </is>
      </c>
      <c r="S341" s="87" t="n"/>
      <c r="T341" s="77" t="n"/>
    </row>
    <row r="342" ht="24" customHeight="1" s="69">
      <c r="A342" s="77" t="n"/>
      <c r="B342" s="76" t="n"/>
      <c r="C342" s="76" t="inlineStr">
        <is>
          <t>003856</t>
        </is>
      </c>
      <c r="D342" s="76" t="inlineStr">
        <is>
          <t>BE</t>
        </is>
      </c>
      <c r="E342" s="76" t="n"/>
      <c r="F342" s="76" t="inlineStr">
        <is>
          <t>SIEMENS/9</t>
        </is>
      </c>
      <c r="G342" s="76" t="inlineStr">
        <is>
          <t>call flow management</t>
        </is>
      </c>
      <c r="H342" s="84" t="n">
        <v>40908</v>
      </c>
      <c r="I342" s="90" t="n">
        <v>99018</v>
      </c>
      <c r="J342" s="92" t="n">
        <v>1</v>
      </c>
      <c r="K342" s="76" t="n"/>
      <c r="L342" s="76" t="n"/>
      <c r="M342" s="76" t="n"/>
      <c r="N342" s="76" t="n"/>
      <c r="O342" s="76" t="inlineStr">
        <is>
          <t>E.BE.001.III</t>
        </is>
      </c>
      <c r="P342" s="76" t="inlineStr">
        <is>
          <t>Terminate</t>
        </is>
      </c>
      <c r="Q342" s="76" t="inlineStr">
        <is>
          <t>early</t>
        </is>
      </c>
      <c r="R342" s="76" t="inlineStr">
        <is>
          <t>TelCo</t>
        </is>
      </c>
      <c r="S342" s="87" t="n"/>
      <c r="T342" s="77" t="n"/>
    </row>
    <row r="343" ht="24" customHeight="1" s="69">
      <c r="A343" s="77" t="n"/>
      <c r="B343" s="76" t="inlineStr">
        <is>
          <t>0227</t>
        </is>
      </c>
      <c r="C343" s="76" t="inlineStr">
        <is>
          <t>002178</t>
        </is>
      </c>
      <c r="D343" s="76" t="inlineStr">
        <is>
          <t>BE</t>
        </is>
      </c>
      <c r="E343" s="76" t="n"/>
      <c r="F343" s="76" t="inlineStr">
        <is>
          <t>1E LTD</t>
        </is>
      </c>
      <c r="G343" s="76" t="inlineStr">
        <is>
          <t>SMSNomad Branch &amp; Socket SENDER</t>
        </is>
      </c>
      <c r="H343" s="84" t="n">
        <v>39356</v>
      </c>
      <c r="I343" s="90" t="n">
        <v>119.8125</v>
      </c>
      <c r="J343" s="86" t="n">
        <v>1</v>
      </c>
      <c r="K343" s="76" t="n"/>
      <c r="L343" s="76" t="n"/>
      <c r="M343" s="76" t="n"/>
      <c r="N343" s="76" t="n"/>
      <c r="O343" s="76" t="inlineStr">
        <is>
          <t>E.BE.002</t>
        </is>
      </c>
      <c r="P343" s="76" t="inlineStr">
        <is>
          <t>Retained</t>
        </is>
      </c>
      <c r="Q343" s="76" t="n"/>
      <c r="R343" s="76" t="inlineStr">
        <is>
          <t>VendorA</t>
        </is>
      </c>
      <c r="S343" s="87" t="n"/>
    </row>
    <row r="344" ht="24" customHeight="1" s="69">
      <c r="A344" s="77" t="n"/>
      <c r="B344" s="76" t="inlineStr">
        <is>
          <t>0227</t>
        </is>
      </c>
      <c r="C344" s="76" t="inlineStr">
        <is>
          <t>004171</t>
        </is>
      </c>
      <c r="D344" s="76" t="inlineStr">
        <is>
          <t>BE</t>
        </is>
      </c>
      <c r="E344" s="76" t="n"/>
      <c r="F344" s="76" t="inlineStr">
        <is>
          <t>1E LTD</t>
        </is>
      </c>
      <c r="G344" s="76" t="inlineStr">
        <is>
          <t>12000 lic SMSWakeUp</t>
        </is>
      </c>
      <c r="H344" s="84" t="n">
        <v>39659</v>
      </c>
      <c r="I344" s="90" t="n"/>
      <c r="J344" s="92" t="n">
        <v>1</v>
      </c>
      <c r="K344" s="76" t="n"/>
      <c r="L344" s="76" t="n"/>
      <c r="M344" s="76" t="n"/>
      <c r="N344" s="76" t="n"/>
      <c r="O344" s="76" t="inlineStr">
        <is>
          <t>E.BE.003</t>
        </is>
      </c>
      <c r="P344" s="76" t="inlineStr">
        <is>
          <t>Retained</t>
        </is>
      </c>
      <c r="Q344" s="76" t="n"/>
      <c r="R344" s="76" t="inlineStr">
        <is>
          <t>VendorA</t>
        </is>
      </c>
      <c r="S344" s="87" t="n"/>
    </row>
    <row r="345" ht="24" customHeight="1" s="69">
      <c r="A345" s="77" t="inlineStr">
        <is>
          <t>Voice</t>
        </is>
      </c>
      <c r="B345" s="76" t="inlineStr">
        <is>
          <t>0227</t>
        </is>
      </c>
      <c r="C345" s="76" t="inlineStr">
        <is>
          <t>004039</t>
        </is>
      </c>
      <c r="D345" s="76" t="inlineStr">
        <is>
          <t>BE</t>
        </is>
      </c>
      <c r="E345" s="76" t="n"/>
      <c r="F345" s="76" t="inlineStr">
        <is>
          <t>CEL DATA SERVICES</t>
        </is>
      </c>
      <c r="G345" s="76" t="inlineStr">
        <is>
          <t>PC HP 7600 type P4</t>
        </is>
      </c>
      <c r="H345" s="84" t="inlineStr">
        <is>
          <t xml:space="preserve"> </t>
        </is>
      </c>
      <c r="I345" s="90">
        <f>3100/12</f>
        <v/>
      </c>
      <c r="J345" s="92" t="n">
        <v>1</v>
      </c>
      <c r="K345" s="76" t="n"/>
      <c r="L345" s="76" t="n"/>
      <c r="M345" s="76" t="n"/>
      <c r="N345" s="76" t="n"/>
      <c r="O345" s="76" t="inlineStr">
        <is>
          <t>E.BE.009</t>
        </is>
      </c>
      <c r="P345" s="76" t="inlineStr">
        <is>
          <t>Terminate</t>
        </is>
      </c>
      <c r="Q345" s="76" t="inlineStr">
        <is>
          <t>at expiry</t>
        </is>
      </c>
      <c r="R345" s="76" t="inlineStr">
        <is>
          <t>Vendor Gamma</t>
        </is>
      </c>
      <c r="S345" s="87" t="n"/>
    </row>
    <row r="346" ht="24" customHeight="1" s="69">
      <c r="A346" s="77" t="inlineStr">
        <is>
          <t>Voice</t>
        </is>
      </c>
      <c r="B346" s="76" t="inlineStr">
        <is>
          <t>0227</t>
        </is>
      </c>
      <c r="C346" s="76" t="inlineStr">
        <is>
          <t>004039</t>
        </is>
      </c>
      <c r="D346" s="76" t="inlineStr">
        <is>
          <t>BE</t>
        </is>
      </c>
      <c r="E346" s="76" t="n"/>
      <c r="F346" s="76" t="inlineStr">
        <is>
          <t>CEL DATA SERVICES</t>
        </is>
      </c>
      <c r="G346" s="76" t="inlineStr">
        <is>
          <t>ThinkPad CD-RW/DVD-Rom Combo II Ultrabay Slim</t>
        </is>
      </c>
      <c r="H346" s="84" t="n"/>
      <c r="I346" s="90" t="n"/>
      <c r="J346" s="92" t="n">
        <v>1</v>
      </c>
      <c r="K346" s="76" t="n"/>
      <c r="L346" s="76" t="n"/>
      <c r="M346" s="76" t="n"/>
      <c r="N346" s="76" t="n"/>
      <c r="O346" s="76" t="inlineStr">
        <is>
          <t>E.BE.009.I</t>
        </is>
      </c>
      <c r="P346" s="76" t="inlineStr">
        <is>
          <t>Terminate</t>
        </is>
      </c>
      <c r="Q346" s="76" t="inlineStr">
        <is>
          <t>at expiry</t>
        </is>
      </c>
      <c r="R346" s="76" t="inlineStr">
        <is>
          <t>Vendor Gamma</t>
        </is>
      </c>
      <c r="S346" s="87" t="n"/>
    </row>
    <row r="347" ht="24" customHeight="1" s="69">
      <c r="A347" s="77" t="inlineStr">
        <is>
          <t>Voice</t>
        </is>
      </c>
      <c r="B347" s="76" t="inlineStr">
        <is>
          <t>0212</t>
        </is>
      </c>
      <c r="C347" s="76" t="inlineStr">
        <is>
          <t>004047</t>
        </is>
      </c>
      <c r="D347" s="76" t="inlineStr">
        <is>
          <t>BE</t>
        </is>
      </c>
      <c r="E347" s="76" t="n"/>
      <c r="F347" s="76" t="inlineStr">
        <is>
          <t>DAMOVO</t>
        </is>
      </c>
      <c r="G347" s="76" t="inlineStr">
        <is>
          <t>Upgrade MD110 Aalst from BC11 to BC12</t>
        </is>
      </c>
      <c r="H347" s="84" t="n">
        <v>38894</v>
      </c>
      <c r="I347" s="90" t="n">
        <v>194</v>
      </c>
      <c r="J347" s="92" t="n">
        <v>1</v>
      </c>
      <c r="K347" s="76" t="n"/>
      <c r="L347" s="76" t="n"/>
      <c r="M347" s="76" t="n"/>
      <c r="N347" s="76" t="n"/>
      <c r="O347" s="76" t="inlineStr">
        <is>
          <t>E.BE.012</t>
        </is>
      </c>
      <c r="P347" s="76" t="inlineStr">
        <is>
          <t>terminate</t>
        </is>
      </c>
      <c r="Q347" s="76" t="inlineStr">
        <is>
          <t>at expiry</t>
        </is>
      </c>
      <c r="R347" s="76" t="inlineStr">
        <is>
          <t>TelCo</t>
        </is>
      </c>
      <c r="S347" s="87" t="n"/>
      <c r="T347" s="77" t="n"/>
    </row>
    <row r="348" ht="24" customHeight="1" s="69">
      <c r="A348" s="77" t="inlineStr">
        <is>
          <t>Voice</t>
        </is>
      </c>
      <c r="B348" s="76" t="inlineStr">
        <is>
          <t>0212</t>
        </is>
      </c>
      <c r="C348" s="76" t="inlineStr">
        <is>
          <t>004047</t>
        </is>
      </c>
      <c r="D348" s="76" t="inlineStr">
        <is>
          <t>BE</t>
        </is>
      </c>
      <c r="E348" s="76" t="n"/>
      <c r="F348" s="76" t="inlineStr">
        <is>
          <t>DAMOVO</t>
        </is>
      </c>
      <c r="G348" s="76" t="inlineStr">
        <is>
          <t>Installation &amp; Configuration MD110 Aalst from BC11 to BC12</t>
        </is>
      </c>
      <c r="H348" s="84" t="n">
        <v>38894</v>
      </c>
      <c r="I348" s="90" t="n">
        <v>189</v>
      </c>
      <c r="J348" s="92" t="n">
        <v>1</v>
      </c>
      <c r="K348" s="76" t="n"/>
      <c r="L348" s="76" t="n"/>
      <c r="M348" s="76" t="n"/>
      <c r="N348" s="76" t="n"/>
      <c r="O348" s="76" t="inlineStr">
        <is>
          <t>E.BE.012.I</t>
        </is>
      </c>
      <c r="P348" s="76" t="inlineStr">
        <is>
          <t>terminate</t>
        </is>
      </c>
      <c r="Q348" s="76" t="inlineStr">
        <is>
          <t>at expiry</t>
        </is>
      </c>
      <c r="R348" s="76" t="inlineStr">
        <is>
          <t>TelCo</t>
        </is>
      </c>
      <c r="S348" s="87" t="n"/>
      <c r="T348" s="77" t="n"/>
    </row>
    <row r="349" ht="24" customHeight="1" s="69">
      <c r="A349" s="77" t="inlineStr">
        <is>
          <t>Voice</t>
        </is>
      </c>
      <c r="B349" s="76" t="inlineStr">
        <is>
          <t>0212</t>
        </is>
      </c>
      <c r="C349" s="76" t="inlineStr">
        <is>
          <t>004047</t>
        </is>
      </c>
      <c r="D349" s="76" t="inlineStr">
        <is>
          <t>BE</t>
        </is>
      </c>
      <c r="E349" s="76" t="n"/>
      <c r="F349" s="76" t="inlineStr">
        <is>
          <t>DAMOVO</t>
        </is>
      </c>
      <c r="G349" s="76" t="inlineStr">
        <is>
          <t>ELU32 8 channels with enhanced IP Networking</t>
        </is>
      </c>
      <c r="H349" s="84" t="inlineStr">
        <is>
          <t xml:space="preserve"> </t>
        </is>
      </c>
      <c r="I349" s="90" t="n"/>
      <c r="J349" s="92" t="n">
        <v>1</v>
      </c>
      <c r="K349" s="76" t="n"/>
      <c r="L349" s="76" t="n"/>
      <c r="M349" s="76" t="n"/>
      <c r="N349" s="76" t="n"/>
      <c r="O349" s="76" t="inlineStr">
        <is>
          <t>E.BE.012.II</t>
        </is>
      </c>
      <c r="P349" s="76" t="inlineStr">
        <is>
          <t>terminate</t>
        </is>
      </c>
      <c r="Q349" s="76" t="inlineStr">
        <is>
          <t>at expiry</t>
        </is>
      </c>
      <c r="R349" s="76" t="inlineStr">
        <is>
          <t>TelCo</t>
        </is>
      </c>
      <c r="S349" s="87" t="n"/>
      <c r="T349" s="77" t="n"/>
    </row>
    <row r="350" ht="24" customHeight="1" s="69">
      <c r="A350" s="77" t="inlineStr">
        <is>
          <t>Voice</t>
        </is>
      </c>
      <c r="B350" s="76" t="inlineStr">
        <is>
          <t>0212</t>
        </is>
      </c>
      <c r="C350" s="76" t="inlineStr">
        <is>
          <t>004047</t>
        </is>
      </c>
      <c r="D350" s="76" t="inlineStr">
        <is>
          <t>BE</t>
        </is>
      </c>
      <c r="E350" s="76" t="n"/>
      <c r="F350" s="76" t="inlineStr">
        <is>
          <t>DAMOVO</t>
        </is>
      </c>
      <c r="G350" s="76" t="inlineStr">
        <is>
          <t>SPU4</t>
        </is>
      </c>
      <c r="H350" s="84" t="inlineStr">
        <is>
          <t xml:space="preserve"> </t>
        </is>
      </c>
      <c r="I350" s="90" t="n"/>
      <c r="J350" s="92" t="n">
        <v>1</v>
      </c>
      <c r="K350" s="76" t="n"/>
      <c r="L350" s="76" t="n"/>
      <c r="M350" s="76" t="n"/>
      <c r="N350" s="76" t="n"/>
      <c r="O350" s="76" t="inlineStr">
        <is>
          <t>E.BE.012.III</t>
        </is>
      </c>
      <c r="P350" s="76" t="inlineStr">
        <is>
          <t>terminate</t>
        </is>
      </c>
      <c r="Q350" s="76" t="inlineStr">
        <is>
          <t>at expiry</t>
        </is>
      </c>
      <c r="R350" s="76" t="inlineStr">
        <is>
          <t>TelCo</t>
        </is>
      </c>
      <c r="S350" s="87" t="n"/>
      <c r="T350" s="77" t="n"/>
    </row>
    <row r="351" ht="24" customHeight="1" s="69">
      <c r="A351" s="77" t="inlineStr">
        <is>
          <t>Voice</t>
        </is>
      </c>
      <c r="B351" s="76" t="inlineStr">
        <is>
          <t>0212</t>
        </is>
      </c>
      <c r="C351" s="76" t="inlineStr">
        <is>
          <t>004050</t>
        </is>
      </c>
      <c r="D351" s="76" t="inlineStr">
        <is>
          <t>BE</t>
        </is>
      </c>
      <c r="E351" s="76" t="n"/>
      <c r="F351" s="76" t="inlineStr">
        <is>
          <t>DAMOVO</t>
        </is>
      </c>
      <c r="G351" s="76" t="inlineStr">
        <is>
          <t>Upgrade &amp; Install MD110 NAP development from BC11 to BC12</t>
        </is>
      </c>
      <c r="H351" s="84" t="n">
        <v>38894</v>
      </c>
      <c r="I351" s="90" t="n">
        <v>161</v>
      </c>
      <c r="J351" s="92" t="n">
        <v>1</v>
      </c>
      <c r="K351" s="76" t="n"/>
      <c r="L351" s="76" t="n"/>
      <c r="M351" s="76" t="n"/>
      <c r="N351" s="76" t="n"/>
      <c r="O351" s="76" t="inlineStr">
        <is>
          <t>E.BE.013</t>
        </is>
      </c>
      <c r="P351" s="76" t="inlineStr">
        <is>
          <t>terminate</t>
        </is>
      </c>
      <c r="Q351" s="76" t="inlineStr">
        <is>
          <t>at expiry</t>
        </is>
      </c>
      <c r="R351" s="76" t="inlineStr">
        <is>
          <t>TelCo</t>
        </is>
      </c>
      <c r="S351" s="87" t="n"/>
      <c r="T351" s="77" t="n"/>
    </row>
    <row r="352" ht="24" customHeight="1" s="69">
      <c r="A352" s="77" t="inlineStr">
        <is>
          <t>Voice</t>
        </is>
      </c>
      <c r="B352" s="76" t="inlineStr">
        <is>
          <t>0212</t>
        </is>
      </c>
      <c r="C352" s="76" t="inlineStr">
        <is>
          <t>004050</t>
        </is>
      </c>
      <c r="D352" s="76" t="inlineStr">
        <is>
          <t>BE</t>
        </is>
      </c>
      <c r="E352" s="76" t="n"/>
      <c r="F352" s="76" t="inlineStr">
        <is>
          <t>DAMOVO</t>
        </is>
      </c>
      <c r="G352" s="76" t="inlineStr">
        <is>
          <t>Installation &amp; Configuraton MD110 NAP development from BC11 to BC12</t>
        </is>
      </c>
      <c r="H352" s="84" t="n">
        <v>38894</v>
      </c>
      <c r="I352" s="90" t="n">
        <v>189</v>
      </c>
      <c r="J352" s="92" t="n">
        <v>1</v>
      </c>
      <c r="K352" s="76" t="n"/>
      <c r="L352" s="76" t="n"/>
      <c r="M352" s="76" t="n"/>
      <c r="N352" s="76" t="n"/>
      <c r="O352" s="76" t="inlineStr">
        <is>
          <t>E.BE.013.I</t>
        </is>
      </c>
      <c r="P352" s="76" t="inlineStr">
        <is>
          <t>terminate</t>
        </is>
      </c>
      <c r="Q352" s="76" t="inlineStr">
        <is>
          <t>at expiry</t>
        </is>
      </c>
      <c r="R352" s="76" t="inlineStr">
        <is>
          <t>TelCo</t>
        </is>
      </c>
      <c r="S352" s="87" t="n"/>
      <c r="T352" s="77" t="n"/>
    </row>
    <row r="353" ht="24" customHeight="1" s="69">
      <c r="A353" s="77" t="inlineStr">
        <is>
          <t>Voice</t>
        </is>
      </c>
      <c r="B353" s="76" t="n">
        <v>4214</v>
      </c>
      <c r="C353" s="76" t="inlineStr">
        <is>
          <t>004203</t>
        </is>
      </c>
      <c r="D353" s="76" t="inlineStr">
        <is>
          <t>BE</t>
        </is>
      </c>
      <c r="E353" s="76" t="n"/>
      <c r="F353" s="76" t="inlineStr">
        <is>
          <t>DAMOVO</t>
        </is>
      </c>
      <c r="G353" s="76" t="inlineStr">
        <is>
          <t>Backp 7 remotely inaccessible branches</t>
        </is>
      </c>
      <c r="H353" s="84" t="n">
        <v>38960</v>
      </c>
      <c r="I353" s="90" t="n">
        <v>110</v>
      </c>
      <c r="J353" s="92" t="n">
        <v>1</v>
      </c>
      <c r="K353" s="76" t="n"/>
      <c r="L353" s="76" t="n"/>
      <c r="M353" s="76" t="n"/>
      <c r="N353" s="76" t="n"/>
      <c r="O353" s="76" t="inlineStr">
        <is>
          <t>E.BE.014</t>
        </is>
      </c>
      <c r="P353" s="76" t="inlineStr">
        <is>
          <t>terminate</t>
        </is>
      </c>
      <c r="Q353" s="76" t="inlineStr">
        <is>
          <t>at expiry</t>
        </is>
      </c>
      <c r="R353" s="76" t="inlineStr">
        <is>
          <t>TelCo</t>
        </is>
      </c>
      <c r="S353" s="87" t="n"/>
      <c r="T353" s="77" t="n"/>
    </row>
    <row r="354" ht="24" customHeight="1" s="69">
      <c r="A354" s="77" t="inlineStr">
        <is>
          <t>Voice</t>
        </is>
      </c>
      <c r="B354" s="76" t="inlineStr">
        <is>
          <t>0227</t>
        </is>
      </c>
      <c r="C354" s="76" t="inlineStr">
        <is>
          <t>000398</t>
        </is>
      </c>
      <c r="D354" s="76" t="inlineStr">
        <is>
          <t>BE</t>
        </is>
      </c>
      <c r="E354" s="76" t="n"/>
      <c r="F354" s="76" t="inlineStr">
        <is>
          <t>DESKTOPSTANDARD CORPORATION</t>
        </is>
      </c>
      <c r="G354" s="76" t="inlineStr">
        <is>
          <t>ProfileMaker 8 Pro. 5000</t>
        </is>
      </c>
      <c r="H354" s="84" t="inlineStr">
        <is>
          <t xml:space="preserve"> </t>
        </is>
      </c>
      <c r="I354" s="90" t="n">
        <v>2271</v>
      </c>
      <c r="J354" s="92" t="n">
        <v>1</v>
      </c>
      <c r="K354" s="76" t="n"/>
      <c r="L354" s="76" t="n"/>
      <c r="M354" s="76" t="n"/>
      <c r="N354" s="76" t="n"/>
      <c r="O354" s="76" t="inlineStr">
        <is>
          <t>E.BE.015</t>
        </is>
      </c>
      <c r="P354" s="76" t="inlineStr">
        <is>
          <t>Terminate</t>
        </is>
      </c>
      <c r="Q354" s="76" t="inlineStr">
        <is>
          <t>at expiry</t>
        </is>
      </c>
      <c r="R354" s="76" t="inlineStr">
        <is>
          <t>VendorA</t>
        </is>
      </c>
      <c r="S354" s="87" t="n">
        <v>2271</v>
      </c>
    </row>
    <row r="355" ht="24" customHeight="1" s="69">
      <c r="A355" s="77" t="inlineStr">
        <is>
          <t>Voice</t>
        </is>
      </c>
      <c r="B355" s="76" t="inlineStr">
        <is>
          <t>0227</t>
        </is>
      </c>
      <c r="C355" s="76" t="inlineStr">
        <is>
          <t>000398</t>
        </is>
      </c>
      <c r="D355" s="76" t="inlineStr">
        <is>
          <t>BE</t>
        </is>
      </c>
      <c r="E355" s="76" t="n"/>
      <c r="F355" s="76" t="inlineStr">
        <is>
          <t>DESKTOPSTANDARD CORPORATION</t>
        </is>
      </c>
      <c r="G355" s="76" t="inlineStr">
        <is>
          <t>ProfileMaker 9 Pro. 1 Client Acces Lic</t>
        </is>
      </c>
      <c r="H355" s="84" t="n">
        <v>38929</v>
      </c>
      <c r="I355" s="90" t="n">
        <v>2506</v>
      </c>
      <c r="J355" s="92" t="n">
        <v>1</v>
      </c>
      <c r="K355" s="76" t="n"/>
      <c r="L355" s="76" t="n"/>
      <c r="M355" s="76" t="n"/>
      <c r="N355" s="76" t="n"/>
      <c r="O355" s="76" t="inlineStr">
        <is>
          <t>E.BE.015.I</t>
        </is>
      </c>
      <c r="P355" s="76" t="inlineStr">
        <is>
          <t>Terminate</t>
        </is>
      </c>
      <c r="Q355" s="76" t="inlineStr">
        <is>
          <t>at expiry</t>
        </is>
      </c>
      <c r="R355" s="76" t="inlineStr">
        <is>
          <t>VendorA</t>
        </is>
      </c>
      <c r="S355" s="87" t="n">
        <v>2506</v>
      </c>
    </row>
    <row r="356" ht="24" customHeight="1" s="69">
      <c r="A356" s="77" t="n"/>
      <c r="B356" s="76" t="inlineStr">
        <is>
          <t>0227</t>
        </is>
      </c>
      <c r="C356" s="76" t="inlineStr">
        <is>
          <t>003321</t>
        </is>
      </c>
      <c r="D356" s="76" t="inlineStr">
        <is>
          <t>BE</t>
        </is>
      </c>
      <c r="E356" s="76" t="n"/>
      <c r="F356" s="76" t="inlineStr">
        <is>
          <t>E POWER</t>
        </is>
      </c>
      <c r="G356" s="76" t="inlineStr">
        <is>
          <t>maintenance fee</t>
        </is>
      </c>
      <c r="H356" s="84" t="n">
        <v>39114</v>
      </c>
      <c r="I356" s="90">
        <f>20159/12</f>
        <v/>
      </c>
      <c r="J356" s="92" t="n">
        <v>1</v>
      </c>
      <c r="K356" s="76" t="n"/>
      <c r="L356" s="76" t="n"/>
      <c r="M356" s="76" t="n"/>
      <c r="N356" s="76" t="n"/>
      <c r="O356" s="76" t="inlineStr">
        <is>
          <t>E.BE.016</t>
        </is>
      </c>
      <c r="P356" s="76" t="inlineStr">
        <is>
          <t>Terminate</t>
        </is>
      </c>
      <c r="Q356" s="76" t="inlineStr">
        <is>
          <t>at expiry</t>
        </is>
      </c>
      <c r="R356" s="76" t="inlineStr">
        <is>
          <t>VendorA</t>
        </is>
      </c>
      <c r="S356" s="87" t="n"/>
    </row>
    <row r="357" ht="24" customHeight="1" s="69">
      <c r="A357" s="77" t="inlineStr">
        <is>
          <t>EUC/UIS</t>
        </is>
      </c>
      <c r="B357" s="76" t="inlineStr">
        <is>
          <t>0227</t>
        </is>
      </c>
      <c r="C357" s="76" t="n"/>
      <c r="D357" s="76" t="inlineStr">
        <is>
          <t>BE</t>
        </is>
      </c>
      <c r="E357" s="76" t="n"/>
      <c r="F357" s="76" t="inlineStr">
        <is>
          <t>EMG/15</t>
        </is>
      </c>
      <c r="G357" s="76" t="inlineStr">
        <is>
          <t>Leasing van HP PC's (192) + 20 x 256 MB SDRAM    100-202-15</t>
        </is>
      </c>
      <c r="H357" s="84" t="n">
        <v>38717</v>
      </c>
      <c r="I357" s="90" t="n">
        <v>4893</v>
      </c>
      <c r="J357" s="92" t="n">
        <v>1</v>
      </c>
      <c r="K357" s="76" t="n"/>
      <c r="L357" s="76" t="n"/>
      <c r="M357" s="76" t="n"/>
      <c r="N357" s="76" t="n"/>
      <c r="O357" s="76" t="inlineStr">
        <is>
          <t>E.BE.018</t>
        </is>
      </c>
      <c r="P357" s="76" t="inlineStr">
        <is>
          <t>Terminate</t>
        </is>
      </c>
      <c r="Q357" s="76" t="inlineStr">
        <is>
          <t>at expiry</t>
        </is>
      </c>
      <c r="R357" s="76" t="inlineStr">
        <is>
          <t>Vendor Gamma</t>
        </is>
      </c>
      <c r="S357" s="87" t="n"/>
    </row>
    <row r="358" ht="48" customHeight="1" s="69">
      <c r="A358" s="77" t="inlineStr">
        <is>
          <t>EUC/UIS</t>
        </is>
      </c>
      <c r="B358" s="76" t="inlineStr">
        <is>
          <t>0227</t>
        </is>
      </c>
      <c r="C358" s="76" t="n"/>
      <c r="D358" s="76" t="inlineStr">
        <is>
          <t>BE</t>
        </is>
      </c>
      <c r="E358" s="76" t="n"/>
      <c r="F358" s="76" t="inlineStr">
        <is>
          <t>EMG/21</t>
        </is>
      </c>
      <c r="G358" s="76" t="inlineStr">
        <is>
          <t>Huurcontract 910 PC VL420 + 50 memory HP256mb + 500 taxes recupel    100-202-20</t>
        </is>
      </c>
      <c r="H358" s="84" t="n">
        <v>38717</v>
      </c>
      <c r="I358" s="90" t="n">
        <v>19395</v>
      </c>
      <c r="J358" s="86" t="n">
        <v>1</v>
      </c>
      <c r="K358" s="76" t="n"/>
      <c r="L358" s="76" t="n"/>
      <c r="M358" s="76" t="n"/>
      <c r="N358" s="76" t="n"/>
      <c r="O358" s="76" t="inlineStr">
        <is>
          <t>E.BE.019</t>
        </is>
      </c>
      <c r="P358" s="76" t="inlineStr">
        <is>
          <t>Terminate</t>
        </is>
      </c>
      <c r="Q358" s="76" t="inlineStr">
        <is>
          <t>at expiry</t>
        </is>
      </c>
      <c r="R358" s="76" t="inlineStr">
        <is>
          <t>Vendor Gamma</t>
        </is>
      </c>
      <c r="S358" s="87" t="n"/>
    </row>
    <row r="359" ht="24" customHeight="1" s="69">
      <c r="A359" s="77" t="n"/>
      <c r="B359" s="76" t="inlineStr">
        <is>
          <t>0227</t>
        </is>
      </c>
      <c r="C359" s="76" t="inlineStr">
        <is>
          <t>001544</t>
        </is>
      </c>
      <c r="D359" s="76" t="inlineStr">
        <is>
          <t>BE</t>
        </is>
      </c>
      <c r="E359" s="76" t="n"/>
      <c r="F359" s="76" t="inlineStr">
        <is>
          <t>EuroBank COMP LEASE/208</t>
        </is>
      </c>
      <c r="G359" s="76" t="inlineStr">
        <is>
          <t>imprimantes Brother    105-201-04</t>
        </is>
      </c>
      <c r="H359" s="84" t="n">
        <v>39538</v>
      </c>
      <c r="I359" s="90" t="n">
        <v>7906</v>
      </c>
      <c r="J359" s="117" t="n">
        <v>1</v>
      </c>
      <c r="K359" s="76" t="n"/>
      <c r="L359" s="76" t="n"/>
      <c r="M359" s="76" t="n"/>
      <c r="N359" s="76" t="n"/>
      <c r="O359" s="76" t="inlineStr">
        <is>
          <t>E.BE.028</t>
        </is>
      </c>
      <c r="P359" s="76" t="inlineStr">
        <is>
          <t>Terminate</t>
        </is>
      </c>
      <c r="Q359" s="76" t="inlineStr">
        <is>
          <t>at expiry</t>
        </is>
      </c>
      <c r="R359" s="76" t="inlineStr">
        <is>
          <t>Vendor Gamma</t>
        </is>
      </c>
      <c r="S359" s="87" t="n"/>
    </row>
    <row r="360" ht="24" customHeight="1" s="69">
      <c r="A360" s="77" t="n"/>
      <c r="B360" s="76" t="inlineStr">
        <is>
          <t>0218</t>
        </is>
      </c>
      <c r="C360" s="76" t="inlineStr">
        <is>
          <t>001546</t>
        </is>
      </c>
      <c r="D360" s="76" t="inlineStr">
        <is>
          <t>BE</t>
        </is>
      </c>
      <c r="E360" s="76" t="n"/>
      <c r="F360" s="76" t="inlineStr">
        <is>
          <t>EuroBank COMP LEASE/210</t>
        </is>
      </c>
      <c r="G360" s="76" t="inlineStr">
        <is>
          <t>Disc 72GB   104-201-44-02</t>
        </is>
      </c>
      <c r="H360" s="84" t="n">
        <v>39325</v>
      </c>
      <c r="I360" s="90" t="n">
        <v>2797</v>
      </c>
      <c r="J360" s="117" t="n">
        <v>1</v>
      </c>
      <c r="K360" s="76" t="n"/>
      <c r="L360" s="76" t="n"/>
      <c r="M360" s="76" t="n"/>
      <c r="N360" s="76" t="n"/>
      <c r="O360" s="76" t="inlineStr">
        <is>
          <t>E.BE.029</t>
        </is>
      </c>
      <c r="P360" s="76" t="inlineStr">
        <is>
          <t>Terminate</t>
        </is>
      </c>
      <c r="Q360" s="76" t="inlineStr">
        <is>
          <t>at expiry</t>
        </is>
      </c>
      <c r="R360" s="76" t="inlineStr">
        <is>
          <t>Vendor Gamma</t>
        </is>
      </c>
      <c r="S360" s="87" t="n"/>
    </row>
    <row r="361" ht="24" customHeight="1" s="69">
      <c r="A361" s="77" t="n"/>
      <c r="B361" s="76" t="inlineStr">
        <is>
          <t>0227</t>
        </is>
      </c>
      <c r="C361" s="76" t="inlineStr">
        <is>
          <t>002170</t>
        </is>
      </c>
      <c r="D361" s="76" t="inlineStr">
        <is>
          <t>BE</t>
        </is>
      </c>
      <c r="E361" s="76" t="n"/>
      <c r="F361" s="76" t="inlineStr">
        <is>
          <t>EuroBank COMP LEASE/242</t>
        </is>
      </c>
      <c r="G361" s="76" t="inlineStr">
        <is>
          <t>open book "achat divers"    105-201-31</t>
        </is>
      </c>
      <c r="H361" s="84" t="n">
        <v>39813</v>
      </c>
      <c r="I361" s="90" t="n">
        <v>22273</v>
      </c>
      <c r="J361" s="117" t="n">
        <v>1</v>
      </c>
      <c r="K361" s="76" t="n"/>
      <c r="L361" s="76" t="n"/>
      <c r="M361" s="76" t="n"/>
      <c r="N361" s="76" t="n"/>
      <c r="O361" s="76" t="inlineStr">
        <is>
          <t>E.BE.035</t>
        </is>
      </c>
      <c r="P361" s="76" t="inlineStr">
        <is>
          <t>Terminate</t>
        </is>
      </c>
      <c r="Q361" s="76" t="inlineStr">
        <is>
          <t>at expiry</t>
        </is>
      </c>
      <c r="R361" s="76" t="inlineStr">
        <is>
          <t>Vendor Gamma</t>
        </is>
      </c>
      <c r="S361" s="87" t="n"/>
    </row>
    <row r="362" ht="24" customHeight="1" s="69">
      <c r="A362" s="77" t="n"/>
      <c r="B362" s="76" t="inlineStr">
        <is>
          <t>0227</t>
        </is>
      </c>
      <c r="C362" s="76" t="inlineStr">
        <is>
          <t>002177</t>
        </is>
      </c>
      <c r="D362" s="76" t="inlineStr">
        <is>
          <t>BE</t>
        </is>
      </c>
      <c r="E362" s="76" t="n"/>
      <c r="F362" s="76" t="inlineStr">
        <is>
          <t>EuroBank COMP LEASE/244</t>
        </is>
      </c>
      <c r="G362" s="76" t="inlineStr">
        <is>
          <t>SMSNomad Branch   105-201-52</t>
        </is>
      </c>
      <c r="H362" s="84" t="n">
        <v>39478</v>
      </c>
      <c r="I362" s="90" t="n">
        <v>1410</v>
      </c>
      <c r="J362" s="92" t="n">
        <v>1</v>
      </c>
      <c r="K362" s="76" t="n"/>
      <c r="L362" s="76" t="n"/>
      <c r="M362" s="76" t="n"/>
      <c r="N362" s="76" t="n"/>
      <c r="O362" s="76" t="inlineStr">
        <is>
          <t>E.BE.036</t>
        </is>
      </c>
      <c r="P362" s="76" t="inlineStr">
        <is>
          <t>Terminate</t>
        </is>
      </c>
      <c r="Q362" s="76" t="inlineStr">
        <is>
          <t>at expiry</t>
        </is>
      </c>
      <c r="R362" s="76" t="inlineStr">
        <is>
          <t>VendorA</t>
        </is>
      </c>
      <c r="S362" s="87" t="n"/>
    </row>
    <row r="363" ht="24" customHeight="1" s="69">
      <c r="A363" s="77" t="n"/>
      <c r="B363" s="76" t="inlineStr">
        <is>
          <t>0212</t>
        </is>
      </c>
      <c r="C363" s="76" t="inlineStr">
        <is>
          <t>003287</t>
        </is>
      </c>
      <c r="D363" s="76" t="inlineStr">
        <is>
          <t>BE</t>
        </is>
      </c>
      <c r="E363" s="76" t="n"/>
      <c r="F363" s="76" t="inlineStr">
        <is>
          <t>EuroBank COMP LEASE/256</t>
        </is>
      </c>
      <c r="G363" s="76" t="inlineStr">
        <is>
          <t>Open book Telecom     105-201-21</t>
        </is>
      </c>
      <c r="H363" s="84" t="n">
        <v>39691</v>
      </c>
      <c r="I363" s="90" t="n">
        <v>6659</v>
      </c>
      <c r="J363" s="86" t="n">
        <v>1</v>
      </c>
      <c r="K363" s="76" t="n"/>
      <c r="L363" s="76" t="n"/>
      <c r="M363" s="76" t="n"/>
      <c r="N363" s="76" t="n"/>
      <c r="O363" s="76" t="inlineStr">
        <is>
          <t>E.BE.038</t>
        </is>
      </c>
      <c r="P363" s="76" t="inlineStr">
        <is>
          <t>Novate</t>
        </is>
      </c>
      <c r="Q363" s="76" t="n"/>
      <c r="R363" s="76" t="inlineStr">
        <is>
          <t>TelCo</t>
        </is>
      </c>
      <c r="S363" s="87" t="n"/>
      <c r="T363" s="77" t="n"/>
    </row>
    <row r="364" ht="24" customHeight="1" s="69">
      <c r="A364" s="77" t="n"/>
      <c r="B364" s="76" t="inlineStr">
        <is>
          <t>0212</t>
        </is>
      </c>
      <c r="C364" s="76" t="inlineStr">
        <is>
          <t>003291</t>
        </is>
      </c>
      <c r="D364" s="76" t="inlineStr">
        <is>
          <t>BE</t>
        </is>
      </c>
      <c r="E364" s="76" t="n"/>
      <c r="F364" s="76" t="inlineStr">
        <is>
          <t>EuroBank COMP LEASE/262</t>
        </is>
      </c>
      <c r="G364" s="76" t="inlineStr">
        <is>
          <t>GSM Sony Ericsson     105-201-39</t>
        </is>
      </c>
      <c r="H364" s="84" t="n">
        <v>39691</v>
      </c>
      <c r="I364" s="90" t="n">
        <v>2142</v>
      </c>
      <c r="J364" s="86" t="n">
        <v>1</v>
      </c>
      <c r="K364" s="76" t="n"/>
      <c r="L364" s="76" t="n"/>
      <c r="M364" s="76" t="n"/>
      <c r="N364" s="76" t="n"/>
      <c r="O364" s="76" t="inlineStr">
        <is>
          <t>E.BE.039</t>
        </is>
      </c>
      <c r="P364" s="76" t="inlineStr">
        <is>
          <t>Novate</t>
        </is>
      </c>
      <c r="Q364" s="76" t="n"/>
      <c r="R364" s="76" t="inlineStr">
        <is>
          <t>TelCo</t>
        </is>
      </c>
      <c r="S364" s="87" t="n"/>
      <c r="T364" s="77" t="n"/>
    </row>
    <row r="365" ht="24" customHeight="1" s="69">
      <c r="A365" s="77" t="n"/>
      <c r="B365" s="76" t="inlineStr">
        <is>
          <t>0090</t>
        </is>
      </c>
      <c r="C365" s="76" t="inlineStr">
        <is>
          <t>003292</t>
        </is>
      </c>
      <c r="D365" s="76" t="inlineStr">
        <is>
          <t>BE</t>
        </is>
      </c>
      <c r="E365" s="76" t="n"/>
      <c r="F365" s="76" t="inlineStr">
        <is>
          <t>EuroBank COMP LEASE/261</t>
        </is>
      </c>
      <c r="G365" s="76" t="inlineStr">
        <is>
          <t>Blackberry licenses     105-201-37</t>
        </is>
      </c>
      <c r="H365" s="84" t="n">
        <v>39660</v>
      </c>
      <c r="I365" s="90" t="n">
        <v>2027</v>
      </c>
      <c r="J365" s="86" t="n">
        <v>1</v>
      </c>
      <c r="K365" s="76" t="n"/>
      <c r="L365" s="76" t="n"/>
      <c r="M365" s="76" t="n"/>
      <c r="N365" s="76" t="n"/>
      <c r="O365" s="76" t="inlineStr">
        <is>
          <t>E.BE.040</t>
        </is>
      </c>
      <c r="P365" s="76" t="inlineStr">
        <is>
          <t>Novate</t>
        </is>
      </c>
      <c r="Q365" s="76" t="n"/>
      <c r="R365" s="76" t="inlineStr">
        <is>
          <t>TelCo</t>
        </is>
      </c>
      <c r="S365" s="87" t="n"/>
      <c r="T365" s="77" t="n"/>
    </row>
    <row r="366" ht="24" customHeight="1" s="69">
      <c r="A366" s="77" t="n"/>
      <c r="B366" s="76" t="inlineStr">
        <is>
          <t>0227</t>
        </is>
      </c>
      <c r="C366" s="76" t="inlineStr">
        <is>
          <t>003318</t>
        </is>
      </c>
      <c r="D366" s="76" t="inlineStr">
        <is>
          <t>BE</t>
        </is>
      </c>
      <c r="E366" s="76" t="n"/>
      <c r="F366" s="76" t="inlineStr">
        <is>
          <t>EuroBank COMP LEASE/260</t>
        </is>
      </c>
      <c r="G366" s="76" t="inlineStr">
        <is>
          <t>imprimantes Brother    105-201-42</t>
        </is>
      </c>
      <c r="H366" s="84" t="n">
        <v>39721</v>
      </c>
      <c r="I366" s="90" t="n">
        <v>8916.83333333333</v>
      </c>
      <c r="J366" s="86" t="n">
        <v>1</v>
      </c>
      <c r="K366" s="76" t="n"/>
      <c r="L366" s="76" t="n"/>
      <c r="M366" s="76" t="n"/>
      <c r="N366" s="76" t="n"/>
      <c r="O366" s="76" t="inlineStr">
        <is>
          <t>E.BE.041</t>
        </is>
      </c>
      <c r="P366" s="76" t="inlineStr">
        <is>
          <t>Terminate</t>
        </is>
      </c>
      <c r="Q366" s="76" t="inlineStr">
        <is>
          <t>at expiry</t>
        </is>
      </c>
      <c r="R366" s="76" t="inlineStr">
        <is>
          <t>Vendor Gamma</t>
        </is>
      </c>
      <c r="S366" s="87" t="n"/>
    </row>
    <row r="367" ht="24" customHeight="1" s="69">
      <c r="A367" s="77" t="n"/>
      <c r="B367" s="76" t="inlineStr">
        <is>
          <t>0212</t>
        </is>
      </c>
      <c r="C367" s="76" t="inlineStr">
        <is>
          <t>003431</t>
        </is>
      </c>
      <c r="D367" s="76" t="inlineStr">
        <is>
          <t>BE</t>
        </is>
      </c>
      <c r="E367" s="76" t="n"/>
      <c r="F367" s="76" t="inlineStr">
        <is>
          <t>EuroBank COMP LEASE/280</t>
        </is>
      </c>
      <c r="G367" s="76" t="inlineStr">
        <is>
          <t>Leasing 500 mobile phones     105-201-67</t>
        </is>
      </c>
      <c r="H367" s="84" t="n">
        <v>39813</v>
      </c>
      <c r="I367" s="90" t="n">
        <v>5793</v>
      </c>
      <c r="J367" s="86" t="n">
        <v>1</v>
      </c>
      <c r="K367" s="76" t="n"/>
      <c r="L367" s="76" t="n"/>
      <c r="M367" s="76" t="n"/>
      <c r="N367" s="76" t="n"/>
      <c r="O367" s="76" t="inlineStr">
        <is>
          <t>E.BE.042</t>
        </is>
      </c>
      <c r="P367" s="76" t="inlineStr">
        <is>
          <t>Novate</t>
        </is>
      </c>
      <c r="Q367" s="76" t="n"/>
      <c r="R367" s="76" t="inlineStr">
        <is>
          <t>TelCo</t>
        </is>
      </c>
      <c r="S367" s="87" t="n"/>
      <c r="T367" s="77" t="n"/>
    </row>
    <row r="368" ht="24" customHeight="1" s="69">
      <c r="A368" s="77" t="n"/>
      <c r="B368" s="76" t="inlineStr">
        <is>
          <t>0212</t>
        </is>
      </c>
      <c r="C368" s="76" t="inlineStr">
        <is>
          <t>003477</t>
        </is>
      </c>
      <c r="D368" s="76" t="inlineStr">
        <is>
          <t>BE</t>
        </is>
      </c>
      <c r="E368" s="76" t="n"/>
      <c r="F368" s="76" t="inlineStr">
        <is>
          <t>EuroBank COMP LEASE/273</t>
        </is>
      </c>
      <c r="G368" s="76" t="inlineStr">
        <is>
          <t>Matériel informatique de télécommunications     105-201-40</t>
        </is>
      </c>
      <c r="H368" s="84" t="n">
        <v>39782</v>
      </c>
      <c r="I368" s="90" t="n">
        <v>2306.41666666667</v>
      </c>
      <c r="J368" s="86" t="n">
        <v>1</v>
      </c>
      <c r="K368" s="76" t="n"/>
      <c r="L368" s="76" t="n"/>
      <c r="M368" s="76" t="n"/>
      <c r="N368" s="76" t="n"/>
      <c r="O368" s="76" t="inlineStr">
        <is>
          <t>E.BE.043</t>
        </is>
      </c>
      <c r="P368" s="76" t="inlineStr">
        <is>
          <t>Novate</t>
        </is>
      </c>
      <c r="Q368" s="76" t="n"/>
      <c r="R368" s="76" t="inlineStr">
        <is>
          <t>TelCo</t>
        </is>
      </c>
      <c r="S368" s="87" t="n"/>
      <c r="T368" s="77" t="n"/>
    </row>
    <row r="369" ht="24" customHeight="1" s="69">
      <c r="A369" s="77" t="n"/>
      <c r="B369" s="76" t="inlineStr">
        <is>
          <t>0227</t>
        </is>
      </c>
      <c r="C369" s="76" t="inlineStr">
        <is>
          <t>003480</t>
        </is>
      </c>
      <c r="D369" s="76" t="inlineStr">
        <is>
          <t>BE</t>
        </is>
      </c>
      <c r="E369" s="76" t="n"/>
      <c r="F369" s="76" t="inlineStr">
        <is>
          <t>EuroBank COMP LEASE</t>
        </is>
      </c>
      <c r="G369" s="76" t="inlineStr">
        <is>
          <t>MFP (multifunction)toestellen voor TPK 105-201-65</t>
        </is>
      </c>
      <c r="H369" s="84" t="n">
        <v>39903</v>
      </c>
      <c r="J369" s="92" t="n">
        <v>0</v>
      </c>
      <c r="K369" s="76" t="n"/>
      <c r="L369" s="76" t="n"/>
      <c r="M369" s="76" t="n"/>
      <c r="N369" s="76" t="n"/>
      <c r="O369" s="76" t="inlineStr">
        <is>
          <t>E.BE.044</t>
        </is>
      </c>
      <c r="P369" s="76" t="inlineStr">
        <is>
          <t>Terminate</t>
        </is>
      </c>
      <c r="Q369" s="76" t="inlineStr">
        <is>
          <t>at expiry</t>
        </is>
      </c>
      <c r="R369" s="76" t="inlineStr">
        <is>
          <t>Vendor Gamma</t>
        </is>
      </c>
      <c r="S369" s="87" t="n"/>
    </row>
    <row r="370" ht="24" customHeight="1" s="69">
      <c r="A370" s="77" t="n"/>
      <c r="B370" s="76" t="inlineStr">
        <is>
          <t>0227</t>
        </is>
      </c>
      <c r="C370" s="76" t="inlineStr">
        <is>
          <t>003493</t>
        </is>
      </c>
      <c r="D370" s="76" t="inlineStr">
        <is>
          <t>BE</t>
        </is>
      </c>
      <c r="E370" s="76" t="n"/>
      <c r="F370" s="76" t="inlineStr">
        <is>
          <t>EuroBank COMP LEASE</t>
        </is>
      </c>
      <c r="G370" s="76" t="inlineStr">
        <is>
          <t>Upgrade materieel harddisk, memory's en klavier 105-201-65</t>
        </is>
      </c>
      <c r="H370" s="84" t="n">
        <v>39691</v>
      </c>
      <c r="I370" s="90" t="n">
        <v>16311</v>
      </c>
      <c r="J370" s="86" t="n">
        <v>1</v>
      </c>
      <c r="K370" s="76" t="n"/>
      <c r="L370" s="76" t="n"/>
      <c r="M370" s="76" t="n"/>
      <c r="N370" s="76" t="n"/>
      <c r="O370" s="76" t="inlineStr">
        <is>
          <t>E.BE.045</t>
        </is>
      </c>
      <c r="P370" s="76" t="inlineStr">
        <is>
          <t>Terminate</t>
        </is>
      </c>
      <c r="Q370" s="76" t="inlineStr">
        <is>
          <t>at expiry</t>
        </is>
      </c>
      <c r="R370" s="76" t="inlineStr">
        <is>
          <t>Vendor Gamma</t>
        </is>
      </c>
      <c r="S370" s="87" t="n"/>
    </row>
    <row r="371" ht="24" customHeight="1" s="69">
      <c r="A371" s="77" t="n"/>
      <c r="B371" s="76" t="inlineStr">
        <is>
          <t>0227</t>
        </is>
      </c>
      <c r="C371" s="76" t="inlineStr">
        <is>
          <t>003908</t>
        </is>
      </c>
      <c r="D371" s="76" t="inlineStr">
        <is>
          <t>BE</t>
        </is>
      </c>
      <c r="E371" s="76" t="n"/>
      <c r="F371" s="76" t="inlineStr">
        <is>
          <t>EuroBank COMP LEASE/284</t>
        </is>
      </c>
      <c r="G371" s="76" t="inlineStr">
        <is>
          <t>Open Book lease "Achats Divers"</t>
        </is>
      </c>
      <c r="H371" s="84" t="n">
        <v>39355</v>
      </c>
      <c r="I371" s="90" t="n">
        <v>9407</v>
      </c>
      <c r="J371" s="86" t="n">
        <v>1</v>
      </c>
      <c r="K371" s="76" t="n"/>
      <c r="L371" s="76" t="n"/>
      <c r="M371" s="76" t="n"/>
      <c r="N371" s="76" t="n"/>
      <c r="O371" s="76" t="inlineStr">
        <is>
          <t>E.BE.046</t>
        </is>
      </c>
      <c r="P371" s="76" t="inlineStr">
        <is>
          <t>Terminate</t>
        </is>
      </c>
      <c r="Q371" s="76" t="inlineStr">
        <is>
          <t>at expiry</t>
        </is>
      </c>
      <c r="R371" s="76" t="inlineStr">
        <is>
          <t>Vendor Gamma</t>
        </is>
      </c>
      <c r="S371" s="87" t="n"/>
    </row>
    <row r="372" ht="24" customHeight="1" s="69">
      <c r="A372" s="77" t="n"/>
      <c r="B372" s="76" t="inlineStr">
        <is>
          <t>0212</t>
        </is>
      </c>
      <c r="C372" s="76" t="inlineStr">
        <is>
          <t>000370</t>
        </is>
      </c>
      <c r="D372" s="76" t="inlineStr">
        <is>
          <t>BE</t>
        </is>
      </c>
      <c r="E372" s="76" t="n"/>
      <c r="F372" s="76" t="inlineStr">
        <is>
          <t>ITC</t>
        </is>
      </c>
      <c r="G372" s="76" t="inlineStr">
        <is>
          <t>Invoicing ITC</t>
        </is>
      </c>
      <c r="H372" s="84" t="n"/>
      <c r="I372" s="90" t="n">
        <v>4166</v>
      </c>
      <c r="J372" s="86" t="n">
        <v>1</v>
      </c>
      <c r="K372" s="76" t="n"/>
      <c r="L372" s="76" t="n"/>
      <c r="M372" s="76" t="n"/>
      <c r="N372" s="76" t="n"/>
      <c r="O372" s="76" t="inlineStr">
        <is>
          <t>E.BE.052</t>
        </is>
      </c>
      <c r="P372" s="76" t="inlineStr">
        <is>
          <t>Retained</t>
        </is>
      </c>
      <c r="Q372" s="76" t="n"/>
      <c r="R372" s="76" t="inlineStr">
        <is>
          <t>Vendor Gamma</t>
        </is>
      </c>
      <c r="S372" s="87" t="n"/>
    </row>
    <row r="373" ht="24" customHeight="1" s="69">
      <c r="A373" s="77" t="n"/>
      <c r="B373" s="76" t="inlineStr">
        <is>
          <t>0227</t>
        </is>
      </c>
      <c r="C373" s="76" t="inlineStr">
        <is>
          <t>000582</t>
        </is>
      </c>
      <c r="D373" s="76" t="inlineStr">
        <is>
          <t>BE</t>
        </is>
      </c>
      <c r="E373" s="76" t="n"/>
      <c r="F373" s="76" t="inlineStr">
        <is>
          <t>Keyware technologies</t>
        </is>
      </c>
      <c r="G373" s="76" t="inlineStr">
        <is>
          <t>Maintenance Agreement on VPN loin Program for RVS</t>
        </is>
      </c>
      <c r="H373" s="84" t="n"/>
      <c r="I373" s="90" t="n">
        <v>578</v>
      </c>
      <c r="J373" s="86" t="n">
        <v>1</v>
      </c>
      <c r="K373" s="76" t="n"/>
      <c r="L373" s="76" t="n"/>
      <c r="M373" s="76" t="n"/>
      <c r="N373" s="76" t="n"/>
      <c r="O373" s="76" t="inlineStr">
        <is>
          <t>E.BE.053</t>
        </is>
      </c>
      <c r="P373" s="76" t="inlineStr">
        <is>
          <t>Retained</t>
        </is>
      </c>
      <c r="Q373" s="76" t="n"/>
      <c r="R373" s="76" t="inlineStr">
        <is>
          <t>VendorA</t>
        </is>
      </c>
      <c r="S373" s="87" t="n"/>
    </row>
    <row r="374" ht="24" customHeight="1" s="69">
      <c r="A374" s="77" t="n"/>
      <c r="B374" s="76" t="inlineStr">
        <is>
          <t>0227</t>
        </is>
      </c>
      <c r="C374" s="76" t="inlineStr">
        <is>
          <t>000583</t>
        </is>
      </c>
      <c r="D374" s="76" t="inlineStr">
        <is>
          <t>BE</t>
        </is>
      </c>
      <c r="E374" s="76" t="n"/>
      <c r="F374" s="76" t="inlineStr">
        <is>
          <t>Keyware technologies</t>
        </is>
      </c>
      <c r="G374" s="76" t="inlineStr">
        <is>
          <t>Maintenance Agreement on XcelleNet</t>
        </is>
      </c>
      <c r="H374" s="84" t="n"/>
      <c r="I374" s="90" t="n">
        <v>1284</v>
      </c>
      <c r="J374" s="86" t="n">
        <v>1</v>
      </c>
      <c r="K374" s="76" t="n"/>
      <c r="L374" s="76" t="n"/>
      <c r="M374" s="76" t="n"/>
      <c r="N374" s="76" t="n"/>
      <c r="O374" s="76" t="inlineStr">
        <is>
          <t>E.BE.054</t>
        </is>
      </c>
      <c r="P374" s="76" t="inlineStr">
        <is>
          <t>Retained</t>
        </is>
      </c>
      <c r="Q374" s="76" t="n"/>
      <c r="R374" s="76" t="inlineStr">
        <is>
          <t>VendorA</t>
        </is>
      </c>
      <c r="S374" s="87" t="n"/>
    </row>
    <row r="375" ht="24" customHeight="1" s="69">
      <c r="A375" s="77" t="n"/>
      <c r="B375" s="76" t="inlineStr">
        <is>
          <t>0212</t>
        </is>
      </c>
      <c r="C375" s="76" t="inlineStr">
        <is>
          <t>004185</t>
        </is>
      </c>
      <c r="D375" s="76" t="inlineStr">
        <is>
          <t>BE</t>
        </is>
      </c>
      <c r="E375" s="76" t="n"/>
      <c r="F375" s="76" t="inlineStr">
        <is>
          <t>MOBISTAR</t>
        </is>
      </c>
      <c r="G375" s="76" t="inlineStr">
        <is>
          <t>subscription fee tiger kidnapping mobiles</t>
        </is>
      </c>
      <c r="H375" s="84" t="n">
        <v>38900</v>
      </c>
      <c r="I375" s="90" t="n">
        <v>4050</v>
      </c>
      <c r="J375" s="92" t="n">
        <v>1</v>
      </c>
      <c r="K375" s="76" t="n"/>
      <c r="L375" s="76" t="n"/>
      <c r="M375" s="76" t="n"/>
      <c r="N375" s="76" t="n"/>
      <c r="O375" s="76" t="inlineStr">
        <is>
          <t>E.BE.055</t>
        </is>
      </c>
      <c r="P375" s="76" t="inlineStr">
        <is>
          <t>Terminate</t>
        </is>
      </c>
      <c r="Q375" s="76" t="inlineStr">
        <is>
          <t>at expiry</t>
        </is>
      </c>
      <c r="R375" s="76" t="inlineStr">
        <is>
          <t>TelCo</t>
        </is>
      </c>
      <c r="S375" s="87" t="n"/>
      <c r="T375" s="77" t="n"/>
    </row>
    <row r="376" ht="24" customHeight="1" s="69">
      <c r="A376" s="95" t="n"/>
      <c r="B376" s="96" t="n"/>
      <c r="C376" s="96" t="n"/>
      <c r="D376" s="96" t="inlineStr">
        <is>
          <t>BE</t>
        </is>
      </c>
      <c r="E376" s="96" t="n"/>
      <c r="F376" s="96" t="inlineStr">
        <is>
          <t>Vendor Gamma</t>
        </is>
      </c>
      <c r="G376" s="96" t="inlineStr">
        <is>
          <t>Licenses Check Point</t>
        </is>
      </c>
      <c r="H376" s="97" t="n"/>
      <c r="I376" s="106">
        <f>71650/12</f>
        <v/>
      </c>
      <c r="J376" s="110" t="n">
        <v>0.5</v>
      </c>
      <c r="K376" s="96" t="n"/>
      <c r="L376" s="96" t="n"/>
      <c r="M376" s="96" t="n"/>
      <c r="N376" s="96" t="n"/>
      <c r="O376" s="96" t="inlineStr">
        <is>
          <t>E.BE.064</t>
        </is>
      </c>
      <c r="P376" s="96" t="inlineStr">
        <is>
          <t>Novate</t>
        </is>
      </c>
      <c r="Q376" s="96" t="n"/>
      <c r="R376" s="96" t="inlineStr">
        <is>
          <t>VendorA</t>
        </is>
      </c>
      <c r="S376" s="100" t="n"/>
      <c r="T376" s="118" t="n"/>
      <c r="U376" s="118" t="n"/>
      <c r="V376" s="118" t="n"/>
      <c r="W376" s="118" t="n"/>
      <c r="X376" s="118" t="n"/>
      <c r="Y376" s="118" t="n"/>
      <c r="Z376" s="118" t="n"/>
      <c r="AA376" s="118" t="n"/>
      <c r="AB376" s="118" t="n"/>
      <c r="AC376" s="118" t="n"/>
      <c r="AD376" s="118" t="n"/>
      <c r="AE376" s="118" t="n"/>
      <c r="AF376" s="118" t="n"/>
      <c r="AG376" s="118" t="n"/>
      <c r="AH376" s="118" t="n"/>
      <c r="AI376" s="118" t="n"/>
      <c r="AJ376" s="118" t="n"/>
      <c r="AK376" s="118" t="n"/>
      <c r="AL376" s="118" t="n"/>
      <c r="AM376" s="118" t="n"/>
      <c r="AN376" s="118" t="n"/>
      <c r="AO376" s="118" t="n"/>
      <c r="AP376" s="118" t="n"/>
      <c r="AQ376" s="118" t="n"/>
      <c r="AR376" s="118" t="n"/>
      <c r="AS376" s="118" t="n"/>
      <c r="AT376" s="118" t="n"/>
      <c r="AU376" s="118" t="n"/>
      <c r="AV376" s="118" t="n"/>
      <c r="AW376" s="118" t="n"/>
      <c r="AX376" s="118" t="n"/>
      <c r="AY376" s="118" t="n"/>
      <c r="AZ376" s="118" t="n"/>
      <c r="BA376" s="118" t="n"/>
      <c r="BB376" s="118" t="n"/>
      <c r="BC376" s="118" t="n"/>
      <c r="BD376" s="118" t="n"/>
      <c r="BE376" s="118" t="n"/>
      <c r="BF376" s="118" t="n"/>
      <c r="BG376" s="118" t="n"/>
      <c r="BH376" s="118" t="n"/>
      <c r="BI376" s="118" t="n"/>
      <c r="BJ376" s="118" t="n"/>
      <c r="BK376" s="118" t="n"/>
      <c r="BL376" s="118" t="n"/>
      <c r="BM376" s="118" t="n"/>
      <c r="BN376" s="118" t="n"/>
      <c r="BO376" s="118" t="n"/>
      <c r="BP376" s="118" t="n"/>
      <c r="BQ376" s="118" t="n"/>
      <c r="BR376" s="118" t="n"/>
      <c r="BS376" s="118" t="n"/>
      <c r="BT376" s="118" t="n"/>
      <c r="BU376" s="118" t="n"/>
      <c r="BV376" s="118" t="n"/>
      <c r="BW376" s="118" t="n"/>
      <c r="BX376" s="118" t="n"/>
      <c r="BY376" s="118" t="n"/>
      <c r="BZ376" s="118" t="n"/>
      <c r="CA376" s="118" t="n"/>
      <c r="CB376" s="118" t="n"/>
      <c r="CC376" s="118" t="n"/>
      <c r="CD376" s="118" t="n"/>
      <c r="CE376" s="118" t="n"/>
      <c r="CF376" s="118" t="n"/>
      <c r="CG376" s="118" t="n"/>
      <c r="CH376" s="118" t="n"/>
      <c r="CI376" s="118" t="n"/>
      <c r="CJ376" s="118" t="n"/>
      <c r="CK376" s="118" t="n"/>
      <c r="CL376" s="118" t="n"/>
      <c r="CM376" s="118" t="n"/>
      <c r="CN376" s="118" t="n"/>
      <c r="CO376" s="118" t="n"/>
      <c r="CP376" s="118" t="n"/>
      <c r="CQ376" s="118" t="n"/>
      <c r="CR376" s="118" t="n"/>
      <c r="CS376" s="118" t="n"/>
      <c r="CT376" s="118" t="n"/>
      <c r="CU376" s="118" t="n"/>
      <c r="CV376" s="118" t="n"/>
      <c r="CW376" s="118" t="n"/>
      <c r="CX376" s="118" t="n"/>
      <c r="CY376" s="118" t="n"/>
      <c r="CZ376" s="118" t="n"/>
      <c r="DA376" s="118" t="n"/>
      <c r="DB376" s="118" t="n"/>
      <c r="DC376" s="118" t="n"/>
      <c r="DD376" s="118" t="n"/>
      <c r="DE376" s="118" t="n"/>
      <c r="DF376" s="118" t="n"/>
      <c r="DG376" s="118" t="n"/>
      <c r="DH376" s="118" t="n"/>
      <c r="DI376" s="118" t="n"/>
      <c r="DJ376" s="118" t="n"/>
      <c r="DK376" s="118" t="n"/>
      <c r="DL376" s="118" t="n"/>
      <c r="DM376" s="118" t="n"/>
      <c r="DN376" s="118" t="n"/>
      <c r="DO376" s="118" t="n"/>
      <c r="DP376" s="118" t="n"/>
      <c r="DQ376" s="118" t="n"/>
      <c r="DR376" s="118" t="n"/>
      <c r="DS376" s="118" t="n"/>
      <c r="DT376" s="118" t="n"/>
      <c r="DU376" s="118" t="n"/>
      <c r="DV376" s="118" t="n"/>
      <c r="DW376" s="118" t="n"/>
      <c r="DX376" s="118" t="n"/>
      <c r="DY376" s="118" t="n"/>
      <c r="DZ376" s="118" t="n"/>
      <c r="EA376" s="118" t="n"/>
      <c r="EB376" s="118" t="n"/>
      <c r="EC376" s="118" t="n"/>
      <c r="ED376" s="118" t="n"/>
      <c r="EE376" s="118" t="n"/>
      <c r="EF376" s="118" t="n"/>
      <c r="EG376" s="118" t="n"/>
      <c r="EH376" s="118" t="n"/>
      <c r="EI376" s="118" t="n"/>
      <c r="EJ376" s="118" t="n"/>
      <c r="EK376" s="118" t="n"/>
      <c r="EL376" s="118" t="n"/>
      <c r="EM376" s="118" t="n"/>
      <c r="EN376" s="118" t="n"/>
      <c r="EO376" s="118" t="n"/>
      <c r="EP376" s="118" t="n"/>
      <c r="EQ376" s="118" t="n"/>
      <c r="ER376" s="118" t="n"/>
      <c r="ES376" s="118" t="n"/>
      <c r="ET376" s="118" t="n"/>
      <c r="EU376" s="118" t="n"/>
      <c r="EV376" s="118" t="n"/>
      <c r="EW376" s="118" t="n"/>
      <c r="EX376" s="118" t="n"/>
      <c r="EY376" s="118" t="n"/>
      <c r="EZ376" s="118" t="n"/>
      <c r="FA376" s="118" t="n"/>
      <c r="FB376" s="118" t="n"/>
      <c r="FC376" s="118" t="n"/>
      <c r="FD376" s="118" t="n"/>
      <c r="FE376" s="118" t="n"/>
      <c r="FF376" s="118" t="n"/>
      <c r="FG376" s="118" t="n"/>
      <c r="FH376" s="118" t="n"/>
      <c r="FI376" s="118" t="n"/>
      <c r="FJ376" s="118" t="n"/>
      <c r="FK376" s="118" t="n"/>
      <c r="FL376" s="118" t="n"/>
      <c r="FM376" s="118" t="n"/>
      <c r="FN376" s="118" t="n"/>
      <c r="FO376" s="118" t="n"/>
      <c r="FP376" s="118" t="n"/>
      <c r="FQ376" s="118" t="n"/>
      <c r="FR376" s="118" t="n"/>
      <c r="FS376" s="118" t="n"/>
      <c r="FT376" s="118" t="n"/>
      <c r="FU376" s="118" t="n"/>
      <c r="FV376" s="118" t="n"/>
      <c r="FW376" s="118" t="n"/>
      <c r="FX376" s="118" t="n"/>
      <c r="FY376" s="118" t="n"/>
      <c r="FZ376" s="118" t="n"/>
      <c r="GA376" s="118" t="n"/>
      <c r="GB376" s="118" t="n"/>
      <c r="GC376" s="118" t="n"/>
      <c r="GD376" s="118" t="n"/>
      <c r="GE376" s="118" t="n"/>
      <c r="GF376" s="118" t="n"/>
      <c r="GG376" s="118" t="n"/>
      <c r="GH376" s="118" t="n"/>
      <c r="GI376" s="118" t="n"/>
      <c r="GJ376" s="118" t="n"/>
      <c r="GK376" s="118" t="n"/>
      <c r="GL376" s="118" t="n"/>
      <c r="GM376" s="118" t="n"/>
      <c r="GN376" s="118" t="n"/>
      <c r="GO376" s="118" t="n"/>
      <c r="GP376" s="118" t="n"/>
      <c r="GQ376" s="118" t="n"/>
      <c r="GR376" s="118" t="n"/>
      <c r="GS376" s="118" t="n"/>
      <c r="GT376" s="118" t="n"/>
      <c r="GU376" s="118" t="n"/>
      <c r="GV376" s="118" t="n"/>
      <c r="GW376" s="118" t="n"/>
      <c r="GX376" s="118" t="n"/>
      <c r="GY376" s="118" t="n"/>
      <c r="GZ376" s="118" t="n"/>
      <c r="HA376" s="118" t="n"/>
      <c r="HB376" s="118" t="n"/>
      <c r="HC376" s="118" t="n"/>
      <c r="HD376" s="118" t="n"/>
      <c r="HE376" s="118" t="n"/>
      <c r="HF376" s="118" t="n"/>
      <c r="HG376" s="118" t="n"/>
      <c r="HH376" s="118" t="n"/>
      <c r="HI376" s="118" t="n"/>
      <c r="HJ376" s="118" t="n"/>
      <c r="HK376" s="118" t="n"/>
      <c r="HL376" s="118" t="n"/>
      <c r="HM376" s="118" t="n"/>
      <c r="HN376" s="118" t="n"/>
      <c r="HO376" s="118" t="n"/>
      <c r="HP376" s="118" t="n"/>
      <c r="HQ376" s="118" t="n"/>
      <c r="HR376" s="118" t="n"/>
    </row>
    <row r="377" ht="24" customHeight="1" s="69">
      <c r="A377" s="77" t="n"/>
      <c r="B377" s="76" t="n"/>
      <c r="C377" s="76" t="n"/>
      <c r="D377" s="76" t="inlineStr">
        <is>
          <t>BE</t>
        </is>
      </c>
      <c r="E377" s="76" t="n"/>
      <c r="F377" s="76" t="inlineStr">
        <is>
          <t>EuroBank Comp Lease/104</t>
        </is>
      </c>
      <c r="G377" s="76" t="inlineStr">
        <is>
          <t>PC Desktop Celeron    104-201-13</t>
        </is>
      </c>
      <c r="H377" s="84" t="n">
        <v>39355</v>
      </c>
      <c r="I377" s="90" t="n">
        <v>16653</v>
      </c>
      <c r="J377" s="92" t="n">
        <v>1</v>
      </c>
      <c r="K377" s="76" t="n"/>
      <c r="L377" s="76" t="n"/>
      <c r="M377" s="76" t="n"/>
      <c r="N377" s="76" t="n"/>
      <c r="O377" s="76" t="inlineStr">
        <is>
          <t>E.BE.066</t>
        </is>
      </c>
      <c r="P377" s="76" t="inlineStr">
        <is>
          <t>Terminate</t>
        </is>
      </c>
      <c r="Q377" s="76" t="inlineStr">
        <is>
          <t>at expiry</t>
        </is>
      </c>
      <c r="R377" s="76" t="inlineStr">
        <is>
          <t>Vendor Gamma</t>
        </is>
      </c>
      <c r="S377" s="87" t="n"/>
    </row>
    <row r="378" ht="24" customHeight="1" s="69">
      <c r="A378" s="77" t="inlineStr">
        <is>
          <t>DTHW</t>
        </is>
      </c>
      <c r="B378" s="76" t="n">
        <v>5848</v>
      </c>
      <c r="C378" s="76" t="n"/>
      <c r="D378" s="76" t="inlineStr">
        <is>
          <t>BE</t>
        </is>
      </c>
      <c r="E378" s="76" t="n"/>
      <c r="F378" s="76" t="inlineStr">
        <is>
          <t>PHI DATA HC</t>
        </is>
      </c>
      <c r="G378" s="76" t="inlineStr">
        <is>
          <t>Maintenance on QMS printers</t>
        </is>
      </c>
      <c r="H378" s="84" t="n"/>
      <c r="I378" s="90" t="n">
        <v>287</v>
      </c>
      <c r="J378" s="92" t="n">
        <v>1</v>
      </c>
      <c r="K378" s="76" t="n"/>
      <c r="L378" s="76" t="n"/>
      <c r="M378" s="76" t="n"/>
      <c r="N378" s="76" t="n"/>
      <c r="O378" s="76" t="inlineStr">
        <is>
          <t>E.BE.067</t>
        </is>
      </c>
      <c r="P378" s="76" t="inlineStr">
        <is>
          <t>Terminate</t>
        </is>
      </c>
      <c r="Q378" s="76" t="inlineStr">
        <is>
          <t>at expiry</t>
        </is>
      </c>
      <c r="R378" s="76" t="inlineStr">
        <is>
          <t>Vendor Gamma</t>
        </is>
      </c>
      <c r="S378" s="87" t="n"/>
    </row>
    <row r="379" ht="24" customHeight="1" s="69">
      <c r="A379" s="77" t="n"/>
      <c r="B379" s="76" t="n"/>
      <c r="C379" s="76" t="n"/>
      <c r="D379" s="76" t="inlineStr">
        <is>
          <t>BE</t>
        </is>
      </c>
      <c r="E379" s="76" t="n"/>
      <c r="F379" s="76" t="inlineStr">
        <is>
          <t>Belgacom</t>
        </is>
      </c>
      <c r="G379" s="76" t="inlineStr">
        <is>
          <t>BElgacom/29 Reduction on ISDN 30</t>
        </is>
      </c>
      <c r="H379" s="84" t="n"/>
      <c r="I379" s="90" t="n">
        <v>340</v>
      </c>
      <c r="J379" s="92" t="n">
        <v>1</v>
      </c>
      <c r="K379" s="76" t="n"/>
      <c r="L379" s="76" t="n"/>
      <c r="M379" s="76" t="n"/>
      <c r="N379" s="76" t="n"/>
      <c r="O379" s="76" t="inlineStr">
        <is>
          <t>E.BE.068</t>
        </is>
      </c>
      <c r="P379" s="76" t="inlineStr">
        <is>
          <t>novate</t>
        </is>
      </c>
      <c r="Q379" s="76" t="n"/>
      <c r="R379" s="76" t="inlineStr">
        <is>
          <t>TelCo</t>
        </is>
      </c>
      <c r="S379" s="87" t="n">
        <v>0</v>
      </c>
      <c r="T379" s="77" t="n"/>
    </row>
    <row r="380" ht="48" customHeight="1" s="69">
      <c r="A380" s="77" t="n"/>
      <c r="B380" s="76" t="n"/>
      <c r="C380" s="76" t="n"/>
      <c r="D380" s="76" t="inlineStr">
        <is>
          <t>BE</t>
        </is>
      </c>
      <c r="E380" s="76" t="n"/>
      <c r="F380" s="76" t="inlineStr">
        <is>
          <t>Contraste Europe</t>
        </is>
      </c>
      <c r="G380" s="76" t="inlineStr">
        <is>
          <t>Extension of the Outsourcing agreement "BBL-GMC Services Contract B 935.020.00260.01 signed 30 April 2002</t>
        </is>
      </c>
      <c r="H380" s="84" t="n">
        <v>39386</v>
      </c>
      <c r="I380" s="90" t="n">
        <v>0</v>
      </c>
      <c r="J380" s="92" t="n">
        <v>0.65</v>
      </c>
      <c r="K380" s="76" t="n"/>
      <c r="L380" s="76" t="n"/>
      <c r="M380" s="76" t="n"/>
      <c r="N380" s="76" t="n"/>
      <c r="O380" s="76" t="inlineStr">
        <is>
          <t>E.BE.069</t>
        </is>
      </c>
      <c r="P380" s="76" t="inlineStr">
        <is>
          <t>Terminate</t>
        </is>
      </c>
      <c r="Q380" s="76" t="inlineStr">
        <is>
          <t>at expiry</t>
        </is>
      </c>
      <c r="R380" s="76" t="inlineStr">
        <is>
          <t>Vendor Gamma</t>
        </is>
      </c>
      <c r="S380" s="87" t="inlineStr">
        <is>
          <t>included in B.BE.008 II</t>
        </is>
      </c>
    </row>
    <row r="381" ht="24" customHeight="1" s="69">
      <c r="A381" s="119" t="n"/>
      <c r="B381" s="119" t="n"/>
      <c r="C381" s="109" t="n">
        <v>2001319</v>
      </c>
      <c r="D381" s="120" t="inlineStr">
        <is>
          <t>NL</t>
        </is>
      </c>
      <c r="E381" s="119" t="n"/>
      <c r="F381" s="121" t="inlineStr">
        <is>
          <t>GSM INFORMATIONSERVICE</t>
        </is>
      </c>
      <c r="G381" s="121" t="inlineStr">
        <is>
          <t>SMS services</t>
        </is>
      </c>
      <c r="H381" s="119" t="n"/>
      <c r="I381" s="85" t="n">
        <v>777</v>
      </c>
      <c r="J381" s="86" t="n">
        <v>1</v>
      </c>
      <c r="K381" s="77" t="n"/>
      <c r="O381" s="76" t="inlineStr">
        <is>
          <t>F.001</t>
        </is>
      </c>
      <c r="P381" s="76" t="inlineStr">
        <is>
          <t>Terminate</t>
        </is>
      </c>
      <c r="Q381" s="76" t="inlineStr">
        <is>
          <t>at expiry</t>
        </is>
      </c>
      <c r="R381" s="77" t="inlineStr">
        <is>
          <t>VendorA</t>
        </is>
      </c>
      <c r="S381" s="78" t="n">
        <v>777</v>
      </c>
    </row>
    <row r="382" ht="24" customHeight="1" s="69">
      <c r="F382" s="119" t="n"/>
      <c r="G382" s="119" t="n"/>
      <c r="H382" s="119" t="n"/>
      <c r="I382" s="77" t="n"/>
      <c r="J382" s="88" t="n"/>
      <c r="K382" s="73" t="n"/>
      <c r="L382" s="75" t="n"/>
      <c r="M382" s="75" t="n"/>
      <c r="N382" s="75" t="n"/>
      <c r="Q382" s="76" t="n"/>
      <c r="T382" s="77" t="n"/>
    </row>
    <row r="383" ht="11.4" customHeight="1" s="69">
      <c r="I383" s="122" t="n"/>
      <c r="J383" s="123" t="n"/>
      <c r="K383" s="73" t="n"/>
      <c r="L383" s="75" t="n"/>
      <c r="M383" s="75" t="n"/>
      <c r="N383" s="75" t="n"/>
      <c r="P383" s="73" t="n"/>
      <c r="Q383" s="73" t="n"/>
      <c r="R383" s="73" t="n"/>
      <c r="S383" s="122" t="n"/>
    </row>
    <row r="384" ht="11.4" customHeight="1" s="69">
      <c r="I384" s="122" t="n"/>
      <c r="J384" s="123" t="n"/>
      <c r="K384" s="73" t="n"/>
      <c r="L384" s="75" t="n"/>
      <c r="M384" s="75" t="n"/>
      <c r="N384" s="75" t="n"/>
      <c r="P384" s="73" t="n"/>
      <c r="Q384" s="73" t="n"/>
      <c r="R384" s="73" t="n"/>
      <c r="S384" s="122" t="n"/>
    </row>
    <row r="385" ht="11.4" customHeight="1" s="69">
      <c r="I385" s="124" t="n"/>
      <c r="J385" s="123" t="n"/>
      <c r="K385" s="73" t="n"/>
      <c r="L385" s="75" t="n"/>
      <c r="M385" s="75" t="n"/>
      <c r="N385" s="75" t="n"/>
      <c r="P385" s="73" t="n"/>
      <c r="Q385" s="73" t="n"/>
      <c r="R385" s="73" t="n"/>
      <c r="S385" s="122" t="n"/>
    </row>
    <row r="386" ht="11.4" customHeight="1" s="69">
      <c r="I386" s="124" t="n"/>
      <c r="J386" s="123" t="n"/>
      <c r="K386" s="73" t="n"/>
      <c r="L386" s="75" t="n"/>
      <c r="M386" s="75" t="n"/>
      <c r="N386" s="75" t="n"/>
      <c r="P386" s="73" t="n"/>
      <c r="Q386" s="73" t="n"/>
      <c r="R386" s="73" t="n"/>
      <c r="S386" s="122" t="n"/>
    </row>
    <row r="387" ht="11.4" customHeight="1" s="69">
      <c r="I387" s="125" t="n"/>
      <c r="J387" s="123" t="n"/>
      <c r="K387" s="73" t="n"/>
      <c r="L387" s="75" t="n"/>
      <c r="M387" s="75" t="n"/>
      <c r="N387" s="75" t="n"/>
      <c r="P387" s="73" t="n"/>
      <c r="Q387" s="73" t="n"/>
      <c r="R387" s="73" t="n"/>
      <c r="S387" s="122" t="n"/>
    </row>
    <row r="388" ht="11.4" customHeight="1" s="69">
      <c r="J388" s="123" t="n"/>
      <c r="K388" s="73" t="n"/>
      <c r="L388" s="126" t="n"/>
      <c r="M388" s="75" t="n"/>
      <c r="N388" s="75" t="n"/>
      <c r="P388" s="73" t="n"/>
      <c r="Q388" s="73" t="n"/>
      <c r="R388" s="73" t="n"/>
      <c r="S388" s="122" t="n"/>
    </row>
    <row r="389" ht="11.4" customHeight="1" s="69">
      <c r="J389" s="123" t="n"/>
      <c r="K389" s="73" t="n"/>
      <c r="L389" s="126" t="n"/>
      <c r="M389" s="75" t="n"/>
      <c r="N389" s="75" t="n"/>
      <c r="P389" s="73" t="n"/>
      <c r="Q389" s="73" t="n"/>
      <c r="R389" s="73" t="n"/>
      <c r="S389" s="122" t="n"/>
    </row>
    <row r="390" ht="11.4" customHeight="1" s="69">
      <c r="J390" s="123" t="n"/>
      <c r="K390" s="73" t="n"/>
      <c r="L390" s="126" t="n"/>
      <c r="M390" s="75" t="n"/>
      <c r="N390" s="75" t="n"/>
      <c r="P390" s="73" t="n"/>
      <c r="Q390" s="73" t="n"/>
      <c r="R390" s="73" t="n"/>
      <c r="S390" s="122" t="n"/>
    </row>
    <row r="391" ht="11.4" customHeight="1" s="69">
      <c r="J391" s="123" t="n"/>
      <c r="K391" s="73" t="n"/>
      <c r="L391" s="127" t="n"/>
      <c r="M391" s="75" t="n"/>
      <c r="N391" s="75" t="n"/>
      <c r="P391" s="73" t="n"/>
      <c r="Q391" s="73" t="n"/>
      <c r="R391" s="73" t="n"/>
      <c r="S391" s="122" t="n"/>
    </row>
    <row r="392" ht="11.4" customHeight="1" s="69">
      <c r="J392" s="123" t="n"/>
      <c r="K392" s="72" t="n"/>
      <c r="L392" s="127" t="n"/>
      <c r="M392" s="75" t="n"/>
      <c r="N392" s="75" t="n"/>
      <c r="P392" s="73" t="n"/>
      <c r="Q392" s="73" t="n"/>
      <c r="R392" s="73" t="n"/>
      <c r="S392" s="122" t="n"/>
    </row>
    <row r="393" ht="11.4" customHeight="1" s="69">
      <c r="J393" s="123" t="n"/>
      <c r="K393" s="73" t="n"/>
      <c r="L393" s="126" t="n"/>
      <c r="M393" s="75" t="n"/>
      <c r="N393" s="75" t="n"/>
      <c r="P393" s="73" t="n"/>
      <c r="Q393" s="73" t="n"/>
      <c r="R393" s="73" t="n"/>
      <c r="S393" s="122" t="n"/>
    </row>
    <row r="394" ht="11.4" customHeight="1" s="69">
      <c r="J394" s="123" t="n"/>
      <c r="K394" s="73" t="n"/>
      <c r="L394" s="126" t="n"/>
      <c r="M394" s="75" t="n"/>
      <c r="N394" s="75" t="n"/>
      <c r="P394" s="73" t="n"/>
      <c r="Q394" s="73" t="n"/>
      <c r="R394" s="73" t="n"/>
      <c r="S394" s="122" t="n"/>
    </row>
    <row r="395" ht="11.4" customHeight="1" s="69">
      <c r="J395" s="123" t="n"/>
      <c r="K395" s="73" t="n"/>
      <c r="L395" s="75" t="n"/>
      <c r="M395" s="75" t="n"/>
      <c r="N395" s="75" t="n"/>
      <c r="P395" s="73" t="n"/>
      <c r="Q395" s="73" t="n"/>
      <c r="R395" s="73" t="n"/>
      <c r="S395" s="122" t="n"/>
    </row>
    <row r="396" ht="11.4" customHeight="1" s="69">
      <c r="J396" s="123" t="n"/>
      <c r="K396" s="73" t="n"/>
      <c r="L396" s="75" t="n"/>
      <c r="M396" s="75" t="n"/>
      <c r="N396" s="75" t="n"/>
      <c r="P396" s="73" t="n"/>
      <c r="Q396" s="73" t="n"/>
      <c r="R396" s="73" t="n"/>
      <c r="S396" s="122" t="n"/>
    </row>
    <row r="397" ht="11.4" customHeight="1" s="69">
      <c r="J397" s="123" t="n"/>
      <c r="K397" s="73" t="n"/>
      <c r="L397" s="126" t="n"/>
      <c r="M397" s="75" t="n"/>
      <c r="N397" s="75" t="n"/>
      <c r="P397" s="73" t="n"/>
      <c r="Q397" s="73" t="n"/>
      <c r="R397" s="73" t="n"/>
      <c r="S397" s="122" t="n"/>
    </row>
    <row r="398" ht="11.4" customHeight="1" s="69">
      <c r="J398" s="123" t="n"/>
      <c r="K398" s="73" t="n"/>
      <c r="L398" s="126" t="n"/>
      <c r="M398" s="75" t="n"/>
      <c r="N398" s="75" t="n"/>
      <c r="P398" s="73" t="n"/>
      <c r="Q398" s="73" t="n"/>
      <c r="R398" s="73" t="n"/>
      <c r="S398" s="122" t="n"/>
    </row>
    <row r="399" ht="11.4" customHeight="1" s="69">
      <c r="J399" s="123" t="n"/>
      <c r="K399" s="73" t="n"/>
      <c r="L399" s="126" t="n"/>
      <c r="M399" s="75" t="n"/>
      <c r="N399" s="75" t="n"/>
      <c r="P399" s="73" t="n"/>
      <c r="Q399" s="73" t="n"/>
      <c r="R399" s="73" t="n"/>
      <c r="S399" s="122" t="n"/>
    </row>
    <row r="400" ht="11.4" customHeight="1" s="69">
      <c r="J400" s="123" t="n"/>
      <c r="K400" s="73" t="n"/>
      <c r="L400" s="75" t="n"/>
      <c r="M400" s="75" t="n"/>
      <c r="N400" s="75" t="n"/>
      <c r="P400" s="73" t="n"/>
      <c r="Q400" s="73" t="n"/>
      <c r="R400" s="73" t="n"/>
      <c r="S400" s="122" t="n"/>
    </row>
    <row r="401" ht="11.4" customHeight="1" s="69">
      <c r="J401" s="123" t="n"/>
      <c r="K401" s="73" t="n"/>
      <c r="L401" s="75" t="n"/>
      <c r="M401" s="75" t="n"/>
      <c r="N401" s="75" t="n"/>
      <c r="P401" s="73" t="n"/>
      <c r="Q401" s="73" t="n"/>
      <c r="R401" s="73" t="n"/>
      <c r="S401" s="122" t="n"/>
    </row>
    <row r="402" ht="11.4" customHeight="1" s="69">
      <c r="J402" s="123" t="n"/>
      <c r="K402" s="73" t="n"/>
      <c r="L402" s="75" t="n"/>
      <c r="M402" s="75" t="n"/>
      <c r="N402" s="75" t="n"/>
      <c r="P402" s="73" t="n"/>
      <c r="Q402" s="73" t="n"/>
      <c r="R402" s="73" t="n"/>
      <c r="S402" s="122" t="n"/>
    </row>
    <row r="403" ht="11.4" customHeight="1" s="69">
      <c r="J403" s="123" t="n"/>
      <c r="K403" s="73" t="n"/>
      <c r="L403" s="75" t="n"/>
      <c r="M403" s="75" t="n"/>
      <c r="N403" s="75" t="n"/>
      <c r="P403" s="73" t="n"/>
      <c r="Q403" s="73" t="n"/>
      <c r="R403" s="73" t="n"/>
      <c r="S403" s="122" t="n"/>
    </row>
    <row r="404" ht="11.4" customHeight="1" s="69">
      <c r="J404" s="123" t="n"/>
      <c r="K404" s="73" t="n"/>
      <c r="L404" s="75" t="n"/>
      <c r="M404" s="75" t="n"/>
      <c r="N404" s="75" t="n"/>
      <c r="P404" s="73" t="n"/>
      <c r="Q404" s="73" t="n"/>
      <c r="R404" s="73" t="n"/>
      <c r="S404" s="122" t="n"/>
    </row>
    <row r="405" ht="11.4" customHeight="1" s="69">
      <c r="J405" s="123" t="n"/>
      <c r="K405" s="73" t="n"/>
      <c r="L405" s="75" t="n"/>
      <c r="M405" s="75" t="n"/>
      <c r="N405" s="75" t="n"/>
      <c r="P405" s="73" t="n"/>
      <c r="Q405" s="73" t="n"/>
      <c r="R405" s="73" t="n"/>
      <c r="S405" s="122" t="n"/>
    </row>
    <row r="406" ht="11.4" customHeight="1" s="69">
      <c r="J406" s="123" t="n"/>
      <c r="K406" s="73" t="n"/>
      <c r="L406" s="75" t="n"/>
      <c r="M406" s="75" t="n"/>
      <c r="N406" s="75" t="n"/>
      <c r="P406" s="73" t="n"/>
      <c r="Q406" s="73" t="n"/>
      <c r="R406" s="73" t="n"/>
      <c r="S406" s="122" t="n"/>
    </row>
    <row r="407" ht="11.4" customHeight="1" s="69">
      <c r="J407" s="123" t="n"/>
      <c r="K407" s="73" t="n"/>
      <c r="L407" s="75" t="n"/>
      <c r="M407" s="75" t="n"/>
      <c r="N407" s="75" t="n"/>
      <c r="P407" s="73" t="n"/>
      <c r="Q407" s="73" t="n"/>
      <c r="R407" s="73" t="n"/>
      <c r="S407" s="122" t="n"/>
    </row>
    <row r="408" ht="11.4" customHeight="1" s="69">
      <c r="J408" s="123" t="n"/>
      <c r="K408" s="73" t="n"/>
      <c r="L408" s="75" t="n"/>
      <c r="M408" s="75" t="n"/>
      <c r="N408" s="75" t="n"/>
      <c r="P408" s="73" t="n"/>
      <c r="Q408" s="73" t="n"/>
      <c r="R408" s="73" t="n"/>
      <c r="S408" s="122" t="n"/>
    </row>
    <row r="409" ht="11.4" customHeight="1" s="69">
      <c r="J409" s="123" t="n"/>
      <c r="K409" s="73" t="n"/>
      <c r="L409" s="75" t="n"/>
      <c r="M409" s="75" t="n"/>
      <c r="N409" s="75" t="n"/>
      <c r="P409" s="73" t="n"/>
      <c r="Q409" s="73" t="n"/>
      <c r="R409" s="73" t="n"/>
      <c r="S409" s="122" t="n"/>
    </row>
    <row r="410" ht="11.4" customHeight="1" s="69">
      <c r="J410" s="123" t="n"/>
      <c r="K410" s="73" t="n"/>
      <c r="L410" s="75" t="n"/>
      <c r="M410" s="75" t="n"/>
      <c r="N410" s="75" t="n"/>
      <c r="P410" s="73" t="n"/>
      <c r="Q410" s="73" t="n"/>
      <c r="R410" s="73" t="n"/>
      <c r="S410" s="122" t="n"/>
    </row>
    <row r="411" ht="11.4" customHeight="1" s="69">
      <c r="J411" s="123" t="n"/>
      <c r="K411" s="73" t="n"/>
      <c r="L411" s="75" t="n"/>
      <c r="M411" s="75" t="n"/>
      <c r="N411" s="75" t="n"/>
      <c r="P411" s="73" t="n"/>
      <c r="Q411" s="73" t="n"/>
      <c r="R411" s="73" t="n"/>
      <c r="S411" s="122" t="n"/>
    </row>
    <row r="412" ht="11.4" customHeight="1" s="69">
      <c r="J412" s="123" t="n"/>
      <c r="K412" s="73" t="n"/>
      <c r="L412" s="75" t="n"/>
      <c r="M412" s="75" t="n"/>
      <c r="N412" s="75" t="n"/>
      <c r="P412" s="73" t="n"/>
      <c r="Q412" s="73" t="n"/>
      <c r="R412" s="73" t="n"/>
      <c r="S412" s="122" t="n"/>
    </row>
    <row r="413" ht="11.4" customHeight="1" s="69">
      <c r="J413" s="123" t="n"/>
      <c r="K413" s="73" t="n"/>
      <c r="L413" s="75" t="n"/>
      <c r="M413" s="75" t="n"/>
      <c r="N413" s="75" t="n"/>
      <c r="P413" s="73" t="n"/>
      <c r="Q413" s="73" t="n"/>
      <c r="R413" s="73" t="n"/>
      <c r="S413" s="122" t="n"/>
    </row>
    <row r="414" ht="11.4" customHeight="1" s="69">
      <c r="J414" s="123" t="n"/>
      <c r="K414" s="73" t="n"/>
      <c r="L414" s="75" t="n"/>
      <c r="M414" s="75" t="n"/>
      <c r="N414" s="75" t="n"/>
      <c r="P414" s="73" t="n"/>
      <c r="Q414" s="73" t="n"/>
      <c r="R414" s="73" t="n"/>
      <c r="S414" s="122" t="n"/>
    </row>
    <row r="415" ht="11.4" customHeight="1" s="69">
      <c r="J415" s="123" t="n"/>
      <c r="K415" s="73" t="n"/>
      <c r="L415" s="75" t="n"/>
      <c r="M415" s="75" t="n"/>
      <c r="N415" s="75" t="n"/>
      <c r="P415" s="73" t="n"/>
      <c r="Q415" s="73" t="n"/>
      <c r="R415" s="73" t="n"/>
      <c r="S415" s="122" t="n"/>
    </row>
    <row r="416" ht="11.4" customHeight="1" s="69">
      <c r="J416" s="123" t="n"/>
      <c r="K416" s="73" t="n"/>
      <c r="L416" s="75" t="n"/>
      <c r="M416" s="75" t="n"/>
      <c r="N416" s="75" t="n"/>
      <c r="P416" s="73" t="n"/>
      <c r="Q416" s="73" t="n"/>
      <c r="R416" s="73" t="n"/>
      <c r="S416" s="122" t="n"/>
    </row>
    <row r="417" ht="11.4" customHeight="1" s="69">
      <c r="J417" s="123" t="n"/>
      <c r="K417" s="73" t="n"/>
      <c r="L417" s="75" t="n"/>
      <c r="M417" s="75" t="n"/>
      <c r="N417" s="75" t="n"/>
      <c r="P417" s="73" t="n"/>
      <c r="Q417" s="73" t="n"/>
      <c r="R417" s="73" t="n"/>
      <c r="S417" s="122" t="n"/>
    </row>
    <row r="418" ht="11.4" customHeight="1" s="69">
      <c r="J418" s="123" t="n"/>
      <c r="K418" s="73" t="n"/>
      <c r="L418" s="75" t="n"/>
      <c r="M418" s="75" t="n"/>
      <c r="N418" s="75" t="n"/>
      <c r="P418" s="73" t="n"/>
      <c r="Q418" s="73" t="n"/>
      <c r="R418" s="73" t="n"/>
      <c r="S418" s="122" t="n"/>
    </row>
    <row r="419" ht="11.4" customHeight="1" s="69">
      <c r="J419" s="123" t="n"/>
      <c r="K419" s="73" t="n"/>
      <c r="L419" s="75" t="n"/>
      <c r="M419" s="75" t="n"/>
      <c r="N419" s="75" t="n"/>
      <c r="P419" s="73" t="n"/>
      <c r="Q419" s="73" t="n"/>
      <c r="R419" s="73" t="n"/>
      <c r="S419" s="122" t="n"/>
    </row>
    <row r="420" ht="11.4" customHeight="1" s="69">
      <c r="J420" s="123" t="n"/>
      <c r="K420" s="73" t="n"/>
      <c r="L420" s="75" t="n"/>
      <c r="M420" s="75" t="n"/>
      <c r="N420" s="75" t="n"/>
      <c r="P420" s="73" t="n"/>
      <c r="Q420" s="73" t="n"/>
      <c r="R420" s="73" t="n"/>
      <c r="S420" s="122" t="n"/>
    </row>
    <row r="421" ht="11.4" customHeight="1" s="69">
      <c r="J421" s="123" t="n"/>
      <c r="K421" s="73" t="n"/>
      <c r="L421" s="75" t="n"/>
      <c r="M421" s="75" t="n"/>
      <c r="N421" s="75" t="n"/>
      <c r="P421" s="73" t="n"/>
      <c r="Q421" s="73" t="n"/>
      <c r="R421" s="73" t="n"/>
      <c r="S421" s="122" t="n"/>
    </row>
    <row r="422" ht="11.4" customHeight="1" s="69">
      <c r="J422" s="123" t="n"/>
      <c r="K422" s="73" t="n"/>
      <c r="L422" s="75" t="n"/>
      <c r="M422" s="75" t="n"/>
      <c r="N422" s="75" t="n"/>
      <c r="P422" s="73" t="n"/>
      <c r="Q422" s="73" t="n"/>
      <c r="R422" s="73" t="n"/>
      <c r="S422" s="122" t="n"/>
    </row>
    <row r="423" ht="11.4" customHeight="1" s="69">
      <c r="J423" s="123" t="n"/>
      <c r="K423" s="73" t="n"/>
      <c r="L423" s="75" t="n"/>
      <c r="M423" s="75" t="n"/>
      <c r="N423" s="75" t="n"/>
      <c r="P423" s="73" t="n"/>
      <c r="Q423" s="73" t="n"/>
      <c r="R423" s="73" t="n"/>
      <c r="S423" s="122" t="n"/>
    </row>
    <row r="424" ht="11.4" customHeight="1" s="69">
      <c r="J424" s="123" t="n"/>
      <c r="K424" s="73" t="n"/>
      <c r="L424" s="75" t="n"/>
      <c r="M424" s="75" t="n"/>
      <c r="N424" s="75" t="n"/>
      <c r="P424" s="73" t="n"/>
      <c r="Q424" s="73" t="n"/>
      <c r="R424" s="73" t="n"/>
      <c r="S424" s="122" t="n"/>
    </row>
    <row r="425" ht="11.4" customHeight="1" s="69">
      <c r="J425" s="123" t="n"/>
      <c r="K425" s="73" t="n"/>
      <c r="L425" s="75" t="n"/>
      <c r="M425" s="75" t="n"/>
      <c r="N425" s="75" t="n"/>
      <c r="P425" s="73" t="n"/>
      <c r="Q425" s="73" t="n"/>
      <c r="R425" s="73" t="n"/>
      <c r="S425" s="122" t="n"/>
    </row>
    <row r="426" ht="11.4" customHeight="1" s="69">
      <c r="J426" s="123" t="n"/>
      <c r="K426" s="73" t="n"/>
      <c r="L426" s="75" t="n"/>
      <c r="M426" s="75" t="n"/>
      <c r="N426" s="75" t="n"/>
      <c r="P426" s="73" t="n"/>
      <c r="Q426" s="73" t="n"/>
      <c r="R426" s="73" t="n"/>
      <c r="S426" s="122" t="n"/>
    </row>
    <row r="427" ht="11.4" customHeight="1" s="69">
      <c r="J427" s="123" t="n"/>
      <c r="K427" s="73" t="n"/>
      <c r="L427" s="75" t="n"/>
      <c r="M427" s="75" t="n"/>
      <c r="N427" s="75" t="n"/>
      <c r="P427" s="73" t="n"/>
      <c r="Q427" s="73" t="n"/>
      <c r="R427" s="73" t="n"/>
      <c r="S427" s="122" t="n"/>
    </row>
    <row r="428" ht="11.4" customHeight="1" s="69">
      <c r="J428" s="123" t="n"/>
      <c r="K428" s="73" t="n"/>
      <c r="L428" s="75" t="n"/>
      <c r="M428" s="75" t="n"/>
      <c r="N428" s="75" t="n"/>
      <c r="P428" s="73" t="n"/>
      <c r="Q428" s="73" t="n"/>
      <c r="R428" s="73" t="n"/>
      <c r="S428" s="122" t="n"/>
    </row>
    <row r="429" ht="11.4" customHeight="1" s="69">
      <c r="J429" s="123" t="n"/>
      <c r="K429" s="73" t="n"/>
      <c r="L429" s="75" t="n"/>
      <c r="M429" s="75" t="n"/>
      <c r="N429" s="75" t="n"/>
      <c r="P429" s="73" t="n"/>
      <c r="Q429" s="73" t="n"/>
      <c r="R429" s="73" t="n"/>
      <c r="S429" s="122" t="n"/>
    </row>
    <row r="430" ht="11.4" customHeight="1" s="69">
      <c r="J430" s="123" t="n"/>
      <c r="K430" s="73" t="n"/>
      <c r="L430" s="75" t="n"/>
      <c r="M430" s="75" t="n"/>
      <c r="N430" s="75" t="n"/>
      <c r="P430" s="73" t="n"/>
      <c r="Q430" s="73" t="n"/>
      <c r="R430" s="73" t="n"/>
      <c r="S430" s="122" t="n"/>
    </row>
    <row r="431" ht="11.4" customHeight="1" s="69">
      <c r="J431" s="123" t="n"/>
      <c r="K431" s="73" t="n"/>
      <c r="L431" s="75" t="n"/>
      <c r="M431" s="75" t="n"/>
      <c r="N431" s="75" t="n"/>
      <c r="P431" s="73" t="n"/>
      <c r="Q431" s="73" t="n"/>
      <c r="R431" s="73" t="n"/>
      <c r="S431" s="122" t="n"/>
    </row>
    <row r="432" ht="11.4" customHeight="1" s="69">
      <c r="J432" s="123" t="n"/>
      <c r="K432" s="73" t="n"/>
      <c r="L432" s="75" t="n"/>
      <c r="M432" s="75" t="n"/>
      <c r="N432" s="75" t="n"/>
      <c r="P432" s="73" t="n"/>
      <c r="Q432" s="73" t="n"/>
      <c r="R432" s="73" t="n"/>
      <c r="S432" s="122" t="n"/>
    </row>
    <row r="433" ht="11.4" customHeight="1" s="69">
      <c r="J433" s="123" t="n"/>
      <c r="K433" s="73" t="n"/>
      <c r="L433" s="75" t="n"/>
      <c r="M433" s="75" t="n"/>
      <c r="N433" s="75" t="n"/>
      <c r="P433" s="73" t="n"/>
      <c r="Q433" s="73" t="n"/>
      <c r="R433" s="73" t="n"/>
      <c r="S433" s="122" t="n"/>
    </row>
    <row r="434" ht="11.4" customHeight="1" s="69">
      <c r="J434" s="123" t="n"/>
      <c r="K434" s="73" t="n"/>
      <c r="L434" s="75" t="n"/>
      <c r="M434" s="75" t="n"/>
      <c r="N434" s="75" t="n"/>
      <c r="P434" s="73" t="n"/>
      <c r="Q434" s="73" t="n"/>
      <c r="R434" s="73" t="n"/>
      <c r="S434" s="122" t="n"/>
    </row>
    <row r="435" ht="11.4" customHeight="1" s="69">
      <c r="J435" s="123" t="n"/>
      <c r="K435" s="73" t="n"/>
      <c r="L435" s="75" t="n"/>
      <c r="M435" s="75" t="n"/>
      <c r="N435" s="75" t="n"/>
      <c r="P435" s="73" t="n"/>
      <c r="Q435" s="73" t="n"/>
      <c r="R435" s="73" t="n"/>
      <c r="S435" s="122" t="n"/>
    </row>
    <row r="436" ht="11.4" customHeight="1" s="69">
      <c r="J436" s="123" t="n"/>
      <c r="K436" s="73" t="n"/>
      <c r="L436" s="75" t="n"/>
      <c r="M436" s="75" t="n"/>
      <c r="N436" s="75" t="n"/>
      <c r="P436" s="73" t="n"/>
      <c r="Q436" s="73" t="n"/>
      <c r="R436" s="73" t="n"/>
      <c r="S436" s="122" t="n"/>
    </row>
    <row r="437" ht="11.4" customHeight="1" s="69">
      <c r="J437" s="123" t="n"/>
      <c r="K437" s="73" t="n"/>
      <c r="L437" s="75" t="n"/>
      <c r="M437" s="75" t="n"/>
      <c r="N437" s="75" t="n"/>
      <c r="P437" s="73" t="n"/>
      <c r="Q437" s="73" t="n"/>
      <c r="R437" s="73" t="n"/>
      <c r="S437" s="122" t="n"/>
    </row>
    <row r="438" ht="11.4" customHeight="1" s="69">
      <c r="J438" s="123" t="n"/>
      <c r="K438" s="73" t="n"/>
      <c r="L438" s="75" t="n"/>
      <c r="M438" s="75" t="n"/>
      <c r="N438" s="75" t="n"/>
      <c r="P438" s="73" t="n"/>
      <c r="Q438" s="73" t="n"/>
      <c r="R438" s="73" t="n"/>
      <c r="S438" s="122" t="n"/>
    </row>
    <row r="439" ht="11.4" customHeight="1" s="69">
      <c r="J439" s="123" t="n"/>
      <c r="K439" s="73" t="n"/>
      <c r="L439" s="75" t="n"/>
      <c r="M439" s="75" t="n"/>
      <c r="N439" s="75" t="n"/>
      <c r="P439" s="73" t="n"/>
      <c r="Q439" s="73" t="n"/>
      <c r="R439" s="73" t="n"/>
      <c r="S439" s="122" t="n"/>
    </row>
    <row r="440" ht="11.4" customHeight="1" s="69">
      <c r="J440" s="123" t="n"/>
      <c r="K440" s="73" t="n"/>
      <c r="L440" s="75" t="n"/>
      <c r="M440" s="75" t="n"/>
      <c r="N440" s="75" t="n"/>
      <c r="P440" s="73" t="n"/>
      <c r="Q440" s="73" t="n"/>
      <c r="R440" s="73" t="n"/>
      <c r="S440" s="122" t="n"/>
    </row>
    <row r="441" ht="11.4" customHeight="1" s="69">
      <c r="J441" s="123" t="n"/>
      <c r="K441" s="73" t="n"/>
      <c r="L441" s="75" t="n"/>
      <c r="M441" s="75" t="n"/>
      <c r="N441" s="75" t="n"/>
      <c r="P441" s="73" t="n"/>
      <c r="Q441" s="73" t="n"/>
      <c r="R441" s="73" t="n"/>
      <c r="S441" s="122" t="n"/>
    </row>
    <row r="442" ht="11.4" customHeight="1" s="69">
      <c r="J442" s="123" t="n"/>
      <c r="K442" s="73" t="n"/>
      <c r="L442" s="75" t="n"/>
      <c r="M442" s="75" t="n"/>
      <c r="N442" s="75" t="n"/>
      <c r="P442" s="73" t="n"/>
      <c r="Q442" s="73" t="n"/>
      <c r="R442" s="73" t="n"/>
      <c r="S442" s="122" t="n"/>
    </row>
    <row r="443" ht="11.4" customHeight="1" s="69">
      <c r="J443" s="123" t="n"/>
      <c r="K443" s="73" t="n"/>
      <c r="L443" s="75" t="n"/>
      <c r="M443" s="75" t="n"/>
      <c r="N443" s="75" t="n"/>
      <c r="P443" s="73" t="n"/>
      <c r="Q443" s="73" t="n"/>
      <c r="R443" s="73" t="n"/>
      <c r="S443" s="122" t="n"/>
    </row>
    <row r="444" ht="11.4" customHeight="1" s="69">
      <c r="J444" s="123" t="n"/>
      <c r="K444" s="73" t="n"/>
      <c r="L444" s="75" t="n"/>
      <c r="M444" s="75" t="n"/>
      <c r="N444" s="75" t="n"/>
      <c r="P444" s="73" t="n"/>
      <c r="Q444" s="73" t="n"/>
      <c r="R444" s="73" t="n"/>
      <c r="S444" s="122" t="n"/>
    </row>
    <row r="445" ht="11.4" customHeight="1" s="69">
      <c r="J445" s="123" t="n"/>
      <c r="K445" s="73" t="n"/>
      <c r="L445" s="75" t="n"/>
      <c r="M445" s="75" t="n"/>
      <c r="N445" s="75" t="n"/>
      <c r="P445" s="73" t="n"/>
      <c r="Q445" s="73" t="n"/>
      <c r="R445" s="73" t="n"/>
      <c r="S445" s="122" t="n"/>
    </row>
    <row r="446" ht="11.4" customHeight="1" s="69">
      <c r="J446" s="123" t="n"/>
      <c r="K446" s="73" t="n"/>
      <c r="L446" s="75" t="n"/>
      <c r="M446" s="75" t="n"/>
      <c r="N446" s="75" t="n"/>
      <c r="P446" s="73" t="n"/>
      <c r="Q446" s="73" t="n"/>
      <c r="R446" s="73" t="n"/>
      <c r="S446" s="122" t="n"/>
    </row>
    <row r="447" ht="11.4" customHeight="1" s="69">
      <c r="J447" s="123" t="n"/>
      <c r="K447" s="73" t="n"/>
      <c r="L447" s="75" t="n"/>
      <c r="M447" s="75" t="n"/>
      <c r="N447" s="75" t="n"/>
      <c r="P447" s="73" t="n"/>
      <c r="Q447" s="73" t="n"/>
      <c r="R447" s="73" t="n"/>
      <c r="S447" s="122" t="n"/>
    </row>
    <row r="448" ht="11.4" customHeight="1" s="69">
      <c r="J448" s="123" t="n"/>
      <c r="K448" s="73" t="n"/>
      <c r="L448" s="75" t="n"/>
      <c r="M448" s="75" t="n"/>
      <c r="N448" s="75" t="n"/>
      <c r="P448" s="73" t="n"/>
      <c r="Q448" s="73" t="n"/>
      <c r="R448" s="73" t="n"/>
      <c r="S448" s="122" t="n"/>
    </row>
    <row r="449" ht="11.4" customHeight="1" s="69">
      <c r="J449" s="123" t="n"/>
      <c r="K449" s="73" t="n"/>
      <c r="L449" s="75" t="n"/>
      <c r="M449" s="75" t="n"/>
      <c r="N449" s="75" t="n"/>
      <c r="P449" s="73" t="n"/>
      <c r="Q449" s="73" t="n"/>
      <c r="R449" s="73" t="n"/>
      <c r="S449" s="122" t="n"/>
    </row>
    <row r="450" ht="11.4" customHeight="1" s="69">
      <c r="J450" s="123" t="n"/>
      <c r="K450" s="73" t="n"/>
      <c r="L450" s="75" t="n"/>
      <c r="M450" s="75" t="n"/>
      <c r="N450" s="75" t="n"/>
      <c r="P450" s="73" t="n"/>
      <c r="Q450" s="73" t="n"/>
      <c r="R450" s="73" t="n"/>
      <c r="S450" s="122" t="n"/>
    </row>
    <row r="451" ht="11.4" customHeight="1" s="69">
      <c r="J451" s="123" t="n"/>
      <c r="K451" s="73" t="n"/>
      <c r="L451" s="75" t="n"/>
      <c r="M451" s="75" t="n"/>
      <c r="N451" s="75" t="n"/>
      <c r="P451" s="73" t="n"/>
      <c r="Q451" s="73" t="n"/>
      <c r="R451" s="73" t="n"/>
      <c r="S451" s="122" t="n"/>
    </row>
    <row r="452" ht="11.4" customHeight="1" s="69">
      <c r="J452" s="123" t="n"/>
      <c r="K452" s="73" t="n"/>
      <c r="L452" s="75" t="n"/>
      <c r="M452" s="75" t="n"/>
      <c r="N452" s="75" t="n"/>
      <c r="P452" s="73" t="n"/>
      <c r="Q452" s="73" t="n"/>
      <c r="R452" s="73" t="n"/>
      <c r="S452" s="122" t="n"/>
    </row>
    <row r="453" ht="11.4" customHeight="1" s="69">
      <c r="J453" s="123" t="n"/>
      <c r="K453" s="73" t="n"/>
      <c r="L453" s="75" t="n"/>
      <c r="M453" s="75" t="n"/>
      <c r="N453" s="75" t="n"/>
      <c r="P453" s="73" t="n"/>
      <c r="Q453" s="73" t="n"/>
      <c r="R453" s="73" t="n"/>
      <c r="S453" s="122" t="n"/>
    </row>
    <row r="454" ht="11.4" customHeight="1" s="69">
      <c r="J454" s="123" t="n"/>
      <c r="K454" s="73" t="n"/>
      <c r="L454" s="75" t="n"/>
      <c r="M454" s="75" t="n"/>
      <c r="N454" s="75" t="n"/>
      <c r="P454" s="73" t="n"/>
      <c r="Q454" s="73" t="n"/>
      <c r="R454" s="73" t="n"/>
      <c r="S454" s="122" t="n"/>
    </row>
    <row r="455" ht="11.4" customHeight="1" s="69">
      <c r="J455" s="123" t="n"/>
      <c r="K455" s="73" t="n"/>
      <c r="L455" s="75" t="n"/>
      <c r="M455" s="75" t="n"/>
      <c r="N455" s="75" t="n"/>
      <c r="P455" s="73" t="n"/>
      <c r="Q455" s="73" t="n"/>
      <c r="R455" s="73" t="n"/>
      <c r="S455" s="122" t="n"/>
    </row>
    <row r="456" ht="11.4" customHeight="1" s="69">
      <c r="J456" s="123" t="n"/>
      <c r="K456" s="73" t="n"/>
      <c r="L456" s="75" t="n"/>
      <c r="M456" s="75" t="n"/>
      <c r="N456" s="75" t="n"/>
      <c r="P456" s="73" t="n"/>
      <c r="Q456" s="73" t="n"/>
      <c r="R456" s="73" t="n"/>
      <c r="S456" s="122" t="n"/>
    </row>
    <row r="457" ht="11.4" customHeight="1" s="69">
      <c r="J457" s="123" t="n"/>
      <c r="K457" s="73" t="n"/>
      <c r="L457" s="75" t="n"/>
      <c r="M457" s="75" t="n"/>
      <c r="N457" s="75" t="n"/>
      <c r="P457" s="73" t="n"/>
      <c r="Q457" s="73" t="n"/>
      <c r="R457" s="73" t="n"/>
      <c r="S457" s="122" t="n"/>
    </row>
    <row r="458" ht="11.4" customHeight="1" s="69">
      <c r="J458" s="123" t="n"/>
      <c r="K458" s="73" t="n"/>
      <c r="L458" s="75" t="n"/>
      <c r="M458" s="75" t="n"/>
      <c r="N458" s="75" t="n"/>
      <c r="P458" s="73" t="n"/>
      <c r="Q458" s="73" t="n"/>
      <c r="R458" s="73" t="n"/>
      <c r="S458" s="122" t="n"/>
    </row>
    <row r="459" ht="11.4" customHeight="1" s="69">
      <c r="J459" s="123" t="n"/>
      <c r="K459" s="73" t="n"/>
      <c r="L459" s="75" t="n"/>
      <c r="M459" s="75" t="n"/>
      <c r="N459" s="75" t="n"/>
      <c r="P459" s="73" t="n"/>
      <c r="Q459" s="73" t="n"/>
      <c r="R459" s="73" t="n"/>
      <c r="S459" s="122" t="n"/>
    </row>
    <row r="460" ht="11.4" customHeight="1" s="69">
      <c r="J460" s="123" t="n"/>
      <c r="K460" s="73" t="n"/>
      <c r="L460" s="75" t="n"/>
      <c r="M460" s="75" t="n"/>
      <c r="N460" s="75" t="n"/>
      <c r="P460" s="73" t="n"/>
      <c r="Q460" s="73" t="n"/>
      <c r="R460" s="73" t="n"/>
      <c r="S460" s="122" t="n"/>
    </row>
    <row r="461" ht="11.4" customHeight="1" s="69">
      <c r="J461" s="123" t="n"/>
      <c r="K461" s="73" t="n"/>
      <c r="L461" s="75" t="n"/>
      <c r="M461" s="75" t="n"/>
      <c r="N461" s="75" t="n"/>
      <c r="P461" s="73" t="n"/>
      <c r="Q461" s="73" t="n"/>
      <c r="R461" s="73" t="n"/>
      <c r="S461" s="122" t="n"/>
    </row>
    <row r="462" ht="11.4" customHeight="1" s="69">
      <c r="J462" s="123" t="n"/>
      <c r="K462" s="73" t="n"/>
      <c r="L462" s="75" t="n"/>
      <c r="M462" s="75" t="n"/>
      <c r="N462" s="75" t="n"/>
      <c r="P462" s="73" t="n"/>
      <c r="Q462" s="73" t="n"/>
      <c r="R462" s="73" t="n"/>
      <c r="S462" s="122" t="n"/>
    </row>
    <row r="463" ht="11.4" customHeight="1" s="69">
      <c r="J463" s="123" t="n"/>
      <c r="K463" s="73" t="n"/>
      <c r="L463" s="75" t="n"/>
      <c r="M463" s="75" t="n"/>
      <c r="N463" s="75" t="n"/>
      <c r="P463" s="73" t="n"/>
      <c r="Q463" s="73" t="n"/>
      <c r="R463" s="73" t="n"/>
      <c r="S463" s="122" t="n"/>
    </row>
    <row r="464" ht="11.4" customHeight="1" s="69">
      <c r="J464" s="123" t="n"/>
      <c r="K464" s="73" t="n"/>
      <c r="L464" s="75" t="n"/>
      <c r="M464" s="75" t="n"/>
      <c r="N464" s="75" t="n"/>
      <c r="P464" s="73" t="n"/>
      <c r="Q464" s="73" t="n"/>
      <c r="R464" s="73" t="n"/>
      <c r="S464" s="122" t="n"/>
    </row>
    <row r="465" ht="11.4" customHeight="1" s="69">
      <c r="J465" s="123" t="n"/>
      <c r="K465" s="73" t="n"/>
      <c r="L465" s="75" t="n"/>
      <c r="M465" s="75" t="n"/>
      <c r="N465" s="75" t="n"/>
      <c r="P465" s="73" t="n"/>
      <c r="Q465" s="73" t="n"/>
      <c r="R465" s="73" t="n"/>
      <c r="S465" s="122" t="n"/>
    </row>
    <row r="466" ht="11.4" customHeight="1" s="69">
      <c r="J466" s="123" t="n"/>
      <c r="K466" s="73" t="n"/>
      <c r="L466" s="75" t="n"/>
      <c r="M466" s="75" t="n"/>
      <c r="N466" s="75" t="n"/>
      <c r="P466" s="73" t="n"/>
      <c r="Q466" s="73" t="n"/>
      <c r="R466" s="73" t="n"/>
      <c r="S466" s="122" t="n"/>
    </row>
    <row r="467" ht="11.4" customHeight="1" s="69">
      <c r="J467" s="123" t="n"/>
      <c r="K467" s="73" t="n"/>
      <c r="L467" s="75" t="n"/>
      <c r="M467" s="75" t="n"/>
      <c r="N467" s="75" t="n"/>
      <c r="P467" s="73" t="n"/>
      <c r="Q467" s="73" t="n"/>
      <c r="R467" s="73" t="n"/>
      <c r="S467" s="122" t="n"/>
    </row>
    <row r="468" ht="11.4" customHeight="1" s="69">
      <c r="J468" s="123" t="n"/>
      <c r="K468" s="73" t="n"/>
      <c r="L468" s="75" t="n"/>
      <c r="M468" s="75" t="n"/>
      <c r="N468" s="75" t="n"/>
      <c r="P468" s="73" t="n"/>
      <c r="Q468" s="73" t="n"/>
      <c r="R468" s="73" t="n"/>
      <c r="S468" s="122" t="n"/>
    </row>
    <row r="469" ht="11.4" customHeight="1" s="69">
      <c r="J469" s="123" t="n"/>
      <c r="K469" s="73" t="n"/>
      <c r="L469" s="75" t="n"/>
      <c r="M469" s="75" t="n"/>
      <c r="N469" s="75" t="n"/>
      <c r="P469" s="73" t="n"/>
      <c r="Q469" s="73" t="n"/>
      <c r="R469" s="73" t="n"/>
      <c r="S469" s="122" t="n"/>
    </row>
    <row r="470" ht="11.4" customHeight="1" s="69">
      <c r="J470" s="123" t="n"/>
      <c r="K470" s="73" t="n"/>
      <c r="L470" s="75" t="n"/>
      <c r="M470" s="75" t="n"/>
      <c r="N470" s="75" t="n"/>
      <c r="P470" s="73" t="n"/>
      <c r="Q470" s="73" t="n"/>
      <c r="R470" s="73" t="n"/>
      <c r="S470" s="122" t="n"/>
    </row>
    <row r="471" ht="11.4" customHeight="1" s="69">
      <c r="J471" s="123" t="n"/>
      <c r="K471" s="73" t="n"/>
      <c r="L471" s="75" t="n"/>
      <c r="M471" s="75" t="n"/>
      <c r="N471" s="75" t="n"/>
      <c r="P471" s="73" t="n"/>
      <c r="Q471" s="73" t="n"/>
      <c r="R471" s="73" t="n"/>
      <c r="S471" s="122" t="n"/>
    </row>
    <row r="472" ht="11.4" customHeight="1" s="69">
      <c r="J472" s="123" t="n"/>
      <c r="K472" s="73" t="n"/>
      <c r="L472" s="75" t="n"/>
      <c r="M472" s="75" t="n"/>
      <c r="N472" s="75" t="n"/>
      <c r="P472" s="73" t="n"/>
      <c r="Q472" s="73" t="n"/>
      <c r="R472" s="73" t="n"/>
      <c r="S472" s="122" t="n"/>
    </row>
    <row r="473" ht="11.4" customHeight="1" s="69">
      <c r="J473" s="123" t="n"/>
      <c r="K473" s="73" t="n"/>
      <c r="L473" s="75" t="n"/>
      <c r="M473" s="75" t="n"/>
      <c r="N473" s="75" t="n"/>
      <c r="P473" s="73" t="n"/>
      <c r="Q473" s="73" t="n"/>
      <c r="R473" s="73" t="n"/>
      <c r="S473" s="122" t="n"/>
    </row>
    <row r="474" ht="11.4" customHeight="1" s="69">
      <c r="J474" s="123" t="n"/>
      <c r="K474" s="73" t="n"/>
      <c r="L474" s="75" t="n"/>
      <c r="M474" s="75" t="n"/>
      <c r="N474" s="75" t="n"/>
      <c r="P474" s="73" t="n"/>
      <c r="Q474" s="73" t="n"/>
      <c r="R474" s="73" t="n"/>
      <c r="S474" s="122" t="n"/>
    </row>
    <row r="475" ht="11.4" customHeight="1" s="69">
      <c r="J475" s="123" t="n"/>
      <c r="K475" s="73" t="n"/>
      <c r="L475" s="75" t="n"/>
      <c r="M475" s="75" t="n"/>
      <c r="N475" s="75" t="n"/>
      <c r="P475" s="73" t="n"/>
      <c r="Q475" s="73" t="n"/>
      <c r="R475" s="73" t="n"/>
      <c r="S475" s="122" t="n"/>
    </row>
    <row r="476" ht="11.4" customHeight="1" s="69">
      <c r="J476" s="123" t="n"/>
      <c r="K476" s="73" t="n"/>
      <c r="L476" s="75" t="n"/>
      <c r="M476" s="75" t="n"/>
      <c r="N476" s="75" t="n"/>
      <c r="P476" s="73" t="n"/>
      <c r="Q476" s="73" t="n"/>
      <c r="R476" s="73" t="n"/>
      <c r="S476" s="122" t="n"/>
    </row>
    <row r="477" ht="11.4" customHeight="1" s="69">
      <c r="J477" s="123" t="n"/>
      <c r="K477" s="73" t="n"/>
      <c r="L477" s="75" t="n"/>
      <c r="M477" s="75" t="n"/>
      <c r="N477" s="75" t="n"/>
      <c r="P477" s="73" t="n"/>
      <c r="Q477" s="73" t="n"/>
      <c r="R477" s="73" t="n"/>
      <c r="S477" s="122" t="n"/>
    </row>
    <row r="478" ht="11.4" customHeight="1" s="69">
      <c r="J478" s="123" t="n"/>
      <c r="K478" s="73" t="n"/>
      <c r="L478" s="75" t="n"/>
      <c r="M478" s="75" t="n"/>
      <c r="N478" s="75" t="n"/>
      <c r="P478" s="73" t="n"/>
      <c r="Q478" s="73" t="n"/>
      <c r="R478" s="73" t="n"/>
      <c r="S478" s="122" t="n"/>
    </row>
    <row r="479" ht="11.4" customHeight="1" s="69">
      <c r="J479" s="123" t="n"/>
      <c r="K479" s="73" t="n"/>
      <c r="L479" s="75" t="n"/>
      <c r="M479" s="75" t="n"/>
      <c r="N479" s="75" t="n"/>
      <c r="P479" s="73" t="n"/>
      <c r="Q479" s="73" t="n"/>
      <c r="R479" s="73" t="n"/>
      <c r="S479" s="122" t="n"/>
    </row>
    <row r="480" ht="11.4" customHeight="1" s="69">
      <c r="J480" s="123" t="n"/>
      <c r="K480" s="73" t="n"/>
      <c r="L480" s="75" t="n"/>
      <c r="M480" s="75" t="n"/>
      <c r="N480" s="75" t="n"/>
      <c r="P480" s="73" t="n"/>
      <c r="Q480" s="73" t="n"/>
      <c r="R480" s="73" t="n"/>
      <c r="S480" s="122" t="n"/>
    </row>
    <row r="481" ht="11.4" customHeight="1" s="69">
      <c r="J481" s="123" t="n"/>
      <c r="K481" s="73" t="n"/>
      <c r="L481" s="75" t="n"/>
      <c r="M481" s="75" t="n"/>
      <c r="N481" s="75" t="n"/>
      <c r="P481" s="73" t="n"/>
      <c r="Q481" s="73" t="n"/>
      <c r="R481" s="73" t="n"/>
      <c r="S481" s="122" t="n"/>
    </row>
    <row r="482" ht="11.4" customHeight="1" s="69">
      <c r="J482" s="123" t="n"/>
      <c r="K482" s="73" t="n"/>
      <c r="L482" s="75" t="n"/>
      <c r="M482" s="75" t="n"/>
      <c r="N482" s="75" t="n"/>
      <c r="P482" s="73" t="n"/>
      <c r="Q482" s="73" t="n"/>
      <c r="R482" s="73" t="n"/>
      <c r="S482" s="122" t="n"/>
    </row>
    <row r="483" ht="11.4" customHeight="1" s="69">
      <c r="J483" s="123" t="n"/>
      <c r="K483" s="73" t="n"/>
      <c r="L483" s="75" t="n"/>
      <c r="M483" s="75" t="n"/>
      <c r="N483" s="75" t="n"/>
      <c r="P483" s="73" t="n"/>
      <c r="Q483" s="73" t="n"/>
      <c r="R483" s="73" t="n"/>
      <c r="S483" s="122" t="n"/>
    </row>
    <row r="484" ht="11.4" customHeight="1" s="69">
      <c r="J484" s="123" t="n"/>
      <c r="K484" s="73" t="n"/>
      <c r="L484" s="75" t="n"/>
      <c r="M484" s="75" t="n"/>
      <c r="N484" s="75" t="n"/>
      <c r="P484" s="73" t="n"/>
      <c r="Q484" s="73" t="n"/>
      <c r="R484" s="73" t="n"/>
      <c r="S484" s="122" t="n"/>
    </row>
    <row r="485" ht="11.4" customHeight="1" s="69">
      <c r="J485" s="123" t="n"/>
      <c r="K485" s="73" t="n"/>
      <c r="L485" s="75" t="n"/>
      <c r="M485" s="75" t="n"/>
      <c r="N485" s="75" t="n"/>
      <c r="P485" s="73" t="n"/>
      <c r="Q485" s="73" t="n"/>
      <c r="R485" s="73" t="n"/>
      <c r="S485" s="122" t="n"/>
    </row>
    <row r="486" ht="11.4" customHeight="1" s="69">
      <c r="J486" s="123" t="n"/>
      <c r="K486" s="73" t="n"/>
      <c r="L486" s="75" t="n"/>
      <c r="M486" s="75" t="n"/>
      <c r="N486" s="75" t="n"/>
      <c r="P486" s="73" t="n"/>
      <c r="Q486" s="73" t="n"/>
      <c r="R486" s="73" t="n"/>
      <c r="S486" s="122" t="n"/>
    </row>
    <row r="487" ht="11.4" customHeight="1" s="69">
      <c r="J487" s="123" t="n"/>
      <c r="K487" s="73" t="n"/>
      <c r="L487" s="75" t="n"/>
      <c r="M487" s="75" t="n"/>
      <c r="N487" s="75" t="n"/>
      <c r="P487" s="73" t="n"/>
      <c r="Q487" s="73" t="n"/>
      <c r="R487" s="73" t="n"/>
      <c r="S487" s="122" t="n"/>
    </row>
    <row r="488" ht="11.4" customHeight="1" s="69">
      <c r="J488" s="123" t="n"/>
      <c r="K488" s="73" t="n"/>
      <c r="L488" s="75" t="n"/>
      <c r="M488" s="75" t="n"/>
      <c r="N488" s="75" t="n"/>
      <c r="P488" s="73" t="n"/>
      <c r="Q488" s="73" t="n"/>
      <c r="R488" s="73" t="n"/>
      <c r="S488" s="122" t="n"/>
    </row>
    <row r="489" ht="11.4" customHeight="1" s="69">
      <c r="J489" s="123" t="n"/>
      <c r="K489" s="73" t="n"/>
      <c r="L489" s="75" t="n"/>
      <c r="M489" s="75" t="n"/>
      <c r="N489" s="75" t="n"/>
      <c r="P489" s="73" t="n"/>
      <c r="Q489" s="73" t="n"/>
      <c r="R489" s="73" t="n"/>
      <c r="S489" s="122" t="n"/>
    </row>
    <row r="490" ht="11.4" customHeight="1" s="69">
      <c r="J490" s="123" t="n"/>
      <c r="K490" s="73" t="n"/>
      <c r="L490" s="75" t="n"/>
      <c r="M490" s="75" t="n"/>
      <c r="N490" s="75" t="n"/>
      <c r="P490" s="73" t="n"/>
      <c r="Q490" s="73" t="n"/>
      <c r="R490" s="73" t="n"/>
      <c r="S490" s="122" t="n"/>
    </row>
    <row r="491" ht="11.4" customHeight="1" s="69">
      <c r="J491" s="123" t="n"/>
      <c r="K491" s="73" t="n"/>
      <c r="L491" s="75" t="n"/>
      <c r="M491" s="75" t="n"/>
      <c r="N491" s="75" t="n"/>
      <c r="P491" s="73" t="n"/>
      <c r="Q491" s="73" t="n"/>
      <c r="R491" s="73" t="n"/>
      <c r="S491" s="122" t="n"/>
    </row>
    <row r="492" ht="11.4" customHeight="1" s="69">
      <c r="J492" s="123" t="n"/>
      <c r="K492" s="73" t="n"/>
      <c r="L492" s="75" t="n"/>
      <c r="M492" s="75" t="n"/>
      <c r="N492" s="75" t="n"/>
      <c r="P492" s="73" t="n"/>
      <c r="Q492" s="73" t="n"/>
      <c r="R492" s="73" t="n"/>
      <c r="S492" s="122" t="n"/>
    </row>
    <row r="493" ht="11.4" customHeight="1" s="69">
      <c r="J493" s="123" t="n"/>
      <c r="K493" s="73" t="n"/>
      <c r="L493" s="75" t="n"/>
      <c r="M493" s="75" t="n"/>
      <c r="N493" s="75" t="n"/>
      <c r="P493" s="73" t="n"/>
      <c r="Q493" s="73" t="n"/>
      <c r="R493" s="73" t="n"/>
      <c r="S493" s="122" t="n"/>
    </row>
    <row r="494" ht="11.4" customHeight="1" s="69">
      <c r="J494" s="123" t="n"/>
      <c r="K494" s="73" t="n"/>
      <c r="L494" s="75" t="n"/>
      <c r="M494" s="75" t="n"/>
      <c r="N494" s="75" t="n"/>
      <c r="P494" s="73" t="n"/>
      <c r="Q494" s="73" t="n"/>
      <c r="R494" s="73" t="n"/>
      <c r="S494" s="122" t="n"/>
    </row>
    <row r="495" ht="11.4" customHeight="1" s="69">
      <c r="J495" s="123" t="n"/>
      <c r="K495" s="73" t="n"/>
      <c r="L495" s="75" t="n"/>
      <c r="M495" s="75" t="n"/>
      <c r="N495" s="75" t="n"/>
      <c r="P495" s="73" t="n"/>
      <c r="Q495" s="73" t="n"/>
      <c r="R495" s="73" t="n"/>
      <c r="S495" s="122" t="n"/>
    </row>
    <row r="496" ht="11.4" customHeight="1" s="69">
      <c r="J496" s="123" t="n"/>
      <c r="K496" s="73" t="n"/>
      <c r="L496" s="75" t="n"/>
      <c r="M496" s="75" t="n"/>
      <c r="N496" s="75" t="n"/>
      <c r="P496" s="73" t="n"/>
      <c r="Q496" s="73" t="n"/>
      <c r="R496" s="73" t="n"/>
      <c r="S496" s="122" t="n"/>
    </row>
    <row r="497" ht="11.4" customHeight="1" s="69">
      <c r="J497" s="123" t="n"/>
      <c r="K497" s="73" t="n"/>
      <c r="L497" s="75" t="n"/>
      <c r="M497" s="75" t="n"/>
      <c r="N497" s="75" t="n"/>
      <c r="P497" s="73" t="n"/>
      <c r="Q497" s="73" t="n"/>
      <c r="R497" s="73" t="n"/>
      <c r="S497" s="122" t="n"/>
    </row>
    <row r="498" ht="11.4" customHeight="1" s="69">
      <c r="J498" s="123" t="n"/>
      <c r="K498" s="73" t="n"/>
      <c r="L498" s="75" t="n"/>
      <c r="M498" s="75" t="n"/>
      <c r="N498" s="75" t="n"/>
      <c r="P498" s="73" t="n"/>
      <c r="Q498" s="73" t="n"/>
      <c r="R498" s="73" t="n"/>
      <c r="S498" s="122" t="n"/>
    </row>
    <row r="499" ht="11.4" customHeight="1" s="69">
      <c r="J499" s="123" t="n"/>
      <c r="K499" s="73" t="n"/>
      <c r="L499" s="75" t="n"/>
      <c r="M499" s="75" t="n"/>
      <c r="N499" s="75" t="n"/>
      <c r="P499" s="73" t="n"/>
      <c r="Q499" s="73" t="n"/>
      <c r="R499" s="73" t="n"/>
      <c r="S499" s="122" t="n"/>
    </row>
    <row r="500" ht="11.4" customHeight="1" s="69">
      <c r="J500" s="123" t="n"/>
      <c r="K500" s="73" t="n"/>
      <c r="L500" s="75" t="n"/>
      <c r="M500" s="75" t="n"/>
      <c r="N500" s="75" t="n"/>
      <c r="P500" s="73" t="n"/>
      <c r="Q500" s="73" t="n"/>
      <c r="R500" s="73" t="n"/>
      <c r="S500" s="122" t="n"/>
    </row>
    <row r="501" ht="11.4" customHeight="1" s="69">
      <c r="J501" s="123" t="n"/>
      <c r="K501" s="73" t="n"/>
      <c r="L501" s="75" t="n"/>
      <c r="M501" s="75" t="n"/>
      <c r="N501" s="75" t="n"/>
      <c r="P501" s="73" t="n"/>
      <c r="Q501" s="73" t="n"/>
      <c r="R501" s="73" t="n"/>
      <c r="S501" s="122" t="n"/>
    </row>
    <row r="502" ht="11.4" customHeight="1" s="69">
      <c r="J502" s="123" t="n"/>
      <c r="K502" s="73" t="n"/>
      <c r="L502" s="75" t="n"/>
      <c r="M502" s="75" t="n"/>
      <c r="N502" s="75" t="n"/>
      <c r="P502" s="73" t="n"/>
      <c r="Q502" s="73" t="n"/>
      <c r="R502" s="73" t="n"/>
      <c r="S502" s="122" t="n"/>
    </row>
    <row r="503" ht="11.4" customHeight="1" s="69">
      <c r="J503" s="123" t="n"/>
      <c r="K503" s="73" t="n"/>
      <c r="L503" s="75" t="n"/>
      <c r="M503" s="75" t="n"/>
      <c r="N503" s="75" t="n"/>
      <c r="P503" s="73" t="n"/>
      <c r="Q503" s="73" t="n"/>
      <c r="R503" s="73" t="n"/>
      <c r="S503" s="122" t="n"/>
    </row>
    <row r="504" ht="11.4" customHeight="1" s="69">
      <c r="J504" s="123" t="n"/>
      <c r="K504" s="73" t="n"/>
      <c r="L504" s="75" t="n"/>
      <c r="M504" s="75" t="n"/>
      <c r="N504" s="75" t="n"/>
      <c r="P504" s="73" t="n"/>
      <c r="Q504" s="73" t="n"/>
      <c r="R504" s="73" t="n"/>
      <c r="S504" s="122" t="n"/>
    </row>
    <row r="505" ht="11.4" customHeight="1" s="69">
      <c r="J505" s="123" t="n"/>
      <c r="K505" s="73" t="n"/>
      <c r="L505" s="75" t="n"/>
      <c r="M505" s="75" t="n"/>
      <c r="N505" s="75" t="n"/>
      <c r="P505" s="73" t="n"/>
      <c r="Q505" s="73" t="n"/>
      <c r="R505" s="73" t="n"/>
      <c r="S505" s="122" t="n"/>
    </row>
    <row r="506" ht="11.4" customHeight="1" s="69">
      <c r="J506" s="123" t="n"/>
      <c r="K506" s="73" t="n"/>
      <c r="L506" s="75" t="n"/>
      <c r="M506" s="75" t="n"/>
      <c r="N506" s="75" t="n"/>
      <c r="P506" s="73" t="n"/>
      <c r="Q506" s="73" t="n"/>
      <c r="R506" s="73" t="n"/>
      <c r="S506" s="122" t="n"/>
    </row>
    <row r="507" ht="11.4" customHeight="1" s="69">
      <c r="J507" s="123" t="n"/>
      <c r="K507" s="73" t="n"/>
      <c r="L507" s="75" t="n"/>
      <c r="M507" s="75" t="n"/>
      <c r="N507" s="75" t="n"/>
      <c r="P507" s="73" t="n"/>
      <c r="Q507" s="73" t="n"/>
      <c r="R507" s="73" t="n"/>
      <c r="S507" s="122" t="n"/>
    </row>
    <row r="508" ht="11.4" customHeight="1" s="69">
      <c r="J508" s="123" t="n"/>
      <c r="K508" s="73" t="n"/>
      <c r="L508" s="75" t="n"/>
      <c r="M508" s="75" t="n"/>
      <c r="N508" s="75" t="n"/>
      <c r="P508" s="73" t="n"/>
      <c r="Q508" s="73" t="n"/>
      <c r="R508" s="73" t="n"/>
      <c r="S508" s="122" t="n"/>
    </row>
    <row r="509" ht="11.4" customHeight="1" s="69">
      <c r="J509" s="123" t="n"/>
      <c r="K509" s="73" t="n"/>
      <c r="L509" s="75" t="n"/>
      <c r="M509" s="75" t="n"/>
      <c r="N509" s="75" t="n"/>
      <c r="P509" s="73" t="n"/>
      <c r="Q509" s="73" t="n"/>
      <c r="R509" s="73" t="n"/>
      <c r="S509" s="122" t="n"/>
    </row>
    <row r="510" ht="11.4" customHeight="1" s="69">
      <c r="J510" s="123" t="n"/>
      <c r="K510" s="73" t="n"/>
      <c r="L510" s="75" t="n"/>
      <c r="M510" s="75" t="n"/>
      <c r="N510" s="75" t="n"/>
      <c r="P510" s="73" t="n"/>
      <c r="Q510" s="73" t="n"/>
      <c r="R510" s="73" t="n"/>
      <c r="S510" s="122" t="n"/>
    </row>
    <row r="511" ht="11.4" customHeight="1" s="69">
      <c r="J511" s="123" t="n"/>
      <c r="K511" s="73" t="n"/>
      <c r="L511" s="75" t="n"/>
      <c r="M511" s="75" t="n"/>
      <c r="N511" s="75" t="n"/>
      <c r="P511" s="73" t="n"/>
      <c r="Q511" s="73" t="n"/>
      <c r="R511" s="73" t="n"/>
      <c r="S511" s="122" t="n"/>
    </row>
    <row r="512" ht="11.4" customHeight="1" s="69">
      <c r="J512" s="123" t="n"/>
      <c r="K512" s="73" t="n"/>
      <c r="L512" s="75" t="n"/>
      <c r="M512" s="75" t="n"/>
      <c r="N512" s="75" t="n"/>
      <c r="P512" s="73" t="n"/>
      <c r="Q512" s="73" t="n"/>
      <c r="R512" s="73" t="n"/>
      <c r="S512" s="122" t="n"/>
    </row>
    <row r="513" ht="11.4" customHeight="1" s="69">
      <c r="J513" s="123" t="n"/>
      <c r="K513" s="73" t="n"/>
      <c r="L513" s="75" t="n"/>
      <c r="M513" s="75" t="n"/>
      <c r="N513" s="75" t="n"/>
      <c r="P513" s="73" t="n"/>
      <c r="Q513" s="73" t="n"/>
      <c r="R513" s="73" t="n"/>
      <c r="S513" s="122" t="n"/>
    </row>
    <row r="514" ht="11.4" customHeight="1" s="69">
      <c r="J514" s="123" t="n"/>
      <c r="K514" s="73" t="n"/>
      <c r="L514" s="75" t="n"/>
      <c r="M514" s="75" t="n"/>
      <c r="N514" s="75" t="n"/>
      <c r="P514" s="73" t="n"/>
      <c r="Q514" s="73" t="n"/>
      <c r="R514" s="73" t="n"/>
      <c r="S514" s="122" t="n"/>
    </row>
    <row r="515" ht="11.4" customHeight="1" s="69">
      <c r="J515" s="123" t="n"/>
      <c r="K515" s="73" t="n"/>
      <c r="L515" s="75" t="n"/>
      <c r="M515" s="75" t="n"/>
      <c r="N515" s="75" t="n"/>
      <c r="P515" s="73" t="n"/>
      <c r="Q515" s="73" t="n"/>
      <c r="R515" s="73" t="n"/>
      <c r="S515" s="122" t="n"/>
    </row>
    <row r="516" ht="11.4" customHeight="1" s="69">
      <c r="J516" s="123" t="n"/>
      <c r="K516" s="73" t="n"/>
      <c r="L516" s="75" t="n"/>
      <c r="M516" s="75" t="n"/>
      <c r="N516" s="75" t="n"/>
      <c r="P516" s="73" t="n"/>
      <c r="Q516" s="73" t="n"/>
      <c r="R516" s="73" t="n"/>
      <c r="S516" s="122" t="n"/>
    </row>
    <row r="517" ht="11.4" customHeight="1" s="69">
      <c r="J517" s="123" t="n"/>
      <c r="K517" s="73" t="n"/>
      <c r="L517" s="75" t="n"/>
      <c r="M517" s="75" t="n"/>
      <c r="N517" s="75" t="n"/>
      <c r="P517" s="73" t="n"/>
      <c r="Q517" s="73" t="n"/>
      <c r="R517" s="73" t="n"/>
      <c r="S517" s="122" t="n"/>
    </row>
    <row r="518" ht="11.4" customHeight="1" s="69">
      <c r="J518" s="123" t="n"/>
      <c r="K518" s="73" t="n"/>
      <c r="L518" s="75" t="n"/>
      <c r="M518" s="75" t="n"/>
      <c r="N518" s="75" t="n"/>
      <c r="P518" s="73" t="n"/>
      <c r="Q518" s="73" t="n"/>
      <c r="R518" s="73" t="n"/>
      <c r="S518" s="122" t="n"/>
    </row>
    <row r="519" ht="11.4" customHeight="1" s="69">
      <c r="J519" s="123" t="n"/>
      <c r="K519" s="73" t="n"/>
      <c r="L519" s="75" t="n"/>
      <c r="M519" s="75" t="n"/>
      <c r="N519" s="75" t="n"/>
      <c r="P519" s="73" t="n"/>
      <c r="Q519" s="73" t="n"/>
      <c r="R519" s="73" t="n"/>
      <c r="S519" s="122" t="n"/>
    </row>
    <row r="520" ht="11.4" customHeight="1" s="69">
      <c r="J520" s="123" t="n"/>
      <c r="K520" s="73" t="n"/>
      <c r="L520" s="75" t="n"/>
      <c r="M520" s="75" t="n"/>
      <c r="N520" s="75" t="n"/>
      <c r="P520" s="73" t="n"/>
      <c r="Q520" s="73" t="n"/>
      <c r="R520" s="73" t="n"/>
      <c r="S520" s="122" t="n"/>
    </row>
    <row r="521" ht="11.4" customHeight="1" s="69">
      <c r="J521" s="123" t="n"/>
      <c r="K521" s="73" t="n"/>
      <c r="L521" s="75" t="n"/>
      <c r="M521" s="75" t="n"/>
      <c r="N521" s="75" t="n"/>
      <c r="P521" s="73" t="n"/>
      <c r="Q521" s="73" t="n"/>
      <c r="R521" s="73" t="n"/>
      <c r="S521" s="122" t="n"/>
    </row>
    <row r="522" ht="11.4" customHeight="1" s="69">
      <c r="J522" s="123" t="n"/>
      <c r="K522" s="73" t="n"/>
      <c r="L522" s="75" t="n"/>
      <c r="M522" s="75" t="n"/>
      <c r="N522" s="75" t="n"/>
      <c r="P522" s="73" t="n"/>
      <c r="Q522" s="73" t="n"/>
      <c r="R522" s="73" t="n"/>
      <c r="S522" s="122" t="n"/>
    </row>
    <row r="523" ht="11.4" customHeight="1" s="69">
      <c r="J523" s="123" t="n"/>
      <c r="K523" s="73" t="n"/>
      <c r="L523" s="75" t="n"/>
      <c r="M523" s="75" t="n"/>
      <c r="N523" s="75" t="n"/>
      <c r="P523" s="73" t="n"/>
      <c r="Q523" s="73" t="n"/>
      <c r="R523" s="73" t="n"/>
      <c r="S523" s="122" t="n"/>
    </row>
    <row r="524" ht="11.4" customHeight="1" s="69">
      <c r="J524" s="123" t="n"/>
      <c r="K524" s="73" t="n"/>
      <c r="L524" s="75" t="n"/>
      <c r="M524" s="75" t="n"/>
      <c r="N524" s="75" t="n"/>
      <c r="P524" s="73" t="n"/>
      <c r="Q524" s="73" t="n"/>
      <c r="R524" s="73" t="n"/>
      <c r="S524" s="122" t="n"/>
    </row>
    <row r="525" ht="11.4" customHeight="1" s="69">
      <c r="J525" s="123" t="n"/>
      <c r="K525" s="73" t="n"/>
      <c r="L525" s="75" t="n"/>
      <c r="M525" s="75" t="n"/>
      <c r="N525" s="75" t="n"/>
      <c r="P525" s="73" t="n"/>
      <c r="Q525" s="73" t="n"/>
      <c r="R525" s="73" t="n"/>
      <c r="S525" s="122" t="n"/>
    </row>
    <row r="526" ht="11.4" customHeight="1" s="69">
      <c r="J526" s="123" t="n"/>
      <c r="K526" s="73" t="n"/>
      <c r="L526" s="75" t="n"/>
      <c r="M526" s="75" t="n"/>
      <c r="N526" s="75" t="n"/>
      <c r="P526" s="73" t="n"/>
      <c r="Q526" s="73" t="n"/>
      <c r="R526" s="73" t="n"/>
      <c r="S526" s="122" t="n"/>
    </row>
    <row r="527" ht="11.4" customHeight="1" s="69">
      <c r="J527" s="123" t="n"/>
      <c r="K527" s="73" t="n"/>
      <c r="L527" s="75" t="n"/>
      <c r="M527" s="75" t="n"/>
      <c r="N527" s="75" t="n"/>
      <c r="P527" s="73" t="n"/>
      <c r="Q527" s="73" t="n"/>
      <c r="R527" s="73" t="n"/>
      <c r="S527" s="122" t="n"/>
    </row>
    <row r="528" ht="11.4" customHeight="1" s="69">
      <c r="J528" s="123" t="n"/>
      <c r="K528" s="73" t="n"/>
      <c r="L528" s="75" t="n"/>
      <c r="M528" s="75" t="n"/>
      <c r="N528" s="75" t="n"/>
      <c r="P528" s="73" t="n"/>
      <c r="Q528" s="73" t="n"/>
      <c r="R528" s="73" t="n"/>
      <c r="S528" s="122" t="n"/>
    </row>
    <row r="529" ht="11.4" customHeight="1" s="69">
      <c r="J529" s="123" t="n"/>
      <c r="K529" s="73" t="n"/>
      <c r="L529" s="75" t="n"/>
      <c r="M529" s="75" t="n"/>
      <c r="N529" s="75" t="n"/>
      <c r="P529" s="73" t="n"/>
      <c r="Q529" s="73" t="n"/>
      <c r="R529" s="73" t="n"/>
      <c r="S529" s="122" t="n"/>
    </row>
    <row r="530" ht="11.4" customHeight="1" s="69">
      <c r="J530" s="123" t="n"/>
      <c r="K530" s="73" t="n"/>
      <c r="L530" s="75" t="n"/>
      <c r="M530" s="75" t="n"/>
      <c r="N530" s="75" t="n"/>
      <c r="P530" s="73" t="n"/>
      <c r="Q530" s="73" t="n"/>
      <c r="R530" s="73" t="n"/>
      <c r="S530" s="122" t="n"/>
    </row>
    <row r="531" ht="11.4" customHeight="1" s="69">
      <c r="J531" s="123" t="n"/>
      <c r="K531" s="73" t="n"/>
      <c r="L531" s="75" t="n"/>
      <c r="M531" s="75" t="n"/>
      <c r="N531" s="75" t="n"/>
      <c r="P531" s="73" t="n"/>
      <c r="Q531" s="73" t="n"/>
      <c r="R531" s="73" t="n"/>
      <c r="S531" s="122" t="n"/>
    </row>
    <row r="532" ht="11.4" customHeight="1" s="69">
      <c r="J532" s="123" t="n"/>
      <c r="K532" s="73" t="n"/>
      <c r="L532" s="75" t="n"/>
      <c r="M532" s="75" t="n"/>
      <c r="N532" s="75" t="n"/>
      <c r="P532" s="73" t="n"/>
      <c r="Q532" s="73" t="n"/>
      <c r="R532" s="73" t="n"/>
      <c r="S532" s="122" t="n"/>
    </row>
    <row r="533" ht="11.4" customHeight="1" s="69">
      <c r="J533" s="123" t="n"/>
      <c r="K533" s="73" t="n"/>
      <c r="L533" s="75" t="n"/>
      <c r="M533" s="75" t="n"/>
      <c r="N533" s="75" t="n"/>
      <c r="P533" s="73" t="n"/>
      <c r="Q533" s="73" t="n"/>
      <c r="R533" s="73" t="n"/>
      <c r="S533" s="122" t="n"/>
    </row>
    <row r="534" ht="11.4" customHeight="1" s="69">
      <c r="J534" s="123" t="n"/>
      <c r="K534" s="73" t="n"/>
      <c r="L534" s="75" t="n"/>
      <c r="M534" s="75" t="n"/>
      <c r="N534" s="75" t="n"/>
      <c r="P534" s="73" t="n"/>
      <c r="Q534" s="73" t="n"/>
      <c r="R534" s="73" t="n"/>
      <c r="S534" s="122" t="n"/>
    </row>
    <row r="535" ht="11.4" customHeight="1" s="69">
      <c r="J535" s="123" t="n"/>
      <c r="K535" s="73" t="n"/>
      <c r="L535" s="75" t="n"/>
      <c r="M535" s="75" t="n"/>
      <c r="N535" s="75" t="n"/>
      <c r="P535" s="73" t="n"/>
      <c r="Q535" s="73" t="n"/>
      <c r="R535" s="73" t="n"/>
      <c r="S535" s="122" t="n"/>
    </row>
    <row r="536" ht="11.4" customHeight="1" s="69">
      <c r="J536" s="123" t="n"/>
      <c r="K536" s="73" t="n"/>
      <c r="L536" s="75" t="n"/>
      <c r="M536" s="75" t="n"/>
      <c r="N536" s="75" t="n"/>
      <c r="P536" s="73" t="n"/>
      <c r="Q536" s="73" t="n"/>
      <c r="R536" s="73" t="n"/>
      <c r="S536" s="122" t="n"/>
    </row>
    <row r="537" ht="11.4" customHeight="1" s="69">
      <c r="J537" s="123" t="n"/>
      <c r="K537" s="73" t="n"/>
      <c r="L537" s="75" t="n"/>
      <c r="M537" s="75" t="n"/>
      <c r="N537" s="75" t="n"/>
      <c r="P537" s="73" t="n"/>
      <c r="Q537" s="73" t="n"/>
      <c r="R537" s="73" t="n"/>
      <c r="S537" s="122" t="n"/>
    </row>
    <row r="538" ht="11.4" customHeight="1" s="69">
      <c r="J538" s="123" t="n"/>
      <c r="K538" s="73" t="n"/>
      <c r="L538" s="75" t="n"/>
      <c r="M538" s="75" t="n"/>
      <c r="N538" s="75" t="n"/>
      <c r="P538" s="73" t="n"/>
      <c r="Q538" s="73" t="n"/>
      <c r="R538" s="73" t="n"/>
      <c r="S538" s="122" t="n"/>
    </row>
    <row r="539" ht="11.4" customHeight="1" s="69">
      <c r="J539" s="123" t="n"/>
      <c r="K539" s="73" t="n"/>
      <c r="L539" s="75" t="n"/>
      <c r="M539" s="75" t="n"/>
      <c r="N539" s="75" t="n"/>
      <c r="P539" s="73" t="n"/>
      <c r="Q539" s="73" t="n"/>
      <c r="R539" s="73" t="n"/>
      <c r="S539" s="122" t="n"/>
    </row>
    <row r="540" ht="11.4" customHeight="1" s="69">
      <c r="J540" s="123" t="n"/>
      <c r="K540" s="73" t="n"/>
      <c r="L540" s="75" t="n"/>
      <c r="M540" s="75" t="n"/>
      <c r="N540" s="75" t="n"/>
      <c r="P540" s="73" t="n"/>
      <c r="Q540" s="73" t="n"/>
      <c r="R540" s="73" t="n"/>
      <c r="S540" s="122" t="n"/>
    </row>
    <row r="541" ht="11.4" customHeight="1" s="69">
      <c r="J541" s="123" t="n"/>
      <c r="K541" s="73" t="n"/>
      <c r="L541" s="75" t="n"/>
      <c r="M541" s="75" t="n"/>
      <c r="N541" s="75" t="n"/>
      <c r="P541" s="73" t="n"/>
      <c r="Q541" s="73" t="n"/>
      <c r="R541" s="73" t="n"/>
      <c r="S541" s="122" t="n"/>
    </row>
    <row r="542" ht="11.4" customHeight="1" s="69">
      <c r="J542" s="123" t="n"/>
      <c r="K542" s="73" t="n"/>
      <c r="L542" s="75" t="n"/>
      <c r="M542" s="75" t="n"/>
      <c r="N542" s="75" t="n"/>
      <c r="P542" s="73" t="n"/>
      <c r="Q542" s="73" t="n"/>
      <c r="R542" s="73" t="n"/>
      <c r="S542" s="122" t="n"/>
    </row>
    <row r="543" ht="11.4" customHeight="1" s="69">
      <c r="J543" s="123" t="n"/>
      <c r="K543" s="73" t="n"/>
      <c r="L543" s="75" t="n"/>
      <c r="M543" s="75" t="n"/>
      <c r="N543" s="75" t="n"/>
      <c r="P543" s="73" t="n"/>
      <c r="Q543" s="73" t="n"/>
      <c r="R543" s="73" t="n"/>
      <c r="S543" s="122" t="n"/>
    </row>
    <row r="544" ht="11.4" customHeight="1" s="69">
      <c r="J544" s="123" t="n"/>
      <c r="K544" s="73" t="n"/>
      <c r="L544" s="75" t="n"/>
      <c r="M544" s="75" t="n"/>
      <c r="N544" s="75" t="n"/>
      <c r="P544" s="73" t="n"/>
      <c r="Q544" s="73" t="n"/>
      <c r="R544" s="73" t="n"/>
      <c r="S544" s="122" t="n"/>
    </row>
    <row r="545" ht="11.4" customHeight="1" s="69">
      <c r="J545" s="123" t="n"/>
      <c r="K545" s="73" t="n"/>
      <c r="L545" s="75" t="n"/>
      <c r="M545" s="75" t="n"/>
      <c r="N545" s="75" t="n"/>
      <c r="P545" s="73" t="n"/>
      <c r="Q545" s="73" t="n"/>
      <c r="R545" s="73" t="n"/>
      <c r="S545" s="122" t="n"/>
    </row>
    <row r="546" ht="11.4" customHeight="1" s="69">
      <c r="J546" s="123" t="n"/>
      <c r="K546" s="73" t="n"/>
      <c r="L546" s="75" t="n"/>
      <c r="M546" s="75" t="n"/>
      <c r="N546" s="75" t="n"/>
      <c r="P546" s="73" t="n"/>
      <c r="Q546" s="73" t="n"/>
      <c r="R546" s="73" t="n"/>
      <c r="S546" s="122" t="n"/>
    </row>
    <row r="547" ht="11.4" customHeight="1" s="69">
      <c r="J547" s="123" t="n"/>
      <c r="K547" s="73" t="n"/>
      <c r="L547" s="75" t="n"/>
      <c r="M547" s="75" t="n"/>
      <c r="N547" s="75" t="n"/>
      <c r="P547" s="73" t="n"/>
      <c r="Q547" s="73" t="n"/>
      <c r="R547" s="73" t="n"/>
      <c r="S547" s="122" t="n"/>
    </row>
    <row r="548" ht="11.4" customHeight="1" s="69">
      <c r="J548" s="123" t="n"/>
      <c r="K548" s="73" t="n"/>
      <c r="L548" s="75" t="n"/>
      <c r="M548" s="75" t="n"/>
      <c r="N548" s="75" t="n"/>
      <c r="P548" s="73" t="n"/>
      <c r="Q548" s="73" t="n"/>
      <c r="R548" s="73" t="n"/>
      <c r="S548" s="122" t="n"/>
    </row>
    <row r="549" ht="11.4" customHeight="1" s="69">
      <c r="J549" s="123" t="n"/>
      <c r="K549" s="73" t="n"/>
      <c r="L549" s="75" t="n"/>
      <c r="M549" s="75" t="n"/>
      <c r="N549" s="75" t="n"/>
      <c r="P549" s="73" t="n"/>
      <c r="Q549" s="73" t="n"/>
      <c r="R549" s="73" t="n"/>
      <c r="S549" s="122" t="n"/>
    </row>
    <row r="550" ht="11.4" customHeight="1" s="69">
      <c r="J550" s="123" t="n"/>
      <c r="K550" s="73" t="n"/>
      <c r="L550" s="75" t="n"/>
      <c r="M550" s="75" t="n"/>
      <c r="N550" s="75" t="n"/>
      <c r="P550" s="73" t="n"/>
      <c r="Q550" s="73" t="n"/>
      <c r="R550" s="73" t="n"/>
      <c r="S550" s="122" t="n"/>
    </row>
    <row r="551" ht="11.4" customHeight="1" s="69">
      <c r="J551" s="123" t="n"/>
      <c r="K551" s="73" t="n"/>
      <c r="L551" s="75" t="n"/>
      <c r="M551" s="75" t="n"/>
      <c r="N551" s="75" t="n"/>
      <c r="P551" s="73" t="n"/>
      <c r="Q551" s="73" t="n"/>
      <c r="R551" s="73" t="n"/>
      <c r="S551" s="122" t="n"/>
    </row>
    <row r="552" ht="11.4" customHeight="1" s="69">
      <c r="J552" s="123" t="n"/>
      <c r="K552" s="73" t="n"/>
      <c r="L552" s="75" t="n"/>
      <c r="M552" s="75" t="n"/>
      <c r="N552" s="75" t="n"/>
      <c r="P552" s="73" t="n"/>
      <c r="Q552" s="73" t="n"/>
      <c r="R552" s="73" t="n"/>
      <c r="S552" s="122" t="n"/>
    </row>
    <row r="553" ht="11.4" customHeight="1" s="69">
      <c r="J553" s="123" t="n"/>
      <c r="K553" s="73" t="n"/>
      <c r="L553" s="75" t="n"/>
      <c r="M553" s="75" t="n"/>
      <c r="N553" s="75" t="n"/>
      <c r="P553" s="73" t="n"/>
      <c r="Q553" s="73" t="n"/>
      <c r="R553" s="73" t="n"/>
      <c r="S553" s="122" t="n"/>
    </row>
    <row r="554" ht="11.4" customHeight="1" s="69">
      <c r="J554" s="123" t="n"/>
      <c r="K554" s="73" t="n"/>
      <c r="L554" s="75" t="n"/>
      <c r="M554" s="75" t="n"/>
      <c r="N554" s="75" t="n"/>
      <c r="P554" s="73" t="n"/>
      <c r="Q554" s="73" t="n"/>
      <c r="R554" s="73" t="n"/>
      <c r="S554" s="122" t="n"/>
    </row>
    <row r="555" ht="11.4" customHeight="1" s="69">
      <c r="J555" s="123" t="n"/>
      <c r="K555" s="73" t="n"/>
      <c r="L555" s="75" t="n"/>
      <c r="M555" s="75" t="n"/>
      <c r="N555" s="75" t="n"/>
      <c r="P555" s="73" t="n"/>
      <c r="Q555" s="73" t="n"/>
      <c r="R555" s="73" t="n"/>
      <c r="S555" s="122" t="n"/>
    </row>
    <row r="556" ht="11.4" customHeight="1" s="69">
      <c r="J556" s="123" t="n"/>
      <c r="K556" s="73" t="n"/>
      <c r="L556" s="75" t="n"/>
      <c r="M556" s="75" t="n"/>
      <c r="N556" s="75" t="n"/>
      <c r="P556" s="73" t="n"/>
      <c r="Q556" s="73" t="n"/>
      <c r="R556" s="73" t="n"/>
      <c r="S556" s="122" t="n"/>
    </row>
    <row r="557" ht="11.4" customHeight="1" s="69">
      <c r="J557" s="123" t="n"/>
      <c r="K557" s="73" t="n"/>
      <c r="L557" s="75" t="n"/>
      <c r="M557" s="75" t="n"/>
      <c r="N557" s="75" t="n"/>
      <c r="P557" s="73" t="n"/>
      <c r="Q557" s="73" t="n"/>
      <c r="R557" s="73" t="n"/>
      <c r="S557" s="122" t="n"/>
    </row>
    <row r="558" ht="11.4" customHeight="1" s="69">
      <c r="J558" s="123" t="n"/>
      <c r="K558" s="73" t="n"/>
      <c r="L558" s="75" t="n"/>
      <c r="M558" s="75" t="n"/>
      <c r="N558" s="75" t="n"/>
      <c r="P558" s="73" t="n"/>
      <c r="Q558" s="73" t="n"/>
      <c r="R558" s="73" t="n"/>
      <c r="S558" s="122" t="n"/>
    </row>
    <row r="559" ht="11.4" customHeight="1" s="69">
      <c r="J559" s="123" t="n"/>
      <c r="K559" s="73" t="n"/>
      <c r="L559" s="75" t="n"/>
      <c r="M559" s="75" t="n"/>
      <c r="N559" s="75" t="n"/>
      <c r="P559" s="73" t="n"/>
      <c r="Q559" s="73" t="n"/>
      <c r="R559" s="73" t="n"/>
      <c r="S559" s="122" t="n"/>
    </row>
    <row r="560" ht="11.4" customHeight="1" s="69">
      <c r="J560" s="123" t="n"/>
      <c r="K560" s="73" t="n"/>
      <c r="L560" s="75" t="n"/>
      <c r="M560" s="75" t="n"/>
      <c r="N560" s="75" t="n"/>
      <c r="P560" s="73" t="n"/>
      <c r="Q560" s="73" t="n"/>
      <c r="R560" s="73" t="n"/>
      <c r="S560" s="122" t="n"/>
    </row>
    <row r="561" ht="11.4" customHeight="1" s="69">
      <c r="J561" s="123" t="n"/>
      <c r="K561" s="73" t="n"/>
      <c r="L561" s="75" t="n"/>
      <c r="M561" s="75" t="n"/>
      <c r="N561" s="75" t="n"/>
      <c r="P561" s="73" t="n"/>
      <c r="Q561" s="73" t="n"/>
      <c r="R561" s="73" t="n"/>
      <c r="S561" s="122" t="n"/>
    </row>
    <row r="562" ht="11.4" customHeight="1" s="69">
      <c r="J562" s="123" t="n"/>
      <c r="K562" s="73" t="n"/>
      <c r="L562" s="75" t="n"/>
      <c r="M562" s="75" t="n"/>
      <c r="N562" s="75" t="n"/>
      <c r="P562" s="73" t="n"/>
      <c r="Q562" s="73" t="n"/>
      <c r="R562" s="73" t="n"/>
      <c r="S562" s="122" t="n"/>
    </row>
    <row r="563" ht="11.4" customHeight="1" s="69">
      <c r="J563" s="123" t="n"/>
      <c r="K563" s="73" t="n"/>
      <c r="L563" s="75" t="n"/>
      <c r="M563" s="75" t="n"/>
      <c r="N563" s="75" t="n"/>
      <c r="P563" s="73" t="n"/>
      <c r="Q563" s="73" t="n"/>
      <c r="R563" s="73" t="n"/>
      <c r="S563" s="122" t="n"/>
    </row>
    <row r="564" ht="11.4" customHeight="1" s="69">
      <c r="J564" s="123" t="n"/>
      <c r="K564" s="73" t="n"/>
      <c r="L564" s="75" t="n"/>
      <c r="M564" s="75" t="n"/>
      <c r="N564" s="75" t="n"/>
      <c r="P564" s="73" t="n"/>
      <c r="Q564" s="73" t="n"/>
      <c r="R564" s="73" t="n"/>
      <c r="S564" s="122" t="n"/>
    </row>
    <row r="565" ht="11.4" customHeight="1" s="69">
      <c r="J565" s="123" t="n"/>
      <c r="K565" s="73" t="n"/>
      <c r="L565" s="75" t="n"/>
      <c r="M565" s="75" t="n"/>
      <c r="N565" s="75" t="n"/>
      <c r="P565" s="73" t="n"/>
      <c r="Q565" s="73" t="n"/>
      <c r="R565" s="73" t="n"/>
      <c r="S565" s="122" t="n"/>
    </row>
    <row r="566" ht="11.4" customHeight="1" s="69">
      <c r="J566" s="123" t="n"/>
      <c r="K566" s="73" t="n"/>
      <c r="L566" s="75" t="n"/>
      <c r="M566" s="75" t="n"/>
      <c r="N566" s="75" t="n"/>
      <c r="P566" s="73" t="n"/>
      <c r="Q566" s="73" t="n"/>
      <c r="R566" s="73" t="n"/>
      <c r="S566" s="122" t="n"/>
    </row>
    <row r="567" ht="11.4" customHeight="1" s="69">
      <c r="J567" s="123" t="n"/>
      <c r="K567" s="73" t="n"/>
      <c r="L567" s="75" t="n"/>
      <c r="M567" s="75" t="n"/>
      <c r="N567" s="75" t="n"/>
      <c r="P567" s="73" t="n"/>
      <c r="Q567" s="73" t="n"/>
      <c r="R567" s="73" t="n"/>
      <c r="S567" s="122" t="n"/>
    </row>
    <row r="568" ht="11.4" customHeight="1" s="69">
      <c r="J568" s="123" t="n"/>
      <c r="K568" s="73" t="n"/>
      <c r="L568" s="75" t="n"/>
      <c r="M568" s="75" t="n"/>
      <c r="N568" s="75" t="n"/>
      <c r="P568" s="73" t="n"/>
      <c r="Q568" s="73" t="n"/>
      <c r="R568" s="73" t="n"/>
      <c r="S568" s="122" t="n"/>
    </row>
    <row r="569" ht="11.4" customHeight="1" s="69">
      <c r="J569" s="123" t="n"/>
      <c r="K569" s="73" t="n"/>
      <c r="L569" s="75" t="n"/>
      <c r="M569" s="75" t="n"/>
      <c r="N569" s="75" t="n"/>
      <c r="P569" s="73" t="n"/>
      <c r="Q569" s="73" t="n"/>
      <c r="R569" s="73" t="n"/>
      <c r="S569" s="122" t="n"/>
    </row>
    <row r="570" ht="11.4" customHeight="1" s="69">
      <c r="J570" s="123" t="n"/>
      <c r="K570" s="73" t="n"/>
      <c r="L570" s="75" t="n"/>
      <c r="M570" s="75" t="n"/>
      <c r="N570" s="75" t="n"/>
      <c r="P570" s="73" t="n"/>
      <c r="Q570" s="73" t="n"/>
      <c r="R570" s="73" t="n"/>
      <c r="S570" s="122" t="n"/>
    </row>
    <row r="571" ht="11.4" customHeight="1" s="69">
      <c r="J571" s="123" t="n"/>
      <c r="K571" s="73" t="n"/>
      <c r="L571" s="75" t="n"/>
      <c r="M571" s="75" t="n"/>
      <c r="N571" s="75" t="n"/>
      <c r="P571" s="73" t="n"/>
      <c r="Q571" s="73" t="n"/>
      <c r="R571" s="73" t="n"/>
      <c r="S571" s="122" t="n"/>
    </row>
    <row r="572" ht="11.4" customHeight="1" s="69">
      <c r="J572" s="123" t="n"/>
      <c r="K572" s="73" t="n"/>
      <c r="L572" s="75" t="n"/>
      <c r="M572" s="75" t="n"/>
      <c r="N572" s="75" t="n"/>
      <c r="P572" s="73" t="n"/>
      <c r="Q572" s="73" t="n"/>
      <c r="R572" s="73" t="n"/>
      <c r="S572" s="122" t="n"/>
    </row>
    <row r="573" ht="11.4" customHeight="1" s="69">
      <c r="J573" s="123" t="n"/>
      <c r="K573" s="73" t="n"/>
      <c r="L573" s="75" t="n"/>
      <c r="M573" s="75" t="n"/>
      <c r="N573" s="75" t="n"/>
      <c r="P573" s="73" t="n"/>
      <c r="Q573" s="73" t="n"/>
      <c r="R573" s="73" t="n"/>
      <c r="S573" s="122" t="n"/>
    </row>
    <row r="574" ht="11.4" customHeight="1" s="69">
      <c r="J574" s="123" t="n"/>
      <c r="K574" s="73" t="n"/>
      <c r="L574" s="75" t="n"/>
      <c r="M574" s="75" t="n"/>
      <c r="N574" s="75" t="n"/>
      <c r="P574" s="73" t="n"/>
      <c r="Q574" s="73" t="n"/>
      <c r="R574" s="73" t="n"/>
      <c r="S574" s="122" t="n"/>
    </row>
    <row r="575" ht="11.4" customHeight="1" s="69">
      <c r="J575" s="123" t="n"/>
      <c r="K575" s="73" t="n"/>
      <c r="L575" s="75" t="n"/>
      <c r="M575" s="75" t="n"/>
      <c r="N575" s="75" t="n"/>
      <c r="P575" s="73" t="n"/>
      <c r="Q575" s="73" t="n"/>
      <c r="R575" s="73" t="n"/>
      <c r="S575" s="122" t="n"/>
    </row>
    <row r="576" ht="11.4" customHeight="1" s="69">
      <c r="J576" s="123" t="n"/>
      <c r="K576" s="73" t="n"/>
      <c r="L576" s="75" t="n"/>
      <c r="M576" s="75" t="n"/>
      <c r="N576" s="75" t="n"/>
      <c r="P576" s="73" t="n"/>
      <c r="Q576" s="73" t="n"/>
      <c r="R576" s="73" t="n"/>
      <c r="S576" s="122" t="n"/>
    </row>
    <row r="577" ht="11.4" customHeight="1" s="69">
      <c r="J577" s="123" t="n"/>
      <c r="K577" s="73" t="n"/>
      <c r="L577" s="75" t="n"/>
      <c r="M577" s="75" t="n"/>
      <c r="N577" s="75" t="n"/>
      <c r="P577" s="73" t="n"/>
      <c r="Q577" s="73" t="n"/>
      <c r="R577" s="73" t="n"/>
      <c r="S577" s="122" t="n"/>
    </row>
    <row r="578" ht="11.4" customHeight="1" s="69">
      <c r="J578" s="123" t="n"/>
      <c r="K578" s="73" t="n"/>
      <c r="L578" s="75" t="n"/>
      <c r="M578" s="75" t="n"/>
      <c r="N578" s="75" t="n"/>
      <c r="P578" s="73" t="n"/>
      <c r="Q578" s="73" t="n"/>
      <c r="R578" s="73" t="n"/>
      <c r="S578" s="122" t="n"/>
    </row>
    <row r="579" ht="11.4" customHeight="1" s="69">
      <c r="J579" s="123" t="n"/>
      <c r="K579" s="73" t="n"/>
      <c r="L579" s="75" t="n"/>
      <c r="M579" s="75" t="n"/>
      <c r="N579" s="75" t="n"/>
      <c r="P579" s="73" t="n"/>
      <c r="Q579" s="73" t="n"/>
      <c r="R579" s="73" t="n"/>
      <c r="S579" s="122" t="n"/>
    </row>
    <row r="580" ht="11.4" customHeight="1" s="69">
      <c r="J580" s="123" t="n"/>
      <c r="K580" s="73" t="n"/>
      <c r="L580" s="75" t="n"/>
      <c r="M580" s="75" t="n"/>
      <c r="N580" s="75" t="n"/>
      <c r="P580" s="73" t="n"/>
      <c r="Q580" s="73" t="n"/>
      <c r="R580" s="73" t="n"/>
      <c r="S580" s="122" t="n"/>
    </row>
    <row r="581" ht="11.4" customHeight="1" s="69">
      <c r="J581" s="123" t="n"/>
      <c r="K581" s="73" t="n"/>
      <c r="L581" s="75" t="n"/>
      <c r="M581" s="75" t="n"/>
      <c r="N581" s="75" t="n"/>
      <c r="P581" s="73" t="n"/>
      <c r="Q581" s="73" t="n"/>
      <c r="R581" s="73" t="n"/>
      <c r="S581" s="122" t="n"/>
    </row>
    <row r="582" ht="11.4" customHeight="1" s="69">
      <c r="J582" s="123" t="n"/>
      <c r="K582" s="73" t="n"/>
      <c r="L582" s="75" t="n"/>
      <c r="M582" s="75" t="n"/>
      <c r="N582" s="75" t="n"/>
      <c r="P582" s="73" t="n"/>
      <c r="Q582" s="73" t="n"/>
      <c r="R582" s="73" t="n"/>
      <c r="S582" s="122" t="n"/>
    </row>
    <row r="583" ht="11.4" customHeight="1" s="69">
      <c r="J583" s="123" t="n"/>
      <c r="K583" s="73" t="n"/>
      <c r="L583" s="75" t="n"/>
      <c r="M583" s="75" t="n"/>
      <c r="N583" s="75" t="n"/>
      <c r="P583" s="73" t="n"/>
      <c r="Q583" s="73" t="n"/>
      <c r="R583" s="73" t="n"/>
      <c r="S583" s="122" t="n"/>
    </row>
    <row r="584" ht="11.4" customHeight="1" s="69">
      <c r="J584" s="123" t="n"/>
      <c r="K584" s="73" t="n"/>
      <c r="L584" s="75" t="n"/>
      <c r="M584" s="75" t="n"/>
      <c r="N584" s="75" t="n"/>
      <c r="P584" s="73" t="n"/>
      <c r="Q584" s="73" t="n"/>
      <c r="R584" s="73" t="n"/>
      <c r="S584" s="122" t="n"/>
    </row>
    <row r="585" ht="11.4" customHeight="1" s="69">
      <c r="J585" s="123" t="n"/>
      <c r="K585" s="73" t="n"/>
      <c r="L585" s="75" t="n"/>
      <c r="M585" s="75" t="n"/>
      <c r="N585" s="75" t="n"/>
      <c r="P585" s="73" t="n"/>
      <c r="Q585" s="73" t="n"/>
      <c r="R585" s="73" t="n"/>
      <c r="S585" s="122" t="n"/>
    </row>
    <row r="586" ht="11.4" customHeight="1" s="69">
      <c r="J586" s="123" t="n"/>
      <c r="K586" s="73" t="n"/>
      <c r="L586" s="75" t="n"/>
      <c r="M586" s="75" t="n"/>
      <c r="N586" s="75" t="n"/>
      <c r="P586" s="73" t="n"/>
      <c r="Q586" s="73" t="n"/>
      <c r="R586" s="73" t="n"/>
      <c r="S586" s="122" t="n"/>
    </row>
    <row r="587" ht="11.4" customHeight="1" s="69">
      <c r="J587" s="123" t="n"/>
      <c r="K587" s="73" t="n"/>
      <c r="L587" s="75" t="n"/>
      <c r="M587" s="75" t="n"/>
      <c r="N587" s="75" t="n"/>
      <c r="P587" s="73" t="n"/>
      <c r="Q587" s="73" t="n"/>
      <c r="R587" s="73" t="n"/>
      <c r="S587" s="122" t="n"/>
    </row>
    <row r="588" ht="11.4" customHeight="1" s="69">
      <c r="J588" s="123" t="n"/>
      <c r="K588" s="73" t="n"/>
      <c r="L588" s="75" t="n"/>
      <c r="M588" s="75" t="n"/>
      <c r="N588" s="75" t="n"/>
      <c r="P588" s="73" t="n"/>
      <c r="Q588" s="73" t="n"/>
      <c r="R588" s="73" t="n"/>
      <c r="S588" s="122" t="n"/>
    </row>
    <row r="589" ht="11.4" customHeight="1" s="69">
      <c r="J589" s="123" t="n"/>
      <c r="K589" s="73" t="n"/>
      <c r="L589" s="75" t="n"/>
      <c r="M589" s="75" t="n"/>
      <c r="N589" s="75" t="n"/>
      <c r="P589" s="73" t="n"/>
      <c r="Q589" s="73" t="n"/>
      <c r="R589" s="73" t="n"/>
      <c r="S589" s="122" t="n"/>
    </row>
    <row r="590" ht="11.4" customHeight="1" s="69">
      <c r="J590" s="123" t="n"/>
      <c r="K590" s="73" t="n"/>
      <c r="L590" s="75" t="n"/>
      <c r="M590" s="75" t="n"/>
      <c r="N590" s="75" t="n"/>
      <c r="P590" s="73" t="n"/>
      <c r="Q590" s="73" t="n"/>
      <c r="R590" s="73" t="n"/>
      <c r="S590" s="122" t="n"/>
    </row>
    <row r="591" ht="11.4" customHeight="1" s="69">
      <c r="J591" s="123" t="n"/>
      <c r="K591" s="73" t="n"/>
      <c r="L591" s="75" t="n"/>
      <c r="M591" s="75" t="n"/>
      <c r="N591" s="75" t="n"/>
      <c r="P591" s="73" t="n"/>
      <c r="Q591" s="73" t="n"/>
      <c r="R591" s="73" t="n"/>
      <c r="S591" s="122" t="n"/>
    </row>
    <row r="592" ht="11.4" customHeight="1" s="69">
      <c r="J592" s="123" t="n"/>
      <c r="K592" s="73" t="n"/>
      <c r="L592" s="75" t="n"/>
      <c r="M592" s="75" t="n"/>
      <c r="N592" s="75" t="n"/>
      <c r="P592" s="73" t="n"/>
      <c r="Q592" s="73" t="n"/>
      <c r="R592" s="73" t="n"/>
      <c r="S592" s="122" t="n"/>
    </row>
    <row r="593" ht="11.4" customHeight="1" s="69">
      <c r="J593" s="123" t="n"/>
      <c r="K593" s="73" t="n"/>
      <c r="L593" s="75" t="n"/>
      <c r="M593" s="75" t="n"/>
      <c r="N593" s="75" t="n"/>
      <c r="P593" s="73" t="n"/>
      <c r="Q593" s="73" t="n"/>
      <c r="R593" s="73" t="n"/>
      <c r="S593" s="122" t="n"/>
    </row>
    <row r="594" ht="11.4" customHeight="1" s="69">
      <c r="J594" s="123" t="n"/>
      <c r="K594" s="73" t="n"/>
      <c r="L594" s="75" t="n"/>
      <c r="M594" s="75" t="n"/>
      <c r="N594" s="75" t="n"/>
      <c r="P594" s="73" t="n"/>
      <c r="Q594" s="73" t="n"/>
      <c r="R594" s="73" t="n"/>
      <c r="S594" s="122" t="n"/>
    </row>
    <row r="595" ht="11.4" customHeight="1" s="69">
      <c r="J595" s="123" t="n"/>
      <c r="K595" s="73" t="n"/>
      <c r="L595" s="75" t="n"/>
      <c r="M595" s="75" t="n"/>
      <c r="N595" s="75" t="n"/>
      <c r="P595" s="73" t="n"/>
      <c r="Q595" s="73" t="n"/>
      <c r="R595" s="73" t="n"/>
      <c r="S595" s="122" t="n"/>
    </row>
    <row r="596" ht="11.4" customHeight="1" s="69">
      <c r="J596" s="123" t="n"/>
      <c r="K596" s="73" t="n"/>
      <c r="L596" s="75" t="n"/>
      <c r="M596" s="75" t="n"/>
      <c r="N596" s="75" t="n"/>
      <c r="P596" s="73" t="n"/>
      <c r="Q596" s="73" t="n"/>
      <c r="R596" s="73" t="n"/>
      <c r="S596" s="122" t="n"/>
    </row>
    <row r="597" ht="11.4" customHeight="1" s="69">
      <c r="J597" s="123" t="n"/>
      <c r="K597" s="73" t="n"/>
      <c r="L597" s="75" t="n"/>
      <c r="M597" s="75" t="n"/>
      <c r="N597" s="75" t="n"/>
      <c r="P597" s="73" t="n"/>
      <c r="Q597" s="73" t="n"/>
      <c r="R597" s="73" t="n"/>
      <c r="S597" s="122" t="n"/>
    </row>
    <row r="598" ht="11.4" customHeight="1" s="69">
      <c r="J598" s="123" t="n"/>
      <c r="K598" s="73" t="n"/>
      <c r="L598" s="75" t="n"/>
      <c r="M598" s="75" t="n"/>
      <c r="N598" s="75" t="n"/>
      <c r="P598" s="73" t="n"/>
      <c r="Q598" s="73" t="n"/>
      <c r="R598" s="73" t="n"/>
      <c r="S598" s="122" t="n"/>
    </row>
    <row r="599" ht="11.4" customHeight="1" s="69">
      <c r="J599" s="123" t="n"/>
      <c r="K599" s="73" t="n"/>
      <c r="L599" s="75" t="n"/>
      <c r="M599" s="75" t="n"/>
      <c r="N599" s="75" t="n"/>
      <c r="P599" s="73" t="n"/>
      <c r="Q599" s="73" t="n"/>
      <c r="R599" s="73" t="n"/>
      <c r="S599" s="122" t="n"/>
    </row>
    <row r="600" ht="11.4" customHeight="1" s="69">
      <c r="J600" s="123" t="n"/>
      <c r="K600" s="73" t="n"/>
      <c r="L600" s="75" t="n"/>
      <c r="M600" s="75" t="n"/>
      <c r="N600" s="75" t="n"/>
      <c r="P600" s="73" t="n"/>
      <c r="Q600" s="73" t="n"/>
      <c r="R600" s="73" t="n"/>
      <c r="S600" s="122" t="n"/>
    </row>
    <row r="601" ht="11.4" customHeight="1" s="69">
      <c r="J601" s="123" t="n"/>
      <c r="K601" s="73" t="n"/>
      <c r="L601" s="75" t="n"/>
      <c r="M601" s="75" t="n"/>
      <c r="N601" s="75" t="n"/>
      <c r="P601" s="73" t="n"/>
      <c r="Q601" s="73" t="n"/>
      <c r="R601" s="73" t="n"/>
      <c r="S601" s="122" t="n"/>
    </row>
    <row r="602" ht="11.4" customHeight="1" s="69">
      <c r="J602" s="123" t="n"/>
      <c r="K602" s="73" t="n"/>
      <c r="L602" s="75" t="n"/>
      <c r="M602" s="75" t="n"/>
      <c r="N602" s="75" t="n"/>
      <c r="P602" s="73" t="n"/>
      <c r="Q602" s="73" t="n"/>
      <c r="R602" s="73" t="n"/>
      <c r="S602" s="122" t="n"/>
    </row>
    <row r="603" ht="11.4" customHeight="1" s="69">
      <c r="J603" s="123" t="n"/>
      <c r="K603" s="73" t="n"/>
      <c r="L603" s="75" t="n"/>
      <c r="M603" s="75" t="n"/>
      <c r="N603" s="75" t="n"/>
      <c r="P603" s="73" t="n"/>
      <c r="Q603" s="73" t="n"/>
      <c r="R603" s="73" t="n"/>
      <c r="S603" s="122" t="n"/>
    </row>
    <row r="604" ht="11.4" customHeight="1" s="69">
      <c r="J604" s="123" t="n"/>
      <c r="K604" s="73" t="n"/>
      <c r="L604" s="75" t="n"/>
      <c r="M604" s="75" t="n"/>
      <c r="N604" s="75" t="n"/>
      <c r="P604" s="73" t="n"/>
      <c r="Q604" s="73" t="n"/>
      <c r="R604" s="73" t="n"/>
      <c r="S604" s="122" t="n"/>
    </row>
    <row r="605" ht="11.4" customHeight="1" s="69">
      <c r="J605" s="123" t="n"/>
      <c r="K605" s="73" t="n"/>
      <c r="L605" s="75" t="n"/>
      <c r="M605" s="75" t="n"/>
      <c r="N605" s="75" t="n"/>
      <c r="P605" s="73" t="n"/>
      <c r="Q605" s="73" t="n"/>
      <c r="R605" s="73" t="n"/>
      <c r="S605" s="122" t="n"/>
    </row>
    <row r="606" ht="11.4" customHeight="1" s="69">
      <c r="J606" s="123" t="n"/>
      <c r="K606" s="73" t="n"/>
      <c r="L606" s="75" t="n"/>
      <c r="M606" s="75" t="n"/>
      <c r="N606" s="75" t="n"/>
      <c r="P606" s="73" t="n"/>
      <c r="Q606" s="73" t="n"/>
      <c r="R606" s="73" t="n"/>
      <c r="S606" s="122" t="n"/>
    </row>
    <row r="607" ht="11.4" customHeight="1" s="69">
      <c r="J607" s="123" t="n"/>
      <c r="K607" s="73" t="n"/>
      <c r="L607" s="75" t="n"/>
      <c r="M607" s="75" t="n"/>
      <c r="N607" s="75" t="n"/>
      <c r="P607" s="73" t="n"/>
      <c r="Q607" s="73" t="n"/>
      <c r="R607" s="73" t="n"/>
      <c r="S607" s="122" t="n"/>
    </row>
    <row r="608" ht="11.4" customHeight="1" s="69">
      <c r="J608" s="123" t="n"/>
      <c r="K608" s="73" t="n"/>
      <c r="L608" s="75" t="n"/>
      <c r="M608" s="75" t="n"/>
      <c r="N608" s="75" t="n"/>
      <c r="P608" s="73" t="n"/>
      <c r="Q608" s="73" t="n"/>
      <c r="R608" s="73" t="n"/>
      <c r="S608" s="122" t="n"/>
    </row>
    <row r="609" ht="11.4" customHeight="1" s="69">
      <c r="J609" s="123" t="n"/>
      <c r="K609" s="73" t="n"/>
      <c r="L609" s="75" t="n"/>
      <c r="M609" s="75" t="n"/>
      <c r="N609" s="75" t="n"/>
      <c r="P609" s="73" t="n"/>
      <c r="Q609" s="73" t="n"/>
      <c r="R609" s="73" t="n"/>
      <c r="S609" s="122" t="n"/>
    </row>
    <row r="610" ht="11.4" customHeight="1" s="69">
      <c r="J610" s="123" t="n"/>
      <c r="K610" s="73" t="n"/>
      <c r="L610" s="75" t="n"/>
      <c r="M610" s="75" t="n"/>
      <c r="N610" s="75" t="n"/>
      <c r="P610" s="73" t="n"/>
      <c r="Q610" s="73" t="n"/>
      <c r="R610" s="73" t="n"/>
      <c r="S610" s="122" t="n"/>
    </row>
    <row r="611" ht="11.4" customHeight="1" s="69">
      <c r="J611" s="123" t="n"/>
      <c r="K611" s="73" t="n"/>
      <c r="L611" s="75" t="n"/>
      <c r="M611" s="75" t="n"/>
      <c r="N611" s="75" t="n"/>
      <c r="P611" s="73" t="n"/>
      <c r="Q611" s="73" t="n"/>
      <c r="R611" s="73" t="n"/>
      <c r="S611" s="122" t="n"/>
    </row>
    <row r="612" ht="11.4" customHeight="1" s="69">
      <c r="J612" s="123" t="n"/>
      <c r="K612" s="73" t="n"/>
      <c r="L612" s="75" t="n"/>
      <c r="M612" s="75" t="n"/>
      <c r="N612" s="75" t="n"/>
      <c r="P612" s="73" t="n"/>
      <c r="Q612" s="73" t="n"/>
      <c r="R612" s="73" t="n"/>
      <c r="S612" s="122" t="n"/>
    </row>
    <row r="613" ht="11.4" customHeight="1" s="69">
      <c r="J613" s="123" t="n"/>
      <c r="K613" s="73" t="n"/>
      <c r="L613" s="75" t="n"/>
      <c r="M613" s="75" t="n"/>
      <c r="N613" s="75" t="n"/>
      <c r="P613" s="73" t="n"/>
      <c r="Q613" s="73" t="n"/>
      <c r="R613" s="73" t="n"/>
      <c r="S613" s="122" t="n"/>
    </row>
    <row r="614" ht="11.4" customHeight="1" s="69">
      <c r="J614" s="123" t="n"/>
      <c r="K614" s="73" t="n"/>
      <c r="L614" s="75" t="n"/>
      <c r="M614" s="75" t="n"/>
      <c r="N614" s="75" t="n"/>
      <c r="P614" s="73" t="n"/>
      <c r="Q614" s="73" t="n"/>
      <c r="R614" s="73" t="n"/>
      <c r="S614" s="122" t="n"/>
    </row>
    <row r="615" ht="11.4" customHeight="1" s="69">
      <c r="J615" s="123" t="n"/>
      <c r="K615" s="73" t="n"/>
      <c r="L615" s="75" t="n"/>
      <c r="M615" s="75" t="n"/>
      <c r="N615" s="75" t="n"/>
      <c r="P615" s="73" t="n"/>
      <c r="Q615" s="73" t="n"/>
      <c r="R615" s="73" t="n"/>
      <c r="S615" s="122" t="n"/>
    </row>
    <row r="616" ht="11.4" customHeight="1" s="69">
      <c r="J616" s="123" t="n"/>
      <c r="K616" s="73" t="n"/>
      <c r="L616" s="75" t="n"/>
      <c r="M616" s="75" t="n"/>
      <c r="N616" s="75" t="n"/>
      <c r="P616" s="73" t="n"/>
      <c r="Q616" s="73" t="n"/>
      <c r="R616" s="73" t="n"/>
      <c r="S616" s="122" t="n"/>
    </row>
    <row r="617" ht="11.4" customHeight="1" s="69">
      <c r="J617" s="123" t="n"/>
      <c r="K617" s="73" t="n"/>
      <c r="L617" s="75" t="n"/>
      <c r="M617" s="75" t="n"/>
      <c r="N617" s="75" t="n"/>
      <c r="P617" s="73" t="n"/>
      <c r="Q617" s="73" t="n"/>
      <c r="R617" s="73" t="n"/>
      <c r="S617" s="122" t="n"/>
    </row>
    <row r="618" ht="11.4" customHeight="1" s="69">
      <c r="J618" s="123" t="n"/>
      <c r="K618" s="73" t="n"/>
      <c r="L618" s="75" t="n"/>
      <c r="M618" s="75" t="n"/>
      <c r="N618" s="75" t="n"/>
      <c r="P618" s="73" t="n"/>
      <c r="Q618" s="73" t="n"/>
      <c r="R618" s="73" t="n"/>
      <c r="S618" s="122" t="n"/>
    </row>
    <row r="619" ht="11.4" customHeight="1" s="69">
      <c r="J619" s="123" t="n"/>
      <c r="K619" s="73" t="n"/>
      <c r="L619" s="75" t="n"/>
      <c r="M619" s="75" t="n"/>
      <c r="N619" s="75" t="n"/>
      <c r="P619" s="73" t="n"/>
      <c r="Q619" s="73" t="n"/>
      <c r="R619" s="73" t="n"/>
      <c r="S619" s="122" t="n"/>
    </row>
    <row r="620" ht="11.4" customHeight="1" s="69">
      <c r="J620" s="123" t="n"/>
      <c r="K620" s="73" t="n"/>
      <c r="L620" s="75" t="n"/>
      <c r="M620" s="75" t="n"/>
      <c r="N620" s="75" t="n"/>
      <c r="P620" s="73" t="n"/>
      <c r="Q620" s="73" t="n"/>
      <c r="R620" s="73" t="n"/>
      <c r="S620" s="122" t="n"/>
    </row>
    <row r="621" ht="11.4" customHeight="1" s="69">
      <c r="J621" s="123" t="n"/>
      <c r="K621" s="73" t="n"/>
      <c r="L621" s="75" t="n"/>
      <c r="M621" s="75" t="n"/>
      <c r="N621" s="75" t="n"/>
      <c r="P621" s="73" t="n"/>
      <c r="Q621" s="73" t="n"/>
      <c r="R621" s="73" t="n"/>
      <c r="S621" s="122" t="n"/>
    </row>
    <row r="622" ht="11.4" customHeight="1" s="69">
      <c r="J622" s="123" t="n"/>
      <c r="K622" s="73" t="n"/>
      <c r="L622" s="75" t="n"/>
      <c r="M622" s="75" t="n"/>
      <c r="N622" s="75" t="n"/>
      <c r="P622" s="73" t="n"/>
      <c r="Q622" s="73" t="n"/>
      <c r="R622" s="73" t="n"/>
      <c r="S622" s="122" t="n"/>
    </row>
    <row r="623" ht="11.4" customHeight="1" s="69">
      <c r="J623" s="123" t="n"/>
      <c r="K623" s="73" t="n"/>
      <c r="L623" s="75" t="n"/>
      <c r="M623" s="75" t="n"/>
      <c r="N623" s="75" t="n"/>
      <c r="P623" s="73" t="n"/>
      <c r="Q623" s="73" t="n"/>
      <c r="R623" s="73" t="n"/>
      <c r="S623" s="122" t="n"/>
    </row>
    <row r="624" ht="11.4" customHeight="1" s="69">
      <c r="J624" s="123" t="n"/>
      <c r="K624" s="73" t="n"/>
      <c r="L624" s="75" t="n"/>
      <c r="M624" s="75" t="n"/>
      <c r="N624" s="75" t="n"/>
      <c r="P624" s="73" t="n"/>
      <c r="Q624" s="73" t="n"/>
      <c r="R624" s="73" t="n"/>
      <c r="S624" s="122" t="n"/>
    </row>
    <row r="625" ht="11.4" customHeight="1" s="69">
      <c r="J625" s="123" t="n"/>
      <c r="K625" s="73" t="n"/>
      <c r="L625" s="75" t="n"/>
      <c r="M625" s="75" t="n"/>
      <c r="N625" s="75" t="n"/>
      <c r="P625" s="73" t="n"/>
      <c r="Q625" s="73" t="n"/>
      <c r="R625" s="73" t="n"/>
      <c r="S625" s="122" t="n"/>
    </row>
    <row r="626" ht="11.4" customHeight="1" s="69">
      <c r="J626" s="123" t="n"/>
      <c r="K626" s="73" t="n"/>
      <c r="L626" s="75" t="n"/>
      <c r="M626" s="75" t="n"/>
      <c r="N626" s="75" t="n"/>
      <c r="P626" s="73" t="n"/>
      <c r="Q626" s="73" t="n"/>
      <c r="R626" s="73" t="n"/>
      <c r="S626" s="122" t="n"/>
    </row>
    <row r="627" ht="11.4" customHeight="1" s="69">
      <c r="J627" s="123" t="n"/>
      <c r="K627" s="73" t="n"/>
      <c r="L627" s="75" t="n"/>
      <c r="M627" s="75" t="n"/>
      <c r="N627" s="75" t="n"/>
      <c r="P627" s="73" t="n"/>
      <c r="Q627" s="73" t="n"/>
      <c r="R627" s="73" t="n"/>
      <c r="S627" s="122" t="n"/>
    </row>
    <row r="628" ht="11.4" customHeight="1" s="69">
      <c r="J628" s="123" t="n"/>
      <c r="K628" s="73" t="n"/>
      <c r="L628" s="75" t="n"/>
      <c r="M628" s="75" t="n"/>
      <c r="N628" s="75" t="n"/>
      <c r="P628" s="73" t="n"/>
      <c r="Q628" s="73" t="n"/>
      <c r="R628" s="73" t="n"/>
      <c r="S628" s="122" t="n"/>
    </row>
    <row r="629" ht="11.4" customHeight="1" s="69">
      <c r="J629" s="123" t="n"/>
      <c r="K629" s="73" t="n"/>
      <c r="L629" s="75" t="n"/>
      <c r="M629" s="75" t="n"/>
      <c r="N629" s="75" t="n"/>
      <c r="P629" s="73" t="n"/>
      <c r="Q629" s="73" t="n"/>
      <c r="R629" s="73" t="n"/>
      <c r="S629" s="122" t="n"/>
    </row>
    <row r="630" ht="11.4" customHeight="1" s="69">
      <c r="J630" s="123" t="n"/>
      <c r="K630" s="73" t="n"/>
      <c r="L630" s="75" t="n"/>
      <c r="M630" s="75" t="n"/>
      <c r="N630" s="75" t="n"/>
      <c r="P630" s="73" t="n"/>
      <c r="Q630" s="73" t="n"/>
      <c r="R630" s="73" t="n"/>
      <c r="S630" s="122" t="n"/>
    </row>
    <row r="631" ht="11.4" customHeight="1" s="69">
      <c r="J631" s="123" t="n"/>
      <c r="K631" s="73" t="n"/>
      <c r="L631" s="75" t="n"/>
      <c r="M631" s="75" t="n"/>
      <c r="N631" s="75" t="n"/>
      <c r="P631" s="73" t="n"/>
      <c r="Q631" s="73" t="n"/>
      <c r="R631" s="73" t="n"/>
      <c r="S631" s="122" t="n"/>
    </row>
    <row r="632" ht="11.4" customHeight="1" s="69">
      <c r="J632" s="123" t="n"/>
      <c r="K632" s="73" t="n"/>
      <c r="L632" s="75" t="n"/>
      <c r="M632" s="75" t="n"/>
      <c r="N632" s="75" t="n"/>
      <c r="P632" s="73" t="n"/>
      <c r="Q632" s="73" t="n"/>
      <c r="R632" s="73" t="n"/>
      <c r="S632" s="122" t="n"/>
    </row>
    <row r="633" ht="11.4" customHeight="1" s="69">
      <c r="J633" s="123" t="n"/>
      <c r="K633" s="73" t="n"/>
      <c r="L633" s="75" t="n"/>
      <c r="M633" s="75" t="n"/>
      <c r="N633" s="75" t="n"/>
      <c r="P633" s="73" t="n"/>
      <c r="Q633" s="73" t="n"/>
      <c r="R633" s="73" t="n"/>
      <c r="S633" s="122" t="n"/>
    </row>
    <row r="634" ht="11.4" customHeight="1" s="69">
      <c r="J634" s="123" t="n"/>
      <c r="K634" s="73" t="n"/>
      <c r="L634" s="75" t="n"/>
      <c r="M634" s="75" t="n"/>
      <c r="N634" s="75" t="n"/>
      <c r="P634" s="73" t="n"/>
      <c r="Q634" s="73" t="n"/>
      <c r="R634" s="73" t="n"/>
      <c r="S634" s="122" t="n"/>
    </row>
    <row r="635" ht="11.4" customHeight="1" s="69">
      <c r="J635" s="123" t="n"/>
      <c r="K635" s="73" t="n"/>
      <c r="L635" s="75" t="n"/>
      <c r="M635" s="75" t="n"/>
      <c r="N635" s="75" t="n"/>
      <c r="P635" s="73" t="n"/>
      <c r="Q635" s="73" t="n"/>
      <c r="R635" s="73" t="n"/>
      <c r="S635" s="122" t="n"/>
    </row>
    <row r="636" ht="11.4" customHeight="1" s="69">
      <c r="J636" s="123" t="n"/>
      <c r="K636" s="73" t="n"/>
      <c r="L636" s="75" t="n"/>
      <c r="M636" s="75" t="n"/>
      <c r="N636" s="75" t="n"/>
      <c r="P636" s="73" t="n"/>
      <c r="Q636" s="73" t="n"/>
      <c r="R636" s="73" t="n"/>
      <c r="S636" s="122" t="n"/>
    </row>
    <row r="637" ht="11.4" customHeight="1" s="69">
      <c r="J637" s="123" t="n"/>
      <c r="K637" s="73" t="n"/>
      <c r="L637" s="75" t="n"/>
      <c r="M637" s="75" t="n"/>
      <c r="N637" s="75" t="n"/>
      <c r="P637" s="73" t="n"/>
      <c r="Q637" s="73" t="n"/>
      <c r="R637" s="73" t="n"/>
      <c r="S637" s="122" t="n"/>
    </row>
    <row r="638" ht="11.4" customHeight="1" s="69">
      <c r="J638" s="123" t="n"/>
      <c r="K638" s="73" t="n"/>
      <c r="L638" s="75" t="n"/>
      <c r="M638" s="75" t="n"/>
      <c r="N638" s="75" t="n"/>
      <c r="P638" s="73" t="n"/>
      <c r="Q638" s="73" t="n"/>
      <c r="R638" s="73" t="n"/>
      <c r="S638" s="122" t="n"/>
    </row>
    <row r="639" ht="11.4" customHeight="1" s="69">
      <c r="J639" s="123" t="n"/>
      <c r="K639" s="73" t="n"/>
      <c r="L639" s="75" t="n"/>
      <c r="M639" s="75" t="n"/>
      <c r="N639" s="75" t="n"/>
      <c r="P639" s="73" t="n"/>
      <c r="Q639" s="73" t="n"/>
      <c r="R639" s="73" t="n"/>
      <c r="S639" s="122" t="n"/>
    </row>
    <row r="640" ht="11.4" customHeight="1" s="69">
      <c r="J640" s="123" t="n"/>
      <c r="K640" s="73" t="n"/>
      <c r="L640" s="75" t="n"/>
      <c r="M640" s="75" t="n"/>
      <c r="N640" s="75" t="n"/>
      <c r="P640" s="73" t="n"/>
      <c r="Q640" s="73" t="n"/>
      <c r="R640" s="73" t="n"/>
      <c r="S640" s="122" t="n"/>
    </row>
    <row r="641" ht="11.4" customHeight="1" s="69">
      <c r="J641" s="123" t="n"/>
      <c r="K641" s="73" t="n"/>
      <c r="L641" s="75" t="n"/>
      <c r="M641" s="75" t="n"/>
      <c r="N641" s="75" t="n"/>
      <c r="P641" s="73" t="n"/>
      <c r="Q641" s="73" t="n"/>
      <c r="R641" s="73" t="n"/>
      <c r="S641" s="122" t="n"/>
    </row>
    <row r="642" ht="11.4" customHeight="1" s="69">
      <c r="J642" s="123" t="n"/>
      <c r="K642" s="73" t="n"/>
      <c r="L642" s="75" t="n"/>
      <c r="M642" s="75" t="n"/>
      <c r="N642" s="75" t="n"/>
      <c r="P642" s="73" t="n"/>
      <c r="Q642" s="73" t="n"/>
      <c r="R642" s="73" t="n"/>
      <c r="S642" s="122" t="n"/>
    </row>
    <row r="643" ht="11.4" customHeight="1" s="69">
      <c r="J643" s="123" t="n"/>
      <c r="K643" s="73" t="n"/>
      <c r="L643" s="75" t="n"/>
      <c r="M643" s="75" t="n"/>
      <c r="N643" s="75" t="n"/>
      <c r="P643" s="73" t="n"/>
      <c r="Q643" s="73" t="n"/>
      <c r="R643" s="73" t="n"/>
      <c r="S643" s="122" t="n"/>
    </row>
    <row r="644" ht="11.4" customHeight="1" s="69">
      <c r="J644" s="123" t="n"/>
      <c r="K644" s="73" t="n"/>
      <c r="L644" s="75" t="n"/>
      <c r="M644" s="75" t="n"/>
      <c r="N644" s="75" t="n"/>
      <c r="P644" s="73" t="n"/>
      <c r="Q644" s="73" t="n"/>
      <c r="R644" s="73" t="n"/>
      <c r="S644" s="122" t="n"/>
    </row>
    <row r="645" ht="11.4" customHeight="1" s="69">
      <c r="J645" s="123" t="n"/>
      <c r="K645" s="73" t="n"/>
      <c r="L645" s="75" t="n"/>
      <c r="M645" s="75" t="n"/>
      <c r="N645" s="75" t="n"/>
      <c r="P645" s="73" t="n"/>
      <c r="Q645" s="73" t="n"/>
      <c r="R645" s="73" t="n"/>
      <c r="S645" s="122" t="n"/>
    </row>
    <row r="646" ht="11.4" customHeight="1" s="69">
      <c r="J646" s="123" t="n"/>
      <c r="K646" s="73" t="n"/>
      <c r="L646" s="75" t="n"/>
      <c r="M646" s="75" t="n"/>
      <c r="N646" s="75" t="n"/>
      <c r="P646" s="73" t="n"/>
      <c r="Q646" s="73" t="n"/>
      <c r="R646" s="73" t="n"/>
      <c r="S646" s="122" t="n"/>
    </row>
    <row r="647" ht="11.4" customHeight="1" s="69">
      <c r="J647" s="123" t="n"/>
      <c r="K647" s="73" t="n"/>
      <c r="L647" s="75" t="n"/>
      <c r="M647" s="75" t="n"/>
      <c r="N647" s="75" t="n"/>
      <c r="P647" s="73" t="n"/>
      <c r="Q647" s="73" t="n"/>
      <c r="R647" s="73" t="n"/>
      <c r="S647" s="122" t="n"/>
    </row>
    <row r="648" ht="11.4" customHeight="1" s="69">
      <c r="J648" s="123" t="n"/>
      <c r="K648" s="73" t="n"/>
      <c r="L648" s="75" t="n"/>
      <c r="M648" s="75" t="n"/>
      <c r="N648" s="75" t="n"/>
      <c r="P648" s="73" t="n"/>
      <c r="Q648" s="73" t="n"/>
      <c r="R648" s="73" t="n"/>
      <c r="S648" s="122" t="n"/>
    </row>
    <row r="649" ht="11.4" customHeight="1" s="69">
      <c r="J649" s="123" t="n"/>
      <c r="K649" s="73" t="n"/>
      <c r="L649" s="75" t="n"/>
      <c r="M649" s="75" t="n"/>
      <c r="N649" s="75" t="n"/>
      <c r="P649" s="73" t="n"/>
      <c r="Q649" s="73" t="n"/>
      <c r="R649" s="73" t="n"/>
      <c r="S649" s="122" t="n"/>
    </row>
    <row r="650" ht="11.4" customHeight="1" s="69">
      <c r="J650" s="123" t="n"/>
      <c r="K650" s="73" t="n"/>
      <c r="L650" s="75" t="n"/>
      <c r="M650" s="75" t="n"/>
      <c r="N650" s="75" t="n"/>
      <c r="P650" s="73" t="n"/>
      <c r="Q650" s="73" t="n"/>
      <c r="R650" s="73" t="n"/>
      <c r="S650" s="122" t="n"/>
    </row>
    <row r="651" ht="11.4" customHeight="1" s="69">
      <c r="J651" s="123" t="n"/>
      <c r="K651" s="73" t="n"/>
      <c r="L651" s="75" t="n"/>
      <c r="M651" s="75" t="n"/>
      <c r="N651" s="75" t="n"/>
      <c r="P651" s="73" t="n"/>
      <c r="Q651" s="73" t="n"/>
      <c r="R651" s="73" t="n"/>
      <c r="S651" s="122" t="n"/>
    </row>
    <row r="652" ht="11.4" customHeight="1" s="69">
      <c r="J652" s="123" t="n"/>
      <c r="K652" s="73" t="n"/>
      <c r="L652" s="75" t="n"/>
      <c r="M652" s="75" t="n"/>
      <c r="N652" s="75" t="n"/>
      <c r="P652" s="73" t="n"/>
      <c r="Q652" s="73" t="n"/>
      <c r="R652" s="73" t="n"/>
      <c r="S652" s="122" t="n"/>
    </row>
    <row r="653" ht="11.4" customHeight="1" s="69">
      <c r="J653" s="123" t="n"/>
      <c r="K653" s="73" t="n"/>
      <c r="L653" s="75" t="n"/>
      <c r="M653" s="75" t="n"/>
      <c r="N653" s="75" t="n"/>
      <c r="P653" s="73" t="n"/>
      <c r="Q653" s="73" t="n"/>
      <c r="R653" s="73" t="n"/>
      <c r="S653" s="122" t="n"/>
    </row>
    <row r="654" ht="11.4" customHeight="1" s="69">
      <c r="J654" s="123" t="n"/>
      <c r="K654" s="73" t="n"/>
      <c r="L654" s="75" t="n"/>
      <c r="M654" s="75" t="n"/>
      <c r="N654" s="75" t="n"/>
      <c r="P654" s="73" t="n"/>
      <c r="Q654" s="73" t="n"/>
      <c r="R654" s="73" t="n"/>
      <c r="S654" s="122" t="n"/>
    </row>
    <row r="655" ht="11.4" customHeight="1" s="69">
      <c r="J655" s="123" t="n"/>
      <c r="K655" s="73" t="n"/>
      <c r="L655" s="75" t="n"/>
      <c r="M655" s="75" t="n"/>
      <c r="N655" s="75" t="n"/>
      <c r="P655" s="73" t="n"/>
      <c r="Q655" s="73" t="n"/>
      <c r="R655" s="73" t="n"/>
      <c r="S655" s="122" t="n"/>
    </row>
    <row r="656" ht="11.4" customHeight="1" s="69">
      <c r="J656" s="123" t="n"/>
      <c r="K656" s="73" t="n"/>
      <c r="L656" s="75" t="n"/>
      <c r="M656" s="75" t="n"/>
      <c r="N656" s="75" t="n"/>
      <c r="P656" s="73" t="n"/>
      <c r="Q656" s="73" t="n"/>
      <c r="R656" s="73" t="n"/>
      <c r="S656" s="122" t="n"/>
    </row>
    <row r="657" ht="11.4" customHeight="1" s="69">
      <c r="J657" s="123" t="n"/>
      <c r="K657" s="73" t="n"/>
      <c r="L657" s="75" t="n"/>
      <c r="M657" s="75" t="n"/>
      <c r="N657" s="75" t="n"/>
      <c r="P657" s="73" t="n"/>
      <c r="Q657" s="73" t="n"/>
      <c r="R657" s="73" t="n"/>
      <c r="S657" s="122" t="n"/>
    </row>
    <row r="658" ht="11.4" customHeight="1" s="69">
      <c r="J658" s="123" t="n"/>
      <c r="K658" s="73" t="n"/>
      <c r="L658" s="75" t="n"/>
      <c r="M658" s="75" t="n"/>
      <c r="N658" s="75" t="n"/>
      <c r="P658" s="73" t="n"/>
      <c r="Q658" s="73" t="n"/>
      <c r="R658" s="73" t="n"/>
      <c r="S658" s="122" t="n"/>
    </row>
    <row r="659" ht="11.4" customHeight="1" s="69">
      <c r="J659" s="123" t="n"/>
      <c r="K659" s="73" t="n"/>
      <c r="L659" s="75" t="n"/>
      <c r="M659" s="75" t="n"/>
      <c r="N659" s="75" t="n"/>
      <c r="P659" s="73" t="n"/>
      <c r="Q659" s="73" t="n"/>
      <c r="R659" s="73" t="n"/>
      <c r="S659" s="122" t="n"/>
    </row>
    <row r="660" ht="11.4" customHeight="1" s="69">
      <c r="J660" s="123" t="n"/>
      <c r="K660" s="73" t="n"/>
      <c r="L660" s="75" t="n"/>
      <c r="M660" s="75" t="n"/>
      <c r="N660" s="75" t="n"/>
      <c r="P660" s="73" t="n"/>
      <c r="Q660" s="73" t="n"/>
      <c r="R660" s="73" t="n"/>
      <c r="S660" s="122" t="n"/>
    </row>
    <row r="661" ht="11.4" customHeight="1" s="69">
      <c r="J661" s="123" t="n"/>
      <c r="K661" s="73" t="n"/>
      <c r="L661" s="75" t="n"/>
      <c r="M661" s="75" t="n"/>
      <c r="N661" s="75" t="n"/>
      <c r="P661" s="73" t="n"/>
      <c r="Q661" s="73" t="n"/>
      <c r="R661" s="73" t="n"/>
      <c r="S661" s="122" t="n"/>
    </row>
    <row r="662" ht="11.4" customHeight="1" s="69">
      <c r="J662" s="123" t="n"/>
      <c r="K662" s="73" t="n"/>
      <c r="L662" s="75" t="n"/>
      <c r="M662" s="75" t="n"/>
      <c r="N662" s="75" t="n"/>
      <c r="P662" s="73" t="n"/>
      <c r="Q662" s="73" t="n"/>
      <c r="R662" s="73" t="n"/>
      <c r="S662" s="122" t="n"/>
    </row>
    <row r="663" ht="11.4" customHeight="1" s="69">
      <c r="J663" s="123" t="n"/>
      <c r="K663" s="73" t="n"/>
      <c r="L663" s="75" t="n"/>
      <c r="M663" s="75" t="n"/>
      <c r="N663" s="75" t="n"/>
      <c r="P663" s="73" t="n"/>
      <c r="Q663" s="73" t="n"/>
      <c r="R663" s="73" t="n"/>
      <c r="S663" s="122" t="n"/>
    </row>
    <row r="664" ht="11.4" customHeight="1" s="69">
      <c r="J664" s="123" t="n"/>
      <c r="K664" s="73" t="n"/>
      <c r="L664" s="75" t="n"/>
      <c r="M664" s="75" t="n"/>
      <c r="N664" s="75" t="n"/>
      <c r="P664" s="73" t="n"/>
      <c r="Q664" s="73" t="n"/>
      <c r="R664" s="73" t="n"/>
      <c r="S664" s="122" t="n"/>
    </row>
    <row r="665" ht="11.4" customHeight="1" s="69">
      <c r="J665" s="123" t="n"/>
      <c r="K665" s="73" t="n"/>
      <c r="L665" s="75" t="n"/>
      <c r="M665" s="75" t="n"/>
      <c r="N665" s="75" t="n"/>
      <c r="P665" s="73" t="n"/>
      <c r="Q665" s="73" t="n"/>
      <c r="R665" s="73" t="n"/>
      <c r="S665" s="122" t="n"/>
    </row>
    <row r="666" ht="11.4" customHeight="1" s="69">
      <c r="J666" s="123" t="n"/>
      <c r="K666" s="73" t="n"/>
      <c r="L666" s="75" t="n"/>
      <c r="M666" s="75" t="n"/>
      <c r="N666" s="75" t="n"/>
      <c r="P666" s="73" t="n"/>
      <c r="Q666" s="73" t="n"/>
      <c r="R666" s="73" t="n"/>
      <c r="S666" s="122" t="n"/>
    </row>
    <row r="667" ht="11.4" customHeight="1" s="69">
      <c r="J667" s="123" t="n"/>
      <c r="K667" s="73" t="n"/>
      <c r="L667" s="75" t="n"/>
      <c r="M667" s="75" t="n"/>
      <c r="N667" s="75" t="n"/>
      <c r="P667" s="73" t="n"/>
      <c r="Q667" s="73" t="n"/>
      <c r="R667" s="73" t="n"/>
      <c r="S667" s="122" t="n"/>
    </row>
    <row r="668" ht="11.4" customHeight="1" s="69">
      <c r="J668" s="123" t="n"/>
      <c r="K668" s="73" t="n"/>
      <c r="L668" s="75" t="n"/>
      <c r="M668" s="75" t="n"/>
      <c r="N668" s="75" t="n"/>
      <c r="P668" s="73" t="n"/>
      <c r="Q668" s="73" t="n"/>
      <c r="R668" s="73" t="n"/>
      <c r="S668" s="122" t="n"/>
    </row>
    <row r="669" ht="11.4" customHeight="1" s="69">
      <c r="J669" s="123" t="n"/>
      <c r="K669" s="73" t="n"/>
      <c r="L669" s="75" t="n"/>
      <c r="M669" s="75" t="n"/>
      <c r="N669" s="75" t="n"/>
      <c r="P669" s="73" t="n"/>
      <c r="Q669" s="73" t="n"/>
      <c r="R669" s="73" t="n"/>
      <c r="S669" s="122" t="n"/>
    </row>
    <row r="670" ht="11.4" customHeight="1" s="69">
      <c r="J670" s="123" t="n"/>
      <c r="K670" s="73" t="n"/>
      <c r="L670" s="75" t="n"/>
      <c r="M670" s="75" t="n"/>
      <c r="N670" s="75" t="n"/>
      <c r="P670" s="73" t="n"/>
      <c r="Q670" s="73" t="n"/>
      <c r="R670" s="73" t="n"/>
      <c r="S670" s="122" t="n"/>
    </row>
    <row r="671" ht="11.4" customHeight="1" s="69">
      <c r="J671" s="123" t="n"/>
      <c r="K671" s="73" t="n"/>
      <c r="L671" s="75" t="n"/>
      <c r="M671" s="75" t="n"/>
      <c r="N671" s="75" t="n"/>
      <c r="P671" s="73" t="n"/>
      <c r="Q671" s="73" t="n"/>
      <c r="R671" s="73" t="n"/>
      <c r="S671" s="122" t="n"/>
    </row>
    <row r="672" ht="11.4" customHeight="1" s="69">
      <c r="J672" s="123" t="n"/>
      <c r="K672" s="73" t="n"/>
      <c r="L672" s="75" t="n"/>
      <c r="M672" s="75" t="n"/>
      <c r="N672" s="75" t="n"/>
      <c r="P672" s="73" t="n"/>
      <c r="Q672" s="73" t="n"/>
      <c r="R672" s="73" t="n"/>
      <c r="S672" s="122" t="n"/>
    </row>
    <row r="673" ht="11.4" customHeight="1" s="69">
      <c r="J673" s="123" t="n"/>
      <c r="K673" s="73" t="n"/>
      <c r="L673" s="75" t="n"/>
      <c r="M673" s="75" t="n"/>
      <c r="N673" s="75" t="n"/>
      <c r="P673" s="73" t="n"/>
      <c r="Q673" s="73" t="n"/>
      <c r="R673" s="73" t="n"/>
      <c r="S673" s="122" t="n"/>
    </row>
    <row r="674" ht="11.4" customHeight="1" s="69">
      <c r="J674" s="123" t="n"/>
      <c r="K674" s="73" t="n"/>
      <c r="L674" s="75" t="n"/>
      <c r="M674" s="75" t="n"/>
      <c r="N674" s="75" t="n"/>
      <c r="P674" s="73" t="n"/>
      <c r="Q674" s="73" t="n"/>
      <c r="R674" s="73" t="n"/>
      <c r="S674" s="122" t="n"/>
    </row>
    <row r="675" ht="11.4" customHeight="1" s="69">
      <c r="J675" s="123" t="n"/>
      <c r="K675" s="73" t="n"/>
      <c r="L675" s="75" t="n"/>
      <c r="M675" s="75" t="n"/>
      <c r="N675" s="75" t="n"/>
      <c r="P675" s="73" t="n"/>
      <c r="Q675" s="73" t="n"/>
      <c r="R675" s="73" t="n"/>
      <c r="S675" s="122" t="n"/>
    </row>
    <row r="676" ht="11.4" customHeight="1" s="69">
      <c r="J676" s="123" t="n"/>
      <c r="K676" s="73" t="n"/>
      <c r="L676" s="75" t="n"/>
      <c r="M676" s="75" t="n"/>
      <c r="N676" s="75" t="n"/>
      <c r="P676" s="73" t="n"/>
      <c r="Q676" s="73" t="n"/>
      <c r="R676" s="73" t="n"/>
      <c r="S676" s="122" t="n"/>
    </row>
    <row r="677" ht="11.4" customHeight="1" s="69">
      <c r="J677" s="123" t="n"/>
      <c r="K677" s="73" t="n"/>
      <c r="L677" s="75" t="n"/>
      <c r="M677" s="75" t="n"/>
      <c r="N677" s="75" t="n"/>
      <c r="P677" s="73" t="n"/>
      <c r="Q677" s="73" t="n"/>
      <c r="R677" s="73" t="n"/>
      <c r="S677" s="122" t="n"/>
    </row>
    <row r="678" ht="11.4" customHeight="1" s="69">
      <c r="J678" s="123" t="n"/>
      <c r="K678" s="73" t="n"/>
      <c r="L678" s="75" t="n"/>
      <c r="M678" s="75" t="n"/>
      <c r="N678" s="75" t="n"/>
      <c r="P678" s="73" t="n"/>
      <c r="Q678" s="73" t="n"/>
      <c r="R678" s="73" t="n"/>
      <c r="S678" s="122" t="n"/>
    </row>
    <row r="679" ht="11.4" customHeight="1" s="69">
      <c r="J679" s="123" t="n"/>
      <c r="K679" s="73" t="n"/>
      <c r="L679" s="75" t="n"/>
      <c r="M679" s="75" t="n"/>
      <c r="N679" s="75" t="n"/>
      <c r="P679" s="73" t="n"/>
      <c r="Q679" s="73" t="n"/>
      <c r="R679" s="73" t="n"/>
      <c r="S679" s="122" t="n"/>
    </row>
    <row r="680" ht="11.4" customHeight="1" s="69">
      <c r="J680" s="123" t="n"/>
      <c r="K680" s="73" t="n"/>
      <c r="L680" s="75" t="n"/>
      <c r="M680" s="75" t="n"/>
      <c r="N680" s="75" t="n"/>
      <c r="P680" s="73" t="n"/>
      <c r="Q680" s="73" t="n"/>
      <c r="R680" s="73" t="n"/>
      <c r="S680" s="122" t="n"/>
    </row>
    <row r="681" ht="11.4" customHeight="1" s="69">
      <c r="J681" s="123" t="n"/>
      <c r="K681" s="73" t="n"/>
      <c r="L681" s="75" t="n"/>
      <c r="M681" s="75" t="n"/>
      <c r="N681" s="75" t="n"/>
      <c r="P681" s="73" t="n"/>
      <c r="Q681" s="73" t="n"/>
      <c r="R681" s="73" t="n"/>
      <c r="S681" s="122" t="n"/>
    </row>
    <row r="682" ht="11.4" customHeight="1" s="69">
      <c r="J682" s="123" t="n"/>
      <c r="K682" s="73" t="n"/>
      <c r="L682" s="75" t="n"/>
      <c r="M682" s="75" t="n"/>
      <c r="N682" s="75" t="n"/>
      <c r="P682" s="73" t="n"/>
      <c r="Q682" s="73" t="n"/>
      <c r="R682" s="73" t="n"/>
      <c r="S682" s="122" t="n"/>
    </row>
    <row r="683" ht="11.4" customHeight="1" s="69">
      <c r="J683" s="123" t="n"/>
      <c r="K683" s="73" t="n"/>
      <c r="L683" s="75" t="n"/>
      <c r="M683" s="75" t="n"/>
      <c r="N683" s="75" t="n"/>
      <c r="P683" s="73" t="n"/>
      <c r="Q683" s="73" t="n"/>
      <c r="R683" s="73" t="n"/>
      <c r="S683" s="122" t="n"/>
    </row>
    <row r="684" ht="11.4" customHeight="1" s="69">
      <c r="J684" s="123" t="n"/>
      <c r="K684" s="73" t="n"/>
      <c r="L684" s="75" t="n"/>
      <c r="M684" s="75" t="n"/>
      <c r="N684" s="75" t="n"/>
      <c r="P684" s="73" t="n"/>
      <c r="Q684" s="73" t="n"/>
      <c r="R684" s="73" t="n"/>
      <c r="S684" s="122" t="n"/>
    </row>
    <row r="685" ht="11.4" customHeight="1" s="69">
      <c r="J685" s="123" t="n"/>
      <c r="K685" s="73" t="n"/>
      <c r="L685" s="75" t="n"/>
      <c r="M685" s="75" t="n"/>
      <c r="N685" s="75" t="n"/>
      <c r="P685" s="73" t="n"/>
      <c r="Q685" s="73" t="n"/>
      <c r="R685" s="73" t="n"/>
      <c r="S685" s="122" t="n"/>
    </row>
    <row r="686" ht="11.4" customHeight="1" s="69">
      <c r="J686" s="123" t="n"/>
      <c r="K686" s="73" t="n"/>
      <c r="L686" s="75" t="n"/>
      <c r="M686" s="75" t="n"/>
      <c r="N686" s="75" t="n"/>
      <c r="P686" s="73" t="n"/>
      <c r="Q686" s="73" t="n"/>
      <c r="R686" s="73" t="n"/>
      <c r="S686" s="122" t="n"/>
    </row>
    <row r="687" ht="11.4" customHeight="1" s="69">
      <c r="J687" s="123" t="n"/>
      <c r="K687" s="73" t="n"/>
      <c r="L687" s="75" t="n"/>
      <c r="M687" s="75" t="n"/>
      <c r="N687" s="75" t="n"/>
      <c r="P687" s="73" t="n"/>
      <c r="Q687" s="73" t="n"/>
      <c r="R687" s="73" t="n"/>
      <c r="S687" s="122" t="n"/>
    </row>
    <row r="688" ht="11.4" customHeight="1" s="69">
      <c r="J688" s="123" t="n"/>
      <c r="K688" s="73" t="n"/>
      <c r="L688" s="75" t="n"/>
      <c r="M688" s="75" t="n"/>
      <c r="N688" s="75" t="n"/>
      <c r="P688" s="73" t="n"/>
      <c r="Q688" s="73" t="n"/>
      <c r="R688" s="73" t="n"/>
      <c r="S688" s="122" t="n"/>
    </row>
    <row r="689" ht="11.4" customHeight="1" s="69">
      <c r="J689" s="123" t="n"/>
      <c r="K689" s="73" t="n"/>
      <c r="L689" s="75" t="n"/>
      <c r="M689" s="75" t="n"/>
      <c r="N689" s="75" t="n"/>
      <c r="P689" s="73" t="n"/>
      <c r="Q689" s="73" t="n"/>
      <c r="R689" s="73" t="n"/>
      <c r="S689" s="122" t="n"/>
    </row>
    <row r="690" ht="11.4" customHeight="1" s="69">
      <c r="J690" s="123" t="n"/>
      <c r="K690" s="73" t="n"/>
      <c r="L690" s="75" t="n"/>
      <c r="M690" s="75" t="n"/>
      <c r="N690" s="75" t="n"/>
      <c r="P690" s="73" t="n"/>
      <c r="Q690" s="73" t="n"/>
      <c r="R690" s="73" t="n"/>
      <c r="S690" s="122" t="n"/>
    </row>
    <row r="691" ht="11.4" customHeight="1" s="69">
      <c r="J691" s="123" t="n"/>
      <c r="K691" s="73" t="n"/>
      <c r="L691" s="75" t="n"/>
      <c r="M691" s="75" t="n"/>
      <c r="N691" s="75" t="n"/>
      <c r="P691" s="73" t="n"/>
      <c r="Q691" s="73" t="n"/>
      <c r="R691" s="73" t="n"/>
      <c r="S691" s="122" t="n"/>
    </row>
    <row r="692" ht="11.4" customHeight="1" s="69">
      <c r="J692" s="123" t="n"/>
      <c r="K692" s="73" t="n"/>
      <c r="L692" s="75" t="n"/>
      <c r="M692" s="75" t="n"/>
      <c r="N692" s="75" t="n"/>
      <c r="P692" s="73" t="n"/>
      <c r="Q692" s="73" t="n"/>
      <c r="R692" s="73" t="n"/>
      <c r="S692" s="122" t="n"/>
    </row>
    <row r="693" ht="11.4" customHeight="1" s="69">
      <c r="J693" s="123" t="n"/>
      <c r="K693" s="73" t="n"/>
      <c r="L693" s="75" t="n"/>
      <c r="M693" s="75" t="n"/>
      <c r="N693" s="75" t="n"/>
      <c r="P693" s="73" t="n"/>
      <c r="Q693" s="73" t="n"/>
      <c r="R693" s="73" t="n"/>
      <c r="S693" s="122" t="n"/>
    </row>
    <row r="694" ht="11.4" customHeight="1" s="69">
      <c r="J694" s="123" t="n"/>
      <c r="K694" s="73" t="n"/>
      <c r="L694" s="75" t="n"/>
      <c r="M694" s="75" t="n"/>
      <c r="N694" s="75" t="n"/>
      <c r="P694" s="73" t="n"/>
      <c r="Q694" s="73" t="n"/>
      <c r="R694" s="73" t="n"/>
      <c r="S694" s="122" t="n"/>
    </row>
    <row r="695" ht="11.4" customHeight="1" s="69">
      <c r="J695" s="123" t="n"/>
      <c r="K695" s="73" t="n"/>
      <c r="L695" s="75" t="n"/>
      <c r="M695" s="75" t="n"/>
      <c r="N695" s="75" t="n"/>
      <c r="P695" s="73" t="n"/>
      <c r="Q695" s="73" t="n"/>
      <c r="R695" s="73" t="n"/>
      <c r="S695" s="122" t="n"/>
    </row>
    <row r="696" ht="11.4" customHeight="1" s="69">
      <c r="J696" s="123" t="n"/>
      <c r="K696" s="73" t="n"/>
      <c r="L696" s="75" t="n"/>
      <c r="M696" s="75" t="n"/>
      <c r="N696" s="75" t="n"/>
      <c r="P696" s="73" t="n"/>
      <c r="Q696" s="73" t="n"/>
      <c r="R696" s="73" t="n"/>
      <c r="S696" s="122" t="n"/>
    </row>
    <row r="697" ht="11.4" customHeight="1" s="69">
      <c r="J697" s="123" t="n"/>
      <c r="K697" s="73" t="n"/>
      <c r="L697" s="75" t="n"/>
      <c r="M697" s="75" t="n"/>
      <c r="N697" s="75" t="n"/>
      <c r="P697" s="73" t="n"/>
      <c r="Q697" s="73" t="n"/>
      <c r="R697" s="73" t="n"/>
      <c r="S697" s="122" t="n"/>
    </row>
    <row r="698" ht="11.4" customHeight="1" s="69">
      <c r="J698" s="123" t="n"/>
      <c r="K698" s="73" t="n"/>
      <c r="L698" s="75" t="n"/>
      <c r="M698" s="75" t="n"/>
      <c r="N698" s="75" t="n"/>
      <c r="P698" s="73" t="n"/>
      <c r="Q698" s="73" t="n"/>
      <c r="R698" s="73" t="n"/>
      <c r="S698" s="122" t="n"/>
    </row>
    <row r="699" ht="11.4" customHeight="1" s="69">
      <c r="J699" s="123" t="n"/>
      <c r="K699" s="73" t="n"/>
      <c r="L699" s="75" t="n"/>
      <c r="M699" s="75" t="n"/>
      <c r="N699" s="75" t="n"/>
      <c r="P699" s="73" t="n"/>
      <c r="Q699" s="73" t="n"/>
      <c r="R699" s="73" t="n"/>
      <c r="S699" s="122" t="n"/>
    </row>
    <row r="700" ht="11.4" customHeight="1" s="69">
      <c r="J700" s="123" t="n"/>
      <c r="K700" s="73" t="n"/>
      <c r="L700" s="75" t="n"/>
      <c r="M700" s="75" t="n"/>
      <c r="N700" s="75" t="n"/>
      <c r="P700" s="73" t="n"/>
      <c r="Q700" s="73" t="n"/>
      <c r="R700" s="73" t="n"/>
      <c r="S700" s="122" t="n"/>
    </row>
    <row r="701" ht="11.4" customHeight="1" s="69">
      <c r="J701" s="123" t="n"/>
      <c r="K701" s="73" t="n"/>
      <c r="L701" s="75" t="n"/>
      <c r="M701" s="75" t="n"/>
      <c r="N701" s="75" t="n"/>
      <c r="P701" s="73" t="n"/>
      <c r="Q701" s="73" t="n"/>
      <c r="R701" s="73" t="n"/>
      <c r="S701" s="122" t="n"/>
    </row>
    <row r="702" ht="11.4" customHeight="1" s="69">
      <c r="J702" s="123" t="n"/>
      <c r="K702" s="73" t="n"/>
      <c r="L702" s="75" t="n"/>
      <c r="M702" s="75" t="n"/>
      <c r="N702" s="75" t="n"/>
      <c r="P702" s="73" t="n"/>
      <c r="Q702" s="73" t="n"/>
      <c r="R702" s="73" t="n"/>
      <c r="S702" s="122" t="n"/>
    </row>
    <row r="703" ht="11.4" customHeight="1" s="69">
      <c r="J703" s="123" t="n"/>
      <c r="K703" s="73" t="n"/>
      <c r="L703" s="75" t="n"/>
      <c r="M703" s="75" t="n"/>
      <c r="N703" s="75" t="n"/>
      <c r="P703" s="73" t="n"/>
      <c r="Q703" s="73" t="n"/>
      <c r="R703" s="73" t="n"/>
      <c r="S703" s="122" t="n"/>
    </row>
    <row r="704" ht="11.4" customHeight="1" s="69">
      <c r="J704" s="123" t="n"/>
      <c r="K704" s="73" t="n"/>
      <c r="L704" s="75" t="n"/>
      <c r="M704" s="75" t="n"/>
      <c r="N704" s="75" t="n"/>
      <c r="P704" s="73" t="n"/>
      <c r="Q704" s="73" t="n"/>
      <c r="R704" s="73" t="n"/>
      <c r="S704" s="122" t="n"/>
    </row>
    <row r="705" ht="11.4" customHeight="1" s="69">
      <c r="J705" s="123" t="n"/>
      <c r="K705" s="73" t="n"/>
      <c r="L705" s="75" t="n"/>
      <c r="M705" s="75" t="n"/>
      <c r="N705" s="75" t="n"/>
      <c r="P705" s="73" t="n"/>
      <c r="Q705" s="73" t="n"/>
      <c r="R705" s="73" t="n"/>
      <c r="S705" s="122" t="n"/>
    </row>
    <row r="706" ht="11.4" customHeight="1" s="69">
      <c r="J706" s="123" t="n"/>
      <c r="K706" s="73" t="n"/>
      <c r="L706" s="75" t="n"/>
      <c r="M706" s="75" t="n"/>
      <c r="N706" s="75" t="n"/>
      <c r="P706" s="73" t="n"/>
      <c r="Q706" s="73" t="n"/>
      <c r="R706" s="73" t="n"/>
      <c r="S706" s="122" t="n"/>
    </row>
    <row r="707" ht="11.4" customHeight="1" s="69">
      <c r="J707" s="123" t="n"/>
      <c r="K707" s="73" t="n"/>
      <c r="L707" s="75" t="n"/>
      <c r="M707" s="75" t="n"/>
      <c r="N707" s="75" t="n"/>
      <c r="P707" s="73" t="n"/>
      <c r="Q707" s="73" t="n"/>
      <c r="R707" s="73" t="n"/>
      <c r="S707" s="122" t="n"/>
    </row>
    <row r="708" ht="11.4" customHeight="1" s="69">
      <c r="J708" s="123" t="n"/>
      <c r="K708" s="73" t="n"/>
      <c r="L708" s="75" t="n"/>
      <c r="M708" s="75" t="n"/>
      <c r="N708" s="75" t="n"/>
      <c r="P708" s="73" t="n"/>
      <c r="Q708" s="73" t="n"/>
      <c r="R708" s="73" t="n"/>
      <c r="S708" s="122" t="n"/>
    </row>
    <row r="709" ht="11.4" customHeight="1" s="69">
      <c r="J709" s="123" t="n"/>
      <c r="K709" s="73" t="n"/>
      <c r="L709" s="75" t="n"/>
      <c r="M709" s="75" t="n"/>
      <c r="N709" s="75" t="n"/>
      <c r="P709" s="73" t="n"/>
      <c r="Q709" s="73" t="n"/>
      <c r="R709" s="73" t="n"/>
      <c r="S709" s="122" t="n"/>
    </row>
    <row r="710" ht="11.4" customHeight="1" s="69">
      <c r="J710" s="123" t="n"/>
      <c r="K710" s="73" t="n"/>
      <c r="L710" s="75" t="n"/>
      <c r="M710" s="75" t="n"/>
      <c r="N710" s="75" t="n"/>
      <c r="P710" s="73" t="n"/>
      <c r="Q710" s="73" t="n"/>
      <c r="R710" s="73" t="n"/>
      <c r="S710" s="122" t="n"/>
    </row>
    <row r="711" ht="11.4" customHeight="1" s="69">
      <c r="J711" s="123" t="n"/>
      <c r="K711" s="73" t="n"/>
      <c r="L711" s="75" t="n"/>
      <c r="M711" s="75" t="n"/>
      <c r="N711" s="75" t="n"/>
      <c r="P711" s="73" t="n"/>
      <c r="Q711" s="73" t="n"/>
      <c r="R711" s="73" t="n"/>
      <c r="S711" s="122" t="n"/>
    </row>
    <row r="712" ht="11.4" customHeight="1" s="69">
      <c r="J712" s="123" t="n"/>
      <c r="K712" s="73" t="n"/>
      <c r="L712" s="75" t="n"/>
      <c r="M712" s="75" t="n"/>
      <c r="N712" s="75" t="n"/>
      <c r="P712" s="73" t="n"/>
      <c r="Q712" s="73" t="n"/>
      <c r="R712" s="73" t="n"/>
      <c r="S712" s="122" t="n"/>
    </row>
    <row r="713" ht="11.4" customHeight="1" s="69">
      <c r="J713" s="123" t="n"/>
      <c r="K713" s="73" t="n"/>
      <c r="L713" s="75" t="n"/>
      <c r="M713" s="75" t="n"/>
      <c r="N713" s="75" t="n"/>
      <c r="P713" s="73" t="n"/>
      <c r="Q713" s="73" t="n"/>
      <c r="R713" s="73" t="n"/>
      <c r="S713" s="122" t="n"/>
    </row>
    <row r="714" ht="11.4" customHeight="1" s="69">
      <c r="J714" s="123" t="n"/>
      <c r="K714" s="73" t="n"/>
      <c r="L714" s="75" t="n"/>
      <c r="M714" s="75" t="n"/>
      <c r="N714" s="75" t="n"/>
      <c r="P714" s="73" t="n"/>
      <c r="Q714" s="73" t="n"/>
      <c r="R714" s="73" t="n"/>
      <c r="S714" s="122" t="n"/>
    </row>
    <row r="715" ht="11.4" customHeight="1" s="69">
      <c r="J715" s="123" t="n"/>
      <c r="K715" s="73" t="n"/>
      <c r="L715" s="75" t="n"/>
      <c r="M715" s="75" t="n"/>
      <c r="N715" s="75" t="n"/>
      <c r="P715" s="73" t="n"/>
      <c r="Q715" s="73" t="n"/>
      <c r="R715" s="73" t="n"/>
      <c r="S715" s="122" t="n"/>
    </row>
    <row r="716" ht="11.4" customHeight="1" s="69">
      <c r="J716" s="123" t="n"/>
      <c r="K716" s="73" t="n"/>
      <c r="L716" s="75" t="n"/>
      <c r="M716" s="75" t="n"/>
      <c r="N716" s="75" t="n"/>
      <c r="P716" s="73" t="n"/>
      <c r="Q716" s="73" t="n"/>
      <c r="R716" s="73" t="n"/>
      <c r="S716" s="122" t="n"/>
    </row>
    <row r="717" ht="11.4" customHeight="1" s="69">
      <c r="J717" s="123" t="n"/>
      <c r="K717" s="73" t="n"/>
      <c r="L717" s="75" t="n"/>
      <c r="M717" s="75" t="n"/>
      <c r="N717" s="75" t="n"/>
      <c r="P717" s="73" t="n"/>
      <c r="Q717" s="73" t="n"/>
      <c r="R717" s="73" t="n"/>
      <c r="S717" s="122" t="n"/>
    </row>
    <row r="718" ht="11.4" customHeight="1" s="69">
      <c r="J718" s="123" t="n"/>
      <c r="K718" s="73" t="n"/>
      <c r="L718" s="75" t="n"/>
      <c r="M718" s="75" t="n"/>
      <c r="N718" s="75" t="n"/>
      <c r="P718" s="73" t="n"/>
      <c r="Q718" s="73" t="n"/>
      <c r="R718" s="73" t="n"/>
      <c r="S718" s="122" t="n"/>
    </row>
    <row r="719" ht="11.4" customHeight="1" s="69">
      <c r="J719" s="123" t="n"/>
      <c r="K719" s="73" t="n"/>
      <c r="L719" s="75" t="n"/>
      <c r="M719" s="75" t="n"/>
      <c r="N719" s="75" t="n"/>
      <c r="P719" s="73" t="n"/>
      <c r="Q719" s="73" t="n"/>
      <c r="R719" s="73" t="n"/>
      <c r="S719" s="122" t="n"/>
    </row>
    <row r="720" ht="11.4" customHeight="1" s="69">
      <c r="J720" s="123" t="n"/>
      <c r="K720" s="73" t="n"/>
      <c r="L720" s="75" t="n"/>
      <c r="M720" s="75" t="n"/>
      <c r="N720" s="75" t="n"/>
      <c r="P720" s="73" t="n"/>
      <c r="Q720" s="73" t="n"/>
      <c r="R720" s="73" t="n"/>
      <c r="S720" s="122" t="n"/>
    </row>
    <row r="721" ht="11.4" customHeight="1" s="69">
      <c r="J721" s="123" t="n"/>
      <c r="K721" s="73" t="n"/>
      <c r="L721" s="75" t="n"/>
      <c r="M721" s="75" t="n"/>
      <c r="N721" s="75" t="n"/>
      <c r="P721" s="73" t="n"/>
      <c r="Q721" s="73" t="n"/>
      <c r="R721" s="73" t="n"/>
      <c r="S721" s="122" t="n"/>
    </row>
    <row r="722" ht="11.4" customHeight="1" s="69">
      <c r="J722" s="123" t="n"/>
      <c r="K722" s="73" t="n"/>
      <c r="L722" s="75" t="n"/>
      <c r="M722" s="75" t="n"/>
      <c r="N722" s="75" t="n"/>
      <c r="P722" s="73" t="n"/>
      <c r="Q722" s="73" t="n"/>
      <c r="R722" s="73" t="n"/>
      <c r="S722" s="122" t="n"/>
    </row>
    <row r="723" ht="11.4" customHeight="1" s="69">
      <c r="J723" s="123" t="n"/>
      <c r="K723" s="73" t="n"/>
      <c r="L723" s="75" t="n"/>
      <c r="M723" s="75" t="n"/>
      <c r="N723" s="75" t="n"/>
      <c r="P723" s="73" t="n"/>
      <c r="Q723" s="73" t="n"/>
      <c r="R723" s="73" t="n"/>
      <c r="S723" s="122" t="n"/>
    </row>
    <row r="724" ht="11.4" customHeight="1" s="69">
      <c r="J724" s="123" t="n"/>
      <c r="K724" s="73" t="n"/>
      <c r="L724" s="75" t="n"/>
      <c r="M724" s="75" t="n"/>
      <c r="N724" s="75" t="n"/>
      <c r="P724" s="73" t="n"/>
      <c r="Q724" s="73" t="n"/>
      <c r="R724" s="73" t="n"/>
      <c r="S724" s="122" t="n"/>
    </row>
    <row r="725" ht="11.4" customHeight="1" s="69">
      <c r="J725" s="123" t="n"/>
      <c r="K725" s="73" t="n"/>
      <c r="L725" s="75" t="n"/>
      <c r="M725" s="75" t="n"/>
      <c r="N725" s="75" t="n"/>
      <c r="P725" s="73" t="n"/>
      <c r="Q725" s="73" t="n"/>
      <c r="R725" s="73" t="n"/>
      <c r="S725" s="122" t="n"/>
    </row>
    <row r="726" ht="11.4" customHeight="1" s="69">
      <c r="J726" s="123" t="n"/>
      <c r="K726" s="73" t="n"/>
      <c r="L726" s="75" t="n"/>
      <c r="M726" s="75" t="n"/>
      <c r="N726" s="75" t="n"/>
      <c r="P726" s="73" t="n"/>
      <c r="Q726" s="73" t="n"/>
      <c r="R726" s="73" t="n"/>
      <c r="S726" s="122" t="n"/>
    </row>
    <row r="727" ht="11.4" customHeight="1" s="69">
      <c r="J727" s="123" t="n"/>
      <c r="K727" s="73" t="n"/>
      <c r="L727" s="75" t="n"/>
      <c r="M727" s="75" t="n"/>
      <c r="N727" s="75" t="n"/>
      <c r="P727" s="73" t="n"/>
      <c r="Q727" s="73" t="n"/>
      <c r="R727" s="73" t="n"/>
      <c r="S727" s="122" t="n"/>
    </row>
    <row r="728" ht="11.4" customHeight="1" s="69">
      <c r="J728" s="123" t="n"/>
      <c r="K728" s="73" t="n"/>
      <c r="L728" s="75" t="n"/>
      <c r="M728" s="75" t="n"/>
      <c r="N728" s="75" t="n"/>
      <c r="P728" s="73" t="n"/>
      <c r="Q728" s="73" t="n"/>
      <c r="R728" s="73" t="n"/>
      <c r="S728" s="122" t="n"/>
    </row>
    <row r="729" ht="11.4" customHeight="1" s="69">
      <c r="J729" s="123" t="n"/>
      <c r="K729" s="73" t="n"/>
      <c r="L729" s="75" t="n"/>
      <c r="M729" s="75" t="n"/>
      <c r="N729" s="75" t="n"/>
      <c r="P729" s="73" t="n"/>
      <c r="Q729" s="73" t="n"/>
      <c r="R729" s="73" t="n"/>
      <c r="S729" s="122" t="n"/>
    </row>
    <row r="730" ht="11.4" customHeight="1" s="69">
      <c r="J730" s="123" t="n"/>
      <c r="K730" s="73" t="n"/>
      <c r="L730" s="75" t="n"/>
      <c r="M730" s="75" t="n"/>
      <c r="N730" s="75" t="n"/>
      <c r="P730" s="73" t="n"/>
      <c r="Q730" s="73" t="n"/>
      <c r="R730" s="73" t="n"/>
      <c r="S730" s="122" t="n"/>
    </row>
    <row r="731" ht="11.4" customHeight="1" s="69">
      <c r="J731" s="123" t="n"/>
      <c r="K731" s="73" t="n"/>
      <c r="L731" s="75" t="n"/>
      <c r="M731" s="75" t="n"/>
      <c r="N731" s="75" t="n"/>
      <c r="P731" s="73" t="n"/>
      <c r="Q731" s="73" t="n"/>
      <c r="R731" s="73" t="n"/>
      <c r="S731" s="122" t="n"/>
    </row>
    <row r="732" ht="11.4" customHeight="1" s="69">
      <c r="J732" s="123" t="n"/>
      <c r="K732" s="73" t="n"/>
      <c r="L732" s="75" t="n"/>
      <c r="M732" s="75" t="n"/>
      <c r="N732" s="75" t="n"/>
      <c r="P732" s="73" t="n"/>
      <c r="Q732" s="73" t="n"/>
      <c r="R732" s="73" t="n"/>
      <c r="S732" s="122" t="n"/>
    </row>
    <row r="733" ht="11.4" customHeight="1" s="69">
      <c r="J733" s="123" t="n"/>
      <c r="K733" s="73" t="n"/>
      <c r="L733" s="75" t="n"/>
      <c r="M733" s="75" t="n"/>
      <c r="N733" s="75" t="n"/>
      <c r="P733" s="73" t="n"/>
      <c r="Q733" s="73" t="n"/>
      <c r="R733" s="73" t="n"/>
      <c r="S733" s="122" t="n"/>
    </row>
    <row r="734" ht="11.4" customHeight="1" s="69">
      <c r="J734" s="123" t="n"/>
      <c r="K734" s="73" t="n"/>
      <c r="L734" s="75" t="n"/>
      <c r="M734" s="75" t="n"/>
      <c r="N734" s="75" t="n"/>
      <c r="P734" s="73" t="n"/>
      <c r="Q734" s="73" t="n"/>
      <c r="R734" s="73" t="n"/>
      <c r="S734" s="122" t="n"/>
    </row>
    <row r="735" ht="11.4" customHeight="1" s="69">
      <c r="J735" s="123" t="n"/>
      <c r="K735" s="73" t="n"/>
      <c r="L735" s="75" t="n"/>
      <c r="M735" s="75" t="n"/>
      <c r="N735" s="75" t="n"/>
      <c r="P735" s="73" t="n"/>
      <c r="Q735" s="73" t="n"/>
      <c r="R735" s="73" t="n"/>
      <c r="S735" s="122" t="n"/>
    </row>
    <row r="736" ht="11.4" customHeight="1" s="69">
      <c r="J736" s="123" t="n"/>
      <c r="K736" s="73" t="n"/>
      <c r="L736" s="75" t="n"/>
      <c r="M736" s="75" t="n"/>
      <c r="N736" s="75" t="n"/>
      <c r="P736" s="73" t="n"/>
      <c r="Q736" s="73" t="n"/>
      <c r="R736" s="73" t="n"/>
      <c r="S736" s="122" t="n"/>
    </row>
    <row r="737" ht="11.4" customHeight="1" s="69">
      <c r="J737" s="123" t="n"/>
      <c r="K737" s="73" t="n"/>
      <c r="L737" s="75" t="n"/>
      <c r="M737" s="75" t="n"/>
      <c r="N737" s="75" t="n"/>
      <c r="P737" s="73" t="n"/>
      <c r="Q737" s="73" t="n"/>
      <c r="R737" s="73" t="n"/>
      <c r="S737" s="122" t="n"/>
    </row>
    <row r="738" ht="11.4" customHeight="1" s="69">
      <c r="J738" s="123" t="n"/>
      <c r="K738" s="73" t="n"/>
      <c r="L738" s="75" t="n"/>
      <c r="M738" s="75" t="n"/>
      <c r="N738" s="75" t="n"/>
      <c r="P738" s="73" t="n"/>
      <c r="Q738" s="73" t="n"/>
      <c r="R738" s="73" t="n"/>
      <c r="S738" s="122" t="n"/>
    </row>
    <row r="739" ht="11.4" customHeight="1" s="69">
      <c r="J739" s="123" t="n"/>
      <c r="K739" s="73" t="n"/>
      <c r="L739" s="75" t="n"/>
      <c r="M739" s="75" t="n"/>
      <c r="N739" s="75" t="n"/>
      <c r="P739" s="73" t="n"/>
      <c r="Q739" s="73" t="n"/>
      <c r="R739" s="73" t="n"/>
      <c r="S739" s="122" t="n"/>
    </row>
    <row r="740" ht="11.4" customHeight="1" s="69">
      <c r="J740" s="123" t="n"/>
      <c r="K740" s="73" t="n"/>
      <c r="L740" s="75" t="n"/>
      <c r="M740" s="75" t="n"/>
      <c r="N740" s="75" t="n"/>
      <c r="P740" s="73" t="n"/>
      <c r="Q740" s="73" t="n"/>
      <c r="R740" s="73" t="n"/>
      <c r="S740" s="122" t="n"/>
    </row>
    <row r="741" ht="11.4" customHeight="1" s="69">
      <c r="J741" s="123" t="n"/>
      <c r="K741" s="73" t="n"/>
      <c r="L741" s="75" t="n"/>
      <c r="M741" s="75" t="n"/>
      <c r="N741" s="75" t="n"/>
      <c r="P741" s="73" t="n"/>
      <c r="Q741" s="73" t="n"/>
      <c r="R741" s="73" t="n"/>
      <c r="S741" s="122" t="n"/>
    </row>
    <row r="742" ht="11.4" customHeight="1" s="69">
      <c r="J742" s="123" t="n"/>
      <c r="K742" s="73" t="n"/>
      <c r="L742" s="75" t="n"/>
      <c r="M742" s="75" t="n"/>
      <c r="N742" s="75" t="n"/>
      <c r="P742" s="73" t="n"/>
      <c r="Q742" s="73" t="n"/>
      <c r="R742" s="73" t="n"/>
      <c r="S742" s="122" t="n"/>
    </row>
    <row r="743" ht="11.4" customHeight="1" s="69">
      <c r="J743" s="123" t="n"/>
      <c r="K743" s="73" t="n"/>
      <c r="L743" s="75" t="n"/>
      <c r="M743" s="75" t="n"/>
      <c r="N743" s="75" t="n"/>
      <c r="P743" s="73" t="n"/>
      <c r="Q743" s="73" t="n"/>
      <c r="R743" s="73" t="n"/>
      <c r="S743" s="122" t="n"/>
    </row>
    <row r="744" ht="11.4" customHeight="1" s="69">
      <c r="J744" s="123" t="n"/>
      <c r="K744" s="73" t="n"/>
      <c r="L744" s="75" t="n"/>
      <c r="M744" s="75" t="n"/>
      <c r="N744" s="75" t="n"/>
      <c r="P744" s="73" t="n"/>
      <c r="Q744" s="73" t="n"/>
      <c r="R744" s="73" t="n"/>
      <c r="S744" s="122" t="n"/>
    </row>
    <row r="745" ht="11.4" customHeight="1" s="69">
      <c r="J745" s="123" t="n"/>
      <c r="K745" s="73" t="n"/>
      <c r="L745" s="75" t="n"/>
      <c r="M745" s="75" t="n"/>
      <c r="N745" s="75" t="n"/>
      <c r="P745" s="73" t="n"/>
      <c r="Q745" s="73" t="n"/>
      <c r="R745" s="73" t="n"/>
      <c r="S745" s="122" t="n"/>
    </row>
    <row r="746" ht="11.4" customHeight="1" s="69">
      <c r="J746" s="123" t="n"/>
      <c r="K746" s="73" t="n"/>
      <c r="L746" s="75" t="n"/>
      <c r="M746" s="75" t="n"/>
      <c r="N746" s="75" t="n"/>
      <c r="P746" s="73" t="n"/>
      <c r="Q746" s="73" t="n"/>
      <c r="R746" s="73" t="n"/>
      <c r="S746" s="122" t="n"/>
    </row>
    <row r="747" ht="11.4" customHeight="1" s="69">
      <c r="J747" s="123" t="n"/>
      <c r="K747" s="73" t="n"/>
      <c r="L747" s="75" t="n"/>
      <c r="M747" s="75" t="n"/>
      <c r="N747" s="75" t="n"/>
      <c r="P747" s="73" t="n"/>
      <c r="Q747" s="73" t="n"/>
      <c r="R747" s="73" t="n"/>
      <c r="S747" s="122" t="n"/>
    </row>
    <row r="748" ht="11.4" customHeight="1" s="69">
      <c r="J748" s="123" t="n"/>
      <c r="K748" s="73" t="n"/>
      <c r="L748" s="75" t="n"/>
      <c r="M748" s="75" t="n"/>
      <c r="N748" s="75" t="n"/>
      <c r="P748" s="73" t="n"/>
      <c r="Q748" s="73" t="n"/>
      <c r="R748" s="73" t="n"/>
      <c r="S748" s="122" t="n"/>
    </row>
    <row r="749" ht="11.4" customHeight="1" s="69">
      <c r="J749" s="123" t="n"/>
      <c r="K749" s="73" t="n"/>
      <c r="L749" s="75" t="n"/>
      <c r="M749" s="75" t="n"/>
      <c r="N749" s="75" t="n"/>
      <c r="P749" s="73" t="n"/>
      <c r="Q749" s="73" t="n"/>
      <c r="R749" s="73" t="n"/>
      <c r="S749" s="122" t="n"/>
    </row>
    <row r="750" ht="11.4" customHeight="1" s="69">
      <c r="J750" s="123" t="n"/>
      <c r="K750" s="73" t="n"/>
      <c r="L750" s="75" t="n"/>
      <c r="M750" s="75" t="n"/>
      <c r="N750" s="75" t="n"/>
      <c r="P750" s="73" t="n"/>
      <c r="Q750" s="73" t="n"/>
      <c r="R750" s="73" t="n"/>
      <c r="S750" s="122" t="n"/>
    </row>
    <row r="751" ht="11.4" customHeight="1" s="69">
      <c r="J751" s="123" t="n"/>
      <c r="K751" s="73" t="n"/>
      <c r="L751" s="75" t="n"/>
      <c r="M751" s="75" t="n"/>
      <c r="N751" s="75" t="n"/>
      <c r="P751" s="73" t="n"/>
      <c r="Q751" s="73" t="n"/>
      <c r="R751" s="73" t="n"/>
      <c r="S751" s="122" t="n"/>
    </row>
    <row r="752" ht="11.4" customHeight="1" s="69">
      <c r="J752" s="123" t="n"/>
      <c r="K752" s="73" t="n"/>
      <c r="L752" s="75" t="n"/>
      <c r="M752" s="75" t="n"/>
      <c r="N752" s="75" t="n"/>
      <c r="P752" s="73" t="n"/>
      <c r="Q752" s="73" t="n"/>
      <c r="R752" s="73" t="n"/>
      <c r="S752" s="122" t="n"/>
    </row>
    <row r="753" ht="11.4" customHeight="1" s="69">
      <c r="J753" s="123" t="n"/>
      <c r="K753" s="73" t="n"/>
      <c r="L753" s="75" t="n"/>
      <c r="M753" s="75" t="n"/>
      <c r="N753" s="75" t="n"/>
      <c r="P753" s="73" t="n"/>
      <c r="Q753" s="73" t="n"/>
      <c r="R753" s="73" t="n"/>
      <c r="S753" s="122" t="n"/>
    </row>
    <row r="754" ht="11.4" customHeight="1" s="69">
      <c r="J754" s="123" t="n"/>
      <c r="K754" s="73" t="n"/>
      <c r="L754" s="75" t="n"/>
      <c r="M754" s="75" t="n"/>
      <c r="N754" s="75" t="n"/>
      <c r="P754" s="73" t="n"/>
      <c r="Q754" s="73" t="n"/>
      <c r="R754" s="73" t="n"/>
      <c r="S754" s="122" t="n"/>
    </row>
    <row r="755" ht="11.4" customHeight="1" s="69">
      <c r="J755" s="123" t="n"/>
      <c r="K755" s="73" t="n"/>
      <c r="L755" s="75" t="n"/>
      <c r="M755" s="75" t="n"/>
      <c r="N755" s="75" t="n"/>
      <c r="P755" s="73" t="n"/>
      <c r="Q755" s="73" t="n"/>
      <c r="R755" s="73" t="n"/>
      <c r="S755" s="122" t="n"/>
    </row>
    <row r="756" ht="11.4" customHeight="1" s="69">
      <c r="J756" s="123" t="n"/>
      <c r="K756" s="73" t="n"/>
      <c r="L756" s="75" t="n"/>
      <c r="M756" s="75" t="n"/>
      <c r="N756" s="75" t="n"/>
      <c r="P756" s="73" t="n"/>
      <c r="Q756" s="73" t="n"/>
      <c r="R756" s="73" t="n"/>
      <c r="S756" s="122" t="n"/>
    </row>
    <row r="757" ht="11.4" customHeight="1" s="69">
      <c r="J757" s="123" t="n"/>
      <c r="K757" s="73" t="n"/>
      <c r="L757" s="75" t="n"/>
      <c r="M757" s="75" t="n"/>
      <c r="N757" s="75" t="n"/>
      <c r="P757" s="73" t="n"/>
      <c r="Q757" s="73" t="n"/>
      <c r="R757" s="73" t="n"/>
      <c r="S757" s="122" t="n"/>
    </row>
    <row r="758" ht="11.4" customHeight="1" s="69">
      <c r="J758" s="123" t="n"/>
      <c r="K758" s="73" t="n"/>
      <c r="L758" s="75" t="n"/>
      <c r="M758" s="75" t="n"/>
      <c r="N758" s="75" t="n"/>
      <c r="P758" s="73" t="n"/>
      <c r="Q758" s="73" t="n"/>
      <c r="R758" s="73" t="n"/>
      <c r="S758" s="122" t="n"/>
    </row>
    <row r="759" ht="11.4" customHeight="1" s="69">
      <c r="J759" s="123" t="n"/>
      <c r="K759" s="73" t="n"/>
      <c r="L759" s="75" t="n"/>
      <c r="M759" s="75" t="n"/>
      <c r="N759" s="75" t="n"/>
      <c r="P759" s="73" t="n"/>
      <c r="Q759" s="73" t="n"/>
      <c r="R759" s="73" t="n"/>
      <c r="S759" s="122" t="n"/>
    </row>
    <row r="760" ht="11.4" customHeight="1" s="69">
      <c r="J760" s="123" t="n"/>
      <c r="K760" s="73" t="n"/>
      <c r="L760" s="75" t="n"/>
      <c r="M760" s="75" t="n"/>
      <c r="N760" s="75" t="n"/>
      <c r="P760" s="73" t="n"/>
      <c r="Q760" s="73" t="n"/>
      <c r="R760" s="73" t="n"/>
      <c r="S760" s="122" t="n"/>
    </row>
    <row r="761" ht="11.4" customHeight="1" s="69">
      <c r="J761" s="123" t="n"/>
      <c r="K761" s="73" t="n"/>
      <c r="L761" s="75" t="n"/>
      <c r="M761" s="75" t="n"/>
      <c r="N761" s="75" t="n"/>
      <c r="P761" s="73" t="n"/>
      <c r="Q761" s="73" t="n"/>
      <c r="R761" s="73" t="n"/>
      <c r="S761" s="122" t="n"/>
    </row>
    <row r="762" ht="11.4" customHeight="1" s="69">
      <c r="J762" s="123" t="n"/>
      <c r="K762" s="73" t="n"/>
      <c r="L762" s="75" t="n"/>
      <c r="M762" s="75" t="n"/>
      <c r="N762" s="75" t="n"/>
      <c r="P762" s="73" t="n"/>
      <c r="Q762" s="73" t="n"/>
      <c r="R762" s="73" t="n"/>
      <c r="S762" s="122" t="n"/>
    </row>
    <row r="763" ht="11.4" customHeight="1" s="69">
      <c r="J763" s="123" t="n"/>
      <c r="K763" s="73" t="n"/>
      <c r="L763" s="75" t="n"/>
      <c r="M763" s="75" t="n"/>
      <c r="N763" s="75" t="n"/>
      <c r="P763" s="73" t="n"/>
      <c r="Q763" s="73" t="n"/>
      <c r="R763" s="73" t="n"/>
      <c r="S763" s="122" t="n"/>
    </row>
    <row r="764" ht="11.4" customHeight="1" s="69">
      <c r="J764" s="123" t="n"/>
      <c r="K764" s="73" t="n"/>
      <c r="L764" s="75" t="n"/>
      <c r="M764" s="75" t="n"/>
      <c r="N764" s="75" t="n"/>
      <c r="P764" s="73" t="n"/>
      <c r="Q764" s="73" t="n"/>
      <c r="R764" s="73" t="n"/>
      <c r="S764" s="122" t="n"/>
    </row>
    <row r="765" ht="11.4" customHeight="1" s="69">
      <c r="J765" s="123" t="n"/>
      <c r="K765" s="73" t="n"/>
      <c r="L765" s="75" t="n"/>
      <c r="M765" s="75" t="n"/>
      <c r="N765" s="75" t="n"/>
      <c r="P765" s="73" t="n"/>
      <c r="Q765" s="73" t="n"/>
      <c r="R765" s="73" t="n"/>
      <c r="S765" s="122" t="n"/>
    </row>
    <row r="766" ht="11.4" customHeight="1" s="69">
      <c r="J766" s="123" t="n"/>
      <c r="K766" s="73" t="n"/>
      <c r="L766" s="75" t="n"/>
      <c r="M766" s="75" t="n"/>
      <c r="N766" s="75" t="n"/>
      <c r="P766" s="73" t="n"/>
      <c r="Q766" s="73" t="n"/>
      <c r="R766" s="73" t="n"/>
      <c r="S766" s="122" t="n"/>
    </row>
    <row r="767" ht="11.4" customHeight="1" s="69">
      <c r="J767" s="123" t="n"/>
      <c r="K767" s="73" t="n"/>
      <c r="L767" s="75" t="n"/>
      <c r="M767" s="75" t="n"/>
      <c r="N767" s="75" t="n"/>
      <c r="P767" s="73" t="n"/>
      <c r="Q767" s="73" t="n"/>
      <c r="R767" s="73" t="n"/>
      <c r="S767" s="122" t="n"/>
    </row>
    <row r="768" ht="11.4" customHeight="1" s="69">
      <c r="J768" s="123" t="n"/>
      <c r="K768" s="73" t="n"/>
      <c r="L768" s="75" t="n"/>
      <c r="M768" s="75" t="n"/>
      <c r="N768" s="75" t="n"/>
      <c r="P768" s="73" t="n"/>
      <c r="Q768" s="73" t="n"/>
      <c r="R768" s="73" t="n"/>
      <c r="S768" s="122" t="n"/>
    </row>
    <row r="769" ht="11.4" customHeight="1" s="69">
      <c r="J769" s="123" t="n"/>
      <c r="K769" s="73" t="n"/>
      <c r="L769" s="75" t="n"/>
      <c r="M769" s="75" t="n"/>
      <c r="N769" s="75" t="n"/>
      <c r="P769" s="73" t="n"/>
      <c r="Q769" s="73" t="n"/>
      <c r="R769" s="73" t="n"/>
      <c r="S769" s="122" t="n"/>
    </row>
    <row r="770" ht="11.4" customHeight="1" s="69">
      <c r="J770" s="123" t="n"/>
      <c r="K770" s="73" t="n"/>
      <c r="L770" s="75" t="n"/>
      <c r="M770" s="75" t="n"/>
      <c r="N770" s="75" t="n"/>
      <c r="P770" s="73" t="n"/>
      <c r="Q770" s="73" t="n"/>
      <c r="R770" s="73" t="n"/>
      <c r="S770" s="122" t="n"/>
    </row>
    <row r="771" ht="11.4" customHeight="1" s="69">
      <c r="J771" s="123" t="n"/>
      <c r="K771" s="73" t="n"/>
      <c r="L771" s="75" t="n"/>
      <c r="M771" s="75" t="n"/>
      <c r="N771" s="75" t="n"/>
      <c r="P771" s="73" t="n"/>
      <c r="Q771" s="73" t="n"/>
      <c r="R771" s="73" t="n"/>
      <c r="S771" s="122" t="n"/>
    </row>
    <row r="772" ht="11.4" customHeight="1" s="69">
      <c r="J772" s="123" t="n"/>
      <c r="K772" s="73" t="n"/>
      <c r="L772" s="75" t="n"/>
      <c r="M772" s="75" t="n"/>
      <c r="N772" s="75" t="n"/>
      <c r="P772" s="73" t="n"/>
      <c r="Q772" s="73" t="n"/>
      <c r="R772" s="73" t="n"/>
      <c r="S772" s="122" t="n"/>
    </row>
    <row r="773" ht="11.4" customHeight="1" s="69">
      <c r="J773" s="123" t="n"/>
      <c r="K773" s="73" t="n"/>
      <c r="L773" s="75" t="n"/>
      <c r="M773" s="75" t="n"/>
      <c r="N773" s="75" t="n"/>
      <c r="P773" s="73" t="n"/>
      <c r="Q773" s="73" t="n"/>
      <c r="R773" s="73" t="n"/>
      <c r="S773" s="122" t="n"/>
    </row>
    <row r="774" ht="11.4" customHeight="1" s="69">
      <c r="J774" s="123" t="n"/>
      <c r="K774" s="73" t="n"/>
      <c r="L774" s="75" t="n"/>
      <c r="M774" s="75" t="n"/>
      <c r="N774" s="75" t="n"/>
      <c r="P774" s="73" t="n"/>
      <c r="Q774" s="73" t="n"/>
      <c r="R774" s="73" t="n"/>
      <c r="S774" s="122" t="n"/>
    </row>
    <row r="775" ht="11.4" customHeight="1" s="69">
      <c r="J775" s="123" t="n"/>
      <c r="K775" s="73" t="n"/>
      <c r="L775" s="75" t="n"/>
      <c r="M775" s="75" t="n"/>
      <c r="N775" s="75" t="n"/>
      <c r="P775" s="73" t="n"/>
      <c r="Q775" s="73" t="n"/>
      <c r="R775" s="73" t="n"/>
      <c r="S775" s="122" t="n"/>
    </row>
    <row r="776" ht="11.4" customHeight="1" s="69">
      <c r="J776" s="123" t="n"/>
      <c r="K776" s="73" t="n"/>
      <c r="L776" s="75" t="n"/>
      <c r="M776" s="75" t="n"/>
      <c r="N776" s="75" t="n"/>
      <c r="P776" s="73" t="n"/>
      <c r="Q776" s="73" t="n"/>
      <c r="R776" s="73" t="n"/>
      <c r="S776" s="122" t="n"/>
    </row>
    <row r="777" ht="11.4" customHeight="1" s="69">
      <c r="J777" s="123" t="n"/>
      <c r="K777" s="73" t="n"/>
      <c r="L777" s="75" t="n"/>
      <c r="M777" s="75" t="n"/>
      <c r="N777" s="75" t="n"/>
      <c r="P777" s="73" t="n"/>
      <c r="Q777" s="73" t="n"/>
      <c r="R777" s="73" t="n"/>
      <c r="S777" s="122" t="n"/>
    </row>
    <row r="778" ht="11.4" customHeight="1" s="69">
      <c r="J778" s="123" t="n"/>
      <c r="K778" s="73" t="n"/>
      <c r="L778" s="75" t="n"/>
      <c r="M778" s="75" t="n"/>
      <c r="N778" s="75" t="n"/>
      <c r="P778" s="73" t="n"/>
      <c r="Q778" s="73" t="n"/>
      <c r="R778" s="73" t="n"/>
      <c r="S778" s="122" t="n"/>
    </row>
    <row r="779" ht="11.4" customHeight="1" s="69">
      <c r="J779" s="123" t="n"/>
      <c r="K779" s="73" t="n"/>
      <c r="L779" s="75" t="n"/>
      <c r="M779" s="75" t="n"/>
      <c r="N779" s="75" t="n"/>
      <c r="P779" s="73" t="n"/>
      <c r="Q779" s="73" t="n"/>
      <c r="R779" s="73" t="n"/>
      <c r="S779" s="122" t="n"/>
    </row>
    <row r="780" ht="11.4" customHeight="1" s="69">
      <c r="J780" s="123" t="n"/>
      <c r="K780" s="73" t="n"/>
      <c r="L780" s="75" t="n"/>
      <c r="M780" s="75" t="n"/>
      <c r="N780" s="75" t="n"/>
      <c r="P780" s="73" t="n"/>
      <c r="Q780" s="73" t="n"/>
      <c r="R780" s="73" t="n"/>
      <c r="S780" s="122" t="n"/>
    </row>
    <row r="781" ht="11.4" customHeight="1" s="69">
      <c r="J781" s="123" t="n"/>
      <c r="K781" s="73" t="n"/>
      <c r="L781" s="75" t="n"/>
      <c r="M781" s="75" t="n"/>
      <c r="N781" s="75" t="n"/>
      <c r="P781" s="73" t="n"/>
      <c r="Q781" s="73" t="n"/>
      <c r="R781" s="73" t="n"/>
      <c r="S781" s="122" t="n"/>
    </row>
    <row r="782" ht="11.4" customHeight="1" s="69">
      <c r="J782" s="123" t="n"/>
      <c r="K782" s="73" t="n"/>
      <c r="L782" s="75" t="n"/>
      <c r="M782" s="75" t="n"/>
      <c r="N782" s="75" t="n"/>
      <c r="P782" s="73" t="n"/>
      <c r="Q782" s="73" t="n"/>
      <c r="R782" s="73" t="n"/>
      <c r="S782" s="122" t="n"/>
    </row>
    <row r="783" ht="11.4" customHeight="1" s="69">
      <c r="J783" s="123" t="n"/>
      <c r="K783" s="73" t="n"/>
      <c r="L783" s="75" t="n"/>
      <c r="M783" s="75" t="n"/>
      <c r="N783" s="75" t="n"/>
      <c r="P783" s="73" t="n"/>
      <c r="Q783" s="73" t="n"/>
      <c r="R783" s="73" t="n"/>
      <c r="S783" s="122" t="n"/>
    </row>
    <row r="784" ht="11.4" customHeight="1" s="69">
      <c r="J784" s="123" t="n"/>
      <c r="K784" s="73" t="n"/>
      <c r="L784" s="75" t="n"/>
      <c r="M784" s="75" t="n"/>
      <c r="N784" s="75" t="n"/>
      <c r="P784" s="73" t="n"/>
      <c r="Q784" s="73" t="n"/>
      <c r="R784" s="73" t="n"/>
      <c r="S784" s="122" t="n"/>
    </row>
    <row r="785" ht="11.4" customHeight="1" s="69">
      <c r="J785" s="123" t="n"/>
      <c r="K785" s="73" t="n"/>
      <c r="L785" s="75" t="n"/>
      <c r="M785" s="75" t="n"/>
      <c r="N785" s="75" t="n"/>
      <c r="P785" s="73" t="n"/>
      <c r="Q785" s="73" t="n"/>
      <c r="R785" s="73" t="n"/>
      <c r="S785" s="122" t="n"/>
    </row>
    <row r="786" ht="11.4" customHeight="1" s="69">
      <c r="J786" s="123" t="n"/>
      <c r="K786" s="73" t="n"/>
      <c r="L786" s="75" t="n"/>
      <c r="M786" s="75" t="n"/>
      <c r="N786" s="75" t="n"/>
      <c r="P786" s="73" t="n"/>
      <c r="Q786" s="73" t="n"/>
      <c r="R786" s="73" t="n"/>
      <c r="S786" s="122" t="n"/>
    </row>
    <row r="787" ht="11.4" customHeight="1" s="69">
      <c r="J787" s="123" t="n"/>
      <c r="K787" s="73" t="n"/>
      <c r="L787" s="75" t="n"/>
      <c r="M787" s="75" t="n"/>
      <c r="N787" s="75" t="n"/>
      <c r="P787" s="73" t="n"/>
      <c r="Q787" s="73" t="n"/>
      <c r="R787" s="73" t="n"/>
      <c r="S787" s="122" t="n"/>
    </row>
    <row r="788" ht="11.4" customHeight="1" s="69">
      <c r="J788" s="123" t="n"/>
      <c r="K788" s="73" t="n"/>
      <c r="L788" s="75" t="n"/>
      <c r="M788" s="75" t="n"/>
      <c r="N788" s="75" t="n"/>
      <c r="P788" s="73" t="n"/>
      <c r="Q788" s="73" t="n"/>
      <c r="R788" s="73" t="n"/>
      <c r="S788" s="122" t="n"/>
    </row>
    <row r="789" ht="11.4" customHeight="1" s="69">
      <c r="J789" s="123" t="n"/>
      <c r="K789" s="73" t="n"/>
      <c r="L789" s="75" t="n"/>
      <c r="M789" s="75" t="n"/>
      <c r="N789" s="75" t="n"/>
      <c r="P789" s="73" t="n"/>
      <c r="Q789" s="73" t="n"/>
      <c r="R789" s="73" t="n"/>
      <c r="S789" s="122" t="n"/>
    </row>
    <row r="790" ht="11.4" customHeight="1" s="69">
      <c r="J790" s="123" t="n"/>
      <c r="K790" s="73" t="n"/>
      <c r="L790" s="75" t="n"/>
      <c r="M790" s="75" t="n"/>
      <c r="N790" s="75" t="n"/>
      <c r="P790" s="73" t="n"/>
      <c r="Q790" s="73" t="n"/>
      <c r="R790" s="73" t="n"/>
      <c r="S790" s="122" t="n"/>
    </row>
    <row r="791" ht="11.4" customHeight="1" s="69">
      <c r="J791" s="123" t="n"/>
      <c r="K791" s="73" t="n"/>
      <c r="L791" s="75" t="n"/>
      <c r="M791" s="75" t="n"/>
      <c r="N791" s="75" t="n"/>
      <c r="P791" s="73" t="n"/>
      <c r="Q791" s="73" t="n"/>
      <c r="R791" s="73" t="n"/>
      <c r="S791" s="122" t="n"/>
    </row>
    <row r="792" ht="11.4" customHeight="1" s="69">
      <c r="J792" s="123" t="n"/>
      <c r="K792" s="73" t="n"/>
      <c r="L792" s="75" t="n"/>
      <c r="M792" s="75" t="n"/>
      <c r="N792" s="75" t="n"/>
      <c r="P792" s="73" t="n"/>
      <c r="Q792" s="73" t="n"/>
      <c r="R792" s="73" t="n"/>
      <c r="S792" s="122" t="n"/>
    </row>
    <row r="793" ht="11.4" customHeight="1" s="69">
      <c r="J793" s="123" t="n"/>
      <c r="K793" s="73" t="n"/>
      <c r="L793" s="75" t="n"/>
      <c r="M793" s="75" t="n"/>
      <c r="N793" s="75" t="n"/>
      <c r="P793" s="73" t="n"/>
      <c r="Q793" s="73" t="n"/>
      <c r="R793" s="73" t="n"/>
      <c r="S793" s="122" t="n"/>
    </row>
    <row r="794" ht="11.4" customHeight="1" s="69">
      <c r="J794" s="123" t="n"/>
      <c r="K794" s="73" t="n"/>
      <c r="L794" s="75" t="n"/>
      <c r="M794" s="75" t="n"/>
      <c r="N794" s="75" t="n"/>
      <c r="P794" s="73" t="n"/>
      <c r="Q794" s="73" t="n"/>
      <c r="R794" s="73" t="n"/>
      <c r="S794" s="122" t="n"/>
    </row>
    <row r="795" ht="11.4" customHeight="1" s="69">
      <c r="J795" s="123" t="n"/>
      <c r="K795" s="73" t="n"/>
      <c r="L795" s="75" t="n"/>
      <c r="M795" s="75" t="n"/>
      <c r="N795" s="75" t="n"/>
      <c r="P795" s="73" t="n"/>
      <c r="Q795" s="73" t="n"/>
      <c r="R795" s="73" t="n"/>
      <c r="S795" s="122" t="n"/>
    </row>
    <row r="796" ht="11.4" customHeight="1" s="69">
      <c r="J796" s="123" t="n"/>
      <c r="K796" s="73" t="n"/>
      <c r="L796" s="75" t="n"/>
      <c r="M796" s="75" t="n"/>
      <c r="N796" s="75" t="n"/>
      <c r="P796" s="73" t="n"/>
      <c r="Q796" s="73" t="n"/>
      <c r="R796" s="73" t="n"/>
      <c r="S796" s="122" t="n"/>
    </row>
    <row r="797" ht="11.4" customHeight="1" s="69">
      <c r="J797" s="123" t="n"/>
      <c r="K797" s="73" t="n"/>
      <c r="L797" s="75" t="n"/>
      <c r="M797" s="75" t="n"/>
      <c r="N797" s="75" t="n"/>
      <c r="P797" s="73" t="n"/>
      <c r="Q797" s="73" t="n"/>
      <c r="R797" s="73" t="n"/>
      <c r="S797" s="122" t="n"/>
    </row>
    <row r="798" ht="11.4" customHeight="1" s="69">
      <c r="J798" s="123" t="n"/>
      <c r="K798" s="73" t="n"/>
      <c r="L798" s="75" t="n"/>
      <c r="M798" s="75" t="n"/>
      <c r="N798" s="75" t="n"/>
      <c r="P798" s="73" t="n"/>
      <c r="Q798" s="73" t="n"/>
      <c r="R798" s="73" t="n"/>
      <c r="S798" s="122" t="n"/>
    </row>
    <row r="799" ht="11.4" customHeight="1" s="69">
      <c r="J799" s="123" t="n"/>
      <c r="K799" s="73" t="n"/>
      <c r="L799" s="75" t="n"/>
      <c r="M799" s="75" t="n"/>
      <c r="N799" s="75" t="n"/>
      <c r="P799" s="73" t="n"/>
      <c r="Q799" s="73" t="n"/>
      <c r="R799" s="73" t="n"/>
      <c r="S799" s="122" t="n"/>
    </row>
    <row r="800" ht="11.4" customHeight="1" s="69">
      <c r="J800" s="123" t="n"/>
      <c r="K800" s="73" t="n"/>
      <c r="L800" s="75" t="n"/>
      <c r="M800" s="75" t="n"/>
      <c r="N800" s="75" t="n"/>
      <c r="P800" s="73" t="n"/>
      <c r="Q800" s="73" t="n"/>
      <c r="R800" s="73" t="n"/>
      <c r="S800" s="122" t="n"/>
    </row>
    <row r="801" ht="11.4" customHeight="1" s="69">
      <c r="J801" s="123" t="n"/>
      <c r="K801" s="73" t="n"/>
      <c r="L801" s="75" t="n"/>
      <c r="M801" s="75" t="n"/>
      <c r="N801" s="75" t="n"/>
      <c r="P801" s="73" t="n"/>
      <c r="Q801" s="73" t="n"/>
      <c r="R801" s="73" t="n"/>
      <c r="S801" s="122" t="n"/>
    </row>
    <row r="802" ht="11.4" customHeight="1" s="69">
      <c r="J802" s="123" t="n"/>
      <c r="K802" s="73" t="n"/>
      <c r="L802" s="75" t="n"/>
      <c r="M802" s="75" t="n"/>
      <c r="N802" s="75" t="n"/>
      <c r="P802" s="73" t="n"/>
      <c r="Q802" s="73" t="n"/>
      <c r="R802" s="73" t="n"/>
      <c r="S802" s="122" t="n"/>
    </row>
    <row r="803" ht="11.4" customHeight="1" s="69">
      <c r="J803" s="123" t="n"/>
      <c r="K803" s="73" t="n"/>
      <c r="L803" s="75" t="n"/>
      <c r="M803" s="75" t="n"/>
      <c r="N803" s="75" t="n"/>
      <c r="P803" s="73" t="n"/>
      <c r="Q803" s="73" t="n"/>
      <c r="R803" s="73" t="n"/>
      <c r="S803" s="122" t="n"/>
    </row>
    <row r="804" ht="11.4" customHeight="1" s="69">
      <c r="J804" s="123" t="n"/>
      <c r="K804" s="73" t="n"/>
      <c r="L804" s="75" t="n"/>
      <c r="M804" s="75" t="n"/>
      <c r="N804" s="75" t="n"/>
      <c r="P804" s="73" t="n"/>
      <c r="Q804" s="73" t="n"/>
      <c r="R804" s="73" t="n"/>
      <c r="S804" s="122" t="n"/>
    </row>
    <row r="805" ht="11.4" customHeight="1" s="69">
      <c r="J805" s="123" t="n"/>
      <c r="K805" s="73" t="n"/>
      <c r="L805" s="75" t="n"/>
      <c r="M805" s="75" t="n"/>
      <c r="N805" s="75" t="n"/>
      <c r="P805" s="73" t="n"/>
      <c r="Q805" s="73" t="n"/>
      <c r="R805" s="73" t="n"/>
      <c r="S805" s="122" t="n"/>
    </row>
    <row r="806" ht="11.4" customHeight="1" s="69">
      <c r="J806" s="123" t="n"/>
      <c r="K806" s="73" t="n"/>
      <c r="L806" s="75" t="n"/>
      <c r="M806" s="75" t="n"/>
      <c r="N806" s="75" t="n"/>
      <c r="P806" s="73" t="n"/>
      <c r="Q806" s="73" t="n"/>
      <c r="R806" s="73" t="n"/>
      <c r="S806" s="122" t="n"/>
    </row>
    <row r="807" ht="11.4" customHeight="1" s="69">
      <c r="J807" s="123" t="n"/>
      <c r="K807" s="73" t="n"/>
      <c r="L807" s="75" t="n"/>
      <c r="M807" s="75" t="n"/>
      <c r="N807" s="75" t="n"/>
      <c r="P807" s="73" t="n"/>
      <c r="Q807" s="73" t="n"/>
      <c r="R807" s="73" t="n"/>
      <c r="S807" s="122" t="n"/>
    </row>
    <row r="808" ht="11.4" customHeight="1" s="69">
      <c r="J808" s="123" t="n"/>
      <c r="K808" s="73" t="n"/>
      <c r="L808" s="75" t="n"/>
      <c r="M808" s="75" t="n"/>
      <c r="N808" s="75" t="n"/>
      <c r="P808" s="73" t="n"/>
      <c r="Q808" s="73" t="n"/>
      <c r="R808" s="73" t="n"/>
      <c r="S808" s="122" t="n"/>
    </row>
    <row r="809" ht="11.4" customHeight="1" s="69">
      <c r="J809" s="123" t="n"/>
      <c r="K809" s="73" t="n"/>
      <c r="L809" s="75" t="n"/>
      <c r="M809" s="75" t="n"/>
      <c r="N809" s="75" t="n"/>
      <c r="P809" s="73" t="n"/>
      <c r="Q809" s="73" t="n"/>
      <c r="R809" s="73" t="n"/>
      <c r="S809" s="122" t="n"/>
    </row>
    <row r="810" ht="11.4" customHeight="1" s="69">
      <c r="J810" s="123" t="n"/>
      <c r="K810" s="73" t="n"/>
      <c r="L810" s="75" t="n"/>
      <c r="M810" s="75" t="n"/>
      <c r="N810" s="75" t="n"/>
      <c r="P810" s="73" t="n"/>
      <c r="Q810" s="73" t="n"/>
      <c r="R810" s="73" t="n"/>
      <c r="S810" s="122" t="n"/>
    </row>
    <row r="811" ht="11.4" customHeight="1" s="69">
      <c r="J811" s="123" t="n"/>
      <c r="K811" s="73" t="n"/>
      <c r="L811" s="75" t="n"/>
      <c r="M811" s="75" t="n"/>
      <c r="N811" s="75" t="n"/>
      <c r="P811" s="73" t="n"/>
      <c r="Q811" s="73" t="n"/>
      <c r="R811" s="73" t="n"/>
      <c r="S811" s="122" t="n"/>
    </row>
    <row r="812" ht="11.4" customHeight="1" s="69">
      <c r="J812" s="123" t="n"/>
      <c r="K812" s="73" t="n"/>
      <c r="L812" s="75" t="n"/>
      <c r="M812" s="75" t="n"/>
      <c r="N812" s="75" t="n"/>
      <c r="P812" s="73" t="n"/>
      <c r="Q812" s="73" t="n"/>
      <c r="R812" s="73" t="n"/>
      <c r="S812" s="122" t="n"/>
    </row>
    <row r="813" ht="11.4" customHeight="1" s="69">
      <c r="J813" s="123" t="n"/>
      <c r="K813" s="73" t="n"/>
      <c r="L813" s="75" t="n"/>
      <c r="M813" s="75" t="n"/>
      <c r="N813" s="75" t="n"/>
      <c r="P813" s="73" t="n"/>
      <c r="Q813" s="73" t="n"/>
      <c r="R813" s="73" t="n"/>
      <c r="S813" s="122" t="n"/>
    </row>
    <row r="814" ht="11.4" customHeight="1" s="69">
      <c r="J814" s="123" t="n"/>
      <c r="K814" s="73" t="n"/>
      <c r="L814" s="75" t="n"/>
      <c r="M814" s="75" t="n"/>
      <c r="N814" s="75" t="n"/>
      <c r="P814" s="73" t="n"/>
      <c r="Q814" s="73" t="n"/>
      <c r="R814" s="73" t="n"/>
      <c r="S814" s="122" t="n"/>
    </row>
    <row r="815" ht="11.4" customHeight="1" s="69">
      <c r="J815" s="123" t="n"/>
      <c r="K815" s="73" t="n"/>
      <c r="L815" s="75" t="n"/>
      <c r="M815" s="75" t="n"/>
      <c r="N815" s="75" t="n"/>
      <c r="P815" s="73" t="n"/>
      <c r="Q815" s="73" t="n"/>
      <c r="R815" s="73" t="n"/>
      <c r="S815" s="122" t="n"/>
    </row>
    <row r="816" ht="11.4" customHeight="1" s="69">
      <c r="J816" s="123" t="n"/>
      <c r="K816" s="73" t="n"/>
      <c r="L816" s="75" t="n"/>
      <c r="M816" s="75" t="n"/>
      <c r="N816" s="75" t="n"/>
      <c r="P816" s="73" t="n"/>
      <c r="Q816" s="73" t="n"/>
      <c r="R816" s="73" t="n"/>
      <c r="S816" s="122" t="n"/>
    </row>
    <row r="817" ht="11.4" customHeight="1" s="69">
      <c r="J817" s="123" t="n"/>
      <c r="K817" s="73" t="n"/>
      <c r="L817" s="75" t="n"/>
      <c r="M817" s="75" t="n"/>
      <c r="N817" s="75" t="n"/>
      <c r="P817" s="73" t="n"/>
      <c r="Q817" s="73" t="n"/>
      <c r="R817" s="73" t="n"/>
      <c r="S817" s="122" t="n"/>
    </row>
    <row r="818" ht="11.4" customHeight="1" s="69">
      <c r="J818" s="123" t="n"/>
      <c r="K818" s="73" t="n"/>
      <c r="L818" s="75" t="n"/>
      <c r="M818" s="75" t="n"/>
      <c r="N818" s="75" t="n"/>
      <c r="P818" s="73" t="n"/>
      <c r="Q818" s="73" t="n"/>
      <c r="R818" s="73" t="n"/>
      <c r="S818" s="122" t="n"/>
    </row>
    <row r="819" ht="11.4" customHeight="1" s="69">
      <c r="J819" s="123" t="n"/>
      <c r="K819" s="73" t="n"/>
      <c r="L819" s="75" t="n"/>
      <c r="M819" s="75" t="n"/>
      <c r="N819" s="75" t="n"/>
      <c r="P819" s="73" t="n"/>
      <c r="Q819" s="73" t="n"/>
      <c r="R819" s="73" t="n"/>
      <c r="S819" s="122" t="n"/>
    </row>
    <row r="820" ht="11.4" customHeight="1" s="69">
      <c r="J820" s="123" t="n"/>
      <c r="K820" s="73" t="n"/>
      <c r="L820" s="75" t="n"/>
      <c r="M820" s="75" t="n"/>
      <c r="N820" s="75" t="n"/>
      <c r="P820" s="73" t="n"/>
      <c r="Q820" s="73" t="n"/>
      <c r="R820" s="73" t="n"/>
      <c r="S820" s="122" t="n"/>
    </row>
    <row r="821" ht="11.4" customHeight="1" s="69">
      <c r="J821" s="123" t="n"/>
      <c r="K821" s="73" t="n"/>
      <c r="L821" s="75" t="n"/>
      <c r="M821" s="75" t="n"/>
      <c r="N821" s="75" t="n"/>
      <c r="P821" s="73" t="n"/>
      <c r="Q821" s="73" t="n"/>
      <c r="R821" s="73" t="n"/>
      <c r="S821" s="122" t="n"/>
    </row>
    <row r="822" ht="11.4" customHeight="1" s="69">
      <c r="J822" s="123" t="n"/>
      <c r="K822" s="73" t="n"/>
      <c r="L822" s="75" t="n"/>
      <c r="M822" s="75" t="n"/>
      <c r="N822" s="75" t="n"/>
      <c r="P822" s="73" t="n"/>
      <c r="Q822" s="73" t="n"/>
      <c r="R822" s="73" t="n"/>
      <c r="S822" s="122" t="n"/>
    </row>
    <row r="823" ht="11.4" customHeight="1" s="69">
      <c r="J823" s="123" t="n"/>
      <c r="K823" s="73" t="n"/>
      <c r="L823" s="75" t="n"/>
      <c r="M823" s="75" t="n"/>
      <c r="N823" s="75" t="n"/>
      <c r="P823" s="73" t="n"/>
      <c r="Q823" s="73" t="n"/>
      <c r="R823" s="73" t="n"/>
      <c r="S823" s="122" t="n"/>
    </row>
    <row r="824" ht="11.4" customHeight="1" s="69">
      <c r="J824" s="123" t="n"/>
      <c r="K824" s="73" t="n"/>
      <c r="L824" s="75" t="n"/>
      <c r="M824" s="75" t="n"/>
      <c r="N824" s="75" t="n"/>
      <c r="P824" s="73" t="n"/>
      <c r="Q824" s="73" t="n"/>
      <c r="R824" s="73" t="n"/>
      <c r="S824" s="122" t="n"/>
    </row>
    <row r="825" ht="11.4" customHeight="1" s="69">
      <c r="J825" s="123" t="n"/>
      <c r="K825" s="73" t="n"/>
      <c r="L825" s="75" t="n"/>
      <c r="M825" s="75" t="n"/>
      <c r="N825" s="75" t="n"/>
      <c r="P825" s="73" t="n"/>
      <c r="Q825" s="73" t="n"/>
      <c r="R825" s="73" t="n"/>
      <c r="S825" s="122" t="n"/>
    </row>
    <row r="826" ht="11.4" customHeight="1" s="69">
      <c r="J826" s="123" t="n"/>
      <c r="K826" s="73" t="n"/>
      <c r="L826" s="75" t="n"/>
      <c r="M826" s="75" t="n"/>
      <c r="N826" s="75" t="n"/>
      <c r="P826" s="73" t="n"/>
      <c r="Q826" s="73" t="n"/>
      <c r="R826" s="73" t="n"/>
      <c r="S826" s="122" t="n"/>
    </row>
    <row r="827" ht="11.4" customHeight="1" s="69">
      <c r="J827" s="123" t="n"/>
      <c r="K827" s="73" t="n"/>
      <c r="L827" s="75" t="n"/>
      <c r="M827" s="75" t="n"/>
      <c r="N827" s="75" t="n"/>
      <c r="P827" s="73" t="n"/>
      <c r="Q827" s="73" t="n"/>
      <c r="R827" s="73" t="n"/>
      <c r="S827" s="122" t="n"/>
    </row>
    <row r="828" ht="11.4" customHeight="1" s="69">
      <c r="J828" s="123" t="n"/>
      <c r="K828" s="73" t="n"/>
      <c r="L828" s="75" t="n"/>
      <c r="M828" s="75" t="n"/>
      <c r="N828" s="75" t="n"/>
      <c r="P828" s="73" t="n"/>
      <c r="Q828" s="73" t="n"/>
      <c r="R828" s="73" t="n"/>
      <c r="S828" s="122" t="n"/>
    </row>
    <row r="829" ht="11.4" customHeight="1" s="69">
      <c r="J829" s="123" t="n"/>
      <c r="K829" s="73" t="n"/>
      <c r="L829" s="75" t="n"/>
      <c r="M829" s="75" t="n"/>
      <c r="N829" s="75" t="n"/>
      <c r="P829" s="73" t="n"/>
      <c r="Q829" s="73" t="n"/>
      <c r="R829" s="73" t="n"/>
      <c r="S829" s="122" t="n"/>
    </row>
    <row r="830" ht="11.4" customHeight="1" s="69">
      <c r="J830" s="123" t="n"/>
      <c r="K830" s="73" t="n"/>
      <c r="L830" s="75" t="n"/>
      <c r="M830" s="75" t="n"/>
      <c r="N830" s="75" t="n"/>
      <c r="P830" s="73" t="n"/>
      <c r="Q830" s="73" t="n"/>
      <c r="R830" s="73" t="n"/>
      <c r="S830" s="122" t="n"/>
    </row>
    <row r="831" ht="11.4" customHeight="1" s="69">
      <c r="J831" s="123" t="n"/>
      <c r="K831" s="73" t="n"/>
      <c r="L831" s="75" t="n"/>
      <c r="M831" s="75" t="n"/>
      <c r="N831" s="75" t="n"/>
      <c r="P831" s="73" t="n"/>
      <c r="Q831" s="73" t="n"/>
      <c r="R831" s="73" t="n"/>
      <c r="S831" s="122" t="n"/>
    </row>
    <row r="832" ht="11.4" customHeight="1" s="69">
      <c r="J832" s="123" t="n"/>
      <c r="K832" s="73" t="n"/>
      <c r="L832" s="75" t="n"/>
      <c r="M832" s="75" t="n"/>
      <c r="N832" s="75" t="n"/>
      <c r="P832" s="73" t="n"/>
      <c r="Q832" s="73" t="n"/>
      <c r="R832" s="73" t="n"/>
      <c r="S832" s="122" t="n"/>
    </row>
    <row r="833" ht="11.4" customHeight="1" s="69">
      <c r="J833" s="123" t="n"/>
      <c r="K833" s="73" t="n"/>
      <c r="L833" s="75" t="n"/>
      <c r="M833" s="75" t="n"/>
      <c r="N833" s="75" t="n"/>
      <c r="P833" s="73" t="n"/>
      <c r="Q833" s="73" t="n"/>
      <c r="R833" s="73" t="n"/>
      <c r="S833" s="122" t="n"/>
    </row>
    <row r="834" ht="11.4" customHeight="1" s="69">
      <c r="J834" s="123" t="n"/>
      <c r="K834" s="73" t="n"/>
      <c r="L834" s="75" t="n"/>
      <c r="M834" s="75" t="n"/>
      <c r="N834" s="75" t="n"/>
      <c r="P834" s="73" t="n"/>
      <c r="Q834" s="73" t="n"/>
      <c r="R834" s="73" t="n"/>
      <c r="S834" s="122" t="n"/>
    </row>
    <row r="835" ht="11.4" customHeight="1" s="69">
      <c r="J835" s="123" t="n"/>
      <c r="K835" s="73" t="n"/>
      <c r="L835" s="75" t="n"/>
      <c r="M835" s="75" t="n"/>
      <c r="N835" s="75" t="n"/>
      <c r="P835" s="73" t="n"/>
      <c r="Q835" s="73" t="n"/>
      <c r="R835" s="73" t="n"/>
      <c r="S835" s="122" t="n"/>
    </row>
    <row r="836" ht="11.4" customHeight="1" s="69">
      <c r="J836" s="123" t="n"/>
      <c r="K836" s="73" t="n"/>
      <c r="L836" s="75" t="n"/>
      <c r="M836" s="75" t="n"/>
      <c r="N836" s="75" t="n"/>
      <c r="P836" s="73" t="n"/>
      <c r="Q836" s="73" t="n"/>
      <c r="R836" s="73" t="n"/>
      <c r="S836" s="122" t="n"/>
    </row>
    <row r="837" ht="11.4" customHeight="1" s="69">
      <c r="J837" s="123" t="n"/>
      <c r="K837" s="73" t="n"/>
      <c r="L837" s="75" t="n"/>
      <c r="M837" s="75" t="n"/>
      <c r="N837" s="75" t="n"/>
      <c r="P837" s="73" t="n"/>
      <c r="Q837" s="73" t="n"/>
      <c r="R837" s="73" t="n"/>
      <c r="S837" s="122" t="n"/>
    </row>
    <row r="838" ht="11.4" customHeight="1" s="69">
      <c r="J838" s="123" t="n"/>
      <c r="K838" s="73" t="n"/>
      <c r="L838" s="75" t="n"/>
      <c r="M838" s="75" t="n"/>
      <c r="N838" s="75" t="n"/>
      <c r="P838" s="73" t="n"/>
      <c r="Q838" s="73" t="n"/>
      <c r="R838" s="73" t="n"/>
      <c r="S838" s="122" t="n"/>
    </row>
    <row r="839" ht="11.4" customHeight="1" s="69">
      <c r="J839" s="123" t="n"/>
      <c r="K839" s="73" t="n"/>
      <c r="L839" s="75" t="n"/>
      <c r="M839" s="75" t="n"/>
      <c r="N839" s="75" t="n"/>
      <c r="P839" s="73" t="n"/>
      <c r="Q839" s="73" t="n"/>
      <c r="R839" s="73" t="n"/>
      <c r="S839" s="122" t="n"/>
    </row>
    <row r="840" ht="11.4" customHeight="1" s="69">
      <c r="J840" s="123" t="n"/>
      <c r="K840" s="73" t="n"/>
      <c r="L840" s="75" t="n"/>
      <c r="M840" s="75" t="n"/>
      <c r="N840" s="75" t="n"/>
      <c r="P840" s="73" t="n"/>
      <c r="Q840" s="73" t="n"/>
      <c r="R840" s="73" t="n"/>
      <c r="S840" s="122" t="n"/>
    </row>
    <row r="841" ht="11.4" customHeight="1" s="69">
      <c r="J841" s="123" t="n"/>
      <c r="K841" s="73" t="n"/>
      <c r="L841" s="75" t="n"/>
      <c r="M841" s="75" t="n"/>
      <c r="N841" s="75" t="n"/>
      <c r="P841" s="73" t="n"/>
      <c r="Q841" s="73" t="n"/>
      <c r="R841" s="73" t="n"/>
      <c r="S841" s="122" t="n"/>
    </row>
    <row r="842" ht="11.4" customHeight="1" s="69">
      <c r="J842" s="123" t="n"/>
      <c r="K842" s="73" t="n"/>
      <c r="L842" s="75" t="n"/>
      <c r="M842" s="75" t="n"/>
      <c r="N842" s="75" t="n"/>
      <c r="P842" s="73" t="n"/>
      <c r="Q842" s="73" t="n"/>
      <c r="R842" s="73" t="n"/>
      <c r="S842" s="122" t="n"/>
    </row>
    <row r="843" ht="11.4" customHeight="1" s="69">
      <c r="J843" s="123" t="n"/>
      <c r="K843" s="73" t="n"/>
      <c r="L843" s="75" t="n"/>
      <c r="M843" s="75" t="n"/>
      <c r="N843" s="75" t="n"/>
      <c r="P843" s="73" t="n"/>
      <c r="Q843" s="73" t="n"/>
      <c r="R843" s="73" t="n"/>
      <c r="S843" s="122" t="n"/>
    </row>
    <row r="844" ht="11.4" customHeight="1" s="69">
      <c r="J844" s="123" t="n"/>
      <c r="K844" s="73" t="n"/>
      <c r="L844" s="75" t="n"/>
      <c r="M844" s="75" t="n"/>
      <c r="N844" s="75" t="n"/>
      <c r="P844" s="73" t="n"/>
      <c r="Q844" s="73" t="n"/>
      <c r="R844" s="73" t="n"/>
      <c r="S844" s="122" t="n"/>
    </row>
    <row r="845" ht="11.4" customHeight="1" s="69">
      <c r="J845" s="123" t="n"/>
      <c r="K845" s="73" t="n"/>
      <c r="L845" s="75" t="n"/>
      <c r="M845" s="75" t="n"/>
      <c r="N845" s="75" t="n"/>
      <c r="P845" s="73" t="n"/>
      <c r="Q845" s="73" t="n"/>
      <c r="R845" s="73" t="n"/>
      <c r="S845" s="122" t="n"/>
    </row>
    <row r="846" ht="11.4" customHeight="1" s="69">
      <c r="J846" s="123" t="n"/>
      <c r="K846" s="73" t="n"/>
      <c r="L846" s="75" t="n"/>
      <c r="M846" s="75" t="n"/>
      <c r="N846" s="75" t="n"/>
      <c r="P846" s="73" t="n"/>
      <c r="Q846" s="73" t="n"/>
      <c r="R846" s="73" t="n"/>
      <c r="S846" s="122" t="n"/>
    </row>
    <row r="847" ht="11.4" customHeight="1" s="69">
      <c r="J847" s="123" t="n"/>
      <c r="K847" s="73" t="n"/>
      <c r="L847" s="75" t="n"/>
      <c r="M847" s="75" t="n"/>
      <c r="N847" s="75" t="n"/>
      <c r="P847" s="73" t="n"/>
      <c r="Q847" s="73" t="n"/>
      <c r="R847" s="73" t="n"/>
      <c r="S847" s="122" t="n"/>
    </row>
    <row r="848" ht="11.4" customHeight="1" s="69">
      <c r="J848" s="123" t="n"/>
      <c r="K848" s="73" t="n"/>
      <c r="L848" s="75" t="n"/>
      <c r="M848" s="75" t="n"/>
      <c r="N848" s="75" t="n"/>
      <c r="P848" s="73" t="n"/>
      <c r="Q848" s="73" t="n"/>
      <c r="R848" s="73" t="n"/>
      <c r="S848" s="122" t="n"/>
    </row>
    <row r="849" ht="11.4" customHeight="1" s="69">
      <c r="J849" s="123" t="n"/>
      <c r="K849" s="73" t="n"/>
      <c r="L849" s="75" t="n"/>
      <c r="M849" s="75" t="n"/>
      <c r="N849" s="75" t="n"/>
      <c r="P849" s="73" t="n"/>
      <c r="Q849" s="73" t="n"/>
      <c r="R849" s="73" t="n"/>
      <c r="S849" s="122" t="n"/>
    </row>
    <row r="850" ht="11.4" customHeight="1" s="69">
      <c r="J850" s="123" t="n"/>
      <c r="K850" s="73" t="n"/>
      <c r="L850" s="75" t="n"/>
      <c r="M850" s="75" t="n"/>
      <c r="N850" s="75" t="n"/>
      <c r="P850" s="73" t="n"/>
      <c r="Q850" s="73" t="n"/>
      <c r="R850" s="73" t="n"/>
      <c r="S850" s="122" t="n"/>
    </row>
    <row r="851" ht="11.4" customHeight="1" s="69">
      <c r="J851" s="123" t="n"/>
      <c r="K851" s="73" t="n"/>
      <c r="L851" s="75" t="n"/>
      <c r="M851" s="75" t="n"/>
      <c r="N851" s="75" t="n"/>
      <c r="P851" s="73" t="n"/>
      <c r="Q851" s="73" t="n"/>
      <c r="R851" s="73" t="n"/>
      <c r="S851" s="122" t="n"/>
    </row>
    <row r="852" ht="11.4" customHeight="1" s="69">
      <c r="J852" s="123" t="n"/>
      <c r="K852" s="73" t="n"/>
      <c r="L852" s="75" t="n"/>
      <c r="M852" s="75" t="n"/>
      <c r="N852" s="75" t="n"/>
      <c r="P852" s="73" t="n"/>
      <c r="Q852" s="73" t="n"/>
      <c r="R852" s="73" t="n"/>
      <c r="S852" s="122" t="n"/>
    </row>
    <row r="853" ht="11.4" customHeight="1" s="69">
      <c r="J853" s="123" t="n"/>
      <c r="K853" s="73" t="n"/>
      <c r="L853" s="75" t="n"/>
      <c r="M853" s="75" t="n"/>
      <c r="N853" s="75" t="n"/>
      <c r="P853" s="73" t="n"/>
      <c r="Q853" s="73" t="n"/>
      <c r="R853" s="73" t="n"/>
      <c r="S853" s="122" t="n"/>
    </row>
    <row r="854" ht="11.4" customHeight="1" s="69">
      <c r="J854" s="123" t="n"/>
      <c r="K854" s="73" t="n"/>
      <c r="L854" s="75" t="n"/>
      <c r="M854" s="75" t="n"/>
      <c r="N854" s="75" t="n"/>
      <c r="P854" s="73" t="n"/>
      <c r="Q854" s="73" t="n"/>
      <c r="R854" s="73" t="n"/>
      <c r="S854" s="122" t="n"/>
    </row>
    <row r="855" ht="11.4" customHeight="1" s="69">
      <c r="J855" s="123" t="n"/>
      <c r="K855" s="73" t="n"/>
      <c r="L855" s="75" t="n"/>
      <c r="M855" s="75" t="n"/>
      <c r="N855" s="75" t="n"/>
      <c r="P855" s="73" t="n"/>
      <c r="Q855" s="73" t="n"/>
      <c r="R855" s="73" t="n"/>
      <c r="S855" s="122" t="n"/>
    </row>
    <row r="856" ht="11.4" customHeight="1" s="69">
      <c r="J856" s="123" t="n"/>
      <c r="K856" s="73" t="n"/>
      <c r="L856" s="75" t="n"/>
      <c r="M856" s="75" t="n"/>
      <c r="N856" s="75" t="n"/>
      <c r="P856" s="73" t="n"/>
      <c r="Q856" s="73" t="n"/>
      <c r="R856" s="73" t="n"/>
      <c r="S856" s="122" t="n"/>
    </row>
    <row r="857" ht="11.4" customHeight="1" s="69">
      <c r="J857" s="123" t="n"/>
      <c r="K857" s="73" t="n"/>
      <c r="L857" s="75" t="n"/>
      <c r="M857" s="75" t="n"/>
      <c r="N857" s="75" t="n"/>
      <c r="P857" s="73" t="n"/>
      <c r="Q857" s="73" t="n"/>
      <c r="R857" s="73" t="n"/>
      <c r="S857" s="122" t="n"/>
    </row>
    <row r="858" ht="11.4" customHeight="1" s="69">
      <c r="J858" s="123" t="n"/>
      <c r="K858" s="73" t="n"/>
      <c r="L858" s="75" t="n"/>
      <c r="M858" s="75" t="n"/>
      <c r="N858" s="75" t="n"/>
      <c r="P858" s="73" t="n"/>
      <c r="Q858" s="73" t="n"/>
      <c r="R858" s="73" t="n"/>
      <c r="S858" s="122" t="n"/>
    </row>
    <row r="859" ht="11.4" customHeight="1" s="69">
      <c r="J859" s="123" t="n"/>
      <c r="K859" s="73" t="n"/>
      <c r="L859" s="75" t="n"/>
      <c r="M859" s="75" t="n"/>
      <c r="N859" s="75" t="n"/>
      <c r="P859" s="73" t="n"/>
      <c r="Q859" s="73" t="n"/>
      <c r="R859" s="73" t="n"/>
      <c r="S859" s="122" t="n"/>
    </row>
    <row r="860" ht="11.4" customHeight="1" s="69">
      <c r="J860" s="123" t="n"/>
      <c r="K860" s="73" t="n"/>
      <c r="L860" s="75" t="n"/>
      <c r="M860" s="75" t="n"/>
      <c r="N860" s="75" t="n"/>
      <c r="P860" s="73" t="n"/>
      <c r="Q860" s="73" t="n"/>
      <c r="R860" s="73" t="n"/>
      <c r="S860" s="122" t="n"/>
    </row>
    <row r="861" ht="11.4" customHeight="1" s="69">
      <c r="J861" s="123" t="n"/>
      <c r="K861" s="73" t="n"/>
      <c r="L861" s="75" t="n"/>
      <c r="M861" s="75" t="n"/>
      <c r="N861" s="75" t="n"/>
      <c r="P861" s="73" t="n"/>
      <c r="Q861" s="73" t="n"/>
      <c r="R861" s="73" t="n"/>
      <c r="S861" s="122" t="n"/>
    </row>
    <row r="862" ht="11.4" customHeight="1" s="69">
      <c r="J862" s="123" t="n"/>
      <c r="K862" s="73" t="n"/>
      <c r="L862" s="75" t="n"/>
      <c r="M862" s="75" t="n"/>
      <c r="N862" s="75" t="n"/>
      <c r="P862" s="73" t="n"/>
      <c r="Q862" s="73" t="n"/>
      <c r="R862" s="73" t="n"/>
      <c r="S862" s="122" t="n"/>
    </row>
    <row r="863" ht="11.4" customHeight="1" s="69">
      <c r="J863" s="123" t="n"/>
      <c r="K863" s="73" t="n"/>
      <c r="L863" s="75" t="n"/>
      <c r="M863" s="75" t="n"/>
      <c r="N863" s="75" t="n"/>
      <c r="P863" s="73" t="n"/>
      <c r="Q863" s="73" t="n"/>
      <c r="R863" s="73" t="n"/>
      <c r="S863" s="122" t="n"/>
    </row>
    <row r="864" ht="11.4" customHeight="1" s="69">
      <c r="J864" s="123" t="n"/>
      <c r="K864" s="73" t="n"/>
      <c r="L864" s="75" t="n"/>
      <c r="M864" s="75" t="n"/>
      <c r="N864" s="75" t="n"/>
      <c r="P864" s="73" t="n"/>
      <c r="Q864" s="73" t="n"/>
      <c r="R864" s="73" t="n"/>
      <c r="S864" s="122" t="n"/>
    </row>
    <row r="865" ht="11.4" customHeight="1" s="69">
      <c r="J865" s="123" t="n"/>
      <c r="K865" s="73" t="n"/>
      <c r="L865" s="75" t="n"/>
      <c r="M865" s="75" t="n"/>
      <c r="N865" s="75" t="n"/>
      <c r="P865" s="73" t="n"/>
      <c r="Q865" s="73" t="n"/>
      <c r="R865" s="73" t="n"/>
      <c r="S865" s="122" t="n"/>
    </row>
    <row r="866" ht="11.4" customHeight="1" s="69">
      <c r="J866" s="123" t="n"/>
      <c r="K866" s="73" t="n"/>
      <c r="L866" s="75" t="n"/>
      <c r="M866" s="75" t="n"/>
      <c r="N866" s="75" t="n"/>
      <c r="P866" s="73" t="n"/>
      <c r="Q866" s="73" t="n"/>
      <c r="R866" s="73" t="n"/>
      <c r="S866" s="122" t="n"/>
    </row>
    <row r="867" ht="11.4" customHeight="1" s="69">
      <c r="J867" s="123" t="n"/>
      <c r="K867" s="73" t="n"/>
      <c r="L867" s="75" t="n"/>
      <c r="M867" s="75" t="n"/>
      <c r="N867" s="75" t="n"/>
      <c r="P867" s="73" t="n"/>
      <c r="Q867" s="73" t="n"/>
      <c r="R867" s="73" t="n"/>
      <c r="S867" s="122" t="n"/>
    </row>
    <row r="868" ht="11.4" customHeight="1" s="69">
      <c r="J868" s="123" t="n"/>
      <c r="K868" s="73" t="n"/>
      <c r="L868" s="75" t="n"/>
      <c r="M868" s="75" t="n"/>
      <c r="N868" s="75" t="n"/>
      <c r="P868" s="73" t="n"/>
      <c r="Q868" s="73" t="n"/>
      <c r="R868" s="73" t="n"/>
      <c r="S868" s="122" t="n"/>
    </row>
    <row r="869" ht="11.4" customHeight="1" s="69">
      <c r="J869" s="123" t="n"/>
      <c r="K869" s="73" t="n"/>
      <c r="L869" s="75" t="n"/>
      <c r="M869" s="75" t="n"/>
      <c r="N869" s="75" t="n"/>
      <c r="P869" s="73" t="n"/>
      <c r="Q869" s="73" t="n"/>
      <c r="R869" s="73" t="n"/>
      <c r="S869" s="122" t="n"/>
    </row>
    <row r="870" ht="11.4" customHeight="1" s="69">
      <c r="J870" s="123" t="n"/>
      <c r="K870" s="73" t="n"/>
      <c r="L870" s="75" t="n"/>
      <c r="M870" s="75" t="n"/>
      <c r="N870" s="75" t="n"/>
      <c r="P870" s="73" t="n"/>
      <c r="Q870" s="73" t="n"/>
      <c r="R870" s="73" t="n"/>
      <c r="S870" s="122" t="n"/>
    </row>
    <row r="871" ht="11.4" customHeight="1" s="69">
      <c r="J871" s="123" t="n"/>
      <c r="K871" s="73" t="n"/>
      <c r="L871" s="75" t="n"/>
      <c r="M871" s="75" t="n"/>
      <c r="N871" s="75" t="n"/>
      <c r="P871" s="73" t="n"/>
      <c r="Q871" s="73" t="n"/>
      <c r="R871" s="73" t="n"/>
      <c r="S871" s="122" t="n"/>
    </row>
    <row r="872" ht="11.4" customHeight="1" s="69">
      <c r="J872" s="123" t="n"/>
      <c r="K872" s="73" t="n"/>
      <c r="L872" s="75" t="n"/>
      <c r="M872" s="75" t="n"/>
      <c r="N872" s="75" t="n"/>
      <c r="P872" s="73" t="n"/>
      <c r="Q872" s="73" t="n"/>
      <c r="R872" s="73" t="n"/>
      <c r="S872" s="122" t="n"/>
    </row>
    <row r="873" ht="11.4" customHeight="1" s="69">
      <c r="J873" s="123" t="n"/>
      <c r="K873" s="73" t="n"/>
      <c r="L873" s="75" t="n"/>
      <c r="M873" s="75" t="n"/>
      <c r="N873" s="75" t="n"/>
      <c r="P873" s="73" t="n"/>
      <c r="Q873" s="73" t="n"/>
      <c r="R873" s="73" t="n"/>
      <c r="S873" s="122" t="n"/>
    </row>
    <row r="874" ht="11.4" customHeight="1" s="69">
      <c r="J874" s="123" t="n"/>
      <c r="K874" s="73" t="n"/>
      <c r="L874" s="75" t="n"/>
      <c r="M874" s="75" t="n"/>
      <c r="N874" s="75" t="n"/>
      <c r="P874" s="73" t="n"/>
      <c r="Q874" s="73" t="n"/>
      <c r="R874" s="73" t="n"/>
      <c r="S874" s="122" t="n"/>
    </row>
    <row r="875" ht="11.4" customHeight="1" s="69">
      <c r="J875" s="123" t="n"/>
      <c r="K875" s="73" t="n"/>
      <c r="L875" s="75" t="n"/>
      <c r="M875" s="75" t="n"/>
      <c r="N875" s="75" t="n"/>
      <c r="P875" s="73" t="n"/>
      <c r="Q875" s="73" t="n"/>
      <c r="R875" s="73" t="n"/>
      <c r="S875" s="122" t="n"/>
    </row>
    <row r="876" ht="11.4" customHeight="1" s="69">
      <c r="J876" s="123" t="n"/>
      <c r="K876" s="73" t="n"/>
      <c r="L876" s="75" t="n"/>
      <c r="M876" s="75" t="n"/>
      <c r="N876" s="75" t="n"/>
      <c r="P876" s="73" t="n"/>
      <c r="Q876" s="73" t="n"/>
      <c r="R876" s="73" t="n"/>
      <c r="S876" s="122" t="n"/>
    </row>
    <row r="877" ht="11.4" customHeight="1" s="69">
      <c r="J877" s="123" t="n"/>
      <c r="K877" s="73" t="n"/>
      <c r="L877" s="75" t="n"/>
      <c r="M877" s="75" t="n"/>
      <c r="N877" s="75" t="n"/>
      <c r="P877" s="73" t="n"/>
      <c r="Q877" s="73" t="n"/>
      <c r="R877" s="73" t="n"/>
      <c r="S877" s="122" t="n"/>
    </row>
    <row r="878" ht="11.4" customHeight="1" s="69">
      <c r="J878" s="123" t="n"/>
      <c r="K878" s="73" t="n"/>
      <c r="L878" s="75" t="n"/>
      <c r="M878" s="75" t="n"/>
      <c r="N878" s="75" t="n"/>
      <c r="P878" s="73" t="n"/>
      <c r="Q878" s="73" t="n"/>
      <c r="R878" s="73" t="n"/>
      <c r="S878" s="122" t="n"/>
    </row>
    <row r="879" ht="11.4" customHeight="1" s="69">
      <c r="J879" s="123" t="n"/>
      <c r="K879" s="73" t="n"/>
      <c r="L879" s="75" t="n"/>
      <c r="M879" s="75" t="n"/>
      <c r="N879" s="75" t="n"/>
      <c r="P879" s="73" t="n"/>
      <c r="Q879" s="73" t="n"/>
      <c r="R879" s="73" t="n"/>
      <c r="S879" s="122" t="n"/>
    </row>
    <row r="880" ht="11.4" customHeight="1" s="69">
      <c r="J880" s="123" t="n"/>
      <c r="K880" s="73" t="n"/>
      <c r="L880" s="75" t="n"/>
      <c r="M880" s="75" t="n"/>
      <c r="N880" s="75" t="n"/>
      <c r="P880" s="73" t="n"/>
      <c r="Q880" s="73" t="n"/>
      <c r="R880" s="73" t="n"/>
      <c r="S880" s="122" t="n"/>
    </row>
    <row r="881" ht="11.4" customHeight="1" s="69">
      <c r="J881" s="123" t="n"/>
      <c r="K881" s="73" t="n"/>
      <c r="L881" s="75" t="n"/>
      <c r="M881" s="75" t="n"/>
      <c r="N881" s="75" t="n"/>
      <c r="P881" s="73" t="n"/>
      <c r="Q881" s="73" t="n"/>
      <c r="R881" s="73" t="n"/>
      <c r="S881" s="122" t="n"/>
    </row>
    <row r="882" ht="11.4" customHeight="1" s="69">
      <c r="J882" s="123" t="n"/>
      <c r="K882" s="73" t="n"/>
      <c r="L882" s="75" t="n"/>
      <c r="M882" s="75" t="n"/>
      <c r="N882" s="75" t="n"/>
      <c r="P882" s="73" t="n"/>
      <c r="Q882" s="73" t="n"/>
      <c r="R882" s="73" t="n"/>
      <c r="S882" s="122" t="n"/>
    </row>
    <row r="883" ht="11.4" customHeight="1" s="69">
      <c r="J883" s="123" t="n"/>
      <c r="K883" s="73" t="n"/>
      <c r="L883" s="75" t="n"/>
      <c r="M883" s="75" t="n"/>
      <c r="N883" s="75" t="n"/>
      <c r="P883" s="73" t="n"/>
      <c r="Q883" s="73" t="n"/>
      <c r="R883" s="73" t="n"/>
      <c r="S883" s="122" t="n"/>
    </row>
    <row r="884" ht="11.4" customHeight="1" s="69">
      <c r="J884" s="123" t="n"/>
      <c r="K884" s="73" t="n"/>
      <c r="L884" s="75" t="n"/>
      <c r="M884" s="75" t="n"/>
      <c r="N884" s="75" t="n"/>
      <c r="P884" s="73" t="n"/>
      <c r="Q884" s="73" t="n"/>
      <c r="R884" s="73" t="n"/>
      <c r="S884" s="122" t="n"/>
    </row>
    <row r="885" ht="11.4" customHeight="1" s="69">
      <c r="J885" s="123" t="n"/>
      <c r="K885" s="73" t="n"/>
      <c r="L885" s="75" t="n"/>
      <c r="M885" s="75" t="n"/>
      <c r="N885" s="75" t="n"/>
      <c r="P885" s="73" t="n"/>
      <c r="Q885" s="73" t="n"/>
      <c r="R885" s="73" t="n"/>
      <c r="S885" s="122" t="n"/>
    </row>
    <row r="886" ht="11.4" customHeight="1" s="69">
      <c r="J886" s="123" t="n"/>
      <c r="K886" s="73" t="n"/>
      <c r="L886" s="75" t="n"/>
      <c r="M886" s="75" t="n"/>
      <c r="N886" s="75" t="n"/>
      <c r="P886" s="73" t="n"/>
      <c r="Q886" s="73" t="n"/>
      <c r="R886" s="73" t="n"/>
      <c r="S886" s="122" t="n"/>
    </row>
    <row r="887" ht="11.4" customHeight="1" s="69">
      <c r="J887" s="123" t="n"/>
      <c r="K887" s="73" t="n"/>
      <c r="L887" s="75" t="n"/>
      <c r="M887" s="75" t="n"/>
      <c r="N887" s="75" t="n"/>
      <c r="P887" s="73" t="n"/>
      <c r="Q887" s="73" t="n"/>
      <c r="R887" s="73" t="n"/>
      <c r="S887" s="122" t="n"/>
    </row>
    <row r="888" ht="11.4" customHeight="1" s="69">
      <c r="J888" s="123" t="n"/>
      <c r="K888" s="73" t="n"/>
      <c r="L888" s="75" t="n"/>
      <c r="M888" s="75" t="n"/>
      <c r="N888" s="75" t="n"/>
      <c r="P888" s="73" t="n"/>
      <c r="Q888" s="73" t="n"/>
      <c r="R888" s="73" t="n"/>
      <c r="S888" s="122" t="n"/>
    </row>
    <row r="889" ht="11.4" customHeight="1" s="69">
      <c r="J889" s="123" t="n"/>
      <c r="K889" s="73" t="n"/>
      <c r="L889" s="75" t="n"/>
      <c r="M889" s="75" t="n"/>
      <c r="N889" s="75" t="n"/>
      <c r="P889" s="73" t="n"/>
      <c r="Q889" s="73" t="n"/>
      <c r="R889" s="73" t="n"/>
      <c r="S889" s="122" t="n"/>
    </row>
    <row r="890" ht="11.4" customHeight="1" s="69">
      <c r="J890" s="123" t="n"/>
      <c r="K890" s="73" t="n"/>
      <c r="L890" s="75" t="n"/>
      <c r="M890" s="75" t="n"/>
      <c r="N890" s="75" t="n"/>
      <c r="P890" s="73" t="n"/>
      <c r="Q890" s="73" t="n"/>
      <c r="R890" s="73" t="n"/>
      <c r="S890" s="122" t="n"/>
    </row>
    <row r="891" ht="11.4" customHeight="1" s="69">
      <c r="J891" s="123" t="n"/>
      <c r="K891" s="73" t="n"/>
      <c r="L891" s="75" t="n"/>
      <c r="M891" s="75" t="n"/>
      <c r="N891" s="75" t="n"/>
      <c r="P891" s="73" t="n"/>
      <c r="Q891" s="73" t="n"/>
      <c r="R891" s="73" t="n"/>
      <c r="S891" s="122" t="n"/>
    </row>
    <row r="892" ht="11.4" customHeight="1" s="69">
      <c r="J892" s="123" t="n"/>
      <c r="K892" s="73" t="n"/>
      <c r="L892" s="75" t="n"/>
      <c r="M892" s="75" t="n"/>
      <c r="N892" s="75" t="n"/>
      <c r="P892" s="73" t="n"/>
      <c r="Q892" s="73" t="n"/>
      <c r="R892" s="73" t="n"/>
      <c r="S892" s="122" t="n"/>
    </row>
    <row r="893" ht="11.4" customHeight="1" s="69">
      <c r="J893" s="123" t="n"/>
      <c r="K893" s="73" t="n"/>
      <c r="L893" s="75" t="n"/>
      <c r="M893" s="75" t="n"/>
      <c r="N893" s="75" t="n"/>
      <c r="P893" s="73" t="n"/>
      <c r="Q893" s="73" t="n"/>
      <c r="R893" s="73" t="n"/>
      <c r="S893" s="122" t="n"/>
    </row>
    <row r="894" ht="11.4" customHeight="1" s="69">
      <c r="J894" s="123" t="n"/>
      <c r="K894" s="73" t="n"/>
      <c r="L894" s="75" t="n"/>
      <c r="M894" s="75" t="n"/>
      <c r="N894" s="75" t="n"/>
      <c r="P894" s="73" t="n"/>
      <c r="Q894" s="73" t="n"/>
      <c r="R894" s="73" t="n"/>
      <c r="S894" s="122" t="n"/>
    </row>
    <row r="895" ht="11.4" customHeight="1" s="69">
      <c r="J895" s="123" t="n"/>
      <c r="K895" s="73" t="n"/>
      <c r="L895" s="75" t="n"/>
      <c r="M895" s="75" t="n"/>
      <c r="N895" s="75" t="n"/>
      <c r="P895" s="73" t="n"/>
      <c r="Q895" s="73" t="n"/>
      <c r="R895" s="73" t="n"/>
      <c r="S895" s="122" t="n"/>
    </row>
    <row r="896" ht="11.4" customHeight="1" s="69">
      <c r="J896" s="123" t="n"/>
      <c r="K896" s="73" t="n"/>
      <c r="L896" s="75" t="n"/>
      <c r="M896" s="75" t="n"/>
      <c r="N896" s="75" t="n"/>
      <c r="P896" s="73" t="n"/>
      <c r="Q896" s="73" t="n"/>
      <c r="R896" s="73" t="n"/>
      <c r="S896" s="122" t="n"/>
    </row>
    <row r="897" ht="11.4" customHeight="1" s="69">
      <c r="J897" s="123" t="n"/>
      <c r="K897" s="73" t="n"/>
      <c r="L897" s="75" t="n"/>
      <c r="M897" s="75" t="n"/>
      <c r="N897" s="75" t="n"/>
      <c r="P897" s="73" t="n"/>
      <c r="Q897" s="73" t="n"/>
      <c r="R897" s="73" t="n"/>
      <c r="S897" s="122" t="n"/>
    </row>
    <row r="898" ht="11.4" customHeight="1" s="69">
      <c r="J898" s="123" t="n"/>
      <c r="K898" s="73" t="n"/>
      <c r="L898" s="75" t="n"/>
      <c r="M898" s="75" t="n"/>
      <c r="N898" s="75" t="n"/>
      <c r="P898" s="73" t="n"/>
      <c r="Q898" s="73" t="n"/>
      <c r="R898" s="73" t="n"/>
      <c r="S898" s="122" t="n"/>
    </row>
    <row r="899" ht="11.4" customHeight="1" s="69">
      <c r="J899" s="123" t="n"/>
      <c r="K899" s="73" t="n"/>
      <c r="L899" s="75" t="n"/>
      <c r="M899" s="75" t="n"/>
      <c r="N899" s="75" t="n"/>
      <c r="P899" s="73" t="n"/>
      <c r="Q899" s="73" t="n"/>
      <c r="R899" s="73" t="n"/>
      <c r="S899" s="122" t="n"/>
    </row>
    <row r="900" ht="11.4" customHeight="1" s="69">
      <c r="J900" s="123" t="n"/>
      <c r="K900" s="73" t="n"/>
      <c r="L900" s="75" t="n"/>
      <c r="M900" s="75" t="n"/>
      <c r="N900" s="75" t="n"/>
      <c r="P900" s="73" t="n"/>
      <c r="Q900" s="73" t="n"/>
      <c r="R900" s="73" t="n"/>
      <c r="S900" s="122" t="n"/>
    </row>
    <row r="901" ht="11.4" customHeight="1" s="69">
      <c r="J901" s="123" t="n"/>
      <c r="K901" s="73" t="n"/>
      <c r="L901" s="75" t="n"/>
      <c r="M901" s="75" t="n"/>
      <c r="N901" s="75" t="n"/>
      <c r="P901" s="73" t="n"/>
      <c r="Q901" s="73" t="n"/>
      <c r="R901" s="73" t="n"/>
      <c r="S901" s="122" t="n"/>
    </row>
    <row r="902" ht="11.4" customHeight="1" s="69">
      <c r="J902" s="123" t="n"/>
      <c r="K902" s="73" t="n"/>
      <c r="L902" s="75" t="n"/>
      <c r="M902" s="75" t="n"/>
      <c r="N902" s="75" t="n"/>
      <c r="P902" s="73" t="n"/>
      <c r="Q902" s="73" t="n"/>
      <c r="R902" s="73" t="n"/>
      <c r="S902" s="122" t="n"/>
    </row>
    <row r="903" ht="11.4" customHeight="1" s="69">
      <c r="J903" s="123" t="n"/>
      <c r="K903" s="73" t="n"/>
      <c r="L903" s="75" t="n"/>
      <c r="M903" s="75" t="n"/>
      <c r="N903" s="75" t="n"/>
      <c r="P903" s="73" t="n"/>
      <c r="Q903" s="73" t="n"/>
      <c r="R903" s="73" t="n"/>
      <c r="S903" s="122" t="n"/>
    </row>
    <row r="904" ht="11.4" customHeight="1" s="69">
      <c r="J904" s="123" t="n"/>
      <c r="K904" s="73" t="n"/>
      <c r="L904" s="75" t="n"/>
      <c r="M904" s="75" t="n"/>
      <c r="N904" s="75" t="n"/>
      <c r="P904" s="73" t="n"/>
      <c r="Q904" s="73" t="n"/>
      <c r="R904" s="73" t="n"/>
      <c r="S904" s="122" t="n"/>
    </row>
    <row r="905" ht="11.4" customHeight="1" s="69">
      <c r="J905" s="123" t="n"/>
      <c r="K905" s="73" t="n"/>
      <c r="L905" s="75" t="n"/>
      <c r="M905" s="75" t="n"/>
      <c r="N905" s="75" t="n"/>
      <c r="P905" s="73" t="n"/>
      <c r="Q905" s="73" t="n"/>
      <c r="R905" s="73" t="n"/>
      <c r="S905" s="122" t="n"/>
    </row>
    <row r="906" ht="11.4" customHeight="1" s="69">
      <c r="J906" s="123" t="n"/>
      <c r="K906" s="73" t="n"/>
      <c r="L906" s="75" t="n"/>
      <c r="M906" s="75" t="n"/>
      <c r="N906" s="75" t="n"/>
      <c r="P906" s="73" t="n"/>
      <c r="Q906" s="73" t="n"/>
      <c r="R906" s="73" t="n"/>
      <c r="S906" s="122" t="n"/>
    </row>
    <row r="907" ht="11.4" customHeight="1" s="69">
      <c r="J907" s="123" t="n"/>
      <c r="K907" s="73" t="n"/>
      <c r="L907" s="75" t="n"/>
      <c r="M907" s="75" t="n"/>
      <c r="N907" s="75" t="n"/>
      <c r="P907" s="73" t="n"/>
      <c r="Q907" s="73" t="n"/>
      <c r="R907" s="73" t="n"/>
      <c r="S907" s="122" t="n"/>
    </row>
    <row r="908" ht="11.4" customHeight="1" s="69">
      <c r="J908" s="123" t="n"/>
      <c r="K908" s="73" t="n"/>
      <c r="L908" s="75" t="n"/>
      <c r="M908" s="75" t="n"/>
      <c r="N908" s="75" t="n"/>
      <c r="P908" s="73" t="n"/>
      <c r="Q908" s="73" t="n"/>
      <c r="R908" s="73" t="n"/>
      <c r="S908" s="122" t="n"/>
    </row>
    <row r="909" ht="11.4" customHeight="1" s="69">
      <c r="J909" s="123" t="n"/>
      <c r="K909" s="73" t="n"/>
      <c r="L909" s="75" t="n"/>
      <c r="M909" s="75" t="n"/>
      <c r="N909" s="75" t="n"/>
      <c r="P909" s="73" t="n"/>
      <c r="Q909" s="73" t="n"/>
      <c r="R909" s="73" t="n"/>
      <c r="S909" s="122" t="n"/>
    </row>
    <row r="910" ht="11.4" customHeight="1" s="69">
      <c r="J910" s="123" t="n"/>
      <c r="K910" s="73" t="n"/>
      <c r="L910" s="75" t="n"/>
      <c r="M910" s="75" t="n"/>
      <c r="N910" s="75" t="n"/>
      <c r="P910" s="73" t="n"/>
      <c r="Q910" s="73" t="n"/>
      <c r="R910" s="73" t="n"/>
      <c r="S910" s="122" t="n"/>
    </row>
    <row r="911" ht="11.4" customHeight="1" s="69">
      <c r="J911" s="123" t="n"/>
      <c r="K911" s="73" t="n"/>
      <c r="L911" s="75" t="n"/>
      <c r="M911" s="75" t="n"/>
      <c r="N911" s="75" t="n"/>
      <c r="P911" s="73" t="n"/>
      <c r="Q911" s="73" t="n"/>
      <c r="R911" s="73" t="n"/>
      <c r="S911" s="122" t="n"/>
    </row>
    <row r="912" ht="11.4" customHeight="1" s="69">
      <c r="J912" s="123" t="n"/>
      <c r="K912" s="73" t="n"/>
      <c r="L912" s="75" t="n"/>
      <c r="M912" s="75" t="n"/>
      <c r="N912" s="75" t="n"/>
      <c r="P912" s="73" t="n"/>
      <c r="Q912" s="73" t="n"/>
      <c r="R912" s="73" t="n"/>
      <c r="S912" s="122" t="n"/>
    </row>
    <row r="913" ht="11.4" customHeight="1" s="69">
      <c r="J913" s="123" t="n"/>
      <c r="K913" s="73" t="n"/>
      <c r="L913" s="75" t="n"/>
      <c r="M913" s="75" t="n"/>
      <c r="N913" s="75" t="n"/>
      <c r="P913" s="73" t="n"/>
      <c r="Q913" s="73" t="n"/>
      <c r="R913" s="73" t="n"/>
      <c r="S913" s="122" t="n"/>
    </row>
    <row r="914" ht="11.4" customHeight="1" s="69">
      <c r="J914" s="123" t="n"/>
      <c r="K914" s="73" t="n"/>
      <c r="L914" s="75" t="n"/>
      <c r="M914" s="75" t="n"/>
      <c r="N914" s="75" t="n"/>
      <c r="P914" s="73" t="n"/>
      <c r="Q914" s="73" t="n"/>
      <c r="R914" s="73" t="n"/>
      <c r="S914" s="122" t="n"/>
    </row>
    <row r="915" ht="11.4" customHeight="1" s="69">
      <c r="J915" s="123" t="n"/>
      <c r="K915" s="73" t="n"/>
      <c r="L915" s="75" t="n"/>
      <c r="M915" s="75" t="n"/>
      <c r="N915" s="75" t="n"/>
      <c r="P915" s="73" t="n"/>
      <c r="Q915" s="73" t="n"/>
      <c r="R915" s="73" t="n"/>
      <c r="S915" s="122" t="n"/>
    </row>
    <row r="916" ht="11.4" customHeight="1" s="69">
      <c r="J916" s="123" t="n"/>
      <c r="K916" s="73" t="n"/>
      <c r="L916" s="75" t="n"/>
      <c r="M916" s="75" t="n"/>
      <c r="N916" s="75" t="n"/>
      <c r="P916" s="73" t="n"/>
      <c r="Q916" s="73" t="n"/>
      <c r="R916" s="73" t="n"/>
      <c r="S916" s="122" t="n"/>
    </row>
    <row r="917" ht="11.4" customHeight="1" s="69">
      <c r="J917" s="123" t="n"/>
      <c r="K917" s="73" t="n"/>
      <c r="L917" s="75" t="n"/>
      <c r="M917" s="75" t="n"/>
      <c r="N917" s="75" t="n"/>
      <c r="P917" s="73" t="n"/>
      <c r="Q917" s="73" t="n"/>
      <c r="R917" s="73" t="n"/>
      <c r="S917" s="122" t="n"/>
    </row>
    <row r="918" ht="11.4" customHeight="1" s="69">
      <c r="J918" s="123" t="n"/>
      <c r="K918" s="73" t="n"/>
      <c r="L918" s="75" t="n"/>
      <c r="M918" s="75" t="n"/>
      <c r="N918" s="75" t="n"/>
      <c r="P918" s="73" t="n"/>
      <c r="Q918" s="73" t="n"/>
      <c r="R918" s="73" t="n"/>
      <c r="S918" s="122" t="n"/>
    </row>
    <row r="919" ht="11.4" customHeight="1" s="69">
      <c r="J919" s="123" t="n"/>
      <c r="K919" s="73" t="n"/>
      <c r="L919" s="75" t="n"/>
      <c r="M919" s="75" t="n"/>
      <c r="N919" s="75" t="n"/>
      <c r="P919" s="73" t="n"/>
      <c r="Q919" s="73" t="n"/>
      <c r="R919" s="73" t="n"/>
      <c r="S919" s="122" t="n"/>
    </row>
    <row r="920" ht="11.4" customHeight="1" s="69">
      <c r="J920" s="123" t="n"/>
      <c r="K920" s="73" t="n"/>
      <c r="L920" s="75" t="n"/>
      <c r="M920" s="75" t="n"/>
      <c r="N920" s="75" t="n"/>
      <c r="P920" s="73" t="n"/>
      <c r="Q920" s="73" t="n"/>
      <c r="R920" s="73" t="n"/>
      <c r="S920" s="122" t="n"/>
    </row>
    <row r="921" ht="11.4" customHeight="1" s="69">
      <c r="J921" s="123" t="n"/>
      <c r="K921" s="73" t="n"/>
      <c r="L921" s="75" t="n"/>
      <c r="M921" s="75" t="n"/>
      <c r="N921" s="75" t="n"/>
      <c r="P921" s="73" t="n"/>
      <c r="Q921" s="73" t="n"/>
      <c r="R921" s="73" t="n"/>
      <c r="S921" s="122" t="n"/>
    </row>
    <row r="922" ht="11.4" customHeight="1" s="69">
      <c r="J922" s="123" t="n"/>
      <c r="K922" s="73" t="n"/>
      <c r="L922" s="75" t="n"/>
      <c r="M922" s="75" t="n"/>
      <c r="N922" s="75" t="n"/>
      <c r="P922" s="73" t="n"/>
      <c r="Q922" s="73" t="n"/>
      <c r="R922" s="73" t="n"/>
      <c r="S922" s="122" t="n"/>
    </row>
    <row r="923" ht="11.4" customHeight="1" s="69">
      <c r="J923" s="123" t="n"/>
      <c r="K923" s="73" t="n"/>
      <c r="L923" s="75" t="n"/>
      <c r="M923" s="75" t="n"/>
      <c r="N923" s="75" t="n"/>
      <c r="P923" s="73" t="n"/>
      <c r="Q923" s="73" t="n"/>
      <c r="R923" s="73" t="n"/>
      <c r="S923" s="122" t="n"/>
    </row>
    <row r="924" ht="11.4" customHeight="1" s="69">
      <c r="J924" s="123" t="n"/>
      <c r="K924" s="73" t="n"/>
      <c r="L924" s="75" t="n"/>
      <c r="M924" s="75" t="n"/>
      <c r="N924" s="75" t="n"/>
      <c r="P924" s="73" t="n"/>
      <c r="Q924" s="73" t="n"/>
      <c r="R924" s="73" t="n"/>
      <c r="S924" s="122" t="n"/>
    </row>
    <row r="925" ht="11.4" customHeight="1" s="69">
      <c r="J925" s="123" t="n"/>
      <c r="K925" s="73" t="n"/>
      <c r="L925" s="75" t="n"/>
      <c r="M925" s="75" t="n"/>
      <c r="N925" s="75" t="n"/>
      <c r="P925" s="73" t="n"/>
      <c r="Q925" s="73" t="n"/>
      <c r="R925" s="73" t="n"/>
      <c r="S925" s="122" t="n"/>
    </row>
    <row r="926" ht="11.4" customHeight="1" s="69">
      <c r="J926" s="123" t="n"/>
      <c r="K926" s="73" t="n"/>
      <c r="L926" s="75" t="n"/>
      <c r="M926" s="75" t="n"/>
      <c r="N926" s="75" t="n"/>
      <c r="P926" s="73" t="n"/>
      <c r="Q926" s="73" t="n"/>
      <c r="R926" s="73" t="n"/>
      <c r="S926" s="122" t="n"/>
    </row>
    <row r="927" ht="11.4" customHeight="1" s="69">
      <c r="J927" s="123" t="n"/>
      <c r="K927" s="73" t="n"/>
      <c r="L927" s="75" t="n"/>
      <c r="M927" s="75" t="n"/>
      <c r="N927" s="75" t="n"/>
      <c r="P927" s="73" t="n"/>
      <c r="Q927" s="73" t="n"/>
      <c r="R927" s="73" t="n"/>
      <c r="S927" s="122" t="n"/>
    </row>
    <row r="928" ht="11.4" customHeight="1" s="69">
      <c r="J928" s="123" t="n"/>
      <c r="K928" s="73" t="n"/>
      <c r="L928" s="75" t="n"/>
      <c r="M928" s="75" t="n"/>
      <c r="N928" s="75" t="n"/>
      <c r="P928" s="73" t="n"/>
      <c r="Q928" s="73" t="n"/>
      <c r="R928" s="73" t="n"/>
      <c r="S928" s="122" t="n"/>
    </row>
    <row r="929" ht="11.4" customHeight="1" s="69">
      <c r="J929" s="123" t="n"/>
      <c r="K929" s="73" t="n"/>
      <c r="L929" s="75" t="n"/>
      <c r="M929" s="75" t="n"/>
      <c r="N929" s="75" t="n"/>
      <c r="P929" s="73" t="n"/>
      <c r="Q929" s="73" t="n"/>
      <c r="R929" s="73" t="n"/>
      <c r="S929" s="122" t="n"/>
    </row>
    <row r="930" ht="11.4" customHeight="1" s="69">
      <c r="J930" s="123" t="n"/>
      <c r="K930" s="73" t="n"/>
      <c r="L930" s="75" t="n"/>
      <c r="M930" s="75" t="n"/>
      <c r="N930" s="75" t="n"/>
      <c r="P930" s="73" t="n"/>
      <c r="Q930" s="73" t="n"/>
      <c r="R930" s="73" t="n"/>
      <c r="S930" s="122" t="n"/>
    </row>
    <row r="931" ht="11.4" customHeight="1" s="69">
      <c r="J931" s="123" t="n"/>
      <c r="K931" s="73" t="n"/>
      <c r="L931" s="75" t="n"/>
      <c r="M931" s="75" t="n"/>
      <c r="N931" s="75" t="n"/>
      <c r="P931" s="73" t="n"/>
      <c r="Q931" s="73" t="n"/>
      <c r="R931" s="73" t="n"/>
      <c r="S931" s="122" t="n"/>
    </row>
    <row r="932" ht="11.4" customHeight="1" s="69">
      <c r="J932" s="123" t="n"/>
      <c r="K932" s="73" t="n"/>
      <c r="L932" s="75" t="n"/>
      <c r="M932" s="75" t="n"/>
      <c r="N932" s="75" t="n"/>
      <c r="P932" s="73" t="n"/>
      <c r="Q932" s="73" t="n"/>
      <c r="R932" s="73" t="n"/>
      <c r="S932" s="122" t="n"/>
    </row>
    <row r="933" ht="11.4" customHeight="1" s="69">
      <c r="J933" s="123" t="n"/>
      <c r="K933" s="73" t="n"/>
      <c r="L933" s="75" t="n"/>
      <c r="M933" s="75" t="n"/>
      <c r="N933" s="75" t="n"/>
      <c r="P933" s="73" t="n"/>
      <c r="Q933" s="73" t="n"/>
      <c r="R933" s="73" t="n"/>
      <c r="S933" s="122" t="n"/>
    </row>
    <row r="934" ht="11.4" customHeight="1" s="69">
      <c r="J934" s="123" t="n"/>
      <c r="K934" s="73" t="n"/>
      <c r="L934" s="75" t="n"/>
      <c r="M934" s="75" t="n"/>
      <c r="N934" s="75" t="n"/>
      <c r="P934" s="73" t="n"/>
      <c r="Q934" s="73" t="n"/>
      <c r="R934" s="73" t="n"/>
      <c r="S934" s="122" t="n"/>
    </row>
    <row r="935" ht="11.4" customHeight="1" s="69">
      <c r="J935" s="123" t="n"/>
      <c r="K935" s="73" t="n"/>
      <c r="L935" s="75" t="n"/>
      <c r="M935" s="75" t="n"/>
      <c r="N935" s="75" t="n"/>
      <c r="P935" s="73" t="n"/>
      <c r="Q935" s="73" t="n"/>
      <c r="R935" s="73" t="n"/>
      <c r="S935" s="122" t="n"/>
    </row>
    <row r="936" ht="11.4" customHeight="1" s="69">
      <c r="J936" s="123" t="n"/>
      <c r="K936" s="73" t="n"/>
      <c r="L936" s="75" t="n"/>
      <c r="M936" s="75" t="n"/>
      <c r="N936" s="75" t="n"/>
      <c r="P936" s="73" t="n"/>
      <c r="Q936" s="73" t="n"/>
      <c r="R936" s="73" t="n"/>
      <c r="S936" s="122" t="n"/>
    </row>
    <row r="937" ht="11.4" customHeight="1" s="69">
      <c r="J937" s="123" t="n"/>
      <c r="K937" s="73" t="n"/>
      <c r="L937" s="75" t="n"/>
      <c r="M937" s="75" t="n"/>
      <c r="N937" s="75" t="n"/>
      <c r="P937" s="73" t="n"/>
      <c r="Q937" s="73" t="n"/>
      <c r="R937" s="73" t="n"/>
      <c r="S937" s="122" t="n"/>
    </row>
    <row r="938" ht="11.4" customHeight="1" s="69">
      <c r="J938" s="123" t="n"/>
      <c r="K938" s="73" t="n"/>
      <c r="L938" s="75" t="n"/>
      <c r="M938" s="75" t="n"/>
      <c r="N938" s="75" t="n"/>
      <c r="P938" s="73" t="n"/>
      <c r="Q938" s="73" t="n"/>
      <c r="R938" s="73" t="n"/>
      <c r="S938" s="122" t="n"/>
    </row>
    <row r="939" ht="11.4" customHeight="1" s="69">
      <c r="J939" s="123" t="n"/>
      <c r="K939" s="73" t="n"/>
      <c r="L939" s="75" t="n"/>
      <c r="M939" s="75" t="n"/>
      <c r="N939" s="75" t="n"/>
      <c r="P939" s="73" t="n"/>
      <c r="Q939" s="73" t="n"/>
      <c r="R939" s="73" t="n"/>
      <c r="S939" s="122" t="n"/>
    </row>
    <row r="940" ht="11.4" customHeight="1" s="69">
      <c r="J940" s="123" t="n"/>
      <c r="K940" s="73" t="n"/>
      <c r="L940" s="75" t="n"/>
      <c r="M940" s="75" t="n"/>
      <c r="N940" s="75" t="n"/>
      <c r="P940" s="73" t="n"/>
      <c r="Q940" s="73" t="n"/>
      <c r="R940" s="73" t="n"/>
      <c r="S940" s="122" t="n"/>
    </row>
    <row r="941" ht="11.4" customHeight="1" s="69">
      <c r="J941" s="123" t="n"/>
      <c r="K941" s="73" t="n"/>
      <c r="L941" s="75" t="n"/>
      <c r="M941" s="75" t="n"/>
      <c r="N941" s="75" t="n"/>
      <c r="P941" s="73" t="n"/>
      <c r="Q941" s="73" t="n"/>
      <c r="R941" s="73" t="n"/>
      <c r="S941" s="122" t="n"/>
    </row>
    <row r="942" ht="11.4" customHeight="1" s="69">
      <c r="J942" s="123" t="n"/>
      <c r="K942" s="73" t="n"/>
      <c r="L942" s="75" t="n"/>
      <c r="M942" s="75" t="n"/>
      <c r="N942" s="75" t="n"/>
      <c r="P942" s="73" t="n"/>
      <c r="Q942" s="73" t="n"/>
      <c r="R942" s="73" t="n"/>
      <c r="S942" s="122" t="n"/>
    </row>
    <row r="943" ht="11.4" customHeight="1" s="69">
      <c r="J943" s="123" t="n"/>
      <c r="K943" s="73" t="n"/>
      <c r="L943" s="75" t="n"/>
      <c r="M943" s="75" t="n"/>
      <c r="N943" s="75" t="n"/>
      <c r="P943" s="73" t="n"/>
      <c r="Q943" s="73" t="n"/>
      <c r="R943" s="73" t="n"/>
      <c r="S943" s="122" t="n"/>
    </row>
    <row r="944" ht="11.4" customHeight="1" s="69">
      <c r="J944" s="123" t="n"/>
      <c r="K944" s="73" t="n"/>
      <c r="L944" s="75" t="n"/>
      <c r="M944" s="75" t="n"/>
      <c r="N944" s="75" t="n"/>
      <c r="P944" s="73" t="n"/>
      <c r="Q944" s="73" t="n"/>
      <c r="R944" s="73" t="n"/>
      <c r="S944" s="122" t="n"/>
    </row>
    <row r="945" ht="11.4" customHeight="1" s="69">
      <c r="J945" s="123" t="n"/>
      <c r="K945" s="73" t="n"/>
      <c r="L945" s="75" t="n"/>
      <c r="M945" s="75" t="n"/>
      <c r="N945" s="75" t="n"/>
      <c r="P945" s="73" t="n"/>
      <c r="Q945" s="73" t="n"/>
      <c r="R945" s="73" t="n"/>
      <c r="S945" s="122" t="n"/>
    </row>
    <row r="946" ht="11.4" customHeight="1" s="69">
      <c r="J946" s="123" t="n"/>
      <c r="K946" s="73" t="n"/>
      <c r="L946" s="75" t="n"/>
      <c r="M946" s="75" t="n"/>
      <c r="N946" s="75" t="n"/>
      <c r="P946" s="73" t="n"/>
      <c r="Q946" s="73" t="n"/>
      <c r="R946" s="73" t="n"/>
      <c r="S946" s="122" t="n"/>
    </row>
    <row r="947" ht="11.4" customHeight="1" s="69">
      <c r="J947" s="123" t="n"/>
      <c r="K947" s="73" t="n"/>
      <c r="L947" s="75" t="n"/>
      <c r="M947" s="75" t="n"/>
      <c r="N947" s="75" t="n"/>
      <c r="P947" s="73" t="n"/>
      <c r="Q947" s="73" t="n"/>
      <c r="R947" s="73" t="n"/>
      <c r="S947" s="122" t="n"/>
    </row>
    <row r="948" ht="11.4" customHeight="1" s="69">
      <c r="J948" s="123" t="n"/>
      <c r="K948" s="73" t="n"/>
      <c r="L948" s="75" t="n"/>
      <c r="M948" s="75" t="n"/>
      <c r="N948" s="75" t="n"/>
      <c r="P948" s="73" t="n"/>
      <c r="Q948" s="73" t="n"/>
      <c r="R948" s="73" t="n"/>
      <c r="S948" s="122" t="n"/>
    </row>
    <row r="949" ht="11.4" customHeight="1" s="69">
      <c r="J949" s="123" t="n"/>
      <c r="K949" s="73" t="n"/>
      <c r="L949" s="75" t="n"/>
      <c r="M949" s="75" t="n"/>
      <c r="N949" s="75" t="n"/>
      <c r="P949" s="73" t="n"/>
      <c r="Q949" s="73" t="n"/>
      <c r="R949" s="73" t="n"/>
      <c r="S949" s="122" t="n"/>
    </row>
    <row r="950" ht="11.4" customHeight="1" s="69">
      <c r="J950" s="123" t="n"/>
      <c r="K950" s="73" t="n"/>
      <c r="L950" s="75" t="n"/>
      <c r="M950" s="75" t="n"/>
      <c r="N950" s="75" t="n"/>
      <c r="P950" s="73" t="n"/>
      <c r="Q950" s="73" t="n"/>
      <c r="R950" s="73" t="n"/>
      <c r="S950" s="122" t="n"/>
    </row>
    <row r="951" ht="11.4" customHeight="1" s="69">
      <c r="J951" s="123" t="n"/>
      <c r="K951" s="73" t="n"/>
      <c r="L951" s="75" t="n"/>
      <c r="M951" s="75" t="n"/>
      <c r="N951" s="75" t="n"/>
      <c r="P951" s="73" t="n"/>
      <c r="Q951" s="73" t="n"/>
      <c r="R951" s="73" t="n"/>
      <c r="S951" s="122" t="n"/>
    </row>
    <row r="952" ht="11.4" customHeight="1" s="69">
      <c r="J952" s="123" t="n"/>
      <c r="K952" s="73" t="n"/>
      <c r="L952" s="75" t="n"/>
      <c r="M952" s="75" t="n"/>
      <c r="N952" s="75" t="n"/>
      <c r="P952" s="73" t="n"/>
      <c r="Q952" s="73" t="n"/>
      <c r="R952" s="73" t="n"/>
      <c r="S952" s="122" t="n"/>
    </row>
    <row r="953" ht="11.4" customHeight="1" s="69">
      <c r="J953" s="123" t="n"/>
      <c r="K953" s="73" t="n"/>
      <c r="L953" s="75" t="n"/>
      <c r="M953" s="75" t="n"/>
      <c r="N953" s="75" t="n"/>
      <c r="P953" s="73" t="n"/>
      <c r="Q953" s="73" t="n"/>
      <c r="R953" s="73" t="n"/>
      <c r="S953" s="122" t="n"/>
    </row>
    <row r="954" ht="11.4" customHeight="1" s="69">
      <c r="J954" s="123" t="n"/>
      <c r="K954" s="73" t="n"/>
      <c r="L954" s="75" t="n"/>
      <c r="M954" s="75" t="n"/>
      <c r="N954" s="75" t="n"/>
      <c r="P954" s="73" t="n"/>
      <c r="Q954" s="73" t="n"/>
      <c r="R954" s="73" t="n"/>
      <c r="S954" s="122" t="n"/>
    </row>
    <row r="955" ht="11.4" customHeight="1" s="69">
      <c r="J955" s="123" t="n"/>
      <c r="K955" s="73" t="n"/>
      <c r="L955" s="75" t="n"/>
      <c r="M955" s="75" t="n"/>
      <c r="N955" s="75" t="n"/>
      <c r="P955" s="73" t="n"/>
      <c r="Q955" s="73" t="n"/>
      <c r="R955" s="73" t="n"/>
      <c r="S955" s="122" t="n"/>
    </row>
    <row r="956" ht="11.4" customHeight="1" s="69">
      <c r="J956" s="123" t="n"/>
      <c r="K956" s="73" t="n"/>
      <c r="L956" s="75" t="n"/>
      <c r="M956" s="75" t="n"/>
      <c r="N956" s="75" t="n"/>
      <c r="P956" s="73" t="n"/>
      <c r="Q956" s="73" t="n"/>
      <c r="R956" s="73" t="n"/>
      <c r="S956" s="122" t="n"/>
    </row>
    <row r="957" ht="11.4" customHeight="1" s="69">
      <c r="J957" s="123" t="n"/>
      <c r="K957" s="73" t="n"/>
      <c r="L957" s="75" t="n"/>
      <c r="M957" s="75" t="n"/>
      <c r="N957" s="75" t="n"/>
      <c r="P957" s="73" t="n"/>
      <c r="Q957" s="73" t="n"/>
      <c r="R957" s="73" t="n"/>
      <c r="S957" s="122" t="n"/>
    </row>
    <row r="958" ht="11.4" customHeight="1" s="69">
      <c r="J958" s="123" t="n"/>
      <c r="K958" s="73" t="n"/>
      <c r="L958" s="75" t="n"/>
      <c r="M958" s="75" t="n"/>
      <c r="N958" s="75" t="n"/>
      <c r="P958" s="73" t="n"/>
      <c r="Q958" s="73" t="n"/>
      <c r="R958" s="73" t="n"/>
      <c r="S958" s="122" t="n"/>
    </row>
    <row r="959" ht="11.4" customHeight="1" s="69">
      <c r="J959" s="123" t="n"/>
      <c r="K959" s="73" t="n"/>
      <c r="L959" s="75" t="n"/>
      <c r="M959" s="75" t="n"/>
      <c r="N959" s="75" t="n"/>
      <c r="P959" s="73" t="n"/>
      <c r="Q959" s="73" t="n"/>
      <c r="R959" s="73" t="n"/>
      <c r="S959" s="122" t="n"/>
    </row>
    <row r="960" ht="11.4" customHeight="1" s="69">
      <c r="J960" s="123" t="n"/>
      <c r="K960" s="73" t="n"/>
      <c r="L960" s="75" t="n"/>
      <c r="M960" s="75" t="n"/>
      <c r="N960" s="75" t="n"/>
      <c r="P960" s="73" t="n"/>
      <c r="Q960" s="73" t="n"/>
      <c r="R960" s="73" t="n"/>
      <c r="S960" s="122" t="n"/>
    </row>
    <row r="961" ht="11.4" customHeight="1" s="69">
      <c r="J961" s="123" t="n"/>
      <c r="K961" s="73" t="n"/>
      <c r="L961" s="75" t="n"/>
      <c r="M961" s="75" t="n"/>
      <c r="N961" s="75" t="n"/>
      <c r="P961" s="73" t="n"/>
      <c r="Q961" s="73" t="n"/>
      <c r="R961" s="73" t="n"/>
      <c r="S961" s="122" t="n"/>
    </row>
    <row r="962" ht="11.4" customHeight="1" s="69">
      <c r="J962" s="123" t="n"/>
      <c r="K962" s="73" t="n"/>
      <c r="L962" s="75" t="n"/>
      <c r="M962" s="75" t="n"/>
      <c r="N962" s="75" t="n"/>
      <c r="P962" s="73" t="n"/>
      <c r="Q962" s="73" t="n"/>
      <c r="R962" s="73" t="n"/>
      <c r="S962" s="122" t="n"/>
    </row>
    <row r="963" ht="11.4" customHeight="1" s="69">
      <c r="J963" s="123" t="n"/>
      <c r="K963" s="73" t="n"/>
      <c r="L963" s="75" t="n"/>
      <c r="M963" s="75" t="n"/>
      <c r="N963" s="75" t="n"/>
      <c r="P963" s="73" t="n"/>
      <c r="Q963" s="73" t="n"/>
      <c r="R963" s="73" t="n"/>
      <c r="S963" s="122" t="n"/>
    </row>
    <row r="964" ht="11.4" customHeight="1" s="69">
      <c r="J964" s="123" t="n"/>
      <c r="K964" s="73" t="n"/>
      <c r="L964" s="75" t="n"/>
      <c r="M964" s="75" t="n"/>
      <c r="N964" s="75" t="n"/>
      <c r="P964" s="73" t="n"/>
      <c r="Q964" s="73" t="n"/>
      <c r="R964" s="73" t="n"/>
      <c r="S964" s="122" t="n"/>
    </row>
    <row r="965" ht="11.4" customHeight="1" s="69">
      <c r="J965" s="123" t="n"/>
      <c r="K965" s="73" t="n"/>
      <c r="L965" s="75" t="n"/>
      <c r="M965" s="75" t="n"/>
      <c r="N965" s="75" t="n"/>
      <c r="P965" s="73" t="n"/>
      <c r="Q965" s="73" t="n"/>
      <c r="R965" s="73" t="n"/>
      <c r="S965" s="122" t="n"/>
    </row>
    <row r="966" ht="11.4" customHeight="1" s="69">
      <c r="J966" s="123" t="n"/>
      <c r="K966" s="73" t="n"/>
      <c r="L966" s="75" t="n"/>
      <c r="M966" s="75" t="n"/>
      <c r="N966" s="75" t="n"/>
      <c r="P966" s="73" t="n"/>
      <c r="Q966" s="73" t="n"/>
      <c r="R966" s="73" t="n"/>
      <c r="S966" s="122" t="n"/>
    </row>
    <row r="967" ht="11.4" customHeight="1" s="69">
      <c r="J967" s="123" t="n"/>
      <c r="K967" s="73" t="n"/>
      <c r="L967" s="75" t="n"/>
      <c r="M967" s="75" t="n"/>
      <c r="N967" s="75" t="n"/>
      <c r="P967" s="73" t="n"/>
      <c r="Q967" s="73" t="n"/>
      <c r="R967" s="73" t="n"/>
      <c r="S967" s="122" t="n"/>
    </row>
    <row r="968" ht="11.4" customHeight="1" s="69">
      <c r="J968" s="123" t="n"/>
      <c r="K968" s="73" t="n"/>
      <c r="L968" s="75" t="n"/>
      <c r="M968" s="75" t="n"/>
      <c r="N968" s="75" t="n"/>
      <c r="P968" s="73" t="n"/>
      <c r="Q968" s="73" t="n"/>
      <c r="R968" s="73" t="n"/>
      <c r="S968" s="122" t="n"/>
    </row>
    <row r="969" ht="11.4" customHeight="1" s="69">
      <c r="J969" s="123" t="n"/>
      <c r="K969" s="73" t="n"/>
      <c r="L969" s="75" t="n"/>
      <c r="M969" s="75" t="n"/>
      <c r="N969" s="75" t="n"/>
      <c r="P969" s="73" t="n"/>
      <c r="Q969" s="73" t="n"/>
      <c r="R969" s="73" t="n"/>
      <c r="S969" s="122" t="n"/>
    </row>
    <row r="970" ht="11.4" customHeight="1" s="69">
      <c r="J970" s="123" t="n"/>
      <c r="K970" s="73" t="n"/>
      <c r="L970" s="75" t="n"/>
      <c r="M970" s="75" t="n"/>
      <c r="N970" s="75" t="n"/>
      <c r="P970" s="73" t="n"/>
      <c r="Q970" s="73" t="n"/>
      <c r="R970" s="73" t="n"/>
      <c r="S970" s="122" t="n"/>
    </row>
    <row r="971" ht="11.4" customHeight="1" s="69">
      <c r="J971" s="123" t="n"/>
      <c r="K971" s="73" t="n"/>
      <c r="L971" s="75" t="n"/>
      <c r="M971" s="75" t="n"/>
      <c r="N971" s="75" t="n"/>
      <c r="P971" s="73" t="n"/>
      <c r="Q971" s="73" t="n"/>
      <c r="R971" s="73" t="n"/>
      <c r="S971" s="122" t="n"/>
    </row>
    <row r="972" ht="11.4" customHeight="1" s="69">
      <c r="J972" s="123" t="n"/>
      <c r="K972" s="73" t="n"/>
      <c r="L972" s="75" t="n"/>
      <c r="M972" s="75" t="n"/>
      <c r="N972" s="75" t="n"/>
      <c r="P972" s="73" t="n"/>
      <c r="Q972" s="73" t="n"/>
      <c r="R972" s="73" t="n"/>
      <c r="S972" s="122" t="n"/>
    </row>
    <row r="973" ht="11.4" customHeight="1" s="69">
      <c r="J973" s="123" t="n"/>
      <c r="K973" s="73" t="n"/>
      <c r="L973" s="75" t="n"/>
      <c r="M973" s="75" t="n"/>
      <c r="N973" s="75" t="n"/>
      <c r="P973" s="73" t="n"/>
      <c r="Q973" s="73" t="n"/>
      <c r="R973" s="73" t="n"/>
      <c r="S973" s="122" t="n"/>
    </row>
    <row r="974" ht="11.4" customHeight="1" s="69">
      <c r="J974" s="123" t="n"/>
      <c r="K974" s="73" t="n"/>
      <c r="L974" s="75" t="n"/>
      <c r="M974" s="75" t="n"/>
      <c r="N974" s="75" t="n"/>
      <c r="P974" s="73" t="n"/>
      <c r="Q974" s="73" t="n"/>
      <c r="R974" s="73" t="n"/>
      <c r="S974" s="122" t="n"/>
    </row>
    <row r="975" ht="11.4" customHeight="1" s="69">
      <c r="J975" s="123" t="n"/>
      <c r="K975" s="73" t="n"/>
      <c r="L975" s="75" t="n"/>
      <c r="M975" s="75" t="n"/>
      <c r="N975" s="75" t="n"/>
      <c r="P975" s="73" t="n"/>
      <c r="Q975" s="73" t="n"/>
      <c r="R975" s="73" t="n"/>
      <c r="S975" s="122" t="n"/>
    </row>
    <row r="976" ht="11.4" customHeight="1" s="69">
      <c r="J976" s="123" t="n"/>
      <c r="K976" s="73" t="n"/>
      <c r="L976" s="75" t="n"/>
      <c r="M976" s="75" t="n"/>
      <c r="N976" s="75" t="n"/>
      <c r="P976" s="73" t="n"/>
      <c r="Q976" s="73" t="n"/>
      <c r="R976" s="73" t="n"/>
      <c r="S976" s="122" t="n"/>
    </row>
    <row r="977" ht="11.4" customHeight="1" s="69">
      <c r="J977" s="123" t="n"/>
      <c r="K977" s="73" t="n"/>
      <c r="L977" s="75" t="n"/>
      <c r="M977" s="75" t="n"/>
      <c r="N977" s="75" t="n"/>
      <c r="P977" s="73" t="n"/>
      <c r="Q977" s="73" t="n"/>
      <c r="R977" s="73" t="n"/>
      <c r="S977" s="122" t="n"/>
    </row>
    <row r="978" ht="11.4" customHeight="1" s="69">
      <c r="J978" s="123" t="n"/>
      <c r="K978" s="73" t="n"/>
      <c r="L978" s="75" t="n"/>
      <c r="M978" s="75" t="n"/>
      <c r="N978" s="75" t="n"/>
      <c r="P978" s="73" t="n"/>
      <c r="Q978" s="73" t="n"/>
      <c r="R978" s="73" t="n"/>
      <c r="S978" s="122" t="n"/>
    </row>
    <row r="979" ht="11.4" customHeight="1" s="69">
      <c r="J979" s="123" t="n"/>
      <c r="K979" s="73" t="n"/>
      <c r="L979" s="75" t="n"/>
      <c r="M979" s="75" t="n"/>
      <c r="N979" s="75" t="n"/>
      <c r="P979" s="73" t="n"/>
      <c r="Q979" s="73" t="n"/>
      <c r="R979" s="73" t="n"/>
      <c r="S979" s="122" t="n"/>
    </row>
    <row r="980" ht="11.4" customHeight="1" s="69">
      <c r="J980" s="123" t="n"/>
      <c r="K980" s="73" t="n"/>
      <c r="L980" s="75" t="n"/>
      <c r="M980" s="75" t="n"/>
      <c r="N980" s="75" t="n"/>
      <c r="P980" s="73" t="n"/>
      <c r="Q980" s="73" t="n"/>
      <c r="R980" s="73" t="n"/>
      <c r="S980" s="122" t="n"/>
    </row>
    <row r="981" ht="11.4" customHeight="1" s="69">
      <c r="J981" s="123" t="n"/>
      <c r="K981" s="73" t="n"/>
      <c r="L981" s="75" t="n"/>
      <c r="M981" s="75" t="n"/>
      <c r="N981" s="75" t="n"/>
      <c r="P981" s="73" t="n"/>
      <c r="Q981" s="73" t="n"/>
      <c r="R981" s="73" t="n"/>
      <c r="S981" s="122" t="n"/>
    </row>
    <row r="982" ht="11.4" customHeight="1" s="69">
      <c r="J982" s="123" t="n"/>
      <c r="K982" s="73" t="n"/>
      <c r="L982" s="75" t="n"/>
      <c r="M982" s="75" t="n"/>
      <c r="N982" s="75" t="n"/>
      <c r="P982" s="73" t="n"/>
      <c r="Q982" s="73" t="n"/>
      <c r="R982" s="73" t="n"/>
      <c r="S982" s="122" t="n"/>
    </row>
    <row r="983" ht="11.4" customHeight="1" s="69">
      <c r="J983" s="123" t="n"/>
      <c r="K983" s="73" t="n"/>
      <c r="L983" s="75" t="n"/>
      <c r="M983" s="75" t="n"/>
      <c r="N983" s="75" t="n"/>
      <c r="P983" s="73" t="n"/>
      <c r="Q983" s="73" t="n"/>
      <c r="R983" s="73" t="n"/>
      <c r="S983" s="122" t="n"/>
    </row>
    <row r="984" ht="11.4" customHeight="1" s="69">
      <c r="J984" s="123" t="n"/>
      <c r="K984" s="73" t="n"/>
      <c r="L984" s="75" t="n"/>
      <c r="M984" s="75" t="n"/>
      <c r="N984" s="75" t="n"/>
      <c r="P984" s="73" t="n"/>
      <c r="Q984" s="73" t="n"/>
      <c r="R984" s="73" t="n"/>
      <c r="S984" s="122" t="n"/>
    </row>
    <row r="985" ht="11.4" customHeight="1" s="69">
      <c r="J985" s="123" t="n"/>
      <c r="K985" s="73" t="n"/>
      <c r="L985" s="75" t="n"/>
      <c r="M985" s="75" t="n"/>
      <c r="N985" s="75" t="n"/>
      <c r="P985" s="73" t="n"/>
      <c r="Q985" s="73" t="n"/>
      <c r="R985" s="73" t="n"/>
      <c r="S985" s="122" t="n"/>
    </row>
    <row r="986" ht="11.4" customHeight="1" s="69">
      <c r="J986" s="123" t="n"/>
      <c r="K986" s="73" t="n"/>
      <c r="L986" s="75" t="n"/>
      <c r="M986" s="75" t="n"/>
      <c r="N986" s="75" t="n"/>
      <c r="P986" s="73" t="n"/>
      <c r="Q986" s="73" t="n"/>
      <c r="R986" s="73" t="n"/>
      <c r="S986" s="122" t="n"/>
    </row>
    <row r="987" ht="11.4" customHeight="1" s="69">
      <c r="J987" s="123" t="n"/>
      <c r="K987" s="73" t="n"/>
      <c r="L987" s="75" t="n"/>
      <c r="M987" s="75" t="n"/>
      <c r="N987" s="75" t="n"/>
      <c r="P987" s="73" t="n"/>
      <c r="Q987" s="73" t="n"/>
      <c r="R987" s="73" t="n"/>
      <c r="S987" s="122" t="n"/>
    </row>
    <row r="988" ht="11.4" customHeight="1" s="69">
      <c r="J988" s="123" t="n"/>
      <c r="K988" s="73" t="n"/>
      <c r="L988" s="75" t="n"/>
      <c r="M988" s="75" t="n"/>
      <c r="N988" s="75" t="n"/>
      <c r="P988" s="73" t="n"/>
      <c r="Q988" s="73" t="n"/>
      <c r="R988" s="73" t="n"/>
      <c r="S988" s="122" t="n"/>
    </row>
    <row r="989" ht="11.4" customHeight="1" s="69">
      <c r="J989" s="123" t="n"/>
      <c r="K989" s="73" t="n"/>
      <c r="L989" s="75" t="n"/>
      <c r="M989" s="75" t="n"/>
      <c r="N989" s="75" t="n"/>
      <c r="P989" s="73" t="n"/>
      <c r="Q989" s="73" t="n"/>
      <c r="R989" s="73" t="n"/>
      <c r="S989" s="122" t="n"/>
    </row>
    <row r="990" ht="11.4" customHeight="1" s="69">
      <c r="J990" s="123" t="n"/>
      <c r="K990" s="73" t="n"/>
      <c r="L990" s="75" t="n"/>
      <c r="M990" s="75" t="n"/>
      <c r="N990" s="75" t="n"/>
      <c r="P990" s="73" t="n"/>
      <c r="Q990" s="73" t="n"/>
      <c r="R990" s="73" t="n"/>
      <c r="S990" s="122" t="n"/>
    </row>
    <row r="991" ht="11.4" customHeight="1" s="69">
      <c r="J991" s="123" t="n"/>
      <c r="K991" s="73" t="n"/>
      <c r="L991" s="75" t="n"/>
      <c r="M991" s="75" t="n"/>
      <c r="N991" s="75" t="n"/>
      <c r="P991" s="73" t="n"/>
      <c r="Q991" s="73" t="n"/>
      <c r="R991" s="73" t="n"/>
      <c r="S991" s="122" t="n"/>
    </row>
    <row r="992" ht="11.4" customHeight="1" s="69">
      <c r="J992" s="123" t="n"/>
      <c r="K992" s="73" t="n"/>
      <c r="L992" s="75" t="n"/>
      <c r="M992" s="75" t="n"/>
      <c r="N992" s="75" t="n"/>
      <c r="P992" s="73" t="n"/>
      <c r="Q992" s="73" t="n"/>
      <c r="R992" s="73" t="n"/>
      <c r="S992" s="122" t="n"/>
    </row>
    <row r="993" ht="11.4" customHeight="1" s="69">
      <c r="J993" s="123" t="n"/>
      <c r="K993" s="73" t="n"/>
      <c r="L993" s="75" t="n"/>
      <c r="M993" s="75" t="n"/>
      <c r="N993" s="75" t="n"/>
      <c r="P993" s="73" t="n"/>
      <c r="Q993" s="73" t="n"/>
      <c r="R993" s="73" t="n"/>
      <c r="S993" s="122" t="n"/>
    </row>
    <row r="994" ht="11.4" customHeight="1" s="69">
      <c r="J994" s="123" t="n"/>
      <c r="K994" s="73" t="n"/>
      <c r="L994" s="75" t="n"/>
      <c r="M994" s="75" t="n"/>
      <c r="N994" s="75" t="n"/>
      <c r="P994" s="73" t="n"/>
      <c r="Q994" s="73" t="n"/>
      <c r="R994" s="73" t="n"/>
      <c r="S994" s="122" t="n"/>
    </row>
    <row r="995" ht="11.4" customHeight="1" s="69">
      <c r="J995" s="123" t="n"/>
      <c r="K995" s="73" t="n"/>
      <c r="L995" s="75" t="n"/>
      <c r="M995" s="75" t="n"/>
      <c r="N995" s="75" t="n"/>
      <c r="P995" s="73" t="n"/>
      <c r="Q995" s="73" t="n"/>
      <c r="R995" s="73" t="n"/>
      <c r="S995" s="122" t="n"/>
    </row>
    <row r="996" ht="11.4" customHeight="1" s="69">
      <c r="J996" s="123" t="n"/>
      <c r="K996" s="73" t="n"/>
      <c r="L996" s="75" t="n"/>
      <c r="M996" s="75" t="n"/>
      <c r="N996" s="75" t="n"/>
      <c r="P996" s="73" t="n"/>
      <c r="Q996" s="73" t="n"/>
      <c r="R996" s="73" t="n"/>
      <c r="S996" s="122" t="n"/>
    </row>
    <row r="997" ht="11.4" customHeight="1" s="69">
      <c r="J997" s="123" t="n"/>
      <c r="K997" s="73" t="n"/>
      <c r="L997" s="75" t="n"/>
      <c r="M997" s="75" t="n"/>
      <c r="N997" s="75" t="n"/>
      <c r="P997" s="73" t="n"/>
      <c r="Q997" s="73" t="n"/>
      <c r="R997" s="73" t="n"/>
      <c r="S997" s="122" t="n"/>
    </row>
    <row r="998" ht="11.4" customHeight="1" s="69">
      <c r="J998" s="123" t="n"/>
      <c r="K998" s="73" t="n"/>
      <c r="L998" s="75" t="n"/>
      <c r="M998" s="75" t="n"/>
      <c r="N998" s="75" t="n"/>
      <c r="P998" s="73" t="n"/>
      <c r="Q998" s="73" t="n"/>
      <c r="R998" s="73" t="n"/>
      <c r="S998" s="122" t="n"/>
    </row>
    <row r="999" ht="11.4" customHeight="1" s="69">
      <c r="J999" s="123" t="n"/>
      <c r="K999" s="73" t="n"/>
      <c r="L999" s="75" t="n"/>
      <c r="M999" s="75" t="n"/>
      <c r="N999" s="75" t="n"/>
      <c r="P999" s="73" t="n"/>
      <c r="Q999" s="73" t="n"/>
      <c r="R999" s="73" t="n"/>
      <c r="S999" s="122" t="n"/>
    </row>
    <row r="1000" ht="11.4" customHeight="1" s="69">
      <c r="J1000" s="123" t="n"/>
      <c r="K1000" s="73" t="n"/>
      <c r="L1000" s="75" t="n"/>
      <c r="M1000" s="75" t="n"/>
      <c r="N1000" s="75" t="n"/>
      <c r="P1000" s="73" t="n"/>
      <c r="Q1000" s="73" t="n"/>
      <c r="R1000" s="73" t="n"/>
      <c r="S1000" s="122" t="n"/>
    </row>
    <row r="1001" ht="11.4" customHeight="1" s="69">
      <c r="J1001" s="123" t="n"/>
      <c r="K1001" s="73" t="n"/>
      <c r="L1001" s="75" t="n"/>
      <c r="M1001" s="75" t="n"/>
      <c r="N1001" s="75" t="n"/>
      <c r="P1001" s="73" t="n"/>
      <c r="Q1001" s="73" t="n"/>
      <c r="R1001" s="73" t="n"/>
      <c r="S1001" s="122" t="n"/>
    </row>
    <row r="1002" ht="11.4" customHeight="1" s="69">
      <c r="J1002" s="123" t="n"/>
      <c r="K1002" s="73" t="n"/>
      <c r="L1002" s="75" t="n"/>
      <c r="M1002" s="75" t="n"/>
      <c r="N1002" s="75" t="n"/>
      <c r="P1002" s="73" t="n"/>
      <c r="Q1002" s="73" t="n"/>
      <c r="R1002" s="73" t="n"/>
      <c r="S1002" s="122" t="n"/>
    </row>
    <row r="1003" ht="11.4" customHeight="1" s="69">
      <c r="J1003" s="123" t="n"/>
      <c r="K1003" s="73" t="n"/>
      <c r="L1003" s="75" t="n"/>
      <c r="M1003" s="75" t="n"/>
      <c r="N1003" s="75" t="n"/>
      <c r="P1003" s="73" t="n"/>
      <c r="Q1003" s="73" t="n"/>
      <c r="R1003" s="73" t="n"/>
      <c r="S1003" s="122" t="n"/>
    </row>
    <row r="1004" ht="11.4" customHeight="1" s="69">
      <c r="J1004" s="123" t="n"/>
      <c r="K1004" s="73" t="n"/>
      <c r="L1004" s="75" t="n"/>
      <c r="M1004" s="75" t="n"/>
      <c r="N1004" s="75" t="n"/>
      <c r="P1004" s="73" t="n"/>
      <c r="Q1004" s="73" t="n"/>
      <c r="R1004" s="73" t="n"/>
      <c r="S1004" s="122" t="n"/>
    </row>
    <row r="1005" ht="11.4" customHeight="1" s="69">
      <c r="J1005" s="123" t="n"/>
      <c r="K1005" s="73" t="n"/>
      <c r="L1005" s="75" t="n"/>
      <c r="M1005" s="75" t="n"/>
      <c r="N1005" s="75" t="n"/>
      <c r="P1005" s="73" t="n"/>
      <c r="Q1005" s="73" t="n"/>
      <c r="R1005" s="73" t="n"/>
      <c r="S1005" s="122" t="n"/>
    </row>
    <row r="1006" ht="11.4" customHeight="1" s="69">
      <c r="J1006" s="123" t="n"/>
      <c r="K1006" s="73" t="n"/>
      <c r="L1006" s="75" t="n"/>
      <c r="M1006" s="75" t="n"/>
      <c r="N1006" s="75" t="n"/>
      <c r="P1006" s="73" t="n"/>
      <c r="Q1006" s="73" t="n"/>
      <c r="R1006" s="73" t="n"/>
      <c r="S1006" s="122" t="n"/>
    </row>
    <row r="1007" ht="11.4" customHeight="1" s="69">
      <c r="J1007" s="123" t="n"/>
      <c r="K1007" s="73" t="n"/>
      <c r="L1007" s="75" t="n"/>
      <c r="M1007" s="75" t="n"/>
      <c r="N1007" s="75" t="n"/>
      <c r="P1007" s="73" t="n"/>
      <c r="Q1007" s="73" t="n"/>
      <c r="R1007" s="73" t="n"/>
      <c r="S1007" s="122" t="n"/>
    </row>
    <row r="1008" ht="11.4" customHeight="1" s="69">
      <c r="J1008" s="123" t="n"/>
      <c r="K1008" s="73" t="n"/>
      <c r="L1008" s="75" t="n"/>
      <c r="M1008" s="75" t="n"/>
      <c r="N1008" s="75" t="n"/>
      <c r="P1008" s="73" t="n"/>
      <c r="Q1008" s="73" t="n"/>
      <c r="R1008" s="73" t="n"/>
      <c r="S1008" s="122" t="n"/>
    </row>
    <row r="1009" ht="11.4" customHeight="1" s="69">
      <c r="J1009" s="123" t="n"/>
      <c r="K1009" s="73" t="n"/>
      <c r="L1009" s="75" t="n"/>
      <c r="M1009" s="75" t="n"/>
      <c r="N1009" s="75" t="n"/>
      <c r="P1009" s="73" t="n"/>
      <c r="Q1009" s="73" t="n"/>
      <c r="R1009" s="73" t="n"/>
      <c r="S1009" s="122" t="n"/>
    </row>
    <row r="1010" ht="11.4" customHeight="1" s="69">
      <c r="J1010" s="123" t="n"/>
      <c r="K1010" s="73" t="n"/>
      <c r="L1010" s="75" t="n"/>
      <c r="M1010" s="75" t="n"/>
      <c r="N1010" s="75" t="n"/>
      <c r="P1010" s="73" t="n"/>
      <c r="Q1010" s="73" t="n"/>
      <c r="R1010" s="73" t="n"/>
      <c r="S1010" s="122" t="n"/>
    </row>
    <row r="1011" ht="11.4" customHeight="1" s="69">
      <c r="J1011" s="123" t="n"/>
      <c r="K1011" s="73" t="n"/>
      <c r="L1011" s="75" t="n"/>
      <c r="M1011" s="75" t="n"/>
      <c r="N1011" s="75" t="n"/>
      <c r="P1011" s="73" t="n"/>
      <c r="Q1011" s="73" t="n"/>
      <c r="R1011" s="73" t="n"/>
      <c r="S1011" s="122" t="n"/>
    </row>
    <row r="1012" ht="11.4" customHeight="1" s="69">
      <c r="J1012" s="123" t="n"/>
      <c r="K1012" s="73" t="n"/>
      <c r="L1012" s="75" t="n"/>
      <c r="M1012" s="75" t="n"/>
      <c r="N1012" s="75" t="n"/>
      <c r="P1012" s="73" t="n"/>
      <c r="Q1012" s="73" t="n"/>
      <c r="R1012" s="73" t="n"/>
      <c r="S1012" s="122" t="n"/>
    </row>
    <row r="1013" ht="11.4" customHeight="1" s="69">
      <c r="J1013" s="123" t="n"/>
      <c r="K1013" s="73" t="n"/>
      <c r="L1013" s="75" t="n"/>
      <c r="M1013" s="75" t="n"/>
      <c r="N1013" s="75" t="n"/>
      <c r="P1013" s="73" t="n"/>
      <c r="Q1013" s="73" t="n"/>
      <c r="R1013" s="73" t="n"/>
      <c r="S1013" s="122" t="n"/>
    </row>
    <row r="1014" ht="11.4" customHeight="1" s="69">
      <c r="J1014" s="123" t="n"/>
      <c r="K1014" s="73" t="n"/>
      <c r="L1014" s="75" t="n"/>
      <c r="M1014" s="75" t="n"/>
      <c r="N1014" s="75" t="n"/>
      <c r="P1014" s="73" t="n"/>
      <c r="Q1014" s="73" t="n"/>
      <c r="R1014" s="73" t="n"/>
      <c r="S1014" s="122" t="n"/>
    </row>
    <row r="1015" ht="11.4" customHeight="1" s="69">
      <c r="J1015" s="123" t="n"/>
      <c r="K1015" s="73" t="n"/>
      <c r="L1015" s="75" t="n"/>
      <c r="M1015" s="75" t="n"/>
      <c r="N1015" s="75" t="n"/>
      <c r="P1015" s="73" t="n"/>
      <c r="Q1015" s="73" t="n"/>
      <c r="R1015" s="73" t="n"/>
      <c r="S1015" s="122" t="n"/>
    </row>
    <row r="1016" ht="11.4" customHeight="1" s="69">
      <c r="J1016" s="123" t="n"/>
      <c r="K1016" s="73" t="n"/>
      <c r="L1016" s="75" t="n"/>
      <c r="M1016" s="75" t="n"/>
      <c r="N1016" s="75" t="n"/>
      <c r="P1016" s="73" t="n"/>
      <c r="Q1016" s="73" t="n"/>
      <c r="R1016" s="73" t="n"/>
      <c r="S1016" s="122" t="n"/>
    </row>
    <row r="1017" ht="11.4" customHeight="1" s="69">
      <c r="J1017" s="123" t="n"/>
      <c r="K1017" s="73" t="n"/>
      <c r="L1017" s="75" t="n"/>
      <c r="M1017" s="75" t="n"/>
      <c r="N1017" s="75" t="n"/>
      <c r="P1017" s="73" t="n"/>
      <c r="Q1017" s="73" t="n"/>
      <c r="R1017" s="73" t="n"/>
      <c r="S1017" s="122" t="n"/>
    </row>
    <row r="1018" ht="11.4" customHeight="1" s="69">
      <c r="J1018" s="123" t="n"/>
      <c r="K1018" s="73" t="n"/>
      <c r="L1018" s="75" t="n"/>
      <c r="M1018" s="75" t="n"/>
      <c r="N1018" s="75" t="n"/>
      <c r="P1018" s="73" t="n"/>
      <c r="Q1018" s="73" t="n"/>
      <c r="R1018" s="73" t="n"/>
      <c r="S1018" s="122" t="n"/>
    </row>
    <row r="1019" ht="11.4" customHeight="1" s="69">
      <c r="J1019" s="123" t="n"/>
      <c r="K1019" s="73" t="n"/>
      <c r="L1019" s="75" t="n"/>
      <c r="M1019" s="75" t="n"/>
      <c r="N1019" s="75" t="n"/>
      <c r="P1019" s="73" t="n"/>
      <c r="Q1019" s="73" t="n"/>
      <c r="R1019" s="73" t="n"/>
      <c r="S1019" s="122" t="n"/>
    </row>
    <row r="1020" ht="11.4" customHeight="1" s="69">
      <c r="J1020" s="123" t="n"/>
      <c r="K1020" s="73" t="n"/>
      <c r="L1020" s="75" t="n"/>
      <c r="M1020" s="75" t="n"/>
      <c r="N1020" s="75" t="n"/>
      <c r="P1020" s="73" t="n"/>
      <c r="Q1020" s="73" t="n"/>
      <c r="R1020" s="73" t="n"/>
      <c r="S1020" s="122" t="n"/>
    </row>
    <row r="1021" ht="11.4" customHeight="1" s="69">
      <c r="J1021" s="123" t="n"/>
      <c r="K1021" s="73" t="n"/>
      <c r="L1021" s="75" t="n"/>
      <c r="M1021" s="75" t="n"/>
      <c r="N1021" s="75" t="n"/>
      <c r="P1021" s="73" t="n"/>
      <c r="Q1021" s="73" t="n"/>
      <c r="R1021" s="73" t="n"/>
      <c r="S1021" s="122" t="n"/>
    </row>
    <row r="1022" ht="11.4" customHeight="1" s="69">
      <c r="J1022" s="123" t="n"/>
      <c r="K1022" s="73" t="n"/>
      <c r="L1022" s="75" t="n"/>
      <c r="M1022" s="75" t="n"/>
      <c r="N1022" s="75" t="n"/>
      <c r="P1022" s="73" t="n"/>
      <c r="Q1022" s="73" t="n"/>
      <c r="R1022" s="73" t="n"/>
      <c r="S1022" s="122" t="n"/>
    </row>
    <row r="1023" ht="11.4" customHeight="1" s="69">
      <c r="J1023" s="123" t="n"/>
      <c r="K1023" s="73" t="n"/>
      <c r="L1023" s="75" t="n"/>
      <c r="M1023" s="75" t="n"/>
      <c r="N1023" s="75" t="n"/>
      <c r="P1023" s="73" t="n"/>
      <c r="Q1023" s="73" t="n"/>
      <c r="R1023" s="73" t="n"/>
      <c r="S1023" s="122" t="n"/>
    </row>
    <row r="1024" ht="11.4" customHeight="1" s="69">
      <c r="J1024" s="123" t="n"/>
      <c r="K1024" s="73" t="n"/>
      <c r="L1024" s="75" t="n"/>
      <c r="M1024" s="75" t="n"/>
      <c r="N1024" s="75" t="n"/>
      <c r="P1024" s="73" t="n"/>
      <c r="Q1024" s="73" t="n"/>
      <c r="R1024" s="73" t="n"/>
      <c r="S1024" s="122" t="n"/>
    </row>
    <row r="1025" ht="11.4" customHeight="1" s="69">
      <c r="J1025" s="123" t="n"/>
      <c r="K1025" s="73" t="n"/>
      <c r="L1025" s="75" t="n"/>
      <c r="M1025" s="75" t="n"/>
      <c r="N1025" s="75" t="n"/>
      <c r="P1025" s="73" t="n"/>
      <c r="Q1025" s="73" t="n"/>
      <c r="R1025" s="73" t="n"/>
      <c r="S1025" s="122" t="n"/>
    </row>
    <row r="1026" ht="11.4" customHeight="1" s="69">
      <c r="J1026" s="123" t="n"/>
      <c r="K1026" s="73" t="n"/>
      <c r="L1026" s="75" t="n"/>
      <c r="M1026" s="75" t="n"/>
      <c r="N1026" s="75" t="n"/>
      <c r="P1026" s="73" t="n"/>
      <c r="Q1026" s="73" t="n"/>
      <c r="R1026" s="73" t="n"/>
      <c r="S1026" s="122" t="n"/>
    </row>
    <row r="1027" ht="11.4" customHeight="1" s="69">
      <c r="J1027" s="123" t="n"/>
      <c r="K1027" s="73" t="n"/>
      <c r="L1027" s="75" t="n"/>
      <c r="M1027" s="75" t="n"/>
      <c r="N1027" s="75" t="n"/>
      <c r="P1027" s="73" t="n"/>
      <c r="Q1027" s="73" t="n"/>
      <c r="R1027" s="73" t="n"/>
      <c r="S1027" s="122" t="n"/>
    </row>
    <row r="1028" ht="11.4" customHeight="1" s="69">
      <c r="J1028" s="123" t="n"/>
      <c r="K1028" s="73" t="n"/>
      <c r="L1028" s="75" t="n"/>
      <c r="M1028" s="75" t="n"/>
      <c r="N1028" s="75" t="n"/>
      <c r="P1028" s="73" t="n"/>
      <c r="Q1028" s="73" t="n"/>
      <c r="R1028" s="73" t="n"/>
      <c r="S1028" s="122" t="n"/>
    </row>
    <row r="1029" ht="11.4" customHeight="1" s="69">
      <c r="J1029" s="123" t="n"/>
      <c r="K1029" s="73" t="n"/>
      <c r="L1029" s="75" t="n"/>
      <c r="M1029" s="75" t="n"/>
      <c r="N1029" s="75" t="n"/>
      <c r="P1029" s="73" t="n"/>
      <c r="Q1029" s="73" t="n"/>
      <c r="R1029" s="73" t="n"/>
      <c r="S1029" s="122" t="n"/>
    </row>
    <row r="1030" ht="11.4" customHeight="1" s="69">
      <c r="J1030" s="123" t="n"/>
      <c r="K1030" s="73" t="n"/>
      <c r="L1030" s="75" t="n"/>
      <c r="M1030" s="75" t="n"/>
      <c r="N1030" s="75" t="n"/>
      <c r="P1030" s="73" t="n"/>
      <c r="Q1030" s="73" t="n"/>
      <c r="R1030" s="73" t="n"/>
      <c r="S1030" s="122" t="n"/>
    </row>
    <row r="1031" ht="11.4" customHeight="1" s="69">
      <c r="J1031" s="123" t="n"/>
      <c r="K1031" s="73" t="n"/>
      <c r="L1031" s="75" t="n"/>
      <c r="M1031" s="75" t="n"/>
      <c r="N1031" s="75" t="n"/>
      <c r="P1031" s="73" t="n"/>
      <c r="Q1031" s="73" t="n"/>
      <c r="R1031" s="73" t="n"/>
      <c r="S1031" s="122" t="n"/>
    </row>
    <row r="1032" ht="11.4" customHeight="1" s="69">
      <c r="J1032" s="123" t="n"/>
      <c r="K1032" s="73" t="n"/>
      <c r="L1032" s="75" t="n"/>
      <c r="M1032" s="75" t="n"/>
      <c r="N1032" s="75" t="n"/>
      <c r="P1032" s="73" t="n"/>
      <c r="Q1032" s="73" t="n"/>
      <c r="R1032" s="73" t="n"/>
      <c r="S1032" s="122" t="n"/>
    </row>
    <row r="1033" ht="11.4" customHeight="1" s="69">
      <c r="J1033" s="123" t="n"/>
      <c r="K1033" s="73" t="n"/>
      <c r="L1033" s="75" t="n"/>
      <c r="M1033" s="75" t="n"/>
      <c r="N1033" s="75" t="n"/>
      <c r="P1033" s="73" t="n"/>
      <c r="Q1033" s="73" t="n"/>
      <c r="R1033" s="73" t="n"/>
      <c r="S1033" s="122" t="n"/>
    </row>
    <row r="1034" ht="11.4" customHeight="1" s="69">
      <c r="J1034" s="123" t="n"/>
      <c r="K1034" s="73" t="n"/>
      <c r="L1034" s="75" t="n"/>
      <c r="M1034" s="75" t="n"/>
      <c r="N1034" s="75" t="n"/>
      <c r="P1034" s="73" t="n"/>
      <c r="Q1034" s="73" t="n"/>
      <c r="R1034" s="73" t="n"/>
      <c r="S1034" s="122" t="n"/>
    </row>
    <row r="1035" ht="11.4" customHeight="1" s="69">
      <c r="J1035" s="123" t="n"/>
      <c r="K1035" s="73" t="n"/>
      <c r="L1035" s="75" t="n"/>
      <c r="M1035" s="75" t="n"/>
      <c r="N1035" s="75" t="n"/>
      <c r="P1035" s="73" t="n"/>
      <c r="Q1035" s="73" t="n"/>
      <c r="R1035" s="73" t="n"/>
      <c r="S1035" s="122" t="n"/>
    </row>
    <row r="1036" ht="11.4" customHeight="1" s="69">
      <c r="J1036" s="123" t="n"/>
      <c r="K1036" s="73" t="n"/>
      <c r="L1036" s="75" t="n"/>
      <c r="M1036" s="75" t="n"/>
      <c r="N1036" s="75" t="n"/>
      <c r="P1036" s="73" t="n"/>
      <c r="Q1036" s="73" t="n"/>
      <c r="R1036" s="73" t="n"/>
      <c r="S1036" s="122" t="n"/>
    </row>
    <row r="1037" ht="11.4" customHeight="1" s="69">
      <c r="J1037" s="123" t="n"/>
      <c r="K1037" s="73" t="n"/>
      <c r="L1037" s="75" t="n"/>
      <c r="M1037" s="75" t="n"/>
      <c r="N1037" s="75" t="n"/>
      <c r="P1037" s="73" t="n"/>
      <c r="Q1037" s="73" t="n"/>
      <c r="R1037" s="73" t="n"/>
      <c r="S1037" s="122" t="n"/>
    </row>
    <row r="1038" ht="11.4" customHeight="1" s="69">
      <c r="J1038" s="123" t="n"/>
      <c r="K1038" s="73" t="n"/>
      <c r="L1038" s="75" t="n"/>
      <c r="M1038" s="75" t="n"/>
      <c r="N1038" s="75" t="n"/>
      <c r="P1038" s="73" t="n"/>
      <c r="Q1038" s="73" t="n"/>
      <c r="R1038" s="73" t="n"/>
      <c r="S1038" s="122" t="n"/>
    </row>
    <row r="1039" ht="11.4" customHeight="1" s="69">
      <c r="J1039" s="123" t="n"/>
      <c r="K1039" s="73" t="n"/>
      <c r="L1039" s="75" t="n"/>
      <c r="M1039" s="75" t="n"/>
      <c r="N1039" s="75" t="n"/>
      <c r="P1039" s="73" t="n"/>
      <c r="Q1039" s="73" t="n"/>
      <c r="R1039" s="73" t="n"/>
      <c r="S1039" s="122" t="n"/>
    </row>
    <row r="1040" ht="11.4" customHeight="1" s="69">
      <c r="J1040" s="123" t="n"/>
      <c r="K1040" s="73" t="n"/>
      <c r="L1040" s="75" t="n"/>
      <c r="M1040" s="75" t="n"/>
      <c r="N1040" s="75" t="n"/>
      <c r="P1040" s="73" t="n"/>
      <c r="Q1040" s="73" t="n"/>
      <c r="R1040" s="73" t="n"/>
      <c r="S1040" s="122" t="n"/>
    </row>
    <row r="1041" ht="11.4" customHeight="1" s="69">
      <c r="J1041" s="123" t="n"/>
      <c r="K1041" s="73" t="n"/>
      <c r="L1041" s="75" t="n"/>
      <c r="M1041" s="75" t="n"/>
      <c r="N1041" s="75" t="n"/>
      <c r="P1041" s="73" t="n"/>
      <c r="Q1041" s="73" t="n"/>
      <c r="R1041" s="73" t="n"/>
      <c r="S1041" s="122" t="n"/>
    </row>
    <row r="1042" ht="11.4" customHeight="1" s="69">
      <c r="J1042" s="123" t="n"/>
      <c r="K1042" s="73" t="n"/>
      <c r="L1042" s="75" t="n"/>
      <c r="M1042" s="75" t="n"/>
      <c r="N1042" s="75" t="n"/>
      <c r="P1042" s="73" t="n"/>
      <c r="Q1042" s="73" t="n"/>
      <c r="R1042" s="73" t="n"/>
      <c r="S1042" s="122" t="n"/>
    </row>
    <row r="1043" ht="11.4" customHeight="1" s="69">
      <c r="J1043" s="123" t="n"/>
      <c r="K1043" s="73" t="n"/>
      <c r="L1043" s="75" t="n"/>
      <c r="M1043" s="75" t="n"/>
      <c r="N1043" s="75" t="n"/>
      <c r="P1043" s="73" t="n"/>
      <c r="Q1043" s="73" t="n"/>
      <c r="R1043" s="73" t="n"/>
      <c r="S1043" s="122" t="n"/>
    </row>
    <row r="1044" ht="11.4" customHeight="1" s="69">
      <c r="J1044" s="123" t="n"/>
      <c r="K1044" s="73" t="n"/>
      <c r="L1044" s="75" t="n"/>
      <c r="M1044" s="75" t="n"/>
      <c r="N1044" s="75" t="n"/>
      <c r="P1044" s="73" t="n"/>
      <c r="Q1044" s="73" t="n"/>
      <c r="R1044" s="73" t="n"/>
      <c r="S1044" s="122" t="n"/>
    </row>
    <row r="1045" ht="11.4" customHeight="1" s="69">
      <c r="J1045" s="123" t="n"/>
      <c r="K1045" s="73" t="n"/>
      <c r="L1045" s="75" t="n"/>
      <c r="M1045" s="75" t="n"/>
      <c r="N1045" s="75" t="n"/>
      <c r="P1045" s="73" t="n"/>
      <c r="Q1045" s="73" t="n"/>
      <c r="R1045" s="73" t="n"/>
      <c r="S1045" s="122" t="n"/>
    </row>
    <row r="1046" ht="11.4" customHeight="1" s="69">
      <c r="J1046" s="123" t="n"/>
      <c r="K1046" s="73" t="n"/>
      <c r="L1046" s="75" t="n"/>
      <c r="M1046" s="75" t="n"/>
      <c r="N1046" s="75" t="n"/>
      <c r="P1046" s="73" t="n"/>
      <c r="Q1046" s="73" t="n"/>
      <c r="R1046" s="73" t="n"/>
      <c r="S1046" s="122" t="n"/>
    </row>
    <row r="1047" ht="11.4" customHeight="1" s="69">
      <c r="J1047" s="123" t="n"/>
      <c r="K1047" s="73" t="n"/>
      <c r="L1047" s="75" t="n"/>
      <c r="M1047" s="75" t="n"/>
      <c r="N1047" s="75" t="n"/>
      <c r="P1047" s="73" t="n"/>
      <c r="Q1047" s="73" t="n"/>
      <c r="R1047" s="73" t="n"/>
      <c r="S1047" s="122" t="n"/>
    </row>
    <row r="1048" ht="11.4" customHeight="1" s="69">
      <c r="J1048" s="123" t="n"/>
      <c r="K1048" s="73" t="n"/>
      <c r="L1048" s="75" t="n"/>
      <c r="M1048" s="75" t="n"/>
      <c r="N1048" s="75" t="n"/>
      <c r="P1048" s="73" t="n"/>
      <c r="Q1048" s="73" t="n"/>
      <c r="R1048" s="73" t="n"/>
      <c r="S1048" s="122" t="n"/>
    </row>
    <row r="1049" ht="11.4" customHeight="1" s="69">
      <c r="J1049" s="123" t="n"/>
      <c r="K1049" s="73" t="n"/>
      <c r="L1049" s="75" t="n"/>
      <c r="M1049" s="75" t="n"/>
      <c r="N1049" s="75" t="n"/>
      <c r="P1049" s="73" t="n"/>
      <c r="Q1049" s="73" t="n"/>
      <c r="R1049" s="73" t="n"/>
      <c r="S1049" s="122" t="n"/>
    </row>
    <row r="1050" ht="11.4" customHeight="1" s="69">
      <c r="J1050" s="123" t="n"/>
      <c r="K1050" s="73" t="n"/>
      <c r="L1050" s="75" t="n"/>
      <c r="M1050" s="75" t="n"/>
      <c r="N1050" s="75" t="n"/>
      <c r="P1050" s="73" t="n"/>
      <c r="Q1050" s="73" t="n"/>
      <c r="R1050" s="73" t="n"/>
      <c r="S1050" s="122" t="n"/>
    </row>
    <row r="1051" ht="11.4" customHeight="1" s="69">
      <c r="J1051" s="123" t="n"/>
      <c r="K1051" s="73" t="n"/>
      <c r="L1051" s="75" t="n"/>
      <c r="M1051" s="75" t="n"/>
      <c r="N1051" s="75" t="n"/>
      <c r="P1051" s="73" t="n"/>
      <c r="Q1051" s="73" t="n"/>
      <c r="R1051" s="73" t="n"/>
      <c r="S1051" s="122" t="n"/>
    </row>
    <row r="1052" ht="11.4" customHeight="1" s="69">
      <c r="J1052" s="123" t="n"/>
      <c r="K1052" s="73" t="n"/>
      <c r="L1052" s="75" t="n"/>
      <c r="M1052" s="75" t="n"/>
      <c r="N1052" s="75" t="n"/>
      <c r="P1052" s="73" t="n"/>
      <c r="Q1052" s="73" t="n"/>
      <c r="R1052" s="73" t="n"/>
      <c r="S1052" s="122" t="n"/>
    </row>
    <row r="1053" ht="11.4" customHeight="1" s="69">
      <c r="J1053" s="123" t="n"/>
      <c r="K1053" s="73" t="n"/>
      <c r="L1053" s="75" t="n"/>
      <c r="M1053" s="75" t="n"/>
      <c r="N1053" s="75" t="n"/>
      <c r="P1053" s="73" t="n"/>
      <c r="Q1053" s="73" t="n"/>
      <c r="R1053" s="73" t="n"/>
      <c r="S1053" s="122" t="n"/>
    </row>
    <row r="1054" ht="11.4" customHeight="1" s="69">
      <c r="J1054" s="123" t="n"/>
      <c r="K1054" s="73" t="n"/>
      <c r="L1054" s="75" t="n"/>
      <c r="M1054" s="75" t="n"/>
      <c r="N1054" s="75" t="n"/>
      <c r="P1054" s="73" t="n"/>
      <c r="Q1054" s="73" t="n"/>
      <c r="R1054" s="73" t="n"/>
      <c r="S1054" s="122" t="n"/>
    </row>
    <row r="1055" ht="11.4" customHeight="1" s="69">
      <c r="J1055" s="123" t="n"/>
      <c r="K1055" s="73" t="n"/>
      <c r="L1055" s="75" t="n"/>
      <c r="M1055" s="75" t="n"/>
      <c r="N1055" s="75" t="n"/>
      <c r="P1055" s="73" t="n"/>
      <c r="Q1055" s="73" t="n"/>
      <c r="R1055" s="73" t="n"/>
      <c r="S1055" s="122" t="n"/>
    </row>
    <row r="1056" ht="11.4" customHeight="1" s="69">
      <c r="J1056" s="123" t="n"/>
      <c r="K1056" s="73" t="n"/>
      <c r="L1056" s="75" t="n"/>
      <c r="M1056" s="75" t="n"/>
      <c r="N1056" s="75" t="n"/>
      <c r="P1056" s="73" t="n"/>
      <c r="Q1056" s="73" t="n"/>
      <c r="R1056" s="73" t="n"/>
      <c r="S1056" s="122" t="n"/>
    </row>
    <row r="1057" ht="11.4" customHeight="1" s="69">
      <c r="J1057" s="123" t="n"/>
      <c r="K1057" s="73" t="n"/>
      <c r="L1057" s="75" t="n"/>
      <c r="M1057" s="75" t="n"/>
      <c r="N1057" s="75" t="n"/>
      <c r="P1057" s="73" t="n"/>
      <c r="Q1057" s="73" t="n"/>
      <c r="R1057" s="73" t="n"/>
      <c r="S1057" s="122" t="n"/>
    </row>
    <row r="1058" ht="11.4" customHeight="1" s="69">
      <c r="J1058" s="123" t="n"/>
      <c r="K1058" s="73" t="n"/>
      <c r="L1058" s="75" t="n"/>
      <c r="M1058" s="75" t="n"/>
      <c r="N1058" s="75" t="n"/>
      <c r="P1058" s="73" t="n"/>
      <c r="Q1058" s="73" t="n"/>
      <c r="R1058" s="73" t="n"/>
      <c r="S1058" s="122" t="n"/>
    </row>
    <row r="1059" ht="11.4" customHeight="1" s="69">
      <c r="J1059" s="123" t="n"/>
      <c r="K1059" s="73" t="n"/>
      <c r="L1059" s="75" t="n"/>
      <c r="M1059" s="75" t="n"/>
      <c r="N1059" s="75" t="n"/>
      <c r="P1059" s="73" t="n"/>
      <c r="Q1059" s="73" t="n"/>
      <c r="R1059" s="73" t="n"/>
      <c r="S1059" s="122" t="n"/>
    </row>
    <row r="1060" ht="11.4" customHeight="1" s="69">
      <c r="J1060" s="123" t="n"/>
      <c r="K1060" s="73" t="n"/>
      <c r="L1060" s="75" t="n"/>
      <c r="M1060" s="75" t="n"/>
      <c r="N1060" s="75" t="n"/>
      <c r="P1060" s="73" t="n"/>
      <c r="Q1060" s="73" t="n"/>
      <c r="R1060" s="73" t="n"/>
      <c r="S1060" s="122" t="n"/>
    </row>
    <row r="1061" ht="11.4" customHeight="1" s="69">
      <c r="J1061" s="123" t="n"/>
      <c r="K1061" s="73" t="n"/>
      <c r="L1061" s="75" t="n"/>
      <c r="M1061" s="75" t="n"/>
      <c r="N1061" s="75" t="n"/>
      <c r="P1061" s="73" t="n"/>
      <c r="Q1061" s="73" t="n"/>
      <c r="R1061" s="73" t="n"/>
      <c r="S1061" s="122" t="n"/>
    </row>
    <row r="1062" ht="11.4" customHeight="1" s="69">
      <c r="J1062" s="123" t="n"/>
      <c r="K1062" s="73" t="n"/>
      <c r="L1062" s="75" t="n"/>
      <c r="M1062" s="75" t="n"/>
      <c r="N1062" s="75" t="n"/>
      <c r="P1062" s="73" t="n"/>
      <c r="Q1062" s="73" t="n"/>
      <c r="R1062" s="73" t="n"/>
      <c r="S1062" s="122" t="n"/>
    </row>
    <row r="1063" ht="11.4" customHeight="1" s="69">
      <c r="J1063" s="123" t="n"/>
      <c r="K1063" s="73" t="n"/>
      <c r="L1063" s="75" t="n"/>
      <c r="M1063" s="75" t="n"/>
      <c r="N1063" s="75" t="n"/>
      <c r="P1063" s="73" t="n"/>
      <c r="Q1063" s="73" t="n"/>
      <c r="R1063" s="73" t="n"/>
      <c r="S1063" s="122" t="n"/>
    </row>
    <row r="1064" ht="11.4" customHeight="1" s="69">
      <c r="J1064" s="123" t="n"/>
      <c r="K1064" s="73" t="n"/>
      <c r="L1064" s="75" t="n"/>
      <c r="M1064" s="75" t="n"/>
      <c r="N1064" s="75" t="n"/>
      <c r="P1064" s="73" t="n"/>
      <c r="Q1064" s="73" t="n"/>
      <c r="R1064" s="73" t="n"/>
      <c r="S1064" s="122" t="n"/>
    </row>
    <row r="1065" ht="11.4" customHeight="1" s="69">
      <c r="J1065" s="123" t="n"/>
      <c r="K1065" s="73" t="n"/>
      <c r="L1065" s="75" t="n"/>
      <c r="M1065" s="75" t="n"/>
      <c r="N1065" s="75" t="n"/>
      <c r="P1065" s="73" t="n"/>
      <c r="Q1065" s="73" t="n"/>
      <c r="R1065" s="73" t="n"/>
      <c r="S1065" s="122" t="n"/>
    </row>
    <row r="1066" ht="11.4" customHeight="1" s="69">
      <c r="J1066" s="123" t="n"/>
      <c r="K1066" s="73" t="n"/>
      <c r="L1066" s="75" t="n"/>
      <c r="M1066" s="75" t="n"/>
      <c r="N1066" s="75" t="n"/>
      <c r="P1066" s="73" t="n"/>
      <c r="Q1066" s="73" t="n"/>
      <c r="R1066" s="73" t="n"/>
      <c r="S1066" s="122" t="n"/>
    </row>
    <row r="1067" ht="11.4" customHeight="1" s="69">
      <c r="J1067" s="123" t="n"/>
      <c r="K1067" s="73" t="n"/>
      <c r="L1067" s="75" t="n"/>
      <c r="M1067" s="75" t="n"/>
      <c r="N1067" s="75" t="n"/>
      <c r="P1067" s="73" t="n"/>
      <c r="Q1067" s="73" t="n"/>
      <c r="R1067" s="73" t="n"/>
      <c r="S1067" s="122" t="n"/>
    </row>
    <row r="1068" ht="11.4" customHeight="1" s="69">
      <c r="J1068" s="123" t="n"/>
      <c r="K1068" s="73" t="n"/>
      <c r="L1068" s="75" t="n"/>
      <c r="M1068" s="75" t="n"/>
      <c r="N1068" s="75" t="n"/>
      <c r="P1068" s="73" t="n"/>
      <c r="Q1068" s="73" t="n"/>
      <c r="R1068" s="73" t="n"/>
      <c r="S1068" s="122" t="n"/>
    </row>
    <row r="1069" ht="11.4" customHeight="1" s="69">
      <c r="J1069" s="123" t="n"/>
      <c r="K1069" s="73" t="n"/>
      <c r="L1069" s="75" t="n"/>
      <c r="M1069" s="75" t="n"/>
      <c r="N1069" s="75" t="n"/>
      <c r="P1069" s="73" t="n"/>
      <c r="Q1069" s="73" t="n"/>
      <c r="R1069" s="73" t="n"/>
      <c r="S1069" s="122" t="n"/>
    </row>
    <row r="1070" ht="11.4" customHeight="1" s="69">
      <c r="J1070" s="123" t="n"/>
      <c r="K1070" s="73" t="n"/>
      <c r="L1070" s="75" t="n"/>
      <c r="M1070" s="75" t="n"/>
      <c r="N1070" s="75" t="n"/>
      <c r="P1070" s="73" t="n"/>
      <c r="Q1070" s="73" t="n"/>
      <c r="R1070" s="73" t="n"/>
      <c r="S1070" s="122" t="n"/>
    </row>
    <row r="1071" ht="11.4" customHeight="1" s="69">
      <c r="J1071" s="123" t="n"/>
      <c r="K1071" s="73" t="n"/>
      <c r="L1071" s="75" t="n"/>
      <c r="M1071" s="75" t="n"/>
      <c r="N1071" s="75" t="n"/>
      <c r="P1071" s="73" t="n"/>
      <c r="Q1071" s="73" t="n"/>
      <c r="R1071" s="73" t="n"/>
      <c r="S1071" s="122" t="n"/>
    </row>
    <row r="1072" ht="11.4" customHeight="1" s="69">
      <c r="J1072" s="123" t="n"/>
      <c r="K1072" s="73" t="n"/>
      <c r="L1072" s="75" t="n"/>
      <c r="M1072" s="75" t="n"/>
      <c r="N1072" s="75" t="n"/>
      <c r="P1072" s="73" t="n"/>
      <c r="Q1072" s="73" t="n"/>
      <c r="R1072" s="73" t="n"/>
      <c r="S1072" s="122" t="n"/>
    </row>
    <row r="1073" ht="11.4" customHeight="1" s="69">
      <c r="J1073" s="123" t="n"/>
      <c r="K1073" s="73" t="n"/>
      <c r="L1073" s="75" t="n"/>
      <c r="M1073" s="75" t="n"/>
      <c r="N1073" s="75" t="n"/>
      <c r="P1073" s="73" t="n"/>
      <c r="Q1073" s="73" t="n"/>
      <c r="R1073" s="73" t="n"/>
      <c r="S1073" s="122" t="n"/>
    </row>
    <row r="1074" ht="11.4" customHeight="1" s="69">
      <c r="J1074" s="123" t="n"/>
      <c r="K1074" s="73" t="n"/>
      <c r="L1074" s="75" t="n"/>
      <c r="M1074" s="75" t="n"/>
      <c r="N1074" s="75" t="n"/>
      <c r="P1074" s="73" t="n"/>
      <c r="Q1074" s="73" t="n"/>
      <c r="R1074" s="73" t="n"/>
      <c r="S1074" s="122" t="n"/>
    </row>
    <row r="1075" ht="11.4" customHeight="1" s="69">
      <c r="J1075" s="123" t="n"/>
      <c r="K1075" s="73" t="n"/>
      <c r="L1075" s="75" t="n"/>
      <c r="M1075" s="75" t="n"/>
      <c r="N1075" s="75" t="n"/>
      <c r="P1075" s="73" t="n"/>
      <c r="Q1075" s="73" t="n"/>
      <c r="R1075" s="73" t="n"/>
      <c r="S1075" s="122" t="n"/>
    </row>
    <row r="1076" ht="11.4" customHeight="1" s="69">
      <c r="J1076" s="123" t="n"/>
      <c r="K1076" s="73" t="n"/>
      <c r="L1076" s="75" t="n"/>
      <c r="M1076" s="75" t="n"/>
      <c r="N1076" s="75" t="n"/>
      <c r="P1076" s="73" t="n"/>
      <c r="Q1076" s="73" t="n"/>
      <c r="R1076" s="73" t="n"/>
      <c r="S1076" s="122" t="n"/>
    </row>
    <row r="1077" ht="11.4" customHeight="1" s="69">
      <c r="J1077" s="123" t="n"/>
      <c r="K1077" s="73" t="n"/>
      <c r="L1077" s="75" t="n"/>
      <c r="M1077" s="75" t="n"/>
      <c r="N1077" s="75" t="n"/>
      <c r="P1077" s="73" t="n"/>
      <c r="Q1077" s="73" t="n"/>
      <c r="R1077" s="73" t="n"/>
      <c r="S1077" s="122" t="n"/>
    </row>
    <row r="1078" ht="11.4" customHeight="1" s="69">
      <c r="J1078" s="123" t="n"/>
      <c r="K1078" s="73" t="n"/>
      <c r="L1078" s="75" t="n"/>
      <c r="M1078" s="75" t="n"/>
      <c r="N1078" s="75" t="n"/>
      <c r="P1078" s="73" t="n"/>
      <c r="Q1078" s="73" t="n"/>
      <c r="R1078" s="73" t="n"/>
      <c r="S1078" s="122" t="n"/>
    </row>
    <row r="1079" ht="11.4" customHeight="1" s="69">
      <c r="J1079" s="123" t="n"/>
      <c r="K1079" s="73" t="n"/>
      <c r="L1079" s="75" t="n"/>
      <c r="M1079" s="75" t="n"/>
      <c r="N1079" s="75" t="n"/>
      <c r="P1079" s="73" t="n"/>
      <c r="Q1079" s="73" t="n"/>
      <c r="R1079" s="73" t="n"/>
      <c r="S1079" s="122" t="n"/>
    </row>
    <row r="1080" ht="11.4" customHeight="1" s="69">
      <c r="J1080" s="123" t="n"/>
      <c r="K1080" s="73" t="n"/>
      <c r="L1080" s="75" t="n"/>
      <c r="M1080" s="75" t="n"/>
      <c r="N1080" s="75" t="n"/>
      <c r="P1080" s="73" t="n"/>
      <c r="Q1080" s="73" t="n"/>
      <c r="R1080" s="73" t="n"/>
      <c r="S1080" s="122" t="n"/>
    </row>
    <row r="1081" ht="11.4" customHeight="1" s="69">
      <c r="J1081" s="123" t="n"/>
      <c r="K1081" s="73" t="n"/>
      <c r="L1081" s="75" t="n"/>
      <c r="M1081" s="75" t="n"/>
      <c r="N1081" s="75" t="n"/>
      <c r="P1081" s="73" t="n"/>
      <c r="Q1081" s="73" t="n"/>
      <c r="R1081" s="73" t="n"/>
      <c r="S1081" s="122" t="n"/>
    </row>
    <row r="1082" ht="11.4" customHeight="1" s="69">
      <c r="J1082" s="123" t="n"/>
      <c r="K1082" s="73" t="n"/>
      <c r="L1082" s="75" t="n"/>
      <c r="M1082" s="75" t="n"/>
      <c r="N1082" s="75" t="n"/>
      <c r="P1082" s="73" t="n"/>
      <c r="Q1082" s="73" t="n"/>
      <c r="R1082" s="73" t="n"/>
      <c r="S1082" s="122" t="n"/>
    </row>
    <row r="1083" ht="11.4" customHeight="1" s="69">
      <c r="J1083" s="123" t="n"/>
      <c r="K1083" s="73" t="n"/>
      <c r="L1083" s="75" t="n"/>
      <c r="M1083" s="75" t="n"/>
      <c r="N1083" s="75" t="n"/>
      <c r="P1083" s="73" t="n"/>
      <c r="Q1083" s="73" t="n"/>
      <c r="R1083" s="73" t="n"/>
      <c r="S1083" s="122" t="n"/>
    </row>
    <row r="1084" ht="11.4" customHeight="1" s="69">
      <c r="J1084" s="123" t="n"/>
      <c r="K1084" s="73" t="n"/>
      <c r="L1084" s="75" t="n"/>
      <c r="M1084" s="75" t="n"/>
      <c r="N1084" s="75" t="n"/>
      <c r="P1084" s="73" t="n"/>
      <c r="Q1084" s="73" t="n"/>
      <c r="R1084" s="73" t="n"/>
      <c r="S1084" s="122" t="n"/>
    </row>
    <row r="1085" ht="11.4" customHeight="1" s="69">
      <c r="J1085" s="123" t="n"/>
      <c r="K1085" s="73" t="n"/>
      <c r="L1085" s="75" t="n"/>
      <c r="M1085" s="75" t="n"/>
      <c r="N1085" s="75" t="n"/>
      <c r="P1085" s="73" t="n"/>
      <c r="Q1085" s="73" t="n"/>
      <c r="R1085" s="73" t="n"/>
      <c r="S1085" s="122" t="n"/>
    </row>
    <row r="1086" ht="11.4" customHeight="1" s="69">
      <c r="J1086" s="123" t="n"/>
      <c r="K1086" s="73" t="n"/>
      <c r="L1086" s="75" t="n"/>
      <c r="M1086" s="75" t="n"/>
      <c r="N1086" s="75" t="n"/>
      <c r="P1086" s="73" t="n"/>
      <c r="Q1086" s="73" t="n"/>
      <c r="R1086" s="73" t="n"/>
      <c r="S1086" s="122" t="n"/>
    </row>
    <row r="1087" ht="11.4" customHeight="1" s="69">
      <c r="J1087" s="123" t="n"/>
      <c r="K1087" s="73" t="n"/>
      <c r="L1087" s="75" t="n"/>
      <c r="M1087" s="75" t="n"/>
      <c r="N1087" s="75" t="n"/>
      <c r="P1087" s="73" t="n"/>
      <c r="Q1087" s="73" t="n"/>
      <c r="R1087" s="73" t="n"/>
      <c r="S1087" s="122" t="n"/>
    </row>
    <row r="1088" ht="11.4" customHeight="1" s="69">
      <c r="J1088" s="123" t="n"/>
      <c r="K1088" s="73" t="n"/>
      <c r="L1088" s="75" t="n"/>
      <c r="M1088" s="75" t="n"/>
      <c r="N1088" s="75" t="n"/>
      <c r="P1088" s="73" t="n"/>
      <c r="Q1088" s="73" t="n"/>
      <c r="R1088" s="73" t="n"/>
      <c r="S1088" s="122" t="n"/>
    </row>
    <row r="1089" ht="11.4" customHeight="1" s="69">
      <c r="J1089" s="123" t="n"/>
      <c r="K1089" s="73" t="n"/>
      <c r="L1089" s="75" t="n"/>
      <c r="M1089" s="75" t="n"/>
      <c r="N1089" s="75" t="n"/>
      <c r="P1089" s="73" t="n"/>
      <c r="Q1089" s="73" t="n"/>
      <c r="R1089" s="73" t="n"/>
      <c r="S1089" s="122" t="n"/>
    </row>
    <row r="1090" ht="11.4" customHeight="1" s="69">
      <c r="J1090" s="123" t="n"/>
      <c r="K1090" s="73" t="n"/>
      <c r="L1090" s="75" t="n"/>
      <c r="M1090" s="75" t="n"/>
      <c r="N1090" s="75" t="n"/>
      <c r="P1090" s="73" t="n"/>
      <c r="Q1090" s="73" t="n"/>
      <c r="R1090" s="73" t="n"/>
      <c r="S1090" s="122" t="n"/>
    </row>
    <row r="1091" ht="11.4" customHeight="1" s="69">
      <c r="J1091" s="123" t="n"/>
      <c r="K1091" s="73" t="n"/>
      <c r="L1091" s="75" t="n"/>
      <c r="M1091" s="75" t="n"/>
      <c r="N1091" s="75" t="n"/>
      <c r="P1091" s="73" t="n"/>
      <c r="Q1091" s="73" t="n"/>
      <c r="R1091" s="73" t="n"/>
      <c r="S1091" s="122" t="n"/>
    </row>
    <row r="1092" ht="11.4" customHeight="1" s="69">
      <c r="J1092" s="123" t="n"/>
      <c r="K1092" s="73" t="n"/>
      <c r="L1092" s="75" t="n"/>
      <c r="M1092" s="75" t="n"/>
      <c r="N1092" s="75" t="n"/>
      <c r="P1092" s="73" t="n"/>
      <c r="Q1092" s="73" t="n"/>
      <c r="R1092" s="73" t="n"/>
      <c r="S1092" s="122" t="n"/>
    </row>
    <row r="1093" ht="11.4" customHeight="1" s="69">
      <c r="J1093" s="123" t="n"/>
      <c r="K1093" s="73" t="n"/>
      <c r="L1093" s="75" t="n"/>
      <c r="M1093" s="75" t="n"/>
      <c r="N1093" s="75" t="n"/>
      <c r="P1093" s="73" t="n"/>
      <c r="Q1093" s="73" t="n"/>
      <c r="R1093" s="73" t="n"/>
      <c r="S1093" s="122" t="n"/>
    </row>
    <row r="1094" ht="11.4" customHeight="1" s="69">
      <c r="J1094" s="123" t="n"/>
      <c r="K1094" s="73" t="n"/>
      <c r="L1094" s="75" t="n"/>
      <c r="M1094" s="75" t="n"/>
      <c r="N1094" s="75" t="n"/>
      <c r="P1094" s="73" t="n"/>
      <c r="Q1094" s="73" t="n"/>
      <c r="R1094" s="73" t="n"/>
      <c r="S1094" s="122" t="n"/>
    </row>
    <row r="1095" ht="11.4" customHeight="1" s="69">
      <c r="J1095" s="123" t="n"/>
      <c r="K1095" s="73" t="n"/>
      <c r="L1095" s="75" t="n"/>
      <c r="M1095" s="75" t="n"/>
      <c r="N1095" s="75" t="n"/>
      <c r="P1095" s="73" t="n"/>
      <c r="Q1095" s="73" t="n"/>
      <c r="R1095" s="73" t="n"/>
      <c r="S1095" s="122" t="n"/>
    </row>
    <row r="1096" ht="11.4" customHeight="1" s="69">
      <c r="J1096" s="123" t="n"/>
      <c r="K1096" s="73" t="n"/>
      <c r="L1096" s="75" t="n"/>
      <c r="M1096" s="75" t="n"/>
      <c r="N1096" s="75" t="n"/>
      <c r="P1096" s="73" t="n"/>
      <c r="Q1096" s="73" t="n"/>
      <c r="R1096" s="73" t="n"/>
      <c r="S1096" s="122" t="n"/>
    </row>
    <row r="1097" ht="11.4" customHeight="1" s="69">
      <c r="J1097" s="123" t="n"/>
      <c r="K1097" s="73" t="n"/>
      <c r="L1097" s="75" t="n"/>
      <c r="M1097" s="75" t="n"/>
      <c r="N1097" s="75" t="n"/>
      <c r="P1097" s="73" t="n"/>
      <c r="Q1097" s="73" t="n"/>
      <c r="R1097" s="73" t="n"/>
      <c r="S1097" s="122" t="n"/>
    </row>
    <row r="1098" ht="11.4" customHeight="1" s="69">
      <c r="J1098" s="123" t="n"/>
      <c r="K1098" s="73" t="n"/>
      <c r="L1098" s="75" t="n"/>
      <c r="M1098" s="75" t="n"/>
      <c r="N1098" s="75" t="n"/>
      <c r="P1098" s="73" t="n"/>
      <c r="Q1098" s="73" t="n"/>
      <c r="R1098" s="73" t="n"/>
      <c r="S1098" s="122" t="n"/>
    </row>
    <row r="1099" ht="11.4" customHeight="1" s="69">
      <c r="J1099" s="123" t="n"/>
      <c r="K1099" s="73" t="n"/>
      <c r="L1099" s="75" t="n"/>
      <c r="M1099" s="75" t="n"/>
      <c r="N1099" s="75" t="n"/>
      <c r="P1099" s="73" t="n"/>
      <c r="Q1099" s="73" t="n"/>
      <c r="R1099" s="73" t="n"/>
      <c r="S1099" s="122" t="n"/>
    </row>
    <row r="1100" ht="11.4" customHeight="1" s="69">
      <c r="J1100" s="123" t="n"/>
      <c r="K1100" s="73" t="n"/>
      <c r="L1100" s="75" t="n"/>
      <c r="M1100" s="75" t="n"/>
      <c r="N1100" s="75" t="n"/>
      <c r="P1100" s="73" t="n"/>
      <c r="Q1100" s="73" t="n"/>
      <c r="R1100" s="73" t="n"/>
      <c r="S1100" s="122" t="n"/>
    </row>
    <row r="1101" ht="11.4" customHeight="1" s="69">
      <c r="J1101" s="123" t="n"/>
      <c r="K1101" s="73" t="n"/>
      <c r="L1101" s="75" t="n"/>
      <c r="M1101" s="75" t="n"/>
      <c r="N1101" s="75" t="n"/>
      <c r="P1101" s="73" t="n"/>
      <c r="Q1101" s="73" t="n"/>
      <c r="R1101" s="73" t="n"/>
      <c r="S1101" s="122" t="n"/>
    </row>
    <row r="1102" ht="11.4" customHeight="1" s="69">
      <c r="J1102" s="123" t="n"/>
      <c r="K1102" s="73" t="n"/>
      <c r="L1102" s="75" t="n"/>
      <c r="M1102" s="75" t="n"/>
      <c r="N1102" s="75" t="n"/>
      <c r="P1102" s="73" t="n"/>
      <c r="Q1102" s="73" t="n"/>
      <c r="R1102" s="73" t="n"/>
      <c r="S1102" s="122" t="n"/>
    </row>
    <row r="1103" ht="11.4" customHeight="1" s="69">
      <c r="J1103" s="123" t="n"/>
      <c r="K1103" s="73" t="n"/>
      <c r="L1103" s="75" t="n"/>
      <c r="M1103" s="75" t="n"/>
      <c r="N1103" s="75" t="n"/>
      <c r="P1103" s="73" t="n"/>
      <c r="Q1103" s="73" t="n"/>
      <c r="R1103" s="73" t="n"/>
      <c r="S1103" s="122" t="n"/>
    </row>
    <row r="1104" ht="11.4" customHeight="1" s="69">
      <c r="J1104" s="123" t="n"/>
      <c r="K1104" s="73" t="n"/>
      <c r="L1104" s="75" t="n"/>
      <c r="M1104" s="75" t="n"/>
      <c r="N1104" s="75" t="n"/>
      <c r="P1104" s="73" t="n"/>
      <c r="Q1104" s="73" t="n"/>
      <c r="R1104" s="73" t="n"/>
      <c r="S1104" s="122" t="n"/>
    </row>
    <row r="1105" ht="11.4" customHeight="1" s="69">
      <c r="J1105" s="123" t="n"/>
      <c r="K1105" s="73" t="n"/>
      <c r="L1105" s="75" t="n"/>
      <c r="M1105" s="75" t="n"/>
      <c r="N1105" s="75" t="n"/>
      <c r="P1105" s="73" t="n"/>
      <c r="Q1105" s="73" t="n"/>
      <c r="R1105" s="73" t="n"/>
      <c r="S1105" s="122" t="n"/>
    </row>
    <row r="1106" ht="11.4" customHeight="1" s="69">
      <c r="J1106" s="123" t="n"/>
      <c r="K1106" s="73" t="n"/>
      <c r="L1106" s="75" t="n"/>
      <c r="M1106" s="75" t="n"/>
      <c r="N1106" s="75" t="n"/>
      <c r="P1106" s="73" t="n"/>
      <c r="Q1106" s="73" t="n"/>
      <c r="R1106" s="73" t="n"/>
      <c r="S1106" s="122" t="n"/>
    </row>
    <row r="1107" ht="11.4" customHeight="1" s="69">
      <c r="J1107" s="123" t="n"/>
      <c r="K1107" s="73" t="n"/>
      <c r="L1107" s="75" t="n"/>
      <c r="M1107" s="75" t="n"/>
      <c r="N1107" s="75" t="n"/>
      <c r="P1107" s="73" t="n"/>
      <c r="Q1107" s="73" t="n"/>
      <c r="R1107" s="73" t="n"/>
      <c r="S1107" s="122" t="n"/>
    </row>
    <row r="1108" ht="11.4" customHeight="1" s="69">
      <c r="J1108" s="123" t="n"/>
      <c r="K1108" s="73" t="n"/>
      <c r="L1108" s="75" t="n"/>
      <c r="M1108" s="75" t="n"/>
      <c r="N1108" s="75" t="n"/>
      <c r="P1108" s="73" t="n"/>
      <c r="Q1108" s="73" t="n"/>
      <c r="R1108" s="73" t="n"/>
      <c r="S1108" s="122" t="n"/>
    </row>
    <row r="1109" ht="11.4" customHeight="1" s="69">
      <c r="J1109" s="123" t="n"/>
      <c r="K1109" s="73" t="n"/>
      <c r="L1109" s="75" t="n"/>
      <c r="M1109" s="75" t="n"/>
      <c r="N1109" s="75" t="n"/>
      <c r="P1109" s="73" t="n"/>
      <c r="Q1109" s="73" t="n"/>
      <c r="R1109" s="73" t="n"/>
      <c r="S1109" s="122" t="n"/>
    </row>
    <row r="1110" ht="11.4" customHeight="1" s="69">
      <c r="J1110" s="123" t="n"/>
      <c r="K1110" s="73" t="n"/>
      <c r="L1110" s="75" t="n"/>
      <c r="M1110" s="75" t="n"/>
      <c r="N1110" s="75" t="n"/>
      <c r="P1110" s="73" t="n"/>
      <c r="Q1110" s="73" t="n"/>
      <c r="R1110" s="73" t="n"/>
      <c r="S1110" s="122" t="n"/>
    </row>
    <row r="1111" ht="11.4" customHeight="1" s="69">
      <c r="J1111" s="123" t="n"/>
      <c r="K1111" s="73" t="n"/>
      <c r="L1111" s="75" t="n"/>
      <c r="M1111" s="75" t="n"/>
      <c r="N1111" s="75" t="n"/>
      <c r="P1111" s="73" t="n"/>
      <c r="Q1111" s="73" t="n"/>
      <c r="R1111" s="73" t="n"/>
      <c r="S1111" s="122" t="n"/>
    </row>
    <row r="1112" ht="11.4" customHeight="1" s="69">
      <c r="J1112" s="123" t="n"/>
      <c r="K1112" s="73" t="n"/>
      <c r="L1112" s="75" t="n"/>
      <c r="M1112" s="75" t="n"/>
      <c r="N1112" s="75" t="n"/>
      <c r="P1112" s="73" t="n"/>
      <c r="Q1112" s="73" t="n"/>
      <c r="R1112" s="73" t="n"/>
      <c r="S1112" s="122" t="n"/>
    </row>
    <row r="1113" ht="11.4" customHeight="1" s="69">
      <c r="J1113" s="123" t="n"/>
      <c r="K1113" s="73" t="n"/>
      <c r="L1113" s="75" t="n"/>
      <c r="M1113" s="75" t="n"/>
      <c r="N1113" s="75" t="n"/>
      <c r="P1113" s="73" t="n"/>
      <c r="Q1113" s="73" t="n"/>
      <c r="R1113" s="73" t="n"/>
      <c r="S1113" s="122" t="n"/>
    </row>
    <row r="1114" ht="11.4" customHeight="1" s="69">
      <c r="J1114" s="123" t="n"/>
      <c r="K1114" s="73" t="n"/>
      <c r="L1114" s="75" t="n"/>
      <c r="M1114" s="75" t="n"/>
      <c r="N1114" s="75" t="n"/>
      <c r="P1114" s="73" t="n"/>
      <c r="Q1114" s="73" t="n"/>
      <c r="R1114" s="73" t="n"/>
      <c r="S1114" s="122" t="n"/>
    </row>
    <row r="1115" ht="11.4" customHeight="1" s="69">
      <c r="J1115" s="123" t="n"/>
      <c r="K1115" s="73" t="n"/>
      <c r="L1115" s="75" t="n"/>
      <c r="M1115" s="75" t="n"/>
      <c r="N1115" s="75" t="n"/>
      <c r="P1115" s="73" t="n"/>
      <c r="Q1115" s="73" t="n"/>
      <c r="R1115" s="73" t="n"/>
      <c r="S1115" s="122" t="n"/>
    </row>
    <row r="1116" ht="11.4" customHeight="1" s="69">
      <c r="J1116" s="123" t="n"/>
      <c r="K1116" s="73" t="n"/>
      <c r="L1116" s="75" t="n"/>
      <c r="M1116" s="75" t="n"/>
      <c r="N1116" s="75" t="n"/>
      <c r="P1116" s="73" t="n"/>
      <c r="Q1116" s="73" t="n"/>
      <c r="R1116" s="73" t="n"/>
      <c r="S1116" s="122" t="n"/>
    </row>
    <row r="1117" ht="11.4" customHeight="1" s="69">
      <c r="J1117" s="123" t="n"/>
      <c r="K1117" s="73" t="n"/>
      <c r="L1117" s="75" t="n"/>
      <c r="M1117" s="75" t="n"/>
      <c r="N1117" s="75" t="n"/>
      <c r="P1117" s="73" t="n"/>
      <c r="Q1117" s="73" t="n"/>
      <c r="R1117" s="73" t="n"/>
      <c r="S1117" s="122" t="n"/>
    </row>
    <row r="1118" ht="11.4" customHeight="1" s="69">
      <c r="J1118" s="123" t="n"/>
      <c r="K1118" s="73" t="n"/>
      <c r="L1118" s="75" t="n"/>
      <c r="M1118" s="75" t="n"/>
      <c r="N1118" s="75" t="n"/>
      <c r="P1118" s="73" t="n"/>
      <c r="Q1118" s="73" t="n"/>
      <c r="R1118" s="73" t="n"/>
      <c r="S1118" s="122" t="n"/>
    </row>
    <row r="1119" ht="11.4" customHeight="1" s="69">
      <c r="J1119" s="123" t="n"/>
      <c r="K1119" s="73" t="n"/>
      <c r="L1119" s="75" t="n"/>
      <c r="M1119" s="75" t="n"/>
      <c r="N1119" s="75" t="n"/>
      <c r="P1119" s="73" t="n"/>
      <c r="Q1119" s="73" t="n"/>
      <c r="R1119" s="73" t="n"/>
      <c r="S1119" s="122" t="n"/>
    </row>
    <row r="1120" ht="11.4" customHeight="1" s="69">
      <c r="J1120" s="123" t="n"/>
      <c r="K1120" s="73" t="n"/>
      <c r="L1120" s="75" t="n"/>
      <c r="M1120" s="75" t="n"/>
      <c r="N1120" s="75" t="n"/>
      <c r="P1120" s="73" t="n"/>
      <c r="Q1120" s="73" t="n"/>
      <c r="R1120" s="73" t="n"/>
      <c r="S1120" s="122" t="n"/>
    </row>
    <row r="1121" ht="11.4" customHeight="1" s="69">
      <c r="J1121" s="123" t="n"/>
      <c r="K1121" s="73" t="n"/>
      <c r="L1121" s="75" t="n"/>
      <c r="M1121" s="75" t="n"/>
      <c r="N1121" s="75" t="n"/>
      <c r="P1121" s="73" t="n"/>
      <c r="Q1121" s="73" t="n"/>
      <c r="R1121" s="73" t="n"/>
      <c r="S1121" s="122" t="n"/>
    </row>
    <row r="1122" ht="11.4" customHeight="1" s="69">
      <c r="J1122" s="123" t="n"/>
      <c r="K1122" s="73" t="n"/>
      <c r="L1122" s="75" t="n"/>
      <c r="M1122" s="75" t="n"/>
      <c r="N1122" s="75" t="n"/>
      <c r="P1122" s="73" t="n"/>
      <c r="Q1122" s="73" t="n"/>
      <c r="R1122" s="73" t="n"/>
      <c r="S1122" s="122" t="n"/>
    </row>
    <row r="1123" ht="11.4" customHeight="1" s="69">
      <c r="J1123" s="123" t="n"/>
      <c r="K1123" s="73" t="n"/>
      <c r="L1123" s="75" t="n"/>
      <c r="M1123" s="75" t="n"/>
      <c r="N1123" s="75" t="n"/>
      <c r="P1123" s="73" t="n"/>
      <c r="Q1123" s="73" t="n"/>
      <c r="R1123" s="73" t="n"/>
      <c r="S1123" s="122" t="n"/>
    </row>
    <row r="1124" ht="11.4" customHeight="1" s="69">
      <c r="J1124" s="123" t="n"/>
      <c r="K1124" s="73" t="n"/>
      <c r="L1124" s="75" t="n"/>
      <c r="M1124" s="75" t="n"/>
      <c r="N1124" s="75" t="n"/>
      <c r="P1124" s="73" t="n"/>
      <c r="Q1124" s="73" t="n"/>
      <c r="R1124" s="73" t="n"/>
      <c r="S1124" s="122" t="n"/>
    </row>
    <row r="1125" ht="11.4" customHeight="1" s="69">
      <c r="J1125" s="123" t="n"/>
      <c r="K1125" s="73" t="n"/>
      <c r="L1125" s="75" t="n"/>
      <c r="M1125" s="75" t="n"/>
      <c r="N1125" s="75" t="n"/>
      <c r="P1125" s="73" t="n"/>
      <c r="Q1125" s="73" t="n"/>
      <c r="R1125" s="73" t="n"/>
      <c r="S1125" s="122" t="n"/>
    </row>
    <row r="1126" ht="11.4" customHeight="1" s="69">
      <c r="J1126" s="123" t="n"/>
      <c r="K1126" s="73" t="n"/>
      <c r="L1126" s="75" t="n"/>
      <c r="M1126" s="75" t="n"/>
      <c r="N1126" s="75" t="n"/>
      <c r="P1126" s="73" t="n"/>
      <c r="Q1126" s="73" t="n"/>
      <c r="R1126" s="73" t="n"/>
      <c r="S1126" s="122" t="n"/>
    </row>
    <row r="1127" ht="11.4" customHeight="1" s="69">
      <c r="J1127" s="123" t="n"/>
      <c r="K1127" s="73" t="n"/>
      <c r="L1127" s="75" t="n"/>
      <c r="M1127" s="75" t="n"/>
      <c r="N1127" s="75" t="n"/>
      <c r="P1127" s="73" t="n"/>
      <c r="Q1127" s="73" t="n"/>
      <c r="R1127" s="73" t="n"/>
      <c r="S1127" s="122" t="n"/>
    </row>
    <row r="1128" ht="11.4" customHeight="1" s="69">
      <c r="J1128" s="123" t="n"/>
      <c r="K1128" s="73" t="n"/>
      <c r="L1128" s="75" t="n"/>
      <c r="M1128" s="75" t="n"/>
      <c r="N1128" s="75" t="n"/>
      <c r="P1128" s="73" t="n"/>
      <c r="Q1128" s="73" t="n"/>
      <c r="R1128" s="73" t="n"/>
      <c r="S1128" s="122" t="n"/>
    </row>
    <row r="1129" ht="11.4" customHeight="1" s="69">
      <c r="J1129" s="123" t="n"/>
      <c r="K1129" s="73" t="n"/>
      <c r="L1129" s="75" t="n"/>
      <c r="M1129" s="75" t="n"/>
      <c r="N1129" s="75" t="n"/>
      <c r="P1129" s="73" t="n"/>
      <c r="Q1129" s="73" t="n"/>
      <c r="R1129" s="73" t="n"/>
      <c r="S1129" s="122" t="n"/>
    </row>
    <row r="1130" ht="11.4" customHeight="1" s="69">
      <c r="J1130" s="123" t="n"/>
      <c r="K1130" s="73" t="n"/>
      <c r="L1130" s="75" t="n"/>
      <c r="M1130" s="75" t="n"/>
      <c r="N1130" s="75" t="n"/>
      <c r="P1130" s="73" t="n"/>
      <c r="Q1130" s="73" t="n"/>
      <c r="R1130" s="73" t="n"/>
      <c r="S1130" s="122" t="n"/>
    </row>
    <row r="1131" ht="11.4" customHeight="1" s="69">
      <c r="J1131" s="123" t="n"/>
      <c r="K1131" s="73" t="n"/>
      <c r="L1131" s="75" t="n"/>
      <c r="M1131" s="75" t="n"/>
      <c r="N1131" s="75" t="n"/>
      <c r="P1131" s="73" t="n"/>
      <c r="Q1131" s="73" t="n"/>
      <c r="R1131" s="73" t="n"/>
      <c r="S1131" s="122" t="n"/>
    </row>
    <row r="1132" ht="11.4" customHeight="1" s="69">
      <c r="J1132" s="123" t="n"/>
      <c r="K1132" s="73" t="n"/>
      <c r="L1132" s="75" t="n"/>
      <c r="M1132" s="75" t="n"/>
      <c r="N1132" s="75" t="n"/>
      <c r="P1132" s="73" t="n"/>
      <c r="Q1132" s="73" t="n"/>
      <c r="R1132" s="73" t="n"/>
      <c r="S1132" s="122" t="n"/>
    </row>
    <row r="1133" ht="11.4" customHeight="1" s="69">
      <c r="J1133" s="123" t="n"/>
      <c r="K1133" s="73" t="n"/>
      <c r="L1133" s="75" t="n"/>
      <c r="M1133" s="75" t="n"/>
      <c r="N1133" s="75" t="n"/>
      <c r="P1133" s="73" t="n"/>
      <c r="Q1133" s="73" t="n"/>
      <c r="R1133" s="73" t="n"/>
      <c r="S1133" s="122" t="n"/>
    </row>
    <row r="1134" ht="11.4" customHeight="1" s="69">
      <c r="J1134" s="123" t="n"/>
      <c r="K1134" s="73" t="n"/>
      <c r="L1134" s="75" t="n"/>
      <c r="M1134" s="75" t="n"/>
      <c r="N1134" s="75" t="n"/>
      <c r="P1134" s="73" t="n"/>
      <c r="Q1134" s="73" t="n"/>
      <c r="R1134" s="73" t="n"/>
      <c r="S1134" s="122" t="n"/>
    </row>
    <row r="1135" ht="11.4" customHeight="1" s="69">
      <c r="J1135" s="123" t="n"/>
      <c r="K1135" s="73" t="n"/>
      <c r="L1135" s="75" t="n"/>
      <c r="M1135" s="75" t="n"/>
      <c r="N1135" s="75" t="n"/>
      <c r="P1135" s="73" t="n"/>
      <c r="Q1135" s="73" t="n"/>
      <c r="R1135" s="73" t="n"/>
      <c r="S1135" s="122" t="n"/>
    </row>
    <row r="1136" ht="11.4" customHeight="1" s="69">
      <c r="J1136" s="123" t="n"/>
      <c r="K1136" s="73" t="n"/>
      <c r="L1136" s="75" t="n"/>
      <c r="M1136" s="75" t="n"/>
      <c r="N1136" s="75" t="n"/>
      <c r="P1136" s="73" t="n"/>
      <c r="Q1136" s="73" t="n"/>
      <c r="R1136" s="73" t="n"/>
      <c r="S1136" s="122" t="n"/>
    </row>
    <row r="1137" ht="11.4" customHeight="1" s="69">
      <c r="J1137" s="123" t="n"/>
      <c r="K1137" s="73" t="n"/>
      <c r="L1137" s="75" t="n"/>
      <c r="M1137" s="75" t="n"/>
      <c r="N1137" s="75" t="n"/>
      <c r="P1137" s="73" t="n"/>
      <c r="Q1137" s="73" t="n"/>
      <c r="R1137" s="73" t="n"/>
      <c r="S1137" s="122" t="n"/>
    </row>
    <row r="1138" ht="11.4" customHeight="1" s="69">
      <c r="J1138" s="123" t="n"/>
      <c r="K1138" s="73" t="n"/>
      <c r="L1138" s="75" t="n"/>
      <c r="M1138" s="75" t="n"/>
      <c r="N1138" s="75" t="n"/>
      <c r="P1138" s="73" t="n"/>
      <c r="Q1138" s="73" t="n"/>
      <c r="R1138" s="73" t="n"/>
      <c r="S1138" s="122" t="n"/>
    </row>
    <row r="1139" ht="11.4" customHeight="1" s="69">
      <c r="J1139" s="123" t="n"/>
      <c r="K1139" s="73" t="n"/>
      <c r="L1139" s="75" t="n"/>
      <c r="M1139" s="75" t="n"/>
      <c r="N1139" s="75" t="n"/>
      <c r="P1139" s="73" t="n"/>
      <c r="Q1139" s="73" t="n"/>
      <c r="R1139" s="73" t="n"/>
      <c r="S1139" s="122" t="n"/>
    </row>
    <row r="1140" ht="11.4" customHeight="1" s="69">
      <c r="J1140" s="123" t="n"/>
      <c r="K1140" s="73" t="n"/>
      <c r="L1140" s="75" t="n"/>
      <c r="M1140" s="75" t="n"/>
      <c r="N1140" s="75" t="n"/>
      <c r="P1140" s="73" t="n"/>
      <c r="Q1140" s="73" t="n"/>
      <c r="R1140" s="73" t="n"/>
      <c r="S1140" s="122" t="n"/>
    </row>
    <row r="1141" ht="11.4" customHeight="1" s="69">
      <c r="J1141" s="123" t="n"/>
      <c r="K1141" s="73" t="n"/>
      <c r="L1141" s="75" t="n"/>
      <c r="M1141" s="75" t="n"/>
      <c r="N1141" s="75" t="n"/>
      <c r="P1141" s="73" t="n"/>
      <c r="Q1141" s="73" t="n"/>
      <c r="R1141" s="73" t="n"/>
      <c r="S1141" s="122" t="n"/>
    </row>
    <row r="1142" ht="11.4" customHeight="1" s="69">
      <c r="J1142" s="123" t="n"/>
      <c r="K1142" s="73" t="n"/>
      <c r="L1142" s="75" t="n"/>
      <c r="M1142" s="75" t="n"/>
      <c r="N1142" s="75" t="n"/>
      <c r="P1142" s="73" t="n"/>
      <c r="Q1142" s="73" t="n"/>
      <c r="R1142" s="73" t="n"/>
      <c r="S1142" s="122" t="n"/>
    </row>
    <row r="1143" ht="11.4" customHeight="1" s="69">
      <c r="J1143" s="123" t="n"/>
      <c r="K1143" s="73" t="n"/>
      <c r="L1143" s="75" t="n"/>
      <c r="M1143" s="75" t="n"/>
      <c r="N1143" s="75" t="n"/>
      <c r="P1143" s="73" t="n"/>
      <c r="Q1143" s="73" t="n"/>
      <c r="R1143" s="73" t="n"/>
      <c r="S1143" s="122" t="n"/>
    </row>
    <row r="1144" ht="11.4" customHeight="1" s="69">
      <c r="J1144" s="123" t="n"/>
      <c r="K1144" s="73" t="n"/>
      <c r="L1144" s="75" t="n"/>
      <c r="M1144" s="75" t="n"/>
      <c r="N1144" s="75" t="n"/>
      <c r="P1144" s="73" t="n"/>
      <c r="Q1144" s="73" t="n"/>
      <c r="R1144" s="73" t="n"/>
      <c r="S1144" s="122" t="n"/>
    </row>
    <row r="1145" ht="11.4" customHeight="1" s="69">
      <c r="J1145" s="123" t="n"/>
      <c r="K1145" s="73" t="n"/>
      <c r="L1145" s="75" t="n"/>
      <c r="M1145" s="75" t="n"/>
      <c r="N1145" s="75" t="n"/>
      <c r="P1145" s="73" t="n"/>
      <c r="Q1145" s="73" t="n"/>
      <c r="R1145" s="73" t="n"/>
      <c r="S1145" s="122" t="n"/>
    </row>
    <row r="1146" ht="11.4" customHeight="1" s="69">
      <c r="J1146" s="123" t="n"/>
      <c r="K1146" s="73" t="n"/>
      <c r="L1146" s="75" t="n"/>
      <c r="M1146" s="75" t="n"/>
      <c r="N1146" s="75" t="n"/>
      <c r="P1146" s="73" t="n"/>
      <c r="Q1146" s="73" t="n"/>
      <c r="R1146" s="73" t="n"/>
      <c r="S1146" s="122" t="n"/>
    </row>
    <row r="1147" ht="11.4" customHeight="1" s="69">
      <c r="J1147" s="123" t="n"/>
      <c r="K1147" s="73" t="n"/>
      <c r="L1147" s="75" t="n"/>
      <c r="M1147" s="75" t="n"/>
      <c r="N1147" s="75" t="n"/>
      <c r="P1147" s="73" t="n"/>
      <c r="Q1147" s="73" t="n"/>
      <c r="R1147" s="73" t="n"/>
      <c r="S1147" s="122" t="n"/>
    </row>
    <row r="1148" ht="11.4" customHeight="1" s="69">
      <c r="J1148" s="123" t="n"/>
      <c r="K1148" s="73" t="n"/>
      <c r="L1148" s="75" t="n"/>
      <c r="M1148" s="75" t="n"/>
      <c r="N1148" s="75" t="n"/>
      <c r="P1148" s="73" t="n"/>
      <c r="Q1148" s="73" t="n"/>
      <c r="R1148" s="73" t="n"/>
      <c r="S1148" s="122" t="n"/>
    </row>
    <row r="1149" ht="11.4" customHeight="1" s="69">
      <c r="J1149" s="123" t="n"/>
      <c r="K1149" s="73" t="n"/>
      <c r="L1149" s="75" t="n"/>
      <c r="M1149" s="75" t="n"/>
      <c r="N1149" s="75" t="n"/>
      <c r="P1149" s="73" t="n"/>
      <c r="Q1149" s="73" t="n"/>
      <c r="R1149" s="73" t="n"/>
      <c r="S1149" s="122" t="n"/>
    </row>
    <row r="1150" ht="11.4" customHeight="1" s="69">
      <c r="J1150" s="123" t="n"/>
      <c r="K1150" s="73" t="n"/>
      <c r="L1150" s="75" t="n"/>
      <c r="M1150" s="75" t="n"/>
      <c r="N1150" s="75" t="n"/>
      <c r="P1150" s="73" t="n"/>
      <c r="Q1150" s="73" t="n"/>
      <c r="R1150" s="73" t="n"/>
      <c r="S1150" s="122" t="n"/>
    </row>
    <row r="1151" ht="11.4" customHeight="1" s="69">
      <c r="J1151" s="123" t="n"/>
      <c r="K1151" s="73" t="n"/>
      <c r="L1151" s="75" t="n"/>
      <c r="M1151" s="75" t="n"/>
      <c r="N1151" s="75" t="n"/>
      <c r="P1151" s="73" t="n"/>
      <c r="Q1151" s="73" t="n"/>
      <c r="R1151" s="73" t="n"/>
      <c r="S1151" s="122" t="n"/>
    </row>
    <row r="1152" ht="11.4" customHeight="1" s="69">
      <c r="J1152" s="123" t="n"/>
      <c r="K1152" s="73" t="n"/>
      <c r="L1152" s="75" t="n"/>
      <c r="M1152" s="75" t="n"/>
      <c r="N1152" s="75" t="n"/>
      <c r="P1152" s="73" t="n"/>
      <c r="Q1152" s="73" t="n"/>
      <c r="R1152" s="73" t="n"/>
      <c r="S1152" s="122" t="n"/>
    </row>
    <row r="1153" ht="11.4" customHeight="1" s="69">
      <c r="J1153" s="123" t="n"/>
      <c r="K1153" s="73" t="n"/>
      <c r="L1153" s="75" t="n"/>
      <c r="M1153" s="75" t="n"/>
      <c r="N1153" s="75" t="n"/>
      <c r="P1153" s="73" t="n"/>
      <c r="Q1153" s="73" t="n"/>
      <c r="R1153" s="73" t="n"/>
      <c r="S1153" s="122" t="n"/>
    </row>
    <row r="1154" ht="11.4" customHeight="1" s="69">
      <c r="J1154" s="123" t="n"/>
      <c r="K1154" s="73" t="n"/>
      <c r="L1154" s="75" t="n"/>
      <c r="M1154" s="75" t="n"/>
      <c r="N1154" s="75" t="n"/>
      <c r="P1154" s="73" t="n"/>
      <c r="Q1154" s="73" t="n"/>
      <c r="R1154" s="73" t="n"/>
      <c r="S1154" s="122" t="n"/>
    </row>
    <row r="1155" ht="11.4" customHeight="1" s="69">
      <c r="J1155" s="123" t="n"/>
      <c r="K1155" s="73" t="n"/>
      <c r="L1155" s="75" t="n"/>
      <c r="M1155" s="75" t="n"/>
      <c r="N1155" s="75" t="n"/>
      <c r="P1155" s="73" t="n"/>
      <c r="Q1155" s="73" t="n"/>
      <c r="R1155" s="73" t="n"/>
      <c r="S1155" s="122" t="n"/>
    </row>
    <row r="1156" ht="11.4" customHeight="1" s="69">
      <c r="J1156" s="123" t="n"/>
      <c r="K1156" s="73" t="n"/>
      <c r="L1156" s="75" t="n"/>
      <c r="M1156" s="75" t="n"/>
      <c r="N1156" s="75" t="n"/>
      <c r="P1156" s="73" t="n"/>
      <c r="Q1156" s="73" t="n"/>
      <c r="R1156" s="73" t="n"/>
      <c r="S1156" s="122" t="n"/>
    </row>
    <row r="1157" ht="11.4" customHeight="1" s="69">
      <c r="J1157" s="123" t="n"/>
      <c r="K1157" s="73" t="n"/>
      <c r="L1157" s="75" t="n"/>
      <c r="M1157" s="75" t="n"/>
      <c r="N1157" s="75" t="n"/>
      <c r="P1157" s="73" t="n"/>
      <c r="Q1157" s="73" t="n"/>
      <c r="R1157" s="73" t="n"/>
      <c r="S1157" s="122" t="n"/>
    </row>
    <row r="1158" ht="11.4" customHeight="1" s="69">
      <c r="J1158" s="123" t="n"/>
      <c r="K1158" s="73" t="n"/>
      <c r="L1158" s="75" t="n"/>
      <c r="M1158" s="75" t="n"/>
      <c r="N1158" s="75" t="n"/>
      <c r="P1158" s="73" t="n"/>
      <c r="Q1158" s="73" t="n"/>
      <c r="R1158" s="73" t="n"/>
      <c r="S1158" s="122" t="n"/>
    </row>
    <row r="1159" ht="11.4" customHeight="1" s="69">
      <c r="J1159" s="123" t="n"/>
      <c r="K1159" s="73" t="n"/>
      <c r="L1159" s="75" t="n"/>
      <c r="M1159" s="75" t="n"/>
      <c r="N1159" s="75" t="n"/>
      <c r="P1159" s="73" t="n"/>
      <c r="Q1159" s="73" t="n"/>
      <c r="R1159" s="73" t="n"/>
      <c r="S1159" s="122" t="n"/>
    </row>
    <row r="1160" ht="11.4" customHeight="1" s="69">
      <c r="J1160" s="123" t="n"/>
      <c r="K1160" s="73" t="n"/>
      <c r="L1160" s="75" t="n"/>
      <c r="M1160" s="75" t="n"/>
      <c r="N1160" s="75" t="n"/>
      <c r="P1160" s="73" t="n"/>
      <c r="Q1160" s="73" t="n"/>
      <c r="R1160" s="73" t="n"/>
      <c r="S1160" s="122" t="n"/>
    </row>
    <row r="1161" ht="11.4" customHeight="1" s="69">
      <c r="J1161" s="123" t="n"/>
      <c r="K1161" s="73" t="n"/>
      <c r="L1161" s="75" t="n"/>
      <c r="M1161" s="75" t="n"/>
      <c r="N1161" s="75" t="n"/>
      <c r="P1161" s="73" t="n"/>
      <c r="Q1161" s="73" t="n"/>
      <c r="R1161" s="73" t="n"/>
      <c r="S1161" s="122" t="n"/>
    </row>
    <row r="1162" ht="11.4" customHeight="1" s="69">
      <c r="J1162" s="123" t="n"/>
      <c r="K1162" s="73" t="n"/>
      <c r="L1162" s="75" t="n"/>
      <c r="M1162" s="75" t="n"/>
      <c r="N1162" s="75" t="n"/>
      <c r="P1162" s="73" t="n"/>
      <c r="Q1162" s="73" t="n"/>
      <c r="R1162" s="73" t="n"/>
      <c r="S1162" s="122" t="n"/>
    </row>
    <row r="1163" ht="11.4" customHeight="1" s="69">
      <c r="J1163" s="123" t="n"/>
      <c r="K1163" s="73" t="n"/>
      <c r="L1163" s="75" t="n"/>
      <c r="M1163" s="75" t="n"/>
      <c r="N1163" s="75" t="n"/>
      <c r="P1163" s="73" t="n"/>
      <c r="Q1163" s="73" t="n"/>
      <c r="R1163" s="73" t="n"/>
      <c r="S1163" s="122" t="n"/>
    </row>
    <row r="1164" ht="11.4" customHeight="1" s="69">
      <c r="J1164" s="123" t="n"/>
      <c r="K1164" s="73" t="n"/>
      <c r="L1164" s="75" t="n"/>
      <c r="M1164" s="75" t="n"/>
      <c r="N1164" s="75" t="n"/>
      <c r="P1164" s="73" t="n"/>
      <c r="Q1164" s="73" t="n"/>
      <c r="R1164" s="73" t="n"/>
      <c r="S1164" s="122" t="n"/>
    </row>
    <row r="1165" ht="11.4" customHeight="1" s="69">
      <c r="J1165" s="123" t="n"/>
      <c r="K1165" s="73" t="n"/>
      <c r="L1165" s="75" t="n"/>
      <c r="M1165" s="75" t="n"/>
      <c r="N1165" s="75" t="n"/>
      <c r="P1165" s="73" t="n"/>
      <c r="Q1165" s="73" t="n"/>
      <c r="R1165" s="73" t="n"/>
      <c r="S1165" s="122" t="n"/>
    </row>
    <row r="1166" ht="11.4" customHeight="1" s="69">
      <c r="J1166" s="123" t="n"/>
      <c r="K1166" s="73" t="n"/>
      <c r="L1166" s="75" t="n"/>
      <c r="M1166" s="75" t="n"/>
      <c r="N1166" s="75" t="n"/>
      <c r="P1166" s="73" t="n"/>
      <c r="Q1166" s="73" t="n"/>
      <c r="R1166" s="73" t="n"/>
      <c r="S1166" s="122" t="n"/>
    </row>
    <row r="1167" ht="11.4" customHeight="1" s="69">
      <c r="J1167" s="123" t="n"/>
      <c r="K1167" s="73" t="n"/>
      <c r="L1167" s="75" t="n"/>
      <c r="M1167" s="75" t="n"/>
      <c r="N1167" s="75" t="n"/>
      <c r="P1167" s="73" t="n"/>
      <c r="Q1167" s="73" t="n"/>
      <c r="R1167" s="73" t="n"/>
      <c r="S1167" s="122" t="n"/>
    </row>
    <row r="1168" ht="11.4" customHeight="1" s="69">
      <c r="J1168" s="123" t="n"/>
      <c r="K1168" s="73" t="n"/>
      <c r="L1168" s="75" t="n"/>
      <c r="M1168" s="75" t="n"/>
      <c r="N1168" s="75" t="n"/>
      <c r="P1168" s="73" t="n"/>
      <c r="Q1168" s="73" t="n"/>
      <c r="R1168" s="73" t="n"/>
      <c r="S1168" s="122" t="n"/>
    </row>
    <row r="1169" ht="11.4" customHeight="1" s="69">
      <c r="J1169" s="123" t="n"/>
      <c r="K1169" s="73" t="n"/>
      <c r="L1169" s="75" t="n"/>
      <c r="M1169" s="75" t="n"/>
      <c r="N1169" s="75" t="n"/>
      <c r="P1169" s="73" t="n"/>
      <c r="Q1169" s="73" t="n"/>
      <c r="R1169" s="73" t="n"/>
      <c r="S1169" s="122" t="n"/>
    </row>
    <row r="1170" ht="11.4" customHeight="1" s="69">
      <c r="J1170" s="123" t="n"/>
      <c r="K1170" s="73" t="n"/>
      <c r="L1170" s="75" t="n"/>
      <c r="M1170" s="75" t="n"/>
      <c r="N1170" s="75" t="n"/>
      <c r="P1170" s="73" t="n"/>
      <c r="Q1170" s="73" t="n"/>
      <c r="R1170" s="73" t="n"/>
      <c r="S1170" s="122" t="n"/>
    </row>
    <row r="1171" ht="11.4" customHeight="1" s="69">
      <c r="J1171" s="123" t="n"/>
      <c r="K1171" s="73" t="n"/>
      <c r="L1171" s="75" t="n"/>
      <c r="M1171" s="75" t="n"/>
      <c r="N1171" s="75" t="n"/>
      <c r="P1171" s="73" t="n"/>
      <c r="Q1171" s="73" t="n"/>
      <c r="R1171" s="73" t="n"/>
      <c r="S1171" s="122" t="n"/>
    </row>
    <row r="1172" ht="11.4" customHeight="1" s="69">
      <c r="J1172" s="123" t="n"/>
      <c r="K1172" s="73" t="n"/>
      <c r="L1172" s="75" t="n"/>
      <c r="M1172" s="75" t="n"/>
      <c r="N1172" s="75" t="n"/>
      <c r="P1172" s="73" t="n"/>
      <c r="Q1172" s="73" t="n"/>
      <c r="R1172" s="73" t="n"/>
      <c r="S1172" s="122" t="n"/>
    </row>
    <row r="1173" ht="11.4" customHeight="1" s="69">
      <c r="J1173" s="123" t="n"/>
      <c r="K1173" s="73" t="n"/>
      <c r="L1173" s="75" t="n"/>
      <c r="M1173" s="75" t="n"/>
      <c r="N1173" s="75" t="n"/>
      <c r="P1173" s="73" t="n"/>
      <c r="Q1173" s="73" t="n"/>
      <c r="R1173" s="73" t="n"/>
      <c r="S1173" s="122" t="n"/>
    </row>
    <row r="1174" ht="11.4" customHeight="1" s="69">
      <c r="J1174" s="123" t="n"/>
      <c r="K1174" s="73" t="n"/>
      <c r="L1174" s="75" t="n"/>
      <c r="M1174" s="75" t="n"/>
      <c r="N1174" s="75" t="n"/>
      <c r="P1174" s="73" t="n"/>
      <c r="Q1174" s="73" t="n"/>
      <c r="R1174" s="73" t="n"/>
      <c r="S1174" s="122" t="n"/>
    </row>
    <row r="1175" ht="11.4" customHeight="1" s="69">
      <c r="J1175" s="123" t="n"/>
      <c r="K1175" s="73" t="n"/>
      <c r="L1175" s="75" t="n"/>
      <c r="M1175" s="75" t="n"/>
      <c r="N1175" s="75" t="n"/>
      <c r="P1175" s="73" t="n"/>
      <c r="Q1175" s="73" t="n"/>
      <c r="R1175" s="73" t="n"/>
      <c r="S1175" s="122" t="n"/>
    </row>
    <row r="1176" ht="11.4" customHeight="1" s="69">
      <c r="J1176" s="123" t="n"/>
      <c r="K1176" s="73" t="n"/>
      <c r="L1176" s="75" t="n"/>
      <c r="M1176" s="75" t="n"/>
      <c r="N1176" s="75" t="n"/>
      <c r="P1176" s="73" t="n"/>
      <c r="Q1176" s="73" t="n"/>
      <c r="R1176" s="73" t="n"/>
      <c r="S1176" s="122" t="n"/>
    </row>
    <row r="1177" ht="11.4" customHeight="1" s="69">
      <c r="J1177" s="123" t="n"/>
      <c r="K1177" s="73" t="n"/>
      <c r="L1177" s="75" t="n"/>
      <c r="M1177" s="75" t="n"/>
      <c r="N1177" s="75" t="n"/>
      <c r="P1177" s="73" t="n"/>
      <c r="Q1177" s="73" t="n"/>
      <c r="R1177" s="73" t="n"/>
      <c r="S1177" s="122" t="n"/>
    </row>
    <row r="1178" ht="11.4" customHeight="1" s="69">
      <c r="J1178" s="123" t="n"/>
      <c r="K1178" s="73" t="n"/>
      <c r="L1178" s="75" t="n"/>
      <c r="M1178" s="75" t="n"/>
      <c r="N1178" s="75" t="n"/>
      <c r="P1178" s="73" t="n"/>
      <c r="Q1178" s="73" t="n"/>
      <c r="R1178" s="73" t="n"/>
      <c r="S1178" s="122" t="n"/>
    </row>
    <row r="1179" ht="11.4" customHeight="1" s="69">
      <c r="J1179" s="123" t="n"/>
      <c r="K1179" s="73" t="n"/>
      <c r="L1179" s="75" t="n"/>
      <c r="M1179" s="75" t="n"/>
      <c r="N1179" s="75" t="n"/>
      <c r="P1179" s="73" t="n"/>
      <c r="Q1179" s="73" t="n"/>
      <c r="R1179" s="73" t="n"/>
      <c r="S1179" s="122" t="n"/>
    </row>
    <row r="1180" ht="11.4" customHeight="1" s="69">
      <c r="J1180" s="123" t="n"/>
      <c r="K1180" s="73" t="n"/>
      <c r="L1180" s="75" t="n"/>
      <c r="M1180" s="75" t="n"/>
      <c r="N1180" s="75" t="n"/>
      <c r="P1180" s="73" t="n"/>
      <c r="Q1180" s="73" t="n"/>
      <c r="R1180" s="73" t="n"/>
      <c r="S1180" s="122" t="n"/>
    </row>
    <row r="1181" ht="11.4" customHeight="1" s="69">
      <c r="J1181" s="123" t="n"/>
      <c r="K1181" s="73" t="n"/>
      <c r="L1181" s="75" t="n"/>
      <c r="M1181" s="75" t="n"/>
      <c r="N1181" s="75" t="n"/>
      <c r="P1181" s="73" t="n"/>
      <c r="Q1181" s="73" t="n"/>
      <c r="R1181" s="73" t="n"/>
      <c r="S1181" s="122" t="n"/>
    </row>
    <row r="1182" ht="11.4" customHeight="1" s="69">
      <c r="J1182" s="123" t="n"/>
      <c r="K1182" s="73" t="n"/>
      <c r="L1182" s="75" t="n"/>
      <c r="M1182" s="75" t="n"/>
      <c r="N1182" s="75" t="n"/>
      <c r="P1182" s="73" t="n"/>
      <c r="Q1182" s="73" t="n"/>
      <c r="R1182" s="73" t="n"/>
      <c r="S1182" s="122" t="n"/>
    </row>
    <row r="1183" ht="11.4" customHeight="1" s="69">
      <c r="J1183" s="123" t="n"/>
      <c r="K1183" s="73" t="n"/>
      <c r="L1183" s="75" t="n"/>
      <c r="M1183" s="75" t="n"/>
      <c r="N1183" s="75" t="n"/>
      <c r="P1183" s="73" t="n"/>
      <c r="Q1183" s="73" t="n"/>
      <c r="R1183" s="73" t="n"/>
      <c r="S1183" s="122" t="n"/>
    </row>
    <row r="1184" ht="11.4" customHeight="1" s="69">
      <c r="J1184" s="123" t="n"/>
      <c r="K1184" s="73" t="n"/>
      <c r="L1184" s="75" t="n"/>
      <c r="M1184" s="75" t="n"/>
      <c r="N1184" s="75" t="n"/>
      <c r="P1184" s="73" t="n"/>
      <c r="Q1184" s="73" t="n"/>
      <c r="R1184" s="73" t="n"/>
      <c r="S1184" s="122" t="n"/>
    </row>
    <row r="1185" ht="11.4" customHeight="1" s="69">
      <c r="J1185" s="123" t="n"/>
      <c r="K1185" s="73" t="n"/>
      <c r="L1185" s="75" t="n"/>
      <c r="M1185" s="75" t="n"/>
      <c r="N1185" s="75" t="n"/>
      <c r="P1185" s="73" t="n"/>
      <c r="Q1185" s="73" t="n"/>
      <c r="R1185" s="73" t="n"/>
      <c r="S1185" s="122" t="n"/>
    </row>
    <row r="1186" ht="11.4" customHeight="1" s="69">
      <c r="J1186" s="123" t="n"/>
      <c r="K1186" s="73" t="n"/>
      <c r="L1186" s="75" t="n"/>
      <c r="M1186" s="75" t="n"/>
      <c r="N1186" s="75" t="n"/>
      <c r="P1186" s="73" t="n"/>
      <c r="Q1186" s="73" t="n"/>
      <c r="R1186" s="73" t="n"/>
      <c r="S1186" s="122" t="n"/>
    </row>
    <row r="1187" ht="11.4" customHeight="1" s="69">
      <c r="J1187" s="123" t="n"/>
      <c r="K1187" s="73" t="n"/>
      <c r="L1187" s="75" t="n"/>
      <c r="M1187" s="75" t="n"/>
      <c r="N1187" s="75" t="n"/>
      <c r="P1187" s="73" t="n"/>
      <c r="Q1187" s="73" t="n"/>
      <c r="R1187" s="73" t="n"/>
      <c r="S1187" s="122" t="n"/>
    </row>
    <row r="1188" ht="11.4" customHeight="1" s="69">
      <c r="J1188" s="123" t="n"/>
      <c r="K1188" s="73" t="n"/>
      <c r="L1188" s="75" t="n"/>
      <c r="M1188" s="75" t="n"/>
      <c r="N1188" s="75" t="n"/>
      <c r="P1188" s="73" t="n"/>
      <c r="Q1188" s="73" t="n"/>
      <c r="R1188" s="73" t="n"/>
      <c r="S1188" s="122" t="n"/>
    </row>
    <row r="1189" ht="11.4" customHeight="1" s="69">
      <c r="J1189" s="123" t="n"/>
      <c r="K1189" s="73" t="n"/>
      <c r="L1189" s="75" t="n"/>
      <c r="M1189" s="75" t="n"/>
      <c r="N1189" s="75" t="n"/>
      <c r="P1189" s="73" t="n"/>
      <c r="Q1189" s="73" t="n"/>
      <c r="R1189" s="73" t="n"/>
      <c r="S1189" s="122" t="n"/>
    </row>
    <row r="1190" ht="11.4" customHeight="1" s="69">
      <c r="J1190" s="123" t="n"/>
      <c r="K1190" s="73" t="n"/>
      <c r="L1190" s="75" t="n"/>
      <c r="M1190" s="75" t="n"/>
      <c r="N1190" s="75" t="n"/>
      <c r="P1190" s="73" t="n"/>
      <c r="Q1190" s="73" t="n"/>
      <c r="R1190" s="73" t="n"/>
      <c r="S1190" s="122" t="n"/>
    </row>
    <row r="1191" ht="11.4" customHeight="1" s="69">
      <c r="J1191" s="123" t="n"/>
      <c r="K1191" s="73" t="n"/>
      <c r="L1191" s="75" t="n"/>
      <c r="M1191" s="75" t="n"/>
      <c r="N1191" s="75" t="n"/>
      <c r="P1191" s="73" t="n"/>
      <c r="Q1191" s="73" t="n"/>
      <c r="R1191" s="73" t="n"/>
      <c r="S1191" s="122" t="n"/>
    </row>
    <row r="1192" ht="11.4" customHeight="1" s="69">
      <c r="J1192" s="123" t="n"/>
      <c r="K1192" s="73" t="n"/>
      <c r="L1192" s="75" t="n"/>
      <c r="M1192" s="75" t="n"/>
      <c r="N1192" s="75" t="n"/>
      <c r="P1192" s="73" t="n"/>
      <c r="Q1192" s="73" t="n"/>
      <c r="R1192" s="73" t="n"/>
      <c r="S1192" s="122" t="n"/>
    </row>
    <row r="1193" ht="11.4" customHeight="1" s="69">
      <c r="J1193" s="123" t="n"/>
      <c r="K1193" s="73" t="n"/>
      <c r="L1193" s="75" t="n"/>
      <c r="M1193" s="75" t="n"/>
      <c r="N1193" s="75" t="n"/>
      <c r="P1193" s="73" t="n"/>
      <c r="Q1193" s="73" t="n"/>
      <c r="R1193" s="73" t="n"/>
      <c r="S1193" s="122" t="n"/>
    </row>
    <row r="1194" ht="11.4" customHeight="1" s="69">
      <c r="J1194" s="123" t="n"/>
      <c r="K1194" s="73" t="n"/>
      <c r="L1194" s="75" t="n"/>
      <c r="M1194" s="75" t="n"/>
      <c r="N1194" s="75" t="n"/>
      <c r="P1194" s="73" t="n"/>
      <c r="Q1194" s="73" t="n"/>
      <c r="R1194" s="73" t="n"/>
      <c r="S1194" s="122" t="n"/>
    </row>
    <row r="1195" ht="11.4" customHeight="1" s="69">
      <c r="J1195" s="123" t="n"/>
      <c r="K1195" s="73" t="n"/>
      <c r="L1195" s="75" t="n"/>
      <c r="M1195" s="75" t="n"/>
      <c r="N1195" s="75" t="n"/>
      <c r="P1195" s="73" t="n"/>
      <c r="Q1195" s="73" t="n"/>
      <c r="R1195" s="73" t="n"/>
      <c r="S1195" s="122" t="n"/>
    </row>
    <row r="1196" ht="11.4" customHeight="1" s="69">
      <c r="J1196" s="123" t="n"/>
      <c r="K1196" s="73" t="n"/>
      <c r="L1196" s="75" t="n"/>
      <c r="M1196" s="75" t="n"/>
      <c r="N1196" s="75" t="n"/>
      <c r="P1196" s="73" t="n"/>
      <c r="Q1196" s="73" t="n"/>
      <c r="R1196" s="73" t="n"/>
      <c r="S1196" s="122" t="n"/>
    </row>
    <row r="1197" ht="11.4" customHeight="1" s="69">
      <c r="J1197" s="123" t="n"/>
      <c r="K1197" s="73" t="n"/>
      <c r="L1197" s="75" t="n"/>
      <c r="M1197" s="75" t="n"/>
      <c r="N1197" s="75" t="n"/>
      <c r="P1197" s="73" t="n"/>
      <c r="Q1197" s="73" t="n"/>
      <c r="R1197" s="73" t="n"/>
      <c r="S1197" s="122" t="n"/>
    </row>
    <row r="1198" ht="11.4" customHeight="1" s="69">
      <c r="J1198" s="123" t="n"/>
      <c r="K1198" s="73" t="n"/>
      <c r="L1198" s="75" t="n"/>
      <c r="M1198" s="75" t="n"/>
      <c r="N1198" s="75" t="n"/>
      <c r="P1198" s="73" t="n"/>
      <c r="Q1198" s="73" t="n"/>
      <c r="R1198" s="73" t="n"/>
      <c r="S1198" s="122" t="n"/>
    </row>
    <row r="1199" ht="11.4" customHeight="1" s="69">
      <c r="J1199" s="123" t="n"/>
      <c r="K1199" s="73" t="n"/>
      <c r="L1199" s="75" t="n"/>
      <c r="M1199" s="75" t="n"/>
      <c r="N1199" s="75" t="n"/>
      <c r="P1199" s="73" t="n"/>
      <c r="Q1199" s="73" t="n"/>
      <c r="R1199" s="73" t="n"/>
      <c r="S1199" s="122" t="n"/>
    </row>
    <row r="1200" ht="11.4" customHeight="1" s="69">
      <c r="J1200" s="123" t="n"/>
      <c r="K1200" s="73" t="n"/>
      <c r="L1200" s="75" t="n"/>
      <c r="M1200" s="75" t="n"/>
      <c r="N1200" s="75" t="n"/>
      <c r="P1200" s="73" t="n"/>
      <c r="Q1200" s="73" t="n"/>
      <c r="R1200" s="73" t="n"/>
      <c r="S1200" s="122" t="n"/>
    </row>
    <row r="1201" ht="11.4" customHeight="1" s="69">
      <c r="J1201" s="123" t="n"/>
      <c r="K1201" s="73" t="n"/>
      <c r="L1201" s="75" t="n"/>
      <c r="M1201" s="75" t="n"/>
      <c r="N1201" s="75" t="n"/>
      <c r="P1201" s="73" t="n"/>
      <c r="Q1201" s="73" t="n"/>
      <c r="R1201" s="73" t="n"/>
      <c r="S1201" s="122" t="n"/>
    </row>
    <row r="1202" ht="11.4" customHeight="1" s="69">
      <c r="J1202" s="123" t="n"/>
      <c r="K1202" s="73" t="n"/>
      <c r="L1202" s="75" t="n"/>
      <c r="M1202" s="75" t="n"/>
      <c r="N1202" s="75" t="n"/>
      <c r="P1202" s="73" t="n"/>
      <c r="Q1202" s="73" t="n"/>
      <c r="R1202" s="73" t="n"/>
      <c r="S1202" s="122" t="n"/>
    </row>
    <row r="1203" ht="11.4" customHeight="1" s="69">
      <c r="J1203" s="123" t="n"/>
      <c r="K1203" s="73" t="n"/>
      <c r="L1203" s="75" t="n"/>
      <c r="M1203" s="75" t="n"/>
      <c r="N1203" s="75" t="n"/>
      <c r="P1203" s="73" t="n"/>
      <c r="Q1203" s="73" t="n"/>
      <c r="R1203" s="73" t="n"/>
      <c r="S1203" s="122" t="n"/>
    </row>
    <row r="1204" ht="11.4" customHeight="1" s="69">
      <c r="J1204" s="123" t="n"/>
      <c r="K1204" s="73" t="n"/>
      <c r="L1204" s="75" t="n"/>
      <c r="M1204" s="75" t="n"/>
      <c r="N1204" s="75" t="n"/>
      <c r="P1204" s="73" t="n"/>
      <c r="Q1204" s="73" t="n"/>
      <c r="R1204" s="73" t="n"/>
      <c r="S1204" s="122" t="n"/>
    </row>
    <row r="1205" ht="11.4" customHeight="1" s="69">
      <c r="J1205" s="123" t="n"/>
      <c r="K1205" s="73" t="n"/>
      <c r="L1205" s="75" t="n"/>
      <c r="M1205" s="75" t="n"/>
      <c r="N1205" s="75" t="n"/>
      <c r="P1205" s="73" t="n"/>
      <c r="Q1205" s="73" t="n"/>
      <c r="R1205" s="73" t="n"/>
      <c r="S1205" s="122" t="n"/>
    </row>
    <row r="1206" ht="11.4" customHeight="1" s="69">
      <c r="J1206" s="123" t="n"/>
      <c r="K1206" s="73" t="n"/>
      <c r="L1206" s="75" t="n"/>
      <c r="M1206" s="75" t="n"/>
      <c r="N1206" s="75" t="n"/>
      <c r="P1206" s="73" t="n"/>
      <c r="Q1206" s="73" t="n"/>
      <c r="R1206" s="73" t="n"/>
      <c r="S1206" s="122" t="n"/>
    </row>
    <row r="1207" ht="11.4" customHeight="1" s="69">
      <c r="J1207" s="123" t="n"/>
      <c r="K1207" s="73" t="n"/>
      <c r="L1207" s="75" t="n"/>
      <c r="M1207" s="75" t="n"/>
      <c r="N1207" s="75" t="n"/>
      <c r="P1207" s="73" t="n"/>
      <c r="Q1207" s="73" t="n"/>
      <c r="R1207" s="73" t="n"/>
      <c r="S1207" s="122" t="n"/>
    </row>
    <row r="1208" ht="11.4" customHeight="1" s="69">
      <c r="J1208" s="123" t="n"/>
      <c r="K1208" s="73" t="n"/>
      <c r="L1208" s="75" t="n"/>
      <c r="M1208" s="75" t="n"/>
      <c r="N1208" s="75" t="n"/>
      <c r="P1208" s="73" t="n"/>
      <c r="Q1208" s="73" t="n"/>
      <c r="R1208" s="73" t="n"/>
      <c r="S1208" s="122" t="n"/>
    </row>
    <row r="1209" ht="11.4" customHeight="1" s="69">
      <c r="J1209" s="123" t="n"/>
      <c r="K1209" s="73" t="n"/>
      <c r="L1209" s="75" t="n"/>
      <c r="M1209" s="75" t="n"/>
      <c r="N1209" s="75" t="n"/>
      <c r="P1209" s="73" t="n"/>
      <c r="Q1209" s="73" t="n"/>
      <c r="R1209" s="73" t="n"/>
      <c r="S1209" s="122" t="n"/>
    </row>
    <row r="1210" ht="11.4" customHeight="1" s="69">
      <c r="J1210" s="123" t="n"/>
      <c r="K1210" s="73" t="n"/>
      <c r="L1210" s="75" t="n"/>
      <c r="M1210" s="75" t="n"/>
      <c r="N1210" s="75" t="n"/>
      <c r="P1210" s="73" t="n"/>
      <c r="Q1210" s="73" t="n"/>
      <c r="R1210" s="73" t="n"/>
      <c r="S1210" s="122" t="n"/>
    </row>
    <row r="1211" ht="11.4" customHeight="1" s="69">
      <c r="J1211" s="123" t="n"/>
      <c r="K1211" s="73" t="n"/>
      <c r="L1211" s="75" t="n"/>
      <c r="M1211" s="75" t="n"/>
      <c r="N1211" s="75" t="n"/>
      <c r="P1211" s="73" t="n"/>
      <c r="Q1211" s="73" t="n"/>
      <c r="R1211" s="73" t="n"/>
      <c r="S1211" s="122" t="n"/>
    </row>
    <row r="1212" ht="11.4" customHeight="1" s="69">
      <c r="J1212" s="123" t="n"/>
      <c r="K1212" s="73" t="n"/>
      <c r="L1212" s="75" t="n"/>
      <c r="M1212" s="75" t="n"/>
      <c r="N1212" s="75" t="n"/>
      <c r="P1212" s="73" t="n"/>
      <c r="Q1212" s="73" t="n"/>
      <c r="R1212" s="73" t="n"/>
      <c r="S1212" s="122" t="n"/>
    </row>
    <row r="1213" ht="11.4" customHeight="1" s="69">
      <c r="J1213" s="123" t="n"/>
      <c r="K1213" s="73" t="n"/>
      <c r="L1213" s="75" t="n"/>
      <c r="M1213" s="75" t="n"/>
      <c r="N1213" s="75" t="n"/>
      <c r="P1213" s="73" t="n"/>
      <c r="Q1213" s="73" t="n"/>
      <c r="R1213" s="73" t="n"/>
      <c r="S1213" s="122" t="n"/>
    </row>
    <row r="1214" ht="11.4" customHeight="1" s="69">
      <c r="J1214" s="123" t="n"/>
      <c r="K1214" s="73" t="n"/>
      <c r="L1214" s="75" t="n"/>
      <c r="M1214" s="75" t="n"/>
      <c r="N1214" s="75" t="n"/>
      <c r="P1214" s="73" t="n"/>
      <c r="Q1214" s="73" t="n"/>
      <c r="R1214" s="73" t="n"/>
      <c r="S1214" s="122" t="n"/>
    </row>
    <row r="1215" ht="11.4" customHeight="1" s="69">
      <c r="J1215" s="123" t="n"/>
      <c r="K1215" s="73" t="n"/>
      <c r="L1215" s="75" t="n"/>
      <c r="M1215" s="75" t="n"/>
      <c r="N1215" s="75" t="n"/>
      <c r="P1215" s="73" t="n"/>
      <c r="Q1215" s="73" t="n"/>
      <c r="R1215" s="73" t="n"/>
      <c r="S1215" s="122" t="n"/>
    </row>
    <row r="1216" ht="11.4" customHeight="1" s="69">
      <c r="J1216" s="123" t="n"/>
      <c r="K1216" s="73" t="n"/>
      <c r="L1216" s="75" t="n"/>
      <c r="M1216" s="75" t="n"/>
      <c r="N1216" s="75" t="n"/>
      <c r="P1216" s="73" t="n"/>
      <c r="Q1216" s="73" t="n"/>
      <c r="R1216" s="73" t="n"/>
      <c r="S1216" s="122" t="n"/>
    </row>
    <row r="1217" ht="11.4" customHeight="1" s="69">
      <c r="J1217" s="123" t="n"/>
      <c r="K1217" s="73" t="n"/>
      <c r="L1217" s="75" t="n"/>
      <c r="M1217" s="75" t="n"/>
      <c r="N1217" s="75" t="n"/>
      <c r="P1217" s="73" t="n"/>
      <c r="Q1217" s="73" t="n"/>
      <c r="R1217" s="73" t="n"/>
      <c r="S1217" s="122" t="n"/>
    </row>
    <row r="1218" ht="11.4" customHeight="1" s="69">
      <c r="J1218" s="123" t="n"/>
      <c r="K1218" s="73" t="n"/>
      <c r="L1218" s="75" t="n"/>
      <c r="M1218" s="75" t="n"/>
      <c r="N1218" s="75" t="n"/>
      <c r="P1218" s="73" t="n"/>
      <c r="Q1218" s="73" t="n"/>
      <c r="R1218" s="73" t="n"/>
      <c r="S1218" s="122" t="n"/>
    </row>
    <row r="1219" ht="11.4" customHeight="1" s="69">
      <c r="J1219" s="123" t="n"/>
      <c r="K1219" s="73" t="n"/>
      <c r="L1219" s="75" t="n"/>
      <c r="M1219" s="75" t="n"/>
      <c r="N1219" s="75" t="n"/>
      <c r="P1219" s="73" t="n"/>
      <c r="Q1219" s="73" t="n"/>
      <c r="R1219" s="73" t="n"/>
      <c r="S1219" s="122" t="n"/>
    </row>
    <row r="1220" ht="11.4" customHeight="1" s="69">
      <c r="J1220" s="123" t="n"/>
      <c r="K1220" s="73" t="n"/>
      <c r="L1220" s="75" t="n"/>
      <c r="M1220" s="75" t="n"/>
      <c r="N1220" s="75" t="n"/>
      <c r="P1220" s="73" t="n"/>
      <c r="Q1220" s="73" t="n"/>
      <c r="R1220" s="73" t="n"/>
      <c r="S1220" s="122" t="n"/>
    </row>
    <row r="1221" ht="11.4" customHeight="1" s="69">
      <c r="J1221" s="123" t="n"/>
      <c r="K1221" s="73" t="n"/>
      <c r="L1221" s="75" t="n"/>
      <c r="M1221" s="75" t="n"/>
      <c r="N1221" s="75" t="n"/>
      <c r="P1221" s="73" t="n"/>
      <c r="Q1221" s="73" t="n"/>
      <c r="R1221" s="73" t="n"/>
      <c r="S1221" s="122" t="n"/>
    </row>
    <row r="1222" ht="11.4" customHeight="1" s="69">
      <c r="J1222" s="123" t="n"/>
      <c r="K1222" s="73" t="n"/>
      <c r="L1222" s="75" t="n"/>
      <c r="M1222" s="75" t="n"/>
      <c r="N1222" s="75" t="n"/>
      <c r="P1222" s="73" t="n"/>
      <c r="Q1222" s="73" t="n"/>
      <c r="R1222" s="73" t="n"/>
      <c r="S1222" s="122" t="n"/>
    </row>
    <row r="1223" ht="11.4" customHeight="1" s="69">
      <c r="J1223" s="123" t="n"/>
      <c r="K1223" s="73" t="n"/>
      <c r="L1223" s="75" t="n"/>
      <c r="M1223" s="75" t="n"/>
      <c r="N1223" s="75" t="n"/>
      <c r="P1223" s="73" t="n"/>
      <c r="Q1223" s="73" t="n"/>
      <c r="R1223" s="73" t="n"/>
      <c r="S1223" s="122" t="n"/>
    </row>
    <row r="1224" ht="11.4" customHeight="1" s="69">
      <c r="J1224" s="123" t="n"/>
      <c r="K1224" s="73" t="n"/>
      <c r="L1224" s="75" t="n"/>
      <c r="M1224" s="75" t="n"/>
      <c r="N1224" s="75" t="n"/>
      <c r="P1224" s="73" t="n"/>
      <c r="Q1224" s="73" t="n"/>
      <c r="R1224" s="73" t="n"/>
      <c r="S1224" s="122" t="n"/>
    </row>
    <row r="1225" ht="11.4" customHeight="1" s="69">
      <c r="J1225" s="123" t="n"/>
      <c r="K1225" s="73" t="n"/>
      <c r="L1225" s="75" t="n"/>
      <c r="M1225" s="75" t="n"/>
      <c r="N1225" s="75" t="n"/>
      <c r="P1225" s="73" t="n"/>
      <c r="Q1225" s="73" t="n"/>
      <c r="R1225" s="73" t="n"/>
      <c r="S1225" s="122" t="n"/>
    </row>
    <row r="1226" ht="11.4" customHeight="1" s="69">
      <c r="J1226" s="123" t="n"/>
      <c r="K1226" s="73" t="n"/>
      <c r="L1226" s="75" t="n"/>
      <c r="M1226" s="75" t="n"/>
      <c r="N1226" s="75" t="n"/>
      <c r="P1226" s="73" t="n"/>
      <c r="Q1226" s="73" t="n"/>
      <c r="R1226" s="73" t="n"/>
      <c r="S1226" s="122" t="n"/>
    </row>
    <row r="1227" ht="11.4" customHeight="1" s="69">
      <c r="J1227" s="123" t="n"/>
      <c r="K1227" s="73" t="n"/>
      <c r="L1227" s="75" t="n"/>
      <c r="M1227" s="75" t="n"/>
      <c r="N1227" s="75" t="n"/>
      <c r="P1227" s="73" t="n"/>
      <c r="Q1227" s="73" t="n"/>
      <c r="R1227" s="73" t="n"/>
      <c r="S1227" s="122" t="n"/>
    </row>
    <row r="1228" ht="11.4" customHeight="1" s="69">
      <c r="J1228" s="123" t="n"/>
      <c r="K1228" s="73" t="n"/>
      <c r="L1228" s="75" t="n"/>
      <c r="M1228" s="75" t="n"/>
      <c r="N1228" s="75" t="n"/>
      <c r="P1228" s="73" t="n"/>
      <c r="Q1228" s="73" t="n"/>
      <c r="R1228" s="73" t="n"/>
      <c r="S1228" s="122" t="n"/>
    </row>
    <row r="1229" ht="11.4" customHeight="1" s="69">
      <c r="J1229" s="123" t="n"/>
      <c r="K1229" s="73" t="n"/>
      <c r="L1229" s="75" t="n"/>
      <c r="M1229" s="75" t="n"/>
      <c r="N1229" s="75" t="n"/>
      <c r="P1229" s="73" t="n"/>
      <c r="Q1229" s="73" t="n"/>
      <c r="R1229" s="73" t="n"/>
      <c r="S1229" s="122" t="n"/>
    </row>
    <row r="1230" ht="11.4" customHeight="1" s="69">
      <c r="J1230" s="123" t="n"/>
      <c r="K1230" s="73" t="n"/>
      <c r="L1230" s="75" t="n"/>
      <c r="M1230" s="75" t="n"/>
      <c r="N1230" s="75" t="n"/>
      <c r="P1230" s="73" t="n"/>
      <c r="Q1230" s="73" t="n"/>
      <c r="R1230" s="73" t="n"/>
      <c r="S1230" s="122" t="n"/>
    </row>
    <row r="1231" ht="11.4" customHeight="1" s="69">
      <c r="J1231" s="123" t="n"/>
      <c r="K1231" s="73" t="n"/>
      <c r="L1231" s="75" t="n"/>
      <c r="M1231" s="75" t="n"/>
      <c r="N1231" s="75" t="n"/>
      <c r="P1231" s="73" t="n"/>
      <c r="Q1231" s="73" t="n"/>
      <c r="R1231" s="73" t="n"/>
      <c r="S1231" s="122" t="n"/>
    </row>
    <row r="1232" ht="11.4" customHeight="1" s="69">
      <c r="J1232" s="123" t="n"/>
      <c r="K1232" s="73" t="n"/>
      <c r="L1232" s="75" t="n"/>
      <c r="M1232" s="75" t="n"/>
      <c r="N1232" s="75" t="n"/>
      <c r="P1232" s="73" t="n"/>
      <c r="Q1232" s="73" t="n"/>
      <c r="R1232" s="73" t="n"/>
      <c r="S1232" s="122" t="n"/>
    </row>
    <row r="1233" ht="11.4" customHeight="1" s="69">
      <c r="J1233" s="123" t="n"/>
      <c r="K1233" s="73" t="n"/>
      <c r="L1233" s="75" t="n"/>
      <c r="M1233" s="75" t="n"/>
      <c r="N1233" s="75" t="n"/>
      <c r="P1233" s="73" t="n"/>
      <c r="Q1233" s="73" t="n"/>
      <c r="R1233" s="73" t="n"/>
      <c r="S1233" s="122" t="n"/>
    </row>
    <row r="1234" ht="11.4" customHeight="1" s="69">
      <c r="J1234" s="123" t="n"/>
      <c r="K1234" s="73" t="n"/>
      <c r="L1234" s="75" t="n"/>
      <c r="M1234" s="75" t="n"/>
      <c r="N1234" s="75" t="n"/>
      <c r="P1234" s="73" t="n"/>
      <c r="Q1234" s="73" t="n"/>
      <c r="R1234" s="73" t="n"/>
      <c r="S1234" s="122" t="n"/>
    </row>
    <row r="1235" ht="11.4" customHeight="1" s="69">
      <c r="J1235" s="123" t="n"/>
      <c r="K1235" s="73" t="n"/>
      <c r="L1235" s="75" t="n"/>
      <c r="M1235" s="75" t="n"/>
      <c r="N1235" s="75" t="n"/>
      <c r="P1235" s="73" t="n"/>
      <c r="Q1235" s="73" t="n"/>
      <c r="R1235" s="73" t="n"/>
      <c r="S1235" s="122" t="n"/>
    </row>
    <row r="1236" ht="11.4" customHeight="1" s="69">
      <c r="J1236" s="123" t="n"/>
      <c r="K1236" s="73" t="n"/>
      <c r="L1236" s="75" t="n"/>
      <c r="M1236" s="75" t="n"/>
      <c r="N1236" s="75" t="n"/>
      <c r="P1236" s="73" t="n"/>
      <c r="Q1236" s="73" t="n"/>
      <c r="R1236" s="73" t="n"/>
      <c r="S1236" s="122" t="n"/>
    </row>
    <row r="1237" ht="11.4" customHeight="1" s="69">
      <c r="J1237" s="123" t="n"/>
      <c r="K1237" s="73" t="n"/>
      <c r="L1237" s="75" t="n"/>
      <c r="M1237" s="75" t="n"/>
      <c r="N1237" s="75" t="n"/>
      <c r="P1237" s="73" t="n"/>
      <c r="Q1237" s="73" t="n"/>
      <c r="R1237" s="73" t="n"/>
      <c r="S1237" s="122" t="n"/>
    </row>
    <row r="1238" ht="11.4" customHeight="1" s="69">
      <c r="J1238" s="123" t="n"/>
      <c r="K1238" s="73" t="n"/>
      <c r="L1238" s="75" t="n"/>
      <c r="M1238" s="75" t="n"/>
      <c r="N1238" s="75" t="n"/>
      <c r="P1238" s="73" t="n"/>
      <c r="Q1238" s="73" t="n"/>
      <c r="R1238" s="73" t="n"/>
      <c r="S1238" s="122" t="n"/>
    </row>
    <row r="1239" ht="11.4" customHeight="1" s="69">
      <c r="J1239" s="123" t="n"/>
      <c r="K1239" s="73" t="n"/>
      <c r="L1239" s="75" t="n"/>
      <c r="M1239" s="75" t="n"/>
      <c r="N1239" s="75" t="n"/>
      <c r="P1239" s="73" t="n"/>
      <c r="Q1239" s="73" t="n"/>
      <c r="R1239" s="73" t="n"/>
      <c r="S1239" s="122" t="n"/>
    </row>
    <row r="1240" ht="11.4" customHeight="1" s="69">
      <c r="J1240" s="123" t="n"/>
      <c r="K1240" s="73" t="n"/>
      <c r="L1240" s="75" t="n"/>
      <c r="M1240" s="75" t="n"/>
      <c r="N1240" s="75" t="n"/>
      <c r="P1240" s="73" t="n"/>
      <c r="Q1240" s="73" t="n"/>
      <c r="R1240" s="73" t="n"/>
      <c r="S1240" s="122" t="n"/>
    </row>
    <row r="1241" ht="11.4" customHeight="1" s="69">
      <c r="J1241" s="123" t="n"/>
      <c r="K1241" s="73" t="n"/>
      <c r="L1241" s="75" t="n"/>
      <c r="M1241" s="75" t="n"/>
      <c r="N1241" s="75" t="n"/>
      <c r="P1241" s="73" t="n"/>
      <c r="Q1241" s="73" t="n"/>
      <c r="R1241" s="73" t="n"/>
      <c r="S1241" s="122" t="n"/>
    </row>
    <row r="1242" ht="11.4" customHeight="1" s="69">
      <c r="J1242" s="123" t="n"/>
      <c r="K1242" s="73" t="n"/>
      <c r="L1242" s="75" t="n"/>
      <c r="M1242" s="75" t="n"/>
      <c r="N1242" s="75" t="n"/>
      <c r="P1242" s="73" t="n"/>
      <c r="Q1242" s="73" t="n"/>
      <c r="R1242" s="73" t="n"/>
      <c r="S1242" s="122" t="n"/>
    </row>
    <row r="1243" ht="11.4" customHeight="1" s="69">
      <c r="J1243" s="123" t="n"/>
      <c r="K1243" s="73" t="n"/>
      <c r="L1243" s="75" t="n"/>
      <c r="M1243" s="75" t="n"/>
      <c r="N1243" s="75" t="n"/>
      <c r="P1243" s="73" t="n"/>
      <c r="Q1243" s="73" t="n"/>
      <c r="R1243" s="73" t="n"/>
      <c r="S1243" s="122" t="n"/>
    </row>
    <row r="1244" ht="11.4" customHeight="1" s="69">
      <c r="J1244" s="123" t="n"/>
      <c r="K1244" s="73" t="n"/>
      <c r="L1244" s="75" t="n"/>
      <c r="M1244" s="75" t="n"/>
      <c r="N1244" s="75" t="n"/>
      <c r="P1244" s="73" t="n"/>
      <c r="Q1244" s="73" t="n"/>
      <c r="R1244" s="73" t="n"/>
      <c r="S1244" s="122" t="n"/>
    </row>
    <row r="1245" ht="11.4" customHeight="1" s="69">
      <c r="J1245" s="123" t="n"/>
      <c r="K1245" s="73" t="n"/>
      <c r="L1245" s="75" t="n"/>
      <c r="M1245" s="75" t="n"/>
      <c r="N1245" s="75" t="n"/>
      <c r="P1245" s="73" t="n"/>
      <c r="Q1245" s="73" t="n"/>
      <c r="R1245" s="73" t="n"/>
      <c r="S1245" s="122" t="n"/>
    </row>
    <row r="1246" ht="11.4" customHeight="1" s="69">
      <c r="J1246" s="123" t="n"/>
      <c r="K1246" s="73" t="n"/>
      <c r="L1246" s="75" t="n"/>
      <c r="M1246" s="75" t="n"/>
      <c r="N1246" s="75" t="n"/>
      <c r="P1246" s="73" t="n"/>
      <c r="Q1246" s="73" t="n"/>
      <c r="R1246" s="73" t="n"/>
      <c r="S1246" s="122" t="n"/>
    </row>
    <row r="1247" ht="11.4" customHeight="1" s="69">
      <c r="J1247" s="123" t="n"/>
      <c r="K1247" s="73" t="n"/>
      <c r="L1247" s="75" t="n"/>
      <c r="M1247" s="75" t="n"/>
      <c r="N1247" s="75" t="n"/>
      <c r="P1247" s="73" t="n"/>
      <c r="Q1247" s="73" t="n"/>
      <c r="R1247" s="73" t="n"/>
      <c r="S1247" s="122" t="n"/>
    </row>
    <row r="1248" ht="11.4" customHeight="1" s="69">
      <c r="J1248" s="123" t="n"/>
      <c r="K1248" s="73" t="n"/>
      <c r="L1248" s="75" t="n"/>
      <c r="M1248" s="75" t="n"/>
      <c r="N1248" s="75" t="n"/>
      <c r="P1248" s="73" t="n"/>
      <c r="Q1248" s="73" t="n"/>
      <c r="R1248" s="73" t="n"/>
      <c r="S1248" s="122" t="n"/>
    </row>
    <row r="1249" ht="11.4" customHeight="1" s="69">
      <c r="J1249" s="123" t="n"/>
      <c r="K1249" s="73" t="n"/>
      <c r="L1249" s="75" t="n"/>
      <c r="M1249" s="75" t="n"/>
      <c r="N1249" s="75" t="n"/>
      <c r="P1249" s="73" t="n"/>
      <c r="Q1249" s="73" t="n"/>
      <c r="R1249" s="73" t="n"/>
      <c r="S1249" s="122" t="n"/>
    </row>
    <row r="1250" ht="11.4" customHeight="1" s="69">
      <c r="J1250" s="123" t="n"/>
      <c r="K1250" s="73" t="n"/>
      <c r="L1250" s="75" t="n"/>
      <c r="M1250" s="75" t="n"/>
      <c r="N1250" s="75" t="n"/>
      <c r="P1250" s="73" t="n"/>
      <c r="Q1250" s="73" t="n"/>
      <c r="R1250" s="73" t="n"/>
      <c r="S1250" s="122" t="n"/>
    </row>
    <row r="1251" ht="11.4" customHeight="1" s="69">
      <c r="J1251" s="123" t="n"/>
      <c r="K1251" s="73" t="n"/>
      <c r="L1251" s="75" t="n"/>
      <c r="M1251" s="75" t="n"/>
      <c r="N1251" s="75" t="n"/>
      <c r="P1251" s="73" t="n"/>
      <c r="Q1251" s="73" t="n"/>
      <c r="R1251" s="73" t="n"/>
      <c r="S1251" s="122" t="n"/>
    </row>
    <row r="1252" ht="11.4" customHeight="1" s="69">
      <c r="J1252" s="123" t="n"/>
      <c r="K1252" s="73" t="n"/>
      <c r="L1252" s="75" t="n"/>
      <c r="M1252" s="75" t="n"/>
      <c r="N1252" s="75" t="n"/>
      <c r="P1252" s="73" t="n"/>
      <c r="Q1252" s="73" t="n"/>
      <c r="R1252" s="73" t="n"/>
      <c r="S1252" s="122" t="n"/>
    </row>
    <row r="1253" ht="11.4" customHeight="1" s="69">
      <c r="J1253" s="123" t="n"/>
      <c r="K1253" s="73" t="n"/>
      <c r="L1253" s="75" t="n"/>
      <c r="M1253" s="75" t="n"/>
      <c r="N1253" s="75" t="n"/>
      <c r="P1253" s="73" t="n"/>
      <c r="Q1253" s="73" t="n"/>
      <c r="R1253" s="73" t="n"/>
      <c r="S1253" s="122" t="n"/>
    </row>
    <row r="1254" ht="11.4" customHeight="1" s="69">
      <c r="J1254" s="123" t="n"/>
      <c r="K1254" s="73" t="n"/>
      <c r="L1254" s="75" t="n"/>
      <c r="M1254" s="75" t="n"/>
      <c r="N1254" s="75" t="n"/>
      <c r="P1254" s="73" t="n"/>
      <c r="Q1254" s="73" t="n"/>
      <c r="R1254" s="73" t="n"/>
      <c r="S1254" s="122" t="n"/>
    </row>
    <row r="1255" ht="11.4" customHeight="1" s="69">
      <c r="J1255" s="123" t="n"/>
      <c r="K1255" s="73" t="n"/>
      <c r="L1255" s="75" t="n"/>
      <c r="M1255" s="75" t="n"/>
      <c r="N1255" s="75" t="n"/>
      <c r="P1255" s="73" t="n"/>
      <c r="Q1255" s="73" t="n"/>
      <c r="R1255" s="73" t="n"/>
      <c r="S1255" s="122" t="n"/>
    </row>
    <row r="1256" ht="11.4" customHeight="1" s="69">
      <c r="J1256" s="123" t="n"/>
      <c r="K1256" s="73" t="n"/>
      <c r="L1256" s="75" t="n"/>
      <c r="M1256" s="75" t="n"/>
      <c r="N1256" s="75" t="n"/>
      <c r="P1256" s="73" t="n"/>
      <c r="Q1256" s="73" t="n"/>
      <c r="R1256" s="73" t="n"/>
      <c r="S1256" s="122" t="n"/>
    </row>
    <row r="1257" ht="11.4" customHeight="1" s="69">
      <c r="J1257" s="123" t="n"/>
      <c r="K1257" s="73" t="n"/>
      <c r="L1257" s="75" t="n"/>
      <c r="M1257" s="75" t="n"/>
      <c r="N1257" s="75" t="n"/>
      <c r="P1257" s="73" t="n"/>
      <c r="Q1257" s="73" t="n"/>
      <c r="R1257" s="73" t="n"/>
      <c r="S1257" s="122" t="n"/>
    </row>
    <row r="1258" ht="11.4" customHeight="1" s="69">
      <c r="J1258" s="123" t="n"/>
      <c r="K1258" s="73" t="n"/>
      <c r="L1258" s="75" t="n"/>
      <c r="M1258" s="75" t="n"/>
      <c r="N1258" s="75" t="n"/>
      <c r="P1258" s="73" t="n"/>
      <c r="Q1258" s="73" t="n"/>
      <c r="R1258" s="73" t="n"/>
      <c r="S1258" s="122" t="n"/>
    </row>
    <row r="1259" ht="11.4" customHeight="1" s="69">
      <c r="J1259" s="123" t="n"/>
      <c r="K1259" s="73" t="n"/>
      <c r="L1259" s="75" t="n"/>
      <c r="M1259" s="75" t="n"/>
      <c r="N1259" s="75" t="n"/>
      <c r="P1259" s="73" t="n"/>
      <c r="Q1259" s="73" t="n"/>
      <c r="R1259" s="73" t="n"/>
      <c r="S1259" s="122" t="n"/>
    </row>
    <row r="1260" ht="11.4" customHeight="1" s="69">
      <c r="J1260" s="123" t="n"/>
      <c r="K1260" s="73" t="n"/>
      <c r="L1260" s="75" t="n"/>
      <c r="M1260" s="75" t="n"/>
      <c r="N1260" s="75" t="n"/>
      <c r="P1260" s="73" t="n"/>
      <c r="Q1260" s="73" t="n"/>
      <c r="R1260" s="73" t="n"/>
      <c r="S1260" s="122" t="n"/>
    </row>
    <row r="1261" ht="11.4" customHeight="1" s="69">
      <c r="J1261" s="123" t="n"/>
      <c r="K1261" s="73" t="n"/>
      <c r="L1261" s="75" t="n"/>
      <c r="M1261" s="75" t="n"/>
      <c r="N1261" s="75" t="n"/>
      <c r="P1261" s="73" t="n"/>
      <c r="Q1261" s="73" t="n"/>
      <c r="R1261" s="73" t="n"/>
      <c r="S1261" s="122" t="n"/>
    </row>
    <row r="1262" ht="11.4" customHeight="1" s="69">
      <c r="J1262" s="123" t="n"/>
      <c r="K1262" s="73" t="n"/>
      <c r="L1262" s="75" t="n"/>
      <c r="M1262" s="75" t="n"/>
      <c r="N1262" s="75" t="n"/>
      <c r="P1262" s="73" t="n"/>
      <c r="Q1262" s="73" t="n"/>
      <c r="R1262" s="73" t="n"/>
      <c r="S1262" s="122" t="n"/>
    </row>
    <row r="1263" ht="11.4" customHeight="1" s="69">
      <c r="J1263" s="123" t="n"/>
      <c r="K1263" s="73" t="n"/>
      <c r="L1263" s="75" t="n"/>
      <c r="M1263" s="75" t="n"/>
      <c r="N1263" s="75" t="n"/>
      <c r="P1263" s="73" t="n"/>
      <c r="Q1263" s="73" t="n"/>
      <c r="R1263" s="73" t="n"/>
      <c r="S1263" s="122" t="n"/>
    </row>
    <row r="1264" ht="11.4" customHeight="1" s="69">
      <c r="J1264" s="123" t="n"/>
      <c r="K1264" s="73" t="n"/>
      <c r="L1264" s="75" t="n"/>
      <c r="M1264" s="75" t="n"/>
      <c r="N1264" s="75" t="n"/>
      <c r="P1264" s="73" t="n"/>
      <c r="Q1264" s="73" t="n"/>
      <c r="R1264" s="73" t="n"/>
      <c r="S1264" s="122" t="n"/>
    </row>
    <row r="1265" ht="11.4" customHeight="1" s="69">
      <c r="J1265" s="123" t="n"/>
      <c r="K1265" s="73" t="n"/>
      <c r="L1265" s="75" t="n"/>
      <c r="M1265" s="75" t="n"/>
      <c r="N1265" s="75" t="n"/>
      <c r="P1265" s="73" t="n"/>
      <c r="Q1265" s="73" t="n"/>
      <c r="R1265" s="73" t="n"/>
      <c r="S1265" s="122" t="n"/>
    </row>
    <row r="1266" ht="11.4" customHeight="1" s="69">
      <c r="J1266" s="123" t="n"/>
      <c r="K1266" s="73" t="n"/>
      <c r="L1266" s="75" t="n"/>
      <c r="M1266" s="75" t="n"/>
      <c r="N1266" s="75" t="n"/>
      <c r="P1266" s="73" t="n"/>
      <c r="Q1266" s="73" t="n"/>
      <c r="R1266" s="73" t="n"/>
      <c r="S1266" s="122" t="n"/>
    </row>
    <row r="1267" ht="11.4" customHeight="1" s="69">
      <c r="J1267" s="123" t="n"/>
      <c r="K1267" s="73" t="n"/>
      <c r="L1267" s="75" t="n"/>
      <c r="M1267" s="75" t="n"/>
      <c r="N1267" s="75" t="n"/>
      <c r="P1267" s="73" t="n"/>
      <c r="Q1267" s="73" t="n"/>
      <c r="R1267" s="73" t="n"/>
      <c r="S1267" s="122" t="n"/>
    </row>
    <row r="1268" ht="11.4" customHeight="1" s="69">
      <c r="J1268" s="123" t="n"/>
      <c r="K1268" s="73" t="n"/>
      <c r="L1268" s="75" t="n"/>
      <c r="M1268" s="75" t="n"/>
      <c r="N1268" s="75" t="n"/>
      <c r="P1268" s="73" t="n"/>
      <c r="Q1268" s="73" t="n"/>
      <c r="R1268" s="73" t="n"/>
      <c r="S1268" s="122" t="n"/>
    </row>
    <row r="1269" ht="11.4" customHeight="1" s="69">
      <c r="J1269" s="123" t="n"/>
      <c r="K1269" s="73" t="n"/>
      <c r="L1269" s="75" t="n"/>
      <c r="M1269" s="75" t="n"/>
      <c r="N1269" s="75" t="n"/>
      <c r="P1269" s="73" t="n"/>
      <c r="Q1269" s="73" t="n"/>
      <c r="R1269" s="73" t="n"/>
      <c r="S1269" s="122" t="n"/>
    </row>
    <row r="1270" ht="11.4" customHeight="1" s="69">
      <c r="J1270" s="123" t="n"/>
      <c r="K1270" s="73" t="n"/>
      <c r="L1270" s="75" t="n"/>
      <c r="M1270" s="75" t="n"/>
      <c r="N1270" s="75" t="n"/>
      <c r="P1270" s="73" t="n"/>
      <c r="Q1270" s="73" t="n"/>
      <c r="R1270" s="73" t="n"/>
      <c r="S1270" s="122" t="n"/>
    </row>
    <row r="1271" ht="11.4" customHeight="1" s="69">
      <c r="J1271" s="123" t="n"/>
      <c r="K1271" s="73" t="n"/>
      <c r="L1271" s="75" t="n"/>
      <c r="M1271" s="75" t="n"/>
      <c r="N1271" s="75" t="n"/>
      <c r="P1271" s="73" t="n"/>
      <c r="Q1271" s="73" t="n"/>
      <c r="R1271" s="73" t="n"/>
      <c r="S1271" s="122" t="n"/>
    </row>
    <row r="1272" ht="11.4" customHeight="1" s="69">
      <c r="J1272" s="123" t="n"/>
      <c r="K1272" s="73" t="n"/>
      <c r="L1272" s="75" t="n"/>
      <c r="M1272" s="75" t="n"/>
      <c r="N1272" s="75" t="n"/>
      <c r="P1272" s="73" t="n"/>
      <c r="Q1272" s="73" t="n"/>
      <c r="R1272" s="73" t="n"/>
      <c r="S1272" s="122" t="n"/>
    </row>
    <row r="1273" ht="11.4" customHeight="1" s="69">
      <c r="J1273" s="123" t="n"/>
      <c r="K1273" s="73" t="n"/>
      <c r="L1273" s="75" t="n"/>
      <c r="M1273" s="75" t="n"/>
      <c r="N1273" s="75" t="n"/>
      <c r="P1273" s="73" t="n"/>
      <c r="Q1273" s="73" t="n"/>
      <c r="R1273" s="73" t="n"/>
      <c r="S1273" s="122" t="n"/>
    </row>
    <row r="1274" ht="11.4" customHeight="1" s="69">
      <c r="J1274" s="123" t="n"/>
      <c r="K1274" s="73" t="n"/>
      <c r="L1274" s="75" t="n"/>
      <c r="M1274" s="75" t="n"/>
      <c r="N1274" s="75" t="n"/>
      <c r="P1274" s="73" t="n"/>
      <c r="Q1274" s="73" t="n"/>
      <c r="R1274" s="73" t="n"/>
      <c r="S1274" s="122" t="n"/>
    </row>
    <row r="1275" ht="11.4" customHeight="1" s="69">
      <c r="J1275" s="123" t="n"/>
      <c r="K1275" s="73" t="n"/>
      <c r="L1275" s="75" t="n"/>
      <c r="M1275" s="75" t="n"/>
      <c r="N1275" s="75" t="n"/>
      <c r="P1275" s="73" t="n"/>
      <c r="Q1275" s="73" t="n"/>
      <c r="R1275" s="73" t="n"/>
      <c r="S1275" s="122" t="n"/>
    </row>
    <row r="1276" ht="11.4" customHeight="1" s="69">
      <c r="J1276" s="123" t="n"/>
      <c r="K1276" s="73" t="n"/>
      <c r="L1276" s="75" t="n"/>
      <c r="M1276" s="75" t="n"/>
      <c r="N1276" s="75" t="n"/>
      <c r="P1276" s="73" t="n"/>
      <c r="Q1276" s="73" t="n"/>
      <c r="R1276" s="73" t="n"/>
      <c r="S1276" s="122" t="n"/>
    </row>
    <row r="1277" ht="11.4" customHeight="1" s="69">
      <c r="J1277" s="123" t="n"/>
      <c r="K1277" s="73" t="n"/>
      <c r="L1277" s="75" t="n"/>
      <c r="M1277" s="75" t="n"/>
      <c r="N1277" s="75" t="n"/>
      <c r="P1277" s="73" t="n"/>
      <c r="Q1277" s="73" t="n"/>
      <c r="R1277" s="73" t="n"/>
      <c r="S1277" s="122" t="n"/>
    </row>
    <row r="1278" ht="11.4" customHeight="1" s="69">
      <c r="J1278" s="123" t="n"/>
      <c r="K1278" s="73" t="n"/>
      <c r="L1278" s="75" t="n"/>
      <c r="M1278" s="75" t="n"/>
      <c r="N1278" s="75" t="n"/>
      <c r="P1278" s="73" t="n"/>
      <c r="Q1278" s="73" t="n"/>
      <c r="R1278" s="73" t="n"/>
      <c r="S1278" s="122" t="n"/>
    </row>
    <row r="1279" ht="11.4" customHeight="1" s="69">
      <c r="J1279" s="123" t="n"/>
      <c r="K1279" s="73" t="n"/>
      <c r="L1279" s="75" t="n"/>
      <c r="M1279" s="75" t="n"/>
      <c r="N1279" s="75" t="n"/>
      <c r="P1279" s="73" t="n"/>
      <c r="Q1279" s="73" t="n"/>
      <c r="R1279" s="73" t="n"/>
      <c r="S1279" s="122" t="n"/>
    </row>
    <row r="1280" ht="11.4" customHeight="1" s="69">
      <c r="J1280" s="123" t="n"/>
      <c r="K1280" s="73" t="n"/>
      <c r="L1280" s="75" t="n"/>
      <c r="M1280" s="75" t="n"/>
      <c r="N1280" s="75" t="n"/>
      <c r="P1280" s="73" t="n"/>
      <c r="Q1280" s="73" t="n"/>
      <c r="R1280" s="73" t="n"/>
      <c r="S1280" s="122" t="n"/>
    </row>
    <row r="1281" ht="11.4" customHeight="1" s="69">
      <c r="J1281" s="123" t="n"/>
      <c r="K1281" s="73" t="n"/>
      <c r="L1281" s="75" t="n"/>
      <c r="M1281" s="75" t="n"/>
      <c r="N1281" s="75" t="n"/>
      <c r="P1281" s="73" t="n"/>
      <c r="Q1281" s="73" t="n"/>
      <c r="R1281" s="73" t="n"/>
      <c r="S1281" s="122" t="n"/>
    </row>
    <row r="1282" ht="11.4" customHeight="1" s="69">
      <c r="J1282" s="123" t="n"/>
      <c r="K1282" s="73" t="n"/>
      <c r="L1282" s="75" t="n"/>
      <c r="M1282" s="75" t="n"/>
      <c r="N1282" s="75" t="n"/>
      <c r="P1282" s="73" t="n"/>
      <c r="Q1282" s="73" t="n"/>
      <c r="R1282" s="73" t="n"/>
      <c r="S1282" s="122" t="n"/>
    </row>
    <row r="1283" ht="11.4" customHeight="1" s="69">
      <c r="J1283" s="123" t="n"/>
      <c r="K1283" s="73" t="n"/>
      <c r="L1283" s="75" t="n"/>
      <c r="M1283" s="75" t="n"/>
      <c r="N1283" s="75" t="n"/>
      <c r="P1283" s="73" t="n"/>
      <c r="Q1283" s="73" t="n"/>
      <c r="R1283" s="73" t="n"/>
      <c r="S1283" s="122" t="n"/>
    </row>
    <row r="1284" ht="11.4" customHeight="1" s="69">
      <c r="J1284" s="123" t="n"/>
      <c r="K1284" s="73" t="n"/>
      <c r="L1284" s="75" t="n"/>
      <c r="M1284" s="75" t="n"/>
      <c r="N1284" s="75" t="n"/>
      <c r="P1284" s="73" t="n"/>
      <c r="Q1284" s="73" t="n"/>
      <c r="R1284" s="73" t="n"/>
      <c r="S1284" s="122" t="n"/>
    </row>
    <row r="1285" ht="11.4" customHeight="1" s="69">
      <c r="J1285" s="123" t="n"/>
      <c r="K1285" s="73" t="n"/>
      <c r="L1285" s="75" t="n"/>
      <c r="M1285" s="75" t="n"/>
      <c r="N1285" s="75" t="n"/>
      <c r="P1285" s="73" t="n"/>
      <c r="Q1285" s="73" t="n"/>
      <c r="R1285" s="73" t="n"/>
      <c r="S1285" s="122" t="n"/>
    </row>
    <row r="1286" ht="11.4" customHeight="1" s="69">
      <c r="J1286" s="123" t="n"/>
      <c r="K1286" s="73" t="n"/>
      <c r="L1286" s="75" t="n"/>
      <c r="M1286" s="75" t="n"/>
      <c r="N1286" s="75" t="n"/>
      <c r="P1286" s="73" t="n"/>
      <c r="Q1286" s="73" t="n"/>
      <c r="R1286" s="73" t="n"/>
      <c r="S1286" s="122" t="n"/>
    </row>
    <row r="1287" ht="11.4" customHeight="1" s="69">
      <c r="J1287" s="123" t="n"/>
      <c r="K1287" s="73" t="n"/>
      <c r="L1287" s="75" t="n"/>
      <c r="M1287" s="75" t="n"/>
      <c r="N1287" s="75" t="n"/>
      <c r="P1287" s="73" t="n"/>
      <c r="Q1287" s="73" t="n"/>
      <c r="R1287" s="73" t="n"/>
      <c r="S1287" s="122" t="n"/>
    </row>
    <row r="1288" ht="11.4" customHeight="1" s="69">
      <c r="J1288" s="123" t="n"/>
      <c r="K1288" s="73" t="n"/>
      <c r="L1288" s="75" t="n"/>
      <c r="M1288" s="75" t="n"/>
      <c r="N1288" s="75" t="n"/>
      <c r="P1288" s="73" t="n"/>
      <c r="Q1288" s="73" t="n"/>
      <c r="R1288" s="73" t="n"/>
      <c r="S1288" s="122" t="n"/>
    </row>
    <row r="1289" ht="11.4" customHeight="1" s="69">
      <c r="J1289" s="123" t="n"/>
      <c r="K1289" s="73" t="n"/>
      <c r="L1289" s="75" t="n"/>
      <c r="M1289" s="75" t="n"/>
      <c r="N1289" s="75" t="n"/>
      <c r="P1289" s="73" t="n"/>
      <c r="Q1289" s="73" t="n"/>
      <c r="R1289" s="73" t="n"/>
      <c r="S1289" s="122" t="n"/>
    </row>
    <row r="1290" ht="11.4" customHeight="1" s="69">
      <c r="J1290" s="123" t="n"/>
      <c r="K1290" s="73" t="n"/>
      <c r="L1290" s="75" t="n"/>
      <c r="M1290" s="75" t="n"/>
      <c r="N1290" s="75" t="n"/>
      <c r="P1290" s="73" t="n"/>
      <c r="Q1290" s="73" t="n"/>
      <c r="R1290" s="73" t="n"/>
      <c r="S1290" s="122" t="n"/>
    </row>
    <row r="1291" ht="11.4" customHeight="1" s="69">
      <c r="J1291" s="123" t="n"/>
      <c r="K1291" s="73" t="n"/>
      <c r="L1291" s="75" t="n"/>
      <c r="M1291" s="75" t="n"/>
      <c r="N1291" s="75" t="n"/>
      <c r="P1291" s="73" t="n"/>
      <c r="Q1291" s="73" t="n"/>
      <c r="R1291" s="73" t="n"/>
      <c r="S1291" s="122" t="n"/>
    </row>
    <row r="1292" ht="11.4" customHeight="1" s="69">
      <c r="J1292" s="123" t="n"/>
      <c r="K1292" s="73" t="n"/>
      <c r="L1292" s="75" t="n"/>
      <c r="M1292" s="75" t="n"/>
      <c r="N1292" s="75" t="n"/>
      <c r="P1292" s="73" t="n"/>
      <c r="Q1292" s="73" t="n"/>
      <c r="R1292" s="73" t="n"/>
      <c r="S1292" s="122" t="n"/>
    </row>
    <row r="1293" ht="11.4" customHeight="1" s="69">
      <c r="J1293" s="123" t="n"/>
      <c r="K1293" s="73" t="n"/>
      <c r="L1293" s="75" t="n"/>
      <c r="M1293" s="75" t="n"/>
      <c r="N1293" s="75" t="n"/>
      <c r="P1293" s="73" t="n"/>
      <c r="Q1293" s="73" t="n"/>
      <c r="R1293" s="73" t="n"/>
      <c r="S1293" s="122" t="n"/>
    </row>
    <row r="1294" ht="11.4" customHeight="1" s="69">
      <c r="J1294" s="123" t="n"/>
      <c r="K1294" s="73" t="n"/>
      <c r="L1294" s="75" t="n"/>
      <c r="M1294" s="75" t="n"/>
      <c r="N1294" s="75" t="n"/>
      <c r="P1294" s="73" t="n"/>
      <c r="Q1294" s="73" t="n"/>
      <c r="R1294" s="73" t="n"/>
      <c r="S1294" s="122" t="n"/>
    </row>
    <row r="1295" ht="11.4" customHeight="1" s="69">
      <c r="J1295" s="123" t="n"/>
      <c r="K1295" s="73" t="n"/>
      <c r="L1295" s="75" t="n"/>
      <c r="M1295" s="75" t="n"/>
      <c r="N1295" s="75" t="n"/>
      <c r="P1295" s="73" t="n"/>
      <c r="Q1295" s="73" t="n"/>
      <c r="R1295" s="73" t="n"/>
      <c r="S1295" s="122" t="n"/>
    </row>
    <row r="1296" ht="11.4" customHeight="1" s="69">
      <c r="J1296" s="123" t="n"/>
      <c r="K1296" s="73" t="n"/>
      <c r="L1296" s="75" t="n"/>
      <c r="M1296" s="75" t="n"/>
      <c r="N1296" s="75" t="n"/>
      <c r="P1296" s="73" t="n"/>
      <c r="Q1296" s="73" t="n"/>
      <c r="R1296" s="73" t="n"/>
      <c r="S1296" s="122" t="n"/>
    </row>
    <row r="1297" ht="11.4" customHeight="1" s="69">
      <c r="J1297" s="123" t="n"/>
      <c r="K1297" s="73" t="n"/>
      <c r="L1297" s="75" t="n"/>
      <c r="M1297" s="75" t="n"/>
      <c r="N1297" s="75" t="n"/>
      <c r="P1297" s="73" t="n"/>
      <c r="Q1297" s="73" t="n"/>
      <c r="R1297" s="73" t="n"/>
      <c r="S1297" s="122" t="n"/>
    </row>
    <row r="1298" ht="11.4" customHeight="1" s="69">
      <c r="J1298" s="123" t="n"/>
      <c r="K1298" s="73" t="n"/>
      <c r="L1298" s="75" t="n"/>
      <c r="M1298" s="75" t="n"/>
      <c r="N1298" s="75" t="n"/>
      <c r="P1298" s="73" t="n"/>
      <c r="Q1298" s="73" t="n"/>
      <c r="R1298" s="73" t="n"/>
      <c r="S1298" s="122" t="n"/>
    </row>
    <row r="1299" ht="11.4" customHeight="1" s="69">
      <c r="J1299" s="123" t="n"/>
      <c r="K1299" s="73" t="n"/>
      <c r="L1299" s="75" t="n"/>
      <c r="M1299" s="75" t="n"/>
      <c r="N1299" s="75" t="n"/>
      <c r="P1299" s="73" t="n"/>
      <c r="Q1299" s="73" t="n"/>
      <c r="R1299" s="73" t="n"/>
      <c r="S1299" s="122" t="n"/>
    </row>
    <row r="1300" ht="11.4" customHeight="1" s="69">
      <c r="J1300" s="123" t="n"/>
      <c r="K1300" s="73" t="n"/>
      <c r="L1300" s="75" t="n"/>
      <c r="M1300" s="75" t="n"/>
      <c r="N1300" s="75" t="n"/>
      <c r="P1300" s="73" t="n"/>
      <c r="Q1300" s="73" t="n"/>
      <c r="R1300" s="73" t="n"/>
      <c r="S1300" s="122" t="n"/>
    </row>
    <row r="1301" ht="11.4" customHeight="1" s="69">
      <c r="J1301" s="123" t="n"/>
      <c r="K1301" s="73" t="n"/>
      <c r="L1301" s="75" t="n"/>
      <c r="M1301" s="75" t="n"/>
      <c r="N1301" s="75" t="n"/>
      <c r="P1301" s="73" t="n"/>
      <c r="Q1301" s="73" t="n"/>
      <c r="R1301" s="73" t="n"/>
      <c r="S1301" s="122" t="n"/>
    </row>
    <row r="1302" ht="11.4" customHeight="1" s="69">
      <c r="J1302" s="123" t="n"/>
      <c r="K1302" s="73" t="n"/>
      <c r="L1302" s="75" t="n"/>
      <c r="M1302" s="75" t="n"/>
      <c r="N1302" s="75" t="n"/>
      <c r="P1302" s="73" t="n"/>
      <c r="Q1302" s="73" t="n"/>
      <c r="R1302" s="73" t="n"/>
      <c r="S1302" s="122" t="n"/>
    </row>
    <row r="1303" ht="11.4" customHeight="1" s="69">
      <c r="J1303" s="123" t="n"/>
      <c r="K1303" s="73" t="n"/>
      <c r="L1303" s="75" t="n"/>
      <c r="M1303" s="75" t="n"/>
      <c r="N1303" s="75" t="n"/>
      <c r="P1303" s="73" t="n"/>
      <c r="Q1303" s="73" t="n"/>
      <c r="R1303" s="73" t="n"/>
      <c r="S1303" s="122" t="n"/>
    </row>
    <row r="1304" ht="11.4" customHeight="1" s="69">
      <c r="J1304" s="123" t="n"/>
      <c r="K1304" s="73" t="n"/>
      <c r="L1304" s="75" t="n"/>
      <c r="M1304" s="75" t="n"/>
      <c r="N1304" s="75" t="n"/>
      <c r="P1304" s="73" t="n"/>
      <c r="Q1304" s="73" t="n"/>
      <c r="R1304" s="73" t="n"/>
      <c r="S1304" s="122" t="n"/>
    </row>
    <row r="1305" ht="11.4" customHeight="1" s="69">
      <c r="J1305" s="123" t="n"/>
      <c r="K1305" s="73" t="n"/>
      <c r="L1305" s="75" t="n"/>
      <c r="M1305" s="75" t="n"/>
      <c r="N1305" s="75" t="n"/>
      <c r="P1305" s="73" t="n"/>
      <c r="Q1305" s="73" t="n"/>
      <c r="R1305" s="73" t="n"/>
      <c r="S1305" s="122" t="n"/>
    </row>
    <row r="1306" ht="11.4" customHeight="1" s="69">
      <c r="J1306" s="123" t="n"/>
      <c r="K1306" s="73" t="n"/>
      <c r="L1306" s="75" t="n"/>
      <c r="M1306" s="75" t="n"/>
      <c r="N1306" s="75" t="n"/>
      <c r="P1306" s="73" t="n"/>
      <c r="Q1306" s="73" t="n"/>
      <c r="R1306" s="73" t="n"/>
      <c r="S1306" s="122" t="n"/>
    </row>
    <row r="1307" ht="11.4" customHeight="1" s="69">
      <c r="J1307" s="123" t="n"/>
      <c r="K1307" s="73" t="n"/>
      <c r="L1307" s="75" t="n"/>
      <c r="M1307" s="75" t="n"/>
      <c r="N1307" s="75" t="n"/>
      <c r="P1307" s="73" t="n"/>
      <c r="Q1307" s="73" t="n"/>
      <c r="R1307" s="73" t="n"/>
      <c r="S1307" s="122" t="n"/>
    </row>
    <row r="1308" ht="11.4" customHeight="1" s="69">
      <c r="J1308" s="123" t="n"/>
      <c r="K1308" s="73" t="n"/>
      <c r="L1308" s="75" t="n"/>
      <c r="M1308" s="75" t="n"/>
      <c r="N1308" s="75" t="n"/>
      <c r="P1308" s="73" t="n"/>
      <c r="Q1308" s="73" t="n"/>
      <c r="R1308" s="73" t="n"/>
      <c r="S1308" s="122" t="n"/>
    </row>
    <row r="1309" ht="11.4" customHeight="1" s="69">
      <c r="J1309" s="123" t="n"/>
      <c r="K1309" s="73" t="n"/>
      <c r="L1309" s="75" t="n"/>
      <c r="M1309" s="75" t="n"/>
      <c r="N1309" s="75" t="n"/>
      <c r="P1309" s="73" t="n"/>
      <c r="Q1309" s="73" t="n"/>
      <c r="R1309" s="73" t="n"/>
      <c r="S1309" s="122" t="n"/>
    </row>
    <row r="1310" ht="11.4" customHeight="1" s="69">
      <c r="J1310" s="123" t="n"/>
      <c r="K1310" s="73" t="n"/>
      <c r="L1310" s="75" t="n"/>
      <c r="M1310" s="75" t="n"/>
      <c r="N1310" s="75" t="n"/>
      <c r="P1310" s="73" t="n"/>
      <c r="Q1310" s="73" t="n"/>
      <c r="R1310" s="73" t="n"/>
      <c r="S1310" s="122" t="n"/>
    </row>
    <row r="1311" ht="11.4" customHeight="1" s="69">
      <c r="J1311" s="123" t="n"/>
      <c r="K1311" s="73" t="n"/>
      <c r="L1311" s="75" t="n"/>
      <c r="M1311" s="75" t="n"/>
      <c r="N1311" s="75" t="n"/>
      <c r="P1311" s="73" t="n"/>
      <c r="Q1311" s="73" t="n"/>
      <c r="R1311" s="73" t="n"/>
      <c r="S1311" s="122" t="n"/>
    </row>
    <row r="1312" ht="11.4" customHeight="1" s="69">
      <c r="J1312" s="123" t="n"/>
      <c r="K1312" s="73" t="n"/>
      <c r="L1312" s="75" t="n"/>
      <c r="M1312" s="75" t="n"/>
      <c r="N1312" s="75" t="n"/>
      <c r="P1312" s="73" t="n"/>
      <c r="Q1312" s="73" t="n"/>
      <c r="R1312" s="73" t="n"/>
      <c r="S1312" s="122" t="n"/>
    </row>
    <row r="1313" ht="11.4" customHeight="1" s="69">
      <c r="J1313" s="123" t="n"/>
      <c r="K1313" s="73" t="n"/>
      <c r="L1313" s="75" t="n"/>
      <c r="M1313" s="75" t="n"/>
      <c r="N1313" s="75" t="n"/>
      <c r="P1313" s="73" t="n"/>
      <c r="Q1313" s="73" t="n"/>
      <c r="R1313" s="73" t="n"/>
      <c r="S1313" s="122" t="n"/>
    </row>
    <row r="1314" ht="11.4" customHeight="1" s="69">
      <c r="J1314" s="123" t="n"/>
      <c r="K1314" s="73" t="n"/>
      <c r="L1314" s="75" t="n"/>
      <c r="M1314" s="75" t="n"/>
      <c r="N1314" s="75" t="n"/>
      <c r="P1314" s="73" t="n"/>
      <c r="Q1314" s="73" t="n"/>
      <c r="R1314" s="73" t="n"/>
      <c r="S1314" s="122" t="n"/>
    </row>
    <row r="1315" ht="11.4" customHeight="1" s="69">
      <c r="J1315" s="123" t="n"/>
      <c r="K1315" s="73" t="n"/>
      <c r="L1315" s="75" t="n"/>
      <c r="M1315" s="75" t="n"/>
      <c r="N1315" s="75" t="n"/>
      <c r="P1315" s="73" t="n"/>
      <c r="Q1315" s="73" t="n"/>
      <c r="R1315" s="73" t="n"/>
      <c r="S1315" s="122" t="n"/>
    </row>
    <row r="1316" ht="11.4" customHeight="1" s="69">
      <c r="J1316" s="123" t="n"/>
      <c r="K1316" s="73" t="n"/>
      <c r="L1316" s="75" t="n"/>
      <c r="M1316" s="75" t="n"/>
      <c r="N1316" s="75" t="n"/>
      <c r="P1316" s="73" t="n"/>
      <c r="Q1316" s="73" t="n"/>
      <c r="R1316" s="73" t="n"/>
      <c r="S1316" s="122" t="n"/>
    </row>
    <row r="1317" ht="11.4" customHeight="1" s="69">
      <c r="J1317" s="123" t="n"/>
      <c r="K1317" s="73" t="n"/>
      <c r="L1317" s="75" t="n"/>
      <c r="M1317" s="75" t="n"/>
      <c r="N1317" s="75" t="n"/>
      <c r="P1317" s="73" t="n"/>
      <c r="Q1317" s="73" t="n"/>
      <c r="R1317" s="73" t="n"/>
      <c r="S1317" s="122" t="n"/>
    </row>
    <row r="1318" ht="11.4" customHeight="1" s="69">
      <c r="J1318" s="123" t="n"/>
      <c r="K1318" s="73" t="n"/>
      <c r="L1318" s="75" t="n"/>
      <c r="M1318" s="75" t="n"/>
      <c r="N1318" s="75" t="n"/>
      <c r="P1318" s="73" t="n"/>
      <c r="Q1318" s="73" t="n"/>
      <c r="R1318" s="73" t="n"/>
      <c r="S1318" s="122" t="n"/>
    </row>
    <row r="1319" ht="11.4" customHeight="1" s="69">
      <c r="J1319" s="123" t="n"/>
      <c r="K1319" s="73" t="n"/>
      <c r="L1319" s="75" t="n"/>
      <c r="M1319" s="75" t="n"/>
      <c r="N1319" s="75" t="n"/>
      <c r="P1319" s="73" t="n"/>
      <c r="Q1319" s="73" t="n"/>
      <c r="R1319" s="73" t="n"/>
      <c r="S1319" s="122" t="n"/>
    </row>
    <row r="1320" ht="11.4" customHeight="1" s="69">
      <c r="J1320" s="123" t="n"/>
      <c r="K1320" s="73" t="n"/>
      <c r="L1320" s="75" t="n"/>
      <c r="M1320" s="75" t="n"/>
      <c r="N1320" s="75" t="n"/>
      <c r="P1320" s="73" t="n"/>
      <c r="Q1320" s="73" t="n"/>
      <c r="R1320" s="73" t="n"/>
      <c r="S1320" s="122" t="n"/>
    </row>
    <row r="1321" ht="11.4" customHeight="1" s="69">
      <c r="J1321" s="123" t="n"/>
      <c r="K1321" s="73" t="n"/>
      <c r="L1321" s="75" t="n"/>
      <c r="M1321" s="75" t="n"/>
      <c r="N1321" s="75" t="n"/>
      <c r="P1321" s="73" t="n"/>
      <c r="Q1321" s="73" t="n"/>
      <c r="R1321" s="73" t="n"/>
      <c r="S1321" s="122" t="n"/>
    </row>
    <row r="1322" ht="11.4" customHeight="1" s="69">
      <c r="J1322" s="123" t="n"/>
      <c r="K1322" s="73" t="n"/>
      <c r="L1322" s="75" t="n"/>
      <c r="M1322" s="75" t="n"/>
      <c r="N1322" s="75" t="n"/>
      <c r="P1322" s="73" t="n"/>
      <c r="Q1322" s="73" t="n"/>
      <c r="R1322" s="73" t="n"/>
      <c r="S1322" s="122" t="n"/>
    </row>
    <row r="1323" ht="11.4" customHeight="1" s="69">
      <c r="J1323" s="123" t="n"/>
      <c r="K1323" s="73" t="n"/>
      <c r="L1323" s="75" t="n"/>
      <c r="M1323" s="75" t="n"/>
      <c r="N1323" s="75" t="n"/>
      <c r="P1323" s="73" t="n"/>
      <c r="Q1323" s="73" t="n"/>
      <c r="R1323" s="73" t="n"/>
      <c r="S1323" s="122" t="n"/>
    </row>
    <row r="1324" ht="11.4" customHeight="1" s="69">
      <c r="J1324" s="123" t="n"/>
      <c r="K1324" s="73" t="n"/>
      <c r="L1324" s="75" t="n"/>
      <c r="M1324" s="75" t="n"/>
      <c r="N1324" s="75" t="n"/>
      <c r="P1324" s="73" t="n"/>
      <c r="Q1324" s="73" t="n"/>
      <c r="R1324" s="73" t="n"/>
      <c r="S1324" s="122" t="n"/>
    </row>
    <row r="1325" ht="11.4" customHeight="1" s="69">
      <c r="J1325" s="123" t="n"/>
      <c r="K1325" s="73" t="n"/>
      <c r="L1325" s="75" t="n"/>
      <c r="M1325" s="75" t="n"/>
      <c r="N1325" s="75" t="n"/>
      <c r="P1325" s="73" t="n"/>
      <c r="Q1325" s="73" t="n"/>
      <c r="R1325" s="73" t="n"/>
      <c r="S1325" s="122" t="n"/>
    </row>
    <row r="1326" ht="11.4" customHeight="1" s="69">
      <c r="J1326" s="123" t="n"/>
      <c r="K1326" s="73" t="n"/>
      <c r="L1326" s="75" t="n"/>
      <c r="M1326" s="75" t="n"/>
      <c r="N1326" s="75" t="n"/>
      <c r="P1326" s="73" t="n"/>
      <c r="Q1326" s="73" t="n"/>
      <c r="R1326" s="73" t="n"/>
      <c r="S1326" s="122" t="n"/>
    </row>
    <row r="1327" ht="11.4" customHeight="1" s="69">
      <c r="J1327" s="123" t="n"/>
      <c r="K1327" s="73" t="n"/>
      <c r="L1327" s="75" t="n"/>
      <c r="M1327" s="75" t="n"/>
      <c r="N1327" s="75" t="n"/>
      <c r="P1327" s="73" t="n"/>
      <c r="Q1327" s="73" t="n"/>
      <c r="R1327" s="73" t="n"/>
      <c r="S1327" s="122" t="n"/>
    </row>
    <row r="1328" ht="11.4" customHeight="1" s="69">
      <c r="J1328" s="123" t="n"/>
      <c r="K1328" s="73" t="n"/>
      <c r="L1328" s="75" t="n"/>
      <c r="M1328" s="75" t="n"/>
      <c r="N1328" s="75" t="n"/>
      <c r="P1328" s="73" t="n"/>
      <c r="Q1328" s="73" t="n"/>
      <c r="R1328" s="73" t="n"/>
      <c r="S1328" s="122" t="n"/>
    </row>
    <row r="1329" ht="11.4" customHeight="1" s="69">
      <c r="J1329" s="123" t="n"/>
      <c r="K1329" s="73" t="n"/>
      <c r="L1329" s="75" t="n"/>
      <c r="M1329" s="75" t="n"/>
      <c r="N1329" s="75" t="n"/>
      <c r="P1329" s="73" t="n"/>
      <c r="Q1329" s="73" t="n"/>
      <c r="R1329" s="73" t="n"/>
      <c r="S1329" s="122" t="n"/>
    </row>
    <row r="1330" ht="11.4" customHeight="1" s="69">
      <c r="J1330" s="123" t="n"/>
      <c r="K1330" s="73" t="n"/>
      <c r="L1330" s="75" t="n"/>
      <c r="M1330" s="75" t="n"/>
      <c r="N1330" s="75" t="n"/>
      <c r="P1330" s="73" t="n"/>
      <c r="Q1330" s="73" t="n"/>
      <c r="R1330" s="73" t="n"/>
      <c r="S1330" s="122" t="n"/>
    </row>
    <row r="1331" ht="11.4" customHeight="1" s="69">
      <c r="J1331" s="123" t="n"/>
      <c r="K1331" s="73" t="n"/>
      <c r="L1331" s="75" t="n"/>
      <c r="M1331" s="75" t="n"/>
      <c r="N1331" s="75" t="n"/>
      <c r="P1331" s="73" t="n"/>
      <c r="Q1331" s="73" t="n"/>
      <c r="R1331" s="73" t="n"/>
      <c r="S1331" s="122" t="n"/>
    </row>
    <row r="1332" ht="11.4" customHeight="1" s="69">
      <c r="J1332" s="123" t="n"/>
      <c r="K1332" s="73" t="n"/>
      <c r="L1332" s="75" t="n"/>
      <c r="M1332" s="75" t="n"/>
      <c r="N1332" s="75" t="n"/>
      <c r="P1332" s="73" t="n"/>
      <c r="Q1332" s="73" t="n"/>
      <c r="R1332" s="73" t="n"/>
      <c r="S1332" s="122" t="n"/>
    </row>
    <row r="1333" ht="11.4" customHeight="1" s="69">
      <c r="J1333" s="123" t="n"/>
      <c r="K1333" s="73" t="n"/>
      <c r="L1333" s="75" t="n"/>
      <c r="M1333" s="75" t="n"/>
      <c r="N1333" s="75" t="n"/>
      <c r="P1333" s="73" t="n"/>
      <c r="Q1333" s="73" t="n"/>
      <c r="R1333" s="73" t="n"/>
      <c r="S1333" s="122" t="n"/>
    </row>
    <row r="1334" ht="11.4" customHeight="1" s="69">
      <c r="J1334" s="123" t="n"/>
      <c r="K1334" s="73" t="n"/>
      <c r="L1334" s="75" t="n"/>
      <c r="M1334" s="75" t="n"/>
      <c r="N1334" s="75" t="n"/>
      <c r="P1334" s="73" t="n"/>
      <c r="Q1334" s="73" t="n"/>
      <c r="R1334" s="73" t="n"/>
      <c r="S1334" s="122" t="n"/>
    </row>
    <row r="1335" ht="11.4" customHeight="1" s="69">
      <c r="J1335" s="123" t="n"/>
      <c r="K1335" s="73" t="n"/>
      <c r="L1335" s="75" t="n"/>
      <c r="M1335" s="75" t="n"/>
      <c r="N1335" s="75" t="n"/>
      <c r="P1335" s="73" t="n"/>
      <c r="Q1335" s="73" t="n"/>
      <c r="R1335" s="73" t="n"/>
      <c r="S1335" s="122" t="n"/>
    </row>
    <row r="1336" ht="11.4" customHeight="1" s="69">
      <c r="J1336" s="123" t="n"/>
      <c r="K1336" s="73" t="n"/>
      <c r="L1336" s="75" t="n"/>
      <c r="M1336" s="75" t="n"/>
      <c r="N1336" s="75" t="n"/>
      <c r="P1336" s="73" t="n"/>
      <c r="Q1336" s="73" t="n"/>
      <c r="R1336" s="73" t="n"/>
      <c r="S1336" s="122" t="n"/>
    </row>
    <row r="1337" ht="11.4" customHeight="1" s="69">
      <c r="J1337" s="123" t="n"/>
      <c r="K1337" s="73" t="n"/>
      <c r="L1337" s="75" t="n"/>
      <c r="M1337" s="75" t="n"/>
      <c r="N1337" s="75" t="n"/>
      <c r="P1337" s="73" t="n"/>
      <c r="Q1337" s="73" t="n"/>
      <c r="R1337" s="73" t="n"/>
      <c r="S1337" s="122" t="n"/>
    </row>
    <row r="1338" ht="11.4" customHeight="1" s="69">
      <c r="J1338" s="123" t="n"/>
      <c r="K1338" s="73" t="n"/>
      <c r="L1338" s="75" t="n"/>
      <c r="M1338" s="75" t="n"/>
      <c r="N1338" s="75" t="n"/>
      <c r="P1338" s="73" t="n"/>
      <c r="Q1338" s="73" t="n"/>
      <c r="R1338" s="73" t="n"/>
      <c r="S1338" s="122" t="n"/>
    </row>
    <row r="1339" ht="11.4" customHeight="1" s="69">
      <c r="J1339" s="123" t="n"/>
      <c r="K1339" s="73" t="n"/>
      <c r="L1339" s="75" t="n"/>
      <c r="M1339" s="75" t="n"/>
      <c r="N1339" s="75" t="n"/>
      <c r="P1339" s="73" t="n"/>
      <c r="Q1339" s="73" t="n"/>
      <c r="R1339" s="73" t="n"/>
      <c r="S1339" s="122" t="n"/>
    </row>
    <row r="1340" ht="11.4" customHeight="1" s="69">
      <c r="J1340" s="123" t="n"/>
      <c r="K1340" s="73" t="n"/>
      <c r="L1340" s="75" t="n"/>
      <c r="M1340" s="75" t="n"/>
      <c r="N1340" s="75" t="n"/>
      <c r="P1340" s="73" t="n"/>
      <c r="Q1340" s="73" t="n"/>
      <c r="R1340" s="73" t="n"/>
      <c r="S1340" s="122" t="n"/>
    </row>
    <row r="1341" ht="11.4" customHeight="1" s="69">
      <c r="J1341" s="123" t="n"/>
      <c r="K1341" s="73" t="n"/>
      <c r="L1341" s="75" t="n"/>
      <c r="M1341" s="75" t="n"/>
      <c r="N1341" s="75" t="n"/>
      <c r="P1341" s="73" t="n"/>
      <c r="Q1341" s="73" t="n"/>
      <c r="R1341" s="73" t="n"/>
      <c r="S1341" s="122" t="n"/>
    </row>
    <row r="1342" ht="11.4" customHeight="1" s="69">
      <c r="J1342" s="123" t="n"/>
      <c r="K1342" s="73" t="n"/>
      <c r="L1342" s="75" t="n"/>
      <c r="M1342" s="75" t="n"/>
      <c r="N1342" s="75" t="n"/>
      <c r="P1342" s="73" t="n"/>
      <c r="Q1342" s="73" t="n"/>
      <c r="R1342" s="73" t="n"/>
      <c r="S1342" s="122" t="n"/>
    </row>
    <row r="1343" ht="11.4" customHeight="1" s="69">
      <c r="J1343" s="123" t="n"/>
      <c r="K1343" s="73" t="n"/>
      <c r="L1343" s="75" t="n"/>
      <c r="M1343" s="75" t="n"/>
      <c r="N1343" s="75" t="n"/>
      <c r="P1343" s="73" t="n"/>
      <c r="Q1343" s="73" t="n"/>
      <c r="R1343" s="73" t="n"/>
      <c r="S1343" s="122" t="n"/>
    </row>
    <row r="1344" ht="11.4" customHeight="1" s="69">
      <c r="J1344" s="123" t="n"/>
      <c r="K1344" s="73" t="n"/>
      <c r="L1344" s="75" t="n"/>
      <c r="M1344" s="75" t="n"/>
      <c r="N1344" s="75" t="n"/>
      <c r="P1344" s="73" t="n"/>
      <c r="Q1344" s="73" t="n"/>
      <c r="R1344" s="73" t="n"/>
      <c r="S1344" s="122" t="n"/>
    </row>
    <row r="1345" ht="11.4" customHeight="1" s="69">
      <c r="J1345" s="123" t="n"/>
      <c r="K1345" s="73" t="n"/>
      <c r="L1345" s="75" t="n"/>
      <c r="M1345" s="75" t="n"/>
      <c r="N1345" s="75" t="n"/>
      <c r="P1345" s="73" t="n"/>
      <c r="Q1345" s="73" t="n"/>
      <c r="R1345" s="73" t="n"/>
      <c r="S1345" s="122" t="n"/>
    </row>
    <row r="1346" ht="11.4" customHeight="1" s="69">
      <c r="J1346" s="123" t="n"/>
      <c r="K1346" s="73" t="n"/>
      <c r="L1346" s="75" t="n"/>
      <c r="M1346" s="75" t="n"/>
      <c r="N1346" s="75" t="n"/>
      <c r="P1346" s="73" t="n"/>
      <c r="Q1346" s="73" t="n"/>
      <c r="R1346" s="73" t="n"/>
      <c r="S1346" s="122" t="n"/>
    </row>
    <row r="1347" ht="11.4" customHeight="1" s="69">
      <c r="J1347" s="123" t="n"/>
      <c r="K1347" s="73" t="n"/>
      <c r="L1347" s="75" t="n"/>
      <c r="M1347" s="75" t="n"/>
      <c r="N1347" s="75" t="n"/>
      <c r="P1347" s="73" t="n"/>
      <c r="Q1347" s="73" t="n"/>
      <c r="R1347" s="73" t="n"/>
      <c r="S1347" s="122" t="n"/>
    </row>
    <row r="1348" ht="11.4" customHeight="1" s="69">
      <c r="J1348" s="123" t="n"/>
      <c r="K1348" s="73" t="n"/>
      <c r="L1348" s="75" t="n"/>
      <c r="M1348" s="75" t="n"/>
      <c r="N1348" s="75" t="n"/>
      <c r="P1348" s="73" t="n"/>
      <c r="Q1348" s="73" t="n"/>
      <c r="R1348" s="73" t="n"/>
      <c r="S1348" s="122" t="n"/>
    </row>
    <row r="1349" ht="11.4" customHeight="1" s="69">
      <c r="J1349" s="123" t="n"/>
      <c r="K1349" s="73" t="n"/>
      <c r="L1349" s="75" t="n"/>
      <c r="M1349" s="75" t="n"/>
      <c r="N1349" s="75" t="n"/>
      <c r="P1349" s="73" t="n"/>
      <c r="Q1349" s="73" t="n"/>
      <c r="R1349" s="73" t="n"/>
      <c r="S1349" s="122" t="n"/>
    </row>
    <row r="1350" ht="11.4" customHeight="1" s="69">
      <c r="J1350" s="123" t="n"/>
      <c r="K1350" s="73" t="n"/>
      <c r="L1350" s="75" t="n"/>
      <c r="M1350" s="75" t="n"/>
      <c r="N1350" s="75" t="n"/>
      <c r="P1350" s="73" t="n"/>
      <c r="Q1350" s="73" t="n"/>
      <c r="R1350" s="73" t="n"/>
      <c r="S1350" s="122" t="n"/>
    </row>
    <row r="1351" ht="11.4" customHeight="1" s="69">
      <c r="J1351" s="123" t="n"/>
      <c r="K1351" s="73" t="n"/>
      <c r="L1351" s="75" t="n"/>
      <c r="M1351" s="75" t="n"/>
      <c r="N1351" s="75" t="n"/>
      <c r="P1351" s="73" t="n"/>
      <c r="Q1351" s="73" t="n"/>
      <c r="R1351" s="73" t="n"/>
      <c r="S1351" s="122" t="n"/>
    </row>
    <row r="1352" ht="11.4" customHeight="1" s="69">
      <c r="J1352" s="123" t="n"/>
      <c r="K1352" s="73" t="n"/>
      <c r="L1352" s="75" t="n"/>
      <c r="M1352" s="75" t="n"/>
      <c r="N1352" s="75" t="n"/>
      <c r="P1352" s="73" t="n"/>
      <c r="Q1352" s="73" t="n"/>
      <c r="R1352" s="73" t="n"/>
      <c r="S1352" s="122" t="n"/>
    </row>
    <row r="1353" ht="11.4" customHeight="1" s="69">
      <c r="J1353" s="123" t="n"/>
      <c r="K1353" s="73" t="n"/>
      <c r="L1353" s="75" t="n"/>
      <c r="M1353" s="75" t="n"/>
      <c r="N1353" s="75" t="n"/>
      <c r="P1353" s="73" t="n"/>
      <c r="Q1353" s="73" t="n"/>
      <c r="R1353" s="73" t="n"/>
      <c r="S1353" s="122" t="n"/>
    </row>
    <row r="1354" ht="11.4" customHeight="1" s="69">
      <c r="J1354" s="123" t="n"/>
      <c r="K1354" s="73" t="n"/>
      <c r="L1354" s="75" t="n"/>
      <c r="M1354" s="75" t="n"/>
      <c r="N1354" s="75" t="n"/>
      <c r="P1354" s="73" t="n"/>
      <c r="Q1354" s="73" t="n"/>
      <c r="R1354" s="73" t="n"/>
      <c r="S1354" s="122" t="n"/>
    </row>
    <row r="1355" ht="11.4" customHeight="1" s="69">
      <c r="J1355" s="123" t="n"/>
      <c r="K1355" s="73" t="n"/>
      <c r="L1355" s="75" t="n"/>
      <c r="M1355" s="75" t="n"/>
      <c r="N1355" s="75" t="n"/>
      <c r="P1355" s="73" t="n"/>
      <c r="Q1355" s="73" t="n"/>
      <c r="R1355" s="73" t="n"/>
      <c r="S1355" s="122" t="n"/>
    </row>
    <row r="1356" ht="11.4" customHeight="1" s="69">
      <c r="J1356" s="123" t="n"/>
      <c r="K1356" s="73" t="n"/>
      <c r="L1356" s="75" t="n"/>
      <c r="M1356" s="75" t="n"/>
      <c r="N1356" s="75" t="n"/>
      <c r="P1356" s="73" t="n"/>
      <c r="Q1356" s="73" t="n"/>
      <c r="R1356" s="73" t="n"/>
      <c r="S1356" s="122" t="n"/>
    </row>
    <row r="1357" ht="11.4" customHeight="1" s="69">
      <c r="J1357" s="123" t="n"/>
      <c r="K1357" s="73" t="n"/>
      <c r="L1357" s="75" t="n"/>
      <c r="M1357" s="75" t="n"/>
      <c r="N1357" s="75" t="n"/>
      <c r="P1357" s="73" t="n"/>
      <c r="Q1357" s="73" t="n"/>
      <c r="R1357" s="73" t="n"/>
      <c r="S1357" s="122" t="n"/>
    </row>
    <row r="1358" ht="11.4" customHeight="1" s="69">
      <c r="J1358" s="123" t="n"/>
      <c r="K1358" s="73" t="n"/>
      <c r="L1358" s="75" t="n"/>
      <c r="M1358" s="75" t="n"/>
      <c r="N1358" s="75" t="n"/>
      <c r="P1358" s="73" t="n"/>
      <c r="Q1358" s="73" t="n"/>
      <c r="R1358" s="73" t="n"/>
      <c r="S1358" s="122" t="n"/>
    </row>
    <row r="1359" ht="11.4" customHeight="1" s="69">
      <c r="J1359" s="123" t="n"/>
      <c r="K1359" s="73" t="n"/>
      <c r="L1359" s="75" t="n"/>
      <c r="M1359" s="75" t="n"/>
      <c r="N1359" s="75" t="n"/>
      <c r="P1359" s="73" t="n"/>
      <c r="Q1359" s="73" t="n"/>
      <c r="R1359" s="73" t="n"/>
      <c r="S1359" s="122" t="n"/>
    </row>
    <row r="1360" ht="11.4" customHeight="1" s="69">
      <c r="J1360" s="123" t="n"/>
      <c r="K1360" s="73" t="n"/>
      <c r="L1360" s="75" t="n"/>
      <c r="M1360" s="75" t="n"/>
      <c r="N1360" s="75" t="n"/>
      <c r="P1360" s="73" t="n"/>
      <c r="Q1360" s="73" t="n"/>
      <c r="R1360" s="73" t="n"/>
      <c r="S1360" s="122" t="n"/>
    </row>
    <row r="1361" ht="11.4" customHeight="1" s="69">
      <c r="J1361" s="123" t="n"/>
      <c r="K1361" s="73" t="n"/>
      <c r="L1361" s="75" t="n"/>
      <c r="M1361" s="75" t="n"/>
      <c r="N1361" s="75" t="n"/>
      <c r="P1361" s="73" t="n"/>
      <c r="Q1361" s="73" t="n"/>
      <c r="R1361" s="73" t="n"/>
      <c r="S1361" s="122" t="n"/>
    </row>
    <row r="1362" ht="11.4" customHeight="1" s="69">
      <c r="J1362" s="123" t="n"/>
      <c r="K1362" s="73" t="n"/>
      <c r="L1362" s="75" t="n"/>
      <c r="M1362" s="75" t="n"/>
      <c r="N1362" s="75" t="n"/>
      <c r="P1362" s="73" t="n"/>
      <c r="Q1362" s="73" t="n"/>
      <c r="R1362" s="73" t="n"/>
      <c r="S1362" s="122" t="n"/>
    </row>
    <row r="1363" ht="11.4" customHeight="1" s="69">
      <c r="J1363" s="123" t="n"/>
      <c r="K1363" s="73" t="n"/>
      <c r="L1363" s="75" t="n"/>
      <c r="M1363" s="75" t="n"/>
      <c r="N1363" s="75" t="n"/>
      <c r="P1363" s="73" t="n"/>
      <c r="Q1363" s="73" t="n"/>
      <c r="R1363" s="73" t="n"/>
      <c r="S1363" s="122" t="n"/>
    </row>
    <row r="1364" ht="11.4" customHeight="1" s="69">
      <c r="J1364" s="123" t="n"/>
      <c r="K1364" s="73" t="n"/>
      <c r="L1364" s="75" t="n"/>
      <c r="M1364" s="75" t="n"/>
      <c r="N1364" s="75" t="n"/>
      <c r="P1364" s="73" t="n"/>
      <c r="Q1364" s="73" t="n"/>
      <c r="R1364" s="73" t="n"/>
      <c r="S1364" s="122" t="n"/>
    </row>
    <row r="1365" ht="11.4" customHeight="1" s="69">
      <c r="J1365" s="123" t="n"/>
      <c r="K1365" s="73" t="n"/>
      <c r="L1365" s="75" t="n"/>
      <c r="M1365" s="75" t="n"/>
      <c r="N1365" s="75" t="n"/>
      <c r="P1365" s="73" t="n"/>
      <c r="Q1365" s="73" t="n"/>
      <c r="R1365" s="73" t="n"/>
      <c r="S1365" s="122" t="n"/>
    </row>
    <row r="1366" ht="11.4" customHeight="1" s="69">
      <c r="J1366" s="123" t="n"/>
      <c r="K1366" s="73" t="n"/>
      <c r="L1366" s="75" t="n"/>
      <c r="M1366" s="75" t="n"/>
      <c r="N1366" s="75" t="n"/>
      <c r="P1366" s="73" t="n"/>
      <c r="Q1366" s="73" t="n"/>
      <c r="R1366" s="73" t="n"/>
      <c r="S1366" s="122" t="n"/>
    </row>
    <row r="1367" ht="11.4" customHeight="1" s="69">
      <c r="J1367" s="123" t="n"/>
      <c r="K1367" s="73" t="n"/>
      <c r="L1367" s="75" t="n"/>
      <c r="M1367" s="75" t="n"/>
      <c r="N1367" s="75" t="n"/>
      <c r="P1367" s="73" t="n"/>
      <c r="Q1367" s="73" t="n"/>
      <c r="R1367" s="73" t="n"/>
      <c r="S1367" s="122" t="n"/>
    </row>
    <row r="1368" ht="11.4" customHeight="1" s="69">
      <c r="J1368" s="123" t="n"/>
      <c r="K1368" s="73" t="n"/>
      <c r="L1368" s="75" t="n"/>
      <c r="M1368" s="75" t="n"/>
      <c r="N1368" s="75" t="n"/>
      <c r="P1368" s="73" t="n"/>
      <c r="Q1368" s="73" t="n"/>
      <c r="R1368" s="73" t="n"/>
      <c r="S1368" s="122" t="n"/>
    </row>
    <row r="1369" ht="11.4" customHeight="1" s="69">
      <c r="J1369" s="123" t="n"/>
      <c r="K1369" s="73" t="n"/>
      <c r="L1369" s="75" t="n"/>
      <c r="M1369" s="75" t="n"/>
      <c r="N1369" s="75" t="n"/>
      <c r="P1369" s="73" t="n"/>
      <c r="Q1369" s="73" t="n"/>
      <c r="R1369" s="73" t="n"/>
      <c r="S1369" s="122" t="n"/>
    </row>
    <row r="1370" ht="11.4" customHeight="1" s="69">
      <c r="J1370" s="123" t="n"/>
      <c r="K1370" s="73" t="n"/>
      <c r="L1370" s="75" t="n"/>
      <c r="M1370" s="75" t="n"/>
      <c r="N1370" s="75" t="n"/>
      <c r="P1370" s="73" t="n"/>
      <c r="Q1370" s="73" t="n"/>
      <c r="R1370" s="73" t="n"/>
      <c r="S1370" s="122" t="n"/>
    </row>
    <row r="1371" ht="11.4" customHeight="1" s="69">
      <c r="J1371" s="123" t="n"/>
      <c r="K1371" s="73" t="n"/>
      <c r="L1371" s="75" t="n"/>
      <c r="M1371" s="75" t="n"/>
      <c r="N1371" s="75" t="n"/>
      <c r="P1371" s="73" t="n"/>
      <c r="Q1371" s="73" t="n"/>
      <c r="R1371" s="73" t="n"/>
      <c r="S1371" s="122" t="n"/>
    </row>
    <row r="1372" ht="11.4" customHeight="1" s="69">
      <c r="J1372" s="123" t="n"/>
      <c r="K1372" s="73" t="n"/>
      <c r="L1372" s="75" t="n"/>
      <c r="M1372" s="75" t="n"/>
      <c r="N1372" s="75" t="n"/>
      <c r="P1372" s="73" t="n"/>
      <c r="Q1372" s="73" t="n"/>
      <c r="R1372" s="73" t="n"/>
      <c r="S1372" s="122" t="n"/>
    </row>
    <row r="1373" ht="11.4" customHeight="1" s="69">
      <c r="J1373" s="123" t="n"/>
      <c r="K1373" s="73" t="n"/>
      <c r="L1373" s="75" t="n"/>
      <c r="M1373" s="75" t="n"/>
      <c r="N1373" s="75" t="n"/>
      <c r="P1373" s="73" t="n"/>
      <c r="Q1373" s="73" t="n"/>
      <c r="R1373" s="73" t="n"/>
      <c r="S1373" s="122" t="n"/>
    </row>
    <row r="1374" ht="11.4" customHeight="1" s="69">
      <c r="J1374" s="123" t="n"/>
      <c r="K1374" s="73" t="n"/>
      <c r="L1374" s="75" t="n"/>
      <c r="M1374" s="75" t="n"/>
      <c r="N1374" s="75" t="n"/>
      <c r="P1374" s="73" t="n"/>
      <c r="Q1374" s="73" t="n"/>
      <c r="R1374" s="73" t="n"/>
      <c r="S1374" s="122" t="n"/>
    </row>
    <row r="1375" ht="11.4" customHeight="1" s="69">
      <c r="J1375" s="123" t="n"/>
      <c r="K1375" s="73" t="n"/>
      <c r="L1375" s="75" t="n"/>
      <c r="M1375" s="75" t="n"/>
      <c r="N1375" s="75" t="n"/>
      <c r="P1375" s="73" t="n"/>
      <c r="Q1375" s="73" t="n"/>
      <c r="R1375" s="73" t="n"/>
      <c r="S1375" s="122" t="n"/>
    </row>
    <row r="1376" ht="11.4" customHeight="1" s="69">
      <c r="J1376" s="123" t="n"/>
      <c r="K1376" s="73" t="n"/>
      <c r="L1376" s="75" t="n"/>
      <c r="M1376" s="75" t="n"/>
      <c r="N1376" s="75" t="n"/>
      <c r="P1376" s="73" t="n"/>
      <c r="Q1376" s="73" t="n"/>
      <c r="R1376" s="73" t="n"/>
      <c r="S1376" s="122" t="n"/>
    </row>
    <row r="1377" ht="11.4" customHeight="1" s="69">
      <c r="J1377" s="123" t="n"/>
      <c r="K1377" s="73" t="n"/>
      <c r="L1377" s="75" t="n"/>
      <c r="M1377" s="75" t="n"/>
      <c r="N1377" s="75" t="n"/>
      <c r="P1377" s="73" t="n"/>
      <c r="Q1377" s="73" t="n"/>
      <c r="R1377" s="73" t="n"/>
      <c r="S1377" s="122" t="n"/>
    </row>
    <row r="1378" ht="11.4" customHeight="1" s="69">
      <c r="J1378" s="123" t="n"/>
      <c r="K1378" s="73" t="n"/>
      <c r="L1378" s="75" t="n"/>
      <c r="M1378" s="75" t="n"/>
      <c r="N1378" s="75" t="n"/>
      <c r="P1378" s="73" t="n"/>
      <c r="Q1378" s="73" t="n"/>
      <c r="R1378" s="73" t="n"/>
      <c r="S1378" s="122" t="n"/>
    </row>
    <row r="1379" ht="11.4" customHeight="1" s="69">
      <c r="J1379" s="123" t="n"/>
      <c r="K1379" s="73" t="n"/>
      <c r="L1379" s="75" t="n"/>
      <c r="M1379" s="75" t="n"/>
      <c r="N1379" s="75" t="n"/>
      <c r="P1379" s="73" t="n"/>
      <c r="Q1379" s="73" t="n"/>
      <c r="R1379" s="73" t="n"/>
      <c r="S1379" s="122" t="n"/>
    </row>
    <row r="1380" ht="11.4" customHeight="1" s="69">
      <c r="J1380" s="123" t="n"/>
      <c r="K1380" s="73" t="n"/>
      <c r="L1380" s="75" t="n"/>
      <c r="M1380" s="75" t="n"/>
      <c r="N1380" s="75" t="n"/>
      <c r="P1380" s="73" t="n"/>
      <c r="Q1380" s="73" t="n"/>
      <c r="R1380" s="73" t="n"/>
      <c r="S1380" s="122" t="n"/>
    </row>
    <row r="1381" ht="11.4" customHeight="1" s="69">
      <c r="J1381" s="123" t="n"/>
      <c r="K1381" s="73" t="n"/>
      <c r="L1381" s="75" t="n"/>
      <c r="M1381" s="75" t="n"/>
      <c r="N1381" s="75" t="n"/>
      <c r="P1381" s="73" t="n"/>
      <c r="Q1381" s="73" t="n"/>
      <c r="R1381" s="73" t="n"/>
      <c r="S1381" s="122" t="n"/>
    </row>
  </sheetData>
  <autoFilter ref="A1:IH381"/>
  <printOptions horizontalCentered="0" verticalCentered="0" headings="0" gridLines="0" gridLinesSet="1"/>
  <pageMargins left="0.39375" right="0.196527777777778" top="0.590277777777778" bottom="0.39375" header="0.118055555555556" footer="0.315277777777778"/>
  <pageSetup orientation="landscape" paperSize="8" scale="100" fitToHeight="109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Attachment 12-A   &amp;A   &amp;P&amp;R&amp;"Times New Roman,Regular"&amp;8 30/11/06</oddFooter>
    <evenHeader/>
    <evenFooter/>
    <firstHeader/>
    <firstFooter/>
  </headerFooter>
  <rowBreaks count="3" manualBreakCount="3">
    <brk id="35" min="0" max="16383" man="1"/>
    <brk id="69" min="0" max="16383" man="1"/>
    <brk id="10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Ilse Persoons</dc:creator>
  <dc:language xmlns:dc="http://purl.org/dc/elements/1.1/">en-US</dc:language>
  <dcterms:created xmlns:dcterms="http://purl.org/dc/terms/" xmlns:xsi="http://www.w3.org/2001/XMLSchema-instance" xsi:type="dcterms:W3CDTF">2006-03-14T15:24:25Z</dcterms:created>
  <dcterms:modified xmlns:dcterms="http://purl.org/dc/terms/" xmlns:xsi="http://www.w3.org/2001/XMLSchema-instance" xsi:type="dcterms:W3CDTF">2026-02-11T03:34:25Z</dcterms:modified>
  <cp:lastModifiedBy>Stuart Johnson</cp:lastModifiedBy>
  <cp:revision>0</cp:revision>
  <cp:lastPrinted>2006-12-01T16:41:52Z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-1020004813</vt:r8>
  </property>
  <property name="_AuthorEmail" fmtid="{D5CDD505-2E9C-101B-9397-08002B2CF9AE}" pid="3">
    <vt:lpwstr xmlns:vt="http://schemas.openxmlformats.org/officeDocument/2006/docPropsVTypes">ilse.persoons@ing.be</vt:lpwstr>
  </property>
  <property name="_AuthorEmailDisplayName" fmtid="{D5CDD505-2E9C-101B-9397-08002B2CF9AE}" pid="4">
    <vt:lpwstr xmlns:vt="http://schemas.openxmlformats.org/officeDocument/2006/docPropsVTypes">Persoons, I. (Ilse)</vt:lpwstr>
  </property>
  <property name="_EmailSubject" fmtid="{D5CDD505-2E9C-101B-9397-08002B2CF9AE}" pid="5">
    <vt:lpwstr xmlns:vt="http://schemas.openxmlformats.org/officeDocument/2006/docPropsVTypes">updated 12A</vt:lpwstr>
  </property>
  <property name="_NewReviewCycle" fmtid="{D5CDD505-2E9C-101B-9397-08002B2CF9AE}" pid="6">
    <vt:lpwstr xmlns:vt="http://schemas.openxmlformats.org/officeDocument/2006/docPropsVTypes"/>
  </property>
  <property name="_ReviewingToolsShownOnce" fmtid="{D5CDD505-2E9C-101B-9397-08002B2CF9AE}" pid="7">
    <vt:lpwstr xmlns:vt="http://schemas.openxmlformats.org/officeDocument/2006/docPropsVTypes"/>
  </property>
  <property name="thinkcellXlWorkbookDoNotDelete" fmtid="{D5CDD505-2E9C-101B-9397-08002B2CF9AE}" pid="8">
    <vt:lpwstr xmlns:vt="http://schemas.openxmlformats.org/officeDocument/2006/docPropsVTypes"/>
  </property>
</Properties>
</file>
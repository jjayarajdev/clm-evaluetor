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otal Resource Baseline Units" sheetId="2" state="visible" r:id="rId2"/>
    <sheet xmlns:r="http://schemas.openxmlformats.org/officeDocument/2006/relationships" name="NL Resource Baseline Units" sheetId="3" state="visible" r:id="rId3"/>
    <sheet xmlns:r="http://schemas.openxmlformats.org/officeDocument/2006/relationships" name="BE Resource Baseline Units" sheetId="4" state="visible" r:id="rId4"/>
  </sheets>
  <definedNames>
    <definedName name="Baseline" hidden="0" function="0" vbProcedure="0">#REF!</definedName>
    <definedName name="Z_2AFD2E8D_3D03_4813_8B05_F9D4BE800E07__wvu_PrintArea" localSheetId="0" hidden="0" function="0" vbProcedure="0">'Cover Page'!$A$1:$I$28</definedName>
    <definedName name="Z_422F6220_13A9_11D5_B09A_0050DA2FB877__wvu_PrintArea" localSheetId="0" hidden="0" function="0" vbProcedure="0">'Cover Page'!$A$1:$I$28</definedName>
    <definedName name="Z_4B2D6D4A_C75D_4A68_9856_C75A4E5366DD__wvu_PrintArea" localSheetId="0" hidden="0" function="0" vbProcedure="0">'Cover Page'!$A$1:$I$28</definedName>
    <definedName name="_xlnm.Print_Area" localSheetId="0">'Cover Page'!$A$1:$I$28</definedName>
    <definedName name="_xlnm.Print_Titles" localSheetId="1">'Total Resource Baseline Units'!$1:$1</definedName>
    <definedName name="_xlnm.Print_Area" localSheetId="1">'Total Resource Baseline Units'!$A$1:$H$121</definedName>
    <definedName name="_xlnm.Print_Titles" localSheetId="2">'NL Resource Baseline Units'!$1:$1</definedName>
    <definedName name="_xlnm.Print_Area" localSheetId="2">'NL Resource Baseline Units'!$A$1:$I$120</definedName>
    <definedName name="_xlnm.Print_Titles" localSheetId="3">'BE Resource Baseline Units'!$1:$1</definedName>
    <definedName name="_xlnm.Print_Area" localSheetId="3">'BE Resource Baseline Units'!$A$1:$I$120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mmmm\ d&quot;, &quot;yyyy"/>
    <numFmt numFmtId="165" formatCode="0.0000%"/>
    <numFmt numFmtId="166" formatCode="_(* #,##0_);_(* \(#,##0\);_(* \-??_);_(@_)"/>
    <numFmt numFmtId="167" formatCode="#,##0.0000"/>
    <numFmt numFmtId="168" formatCode="[$-409]m/d/yyyy"/>
    <numFmt numFmtId="169" formatCode="#,##0_ ;\-#,##0\ "/>
    <numFmt numFmtId="170" formatCode="_-* #,##0.00_-;\-* #,##0.00_-;_-* \-??_-;_-@_-"/>
    <numFmt numFmtId="171" formatCode="_-\£* #,##0.00_-;&quot;-£&quot;* #,##0.00_-;_-\£* \-??_-;_-@_-"/>
  </numFmts>
  <fonts count="28">
    <font>
      <name val="MS Sans Serif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charset val="204"/>
      <family val="0"/>
      <sz val="10"/>
    </font>
    <font>
      <name val="Arial"/>
      <family val="0"/>
      <color rgb="FF000000"/>
      <sz val="10"/>
    </font>
    <font>
      <name val="Times New Roman"/>
      <family val="1"/>
      <b val="1"/>
      <sz val="16"/>
    </font>
    <font>
      <name val="Arial"/>
      <family val="0"/>
      <sz val="8"/>
    </font>
    <font>
      <name val="Times New Roman"/>
      <family val="1"/>
      <b val="1"/>
      <color rgb="FF0000FF"/>
      <sz val="16"/>
    </font>
    <font>
      <name val="Times New Roman"/>
      <family val="1"/>
      <b val="1"/>
      <i val="1"/>
      <sz val="16"/>
    </font>
    <font>
      <name val="Times New Roman"/>
      <family val="1"/>
      <b val="1"/>
      <sz val="18"/>
    </font>
    <font>
      <name val="Times New Roman"/>
      <family val="1"/>
      <b val="1"/>
      <sz val="10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0"/>
      <b val="1"/>
      <sz val="10"/>
    </font>
    <font>
      <name val="Times New Roman"/>
      <family val="1"/>
      <b val="1"/>
      <i val="1"/>
      <sz val="10"/>
    </font>
    <font>
      <name val="Times New Roman"/>
      <family val="1"/>
      <sz val="11"/>
    </font>
    <font>
      <name val="Arial"/>
      <family val="2"/>
      <b val="1"/>
      <sz val="10"/>
    </font>
    <font>
      <name val="Arial"/>
      <family val="2"/>
      <i val="1"/>
      <sz val="10"/>
    </font>
    <font>
      <name val="Times New Roman"/>
      <family val="1"/>
      <i val="1"/>
      <sz val="9.5"/>
    </font>
    <font>
      <name val="Arial"/>
      <family val="2"/>
      <i val="1"/>
      <sz val="9.5"/>
    </font>
    <font>
      <name val="Times New Roman"/>
      <family val="1"/>
      <b val="1"/>
      <color rgb="FFFF0000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Times New Roman"/>
      <family val="1"/>
      <i val="1"/>
      <sz val="10"/>
    </font>
    <font>
      <name val="KPN Sans"/>
      <family val="2"/>
      <sz val="10"/>
    </font>
  </fonts>
  <fills count="5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3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medium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9">
    <xf numFmtId="0" fontId="0" fillId="0" borderId="0" applyAlignment="1">
      <alignment horizontal="general" vertical="bottom"/>
    </xf>
    <xf numFmtId="170" fontId="0" fillId="0" borderId="0"/>
    <xf numFmtId="41" fontId="3" fillId="0" borderId="0"/>
    <xf numFmtId="171" fontId="0" fillId="0" borderId="0"/>
    <xf numFmtId="42" fontId="3" fillId="0" borderId="0"/>
    <xf numFmtId="9" fontId="4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328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3" fontId="4" fillId="0" borderId="0" applyAlignment="1" pivotButton="0" quotePrefix="0" xfId="20">
      <alignment horizontal="general" vertical="bottom"/>
    </xf>
    <xf numFmtId="3" fontId="4" fillId="0" borderId="0" applyAlignment="1" pivotButton="0" quotePrefix="0" xfId="20">
      <alignment horizontal="general" vertical="bottom" wrapText="1"/>
    </xf>
    <xf numFmtId="3" fontId="12" fillId="0" borderId="1" applyAlignment="1" pivotButton="0" quotePrefix="0" xfId="20">
      <alignment horizontal="left" vertical="bottom"/>
    </xf>
    <xf numFmtId="3" fontId="12" fillId="0" borderId="2" applyAlignment="1" pivotButton="0" quotePrefix="0" xfId="20">
      <alignment horizontal="left" vertical="bottom"/>
    </xf>
    <xf numFmtId="0" fontId="12" fillId="0" borderId="3" applyAlignment="1" pivotButton="0" quotePrefix="0" xfId="0">
      <alignment horizontal="center" vertical="bottom" wrapText="1"/>
    </xf>
    <xf numFmtId="0" fontId="12" fillId="0" borderId="4" applyAlignment="1" pivotButton="0" quotePrefix="0" xfId="0">
      <alignment horizontal="center" vertical="bottom" wrapText="1"/>
    </xf>
    <xf numFmtId="3" fontId="12" fillId="2" borderId="5" applyAlignment="1" pivotButton="0" quotePrefix="0" xfId="20">
      <alignment horizontal="center" vertical="bottom"/>
    </xf>
    <xf numFmtId="3" fontId="4" fillId="0" borderId="0" applyAlignment="1" pivotButton="0" quotePrefix="0" xfId="20">
      <alignment horizontal="general" vertical="bottom" wrapText="1"/>
    </xf>
    <xf numFmtId="0" fontId="13" fillId="0" borderId="6" applyAlignment="1" pivotButton="0" quotePrefix="0" xfId="20">
      <alignment horizontal="left" vertical="bottom"/>
    </xf>
    <xf numFmtId="3" fontId="14" fillId="0" borderId="7" applyAlignment="1" pivotButton="0" quotePrefix="0" xfId="20">
      <alignment horizontal="right" vertical="bottom"/>
    </xf>
    <xf numFmtId="3" fontId="14" fillId="0" borderId="8" applyAlignment="1" pivotButton="0" quotePrefix="0" xfId="20">
      <alignment horizontal="right" vertical="bottom"/>
    </xf>
    <xf numFmtId="0" fontId="15" fillId="3" borderId="9" applyAlignment="1" pivotButton="0" quotePrefix="0" xfId="20">
      <alignment horizontal="left" vertical="bottom"/>
    </xf>
    <xf numFmtId="0" fontId="15" fillId="3" borderId="10" applyAlignment="1" pivotButton="0" quotePrefix="0" xfId="20">
      <alignment horizontal="left" vertical="bottom"/>
    </xf>
    <xf numFmtId="3" fontId="16" fillId="3" borderId="11" applyAlignment="1" pivotButton="0" quotePrefix="0" xfId="20">
      <alignment horizontal="center" vertical="bottom"/>
    </xf>
    <xf numFmtId="3" fontId="16" fillId="3" borderId="12" applyAlignment="1" pivotButton="0" quotePrefix="0" xfId="20">
      <alignment horizontal="center" vertical="bottom"/>
    </xf>
    <xf numFmtId="3" fontId="17" fillId="0" borderId="0" applyAlignment="1" pivotButton="0" quotePrefix="0" xfId="20">
      <alignment horizontal="general" vertical="bottom" wrapText="1"/>
    </xf>
    <xf numFmtId="0" fontId="1" fillId="0" borderId="9" applyAlignment="1" pivotButton="0" quotePrefix="0" xfId="20">
      <alignment horizontal="left" vertical="bottom"/>
    </xf>
    <xf numFmtId="3" fontId="14" fillId="0" borderId="13" applyAlignment="1" pivotButton="0" quotePrefix="0" xfId="20">
      <alignment horizontal="right" vertical="bottom"/>
    </xf>
    <xf numFmtId="3" fontId="14" fillId="0" borderId="14" applyAlignment="1" pivotButton="0" quotePrefix="0" xfId="20">
      <alignment horizontal="right" vertical="bottom"/>
    </xf>
    <xf numFmtId="0" fontId="15" fillId="3" borderId="15" applyAlignment="1" pivotButton="0" quotePrefix="0" xfId="20">
      <alignment horizontal="left" vertical="bottom"/>
    </xf>
    <xf numFmtId="3" fontId="15" fillId="3" borderId="0" applyAlignment="1" pivotButton="0" quotePrefix="0" xfId="20">
      <alignment horizontal="right" vertical="bottom"/>
    </xf>
    <xf numFmtId="3" fontId="15" fillId="3" borderId="16" applyAlignment="1" pivotButton="0" quotePrefix="0" xfId="20">
      <alignment horizontal="right" vertical="bottom"/>
    </xf>
    <xf numFmtId="3" fontId="14" fillId="0" borderId="13" applyAlignment="1" pivotButton="0" quotePrefix="0" xfId="17">
      <alignment horizontal="general" vertical="bottom"/>
    </xf>
    <xf numFmtId="3" fontId="14" fillId="0" borderId="11" applyAlignment="1" pivotButton="0" quotePrefix="0" xfId="17">
      <alignment horizontal="general" vertical="bottom"/>
    </xf>
    <xf numFmtId="3" fontId="14" fillId="0" borderId="12" applyAlignment="1" pivotButton="0" quotePrefix="0" xfId="17">
      <alignment horizontal="general" vertical="bottom"/>
    </xf>
    <xf numFmtId="3" fontId="15" fillId="3" borderId="10" applyAlignment="1" pivotButton="0" quotePrefix="0" xfId="20">
      <alignment horizontal="right" vertical="bottom"/>
    </xf>
    <xf numFmtId="3" fontId="4" fillId="0" borderId="0" applyAlignment="1" pivotButton="0" quotePrefix="0" xfId="20">
      <alignment horizontal="general" vertical="bottom" wrapText="1"/>
    </xf>
    <xf numFmtId="0" fontId="18" fillId="3" borderId="17" applyAlignment="1" pivotButton="0" quotePrefix="0" xfId="20">
      <alignment horizontal="general" vertical="bottom"/>
    </xf>
    <xf numFmtId="3" fontId="18" fillId="3" borderId="7" applyAlignment="1" pivotButton="0" quotePrefix="0" xfId="20">
      <alignment horizontal="right" vertical="bottom"/>
    </xf>
    <xf numFmtId="3" fontId="18" fillId="3" borderId="8" applyAlignment="1" pivotButton="0" quotePrefix="0" xfId="20">
      <alignment horizontal="right" vertical="bottom"/>
    </xf>
    <xf numFmtId="165" fontId="4" fillId="0" borderId="0" applyAlignment="1" pivotButton="0" quotePrefix="0" xfId="19">
      <alignment horizontal="general" vertical="bottom" wrapText="1"/>
    </xf>
    <xf numFmtId="0" fontId="4" fillId="0" borderId="15" applyAlignment="1" pivotButton="0" quotePrefix="0" xfId="20">
      <alignment horizontal="general" vertical="bottom"/>
    </xf>
    <xf numFmtId="0" fontId="14" fillId="0" borderId="9" applyAlignment="1" pivotButton="0" quotePrefix="0" xfId="20">
      <alignment horizontal="general" vertical="bottom"/>
    </xf>
    <xf numFmtId="0" fontId="19" fillId="0" borderId="9" applyAlignment="1" pivotButton="0" quotePrefix="0" xfId="20">
      <alignment horizontal="general" vertical="bottom"/>
    </xf>
    <xf numFmtId="3" fontId="20" fillId="0" borderId="0" applyAlignment="1" pivotButton="0" quotePrefix="0" xfId="20">
      <alignment horizontal="general" vertical="bottom" wrapText="1"/>
    </xf>
    <xf numFmtId="0" fontId="21" fillId="0" borderId="9" applyAlignment="1" pivotButton="0" quotePrefix="0" xfId="20">
      <alignment horizontal="general" vertical="bottom"/>
    </xf>
    <xf numFmtId="0" fontId="13" fillId="3" borderId="18" applyAlignment="1" pivotButton="0" quotePrefix="0" xfId="20">
      <alignment horizontal="left" vertical="bottom"/>
    </xf>
    <xf numFmtId="0" fontId="13" fillId="3" borderId="0" applyAlignment="1" pivotButton="0" quotePrefix="0" xfId="20">
      <alignment horizontal="left" vertical="bottom"/>
    </xf>
    <xf numFmtId="3" fontId="4" fillId="3" borderId="19" applyAlignment="1" pivotButton="0" quotePrefix="0" xfId="20">
      <alignment horizontal="general" vertical="bottom"/>
    </xf>
    <xf numFmtId="3" fontId="4" fillId="3" borderId="20" applyAlignment="1" pivotButton="0" quotePrefix="0" xfId="20">
      <alignment horizontal="general" vertical="bottom"/>
    </xf>
    <xf numFmtId="0" fontId="1" fillId="0" borderId="9" applyAlignment="1" pivotButton="0" quotePrefix="0" xfId="0">
      <alignment horizontal="left" vertical="bottom"/>
    </xf>
    <xf numFmtId="0" fontId="18" fillId="3" borderId="6" applyAlignment="1" pivotButton="0" quotePrefix="0" xfId="20">
      <alignment horizontal="left" vertical="bottom"/>
    </xf>
    <xf numFmtId="0" fontId="18" fillId="3" borderId="21" applyAlignment="1" pivotButton="0" quotePrefix="0" xfId="20">
      <alignment horizontal="left" vertical="bottom"/>
    </xf>
    <xf numFmtId="3" fontId="22" fillId="3" borderId="7" applyAlignment="1" pivotButton="0" quotePrefix="0" xfId="20">
      <alignment horizontal="center" vertical="bottom"/>
    </xf>
    <xf numFmtId="3" fontId="22" fillId="3" borderId="19" applyAlignment="1" pivotButton="0" quotePrefix="0" xfId="20">
      <alignment horizontal="center" vertical="bottom"/>
    </xf>
    <xf numFmtId="3" fontId="22" fillId="3" borderId="20" applyAlignment="1" pivotButton="0" quotePrefix="0" xfId="20">
      <alignment horizontal="center" vertical="bottom"/>
    </xf>
    <xf numFmtId="0" fontId="14" fillId="0" borderId="9" applyAlignment="1" pivotButton="0" quotePrefix="0" xfId="20">
      <alignment horizontal="left" vertical="bottom"/>
    </xf>
    <xf numFmtId="0" fontId="14" fillId="0" borderId="11" applyAlignment="1" pivotButton="0" quotePrefix="0" xfId="0">
      <alignment horizontal="center" vertical="bottom"/>
    </xf>
    <xf numFmtId="0" fontId="14" fillId="0" borderId="9" applyAlignment="1" pivotButton="0" quotePrefix="0" xfId="20">
      <alignment horizontal="general" vertical="bottom"/>
    </xf>
    <xf numFmtId="0" fontId="14" fillId="0" borderId="9" applyAlignment="1" pivotButton="0" quotePrefix="0" xfId="20">
      <alignment horizontal="left" vertical="bottom"/>
    </xf>
    <xf numFmtId="0" fontId="14" fillId="0" borderId="9" applyAlignment="1" pivotButton="0" quotePrefix="0" xfId="20">
      <alignment horizontal="left" vertical="bottom" indent="2"/>
    </xf>
    <xf numFmtId="166" fontId="14" fillId="0" borderId="11" applyAlignment="1" pivotButton="0" quotePrefix="0" xfId="15">
      <alignment horizontal="center" vertical="bottom"/>
    </xf>
    <xf numFmtId="3" fontId="14" fillId="0" borderId="13" applyAlignment="1" pivotButton="0" quotePrefix="0" xfId="20">
      <alignment horizontal="right" vertical="bottom" indent="2"/>
    </xf>
    <xf numFmtId="3" fontId="14" fillId="0" borderId="14" applyAlignment="1" pivotButton="0" quotePrefix="0" xfId="20">
      <alignment horizontal="right" vertical="bottom" indent="2"/>
    </xf>
    <xf numFmtId="0" fontId="18" fillId="3" borderId="9" applyAlignment="1" pivotButton="0" quotePrefix="0" xfId="20">
      <alignment horizontal="general" vertical="bottom"/>
    </xf>
    <xf numFmtId="0" fontId="14" fillId="3" borderId="22" applyAlignment="1" pivotButton="0" quotePrefix="0" xfId="0">
      <alignment horizontal="center" vertical="bottom"/>
    </xf>
    <xf numFmtId="3" fontId="18" fillId="3" borderId="13" applyAlignment="1" pivotButton="0" quotePrefix="0" xfId="20">
      <alignment horizontal="right" vertical="bottom"/>
    </xf>
    <xf numFmtId="3" fontId="18" fillId="3" borderId="14" applyAlignment="1" pivotButton="0" quotePrefix="0" xfId="20">
      <alignment horizontal="right" vertical="bottom"/>
    </xf>
    <xf numFmtId="167" fontId="4" fillId="0" borderId="0" applyAlignment="1" pivotButton="0" quotePrefix="0" xfId="20">
      <alignment horizontal="general" vertical="bottom" wrapText="1"/>
    </xf>
    <xf numFmtId="0" fontId="1" fillId="0" borderId="9" applyAlignment="1" pivotButton="0" quotePrefix="0" xfId="0">
      <alignment horizontal="general" vertical="bottom"/>
    </xf>
    <xf numFmtId="0" fontId="1" fillId="0" borderId="11" applyAlignment="1" pivotButton="0" quotePrefix="0" xfId="0">
      <alignment horizontal="center" vertical="bottom"/>
    </xf>
    <xf numFmtId="49" fontId="14" fillId="0" borderId="9" applyAlignment="1" pivotButton="0" quotePrefix="0" xfId="20">
      <alignment horizontal="left" vertical="bottom"/>
    </xf>
    <xf numFmtId="0" fontId="14" fillId="0" borderId="11" applyAlignment="1" pivotButton="0" quotePrefix="0" xfId="0">
      <alignment horizontal="center" vertical="bottom"/>
    </xf>
    <xf numFmtId="0" fontId="23" fillId="0" borderId="9" applyAlignment="1" pivotButton="0" quotePrefix="0" xfId="22">
      <alignment horizontal="left" vertical="bottom" wrapText="1"/>
    </xf>
    <xf numFmtId="3" fontId="4" fillId="0" borderId="0" applyAlignment="1" pivotButton="0" quotePrefix="0" xfId="20">
      <alignment horizontal="general" vertical="bottom"/>
    </xf>
    <xf numFmtId="0" fontId="14" fillId="0" borderId="11" applyAlignment="1" pivotButton="0" quotePrefix="0" xfId="20">
      <alignment horizontal="general" vertical="bottom"/>
    </xf>
    <xf numFmtId="0" fontId="14" fillId="0" borderId="12" applyAlignment="1" pivotButton="0" quotePrefix="0" xfId="20">
      <alignment horizontal="general" vertical="bottom"/>
    </xf>
    <xf numFmtId="3" fontId="12" fillId="2" borderId="23" applyAlignment="1" pivotButton="0" quotePrefix="0" xfId="20">
      <alignment horizontal="center" vertical="bottom"/>
    </xf>
    <xf numFmtId="0" fontId="13" fillId="3" borderId="9" applyAlignment="1" pivotButton="0" quotePrefix="0" xfId="20">
      <alignment horizontal="general" vertical="bottom"/>
    </xf>
    <xf numFmtId="0" fontId="18" fillId="0" borderId="9" applyAlignment="1" pivotButton="0" quotePrefix="0" xfId="20">
      <alignment horizontal="left" vertical="bottom"/>
    </xf>
    <xf numFmtId="0" fontId="1" fillId="0" borderId="10" applyAlignment="1" pivotButton="0" quotePrefix="0" xfId="20">
      <alignment horizontal="left" vertical="bottom"/>
    </xf>
    <xf numFmtId="3" fontId="16" fillId="0" borderId="11" applyAlignment="1" pivotButton="0" quotePrefix="0" xfId="20">
      <alignment horizontal="center" vertical="bottom"/>
    </xf>
    <xf numFmtId="3" fontId="16" fillId="0" borderId="12" applyAlignment="1" pivotButton="0" quotePrefix="0" xfId="20">
      <alignment horizontal="center" vertical="bottom"/>
    </xf>
    <xf numFmtId="3" fontId="14" fillId="0" borderId="13" applyAlignment="1" pivotButton="0" quotePrefix="0" xfId="20">
      <alignment horizontal="right" vertical="bottom"/>
    </xf>
    <xf numFmtId="3" fontId="14" fillId="0" borderId="14" applyAlignment="1" pivotButton="0" quotePrefix="0" xfId="20">
      <alignment horizontal="right" vertical="bottom"/>
    </xf>
    <xf numFmtId="0" fontId="1" fillId="0" borderId="0" applyAlignment="1" pivotButton="0" quotePrefix="0" xfId="0">
      <alignment horizontal="left" vertical="bottom" wrapText="1"/>
    </xf>
    <xf numFmtId="0" fontId="1" fillId="0" borderId="24" applyAlignment="1" pivotButton="0" quotePrefix="0" xfId="20">
      <alignment horizontal="left" vertical="bottom"/>
    </xf>
    <xf numFmtId="3" fontId="14" fillId="0" borderId="25" applyAlignment="1" pivotButton="0" quotePrefix="0" xfId="20">
      <alignment horizontal="right" vertical="bottom"/>
    </xf>
    <xf numFmtId="3" fontId="14" fillId="0" borderId="25" applyAlignment="1" pivotButton="0" quotePrefix="0" xfId="20">
      <alignment horizontal="right" vertical="bottom"/>
    </xf>
    <xf numFmtId="3" fontId="14" fillId="0" borderId="26" applyAlignment="1" pivotButton="0" quotePrefix="0" xfId="20">
      <alignment horizontal="right" vertical="bottom"/>
    </xf>
    <xf numFmtId="3" fontId="4" fillId="0" borderId="0" applyAlignment="1" pivotButton="0" quotePrefix="0" xfId="20">
      <alignment horizontal="general" vertical="bottom"/>
    </xf>
    <xf numFmtId="0" fontId="13" fillId="0" borderId="17" applyAlignment="1" pivotButton="0" quotePrefix="0" xfId="20">
      <alignment horizontal="left" vertical="bottom"/>
    </xf>
    <xf numFmtId="168" fontId="13" fillId="0" borderId="7" applyAlignment="1" pivotButton="0" quotePrefix="0" xfId="20">
      <alignment horizontal="left" vertical="bottom"/>
    </xf>
    <xf numFmtId="3" fontId="14" fillId="0" borderId="7" applyAlignment="1" pivotButton="0" quotePrefix="0" xfId="17">
      <alignment horizontal="general" vertical="bottom"/>
    </xf>
    <xf numFmtId="3" fontId="14" fillId="0" borderId="19" applyAlignment="1" pivotButton="0" quotePrefix="0" xfId="17">
      <alignment horizontal="general" vertical="bottom"/>
    </xf>
    <xf numFmtId="3" fontId="14" fillId="0" borderId="20" applyAlignment="1" pivotButton="0" quotePrefix="0" xfId="17">
      <alignment horizontal="general" vertical="bottom"/>
    </xf>
    <xf numFmtId="0" fontId="1" fillId="0" borderId="9" applyAlignment="1" pivotButton="0" quotePrefix="0" xfId="20">
      <alignment horizontal="left" vertical="bottom"/>
    </xf>
    <xf numFmtId="0" fontId="1" fillId="0" borderId="13" applyAlignment="1" pivotButton="0" quotePrefix="0" xfId="20">
      <alignment horizontal="left" vertical="bottom"/>
    </xf>
    <xf numFmtId="3" fontId="1" fillId="0" borderId="11" applyAlignment="1" pivotButton="0" quotePrefix="0" xfId="17">
      <alignment horizontal="general" vertical="bottom"/>
    </xf>
    <xf numFmtId="3" fontId="1" fillId="0" borderId="12" applyAlignment="1" pivotButton="0" quotePrefix="0" xfId="17">
      <alignment horizontal="general" vertical="bottom"/>
    </xf>
    <xf numFmtId="0" fontId="1" fillId="0" borderId="13" applyAlignment="1" pivotButton="0" quotePrefix="0" xfId="20">
      <alignment horizontal="left" vertical="bottom"/>
    </xf>
    <xf numFmtId="3" fontId="1" fillId="0" borderId="13" applyAlignment="1" pivotButton="0" quotePrefix="0" xfId="17">
      <alignment horizontal="general" vertical="bottom"/>
    </xf>
    <xf numFmtId="0" fontId="15" fillId="3" borderId="0" applyAlignment="1" pivotButton="0" quotePrefix="0" xfId="20">
      <alignment horizontal="left" vertical="bottom"/>
    </xf>
    <xf numFmtId="0" fontId="1" fillId="0" borderId="24" applyAlignment="1" pivotButton="0" quotePrefix="0" xfId="20">
      <alignment horizontal="left" vertical="bottom"/>
    </xf>
    <xf numFmtId="0" fontId="1" fillId="0" borderId="25" applyAlignment="1" pivotButton="0" quotePrefix="0" xfId="20">
      <alignment horizontal="left" vertical="bottom"/>
    </xf>
    <xf numFmtId="3" fontId="14" fillId="0" borderId="25" applyAlignment="1" pivotButton="0" quotePrefix="0" xfId="17">
      <alignment horizontal="general" vertical="bottom"/>
    </xf>
    <xf numFmtId="3" fontId="14" fillId="0" borderId="27" applyAlignment="1" pivotButton="0" quotePrefix="0" xfId="17">
      <alignment horizontal="general" vertical="bottom"/>
    </xf>
    <xf numFmtId="3" fontId="14" fillId="0" borderId="28" applyAlignment="1" pivotButton="0" quotePrefix="0" xfId="17">
      <alignment horizontal="general" vertical="bottom"/>
    </xf>
    <xf numFmtId="0" fontId="18" fillId="0" borderId="17" applyAlignment="1" pivotButton="0" quotePrefix="0" xfId="20">
      <alignment horizontal="general" vertical="bottom"/>
    </xf>
    <xf numFmtId="0" fontId="18" fillId="0" borderId="7" applyAlignment="1" pivotButton="0" quotePrefix="0" xfId="20">
      <alignment horizontal="general" vertical="bottom"/>
    </xf>
    <xf numFmtId="3" fontId="12" fillId="0" borderId="7" applyAlignment="1" pivotButton="0" quotePrefix="0" xfId="17">
      <alignment horizontal="general" vertical="bottom"/>
    </xf>
    <xf numFmtId="3" fontId="12" fillId="0" borderId="19" applyAlignment="1" pivotButton="0" quotePrefix="0" xfId="17">
      <alignment horizontal="general" vertical="bottom"/>
    </xf>
    <xf numFmtId="3" fontId="12" fillId="0" borderId="20" applyAlignment="1" pivotButton="0" quotePrefix="0" xfId="17">
      <alignment horizontal="general" vertical="bottom"/>
    </xf>
    <xf numFmtId="3" fontId="12" fillId="0" borderId="0" applyAlignment="1" pivotButton="0" quotePrefix="0" xfId="20">
      <alignment horizontal="general" vertical="bottom"/>
    </xf>
    <xf numFmtId="0" fontId="24" fillId="0" borderId="6" applyAlignment="1" pivotButton="0" quotePrefix="0" xfId="20">
      <alignment horizontal="general" vertical="bottom"/>
    </xf>
    <xf numFmtId="0" fontId="4" fillId="0" borderId="29" applyAlignment="1" pivotButton="0" quotePrefix="0" xfId="20">
      <alignment horizontal="general" vertical="bottom"/>
    </xf>
    <xf numFmtId="3" fontId="25" fillId="0" borderId="7" applyAlignment="1" pivotButton="0" quotePrefix="0" xfId="17">
      <alignment horizontal="general" vertical="bottom"/>
    </xf>
    <xf numFmtId="3" fontId="25" fillId="0" borderId="8" applyAlignment="1" pivotButton="0" quotePrefix="0" xfId="17">
      <alignment horizontal="general" vertical="bottom"/>
    </xf>
    <xf numFmtId="0" fontId="14" fillId="0" borderId="13" applyAlignment="1" pivotButton="0" quotePrefix="0" xfId="20">
      <alignment horizontal="general" vertical="bottom"/>
    </xf>
    <xf numFmtId="3" fontId="14" fillId="0" borderId="0" applyAlignment="1" pivotButton="0" quotePrefix="0" xfId="20">
      <alignment horizontal="general" vertical="bottom"/>
    </xf>
    <xf numFmtId="3" fontId="14" fillId="0" borderId="0" applyAlignment="1" pivotButton="0" quotePrefix="0" xfId="20">
      <alignment horizontal="general" vertical="bottom"/>
    </xf>
    <xf numFmtId="0" fontId="19" fillId="0" borderId="13" applyAlignment="1" pivotButton="0" quotePrefix="0" xfId="20">
      <alignment horizontal="general" vertical="bottom"/>
    </xf>
    <xf numFmtId="3" fontId="4" fillId="0" borderId="13" applyAlignment="1" pivotButton="0" quotePrefix="0" xfId="17">
      <alignment horizontal="general" vertical="bottom"/>
    </xf>
    <xf numFmtId="3" fontId="4" fillId="0" borderId="11" applyAlignment="1" pivotButton="0" quotePrefix="0" xfId="17">
      <alignment horizontal="general" vertical="bottom"/>
    </xf>
    <xf numFmtId="3" fontId="4" fillId="0" borderId="12" applyAlignment="1" pivotButton="0" quotePrefix="0" xfId="17">
      <alignment horizontal="general" vertical="bottom"/>
    </xf>
    <xf numFmtId="3" fontId="26" fillId="0" borderId="13" applyAlignment="1" pivotButton="0" quotePrefix="0" xfId="17">
      <alignment horizontal="general" vertical="bottom"/>
    </xf>
    <xf numFmtId="3" fontId="26" fillId="0" borderId="11" applyAlignment="1" pivotButton="0" quotePrefix="0" xfId="17">
      <alignment horizontal="general" vertical="bottom"/>
    </xf>
    <xf numFmtId="3" fontId="26" fillId="0" borderId="12" applyAlignment="1" pivotButton="0" quotePrefix="0" xfId="17">
      <alignment horizontal="general" vertical="bottom"/>
    </xf>
    <xf numFmtId="3" fontId="26" fillId="0" borderId="0" applyAlignment="1" pivotButton="0" quotePrefix="0" xfId="20">
      <alignment horizontal="general" vertical="bottom"/>
    </xf>
    <xf numFmtId="0" fontId="21" fillId="0" borderId="13" applyAlignment="1" pivotButton="0" quotePrefix="0" xfId="20">
      <alignment horizontal="general" vertical="bottom"/>
    </xf>
    <xf numFmtId="3" fontId="20" fillId="0" borderId="13" applyAlignment="1" pivotButton="0" quotePrefix="0" xfId="17">
      <alignment horizontal="general" vertical="bottom"/>
    </xf>
    <xf numFmtId="3" fontId="20" fillId="0" borderId="11" applyAlignment="1" pivotButton="0" quotePrefix="0" xfId="17">
      <alignment horizontal="general" vertical="bottom"/>
    </xf>
    <xf numFmtId="3" fontId="20" fillId="0" borderId="12" applyAlignment="1" pivotButton="0" quotePrefix="0" xfId="17">
      <alignment horizontal="general" vertical="bottom"/>
    </xf>
    <xf numFmtId="3" fontId="20" fillId="0" borderId="0" applyAlignment="1" pivotButton="0" quotePrefix="0" xfId="20">
      <alignment horizontal="general" vertical="bottom"/>
    </xf>
    <xf numFmtId="3" fontId="1" fillId="0" borderId="13" applyAlignment="1" pivotButton="0" quotePrefix="0" xfId="20">
      <alignment horizontal="right" vertical="bottom"/>
    </xf>
    <xf numFmtId="3" fontId="1" fillId="0" borderId="14" applyAlignment="1" pivotButton="0" quotePrefix="0" xfId="20">
      <alignment horizontal="right" vertical="bottom"/>
    </xf>
    <xf numFmtId="3" fontId="1" fillId="0" borderId="13" applyAlignment="1" pivotButton="0" quotePrefix="0" xfId="20">
      <alignment horizontal="right" vertical="bottom"/>
    </xf>
    <xf numFmtId="3" fontId="1" fillId="0" borderId="14" applyAlignment="1" pivotButton="0" quotePrefix="0" xfId="20">
      <alignment horizontal="right" vertical="bottom"/>
    </xf>
    <xf numFmtId="0" fontId="1" fillId="0" borderId="30" applyAlignment="1" pivotButton="0" quotePrefix="0" xfId="20">
      <alignment horizontal="left" vertical="bottom"/>
    </xf>
    <xf numFmtId="3" fontId="1" fillId="0" borderId="30" applyAlignment="1" pivotButton="0" quotePrefix="0" xfId="20">
      <alignment horizontal="right" vertical="bottom"/>
    </xf>
    <xf numFmtId="3" fontId="1" fillId="0" borderId="31" applyAlignment="1" pivotButton="0" quotePrefix="0" xfId="20">
      <alignment horizontal="right" vertical="bottom"/>
    </xf>
    <xf numFmtId="0" fontId="1" fillId="0" borderId="30" applyAlignment="1" pivotButton="0" quotePrefix="0" xfId="20">
      <alignment horizontal="left" vertical="bottom"/>
    </xf>
    <xf numFmtId="3" fontId="1" fillId="0" borderId="30" applyAlignment="1" pivotButton="0" quotePrefix="0" xfId="20">
      <alignment horizontal="right" vertical="bottom"/>
    </xf>
    <xf numFmtId="9" fontId="4" fillId="0" borderId="30" applyAlignment="1" pivotButton="0" quotePrefix="0" xfId="19">
      <alignment horizontal="right" vertical="bottom"/>
    </xf>
    <xf numFmtId="3" fontId="1" fillId="0" borderId="31" applyAlignment="1" pivotButton="0" quotePrefix="0" xfId="20">
      <alignment horizontal="right" vertical="bottom"/>
    </xf>
    <xf numFmtId="0" fontId="18" fillId="3" borderId="7" applyAlignment="1" pivotButton="0" quotePrefix="0" xfId="20">
      <alignment horizontal="left" vertical="bottom"/>
    </xf>
    <xf numFmtId="3" fontId="14" fillId="3" borderId="13" applyAlignment="1" pivotButton="0" quotePrefix="0" xfId="20">
      <alignment horizontal="right" vertical="bottom"/>
    </xf>
    <xf numFmtId="3" fontId="14" fillId="3" borderId="14" applyAlignment="1" pivotButton="0" quotePrefix="0" xfId="20">
      <alignment horizontal="right" vertical="bottom"/>
    </xf>
    <xf numFmtId="169" fontId="27" fillId="0" borderId="11" applyAlignment="1" pivotButton="0" quotePrefix="0" xfId="0">
      <alignment horizontal="general" vertical="bottom"/>
    </xf>
    <xf numFmtId="169" fontId="27" fillId="0" borderId="12" applyAlignment="1" pivotButton="0" quotePrefix="0" xfId="0">
      <alignment horizontal="general" vertical="bottom"/>
    </xf>
    <xf numFmtId="3" fontId="14" fillId="0" borderId="11" applyAlignment="1" pivotButton="0" quotePrefix="0" xfId="20">
      <alignment horizontal="right" vertical="bottom"/>
    </xf>
    <xf numFmtId="3" fontId="14" fillId="0" borderId="12" applyAlignment="1" pivotButton="0" quotePrefix="0" xfId="20">
      <alignment horizontal="right" vertical="bottom"/>
    </xf>
    <xf numFmtId="3" fontId="14" fillId="4" borderId="11" applyAlignment="1" pivotButton="0" quotePrefix="0" xfId="20">
      <alignment horizontal="right" vertical="bottom"/>
    </xf>
    <xf numFmtId="3" fontId="14" fillId="4" borderId="12" applyAlignment="1" pivotButton="0" quotePrefix="0" xfId="20">
      <alignment horizontal="right" vertical="bottom"/>
    </xf>
    <xf numFmtId="3" fontId="14" fillId="0" borderId="11" applyAlignment="1" pivotButton="0" quotePrefix="0" xfId="20">
      <alignment horizontal="right" vertical="bottom"/>
    </xf>
    <xf numFmtId="3" fontId="14" fillId="0" borderId="12" applyAlignment="1" pivotButton="0" quotePrefix="0" xfId="20">
      <alignment horizontal="right" vertical="bottom"/>
    </xf>
    <xf numFmtId="3" fontId="14" fillId="0" borderId="11" applyAlignment="1" pivotButton="0" quotePrefix="0" xfId="21">
      <alignment horizontal="general" vertical="bottom"/>
    </xf>
    <xf numFmtId="3" fontId="14" fillId="0" borderId="12" applyAlignment="1" pivotButton="0" quotePrefix="0" xfId="21">
      <alignment horizontal="general" vertical="bottom"/>
    </xf>
    <xf numFmtId="0" fontId="13" fillId="3" borderId="13" applyAlignment="1" pivotButton="0" quotePrefix="0" xfId="20">
      <alignment horizontal="general" vertical="bottom"/>
    </xf>
    <xf numFmtId="0" fontId="18" fillId="0" borderId="10" applyAlignment="1" pivotButton="0" quotePrefix="0" xfId="20">
      <alignment horizontal="left" vertical="bottom"/>
    </xf>
    <xf numFmtId="3" fontId="16" fillId="0" borderId="11" applyAlignment="1" pivotButton="0" quotePrefix="0" xfId="20">
      <alignment horizontal="center" vertical="bottom"/>
    </xf>
    <xf numFmtId="3" fontId="16" fillId="0" borderId="12" applyAlignment="1" pivotButton="0" quotePrefix="0" xfId="20">
      <alignment horizontal="center" vertical="bottom"/>
    </xf>
    <xf numFmtId="0" fontId="1" fillId="0" borderId="0" applyAlignment="1" pivotButton="0" quotePrefix="0" xfId="0">
      <alignment horizontal="left" vertical="bottom"/>
    </xf>
    <xf numFmtId="0" fontId="1" fillId="0" borderId="25" applyAlignment="1" pivotButton="0" quotePrefix="0" xfId="20">
      <alignment horizontal="left" vertical="bottom"/>
    </xf>
    <xf numFmtId="3" fontId="12" fillId="0" borderId="0" applyAlignment="1" pivotButton="0" quotePrefix="0" xfId="20">
      <alignment horizontal="general" vertical="bottom"/>
    </xf>
    <xf numFmtId="0" fontId="13" fillId="0" borderId="7" applyAlignment="1" pivotButton="0" quotePrefix="0" xfId="20">
      <alignment horizontal="left" vertical="bottom"/>
    </xf>
    <xf numFmtId="3" fontId="4" fillId="0" borderId="0" applyAlignment="1" pivotButton="0" quotePrefix="0" xfId="20">
      <alignment horizontal="general" vertical="bottom"/>
    </xf>
    <xf numFmtId="3" fontId="15" fillId="3" borderId="14" applyAlignment="1" pivotButton="0" quotePrefix="0" xfId="20">
      <alignment horizontal="right" vertical="bottom"/>
    </xf>
    <xf numFmtId="0" fontId="24" fillId="0" borderId="9" applyAlignment="1" pivotButton="0" quotePrefix="0" xfId="20">
      <alignment horizontal="general" vertical="bottom"/>
    </xf>
    <xf numFmtId="0" fontId="24" fillId="0" borderId="13" applyAlignment="1" pivotButton="0" quotePrefix="0" xfId="20">
      <alignment horizontal="general" vertical="bottom"/>
    </xf>
    <xf numFmtId="4" fontId="4" fillId="0" borderId="0" applyAlignment="1" pivotButton="0" quotePrefix="0" xfId="20">
      <alignment horizontal="general" vertical="bottom"/>
    </xf>
    <xf numFmtId="4" fontId="4" fillId="0" borderId="16" applyAlignment="1" pivotButton="0" quotePrefix="0" xfId="20">
      <alignment horizontal="general" vertical="bottom"/>
    </xf>
    <xf numFmtId="3" fontId="26" fillId="0" borderId="11" applyAlignment="1" pivotButton="0" quotePrefix="0" xfId="20">
      <alignment horizontal="general" vertical="bottom"/>
    </xf>
    <xf numFmtId="3" fontId="26" fillId="0" borderId="12" applyAlignment="1" pivotButton="0" quotePrefix="0" xfId="20">
      <alignment horizontal="general" vertical="bottom"/>
    </xf>
    <xf numFmtId="0" fontId="1" fillId="0" borderId="9" applyAlignment="1" pivotButton="0" quotePrefix="0" xfId="0">
      <alignment horizontal="left" vertical="bottom"/>
    </xf>
    <xf numFmtId="0" fontId="18" fillId="0" borderId="13" applyAlignment="1" pivotButton="0" quotePrefix="0" xfId="20">
      <alignment horizontal="left" vertical="bottom"/>
    </xf>
    <xf numFmtId="3" fontId="1" fillId="0" borderId="11" applyAlignment="1" pivotButton="0" quotePrefix="0" xfId="17">
      <alignment horizontal="right" vertical="bottom"/>
    </xf>
    <xf numFmtId="3" fontId="1" fillId="0" borderId="12" applyAlignment="1" pivotButton="0" quotePrefix="0" xfId="17">
      <alignment horizontal="right" vertical="bottom"/>
    </xf>
    <xf numFmtId="0" fontId="1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3" fontId="4" fillId="0" borderId="0" applyAlignment="1" pivotButton="0" quotePrefix="0" xfId="20">
      <alignment horizontal="general" vertical="bottom"/>
    </xf>
    <xf numFmtId="3" fontId="4" fillId="0" borderId="0" applyAlignment="1" pivotButton="0" quotePrefix="0" xfId="20">
      <alignment horizontal="general" vertical="bottom" wrapText="1"/>
    </xf>
    <xf numFmtId="3" fontId="12" fillId="0" borderId="1" applyAlignment="1" pivotButton="0" quotePrefix="0" xfId="20">
      <alignment horizontal="left" vertical="bottom"/>
    </xf>
    <xf numFmtId="3" fontId="12" fillId="0" borderId="2" applyAlignment="1" pivotButton="0" quotePrefix="0" xfId="20">
      <alignment horizontal="left" vertical="bottom"/>
    </xf>
    <xf numFmtId="0" fontId="12" fillId="0" borderId="3" applyAlignment="1" pivotButton="0" quotePrefix="0" xfId="0">
      <alignment horizontal="center" vertical="bottom" wrapText="1"/>
    </xf>
    <xf numFmtId="0" fontId="12" fillId="0" borderId="4" applyAlignment="1" pivotButton="0" quotePrefix="0" xfId="0">
      <alignment horizontal="center" vertical="bottom" wrapText="1"/>
    </xf>
    <xf numFmtId="3" fontId="12" fillId="2" borderId="5" applyAlignment="1" pivotButton="0" quotePrefix="0" xfId="20">
      <alignment horizontal="center" vertical="bottom"/>
    </xf>
    <xf numFmtId="0" fontId="0" fillId="0" borderId="34" pivotButton="0" quotePrefix="0" xfId="0"/>
    <xf numFmtId="0" fontId="0" fillId="0" borderId="35" pivotButton="0" quotePrefix="0" xfId="0"/>
    <xf numFmtId="0" fontId="13" fillId="0" borderId="6" applyAlignment="1" pivotButton="0" quotePrefix="0" xfId="20">
      <alignment horizontal="left" vertical="bottom"/>
    </xf>
    <xf numFmtId="3" fontId="14" fillId="0" borderId="7" applyAlignment="1" pivotButton="0" quotePrefix="0" xfId="20">
      <alignment horizontal="right" vertical="bottom"/>
    </xf>
    <xf numFmtId="3" fontId="14" fillId="0" borderId="8" applyAlignment="1" pivotButton="0" quotePrefix="0" xfId="20">
      <alignment horizontal="right" vertical="bottom"/>
    </xf>
    <xf numFmtId="0" fontId="15" fillId="3" borderId="9" applyAlignment="1" pivotButton="0" quotePrefix="0" xfId="20">
      <alignment horizontal="left" vertical="bottom"/>
    </xf>
    <xf numFmtId="0" fontId="15" fillId="3" borderId="10" applyAlignment="1" pivotButton="0" quotePrefix="0" xfId="20">
      <alignment horizontal="left" vertical="bottom"/>
    </xf>
    <xf numFmtId="3" fontId="16" fillId="3" borderId="11" applyAlignment="1" pivotButton="0" quotePrefix="0" xfId="20">
      <alignment horizontal="center" vertical="bottom"/>
    </xf>
    <xf numFmtId="3" fontId="16" fillId="3" borderId="12" applyAlignment="1" pivotButton="0" quotePrefix="0" xfId="20">
      <alignment horizontal="center" vertical="bottom"/>
    </xf>
    <xf numFmtId="3" fontId="17" fillId="0" borderId="0" applyAlignment="1" pivotButton="0" quotePrefix="0" xfId="20">
      <alignment horizontal="general" vertical="bottom" wrapText="1"/>
    </xf>
    <xf numFmtId="0" fontId="1" fillId="0" borderId="9" applyAlignment="1" pivotButton="0" quotePrefix="0" xfId="20">
      <alignment horizontal="left" vertical="bottom"/>
    </xf>
    <xf numFmtId="3" fontId="14" fillId="0" borderId="13" applyAlignment="1" pivotButton="0" quotePrefix="0" xfId="20">
      <alignment horizontal="right" vertical="bottom"/>
    </xf>
    <xf numFmtId="3" fontId="14" fillId="0" borderId="14" applyAlignment="1" pivotButton="0" quotePrefix="0" xfId="20">
      <alignment horizontal="right" vertical="bottom"/>
    </xf>
    <xf numFmtId="0" fontId="15" fillId="3" borderId="15" applyAlignment="1" pivotButton="0" quotePrefix="0" xfId="20">
      <alignment horizontal="left" vertical="bottom"/>
    </xf>
    <xf numFmtId="3" fontId="15" fillId="3" borderId="0" applyAlignment="1" pivotButton="0" quotePrefix="0" xfId="20">
      <alignment horizontal="right" vertical="bottom"/>
    </xf>
    <xf numFmtId="3" fontId="15" fillId="3" borderId="16" applyAlignment="1" pivotButton="0" quotePrefix="0" xfId="20">
      <alignment horizontal="right" vertical="bottom"/>
    </xf>
    <xf numFmtId="3" fontId="14" fillId="0" borderId="13" applyAlignment="1" pivotButton="0" quotePrefix="0" xfId="17">
      <alignment horizontal="general" vertical="bottom"/>
    </xf>
    <xf numFmtId="3" fontId="14" fillId="0" borderId="11" applyAlignment="1" pivotButton="0" quotePrefix="0" xfId="17">
      <alignment horizontal="general" vertical="bottom"/>
    </xf>
    <xf numFmtId="3" fontId="14" fillId="0" borderId="12" applyAlignment="1" pivotButton="0" quotePrefix="0" xfId="17">
      <alignment horizontal="general" vertical="bottom"/>
    </xf>
    <xf numFmtId="3" fontId="15" fillId="3" borderId="10" applyAlignment="1" pivotButton="0" quotePrefix="0" xfId="20">
      <alignment horizontal="right" vertical="bottom"/>
    </xf>
    <xf numFmtId="0" fontId="18" fillId="3" borderId="17" applyAlignment="1" pivotButton="0" quotePrefix="0" xfId="20">
      <alignment horizontal="general" vertical="bottom"/>
    </xf>
    <xf numFmtId="3" fontId="18" fillId="3" borderId="7" applyAlignment="1" pivotButton="0" quotePrefix="0" xfId="20">
      <alignment horizontal="right" vertical="bottom"/>
    </xf>
    <xf numFmtId="3" fontId="18" fillId="3" borderId="8" applyAlignment="1" pivotButton="0" quotePrefix="0" xfId="20">
      <alignment horizontal="right" vertical="bottom"/>
    </xf>
    <xf numFmtId="165" fontId="4" fillId="0" borderId="0" applyAlignment="1" pivotButton="0" quotePrefix="0" xfId="19">
      <alignment horizontal="general" vertical="bottom" wrapText="1"/>
    </xf>
    <xf numFmtId="0" fontId="4" fillId="0" borderId="15" applyAlignment="1" pivotButton="0" quotePrefix="0" xfId="20">
      <alignment horizontal="general" vertical="bottom"/>
    </xf>
    <xf numFmtId="0" fontId="14" fillId="0" borderId="9" applyAlignment="1" pivotButton="0" quotePrefix="0" xfId="20">
      <alignment horizontal="general" vertical="bottom"/>
    </xf>
    <xf numFmtId="0" fontId="19" fillId="0" borderId="9" applyAlignment="1" pivotButton="0" quotePrefix="0" xfId="20">
      <alignment horizontal="general" vertical="bottom"/>
    </xf>
    <xf numFmtId="3" fontId="20" fillId="0" borderId="0" applyAlignment="1" pivotButton="0" quotePrefix="0" xfId="20">
      <alignment horizontal="general" vertical="bottom" wrapText="1"/>
    </xf>
    <xf numFmtId="0" fontId="21" fillId="0" borderId="9" applyAlignment="1" pivotButton="0" quotePrefix="0" xfId="20">
      <alignment horizontal="general" vertical="bottom"/>
    </xf>
    <xf numFmtId="0" fontId="13" fillId="3" borderId="18" applyAlignment="1" pivotButton="0" quotePrefix="0" xfId="20">
      <alignment horizontal="left" vertical="bottom"/>
    </xf>
    <xf numFmtId="0" fontId="13" fillId="3" borderId="0" applyAlignment="1" pivotButton="0" quotePrefix="0" xfId="20">
      <alignment horizontal="left" vertical="bottom"/>
    </xf>
    <xf numFmtId="3" fontId="4" fillId="3" borderId="19" applyAlignment="1" pivotButton="0" quotePrefix="0" xfId="20">
      <alignment horizontal="general" vertical="bottom"/>
    </xf>
    <xf numFmtId="3" fontId="4" fillId="3" borderId="20" applyAlignment="1" pivotButton="0" quotePrefix="0" xfId="20">
      <alignment horizontal="general" vertical="bottom"/>
    </xf>
    <xf numFmtId="0" fontId="1" fillId="0" borderId="9" applyAlignment="1" pivotButton="0" quotePrefix="0" xfId="0">
      <alignment horizontal="left" vertical="bottom"/>
    </xf>
    <xf numFmtId="0" fontId="18" fillId="3" borderId="6" applyAlignment="1" pivotButton="0" quotePrefix="0" xfId="20">
      <alignment horizontal="left" vertical="bottom"/>
    </xf>
    <xf numFmtId="0" fontId="18" fillId="3" borderId="21" applyAlignment="1" pivotButton="0" quotePrefix="0" xfId="20">
      <alignment horizontal="left" vertical="bottom"/>
    </xf>
    <xf numFmtId="3" fontId="22" fillId="3" borderId="7" applyAlignment="1" pivotButton="0" quotePrefix="0" xfId="20">
      <alignment horizontal="center" vertical="bottom"/>
    </xf>
    <xf numFmtId="3" fontId="22" fillId="3" borderId="19" applyAlignment="1" pivotButton="0" quotePrefix="0" xfId="20">
      <alignment horizontal="center" vertical="bottom"/>
    </xf>
    <xf numFmtId="3" fontId="22" fillId="3" borderId="20" applyAlignment="1" pivotButton="0" quotePrefix="0" xfId="20">
      <alignment horizontal="center" vertical="bottom"/>
    </xf>
    <xf numFmtId="0" fontId="14" fillId="0" borderId="9" applyAlignment="1" pivotButton="0" quotePrefix="0" xfId="20">
      <alignment horizontal="left" vertical="bottom"/>
    </xf>
    <xf numFmtId="0" fontId="14" fillId="0" borderId="11" applyAlignment="1" pivotButton="0" quotePrefix="0" xfId="0">
      <alignment horizontal="center" vertical="bottom"/>
    </xf>
    <xf numFmtId="0" fontId="14" fillId="0" borderId="9" applyAlignment="1" pivotButton="0" quotePrefix="0" xfId="20">
      <alignment horizontal="left" vertical="bottom" indent="2"/>
    </xf>
    <xf numFmtId="166" fontId="14" fillId="0" borderId="11" applyAlignment="1" pivotButton="0" quotePrefix="0" xfId="15">
      <alignment horizontal="center" vertical="bottom"/>
    </xf>
    <xf numFmtId="3" fontId="14" fillId="0" borderId="13" applyAlignment="1" pivotButton="0" quotePrefix="0" xfId="20">
      <alignment horizontal="right" vertical="bottom" indent="2"/>
    </xf>
    <xf numFmtId="3" fontId="14" fillId="0" borderId="14" applyAlignment="1" pivotButton="0" quotePrefix="0" xfId="20">
      <alignment horizontal="right" vertical="bottom" indent="2"/>
    </xf>
    <xf numFmtId="0" fontId="18" fillId="3" borderId="9" applyAlignment="1" pivotButton="0" quotePrefix="0" xfId="20">
      <alignment horizontal="general" vertical="bottom"/>
    </xf>
    <xf numFmtId="0" fontId="14" fillId="3" borderId="22" applyAlignment="1" pivotButton="0" quotePrefix="0" xfId="0">
      <alignment horizontal="center" vertical="bottom"/>
    </xf>
    <xf numFmtId="3" fontId="18" fillId="3" borderId="13" applyAlignment="1" pivotButton="0" quotePrefix="0" xfId="20">
      <alignment horizontal="right" vertical="bottom"/>
    </xf>
    <xf numFmtId="3" fontId="18" fillId="3" borderId="14" applyAlignment="1" pivotButton="0" quotePrefix="0" xfId="20">
      <alignment horizontal="right" vertical="bottom"/>
    </xf>
    <xf numFmtId="167" fontId="4" fillId="0" borderId="0" applyAlignment="1" pivotButton="0" quotePrefix="0" xfId="20">
      <alignment horizontal="general" vertical="bottom" wrapText="1"/>
    </xf>
    <xf numFmtId="0" fontId="1" fillId="0" borderId="9" applyAlignment="1" pivotButton="0" quotePrefix="0" xfId="0">
      <alignment horizontal="general" vertical="bottom"/>
    </xf>
    <xf numFmtId="0" fontId="1" fillId="0" borderId="11" applyAlignment="1" pivotButton="0" quotePrefix="0" xfId="0">
      <alignment horizontal="center" vertical="bottom"/>
    </xf>
    <xf numFmtId="49" fontId="14" fillId="0" borderId="9" applyAlignment="1" pivotButton="0" quotePrefix="0" xfId="20">
      <alignment horizontal="left" vertical="bottom"/>
    </xf>
    <xf numFmtId="0" fontId="23" fillId="0" borderId="9" applyAlignment="1" pivotButton="0" quotePrefix="0" xfId="22">
      <alignment horizontal="left" vertical="bottom" wrapText="1"/>
    </xf>
    <xf numFmtId="0" fontId="14" fillId="0" borderId="11" applyAlignment="1" pivotButton="0" quotePrefix="0" xfId="20">
      <alignment horizontal="general" vertical="bottom"/>
    </xf>
    <xf numFmtId="0" fontId="14" fillId="0" borderId="12" applyAlignment="1" pivotButton="0" quotePrefix="0" xfId="20">
      <alignment horizontal="general" vertical="bottom"/>
    </xf>
    <xf numFmtId="3" fontId="12" fillId="2" borderId="23" applyAlignment="1" pivotButton="0" quotePrefix="0" xfId="20">
      <alignment horizontal="center" vertical="bottom"/>
    </xf>
    <xf numFmtId="0" fontId="0" fillId="0" borderId="16" pivotButton="0" quotePrefix="0" xfId="0"/>
    <xf numFmtId="0" fontId="13" fillId="3" borderId="9" applyAlignment="1" pivotButton="0" quotePrefix="0" xfId="20">
      <alignment horizontal="general" vertical="bottom"/>
    </xf>
    <xf numFmtId="0" fontId="18" fillId="0" borderId="9" applyAlignment="1" pivotButton="0" quotePrefix="0" xfId="20">
      <alignment horizontal="left" vertical="bottom"/>
    </xf>
    <xf numFmtId="0" fontId="1" fillId="0" borderId="10" applyAlignment="1" pivotButton="0" quotePrefix="0" xfId="20">
      <alignment horizontal="left" vertical="bottom"/>
    </xf>
    <xf numFmtId="3" fontId="16" fillId="0" borderId="11" applyAlignment="1" pivotButton="0" quotePrefix="0" xfId="20">
      <alignment horizontal="center" vertical="bottom"/>
    </xf>
    <xf numFmtId="3" fontId="16" fillId="0" borderId="12" applyAlignment="1" pivotButton="0" quotePrefix="0" xfId="20">
      <alignment horizontal="center" vertical="bottom"/>
    </xf>
    <xf numFmtId="0" fontId="1" fillId="0" borderId="0" applyAlignment="1" pivotButton="0" quotePrefix="0" xfId="0">
      <alignment horizontal="left" vertical="bottom" wrapText="1"/>
    </xf>
    <xf numFmtId="0" fontId="1" fillId="0" borderId="24" applyAlignment="1" pivotButton="0" quotePrefix="0" xfId="20">
      <alignment horizontal="left" vertical="bottom"/>
    </xf>
    <xf numFmtId="3" fontId="14" fillId="0" borderId="25" applyAlignment="1" pivotButton="0" quotePrefix="0" xfId="20">
      <alignment horizontal="right" vertical="bottom"/>
    </xf>
    <xf numFmtId="3" fontId="14" fillId="0" borderId="26" applyAlignment="1" pivotButton="0" quotePrefix="0" xfId="20">
      <alignment horizontal="right" vertical="bottom"/>
    </xf>
    <xf numFmtId="0" fontId="13" fillId="0" borderId="17" applyAlignment="1" pivotButton="0" quotePrefix="0" xfId="20">
      <alignment horizontal="left" vertical="bottom"/>
    </xf>
    <xf numFmtId="168" fontId="13" fillId="0" borderId="7" applyAlignment="1" pivotButton="0" quotePrefix="0" xfId="20">
      <alignment horizontal="left" vertical="bottom"/>
    </xf>
    <xf numFmtId="3" fontId="14" fillId="0" borderId="7" applyAlignment="1" pivotButton="0" quotePrefix="0" xfId="17">
      <alignment horizontal="general" vertical="bottom"/>
    </xf>
    <xf numFmtId="3" fontId="14" fillId="0" borderId="19" applyAlignment="1" pivotButton="0" quotePrefix="0" xfId="17">
      <alignment horizontal="general" vertical="bottom"/>
    </xf>
    <xf numFmtId="3" fontId="14" fillId="0" borderId="20" applyAlignment="1" pivotButton="0" quotePrefix="0" xfId="17">
      <alignment horizontal="general" vertical="bottom"/>
    </xf>
    <xf numFmtId="0" fontId="1" fillId="0" borderId="13" applyAlignment="1" pivotButton="0" quotePrefix="0" xfId="20">
      <alignment horizontal="left" vertical="bottom"/>
    </xf>
    <xf numFmtId="3" fontId="1" fillId="0" borderId="11" applyAlignment="1" pivotButton="0" quotePrefix="0" xfId="17">
      <alignment horizontal="general" vertical="bottom"/>
    </xf>
    <xf numFmtId="3" fontId="1" fillId="0" borderId="12" applyAlignment="1" pivotButton="0" quotePrefix="0" xfId="17">
      <alignment horizontal="general" vertical="bottom"/>
    </xf>
    <xf numFmtId="3" fontId="1" fillId="0" borderId="13" applyAlignment="1" pivotButton="0" quotePrefix="0" xfId="17">
      <alignment horizontal="general" vertical="bottom"/>
    </xf>
    <xf numFmtId="0" fontId="15" fillId="3" borderId="0" applyAlignment="1" pivotButton="0" quotePrefix="0" xfId="20">
      <alignment horizontal="left" vertical="bottom"/>
    </xf>
    <xf numFmtId="0" fontId="1" fillId="0" borderId="25" applyAlignment="1" pivotButton="0" quotePrefix="0" xfId="20">
      <alignment horizontal="left" vertical="bottom"/>
    </xf>
    <xf numFmtId="3" fontId="14" fillId="0" borderId="25" applyAlignment="1" pivotButton="0" quotePrefix="0" xfId="17">
      <alignment horizontal="general" vertical="bottom"/>
    </xf>
    <xf numFmtId="3" fontId="14" fillId="0" borderId="27" applyAlignment="1" pivotButton="0" quotePrefix="0" xfId="17">
      <alignment horizontal="general" vertical="bottom"/>
    </xf>
    <xf numFmtId="3" fontId="14" fillId="0" borderId="28" applyAlignment="1" pivotButton="0" quotePrefix="0" xfId="17">
      <alignment horizontal="general" vertical="bottom"/>
    </xf>
    <xf numFmtId="0" fontId="18" fillId="0" borderId="17" applyAlignment="1" pivotButton="0" quotePrefix="0" xfId="20">
      <alignment horizontal="general" vertical="bottom"/>
    </xf>
    <xf numFmtId="0" fontId="18" fillId="0" borderId="7" applyAlignment="1" pivotButton="0" quotePrefix="0" xfId="20">
      <alignment horizontal="general" vertical="bottom"/>
    </xf>
    <xf numFmtId="3" fontId="12" fillId="0" borderId="7" applyAlignment="1" pivotButton="0" quotePrefix="0" xfId="17">
      <alignment horizontal="general" vertical="bottom"/>
    </xf>
    <xf numFmtId="3" fontId="12" fillId="0" borderId="19" applyAlignment="1" pivotButton="0" quotePrefix="0" xfId="17">
      <alignment horizontal="general" vertical="bottom"/>
    </xf>
    <xf numFmtId="3" fontId="12" fillId="0" borderId="20" applyAlignment="1" pivotButton="0" quotePrefix="0" xfId="17">
      <alignment horizontal="general" vertical="bottom"/>
    </xf>
    <xf numFmtId="3" fontId="12" fillId="0" borderId="0" applyAlignment="1" pivotButton="0" quotePrefix="0" xfId="20">
      <alignment horizontal="general" vertical="bottom"/>
    </xf>
    <xf numFmtId="0" fontId="24" fillId="0" borderId="6" applyAlignment="1" pivotButton="0" quotePrefix="0" xfId="20">
      <alignment horizontal="general" vertical="bottom"/>
    </xf>
    <xf numFmtId="0" fontId="4" fillId="0" borderId="29" applyAlignment="1" pivotButton="0" quotePrefix="0" xfId="20">
      <alignment horizontal="general" vertical="bottom"/>
    </xf>
    <xf numFmtId="3" fontId="25" fillId="0" borderId="7" applyAlignment="1" pivotButton="0" quotePrefix="0" xfId="17">
      <alignment horizontal="general" vertical="bottom"/>
    </xf>
    <xf numFmtId="3" fontId="25" fillId="0" borderId="8" applyAlignment="1" pivotButton="0" quotePrefix="0" xfId="17">
      <alignment horizontal="general" vertical="bottom"/>
    </xf>
    <xf numFmtId="0" fontId="14" fillId="0" borderId="13" applyAlignment="1" pivotButton="0" quotePrefix="0" xfId="20">
      <alignment horizontal="general" vertical="bottom"/>
    </xf>
    <xf numFmtId="3" fontId="14" fillId="0" borderId="0" applyAlignment="1" pivotButton="0" quotePrefix="0" xfId="20">
      <alignment horizontal="general" vertical="bottom"/>
    </xf>
    <xf numFmtId="0" fontId="19" fillId="0" borderId="13" applyAlignment="1" pivotButton="0" quotePrefix="0" xfId="20">
      <alignment horizontal="general" vertical="bottom"/>
    </xf>
    <xf numFmtId="3" fontId="4" fillId="0" borderId="13" applyAlignment="1" pivotButton="0" quotePrefix="0" xfId="17">
      <alignment horizontal="general" vertical="bottom"/>
    </xf>
    <xf numFmtId="3" fontId="4" fillId="0" borderId="11" applyAlignment="1" pivotButton="0" quotePrefix="0" xfId="17">
      <alignment horizontal="general" vertical="bottom"/>
    </xf>
    <xf numFmtId="3" fontId="4" fillId="0" borderId="12" applyAlignment="1" pivotButton="0" quotePrefix="0" xfId="17">
      <alignment horizontal="general" vertical="bottom"/>
    </xf>
    <xf numFmtId="3" fontId="26" fillId="0" borderId="13" applyAlignment="1" pivotButton="0" quotePrefix="0" xfId="17">
      <alignment horizontal="general" vertical="bottom"/>
    </xf>
    <xf numFmtId="3" fontId="26" fillId="0" borderId="11" applyAlignment="1" pivotButton="0" quotePrefix="0" xfId="17">
      <alignment horizontal="general" vertical="bottom"/>
    </xf>
    <xf numFmtId="3" fontId="26" fillId="0" borderId="12" applyAlignment="1" pivotButton="0" quotePrefix="0" xfId="17">
      <alignment horizontal="general" vertical="bottom"/>
    </xf>
    <xf numFmtId="3" fontId="26" fillId="0" borderId="0" applyAlignment="1" pivotButton="0" quotePrefix="0" xfId="20">
      <alignment horizontal="general" vertical="bottom"/>
    </xf>
    <xf numFmtId="0" fontId="21" fillId="0" borderId="13" applyAlignment="1" pivotButton="0" quotePrefix="0" xfId="20">
      <alignment horizontal="general" vertical="bottom"/>
    </xf>
    <xf numFmtId="3" fontId="20" fillId="0" borderId="13" applyAlignment="1" pivotButton="0" quotePrefix="0" xfId="17">
      <alignment horizontal="general" vertical="bottom"/>
    </xf>
    <xf numFmtId="3" fontId="20" fillId="0" borderId="11" applyAlignment="1" pivotButton="0" quotePrefix="0" xfId="17">
      <alignment horizontal="general" vertical="bottom"/>
    </xf>
    <xf numFmtId="3" fontId="20" fillId="0" borderId="12" applyAlignment="1" pivotButton="0" quotePrefix="0" xfId="17">
      <alignment horizontal="general" vertical="bottom"/>
    </xf>
    <xf numFmtId="3" fontId="20" fillId="0" borderId="0" applyAlignment="1" pivotButton="0" quotePrefix="0" xfId="20">
      <alignment horizontal="general" vertical="bottom"/>
    </xf>
    <xf numFmtId="3" fontId="1" fillId="0" borderId="13" applyAlignment="1" pivotButton="0" quotePrefix="0" xfId="20">
      <alignment horizontal="right" vertical="bottom"/>
    </xf>
    <xf numFmtId="3" fontId="1" fillId="0" borderId="14" applyAlignment="1" pivotButton="0" quotePrefix="0" xfId="20">
      <alignment horizontal="right" vertical="bottom"/>
    </xf>
    <xf numFmtId="0" fontId="1" fillId="0" borderId="30" applyAlignment="1" pivotButton="0" quotePrefix="0" xfId="20">
      <alignment horizontal="left" vertical="bottom"/>
    </xf>
    <xf numFmtId="3" fontId="1" fillId="0" borderId="30" applyAlignment="1" pivotButton="0" quotePrefix="0" xfId="20">
      <alignment horizontal="right" vertical="bottom"/>
    </xf>
    <xf numFmtId="3" fontId="1" fillId="0" borderId="31" applyAlignment="1" pivotButton="0" quotePrefix="0" xfId="20">
      <alignment horizontal="right" vertical="bottom"/>
    </xf>
    <xf numFmtId="9" fontId="4" fillId="0" borderId="30" applyAlignment="1" pivotButton="0" quotePrefix="0" xfId="19">
      <alignment horizontal="right" vertical="bottom"/>
    </xf>
    <xf numFmtId="0" fontId="18" fillId="3" borderId="7" applyAlignment="1" pivotButton="0" quotePrefix="0" xfId="20">
      <alignment horizontal="left" vertical="bottom"/>
    </xf>
    <xf numFmtId="3" fontId="14" fillId="3" borderId="13" applyAlignment="1" pivotButton="0" quotePrefix="0" xfId="20">
      <alignment horizontal="right" vertical="bottom"/>
    </xf>
    <xf numFmtId="3" fontId="14" fillId="3" borderId="14" applyAlignment="1" pivotButton="0" quotePrefix="0" xfId="20">
      <alignment horizontal="right" vertical="bottom"/>
    </xf>
    <xf numFmtId="169" fontId="27" fillId="0" borderId="11" applyAlignment="1" pivotButton="0" quotePrefix="0" xfId="0">
      <alignment horizontal="general" vertical="bottom"/>
    </xf>
    <xf numFmtId="169" fontId="27" fillId="0" borderId="12" applyAlignment="1" pivotButton="0" quotePrefix="0" xfId="0">
      <alignment horizontal="general" vertical="bottom"/>
    </xf>
    <xf numFmtId="3" fontId="14" fillId="0" borderId="11" applyAlignment="1" pivotButton="0" quotePrefix="0" xfId="20">
      <alignment horizontal="right" vertical="bottom"/>
    </xf>
    <xf numFmtId="3" fontId="14" fillId="0" borderId="12" applyAlignment="1" pivotButton="0" quotePrefix="0" xfId="20">
      <alignment horizontal="right" vertical="bottom"/>
    </xf>
    <xf numFmtId="3" fontId="14" fillId="4" borderId="11" applyAlignment="1" pivotButton="0" quotePrefix="0" xfId="20">
      <alignment horizontal="right" vertical="bottom"/>
    </xf>
    <xf numFmtId="3" fontId="14" fillId="4" borderId="12" applyAlignment="1" pivotButton="0" quotePrefix="0" xfId="20">
      <alignment horizontal="right" vertical="bottom"/>
    </xf>
    <xf numFmtId="3" fontId="14" fillId="0" borderId="11" applyAlignment="1" pivotButton="0" quotePrefix="0" xfId="21">
      <alignment horizontal="general" vertical="bottom"/>
    </xf>
    <xf numFmtId="3" fontId="14" fillId="0" borderId="12" applyAlignment="1" pivotButton="0" quotePrefix="0" xfId="21">
      <alignment horizontal="general" vertical="bottom"/>
    </xf>
    <xf numFmtId="0" fontId="13" fillId="3" borderId="13" applyAlignment="1" pivotButton="0" quotePrefix="0" xfId="20">
      <alignment horizontal="general" vertical="bottom"/>
    </xf>
    <xf numFmtId="0" fontId="18" fillId="0" borderId="10" applyAlignment="1" pivotButton="0" quotePrefix="0" xfId="20">
      <alignment horizontal="left" vertical="bottom"/>
    </xf>
    <xf numFmtId="0" fontId="1" fillId="0" borderId="0" applyAlignment="1" pivotButton="0" quotePrefix="0" xfId="0">
      <alignment horizontal="left" vertical="bottom"/>
    </xf>
    <xf numFmtId="0" fontId="13" fillId="0" borderId="7" applyAlignment="1" pivotButton="0" quotePrefix="0" xfId="20">
      <alignment horizontal="left" vertical="bottom"/>
    </xf>
    <xf numFmtId="3" fontId="15" fillId="3" borderId="14" applyAlignment="1" pivotButton="0" quotePrefix="0" xfId="20">
      <alignment horizontal="right" vertical="bottom"/>
    </xf>
    <xf numFmtId="0" fontId="24" fillId="0" borderId="9" applyAlignment="1" pivotButton="0" quotePrefix="0" xfId="20">
      <alignment horizontal="general" vertical="bottom"/>
    </xf>
    <xf numFmtId="0" fontId="24" fillId="0" borderId="13" applyAlignment="1" pivotButton="0" quotePrefix="0" xfId="20">
      <alignment horizontal="general" vertical="bottom"/>
    </xf>
    <xf numFmtId="4" fontId="4" fillId="0" borderId="0" applyAlignment="1" pivotButton="0" quotePrefix="0" xfId="20">
      <alignment horizontal="general" vertical="bottom"/>
    </xf>
    <xf numFmtId="4" fontId="4" fillId="0" borderId="16" applyAlignment="1" pivotButton="0" quotePrefix="0" xfId="20">
      <alignment horizontal="general" vertical="bottom"/>
    </xf>
    <xf numFmtId="3" fontId="26" fillId="0" borderId="11" applyAlignment="1" pivotButton="0" quotePrefix="0" xfId="20">
      <alignment horizontal="general" vertical="bottom"/>
    </xf>
    <xf numFmtId="3" fontId="26" fillId="0" borderId="12" applyAlignment="1" pivotButton="0" quotePrefix="0" xfId="20">
      <alignment horizontal="general" vertical="bottom"/>
    </xf>
    <xf numFmtId="0" fontId="18" fillId="0" borderId="13" applyAlignment="1" pivotButton="0" quotePrefix="0" xfId="20">
      <alignment horizontal="left" vertical="bottom"/>
    </xf>
    <xf numFmtId="3" fontId="1" fillId="0" borderId="11" applyAlignment="1" pivotButton="0" quotePrefix="0" xfId="17">
      <alignment horizontal="right" vertical="bottom"/>
    </xf>
    <xf numFmtId="3" fontId="1" fillId="0" borderId="12" applyAlignment="1" pivotButton="0" quotePrefix="0" xfId="17">
      <alignment horizontal="right" vertical="bottom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_ING RFP Attachment 4-A Supplier Pricing Forms 20050506" xfId="6"/>
    <cellStyle name="Normal_nieuwe abonnemten fixed tabbladen 271105" xfId="7"/>
    <cellStyle name="Normal_Query2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103320</colOff>
      <row>0</row>
      <rowOff>99000</rowOff>
    </from>
    <to>
      <col>1</col>
      <colOff>472680</colOff>
      <row>2</row>
      <rowOff>61200</rowOff>
    </to>
    <pic>
      <nvPicPr>
        <cNvPr id="0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3320" y="99000"/>
          <a:ext cx="1007640" cy="297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44.32" customWidth="1" style="176" min="2" max="2"/>
    <col width="19.87" customWidth="1" style="176" min="3" max="3"/>
  </cols>
  <sheetData>
    <row r="1"/>
    <row r="2"/>
    <row r="3"/>
    <row r="4"/>
    <row r="5"/>
    <row r="6"/>
    <row r="7"/>
    <row r="8"/>
    <row r="9"/>
    <row r="10" ht="13.2" customHeight="1" s="177">
      <c r="C10" s="178" t="n"/>
    </row>
    <row r="11" ht="20.4" customHeight="1" s="177">
      <c r="C11" s="179" t="inlineStr">
        <is>
          <t>EuroBank</t>
        </is>
      </c>
    </row>
    <row r="12"/>
    <row r="13" ht="20.4" customHeight="1" s="177">
      <c r="C13" s="179" t="n"/>
    </row>
    <row r="14" ht="20.4" customHeight="1" s="177">
      <c r="C14" s="179" t="n"/>
    </row>
    <row r="15" ht="20.4" customHeight="1" s="177">
      <c r="C15" s="179" t="n"/>
    </row>
    <row r="16" ht="20.4" customHeight="1" s="177">
      <c r="C16" s="179" t="inlineStr">
        <is>
          <t>ATTACHMENT 4-D</t>
        </is>
      </c>
    </row>
    <row r="17" ht="20.4" customHeight="1" s="177">
      <c r="B17" s="180" t="n"/>
      <c r="C17" s="181" t="n"/>
    </row>
    <row r="18" ht="20.4" customHeight="1" s="177">
      <c r="C18" s="179" t="inlineStr">
        <is>
          <t>RESOURCE BASELINES</t>
        </is>
      </c>
    </row>
    <row r="19" ht="20.4" customHeight="1" s="177">
      <c r="C19" s="179" t="inlineStr">
        <is>
          <t>Attachment to Exhibit 4 (Pricing and Financial Provisions)</t>
        </is>
      </c>
    </row>
    <row r="20" ht="20.4" customHeight="1" s="177">
      <c r="C20" s="179" t="n"/>
    </row>
    <row r="21"/>
    <row r="22" ht="22.8" customHeight="1" s="177">
      <c r="C22" s="182" t="n"/>
    </row>
    <row r="23" ht="26.25" customHeight="1" s="177">
      <c r="C23" s="183" t="n"/>
    </row>
  </sheetData>
  <printOptions horizontalCentered="1" verticalCentered="0" headings="0" gridLines="0" gridLinesSet="1"/>
  <pageMargins left="0.9840277777777779" right="0.9840277777777779" top="0.236111111111111" bottom="0.45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 4-D&amp;R&amp;"Times New Roman,Regular"&amp;8 &amp;Kffffff 5 Dec 2006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20"/>
  <sheetViews>
    <sheetView showFormulas="0" showGridLines="0" showRowColHeaders="1" showZeros="1" rightToLeft="0" tabSelected="0" showOutlineSymbols="1" defaultGridColor="1" view="normal" topLeftCell="B1" colorId="64" zoomScale="70" zoomScaleNormal="70" zoomScalePageLayoutView="100" workbookViewId="0">
      <pane xSplit="0" ySplit="2" topLeftCell="BM30" activePane="bottomLeft" state="frozen"/>
      <selection pane="topLeft" activeCell="B1" activeCellId="0" sqref="B1"/>
      <selection pane="bottomLeft" activeCell="C56" activeCellId="0" sqref="C56"/>
    </sheetView>
  </sheetViews>
  <sheetFormatPr baseColWidth="8" defaultColWidth="9.328125" defaultRowHeight="13.2" customHeight="1" zeroHeight="0" outlineLevelRow="0"/>
  <cols>
    <col width="48.66" customWidth="1" style="184" min="1" max="1"/>
    <col width="13.43" customWidth="1" style="184" min="2" max="7"/>
    <col width="13.99" customWidth="1" style="184" min="8" max="8"/>
    <col width="41.32" customWidth="1" style="185" min="9" max="9"/>
    <col width="19.99" customWidth="1" style="184" min="10" max="10"/>
    <col width="9.33" customWidth="1" style="184" min="11" max="257"/>
  </cols>
  <sheetData>
    <row r="1" ht="36.75" customHeight="1" s="177">
      <c r="A1" s="186" t="inlineStr">
        <is>
          <t>TOTAL RESOURCE BASELINE</t>
        </is>
      </c>
      <c r="B1" s="187" t="inlineStr">
        <is>
          <t>Resource Units</t>
        </is>
      </c>
      <c r="C1" s="188" t="n"/>
      <c r="D1" s="188" t="inlineStr">
        <is>
          <t>Year 1 Annual Avg.</t>
        </is>
      </c>
      <c r="E1" s="188" t="inlineStr">
        <is>
          <t>Year 2 Annual Avg.</t>
        </is>
      </c>
      <c r="F1" s="188" t="inlineStr">
        <is>
          <t>Year 3 Annual Avg.</t>
        </is>
      </c>
      <c r="G1" s="188" t="inlineStr">
        <is>
          <t>Year 4 Annual Avg.</t>
        </is>
      </c>
      <c r="H1" s="189" t="inlineStr">
        <is>
          <t>Year 5 Annual Avg.</t>
        </is>
      </c>
    </row>
    <row r="2" ht="13.8" customHeight="1" s="177">
      <c r="A2" s="190" t="inlineStr">
        <is>
          <t>EUC</t>
        </is>
      </c>
      <c r="B2" s="191" t="n"/>
      <c r="C2" s="191" t="n"/>
      <c r="D2" s="191" t="n"/>
      <c r="E2" s="191" t="n"/>
      <c r="F2" s="191" t="n"/>
      <c r="G2" s="191" t="n"/>
      <c r="H2" s="192" t="n"/>
      <c r="I2" s="185" t="n"/>
    </row>
    <row r="3" ht="13.2" customHeight="1" s="177">
      <c r="A3" s="193" t="inlineStr">
        <is>
          <t>Support Services</t>
        </is>
      </c>
      <c r="B3" s="194" t="n"/>
      <c r="C3" s="194" t="n"/>
      <c r="D3" s="194" t="n"/>
      <c r="E3" s="194" t="n"/>
      <c r="F3" s="194" t="n"/>
      <c r="G3" s="194" t="n"/>
      <c r="H3" s="195" t="n"/>
    </row>
    <row r="4" ht="55.8" customHeight="1" s="177">
      <c r="A4" s="196" t="inlineStr">
        <is>
          <t xml:space="preserve">Medium Service Level </t>
        </is>
      </c>
      <c r="B4" s="197" t="n"/>
      <c r="C4" s="198" t="n"/>
      <c r="D4" s="198" t="n"/>
      <c r="E4" s="198" t="n"/>
      <c r="F4" s="198" t="n"/>
      <c r="G4" s="198" t="n"/>
      <c r="H4" s="199" t="n"/>
      <c r="I4" s="200" t="inlineStr">
        <is>
          <t>250 Named Users and 2000 Field Agents located in NL and BE, as defined in Exhibit 3 are included in the Resource Baseline and therefore in the Base Charges.</t>
        </is>
      </c>
    </row>
    <row r="5" ht="13.2" customHeight="1" s="177">
      <c r="A5" s="201" t="inlineStr">
        <is>
          <t>Standard Desktops</t>
        </is>
      </c>
      <c r="B5" s="202" t="n"/>
      <c r="C5" s="202" t="n"/>
      <c r="D5" s="202">
        <f>SUM('NL Resource Baseline Units:BE Resource Baseline Units'!D5)</f>
        <v/>
      </c>
      <c r="E5" s="202">
        <f>SUM('NL Resource Baseline Units:BE Resource Baseline Units'!E5)</f>
        <v/>
      </c>
      <c r="F5" s="202">
        <f>SUM('NL Resource Baseline Units:BE Resource Baseline Units'!F5)</f>
        <v/>
      </c>
      <c r="G5" s="202">
        <f>SUM('NL Resource Baseline Units:BE Resource Baseline Units'!G5)</f>
        <v/>
      </c>
      <c r="H5" s="203">
        <f>SUM('NL Resource Baseline Units:BE Resource Baseline Units'!H5)</f>
        <v/>
      </c>
    </row>
    <row r="6" ht="13.2" customHeight="1" s="177">
      <c r="A6" s="201" t="inlineStr">
        <is>
          <t>Non-Standard Desktops</t>
        </is>
      </c>
      <c r="B6" s="202" t="n"/>
      <c r="C6" s="202" t="n"/>
      <c r="D6" s="202">
        <f>SUM('NL Resource Baseline Units:BE Resource Baseline Units'!D6)</f>
        <v/>
      </c>
      <c r="E6" s="202">
        <f>SUM('NL Resource Baseline Units:BE Resource Baseline Units'!E6)</f>
        <v/>
      </c>
      <c r="F6" s="202">
        <f>SUM('NL Resource Baseline Units:BE Resource Baseline Units'!F6)</f>
        <v/>
      </c>
      <c r="G6" s="202">
        <f>SUM('NL Resource Baseline Units:BE Resource Baseline Units'!G6)</f>
        <v/>
      </c>
      <c r="H6" s="203">
        <f>SUM('NL Resource Baseline Units:BE Resource Baseline Units'!H6)</f>
        <v/>
      </c>
    </row>
    <row r="7" ht="13.2" customHeight="1" s="177">
      <c r="A7" s="201" t="inlineStr">
        <is>
          <t>Standard Laptops</t>
        </is>
      </c>
      <c r="B7" s="202" t="n"/>
      <c r="C7" s="202" t="n"/>
      <c r="D7" s="202">
        <f>SUM('NL Resource Baseline Units:BE Resource Baseline Units'!D7)</f>
        <v/>
      </c>
      <c r="E7" s="202">
        <f>SUM('NL Resource Baseline Units:BE Resource Baseline Units'!E7)</f>
        <v/>
      </c>
      <c r="F7" s="202">
        <f>SUM('NL Resource Baseline Units:BE Resource Baseline Units'!F7)</f>
        <v/>
      </c>
      <c r="G7" s="202">
        <f>SUM('NL Resource Baseline Units:BE Resource Baseline Units'!G7)</f>
        <v/>
      </c>
      <c r="H7" s="203">
        <f>SUM('NL Resource Baseline Units:BE Resource Baseline Units'!H7)</f>
        <v/>
      </c>
    </row>
    <row r="8" ht="13.2" customHeight="1" s="177">
      <c r="A8" s="201" t="inlineStr">
        <is>
          <t>Non-Standard Laptops</t>
        </is>
      </c>
      <c r="B8" s="202" t="n"/>
      <c r="C8" s="202" t="n"/>
      <c r="D8" s="202">
        <f>SUM('NL Resource Baseline Units:BE Resource Baseline Units'!D8)</f>
        <v/>
      </c>
      <c r="E8" s="202">
        <f>SUM('NL Resource Baseline Units:BE Resource Baseline Units'!E8)</f>
        <v/>
      </c>
      <c r="F8" s="202">
        <f>SUM('NL Resource Baseline Units:BE Resource Baseline Units'!F8)</f>
        <v/>
      </c>
      <c r="G8" s="202">
        <f>SUM('NL Resource Baseline Units:BE Resource Baseline Units'!G8)</f>
        <v/>
      </c>
      <c r="H8" s="203">
        <f>SUM('NL Resource Baseline Units:BE Resource Baseline Units'!H8)</f>
        <v/>
      </c>
    </row>
    <row r="9" ht="13.2" customHeight="1" s="177">
      <c r="A9" s="201" t="inlineStr">
        <is>
          <t>Standard Local Printers</t>
        </is>
      </c>
      <c r="B9" s="202" t="n"/>
      <c r="C9" s="202" t="n"/>
      <c r="D9" s="202">
        <f>SUM('NL Resource Baseline Units:BE Resource Baseline Units'!D9)</f>
        <v/>
      </c>
      <c r="E9" s="202">
        <f>SUM('NL Resource Baseline Units:BE Resource Baseline Units'!E9)</f>
        <v/>
      </c>
      <c r="F9" s="202">
        <f>SUM('NL Resource Baseline Units:BE Resource Baseline Units'!F9)</f>
        <v/>
      </c>
      <c r="G9" s="202">
        <f>SUM('NL Resource Baseline Units:BE Resource Baseline Units'!G9)</f>
        <v/>
      </c>
      <c r="H9" s="203">
        <f>SUM('NL Resource Baseline Units:BE Resource Baseline Units'!H9)</f>
        <v/>
      </c>
    </row>
    <row r="10" ht="13.2" customHeight="1" s="177">
      <c r="A10" s="201" t="inlineStr">
        <is>
          <t>Non-Standard Local Printers</t>
        </is>
      </c>
      <c r="B10" s="202" t="n"/>
      <c r="C10" s="202" t="n"/>
      <c r="D10" s="202">
        <f>SUM('NL Resource Baseline Units:BE Resource Baseline Units'!D10)</f>
        <v/>
      </c>
      <c r="E10" s="202">
        <f>SUM('NL Resource Baseline Units:BE Resource Baseline Units'!E10)</f>
        <v/>
      </c>
      <c r="F10" s="202">
        <f>SUM('NL Resource Baseline Units:BE Resource Baseline Units'!F10)</f>
        <v/>
      </c>
      <c r="G10" s="202">
        <f>SUM('NL Resource Baseline Units:BE Resource Baseline Units'!G10)</f>
        <v/>
      </c>
      <c r="H10" s="203">
        <f>SUM('NL Resource Baseline Units:BE Resource Baseline Units'!H10)</f>
        <v/>
      </c>
    </row>
    <row r="11" ht="13.2" customHeight="1" s="177">
      <c r="A11" s="201" t="inlineStr">
        <is>
          <t>Standard Network Printers</t>
        </is>
      </c>
      <c r="B11" s="202" t="n"/>
      <c r="C11" s="202" t="n"/>
      <c r="D11" s="202">
        <f>SUM('NL Resource Baseline Units:BE Resource Baseline Units'!D11)</f>
        <v/>
      </c>
      <c r="E11" s="202">
        <f>SUM('NL Resource Baseline Units:BE Resource Baseline Units'!E11)</f>
        <v/>
      </c>
      <c r="F11" s="202">
        <f>SUM('NL Resource Baseline Units:BE Resource Baseline Units'!F11)</f>
        <v/>
      </c>
      <c r="G11" s="202">
        <f>SUM('NL Resource Baseline Units:BE Resource Baseline Units'!G11)</f>
        <v/>
      </c>
      <c r="H11" s="203">
        <f>SUM('NL Resource Baseline Units:BE Resource Baseline Units'!H11)</f>
        <v/>
      </c>
    </row>
    <row r="12" ht="13.2" customHeight="1" s="177">
      <c r="A12" s="201" t="inlineStr">
        <is>
          <t>Non-Standard Network Printers</t>
        </is>
      </c>
      <c r="B12" s="202" t="n"/>
      <c r="C12" s="202" t="n"/>
      <c r="D12" s="202">
        <f>SUM('NL Resource Baseline Units:BE Resource Baseline Units'!D12)</f>
        <v/>
      </c>
      <c r="E12" s="202">
        <f>SUM('NL Resource Baseline Units:BE Resource Baseline Units'!E12)</f>
        <v/>
      </c>
      <c r="F12" s="202">
        <f>SUM('NL Resource Baseline Units:BE Resource Baseline Units'!F12)</f>
        <v/>
      </c>
      <c r="G12" s="202">
        <f>SUM('NL Resource Baseline Units:BE Resource Baseline Units'!G12)</f>
        <v/>
      </c>
      <c r="H12" s="203">
        <f>SUM('NL Resource Baseline Units:BE Resource Baseline Units'!H12)</f>
        <v/>
      </c>
    </row>
    <row r="13" ht="13.2" customHeight="1" s="177">
      <c r="A13" s="201" t="inlineStr">
        <is>
          <t xml:space="preserve">Other Peripherals </t>
        </is>
      </c>
      <c r="B13" s="202" t="n"/>
      <c r="C13" s="202" t="n"/>
      <c r="D13" s="202">
        <f>SUM('NL Resource Baseline Units:BE Resource Baseline Units'!D13)</f>
        <v/>
      </c>
      <c r="E13" s="202">
        <f>SUM('NL Resource Baseline Units:BE Resource Baseline Units'!E13)</f>
        <v/>
      </c>
      <c r="F13" s="202">
        <f>SUM('NL Resource Baseline Units:BE Resource Baseline Units'!F13)</f>
        <v/>
      </c>
      <c r="G13" s="202">
        <f>SUM('NL Resource Baseline Units:BE Resource Baseline Units'!G13)</f>
        <v/>
      </c>
      <c r="H13" s="203">
        <f>SUM('NL Resource Baseline Units:BE Resource Baseline Units'!H13)</f>
        <v/>
      </c>
    </row>
    <row r="14" ht="13.2" customHeight="1" s="177">
      <c r="A14" s="201" t="n"/>
      <c r="B14" s="202" t="n"/>
      <c r="C14" s="202" t="n"/>
      <c r="D14" s="202">
        <f>SUM('NL Resource Baseline Units:BE Resource Baseline Units'!D14)</f>
        <v/>
      </c>
      <c r="E14" s="202">
        <f>SUM('NL Resource Baseline Units:BE Resource Baseline Units'!E14)</f>
        <v/>
      </c>
      <c r="F14" s="202">
        <f>SUM('NL Resource Baseline Units:BE Resource Baseline Units'!F14)</f>
        <v/>
      </c>
      <c r="G14" s="202">
        <f>SUM('NL Resource Baseline Units:BE Resource Baseline Units'!G14)</f>
        <v/>
      </c>
      <c r="H14" s="203">
        <f>SUM('NL Resource Baseline Units:BE Resource Baseline Units'!H14)</f>
        <v/>
      </c>
    </row>
    <row r="15" ht="13.2" customHeight="1" s="177">
      <c r="A15" s="201" t="inlineStr">
        <is>
          <t>Installations</t>
        </is>
      </c>
      <c r="B15" s="202" t="n"/>
      <c r="C15" s="202" t="n"/>
      <c r="D15" s="202">
        <f>SUM('NL Resource Baseline Units:BE Resource Baseline Units'!D15)</f>
        <v/>
      </c>
      <c r="E15" s="202">
        <f>SUM('NL Resource Baseline Units:BE Resource Baseline Units'!E15)</f>
        <v/>
      </c>
      <c r="F15" s="202">
        <f>SUM('NL Resource Baseline Units:BE Resource Baseline Units'!F15)</f>
        <v/>
      </c>
      <c r="G15" s="202">
        <f>SUM('NL Resource Baseline Units:BE Resource Baseline Units'!G15)</f>
        <v/>
      </c>
      <c r="H15" s="203">
        <f>SUM('NL Resource Baseline Units:BE Resource Baseline Units'!H15)</f>
        <v/>
      </c>
    </row>
    <row r="16" ht="13.2" customHeight="1" s="177">
      <c r="A16" s="201" t="inlineStr">
        <is>
          <t>Moves</t>
        </is>
      </c>
      <c r="B16" s="202" t="n"/>
      <c r="C16" s="202" t="n"/>
      <c r="D16" s="202">
        <f>SUM('NL Resource Baseline Units:BE Resource Baseline Units'!D16)</f>
        <v/>
      </c>
      <c r="E16" s="202">
        <f>SUM('NL Resource Baseline Units:BE Resource Baseline Units'!E16)</f>
        <v/>
      </c>
      <c r="F16" s="202">
        <f>SUM('NL Resource Baseline Units:BE Resource Baseline Units'!F16)</f>
        <v/>
      </c>
      <c r="G16" s="202">
        <f>SUM('NL Resource Baseline Units:BE Resource Baseline Units'!G16)</f>
        <v/>
      </c>
      <c r="H16" s="203">
        <f>SUM('NL Resource Baseline Units:BE Resource Baseline Units'!H16)</f>
        <v/>
      </c>
    </row>
    <row r="17" ht="13.2" customHeight="1" s="177">
      <c r="A17" s="201" t="inlineStr">
        <is>
          <t>Adds</t>
        </is>
      </c>
      <c r="B17" s="202" t="n"/>
      <c r="C17" s="202" t="n"/>
      <c r="D17" s="202">
        <f>SUM('NL Resource Baseline Units:BE Resource Baseline Units'!D17)</f>
        <v/>
      </c>
      <c r="E17" s="202">
        <f>SUM('NL Resource Baseline Units:BE Resource Baseline Units'!E17)</f>
        <v/>
      </c>
      <c r="F17" s="202">
        <f>SUM('NL Resource Baseline Units:BE Resource Baseline Units'!F17)</f>
        <v/>
      </c>
      <c r="G17" s="202">
        <f>SUM('NL Resource Baseline Units:BE Resource Baseline Units'!G17)</f>
        <v/>
      </c>
      <c r="H17" s="203">
        <f>SUM('NL Resource Baseline Units:BE Resource Baseline Units'!H17)</f>
        <v/>
      </c>
    </row>
    <row r="18" ht="13.2" customHeight="1" s="177">
      <c r="A18" s="201" t="inlineStr">
        <is>
          <t xml:space="preserve">Changes </t>
        </is>
      </c>
      <c r="B18" s="202" t="n"/>
      <c r="C18" s="202" t="n"/>
      <c r="D18" s="202">
        <f>SUM('NL Resource Baseline Units:BE Resource Baseline Units'!D18)</f>
        <v/>
      </c>
      <c r="E18" s="202">
        <f>SUM('NL Resource Baseline Units:BE Resource Baseline Units'!E18)</f>
        <v/>
      </c>
      <c r="F18" s="202">
        <f>SUM('NL Resource Baseline Units:BE Resource Baseline Units'!F18)</f>
        <v/>
      </c>
      <c r="G18" s="202">
        <f>SUM('NL Resource Baseline Units:BE Resource Baseline Units'!G18)</f>
        <v/>
      </c>
      <c r="H18" s="203">
        <f>SUM('NL Resource Baseline Units:BE Resource Baseline Units'!H18)</f>
        <v/>
      </c>
    </row>
    <row r="19" ht="13.2" customHeight="1" s="177">
      <c r="A19" s="204" t="inlineStr">
        <is>
          <t>Low Service Level</t>
        </is>
      </c>
      <c r="B19" s="205" t="n"/>
      <c r="C19" s="205" t="n"/>
      <c r="D19" s="205" t="n"/>
      <c r="E19" s="205" t="n"/>
      <c r="F19" s="205" t="n"/>
      <c r="G19" s="205" t="n"/>
      <c r="H19" s="206" t="n"/>
    </row>
    <row r="20" ht="13.2" customHeight="1" s="177">
      <c r="A20" s="201" t="inlineStr">
        <is>
          <t>Standard Desktops</t>
        </is>
      </c>
      <c r="B20" s="202" t="n"/>
      <c r="C20" s="202" t="n"/>
      <c r="D20" s="202">
        <f>SUM('NL Resource Baseline Units:BE Resource Baseline Units'!D20)</f>
        <v/>
      </c>
      <c r="E20" s="202">
        <f>SUM('NL Resource Baseline Units:BE Resource Baseline Units'!E20)</f>
        <v/>
      </c>
      <c r="F20" s="202">
        <f>SUM('NL Resource Baseline Units:BE Resource Baseline Units'!F20)</f>
        <v/>
      </c>
      <c r="G20" s="202">
        <f>SUM('NL Resource Baseline Units:BE Resource Baseline Units'!G20)</f>
        <v/>
      </c>
      <c r="H20" s="203">
        <f>SUM('NL Resource Baseline Units:BE Resource Baseline Units'!H20)</f>
        <v/>
      </c>
    </row>
    <row r="21" ht="13.2" customHeight="1" s="177">
      <c r="A21" s="201" t="inlineStr">
        <is>
          <t>Non-Standard Desktops</t>
        </is>
      </c>
      <c r="B21" s="202" t="n"/>
      <c r="C21" s="202" t="n"/>
      <c r="D21" s="202">
        <f>SUM('NL Resource Baseline Units:BE Resource Baseline Units'!D21)</f>
        <v/>
      </c>
      <c r="E21" s="202">
        <f>SUM('NL Resource Baseline Units:BE Resource Baseline Units'!E21)</f>
        <v/>
      </c>
      <c r="F21" s="202">
        <f>SUM('NL Resource Baseline Units:BE Resource Baseline Units'!F21)</f>
        <v/>
      </c>
      <c r="G21" s="202">
        <f>SUM('NL Resource Baseline Units:BE Resource Baseline Units'!G21)</f>
        <v/>
      </c>
      <c r="H21" s="203">
        <f>SUM('NL Resource Baseline Units:BE Resource Baseline Units'!H21)</f>
        <v/>
      </c>
    </row>
    <row r="22" ht="13.2" customHeight="1" s="177">
      <c r="A22" s="201" t="inlineStr">
        <is>
          <t>Standard Laptops</t>
        </is>
      </c>
      <c r="B22" s="202" t="n"/>
      <c r="C22" s="202" t="n"/>
      <c r="D22" s="202">
        <f>SUM('NL Resource Baseline Units:BE Resource Baseline Units'!D22)</f>
        <v/>
      </c>
      <c r="E22" s="202">
        <f>SUM('NL Resource Baseline Units:BE Resource Baseline Units'!E22)</f>
        <v/>
      </c>
      <c r="F22" s="202">
        <f>SUM('NL Resource Baseline Units:BE Resource Baseline Units'!F22)</f>
        <v/>
      </c>
      <c r="G22" s="202">
        <f>SUM('NL Resource Baseline Units:BE Resource Baseline Units'!G22)</f>
        <v/>
      </c>
      <c r="H22" s="203">
        <f>SUM('NL Resource Baseline Units:BE Resource Baseline Units'!H22)</f>
        <v/>
      </c>
    </row>
    <row r="23" ht="13.2" customHeight="1" s="177">
      <c r="A23" s="201" t="inlineStr">
        <is>
          <t>Non-Standard Laptops</t>
        </is>
      </c>
      <c r="B23" s="202" t="n"/>
      <c r="C23" s="202" t="n"/>
      <c r="D23" s="202">
        <f>SUM('NL Resource Baseline Units:BE Resource Baseline Units'!D23)</f>
        <v/>
      </c>
      <c r="E23" s="202">
        <f>SUM('NL Resource Baseline Units:BE Resource Baseline Units'!E23)</f>
        <v/>
      </c>
      <c r="F23" s="202">
        <f>SUM('NL Resource Baseline Units:BE Resource Baseline Units'!F23)</f>
        <v/>
      </c>
      <c r="G23" s="202">
        <f>SUM('NL Resource Baseline Units:BE Resource Baseline Units'!G23)</f>
        <v/>
      </c>
      <c r="H23" s="203">
        <f>SUM('NL Resource Baseline Units:BE Resource Baseline Units'!H23)</f>
        <v/>
      </c>
    </row>
    <row r="24" ht="13.2" customHeight="1" s="177">
      <c r="A24" s="201" t="inlineStr">
        <is>
          <t>Standard Local Printers</t>
        </is>
      </c>
      <c r="B24" s="202" t="n"/>
      <c r="C24" s="202" t="n"/>
      <c r="D24" s="202">
        <f>SUM('NL Resource Baseline Units:BE Resource Baseline Units'!D24)</f>
        <v/>
      </c>
      <c r="E24" s="202">
        <f>SUM('NL Resource Baseline Units:BE Resource Baseline Units'!E24)</f>
        <v/>
      </c>
      <c r="F24" s="202">
        <f>SUM('NL Resource Baseline Units:BE Resource Baseline Units'!F24)</f>
        <v/>
      </c>
      <c r="G24" s="202">
        <f>SUM('NL Resource Baseline Units:BE Resource Baseline Units'!G24)</f>
        <v/>
      </c>
      <c r="H24" s="203">
        <f>SUM('NL Resource Baseline Units:BE Resource Baseline Units'!H24)</f>
        <v/>
      </c>
    </row>
    <row r="25" ht="13.2" customHeight="1" s="177">
      <c r="A25" s="201" t="inlineStr">
        <is>
          <t>Non-Standard Local Printers</t>
        </is>
      </c>
      <c r="B25" s="202" t="n"/>
      <c r="C25" s="202" t="n"/>
      <c r="D25" s="202">
        <f>SUM('NL Resource Baseline Units:BE Resource Baseline Units'!D25)</f>
        <v/>
      </c>
      <c r="E25" s="202">
        <f>SUM('NL Resource Baseline Units:BE Resource Baseline Units'!E25)</f>
        <v/>
      </c>
      <c r="F25" s="202">
        <f>SUM('NL Resource Baseline Units:BE Resource Baseline Units'!F25)</f>
        <v/>
      </c>
      <c r="G25" s="202">
        <f>SUM('NL Resource Baseline Units:BE Resource Baseline Units'!G25)</f>
        <v/>
      </c>
      <c r="H25" s="203">
        <f>SUM('NL Resource Baseline Units:BE Resource Baseline Units'!H25)</f>
        <v/>
      </c>
    </row>
    <row r="26" ht="13.2" customHeight="1" s="177">
      <c r="A26" s="201" t="inlineStr">
        <is>
          <t>Standard Network Printers</t>
        </is>
      </c>
      <c r="B26" s="202" t="n"/>
      <c r="C26" s="202" t="n"/>
      <c r="D26" s="202">
        <f>SUM('NL Resource Baseline Units:BE Resource Baseline Units'!D26)</f>
        <v/>
      </c>
      <c r="E26" s="202">
        <f>SUM('NL Resource Baseline Units:BE Resource Baseline Units'!E26)</f>
        <v/>
      </c>
      <c r="F26" s="202">
        <f>SUM('NL Resource Baseline Units:BE Resource Baseline Units'!F26)</f>
        <v/>
      </c>
      <c r="G26" s="202">
        <f>SUM('NL Resource Baseline Units:BE Resource Baseline Units'!G26)</f>
        <v/>
      </c>
      <c r="H26" s="203">
        <f>SUM('NL Resource Baseline Units:BE Resource Baseline Units'!H26)</f>
        <v/>
      </c>
    </row>
    <row r="27" ht="13.2" customHeight="1" s="177">
      <c r="A27" s="201" t="inlineStr">
        <is>
          <t>Non-Standard Network Printers</t>
        </is>
      </c>
      <c r="B27" s="202" t="n"/>
      <c r="C27" s="202" t="n"/>
      <c r="D27" s="202">
        <f>SUM('NL Resource Baseline Units:BE Resource Baseline Units'!D27)</f>
        <v/>
      </c>
      <c r="E27" s="202">
        <f>SUM('NL Resource Baseline Units:BE Resource Baseline Units'!E27)</f>
        <v/>
      </c>
      <c r="F27" s="202">
        <f>SUM('NL Resource Baseline Units:BE Resource Baseline Units'!F27)</f>
        <v/>
      </c>
      <c r="G27" s="202">
        <f>SUM('NL Resource Baseline Units:BE Resource Baseline Units'!G27)</f>
        <v/>
      </c>
      <c r="H27" s="203">
        <f>SUM('NL Resource Baseline Units:BE Resource Baseline Units'!H27)</f>
        <v/>
      </c>
    </row>
    <row r="28" ht="13.2" customHeight="1" s="177">
      <c r="A28" s="201" t="inlineStr">
        <is>
          <t>Other Peripherals</t>
        </is>
      </c>
      <c r="B28" s="202" t="n"/>
      <c r="C28" s="202" t="n"/>
      <c r="D28" s="202">
        <f>SUM('NL Resource Baseline Units:BE Resource Baseline Units'!D28)</f>
        <v/>
      </c>
      <c r="E28" s="202">
        <f>SUM('NL Resource Baseline Units:BE Resource Baseline Units'!E28)</f>
        <v/>
      </c>
      <c r="F28" s="202">
        <f>SUM('NL Resource Baseline Units:BE Resource Baseline Units'!F28)</f>
        <v/>
      </c>
      <c r="G28" s="202">
        <f>SUM('NL Resource Baseline Units:BE Resource Baseline Units'!G28)</f>
        <v/>
      </c>
      <c r="H28" s="203">
        <f>SUM('NL Resource Baseline Units:BE Resource Baseline Units'!H28)</f>
        <v/>
      </c>
    </row>
    <row r="29" ht="13.2" customHeight="1" s="177">
      <c r="A29" s="201" t="n"/>
      <c r="B29" s="202" t="n"/>
      <c r="C29" s="202" t="n"/>
      <c r="D29" s="202">
        <f>SUM('NL Resource Baseline Units:BE Resource Baseline Units'!D29)</f>
        <v/>
      </c>
      <c r="E29" s="202">
        <f>SUM('NL Resource Baseline Units:BE Resource Baseline Units'!E29)</f>
        <v/>
      </c>
      <c r="F29" s="202">
        <f>SUM('NL Resource Baseline Units:BE Resource Baseline Units'!F29)</f>
        <v/>
      </c>
      <c r="G29" s="202">
        <f>SUM('NL Resource Baseline Units:BE Resource Baseline Units'!G29)</f>
        <v/>
      </c>
      <c r="H29" s="203">
        <f>SUM('NL Resource Baseline Units:BE Resource Baseline Units'!H29)</f>
        <v/>
      </c>
    </row>
    <row r="30" ht="13.2" customHeight="1" s="177">
      <c r="A30" s="201" t="inlineStr">
        <is>
          <t>Installations</t>
        </is>
      </c>
      <c r="B30" s="202" t="n"/>
      <c r="C30" s="202" t="n"/>
      <c r="D30" s="202">
        <f>SUM('NL Resource Baseline Units:BE Resource Baseline Units'!D30)</f>
        <v/>
      </c>
      <c r="E30" s="202">
        <f>SUM('NL Resource Baseline Units:BE Resource Baseline Units'!E30)</f>
        <v/>
      </c>
      <c r="F30" s="202">
        <f>SUM('NL Resource Baseline Units:BE Resource Baseline Units'!F30)</f>
        <v/>
      </c>
      <c r="G30" s="202">
        <f>SUM('NL Resource Baseline Units:BE Resource Baseline Units'!G30)</f>
        <v/>
      </c>
      <c r="H30" s="203">
        <f>SUM('NL Resource Baseline Units:BE Resource Baseline Units'!H30)</f>
        <v/>
      </c>
    </row>
    <row r="31" ht="13.2" customHeight="1" s="177">
      <c r="A31" s="201" t="inlineStr">
        <is>
          <t>Moves</t>
        </is>
      </c>
      <c r="B31" s="202" t="n"/>
      <c r="C31" s="202" t="n"/>
      <c r="D31" s="202">
        <f>SUM('NL Resource Baseline Units:BE Resource Baseline Units'!D31)</f>
        <v/>
      </c>
      <c r="E31" s="202">
        <f>SUM('NL Resource Baseline Units:BE Resource Baseline Units'!E31)</f>
        <v/>
      </c>
      <c r="F31" s="202">
        <f>SUM('NL Resource Baseline Units:BE Resource Baseline Units'!F31)</f>
        <v/>
      </c>
      <c r="G31" s="202">
        <f>SUM('NL Resource Baseline Units:BE Resource Baseline Units'!G31)</f>
        <v/>
      </c>
      <c r="H31" s="203">
        <f>SUM('NL Resource Baseline Units:BE Resource Baseline Units'!H31)</f>
        <v/>
      </c>
    </row>
    <row r="32" ht="13.2" customHeight="1" s="177">
      <c r="A32" s="201" t="inlineStr">
        <is>
          <t>Adds</t>
        </is>
      </c>
      <c r="B32" s="202" t="n"/>
      <c r="C32" s="202" t="n"/>
      <c r="D32" s="202">
        <f>SUM('NL Resource Baseline Units:BE Resource Baseline Units'!D32)</f>
        <v/>
      </c>
      <c r="E32" s="202">
        <f>SUM('NL Resource Baseline Units:BE Resource Baseline Units'!E32)</f>
        <v/>
      </c>
      <c r="F32" s="202">
        <f>SUM('NL Resource Baseline Units:BE Resource Baseline Units'!F32)</f>
        <v/>
      </c>
      <c r="G32" s="202">
        <f>SUM('NL Resource Baseline Units:BE Resource Baseline Units'!G32)</f>
        <v/>
      </c>
      <c r="H32" s="203">
        <f>SUM('NL Resource Baseline Units:BE Resource Baseline Units'!H32)</f>
        <v/>
      </c>
    </row>
    <row r="33" ht="13.2" customHeight="1" s="177">
      <c r="A33" s="201" t="inlineStr">
        <is>
          <t>Changes</t>
        </is>
      </c>
      <c r="B33" s="202" t="n"/>
      <c r="C33" s="202" t="n"/>
      <c r="D33" s="202">
        <f>SUM('NL Resource Baseline Units:BE Resource Baseline Units'!D33)</f>
        <v/>
      </c>
      <c r="E33" s="202">
        <f>SUM('NL Resource Baseline Units:BE Resource Baseline Units'!E33)</f>
        <v/>
      </c>
      <c r="F33" s="202">
        <f>SUM('NL Resource Baseline Units:BE Resource Baseline Units'!F33)</f>
        <v/>
      </c>
      <c r="G33" s="202">
        <f>SUM('NL Resource Baseline Units:BE Resource Baseline Units'!G33)</f>
        <v/>
      </c>
      <c r="H33" s="203">
        <f>SUM('NL Resource Baseline Units:BE Resource Baseline Units'!H33)</f>
        <v/>
      </c>
    </row>
    <row r="34" ht="13.2" customHeight="1" s="177">
      <c r="A34" s="201" t="n"/>
      <c r="B34" s="207" t="n"/>
      <c r="C34" s="208" t="n"/>
      <c r="D34" s="208" t="n"/>
      <c r="E34" s="208" t="n"/>
      <c r="F34" s="208" t="n"/>
      <c r="G34" s="208" t="n"/>
      <c r="H34" s="209" t="n"/>
    </row>
    <row r="35" ht="13.8" customHeight="1" s="177">
      <c r="A35" s="196" t="inlineStr">
        <is>
          <t>Packaging &amp; Distribution</t>
        </is>
      </c>
      <c r="B35" s="210" t="n"/>
      <c r="C35" s="198" t="n"/>
      <c r="D35" s="198" t="n"/>
      <c r="E35" s="198" t="n"/>
      <c r="F35" s="198" t="n"/>
      <c r="G35" s="198" t="n"/>
      <c r="H35" s="199" t="n"/>
    </row>
    <row r="36" ht="13.2" customHeight="1" s="177">
      <c r="A36" s="201" t="inlineStr">
        <is>
          <t>Packages Distributed per year</t>
        </is>
      </c>
      <c r="B36" s="202" t="n"/>
      <c r="C36" s="202" t="n"/>
      <c r="D36" s="202">
        <f>SUM('NL Resource Baseline Units:BE Resource Baseline Units'!D36)</f>
        <v/>
      </c>
      <c r="E36" s="202">
        <f>SUM('NL Resource Baseline Units:BE Resource Baseline Units'!E36)</f>
        <v/>
      </c>
      <c r="F36" s="202">
        <f>SUM('NL Resource Baseline Units:BE Resource Baseline Units'!F36)</f>
        <v/>
      </c>
      <c r="G36" s="202">
        <f>SUM('NL Resource Baseline Units:BE Resource Baseline Units'!G36)</f>
        <v/>
      </c>
      <c r="H36" s="203">
        <f>SUM('NL Resource Baseline Units:BE Resource Baseline Units'!H36)</f>
        <v/>
      </c>
    </row>
    <row r="37" ht="13.8" customHeight="1" s="177">
      <c r="A37" s="201" t="n"/>
      <c r="B37" s="202" t="n"/>
      <c r="C37" s="202" t="n"/>
      <c r="D37" s="202" t="n"/>
      <c r="E37" s="202" t="n"/>
      <c r="F37" s="202" t="n"/>
      <c r="G37" s="202" t="n"/>
      <c r="H37" s="203" t="n"/>
    </row>
    <row r="38" ht="13.8" customHeight="1" s="177">
      <c r="A38" s="190" t="inlineStr">
        <is>
          <t>Service Desk</t>
        </is>
      </c>
      <c r="B38" s="191" t="n"/>
      <c r="C38" s="191" t="n"/>
      <c r="D38" s="191" t="n"/>
      <c r="E38" s="191" t="n"/>
      <c r="F38" s="191" t="n"/>
      <c r="G38" s="191" t="n"/>
      <c r="H38" s="192" t="n"/>
      <c r="I38" s="185" t="n"/>
    </row>
    <row r="39" ht="13.2" customHeight="1" s="177">
      <c r="A39" s="211" t="inlineStr">
        <is>
          <t xml:space="preserve">Seats Supported  </t>
        </is>
      </c>
      <c r="B39" s="212" t="n"/>
      <c r="C39" s="212" t="n"/>
      <c r="D39" s="212">
        <f>SUM('NL Resource Baseline Units:BE Resource Baseline Units'!D39)</f>
        <v/>
      </c>
      <c r="E39" s="212">
        <f>SUM('NL Resource Baseline Units:BE Resource Baseline Units'!E39)</f>
        <v/>
      </c>
      <c r="F39" s="212">
        <f>SUM('NL Resource Baseline Units:BE Resource Baseline Units'!F39)</f>
        <v/>
      </c>
      <c r="G39" s="212">
        <f>SUM('NL Resource Baseline Units:BE Resource Baseline Units'!G39)</f>
        <v/>
      </c>
      <c r="H39" s="213">
        <f>SUM('NL Resource Baseline Units:BE Resource Baseline Units'!H39)</f>
        <v/>
      </c>
      <c r="I39" s="214" t="n"/>
    </row>
    <row r="40" ht="13.2" customHeight="1" s="177">
      <c r="A40" s="215" t="n"/>
      <c r="B40" s="202" t="n"/>
      <c r="C40" s="202" t="n"/>
      <c r="D40" s="202" t="n"/>
      <c r="E40" s="202" t="n"/>
      <c r="F40" s="202" t="n"/>
      <c r="G40" s="202" t="n"/>
      <c r="H40" s="203" t="n"/>
      <c r="I40" s="185" t="n"/>
    </row>
    <row r="41" ht="13.2" customHeight="1" s="177">
      <c r="A41" s="216" t="inlineStr">
        <is>
          <t>No. of actions per annum</t>
        </is>
      </c>
      <c r="B41" s="202" t="n"/>
      <c r="C41" s="202" t="n"/>
      <c r="D41" s="202">
        <f>SUM('NL Resource Baseline Units:BE Resource Baseline Units'!D41)</f>
        <v/>
      </c>
      <c r="E41" s="202">
        <f>SUM('NL Resource Baseline Units:BE Resource Baseline Units'!E41)</f>
        <v/>
      </c>
      <c r="F41" s="202">
        <f>SUM('NL Resource Baseline Units:BE Resource Baseline Units'!F41)</f>
        <v/>
      </c>
      <c r="G41" s="202">
        <f>SUM('NL Resource Baseline Units:BE Resource Baseline Units'!G41)</f>
        <v/>
      </c>
      <c r="H41" s="203">
        <f>SUM('NL Resource Baseline Units:BE Resource Baseline Units'!H41)</f>
        <v/>
      </c>
      <c r="I41" s="214" t="n"/>
    </row>
    <row r="42" ht="13.2" customHeight="1" s="177">
      <c r="A42" s="217" t="inlineStr">
        <is>
          <t>Thereof registrated:</t>
        </is>
      </c>
      <c r="B42" s="202" t="n"/>
      <c r="C42" s="202" t="n"/>
      <c r="D42" s="202" t="n"/>
      <c r="E42" s="202" t="n"/>
      <c r="F42" s="202" t="n"/>
      <c r="G42" s="202" t="n"/>
      <c r="H42" s="203" t="n"/>
    </row>
    <row r="43" ht="13.2" customHeight="1" s="177">
      <c r="A43" s="217" t="inlineStr">
        <is>
          <t>Incident</t>
        </is>
      </c>
      <c r="B43" s="202" t="n"/>
      <c r="C43" s="202" t="n"/>
      <c r="D43" s="202">
        <f>SUM('NL Resource Baseline Units:BE Resource Baseline Units'!D43)</f>
        <v/>
      </c>
      <c r="E43" s="202">
        <f>SUM('NL Resource Baseline Units:BE Resource Baseline Units'!E43)</f>
        <v/>
      </c>
      <c r="F43" s="202">
        <f>SUM('NL Resource Baseline Units:BE Resource Baseline Units'!F43)</f>
        <v/>
      </c>
      <c r="G43" s="202">
        <f>SUM('NL Resource Baseline Units:BE Resource Baseline Units'!G43)</f>
        <v/>
      </c>
      <c r="H43" s="203">
        <f>SUM('NL Resource Baseline Units:BE Resource Baseline Units'!H43)</f>
        <v/>
      </c>
      <c r="I43" s="218" t="n"/>
    </row>
    <row r="44" ht="13.2" customHeight="1" s="177">
      <c r="A44" s="217" t="inlineStr">
        <is>
          <t>Question</t>
        </is>
      </c>
      <c r="B44" s="202" t="n"/>
      <c r="C44" s="202" t="n"/>
      <c r="D44" s="202">
        <f>SUM('NL Resource Baseline Units:BE Resource Baseline Units'!D44)</f>
        <v/>
      </c>
      <c r="E44" s="202">
        <f>SUM('NL Resource Baseline Units:BE Resource Baseline Units'!E44)</f>
        <v/>
      </c>
      <c r="F44" s="202">
        <f>SUM('NL Resource Baseline Units:BE Resource Baseline Units'!F44)</f>
        <v/>
      </c>
      <c r="G44" s="202">
        <f>SUM('NL Resource Baseline Units:BE Resource Baseline Units'!G44)</f>
        <v/>
      </c>
      <c r="H44" s="203">
        <f>SUM('NL Resource Baseline Units:BE Resource Baseline Units'!H44)</f>
        <v/>
      </c>
      <c r="I44" s="218" t="n"/>
    </row>
    <row r="45" ht="13.2" customHeight="1" s="177">
      <c r="A45" s="217" t="inlineStr">
        <is>
          <t>Service Request</t>
        </is>
      </c>
      <c r="B45" s="202" t="n"/>
      <c r="C45" s="202" t="n"/>
      <c r="D45" s="202">
        <f>SUM('NL Resource Baseline Units:BE Resource Baseline Units'!D45)</f>
        <v/>
      </c>
      <c r="E45" s="202">
        <f>SUM('NL Resource Baseline Units:BE Resource Baseline Units'!E45)</f>
        <v/>
      </c>
      <c r="F45" s="202">
        <f>SUM('NL Resource Baseline Units:BE Resource Baseline Units'!F45)</f>
        <v/>
      </c>
      <c r="G45" s="202">
        <f>SUM('NL Resource Baseline Units:BE Resource Baseline Units'!G45)</f>
        <v/>
      </c>
      <c r="H45" s="203">
        <f>SUM('NL Resource Baseline Units:BE Resource Baseline Units'!H45)</f>
        <v/>
      </c>
      <c r="I45" s="218" t="n"/>
    </row>
    <row r="46" ht="13.8" customHeight="1" s="177">
      <c r="A46" s="219" t="n"/>
      <c r="B46" s="202" t="n"/>
      <c r="C46" s="202" t="n"/>
      <c r="D46" s="202" t="n"/>
      <c r="E46" s="202" t="n"/>
      <c r="F46" s="202" t="n"/>
      <c r="G46" s="202" t="n"/>
      <c r="H46" s="203" t="n"/>
      <c r="I46" s="218" t="n"/>
    </row>
    <row r="47" ht="13.8" customHeight="1" s="177">
      <c r="A47" s="190" t="inlineStr">
        <is>
          <t>LAN Services</t>
        </is>
      </c>
      <c r="B47" s="191" t="n"/>
      <c r="C47" s="191" t="n"/>
      <c r="D47" s="191" t="n"/>
      <c r="E47" s="191" t="n"/>
      <c r="F47" s="191" t="n"/>
      <c r="G47" s="191" t="n"/>
      <c r="H47" s="192" t="n"/>
      <c r="I47" s="185" t="n"/>
    </row>
    <row r="48" ht="13.2" customHeight="1" s="177">
      <c r="A48" s="220" t="inlineStr">
        <is>
          <t>Support Services</t>
        </is>
      </c>
      <c r="B48" s="221" t="n"/>
      <c r="C48" s="222" t="n"/>
      <c r="D48" s="222" t="n"/>
      <c r="E48" s="222" t="n"/>
      <c r="F48" s="222" t="n"/>
      <c r="G48" s="222" t="n"/>
      <c r="H48" s="223" t="n"/>
      <c r="I48" s="185" t="n"/>
    </row>
    <row r="49" ht="13.2" customHeight="1" s="177">
      <c r="A49" s="224" t="inlineStr">
        <is>
          <t>Monitoring LAN port IT, SP, ...</t>
        </is>
      </c>
      <c r="B49" s="202" t="n"/>
      <c r="C49" s="202" t="n"/>
      <c r="D49" s="202">
        <f>SUM('NL Resource Baseline Units:BE Resource Baseline Units'!D49)</f>
        <v/>
      </c>
      <c r="E49" s="202">
        <f>SUM('NL Resource Baseline Units:BE Resource Baseline Units'!E49)</f>
        <v/>
      </c>
      <c r="F49" s="202">
        <f>SUM('NL Resource Baseline Units:BE Resource Baseline Units'!F49)</f>
        <v/>
      </c>
      <c r="G49" s="202">
        <f>SUM('NL Resource Baseline Units:BE Resource Baseline Units'!G49)</f>
        <v/>
      </c>
      <c r="H49" s="203">
        <f>SUM('NL Resource Baseline Units:BE Resource Baseline Units'!H49)</f>
        <v/>
      </c>
      <c r="I49" s="185" t="n"/>
    </row>
    <row r="50" ht="13.2" customHeight="1" s="177">
      <c r="A50" s="201" t="inlineStr">
        <is>
          <t>Site Type A: # of Active LAN Ports</t>
        </is>
      </c>
      <c r="B50" s="202" t="n"/>
      <c r="C50" s="202" t="n"/>
      <c r="D50" s="202">
        <f>SUM('NL Resource Baseline Units:BE Resource Baseline Units'!D50)</f>
        <v/>
      </c>
      <c r="E50" s="202">
        <f>SUM('NL Resource Baseline Units:BE Resource Baseline Units'!E50)</f>
        <v/>
      </c>
      <c r="F50" s="202">
        <f>SUM('NL Resource Baseline Units:BE Resource Baseline Units'!F50)</f>
        <v/>
      </c>
      <c r="G50" s="202">
        <f>SUM('NL Resource Baseline Units:BE Resource Baseline Units'!G50)</f>
        <v/>
      </c>
      <c r="H50" s="203">
        <f>SUM('NL Resource Baseline Units:BE Resource Baseline Units'!H50)</f>
        <v/>
      </c>
      <c r="I50" s="185" t="n"/>
    </row>
    <row r="51" ht="13.2" customHeight="1" s="177">
      <c r="A51" s="201" t="inlineStr">
        <is>
          <t>Site Type B: # of Active LAN Ports</t>
        </is>
      </c>
      <c r="B51" s="202" t="n"/>
      <c r="C51" s="202" t="n"/>
      <c r="D51" s="202">
        <f>SUM('NL Resource Baseline Units:BE Resource Baseline Units'!D51)</f>
        <v/>
      </c>
      <c r="E51" s="202">
        <f>SUM('NL Resource Baseline Units:BE Resource Baseline Units'!E51)</f>
        <v/>
      </c>
      <c r="F51" s="202">
        <f>SUM('NL Resource Baseline Units:BE Resource Baseline Units'!F51)</f>
        <v/>
      </c>
      <c r="G51" s="202">
        <f>SUM('NL Resource Baseline Units:BE Resource Baseline Units'!G51)</f>
        <v/>
      </c>
      <c r="H51" s="203">
        <f>SUM('NL Resource Baseline Units:BE Resource Baseline Units'!H51)</f>
        <v/>
      </c>
      <c r="I51" s="185" t="n"/>
    </row>
    <row r="52" ht="13.2" customHeight="1" s="177">
      <c r="A52" s="201" t="inlineStr">
        <is>
          <t>Site Type C: # of Active LAN Ports</t>
        </is>
      </c>
      <c r="B52" s="202" t="n"/>
      <c r="C52" s="202" t="n"/>
      <c r="D52" s="202">
        <f>SUM('NL Resource Baseline Units:BE Resource Baseline Units'!D52)</f>
        <v/>
      </c>
      <c r="E52" s="202">
        <f>SUM('NL Resource Baseline Units:BE Resource Baseline Units'!E52)</f>
        <v/>
      </c>
      <c r="F52" s="202">
        <f>SUM('NL Resource Baseline Units:BE Resource Baseline Units'!F52)</f>
        <v/>
      </c>
      <c r="G52" s="202">
        <f>SUM('NL Resource Baseline Units:BE Resource Baseline Units'!G52)</f>
        <v/>
      </c>
      <c r="H52" s="203">
        <f>SUM('NL Resource Baseline Units:BE Resource Baseline Units'!H52)</f>
        <v/>
      </c>
      <c r="I52" s="185" t="n"/>
    </row>
    <row r="53" ht="13.8" customHeight="1" s="177">
      <c r="A53" s="201" t="n"/>
      <c r="B53" s="202" t="n"/>
      <c r="C53" s="202" t="n"/>
      <c r="D53" s="202" t="n"/>
      <c r="E53" s="202" t="n"/>
      <c r="F53" s="202" t="n"/>
      <c r="G53" s="202" t="n"/>
      <c r="H53" s="203" t="n"/>
      <c r="I53" s="185" t="n"/>
    </row>
    <row r="54" ht="13.8" customHeight="1" s="177">
      <c r="A54" s="190" t="inlineStr">
        <is>
          <t>Voice Services</t>
        </is>
      </c>
      <c r="B54" s="191" t="n"/>
      <c r="C54" s="191" t="n"/>
      <c r="D54" s="191" t="n"/>
      <c r="E54" s="191" t="n"/>
      <c r="F54" s="191" t="n"/>
      <c r="G54" s="191" t="n"/>
      <c r="H54" s="192" t="n"/>
      <c r="I54" s="185" t="n"/>
    </row>
    <row r="55" ht="13.2" customHeight="1" s="177">
      <c r="A55" s="225" t="inlineStr">
        <is>
          <t>Locations (Systems &amp; Services)</t>
        </is>
      </c>
      <c r="B55" s="226" t="n"/>
      <c r="C55" s="227" t="n"/>
      <c r="D55" s="228" t="n"/>
      <c r="E55" s="228" t="n"/>
      <c r="F55" s="228" t="n"/>
      <c r="G55" s="228" t="n"/>
      <c r="H55" s="229" t="n"/>
      <c r="I55" s="185" t="n"/>
    </row>
    <row r="56" ht="26.4" customHeight="1" s="177">
      <c r="A56" s="230" t="inlineStr">
        <is>
          <t xml:space="preserve">  Call Centres</t>
        </is>
      </c>
      <c r="B56" s="231" t="inlineStr">
        <is>
          <t>Location</t>
        </is>
      </c>
      <c r="C56" s="202" t="n"/>
      <c r="D56" s="202">
        <f>SUM('NL Resource Baseline Units:BE Resource Baseline Units'!D56)</f>
        <v/>
      </c>
      <c r="E56" s="202">
        <f>SUM('NL Resource Baseline Units:BE Resource Baseline Units'!E56)</f>
        <v/>
      </c>
      <c r="F56" s="202">
        <f>SUM('NL Resource Baseline Units:BE Resource Baseline Units'!F56)</f>
        <v/>
      </c>
      <c r="G56" s="202">
        <f>SUM('NL Resource Baseline Units:BE Resource Baseline Units'!G56)</f>
        <v/>
      </c>
      <c r="H56" s="203">
        <f>SUM('NL Resource Baseline Units:BE Resource Baseline Units'!H56)</f>
        <v/>
      </c>
      <c r="I56" s="185" t="inlineStr">
        <is>
          <t>4,561 seats for the Netherlands and 240 seats for Belgium, are included within these call centres</t>
        </is>
      </c>
      <c r="J56" s="185" t="n"/>
    </row>
    <row r="57" ht="13.2" customHeight="1" s="177">
      <c r="A57" s="230" t="inlineStr">
        <is>
          <t xml:space="preserve">  Employee ISDN</t>
        </is>
      </c>
      <c r="B57" s="231" t="inlineStr">
        <is>
          <t>Location</t>
        </is>
      </c>
      <c r="C57" s="202" t="n"/>
      <c r="D57" s="202">
        <f>SUM('NL Resource Baseline Units:BE Resource Baseline Units'!D57)</f>
        <v/>
      </c>
      <c r="E57" s="202">
        <f>SUM('NL Resource Baseline Units:BE Resource Baseline Units'!E57)</f>
        <v/>
      </c>
      <c r="F57" s="202">
        <f>SUM('NL Resource Baseline Units:BE Resource Baseline Units'!F57)</f>
        <v/>
      </c>
      <c r="G57" s="202">
        <f>SUM('NL Resource Baseline Units:BE Resource Baseline Units'!G57)</f>
        <v/>
      </c>
      <c r="H57" s="203">
        <f>SUM('NL Resource Baseline Units:BE Resource Baseline Units'!H57)</f>
        <v/>
      </c>
      <c r="I57" s="185" t="n"/>
    </row>
    <row r="58" ht="13.2" customHeight="1" s="177">
      <c r="A58" s="230" t="n"/>
      <c r="B58" s="231" t="n"/>
      <c r="C58" s="202" t="n"/>
      <c r="D58" s="202">
        <f>SUM('NL Resource Baseline Units:BE Resource Baseline Units'!D58)</f>
        <v/>
      </c>
      <c r="E58" s="202">
        <f>SUM('NL Resource Baseline Units:BE Resource Baseline Units'!E58)</f>
        <v/>
      </c>
      <c r="F58" s="202">
        <f>SUM('NL Resource Baseline Units:BE Resource Baseline Units'!F58)</f>
        <v/>
      </c>
      <c r="G58" s="202">
        <f>SUM('NL Resource Baseline Units:BE Resource Baseline Units'!G58)</f>
        <v/>
      </c>
      <c r="H58" s="203">
        <f>SUM('NL Resource Baseline Units:BE Resource Baseline Units'!H58)</f>
        <v/>
      </c>
      <c r="I58" s="185" t="n"/>
    </row>
    <row r="59" ht="13.2" customHeight="1" s="177">
      <c r="A59" s="230" t="inlineStr">
        <is>
          <t xml:space="preserve">  Videoconferencing rooms</t>
        </is>
      </c>
      <c r="B59" s="231" t="inlineStr">
        <is>
          <t>Rooms</t>
        </is>
      </c>
      <c r="C59" s="202" t="n"/>
      <c r="D59" s="202">
        <f>SUM('NL Resource Baseline Units:BE Resource Baseline Units'!D59)</f>
        <v/>
      </c>
      <c r="E59" s="202">
        <f>SUM('NL Resource Baseline Units:BE Resource Baseline Units'!E59)</f>
        <v/>
      </c>
      <c r="F59" s="202">
        <f>SUM('NL Resource Baseline Units:BE Resource Baseline Units'!F59)</f>
        <v/>
      </c>
      <c r="G59" s="202">
        <f>SUM('NL Resource Baseline Units:BE Resource Baseline Units'!G59)</f>
        <v/>
      </c>
      <c r="H59" s="203">
        <f>SUM('NL Resource Baseline Units:BE Resource Baseline Units'!H59)</f>
        <v/>
      </c>
      <c r="I59" s="185" t="n"/>
    </row>
    <row r="60" ht="13.2" customHeight="1" s="177">
      <c r="A60" s="216" t="inlineStr">
        <is>
          <t xml:space="preserve">  PBXs: Small (1-50)</t>
        </is>
      </c>
      <c r="B60" s="231" t="inlineStr">
        <is>
          <t>System</t>
        </is>
      </c>
      <c r="C60" s="202" t="n"/>
      <c r="D60" s="202">
        <f>SUM('NL Resource Baseline Units:BE Resource Baseline Units'!D60)</f>
        <v/>
      </c>
      <c r="E60" s="202">
        <f>SUM('NL Resource Baseline Units:BE Resource Baseline Units'!E60)</f>
        <v/>
      </c>
      <c r="F60" s="202">
        <f>SUM('NL Resource Baseline Units:BE Resource Baseline Units'!F60)</f>
        <v/>
      </c>
      <c r="G60" s="202">
        <f>SUM('NL Resource Baseline Units:BE Resource Baseline Units'!G60)</f>
        <v/>
      </c>
      <c r="H60" s="203">
        <f>SUM('NL Resource Baseline Units:BE Resource Baseline Units'!H60)</f>
        <v/>
      </c>
      <c r="I60" s="185" t="n"/>
    </row>
    <row r="61" ht="13.2" customHeight="1" s="177">
      <c r="A61" s="230" t="inlineStr">
        <is>
          <t xml:space="preserve">            Medium (50-500)</t>
        </is>
      </c>
      <c r="B61" s="231" t="inlineStr">
        <is>
          <t>System</t>
        </is>
      </c>
      <c r="C61" s="202" t="n"/>
      <c r="D61" s="202">
        <f>SUM('NL Resource Baseline Units:BE Resource Baseline Units'!D61)</f>
        <v/>
      </c>
      <c r="E61" s="202">
        <f>SUM('NL Resource Baseline Units:BE Resource Baseline Units'!E61)</f>
        <v/>
      </c>
      <c r="F61" s="202">
        <f>SUM('NL Resource Baseline Units:BE Resource Baseline Units'!F61)</f>
        <v/>
      </c>
      <c r="G61" s="202">
        <f>SUM('NL Resource Baseline Units:BE Resource Baseline Units'!G61)</f>
        <v/>
      </c>
      <c r="H61" s="203">
        <f>SUM('NL Resource Baseline Units:BE Resource Baseline Units'!H61)</f>
        <v/>
      </c>
      <c r="I61" s="185" t="n"/>
    </row>
    <row r="62" ht="13.2" customHeight="1" s="177">
      <c r="A62" s="230" t="inlineStr">
        <is>
          <t xml:space="preserve">            Large (500+)</t>
        </is>
      </c>
      <c r="B62" s="231" t="inlineStr">
        <is>
          <t>System</t>
        </is>
      </c>
      <c r="C62" s="202" t="n"/>
      <c r="D62" s="202">
        <f>SUM('NL Resource Baseline Units:BE Resource Baseline Units'!D62)</f>
        <v/>
      </c>
      <c r="E62" s="202">
        <f>SUM('NL Resource Baseline Units:BE Resource Baseline Units'!E62)</f>
        <v/>
      </c>
      <c r="F62" s="202">
        <f>SUM('NL Resource Baseline Units:BE Resource Baseline Units'!F62)</f>
        <v/>
      </c>
      <c r="G62" s="202">
        <f>SUM('NL Resource Baseline Units:BE Resource Baseline Units'!G62)</f>
        <v/>
      </c>
      <c r="H62" s="203">
        <f>SUM('NL Resource Baseline Units:BE Resource Baseline Units'!H62)</f>
        <v/>
      </c>
      <c r="I62" s="185" t="n"/>
    </row>
    <row r="63" ht="13.2" customHeight="1" s="177">
      <c r="A63" s="216" t="inlineStr">
        <is>
          <t xml:space="preserve">  Handsets - Digital (incl. DECT)</t>
        </is>
      </c>
      <c r="B63" s="231" t="inlineStr">
        <is>
          <t>set</t>
        </is>
      </c>
      <c r="C63" s="202" t="n"/>
      <c r="D63" s="202">
        <f>SUM('NL Resource Baseline Units:BE Resource Baseline Units'!D63)</f>
        <v/>
      </c>
      <c r="E63" s="202">
        <f>SUM('NL Resource Baseline Units:BE Resource Baseline Units'!E63)</f>
        <v/>
      </c>
      <c r="F63" s="202">
        <f>SUM('NL Resource Baseline Units:BE Resource Baseline Units'!F63)</f>
        <v/>
      </c>
      <c r="G63" s="202">
        <f>SUM('NL Resource Baseline Units:BE Resource Baseline Units'!G63)</f>
        <v/>
      </c>
      <c r="H63" s="203">
        <f>SUM('NL Resource Baseline Units:BE Resource Baseline Units'!H63)</f>
        <v/>
      </c>
      <c r="I63" s="185" t="n"/>
    </row>
    <row r="64" ht="13.2" customHeight="1" s="177">
      <c r="A64" s="216" t="inlineStr">
        <is>
          <t xml:space="preserve">  Handsets - Analog</t>
        </is>
      </c>
      <c r="B64" s="231" t="inlineStr">
        <is>
          <t>set</t>
        </is>
      </c>
      <c r="C64" s="202" t="n"/>
      <c r="D64" s="202">
        <f>SUM('NL Resource Baseline Units:BE Resource Baseline Units'!D64)</f>
        <v/>
      </c>
      <c r="E64" s="202">
        <f>SUM('NL Resource Baseline Units:BE Resource Baseline Units'!E64)</f>
        <v/>
      </c>
      <c r="F64" s="202">
        <f>SUM('NL Resource Baseline Units:BE Resource Baseline Units'!F64)</f>
        <v/>
      </c>
      <c r="G64" s="202">
        <f>SUM('NL Resource Baseline Units:BE Resource Baseline Units'!G64)</f>
        <v/>
      </c>
      <c r="H64" s="203">
        <f>SUM('NL Resource Baseline Units:BE Resource Baseline Units'!H64)</f>
        <v/>
      </c>
      <c r="I64" s="185" t="n"/>
    </row>
    <row r="65" ht="13.2" customHeight="1" s="177">
      <c r="A65" s="216" t="inlineStr">
        <is>
          <t xml:space="preserve">  Cellular Phones </t>
        </is>
      </c>
      <c r="B65" s="231" t="inlineStr">
        <is>
          <t>set</t>
        </is>
      </c>
      <c r="C65" s="202" t="n"/>
      <c r="D65" s="202">
        <f>SUM('NL Resource Baseline Units:BE Resource Baseline Units'!D65)</f>
        <v/>
      </c>
      <c r="E65" s="202">
        <f>SUM('NL Resource Baseline Units:BE Resource Baseline Units'!E65)</f>
        <v/>
      </c>
      <c r="F65" s="202">
        <f>SUM('NL Resource Baseline Units:BE Resource Baseline Units'!F65)</f>
        <v/>
      </c>
      <c r="G65" s="202">
        <f>SUM('NL Resource Baseline Units:BE Resource Baseline Units'!G65)</f>
        <v/>
      </c>
      <c r="H65" s="203">
        <f>SUM('NL Resource Baseline Units:BE Resource Baseline Units'!H65)</f>
        <v/>
      </c>
      <c r="I65" s="185" t="n"/>
    </row>
    <row r="66" ht="13.2" customHeight="1" s="177">
      <c r="A66" s="216" t="inlineStr">
        <is>
          <t xml:space="preserve">  GPRS/UMTS Cards or Devices</t>
        </is>
      </c>
      <c r="B66" s="231" t="inlineStr">
        <is>
          <t>Subscriptions</t>
        </is>
      </c>
      <c r="C66" s="202" t="n"/>
      <c r="D66" s="202">
        <f>SUM('NL Resource Baseline Units:BE Resource Baseline Units'!D66)</f>
        <v/>
      </c>
      <c r="E66" s="202">
        <f>SUM('NL Resource Baseline Units:BE Resource Baseline Units'!E66)</f>
        <v/>
      </c>
      <c r="F66" s="202">
        <f>SUM('NL Resource Baseline Units:BE Resource Baseline Units'!F66)</f>
        <v/>
      </c>
      <c r="G66" s="202">
        <f>SUM('NL Resource Baseline Units:BE Resource Baseline Units'!G66)</f>
        <v/>
      </c>
      <c r="H66" s="203">
        <f>SUM('NL Resource Baseline Units:BE Resource Baseline Units'!H66)</f>
        <v/>
      </c>
      <c r="I66" s="185" t="n"/>
    </row>
    <row r="67" ht="13.2" customHeight="1" s="177">
      <c r="A67" s="230" t="inlineStr">
        <is>
          <t xml:space="preserve">  Blackberries</t>
        </is>
      </c>
      <c r="B67" s="231" t="inlineStr">
        <is>
          <t>Devices</t>
        </is>
      </c>
      <c r="C67" s="202" t="n"/>
      <c r="D67" s="202">
        <f>SUM('NL Resource Baseline Units:BE Resource Baseline Units'!D67)</f>
        <v/>
      </c>
      <c r="E67" s="202">
        <f>SUM('NL Resource Baseline Units:BE Resource Baseline Units'!E67)</f>
        <v/>
      </c>
      <c r="F67" s="202">
        <f>SUM('NL Resource Baseline Units:BE Resource Baseline Units'!F67)</f>
        <v/>
      </c>
      <c r="G67" s="202">
        <f>SUM('NL Resource Baseline Units:BE Resource Baseline Units'!G67)</f>
        <v/>
      </c>
      <c r="H67" s="203">
        <f>SUM('NL Resource Baseline Units:BE Resource Baseline Units'!H67)</f>
        <v/>
      </c>
      <c r="I67" s="185" t="n"/>
    </row>
    <row r="68" ht="13.2" customHeight="1" s="177">
      <c r="A68" s="216" t="inlineStr">
        <is>
          <t>Internal Pagers</t>
        </is>
      </c>
      <c r="B68" s="231" t="inlineStr">
        <is>
          <t>Devices</t>
        </is>
      </c>
      <c r="C68" s="202" t="n"/>
      <c r="D68" s="202">
        <f>SUM('NL Resource Baseline Units:BE Resource Baseline Units'!D68)</f>
        <v/>
      </c>
      <c r="E68" s="202">
        <f>SUM('NL Resource Baseline Units:BE Resource Baseline Units'!E68)</f>
        <v/>
      </c>
      <c r="F68" s="202">
        <f>SUM('NL Resource Baseline Units:BE Resource Baseline Units'!F68)</f>
        <v/>
      </c>
      <c r="G68" s="202">
        <f>SUM('NL Resource Baseline Units:BE Resource Baseline Units'!G68)</f>
        <v/>
      </c>
      <c r="H68" s="203">
        <f>SUM('NL Resource Baseline Units:BE Resource Baseline Units'!H68)</f>
        <v/>
      </c>
      <c r="I68" s="185" t="n"/>
    </row>
    <row r="69" ht="13.2" customHeight="1" s="177">
      <c r="A69" s="216" t="inlineStr">
        <is>
          <t>External Pagers</t>
        </is>
      </c>
      <c r="B69" s="231" t="inlineStr">
        <is>
          <t>Devices</t>
        </is>
      </c>
      <c r="C69" s="202" t="n"/>
      <c r="D69" s="202">
        <f>SUM('NL Resource Baseline Units:BE Resource Baseline Units'!D69)</f>
        <v/>
      </c>
      <c r="E69" s="202">
        <f>SUM('NL Resource Baseline Units:BE Resource Baseline Units'!E69)</f>
        <v/>
      </c>
      <c r="F69" s="202">
        <f>SUM('NL Resource Baseline Units:BE Resource Baseline Units'!F69)</f>
        <v/>
      </c>
      <c r="G69" s="202">
        <f>SUM('NL Resource Baseline Units:BE Resource Baseline Units'!G69)</f>
        <v/>
      </c>
      <c r="H69" s="203">
        <f>SUM('NL Resource Baseline Units:BE Resource Baseline Units'!H69)</f>
        <v/>
      </c>
      <c r="I69" s="185" t="n"/>
    </row>
    <row r="70" ht="13.2" customHeight="1" s="177">
      <c r="A70" s="232" t="n"/>
      <c r="B70" s="233" t="n"/>
      <c r="C70" s="234" t="n"/>
      <c r="D70" s="234" t="n"/>
      <c r="E70" s="234" t="n"/>
      <c r="F70" s="234" t="n"/>
      <c r="G70" s="234" t="n"/>
      <c r="H70" s="235" t="n"/>
      <c r="I70" s="185" t="n"/>
    </row>
    <row r="71" ht="13.2" customHeight="1" s="177">
      <c r="A71" s="236" t="inlineStr">
        <is>
          <t>VOICE</t>
        </is>
      </c>
      <c r="B71" s="237" t="n"/>
      <c r="C71" s="238" t="n"/>
      <c r="D71" s="238" t="n"/>
      <c r="E71" s="238" t="n"/>
      <c r="F71" s="238" t="n"/>
      <c r="G71" s="238" t="n"/>
      <c r="H71" s="239" t="n"/>
      <c r="I71" s="185" t="n"/>
    </row>
    <row r="72" ht="13.2" customHeight="1" s="177">
      <c r="A72" s="216" t="inlineStr">
        <is>
          <t>Domestic Outbound Calls - Local</t>
        </is>
      </c>
      <c r="B72" s="231" t="inlineStr">
        <is>
          <t>Min.</t>
        </is>
      </c>
      <c r="C72" s="202" t="n"/>
      <c r="D72" s="202">
        <f>SUM('NL Resource Baseline Units:BE Resource Baseline Units'!D72)</f>
        <v/>
      </c>
      <c r="E72" s="202">
        <f>SUM('NL Resource Baseline Units:BE Resource Baseline Units'!E72)</f>
        <v/>
      </c>
      <c r="F72" s="202">
        <f>SUM('NL Resource Baseline Units:BE Resource Baseline Units'!F72)</f>
        <v/>
      </c>
      <c r="G72" s="202">
        <f>SUM('NL Resource Baseline Units:BE Resource Baseline Units'!G72)</f>
        <v/>
      </c>
      <c r="H72" s="203">
        <f>SUM('NL Resource Baseline Units:BE Resource Baseline Units'!H72)</f>
        <v/>
      </c>
      <c r="I72" s="240" t="n"/>
    </row>
    <row r="73" ht="13.2" customHeight="1" s="177">
      <c r="A73" s="216" t="inlineStr">
        <is>
          <t>Domestic Outbound Calls - Long Distance</t>
        </is>
      </c>
      <c r="B73" s="231" t="inlineStr">
        <is>
          <t>Min.</t>
        </is>
      </c>
      <c r="C73" s="202" t="n"/>
      <c r="D73" s="202">
        <f>SUM('NL Resource Baseline Units:BE Resource Baseline Units'!D73)</f>
        <v/>
      </c>
      <c r="E73" s="202">
        <f>SUM('NL Resource Baseline Units:BE Resource Baseline Units'!E73)</f>
        <v/>
      </c>
      <c r="F73" s="202">
        <f>SUM('NL Resource Baseline Units:BE Resource Baseline Units'!F73)</f>
        <v/>
      </c>
      <c r="G73" s="202">
        <f>SUM('NL Resource Baseline Units:BE Resource Baseline Units'!G73)</f>
        <v/>
      </c>
      <c r="H73" s="203">
        <f>SUM('NL Resource Baseline Units:BE Resource Baseline Units'!H73)</f>
        <v/>
      </c>
      <c r="I73" s="185" t="n"/>
    </row>
    <row r="74" ht="13.2" customHeight="1" s="177">
      <c r="A74" s="216" t="inlineStr">
        <is>
          <t>Domestic Outbound Calls - Cellular</t>
        </is>
      </c>
      <c r="B74" s="231" t="inlineStr">
        <is>
          <t>Min.</t>
        </is>
      </c>
      <c r="C74" s="202" t="n"/>
      <c r="D74" s="202">
        <f>SUM('NL Resource Baseline Units:BE Resource Baseline Units'!D74)</f>
        <v/>
      </c>
      <c r="E74" s="202">
        <f>SUM('NL Resource Baseline Units:BE Resource Baseline Units'!E74)</f>
        <v/>
      </c>
      <c r="F74" s="202">
        <f>SUM('NL Resource Baseline Units:BE Resource Baseline Units'!F74)</f>
        <v/>
      </c>
      <c r="G74" s="202">
        <f>SUM('NL Resource Baseline Units:BE Resource Baseline Units'!G74)</f>
        <v/>
      </c>
      <c r="H74" s="203">
        <f>SUM('NL Resource Baseline Units:BE Resource Baseline Units'!H74)</f>
        <v/>
      </c>
      <c r="I74" s="185" t="n"/>
    </row>
    <row r="75" ht="13.2" customHeight="1" s="177">
      <c r="A75" s="216" t="inlineStr">
        <is>
          <t>International Outbound Calls</t>
        </is>
      </c>
      <c r="B75" s="231" t="inlineStr">
        <is>
          <t>Min.</t>
        </is>
      </c>
      <c r="C75" s="202" t="n"/>
      <c r="D75" s="202">
        <f>SUM('NL Resource Baseline Units:BE Resource Baseline Units'!D75)</f>
        <v/>
      </c>
      <c r="E75" s="202">
        <f>SUM('NL Resource Baseline Units:BE Resource Baseline Units'!E75)</f>
        <v/>
      </c>
      <c r="F75" s="202">
        <f>SUM('NL Resource Baseline Units:BE Resource Baseline Units'!F75)</f>
        <v/>
      </c>
      <c r="G75" s="202">
        <f>SUM('NL Resource Baseline Units:BE Resource Baseline Units'!G75)</f>
        <v/>
      </c>
      <c r="H75" s="203">
        <f>SUM('NL Resource Baseline Units:BE Resource Baseline Units'!H75)</f>
        <v/>
      </c>
      <c r="I75" s="185" t="n"/>
    </row>
    <row r="76" ht="13.2" customHeight="1" s="177">
      <c r="A76" s="241" t="inlineStr">
        <is>
          <t>Mobile - national</t>
        </is>
      </c>
      <c r="B76" s="242" t="inlineStr">
        <is>
          <t>Min</t>
        </is>
      </c>
      <c r="C76" s="202" t="n"/>
      <c r="D76" s="202">
        <f>SUM('NL Resource Baseline Units:BE Resource Baseline Units'!D76)</f>
        <v/>
      </c>
      <c r="E76" s="202">
        <f>SUM('NL Resource Baseline Units:BE Resource Baseline Units'!E76)</f>
        <v/>
      </c>
      <c r="F76" s="202">
        <f>SUM('NL Resource Baseline Units:BE Resource Baseline Units'!F76)</f>
        <v/>
      </c>
      <c r="G76" s="202">
        <f>SUM('NL Resource Baseline Units:BE Resource Baseline Units'!G76)</f>
        <v/>
      </c>
      <c r="H76" s="203">
        <f>SUM('NL Resource Baseline Units:BE Resource Baseline Units'!H76)</f>
        <v/>
      </c>
      <c r="I76" s="185" t="n"/>
    </row>
    <row r="77" ht="13.2" customHeight="1" s="177">
      <c r="A77" s="241" t="inlineStr">
        <is>
          <t>Mobile - international</t>
        </is>
      </c>
      <c r="B77" s="242" t="inlineStr">
        <is>
          <t>Min</t>
        </is>
      </c>
      <c r="C77" s="202" t="n"/>
      <c r="D77" s="202">
        <f>SUM('NL Resource Baseline Units:BE Resource Baseline Units'!D77)</f>
        <v/>
      </c>
      <c r="E77" s="202">
        <f>SUM('NL Resource Baseline Units:BE Resource Baseline Units'!E77)</f>
        <v/>
      </c>
      <c r="F77" s="202">
        <f>SUM('NL Resource Baseline Units:BE Resource Baseline Units'!F77)</f>
        <v/>
      </c>
      <c r="G77" s="202">
        <f>SUM('NL Resource Baseline Units:BE Resource Baseline Units'!G77)</f>
        <v/>
      </c>
      <c r="H77" s="203">
        <f>SUM('NL Resource Baseline Units:BE Resource Baseline Units'!H77)</f>
        <v/>
      </c>
      <c r="I77" s="185" t="n"/>
    </row>
    <row r="78" ht="13.2" customHeight="1" s="177">
      <c r="A78" s="241" t="inlineStr">
        <is>
          <t>Mobile - roaming outbound</t>
        </is>
      </c>
      <c r="B78" s="242" t="inlineStr">
        <is>
          <t>Min</t>
        </is>
      </c>
      <c r="C78" s="202" t="n"/>
      <c r="D78" s="202">
        <f>SUM('NL Resource Baseline Units:BE Resource Baseline Units'!D78)</f>
        <v/>
      </c>
      <c r="E78" s="202">
        <f>SUM('NL Resource Baseline Units:BE Resource Baseline Units'!E78)</f>
        <v/>
      </c>
      <c r="F78" s="202">
        <f>SUM('NL Resource Baseline Units:BE Resource Baseline Units'!F78)</f>
        <v/>
      </c>
      <c r="G78" s="202">
        <f>SUM('NL Resource Baseline Units:BE Resource Baseline Units'!G78)</f>
        <v/>
      </c>
      <c r="H78" s="203">
        <f>SUM('NL Resource Baseline Units:BE Resource Baseline Units'!H78)</f>
        <v/>
      </c>
      <c r="I78" s="185" t="n"/>
    </row>
    <row r="79" ht="13.2" customHeight="1" s="177">
      <c r="A79" s="241" t="inlineStr">
        <is>
          <t>Mobile - roaming inbound</t>
        </is>
      </c>
      <c r="B79" s="242" t="inlineStr">
        <is>
          <t>Min</t>
        </is>
      </c>
      <c r="C79" s="202" t="n"/>
      <c r="D79" s="202">
        <f>SUM('NL Resource Baseline Units:BE Resource Baseline Units'!D79)</f>
        <v/>
      </c>
      <c r="E79" s="202">
        <f>SUM('NL Resource Baseline Units:BE Resource Baseline Units'!E79)</f>
        <v/>
      </c>
      <c r="F79" s="202">
        <f>SUM('NL Resource Baseline Units:BE Resource Baseline Units'!F79)</f>
        <v/>
      </c>
      <c r="G79" s="202">
        <f>SUM('NL Resource Baseline Units:BE Resource Baseline Units'!G79)</f>
        <v/>
      </c>
      <c r="H79" s="203">
        <f>SUM('NL Resource Baseline Units:BE Resource Baseline Units'!H79)</f>
        <v/>
      </c>
      <c r="I79" s="185" t="n"/>
    </row>
    <row r="80" ht="13.2" customHeight="1" s="177">
      <c r="A80" s="216" t="inlineStr">
        <is>
          <t>Free phone Service Calls</t>
        </is>
      </c>
      <c r="B80" s="231" t="inlineStr">
        <is>
          <t>Calls</t>
        </is>
      </c>
      <c r="C80" s="202" t="n"/>
      <c r="D80" s="202">
        <f>SUM('NL Resource Baseline Units:BE Resource Baseline Units'!D80)</f>
        <v/>
      </c>
      <c r="E80" s="202">
        <f>SUM('NL Resource Baseline Units:BE Resource Baseline Units'!E80)</f>
        <v/>
      </c>
      <c r="F80" s="202">
        <f>SUM('NL Resource Baseline Units:BE Resource Baseline Units'!F80)</f>
        <v/>
      </c>
      <c r="G80" s="202">
        <f>SUM('NL Resource Baseline Units:BE Resource Baseline Units'!G80)</f>
        <v/>
      </c>
      <c r="H80" s="203">
        <f>SUM('NL Resource Baseline Units:BE Resource Baseline Units'!H80)</f>
        <v/>
      </c>
      <c r="I80" s="185" t="n"/>
    </row>
    <row r="81" ht="13.2" customHeight="1" s="177">
      <c r="A81" s="216" t="inlineStr">
        <is>
          <t>Free phone Services Dedicated</t>
        </is>
      </c>
      <c r="B81" s="231" t="inlineStr">
        <is>
          <t>Min.</t>
        </is>
      </c>
      <c r="C81" s="202" t="n"/>
      <c r="D81" s="202">
        <f>SUM('NL Resource Baseline Units:BE Resource Baseline Units'!D81)</f>
        <v/>
      </c>
      <c r="E81" s="202">
        <f>SUM('NL Resource Baseline Units:BE Resource Baseline Units'!E81)</f>
        <v/>
      </c>
      <c r="F81" s="202">
        <f>SUM('NL Resource Baseline Units:BE Resource Baseline Units'!F81)</f>
        <v/>
      </c>
      <c r="G81" s="202">
        <f>SUM('NL Resource Baseline Units:BE Resource Baseline Units'!G81)</f>
        <v/>
      </c>
      <c r="H81" s="203">
        <f>SUM('NL Resource Baseline Units:BE Resource Baseline Units'!H81)</f>
        <v/>
      </c>
      <c r="I81" s="185" t="n"/>
    </row>
    <row r="82" ht="13.2" customHeight="1" s="177">
      <c r="A82" s="243" t="inlineStr">
        <is>
          <t>High Tariff Outbound Calls (0900)</t>
        </is>
      </c>
      <c r="B82" s="231" t="inlineStr">
        <is>
          <t>Min.</t>
        </is>
      </c>
      <c r="C82" s="202" t="n"/>
      <c r="D82" s="202">
        <f>SUM('NL Resource Baseline Units:BE Resource Baseline Units'!D82)</f>
        <v/>
      </c>
      <c r="E82" s="202">
        <f>SUM('NL Resource Baseline Units:BE Resource Baseline Units'!E82)</f>
        <v/>
      </c>
      <c r="F82" s="202">
        <f>SUM('NL Resource Baseline Units:BE Resource Baseline Units'!F82)</f>
        <v/>
      </c>
      <c r="G82" s="202">
        <f>SUM('NL Resource Baseline Units:BE Resource Baseline Units'!G82)</f>
        <v/>
      </c>
      <c r="H82" s="203">
        <f>SUM('NL Resource Baseline Units:BE Resource Baseline Units'!H82)</f>
        <v/>
      </c>
      <c r="I82" s="185" t="n"/>
    </row>
    <row r="83" ht="13.2" customHeight="1" s="177">
      <c r="A83" s="243" t="inlineStr">
        <is>
          <t>High Tariff Outbound Calls (0676 internet)</t>
        </is>
      </c>
      <c r="B83" s="231" t="inlineStr">
        <is>
          <t>Min.</t>
        </is>
      </c>
      <c r="C83" s="202" t="n"/>
      <c r="D83" s="202">
        <f>SUM('NL Resource Baseline Units:BE Resource Baseline Units'!D83)</f>
        <v/>
      </c>
      <c r="E83" s="202">
        <f>SUM('NL Resource Baseline Units:BE Resource Baseline Units'!E83)</f>
        <v/>
      </c>
      <c r="F83" s="202">
        <f>SUM('NL Resource Baseline Units:BE Resource Baseline Units'!F83)</f>
        <v/>
      </c>
      <c r="G83" s="202">
        <f>SUM('NL Resource Baseline Units:BE Resource Baseline Units'!G83)</f>
        <v/>
      </c>
      <c r="H83" s="203">
        <f>SUM('NL Resource Baseline Units:BE Resource Baseline Units'!H83)</f>
        <v/>
      </c>
      <c r="I83" s="185" t="n"/>
    </row>
    <row r="84" ht="13.2" customHeight="1" s="177">
      <c r="A84" s="243" t="inlineStr">
        <is>
          <t>High Tariff Outbound Calls  Other</t>
        </is>
      </c>
      <c r="B84" s="231" t="inlineStr">
        <is>
          <t>Min.</t>
        </is>
      </c>
      <c r="C84" s="202" t="n"/>
      <c r="D84" s="202">
        <f>SUM('NL Resource Baseline Units:BE Resource Baseline Units'!D84)</f>
        <v/>
      </c>
      <c r="E84" s="202">
        <f>SUM('NL Resource Baseline Units:BE Resource Baseline Units'!E84)</f>
        <v/>
      </c>
      <c r="F84" s="202">
        <f>SUM('NL Resource Baseline Units:BE Resource Baseline Units'!F84)</f>
        <v/>
      </c>
      <c r="G84" s="202">
        <f>SUM('NL Resource Baseline Units:BE Resource Baseline Units'!G84)</f>
        <v/>
      </c>
      <c r="H84" s="203">
        <f>SUM('NL Resource Baseline Units:BE Resource Baseline Units'!H84)</f>
        <v/>
      </c>
      <c r="I84" s="185" t="n"/>
    </row>
    <row r="85" ht="13.2" customHeight="1" s="177">
      <c r="A85" s="216" t="inlineStr">
        <is>
          <t>Voice - Directory Assistance Calls</t>
        </is>
      </c>
      <c r="B85" s="231" t="inlineStr">
        <is>
          <t>Calls</t>
        </is>
      </c>
      <c r="C85" s="202" t="n"/>
      <c r="D85" s="202">
        <f>SUM('NL Resource Baseline Units:BE Resource Baseline Units'!D85)</f>
        <v/>
      </c>
      <c r="E85" s="202">
        <f>SUM('NL Resource Baseline Units:BE Resource Baseline Units'!E85)</f>
        <v/>
      </c>
      <c r="F85" s="202">
        <f>SUM('NL Resource Baseline Units:BE Resource Baseline Units'!F85)</f>
        <v/>
      </c>
      <c r="G85" s="202">
        <f>SUM('NL Resource Baseline Units:BE Resource Baseline Units'!G85)</f>
        <v/>
      </c>
      <c r="H85" s="203">
        <f>SUM('NL Resource Baseline Units:BE Resource Baseline Units'!H85)</f>
        <v/>
      </c>
      <c r="I85" s="185" t="n"/>
    </row>
    <row r="86" ht="13.2" customHeight="1" s="177">
      <c r="A86" s="216" t="inlineStr">
        <is>
          <t>Voice - Hard IMACS</t>
        </is>
      </c>
      <c r="B86" s="231" t="inlineStr">
        <is>
          <t>per IMAC</t>
        </is>
      </c>
      <c r="C86" s="202" t="n"/>
      <c r="D86" s="202">
        <f>SUM('NL Resource Baseline Units:BE Resource Baseline Units'!D86)</f>
        <v/>
      </c>
      <c r="E86" s="202">
        <f>SUM('NL Resource Baseline Units:BE Resource Baseline Units'!E86)</f>
        <v/>
      </c>
      <c r="F86" s="202">
        <f>SUM('NL Resource Baseline Units:BE Resource Baseline Units'!F86)</f>
        <v/>
      </c>
      <c r="G86" s="202">
        <f>SUM('NL Resource Baseline Units:BE Resource Baseline Units'!G86)</f>
        <v/>
      </c>
      <c r="H86" s="203">
        <f>SUM('NL Resource Baseline Units:BE Resource Baseline Units'!H86)</f>
        <v/>
      </c>
      <c r="I86" s="185" t="n"/>
    </row>
    <row r="87" ht="13.2" customHeight="1" s="177">
      <c r="A87" s="216" t="n"/>
      <c r="B87" s="202" t="n"/>
      <c r="C87" s="202" t="n"/>
      <c r="D87" s="202" t="n"/>
      <c r="E87" s="202" t="n"/>
      <c r="F87" s="202" t="n"/>
      <c r="G87" s="202" t="n"/>
      <c r="H87" s="203" t="n"/>
      <c r="I87" s="185" t="n"/>
    </row>
    <row r="88" ht="13.2" customHeight="1" s="177">
      <c r="A88" s="236" t="inlineStr">
        <is>
          <t>Subscriptions</t>
        </is>
      </c>
      <c r="B88" s="237" t="n"/>
      <c r="C88" s="238" t="n"/>
      <c r="D88" s="238" t="n"/>
      <c r="E88" s="238" t="n"/>
      <c r="F88" s="238" t="n"/>
      <c r="G88" s="238" t="n"/>
      <c r="H88" s="239" t="n"/>
      <c r="I88" s="185" t="n"/>
    </row>
    <row r="89" ht="13.2" customHeight="1" s="177">
      <c r="A89" s="244" t="inlineStr">
        <is>
          <t>ISDN 1</t>
        </is>
      </c>
      <c r="B89" s="202" t="n"/>
      <c r="C89" s="202" t="n"/>
      <c r="D89" s="202">
        <f>SUM('NL Resource Baseline Units:BE Resource Baseline Units'!D89)</f>
        <v/>
      </c>
      <c r="E89" s="202">
        <f>SUM('NL Resource Baseline Units:BE Resource Baseline Units'!E89)</f>
        <v/>
      </c>
      <c r="F89" s="202">
        <f>SUM('NL Resource Baseline Units:BE Resource Baseline Units'!F89)</f>
        <v/>
      </c>
      <c r="G89" s="202">
        <f>SUM('NL Resource Baseline Units:BE Resource Baseline Units'!G89)</f>
        <v/>
      </c>
      <c r="H89" s="203">
        <f>SUM('NL Resource Baseline Units:BE Resource Baseline Units'!H89)</f>
        <v/>
      </c>
      <c r="I89" s="185" t="n"/>
      <c r="J89" s="184" t="n"/>
    </row>
    <row r="90" ht="13.2" customHeight="1" s="177">
      <c r="A90" s="244" t="inlineStr">
        <is>
          <t>ISDN 2</t>
        </is>
      </c>
      <c r="B90" s="202" t="n"/>
      <c r="C90" s="202" t="n"/>
      <c r="D90" s="202">
        <f>SUM('NL Resource Baseline Units:BE Resource Baseline Units'!D90)</f>
        <v/>
      </c>
      <c r="E90" s="202">
        <f>SUM('NL Resource Baseline Units:BE Resource Baseline Units'!E90)</f>
        <v/>
      </c>
      <c r="F90" s="202">
        <f>SUM('NL Resource Baseline Units:BE Resource Baseline Units'!F90)</f>
        <v/>
      </c>
      <c r="G90" s="202">
        <f>SUM('NL Resource Baseline Units:BE Resource Baseline Units'!G90)</f>
        <v/>
      </c>
      <c r="H90" s="203">
        <f>SUM('NL Resource Baseline Units:BE Resource Baseline Units'!H90)</f>
        <v/>
      </c>
      <c r="I90" s="185" t="n"/>
      <c r="J90" s="184" t="n"/>
    </row>
    <row r="91" ht="13.2" customHeight="1" s="177">
      <c r="A91" s="244" t="inlineStr">
        <is>
          <t>ISDN 15</t>
        </is>
      </c>
      <c r="B91" s="202" t="n"/>
      <c r="C91" s="202" t="n"/>
      <c r="D91" s="202">
        <f>SUM('NL Resource Baseline Units:BE Resource Baseline Units'!D91)</f>
        <v/>
      </c>
      <c r="E91" s="202">
        <f>SUM('NL Resource Baseline Units:BE Resource Baseline Units'!E91)</f>
        <v/>
      </c>
      <c r="F91" s="202">
        <f>SUM('NL Resource Baseline Units:BE Resource Baseline Units'!F91)</f>
        <v/>
      </c>
      <c r="G91" s="202">
        <f>SUM('NL Resource Baseline Units:BE Resource Baseline Units'!G91)</f>
        <v/>
      </c>
      <c r="H91" s="203">
        <f>SUM('NL Resource Baseline Units:BE Resource Baseline Units'!H91)</f>
        <v/>
      </c>
      <c r="I91" s="185" t="n"/>
      <c r="J91" s="184" t="n"/>
    </row>
    <row r="92" ht="13.2" customHeight="1" s="177">
      <c r="A92" s="244" t="inlineStr">
        <is>
          <t xml:space="preserve">ISDN 30  </t>
        </is>
      </c>
      <c r="B92" s="202" t="n"/>
      <c r="C92" s="202" t="n"/>
      <c r="D92" s="202">
        <f>SUM('NL Resource Baseline Units:BE Resource Baseline Units'!D92)</f>
        <v/>
      </c>
      <c r="E92" s="202">
        <f>SUM('NL Resource Baseline Units:BE Resource Baseline Units'!E92)</f>
        <v/>
      </c>
      <c r="F92" s="202">
        <f>SUM('NL Resource Baseline Units:BE Resource Baseline Units'!F92)</f>
        <v/>
      </c>
      <c r="G92" s="202">
        <f>SUM('NL Resource Baseline Units:BE Resource Baseline Units'!G92)</f>
        <v/>
      </c>
      <c r="H92" s="203">
        <f>SUM('NL Resource Baseline Units:BE Resource Baseline Units'!H92)</f>
        <v/>
      </c>
      <c r="I92" s="185" t="n"/>
      <c r="J92" s="184" t="n"/>
    </row>
    <row r="93" ht="13.2" customHeight="1" s="177">
      <c r="A93" s="244" t="inlineStr">
        <is>
          <t>ISDN 30 (CPA)</t>
        </is>
      </c>
      <c r="B93" s="202" t="n"/>
      <c r="C93" s="202" t="n"/>
      <c r="D93" s="202">
        <f>SUM('NL Resource Baseline Units:BE Resource Baseline Units'!D93)</f>
        <v/>
      </c>
      <c r="E93" s="202">
        <f>SUM('NL Resource Baseline Units:BE Resource Baseline Units'!E93)</f>
        <v/>
      </c>
      <c r="F93" s="202">
        <f>SUM('NL Resource Baseline Units:BE Resource Baseline Units'!F93)</f>
        <v/>
      </c>
      <c r="G93" s="202">
        <f>SUM('NL Resource Baseline Units:BE Resource Baseline Units'!G93)</f>
        <v/>
      </c>
      <c r="H93" s="203">
        <f>SUM('NL Resource Baseline Units:BE Resource Baseline Units'!H93)</f>
        <v/>
      </c>
      <c r="I93" s="185" t="n"/>
      <c r="J93" s="184" t="n"/>
    </row>
    <row r="94" ht="13.2" customHeight="1" s="177">
      <c r="A94" s="244" t="inlineStr">
        <is>
          <t>Dual homing telephony</t>
        </is>
      </c>
      <c r="B94" s="202" t="n"/>
      <c r="C94" s="202" t="n"/>
      <c r="D94" s="202">
        <f>SUM('NL Resource Baseline Units:BE Resource Baseline Units'!D94)</f>
        <v/>
      </c>
      <c r="E94" s="202">
        <f>SUM('NL Resource Baseline Units:BE Resource Baseline Units'!E94)</f>
        <v/>
      </c>
      <c r="F94" s="202">
        <f>SUM('NL Resource Baseline Units:BE Resource Baseline Units'!F94)</f>
        <v/>
      </c>
      <c r="G94" s="202">
        <f>SUM('NL Resource Baseline Units:BE Resource Baseline Units'!G94)</f>
        <v/>
      </c>
      <c r="H94" s="203">
        <f>SUM('NL Resource Baseline Units:BE Resource Baseline Units'!H94)</f>
        <v/>
      </c>
      <c r="I94" s="185" t="n"/>
      <c r="J94" s="184" t="n"/>
    </row>
    <row r="95" ht="13.2" customHeight="1" s="177">
      <c r="A95" s="244" t="inlineStr">
        <is>
          <t>DDI reserved numbers (10)</t>
        </is>
      </c>
      <c r="B95" s="202" t="n"/>
      <c r="C95" s="202" t="n"/>
      <c r="D95" s="202">
        <f>SUM('NL Resource Baseline Units:BE Resource Baseline Units'!D95)</f>
        <v/>
      </c>
      <c r="E95" s="202">
        <f>SUM('NL Resource Baseline Units:BE Resource Baseline Units'!E95)</f>
        <v/>
      </c>
      <c r="F95" s="202">
        <f>SUM('NL Resource Baseline Units:BE Resource Baseline Units'!F95)</f>
        <v/>
      </c>
      <c r="G95" s="202">
        <f>SUM('NL Resource Baseline Units:BE Resource Baseline Units'!G95)</f>
        <v/>
      </c>
      <c r="H95" s="203">
        <f>SUM('NL Resource Baseline Units:BE Resource Baseline Units'!H95)</f>
        <v/>
      </c>
      <c r="I95" s="185" t="n"/>
      <c r="J95" s="184" t="n"/>
    </row>
    <row r="96" ht="13.2" customHeight="1" s="177">
      <c r="A96" s="244" t="inlineStr">
        <is>
          <t>DDI reserved numbers (100)</t>
        </is>
      </c>
      <c r="B96" s="202" t="n"/>
      <c r="C96" s="202" t="n"/>
      <c r="D96" s="202">
        <f>SUM('NL Resource Baseline Units:BE Resource Baseline Units'!D96)</f>
        <v/>
      </c>
      <c r="E96" s="202">
        <f>SUM('NL Resource Baseline Units:BE Resource Baseline Units'!E96)</f>
        <v/>
      </c>
      <c r="F96" s="202">
        <f>SUM('NL Resource Baseline Units:BE Resource Baseline Units'!F96)</f>
        <v/>
      </c>
      <c r="G96" s="202">
        <f>SUM('NL Resource Baseline Units:BE Resource Baseline Units'!G96)</f>
        <v/>
      </c>
      <c r="H96" s="203">
        <f>SUM('NL Resource Baseline Units:BE Resource Baseline Units'!H96)</f>
        <v/>
      </c>
      <c r="I96" s="185" t="n"/>
      <c r="J96" s="184" t="n"/>
    </row>
    <row r="97" ht="13.2" customHeight="1" s="177">
      <c r="A97" s="244" t="inlineStr">
        <is>
          <t>DDI reserved numbers (1000)</t>
        </is>
      </c>
      <c r="B97" s="202" t="n"/>
      <c r="C97" s="202" t="n"/>
      <c r="D97" s="202">
        <f>SUM('NL Resource Baseline Units:BE Resource Baseline Units'!D97)</f>
        <v/>
      </c>
      <c r="E97" s="202">
        <f>SUM('NL Resource Baseline Units:BE Resource Baseline Units'!E97)</f>
        <v/>
      </c>
      <c r="F97" s="202">
        <f>SUM('NL Resource Baseline Units:BE Resource Baseline Units'!F97)</f>
        <v/>
      </c>
      <c r="G97" s="202">
        <f>SUM('NL Resource Baseline Units:BE Resource Baseline Units'!G97)</f>
        <v/>
      </c>
      <c r="H97" s="203">
        <f>SUM('NL Resource Baseline Units:BE Resource Baseline Units'!H97)</f>
        <v/>
      </c>
      <c r="I97" s="185" t="n"/>
      <c r="J97" s="184" t="n"/>
    </row>
    <row r="98" ht="13.2" customHeight="1" s="177">
      <c r="A98" s="244" t="inlineStr">
        <is>
          <t>DDI reserved numbers (10000)</t>
        </is>
      </c>
      <c r="B98" s="202" t="n"/>
      <c r="C98" s="202" t="n"/>
      <c r="D98" s="202">
        <f>SUM('NL Resource Baseline Units:BE Resource Baseline Units'!D98)</f>
        <v/>
      </c>
      <c r="E98" s="202">
        <f>SUM('NL Resource Baseline Units:BE Resource Baseline Units'!E98)</f>
        <v/>
      </c>
      <c r="F98" s="202">
        <f>SUM('NL Resource Baseline Units:BE Resource Baseline Units'!F98)</f>
        <v/>
      </c>
      <c r="G98" s="202">
        <f>SUM('NL Resource Baseline Units:BE Resource Baseline Units'!G98)</f>
        <v/>
      </c>
      <c r="H98" s="203">
        <f>SUM('NL Resource Baseline Units:BE Resource Baseline Units'!H98)</f>
        <v/>
      </c>
      <c r="I98" s="185" t="n"/>
      <c r="J98" s="184" t="n"/>
    </row>
    <row r="99" ht="13.2" customHeight="1" s="177">
      <c r="A99" s="244" t="inlineStr">
        <is>
          <t>DDI facilities</t>
        </is>
      </c>
      <c r="B99" s="202" t="n"/>
      <c r="C99" s="202" t="n"/>
      <c r="D99" s="202">
        <f>SUM('NL Resource Baseline Units:BE Resource Baseline Units'!D99)</f>
        <v/>
      </c>
      <c r="E99" s="202">
        <f>SUM('NL Resource Baseline Units:BE Resource Baseline Units'!E99)</f>
        <v/>
      </c>
      <c r="F99" s="202">
        <f>SUM('NL Resource Baseline Units:BE Resource Baseline Units'!F99)</f>
        <v/>
      </c>
      <c r="G99" s="202">
        <f>SUM('NL Resource Baseline Units:BE Resource Baseline Units'!G99)</f>
        <v/>
      </c>
      <c r="H99" s="203">
        <f>SUM('NL Resource Baseline Units:BE Resource Baseline Units'!H99)</f>
        <v/>
      </c>
      <c r="I99" s="185" t="n"/>
      <c r="J99" s="184" t="n"/>
    </row>
    <row r="100" ht="13.2" customHeight="1" s="177">
      <c r="A100" s="244" t="inlineStr">
        <is>
          <t>Calamity services</t>
        </is>
      </c>
      <c r="B100" s="202" t="n"/>
      <c r="C100" s="202" t="n"/>
      <c r="D100" s="202">
        <f>SUM('NL Resource Baseline Units:BE Resource Baseline Units'!D100)</f>
        <v/>
      </c>
      <c r="E100" s="202">
        <f>SUM('NL Resource Baseline Units:BE Resource Baseline Units'!E100)</f>
        <v/>
      </c>
      <c r="F100" s="202">
        <f>SUM('NL Resource Baseline Units:BE Resource Baseline Units'!F100)</f>
        <v/>
      </c>
      <c r="G100" s="202">
        <f>SUM('NL Resource Baseline Units:BE Resource Baseline Units'!G100)</f>
        <v/>
      </c>
      <c r="H100" s="203">
        <f>SUM('NL Resource Baseline Units:BE Resource Baseline Units'!H100)</f>
        <v/>
      </c>
      <c r="I100" s="185" t="n"/>
      <c r="J100" s="184" t="n"/>
    </row>
    <row r="101" ht="13.2" customHeight="1" s="177">
      <c r="A101" s="244" t="inlineStr">
        <is>
          <t>Infrastructure services</t>
        </is>
      </c>
      <c r="B101" s="202" t="n"/>
      <c r="C101" s="202" t="n"/>
      <c r="D101" s="202">
        <f>SUM('NL Resource Baseline Units:BE Resource Baseline Units'!D101)</f>
        <v/>
      </c>
      <c r="E101" s="202">
        <f>SUM('NL Resource Baseline Units:BE Resource Baseline Units'!E101)</f>
        <v/>
      </c>
      <c r="F101" s="202">
        <f>SUM('NL Resource Baseline Units:BE Resource Baseline Units'!F101)</f>
        <v/>
      </c>
      <c r="G101" s="202">
        <f>SUM('NL Resource Baseline Units:BE Resource Baseline Units'!G101)</f>
        <v/>
      </c>
      <c r="H101" s="203">
        <f>SUM('NL Resource Baseline Units:BE Resource Baseline Units'!H101)</f>
        <v/>
      </c>
      <c r="I101" s="185" t="n"/>
      <c r="J101" s="184" t="n"/>
    </row>
    <row r="102" ht="13.2" customHeight="1" s="177">
      <c r="A102" s="244" t="inlineStr">
        <is>
          <t>ADSL</t>
        </is>
      </c>
      <c r="B102" s="202" t="n"/>
      <c r="C102" s="202" t="n"/>
      <c r="D102" s="202">
        <f>SUM('NL Resource Baseline Units:BE Resource Baseline Units'!D102)</f>
        <v/>
      </c>
      <c r="E102" s="202">
        <f>SUM('NL Resource Baseline Units:BE Resource Baseline Units'!E102)</f>
        <v/>
      </c>
      <c r="F102" s="202">
        <f>SUM('NL Resource Baseline Units:BE Resource Baseline Units'!F102)</f>
        <v/>
      </c>
      <c r="G102" s="202">
        <f>SUM('NL Resource Baseline Units:BE Resource Baseline Units'!G102)</f>
        <v/>
      </c>
      <c r="H102" s="203">
        <f>SUM('NL Resource Baseline Units:BE Resource Baseline Units'!H102)</f>
        <v/>
      </c>
      <c r="I102" s="185" t="n"/>
      <c r="J102" s="184" t="n"/>
    </row>
    <row r="103" ht="13.2" customHeight="1" s="177">
      <c r="A103" s="244" t="inlineStr">
        <is>
          <t>PSTN</t>
        </is>
      </c>
      <c r="B103" s="202" t="n"/>
      <c r="C103" s="202" t="n"/>
      <c r="D103" s="202">
        <f>SUM('NL Resource Baseline Units:BE Resource Baseline Units'!D103)</f>
        <v/>
      </c>
      <c r="E103" s="202">
        <f>SUM('NL Resource Baseline Units:BE Resource Baseline Units'!E103)</f>
        <v/>
      </c>
      <c r="F103" s="202">
        <f>SUM('NL Resource Baseline Units:BE Resource Baseline Units'!F103)</f>
        <v/>
      </c>
      <c r="G103" s="202">
        <f>SUM('NL Resource Baseline Units:BE Resource Baseline Units'!G103)</f>
        <v/>
      </c>
      <c r="H103" s="203">
        <f>SUM('NL Resource Baseline Units:BE Resource Baseline Units'!H103)</f>
        <v/>
      </c>
      <c r="I103" s="185" t="n"/>
      <c r="J103" s="184" t="n"/>
    </row>
    <row r="104" ht="13.2" customHeight="1" s="177">
      <c r="A104" s="244" t="inlineStr">
        <is>
          <t>Telex</t>
        </is>
      </c>
      <c r="B104" s="202" t="n"/>
      <c r="C104" s="202" t="n"/>
      <c r="D104" s="202">
        <f>SUM('NL Resource Baseline Units:BE Resource Baseline Units'!D104)</f>
        <v/>
      </c>
      <c r="E104" s="202">
        <f>SUM('NL Resource Baseline Units:BE Resource Baseline Units'!E104)</f>
        <v/>
      </c>
      <c r="F104" s="202">
        <f>SUM('NL Resource Baseline Units:BE Resource Baseline Units'!F104)</f>
        <v/>
      </c>
      <c r="G104" s="202">
        <f>SUM('NL Resource Baseline Units:BE Resource Baseline Units'!G104)</f>
        <v/>
      </c>
      <c r="H104" s="203">
        <f>SUM('NL Resource Baseline Units:BE Resource Baseline Units'!H104)</f>
        <v/>
      </c>
      <c r="I104" s="185" t="n"/>
      <c r="J104" s="184" t="n"/>
    </row>
    <row r="105" ht="13.2" customHeight="1" s="177">
      <c r="A105" s="216" t="n"/>
      <c r="B105" s="245" t="n"/>
      <c r="C105" s="245" t="n"/>
      <c r="D105" s="245" t="n"/>
      <c r="E105" s="245" t="n"/>
      <c r="F105" s="245" t="n"/>
      <c r="G105" s="245" t="n"/>
      <c r="H105" s="246" t="n"/>
      <c r="I105" s="185" t="n"/>
    </row>
    <row r="106" ht="13.2" customHeight="1" s="177">
      <c r="A106" s="247" t="inlineStr">
        <is>
          <t>Server Management</t>
        </is>
      </c>
      <c r="H106" s="248" t="n"/>
      <c r="I106" s="185" t="n"/>
    </row>
    <row r="107" ht="13.2" customHeight="1" s="177">
      <c r="A107" s="249" t="inlineStr">
        <is>
          <t>Support Services</t>
        </is>
      </c>
      <c r="B107" s="238" t="n"/>
      <c r="C107" s="238" t="n"/>
      <c r="D107" s="238" t="n"/>
      <c r="E107" s="238" t="n"/>
      <c r="F107" s="238" t="n"/>
      <c r="G107" s="238" t="n"/>
      <c r="H107" s="239" t="n"/>
      <c r="I107" s="185" t="n"/>
    </row>
    <row r="108" ht="13.8" customHeight="1" s="177">
      <c r="A108" s="250" t="n"/>
      <c r="B108" s="251" t="n"/>
      <c r="C108" s="252" t="n"/>
      <c r="D108" s="252" t="n"/>
      <c r="E108" s="252" t="n"/>
      <c r="F108" s="252" t="n"/>
      <c r="G108" s="252" t="n"/>
      <c r="H108" s="253" t="n"/>
      <c r="I108" s="185" t="n"/>
    </row>
    <row r="109" ht="13.2" customHeight="1" s="177">
      <c r="A109" s="201" t="inlineStr">
        <is>
          <t>Number of Servers</t>
        </is>
      </c>
      <c r="B109" s="202" t="n"/>
      <c r="C109" s="202" t="n"/>
      <c r="D109" s="202">
        <f>SUM('NL Resource Baseline Units:BE Resource Baseline Units'!D109)</f>
        <v/>
      </c>
      <c r="E109" s="202">
        <f>SUM('NL Resource Baseline Units:BE Resource Baseline Units'!E109)</f>
        <v/>
      </c>
      <c r="F109" s="202">
        <f>SUM('NL Resource Baseline Units:BE Resource Baseline Units'!F109)</f>
        <v/>
      </c>
      <c r="G109" s="202">
        <f>SUM('NL Resource Baseline Units:BE Resource Baseline Units'!G109)</f>
        <v/>
      </c>
      <c r="H109" s="203">
        <f>SUM('NL Resource Baseline Units:BE Resource Baseline Units'!H109)</f>
        <v/>
      </c>
      <c r="I109" s="254" t="n"/>
    </row>
    <row r="110" ht="13.2" customHeight="1" s="177">
      <c r="A110" s="201" t="inlineStr">
        <is>
          <t>Number of Production Servers</t>
        </is>
      </c>
      <c r="B110" s="202" t="n"/>
      <c r="C110" s="202" t="n"/>
      <c r="D110" s="202">
        <f>SUM('NL Resource Baseline Units:BE Resource Baseline Units'!D110)</f>
        <v/>
      </c>
      <c r="E110" s="202">
        <f>SUM('NL Resource Baseline Units:BE Resource Baseline Units'!E110)</f>
        <v/>
      </c>
      <c r="F110" s="202">
        <f>SUM('NL Resource Baseline Units:BE Resource Baseline Units'!F110)</f>
        <v/>
      </c>
      <c r="G110" s="202">
        <f>SUM('NL Resource Baseline Units:BE Resource Baseline Units'!G110)</f>
        <v/>
      </c>
      <c r="H110" s="203">
        <f>SUM('NL Resource Baseline Units:BE Resource Baseline Units'!H110)</f>
        <v/>
      </c>
      <c r="I110" s="254" t="n"/>
    </row>
    <row r="111" ht="13.2" customHeight="1" s="177">
      <c r="A111" s="201" t="inlineStr">
        <is>
          <t>Number of High Availability Servers</t>
        </is>
      </c>
      <c r="B111" s="202" t="n"/>
      <c r="C111" s="202" t="n"/>
      <c r="D111" s="202">
        <f>SUM('NL Resource Baseline Units:BE Resource Baseline Units'!D111)</f>
        <v/>
      </c>
      <c r="E111" s="202">
        <f>SUM('NL Resource Baseline Units:BE Resource Baseline Units'!E111)</f>
        <v/>
      </c>
      <c r="F111" s="202">
        <f>SUM('NL Resource Baseline Units:BE Resource Baseline Units'!F111)</f>
        <v/>
      </c>
      <c r="G111" s="202">
        <f>SUM('NL Resource Baseline Units:BE Resource Baseline Units'!G111)</f>
        <v/>
      </c>
      <c r="H111" s="203">
        <f>SUM('NL Resource Baseline Units:BE Resource Baseline Units'!H111)</f>
        <v/>
      </c>
      <c r="I111" s="254" t="n"/>
    </row>
    <row r="112" ht="13.2" customHeight="1" s="177">
      <c r="A112" s="201" t="inlineStr">
        <is>
          <t>Number of Centralised Servers</t>
        </is>
      </c>
      <c r="B112" s="202" t="n"/>
      <c r="C112" s="202" t="n"/>
      <c r="D112" s="202">
        <f>SUM('NL Resource Baseline Units:BE Resource Baseline Units'!D112)</f>
        <v/>
      </c>
      <c r="E112" s="202">
        <f>SUM('NL Resource Baseline Units:BE Resource Baseline Units'!E112)</f>
        <v/>
      </c>
      <c r="F112" s="202">
        <f>SUM('NL Resource Baseline Units:BE Resource Baseline Units'!F112)</f>
        <v/>
      </c>
      <c r="G112" s="202">
        <f>SUM('NL Resource Baseline Units:BE Resource Baseline Units'!G112)</f>
        <v/>
      </c>
      <c r="H112" s="203">
        <f>SUM('NL Resource Baseline Units:BE Resource Baseline Units'!H112)</f>
        <v/>
      </c>
      <c r="I112" s="254" t="n"/>
    </row>
    <row r="113" ht="13.2" customHeight="1" s="177">
      <c r="A113" s="201" t="inlineStr">
        <is>
          <t>Number of Decentralized Servers</t>
        </is>
      </c>
      <c r="B113" s="202" t="n"/>
      <c r="C113" s="202" t="n"/>
      <c r="D113" s="202">
        <f>SUM('NL Resource Baseline Units:BE Resource Baseline Units'!D113)</f>
        <v/>
      </c>
      <c r="E113" s="202">
        <f>SUM('NL Resource Baseline Units:BE Resource Baseline Units'!E113)</f>
        <v/>
      </c>
      <c r="F113" s="202">
        <f>SUM('NL Resource Baseline Units:BE Resource Baseline Units'!F113)</f>
        <v/>
      </c>
      <c r="G113" s="202">
        <f>SUM('NL Resource Baseline Units:BE Resource Baseline Units'!G113)</f>
        <v/>
      </c>
      <c r="H113" s="203">
        <f>SUM('NL Resource Baseline Units:BE Resource Baseline Units'!H113)</f>
        <v/>
      </c>
      <c r="I113" s="254" t="n"/>
    </row>
    <row r="114" ht="13.2" customHeight="1" s="177">
      <c r="A114" s="201" t="inlineStr">
        <is>
          <t>Number of Pedestal Servers</t>
        </is>
      </c>
      <c r="B114" s="202" t="n"/>
      <c r="C114" s="202" t="n"/>
      <c r="D114" s="202">
        <f>SUM('NL Resource Baseline Units:BE Resource Baseline Units'!D114)</f>
        <v/>
      </c>
      <c r="E114" s="202">
        <f>SUM('NL Resource Baseline Units:BE Resource Baseline Units'!E114)</f>
        <v/>
      </c>
      <c r="F114" s="202">
        <f>SUM('NL Resource Baseline Units:BE Resource Baseline Units'!F114)</f>
        <v/>
      </c>
      <c r="G114" s="202">
        <f>SUM('NL Resource Baseline Units:BE Resource Baseline Units'!G114)</f>
        <v/>
      </c>
      <c r="H114" s="203">
        <f>SUM('NL Resource Baseline Units:BE Resource Baseline Units'!H114)</f>
        <v/>
      </c>
      <c r="I114" s="254" t="n"/>
    </row>
    <row r="115" ht="13.2" customHeight="1" s="177">
      <c r="A115" s="201" t="inlineStr">
        <is>
          <t>Number of Rack Servers</t>
        </is>
      </c>
      <c r="B115" s="202" t="n"/>
      <c r="C115" s="202" t="n"/>
      <c r="D115" s="202">
        <f>SUM('NL Resource Baseline Units:BE Resource Baseline Units'!D115)</f>
        <v/>
      </c>
      <c r="E115" s="202">
        <f>SUM('NL Resource Baseline Units:BE Resource Baseline Units'!E115)</f>
        <v/>
      </c>
      <c r="F115" s="202">
        <f>SUM('NL Resource Baseline Units:BE Resource Baseline Units'!F115)</f>
        <v/>
      </c>
      <c r="G115" s="202">
        <f>SUM('NL Resource Baseline Units:BE Resource Baseline Units'!G115)</f>
        <v/>
      </c>
      <c r="H115" s="203">
        <f>SUM('NL Resource Baseline Units:BE Resource Baseline Units'!H115)</f>
        <v/>
      </c>
      <c r="I115" s="254" t="n"/>
    </row>
    <row r="116" ht="13.2" customHeight="1" s="177">
      <c r="A116" s="201" t="inlineStr">
        <is>
          <t>Number of Blade Servers</t>
        </is>
      </c>
      <c r="B116" s="202" t="n"/>
      <c r="C116" s="202" t="n"/>
      <c r="D116" s="202">
        <f>SUM('NL Resource Baseline Units:BE Resource Baseline Units'!D116)</f>
        <v/>
      </c>
      <c r="E116" s="202">
        <f>SUM('NL Resource Baseline Units:BE Resource Baseline Units'!E116)</f>
        <v/>
      </c>
      <c r="F116" s="202">
        <f>SUM('NL Resource Baseline Units:BE Resource Baseline Units'!F116)</f>
        <v/>
      </c>
      <c r="G116" s="202">
        <f>SUM('NL Resource Baseline Units:BE Resource Baseline Units'!G116)</f>
        <v/>
      </c>
      <c r="H116" s="203">
        <f>SUM('NL Resource Baseline Units:BE Resource Baseline Units'!H116)</f>
        <v/>
      </c>
      <c r="I116" s="254" t="n"/>
    </row>
    <row r="117" ht="13.2" customHeight="1" s="177">
      <c r="A117" s="201" t="n"/>
      <c r="B117" s="202" t="n"/>
      <c r="C117" s="202" t="n"/>
      <c r="D117" s="202">
        <f>SUM('NL Resource Baseline Units:BE Resource Baseline Units'!D117)</f>
        <v/>
      </c>
      <c r="E117" s="202">
        <f>SUM('NL Resource Baseline Units:BE Resource Baseline Units'!E117)</f>
        <v/>
      </c>
      <c r="F117" s="202">
        <f>SUM('NL Resource Baseline Units:BE Resource Baseline Units'!F117)</f>
        <v/>
      </c>
      <c r="G117" s="202">
        <f>SUM('NL Resource Baseline Units:BE Resource Baseline Units'!G117)</f>
        <v/>
      </c>
      <c r="H117" s="203">
        <f>SUM('NL Resource Baseline Units:BE Resource Baseline Units'!H117)</f>
        <v/>
      </c>
      <c r="I117" s="254" t="n"/>
    </row>
    <row r="118" ht="13.2" customHeight="1" s="177">
      <c r="A118" s="201" t="n"/>
      <c r="B118" s="202" t="n"/>
      <c r="C118" s="202" t="n"/>
      <c r="D118" s="202">
        <f>SUM('NL Resource Baseline Units:BE Resource Baseline Units'!D118)</f>
        <v/>
      </c>
      <c r="E118" s="202">
        <f>SUM('NL Resource Baseline Units:BE Resource Baseline Units'!E118)</f>
        <v/>
      </c>
      <c r="F118" s="202">
        <f>SUM('NL Resource Baseline Units:BE Resource Baseline Units'!F118)</f>
        <v/>
      </c>
      <c r="G118" s="202">
        <f>SUM('NL Resource Baseline Units:BE Resource Baseline Units'!G118)</f>
        <v/>
      </c>
      <c r="H118" s="203">
        <f>SUM('NL Resource Baseline Units:BE Resource Baseline Units'!H118)</f>
        <v/>
      </c>
      <c r="I118" s="254" t="n"/>
    </row>
    <row r="119" ht="13.2" customHeight="1" s="177">
      <c r="A119" s="201" t="inlineStr">
        <is>
          <t>Total DAS (TB)</t>
        </is>
      </c>
      <c r="B119" s="202" t="n"/>
      <c r="C119" s="202" t="n"/>
      <c r="D119" s="202">
        <f>SUM('NL Resource Baseline Units:BE Resource Baseline Units'!D119)</f>
        <v/>
      </c>
      <c r="E119" s="202">
        <f>SUM('NL Resource Baseline Units:BE Resource Baseline Units'!E119)</f>
        <v/>
      </c>
      <c r="F119" s="202">
        <f>SUM('NL Resource Baseline Units:BE Resource Baseline Units'!F119)</f>
        <v/>
      </c>
      <c r="G119" s="202">
        <f>SUM('NL Resource Baseline Units:BE Resource Baseline Units'!G119)</f>
        <v/>
      </c>
      <c r="H119" s="203">
        <f>SUM('NL Resource Baseline Units:BE Resource Baseline Units'!H119)</f>
        <v/>
      </c>
      <c r="I119" s="254" t="n"/>
    </row>
    <row r="120" ht="13.8" customHeight="1" s="177">
      <c r="A120" s="255" t="inlineStr">
        <is>
          <t>E-mail Accounts</t>
        </is>
      </c>
      <c r="B120" s="256" t="n"/>
      <c r="C120" s="256" t="n"/>
      <c r="D120" s="256">
        <f>SUM('NL Resource Baseline Units:BE Resource Baseline Units'!D120)</f>
        <v/>
      </c>
      <c r="E120" s="256">
        <f>SUM('NL Resource Baseline Units:BE Resource Baseline Units'!E120)</f>
        <v/>
      </c>
      <c r="F120" s="256">
        <f>SUM('NL Resource Baseline Units:BE Resource Baseline Units'!F120)</f>
        <v/>
      </c>
      <c r="G120" s="256">
        <f>SUM('NL Resource Baseline Units:BE Resource Baseline Units'!G120)</f>
        <v/>
      </c>
      <c r="H120" s="257">
        <f>SUM('NL Resource Baseline Units:BE Resource Baseline Units'!H120)</f>
        <v/>
      </c>
      <c r="I120" s="254" t="n"/>
    </row>
  </sheetData>
  <mergeCells count="5">
    <mergeCell ref="A106:H106"/>
    <mergeCell ref="A38:H38"/>
    <mergeCell ref="A2:H2"/>
    <mergeCell ref="A54:H54"/>
    <mergeCell ref="A47:H47"/>
  </mergeCells>
  <printOptions horizontalCentered="1" verticalCentered="0" headings="0" gridLines="0" gridLinesSet="1"/>
  <pageMargins left="0.9840277777777779" right="0.9840277777777779" top="0.75" bottom="0.529861111111111" header="0.236111111111111" footer="0.236111111111111"/>
  <pageSetup orientation="landscape" paperSize="9" scale="100" fitToHeight="3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 4-D  &amp;A  &amp;P&amp;R&amp;"Times New Roman,Regular"&amp;8 &amp;Kffffff 5 Dec 2006</oddFooter>
    <evenHeader/>
    <evenFooter/>
    <firstHeader/>
    <firstFooter/>
  </headerFooter>
  <rowBreaks count="1" manualBreakCount="1">
    <brk id="52" min="0" max="16383" man="1"/>
  </rowBreak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O123"/>
  <sheetViews>
    <sheetView showFormulas="0" showGridLines="0" showRowColHeaders="1" showZeros="1" rightToLeft="0" tabSelected="0" showOutlineSymbols="1" defaultGridColor="1" view="normal" topLeftCell="A1" colorId="64" zoomScale="70" zoomScaleNormal="70" zoomScalePageLayoutView="100" workbookViewId="0">
      <pane xSplit="2" ySplit="2" topLeftCell="C42" activePane="bottomRight" state="frozen"/>
      <selection pane="topLeft" activeCell="A1" activeCellId="0" sqref="A1"/>
      <selection pane="topRight" activeCell="C1" activeCellId="0" sqref="C1"/>
      <selection pane="bottomLeft" activeCell="A42" activeCellId="0" sqref="A42"/>
      <selection pane="bottomRight" activeCell="J56" activeCellId="0" sqref="J56"/>
    </sheetView>
  </sheetViews>
  <sheetFormatPr baseColWidth="8" defaultColWidth="9.328125" defaultRowHeight="13.2" customHeight="1" zeroHeight="0" outlineLevelRow="0"/>
  <cols>
    <col width="48.66" customWidth="1" style="184" min="1" max="1"/>
    <col width="13.87" customWidth="1" style="184" min="2" max="2"/>
    <col width="13.43" customWidth="1" style="184" min="3" max="8"/>
    <col width="3.66" customWidth="1" style="184" min="9" max="9"/>
    <col width="9.33" customWidth="1" style="184" min="10" max="12"/>
    <col width="9.33" customWidth="1" style="184" min="13" max="257"/>
  </cols>
  <sheetData>
    <row r="1" ht="36.75" customHeight="1" s="177">
      <c r="A1" s="186" t="inlineStr">
        <is>
          <t>NETHERLANDS RESOURCE BASELINE</t>
        </is>
      </c>
      <c r="B1" s="187" t="inlineStr">
        <is>
          <t>Resource Units</t>
        </is>
      </c>
      <c r="C1" s="188" t="n"/>
      <c r="D1" s="188" t="inlineStr">
        <is>
          <t>Year 1 Annual Avg.</t>
        </is>
      </c>
      <c r="E1" s="188" t="inlineStr">
        <is>
          <t>Year 2 Annual Avg.</t>
        </is>
      </c>
      <c r="F1" s="188" t="inlineStr">
        <is>
          <t>Year 3 Annual Avg.</t>
        </is>
      </c>
      <c r="G1" s="188" t="inlineStr">
        <is>
          <t>Year 4 Annual Avg.</t>
        </is>
      </c>
      <c r="H1" s="189" t="inlineStr">
        <is>
          <t>Year 5 Annual Avg.</t>
        </is>
      </c>
    </row>
    <row r="2" ht="13.8" customHeight="1" s="177">
      <c r="A2" s="190" t="inlineStr">
        <is>
          <t>EUC</t>
        </is>
      </c>
      <c r="B2" s="191" t="n"/>
      <c r="C2" s="191" t="n"/>
      <c r="D2" s="191" t="n"/>
      <c r="E2" s="191" t="n"/>
      <c r="F2" s="191" t="n"/>
      <c r="G2" s="191" t="n"/>
      <c r="H2" s="192" t="n"/>
      <c r="J2" s="184" t="n"/>
      <c r="K2" s="184" t="n"/>
      <c r="L2" s="184" t="n"/>
    </row>
    <row r="3" ht="13.2" customHeight="1" s="177">
      <c r="A3" s="258" t="inlineStr">
        <is>
          <t>Support Services</t>
        </is>
      </c>
      <c r="B3" s="259" t="n"/>
      <c r="C3" s="260" t="n"/>
      <c r="D3" s="261" t="n"/>
      <c r="E3" s="261" t="n"/>
      <c r="F3" s="261" t="n"/>
      <c r="G3" s="261" t="n"/>
      <c r="H3" s="262" t="n"/>
    </row>
    <row r="4" ht="13.8" customHeight="1" s="177">
      <c r="A4" s="196" t="inlineStr">
        <is>
          <t xml:space="preserve">Medium Service Level </t>
        </is>
      </c>
      <c r="B4" s="197" t="n"/>
      <c r="C4" s="197" t="n"/>
      <c r="D4" s="198" t="n"/>
      <c r="E4" s="198" t="n"/>
      <c r="F4" s="198" t="n"/>
      <c r="G4" s="198" t="n"/>
      <c r="H4" s="199" t="n"/>
    </row>
    <row r="5" ht="13.2" customHeight="1" s="177">
      <c r="A5" s="201" t="inlineStr">
        <is>
          <t>Standard Desktops</t>
        </is>
      </c>
      <c r="B5" s="263" t="n"/>
      <c r="C5" s="264" t="n"/>
      <c r="D5" s="264" t="n">
        <v>10500</v>
      </c>
      <c r="E5" s="264" t="n">
        <v>10500</v>
      </c>
      <c r="F5" s="264" t="n">
        <v>10500</v>
      </c>
      <c r="G5" s="264" t="n">
        <v>10500</v>
      </c>
      <c r="H5" s="265" t="n">
        <v>10500</v>
      </c>
      <c r="J5" s="184" t="n"/>
      <c r="K5" s="184" t="n"/>
      <c r="L5" s="184" t="n"/>
    </row>
    <row r="6" ht="13.2" customHeight="1" s="177">
      <c r="A6" s="201" t="inlineStr">
        <is>
          <t>Non-Standard Desktops</t>
        </is>
      </c>
      <c r="B6" s="263" t="n"/>
      <c r="C6" s="264" t="n"/>
      <c r="D6" s="264" t="n">
        <v>100</v>
      </c>
      <c r="E6" s="264" t="n">
        <v>100</v>
      </c>
      <c r="F6" s="264" t="n">
        <v>100</v>
      </c>
      <c r="G6" s="264" t="n">
        <v>100</v>
      </c>
      <c r="H6" s="265" t="n">
        <v>100</v>
      </c>
      <c r="J6" s="184" t="n"/>
      <c r="K6" s="184" t="n"/>
      <c r="L6" s="184" t="n"/>
    </row>
    <row r="7" ht="13.2" customHeight="1" s="177">
      <c r="A7" s="201" t="inlineStr">
        <is>
          <t>Standard Laptops</t>
        </is>
      </c>
      <c r="B7" s="263" t="n"/>
      <c r="C7" s="264" t="n"/>
      <c r="D7" s="264" t="n">
        <v>2200</v>
      </c>
      <c r="E7" s="264" t="n">
        <v>2200</v>
      </c>
      <c r="F7" s="264" t="n">
        <v>2200</v>
      </c>
      <c r="G7" s="264" t="n">
        <v>2200</v>
      </c>
      <c r="H7" s="265" t="n">
        <v>2200</v>
      </c>
      <c r="J7" s="184" t="n"/>
      <c r="K7" s="184" t="n"/>
      <c r="L7" s="184" t="n"/>
    </row>
    <row r="8" ht="13.2" customHeight="1" s="177">
      <c r="A8" s="201" t="inlineStr">
        <is>
          <t>Non-Standard Laptops</t>
        </is>
      </c>
      <c r="B8" s="263" t="n"/>
      <c r="C8" s="264" t="n"/>
      <c r="D8" s="264" t="n">
        <v>0</v>
      </c>
      <c r="E8" s="264" t="n">
        <v>0</v>
      </c>
      <c r="F8" s="264" t="n">
        <v>0</v>
      </c>
      <c r="G8" s="264" t="n">
        <v>0</v>
      </c>
      <c r="H8" s="265" t="n">
        <v>0</v>
      </c>
      <c r="J8" s="184" t="n"/>
      <c r="K8" s="184" t="n"/>
      <c r="L8" s="184" t="n"/>
    </row>
    <row r="9" ht="13.2" customHeight="1" s="177">
      <c r="A9" s="201" t="inlineStr">
        <is>
          <t>Standard Local Printers</t>
        </is>
      </c>
      <c r="B9" s="263" t="n"/>
      <c r="C9" s="264" t="n"/>
      <c r="D9" s="264" t="n">
        <v>2000</v>
      </c>
      <c r="E9" s="264" t="n">
        <v>2000</v>
      </c>
      <c r="F9" s="264" t="n">
        <v>2000</v>
      </c>
      <c r="G9" s="264" t="n">
        <v>2000</v>
      </c>
      <c r="H9" s="265" t="n">
        <v>2000</v>
      </c>
      <c r="J9" s="184" t="n"/>
      <c r="K9" s="184" t="n"/>
      <c r="L9" s="184" t="n"/>
    </row>
    <row r="10" ht="13.2" customHeight="1" s="177">
      <c r="A10" s="201" t="inlineStr">
        <is>
          <t>Non-Standard Local Printers</t>
        </is>
      </c>
      <c r="B10" s="263" t="n"/>
      <c r="C10" s="266" t="n"/>
      <c r="D10" s="264" t="n"/>
      <c r="E10" s="264" t="n"/>
      <c r="F10" s="264" t="n"/>
      <c r="G10" s="264" t="n"/>
      <c r="H10" s="265" t="n"/>
    </row>
    <row r="11" ht="13.2" customHeight="1" s="177">
      <c r="A11" s="201" t="inlineStr">
        <is>
          <t>Standard Network Printers</t>
        </is>
      </c>
      <c r="B11" s="263" t="n"/>
      <c r="C11" s="266" t="n"/>
      <c r="D11" s="264" t="n"/>
      <c r="E11" s="264" t="n"/>
      <c r="F11" s="264" t="n"/>
      <c r="G11" s="264" t="n"/>
      <c r="H11" s="265" t="n"/>
    </row>
    <row r="12" ht="13.2" customHeight="1" s="177">
      <c r="A12" s="201" t="inlineStr">
        <is>
          <t>Non-Standard Network Printers</t>
        </is>
      </c>
      <c r="B12" s="263" t="n"/>
      <c r="C12" s="266" t="n"/>
      <c r="D12" s="264" t="n"/>
      <c r="E12" s="264" t="n"/>
      <c r="F12" s="264" t="n"/>
      <c r="G12" s="264" t="n"/>
      <c r="H12" s="265" t="n"/>
    </row>
    <row r="13" ht="13.2" customHeight="1" s="177">
      <c r="A13" s="201" t="inlineStr">
        <is>
          <t xml:space="preserve">Other Peripherals </t>
        </is>
      </c>
      <c r="B13" s="263" t="n"/>
      <c r="C13" s="266" t="n"/>
      <c r="D13" s="264" t="n"/>
      <c r="E13" s="264" t="n"/>
      <c r="F13" s="264" t="n"/>
      <c r="G13" s="264" t="n"/>
      <c r="H13" s="265" t="n"/>
    </row>
    <row r="14" ht="13.2" customHeight="1" s="177">
      <c r="A14" s="201" t="n"/>
      <c r="B14" s="263" t="n"/>
      <c r="C14" s="266" t="n"/>
      <c r="D14" s="264" t="n"/>
      <c r="E14" s="264" t="n"/>
      <c r="F14" s="264" t="n"/>
      <c r="G14" s="264" t="n"/>
      <c r="H14" s="265" t="n"/>
    </row>
    <row r="15" ht="13.2" customHeight="1" s="177">
      <c r="A15" s="201" t="inlineStr">
        <is>
          <t>Installations</t>
        </is>
      </c>
      <c r="B15" s="263" t="n"/>
      <c r="C15" s="266" t="n"/>
      <c r="D15" s="264" t="n">
        <v>2300</v>
      </c>
      <c r="E15" s="264" t="n">
        <v>1800</v>
      </c>
      <c r="F15" s="264" t="n">
        <v>1800</v>
      </c>
      <c r="G15" s="264" t="n">
        <v>1800</v>
      </c>
      <c r="H15" s="265" t="n">
        <v>1800</v>
      </c>
      <c r="J15" s="184" t="n"/>
      <c r="K15" s="184" t="n"/>
      <c r="L15" s="184" t="n"/>
    </row>
    <row r="16" ht="13.2" customHeight="1" s="177">
      <c r="A16" s="201" t="inlineStr">
        <is>
          <t>Moves</t>
        </is>
      </c>
      <c r="B16" s="263" t="n"/>
      <c r="C16" s="266" t="n"/>
      <c r="D16" s="264" t="n">
        <v>2000</v>
      </c>
      <c r="E16" s="264" t="n">
        <v>2000</v>
      </c>
      <c r="F16" s="264" t="n">
        <v>2000</v>
      </c>
      <c r="G16" s="264" t="n">
        <v>2000</v>
      </c>
      <c r="H16" s="265" t="n">
        <v>2000</v>
      </c>
    </row>
    <row r="17" ht="13.2" customHeight="1" s="177">
      <c r="A17" s="201" t="inlineStr">
        <is>
          <t>Adds</t>
        </is>
      </c>
      <c r="B17" s="263" t="n"/>
      <c r="C17" s="266" t="n"/>
      <c r="D17" s="264" t="n">
        <v>200</v>
      </c>
      <c r="E17" s="264" t="n">
        <v>200</v>
      </c>
      <c r="F17" s="264" t="n">
        <v>200</v>
      </c>
      <c r="G17" s="264" t="n">
        <v>200</v>
      </c>
      <c r="H17" s="265" t="n">
        <v>200</v>
      </c>
    </row>
    <row r="18" ht="13.2" customHeight="1" s="177">
      <c r="A18" s="201" t="inlineStr">
        <is>
          <t xml:space="preserve">Changes </t>
        </is>
      </c>
      <c r="B18" s="263" t="n"/>
      <c r="C18" s="207" t="n"/>
      <c r="D18" s="208" t="n">
        <v>700</v>
      </c>
      <c r="E18" s="208" t="n">
        <v>700</v>
      </c>
      <c r="F18" s="208" t="n">
        <v>700</v>
      </c>
      <c r="G18" s="208" t="n">
        <v>700</v>
      </c>
      <c r="H18" s="209" t="n">
        <v>700</v>
      </c>
    </row>
    <row r="19" ht="13.2" customHeight="1" s="177">
      <c r="A19" s="204" t="inlineStr">
        <is>
          <t>Low Service Level</t>
        </is>
      </c>
      <c r="B19" s="267" t="n"/>
      <c r="C19" s="205" t="n"/>
      <c r="D19" s="205" t="n"/>
      <c r="E19" s="205" t="n"/>
      <c r="F19" s="205" t="n"/>
      <c r="G19" s="205" t="n"/>
      <c r="H19" s="206" t="n"/>
    </row>
    <row r="20" ht="13.2" customHeight="1" s="177">
      <c r="A20" s="201" t="inlineStr">
        <is>
          <t>Standard Desktops</t>
        </is>
      </c>
      <c r="B20" s="207" t="n"/>
      <c r="C20" s="207" t="n"/>
      <c r="D20" s="208" t="n">
        <v>30805</v>
      </c>
      <c r="E20" s="208" t="n">
        <v>30805</v>
      </c>
      <c r="F20" s="208" t="n">
        <v>30805</v>
      </c>
      <c r="G20" s="208" t="n">
        <v>30805</v>
      </c>
      <c r="H20" s="209" t="n">
        <v>30805</v>
      </c>
      <c r="J20" s="184" t="n"/>
      <c r="K20" s="184" t="n"/>
      <c r="L20" s="184" t="n"/>
    </row>
    <row r="21" ht="13.2" customHeight="1" s="177">
      <c r="A21" s="201" t="inlineStr">
        <is>
          <t>Non-Standard Desktops</t>
        </is>
      </c>
      <c r="B21" s="207" t="n"/>
      <c r="C21" s="207" t="n"/>
      <c r="D21" s="208" t="n">
        <v>500</v>
      </c>
      <c r="E21" s="208" t="n">
        <v>500</v>
      </c>
      <c r="F21" s="208" t="n">
        <v>500</v>
      </c>
      <c r="G21" s="208" t="n">
        <v>500</v>
      </c>
      <c r="H21" s="209" t="n">
        <v>500</v>
      </c>
      <c r="J21" s="184" t="n"/>
      <c r="K21" s="184" t="n"/>
      <c r="L21" s="184" t="n"/>
    </row>
    <row r="22" ht="13.2" customHeight="1" s="177">
      <c r="A22" s="201" t="inlineStr">
        <is>
          <t>Standard Laptops</t>
        </is>
      </c>
      <c r="B22" s="207" t="n"/>
      <c r="C22" s="207" t="n"/>
      <c r="D22" s="208" t="n">
        <v>2256</v>
      </c>
      <c r="E22" s="208" t="n">
        <v>2256</v>
      </c>
      <c r="F22" s="208" t="n">
        <v>2256</v>
      </c>
      <c r="G22" s="208" t="n">
        <v>2256</v>
      </c>
      <c r="H22" s="209" t="n">
        <v>2256</v>
      </c>
      <c r="J22" s="184" t="n"/>
      <c r="K22" s="184" t="n"/>
      <c r="L22" s="184" t="n"/>
    </row>
    <row r="23" ht="13.2" customHeight="1" s="177">
      <c r="A23" s="201" t="inlineStr">
        <is>
          <t>Non-Standard Laptops</t>
        </is>
      </c>
      <c r="B23" s="207" t="n"/>
      <c r="C23" s="207" t="n"/>
      <c r="D23" s="208" t="n">
        <v>100</v>
      </c>
      <c r="E23" s="208" t="n">
        <v>100</v>
      </c>
      <c r="F23" s="208" t="n">
        <v>100</v>
      </c>
      <c r="G23" s="208" t="n">
        <v>100</v>
      </c>
      <c r="H23" s="209" t="n">
        <v>100</v>
      </c>
      <c r="J23" s="184" t="n"/>
      <c r="K23" s="184" t="n"/>
      <c r="L23" s="184" t="n"/>
    </row>
    <row r="24" ht="13.2" customHeight="1" s="177">
      <c r="A24" s="201" t="inlineStr">
        <is>
          <t>Standard Local Printers</t>
        </is>
      </c>
      <c r="B24" s="207" t="n"/>
      <c r="C24" s="207" t="n"/>
      <c r="D24" s="208" t="n">
        <v>515.739585931654</v>
      </c>
      <c r="E24" s="208" t="n">
        <v>515.739585931654</v>
      </c>
      <c r="F24" s="208" t="n">
        <v>515.739585931654</v>
      </c>
      <c r="G24" s="208" t="n">
        <v>515.739585931654</v>
      </c>
      <c r="H24" s="209" t="n">
        <v>515.739585931654</v>
      </c>
      <c r="J24" s="184" t="n"/>
      <c r="K24" s="184" t="n"/>
      <c r="L24" s="184" t="n"/>
    </row>
    <row r="25" ht="13.2" customHeight="1" s="177">
      <c r="A25" s="201" t="inlineStr">
        <is>
          <t>Non-Standard Local Printers</t>
        </is>
      </c>
      <c r="B25" s="207" t="n"/>
      <c r="C25" s="207" t="n"/>
      <c r="D25" s="208" t="n">
        <v>687.652781242205</v>
      </c>
      <c r="E25" s="208" t="n">
        <v>687.652781242205</v>
      </c>
      <c r="F25" s="208" t="n">
        <v>687.652781242205</v>
      </c>
      <c r="G25" s="208" t="n">
        <v>687.652781242205</v>
      </c>
      <c r="H25" s="209" t="n">
        <v>687.652781242205</v>
      </c>
      <c r="J25" s="184" t="n"/>
      <c r="K25" s="184" t="n"/>
      <c r="L25" s="184" t="n"/>
    </row>
    <row r="26" ht="13.2" customHeight="1" s="177">
      <c r="A26" s="201" t="inlineStr">
        <is>
          <t>Standard Network Printers</t>
        </is>
      </c>
      <c r="B26" s="207" t="n"/>
      <c r="C26" s="207" t="n"/>
      <c r="D26" s="208" t="n">
        <v>3338.82464454976</v>
      </c>
      <c r="E26" s="208" t="n">
        <v>3338.82464454976</v>
      </c>
      <c r="F26" s="208" t="n">
        <v>3338.82464454976</v>
      </c>
      <c r="G26" s="208" t="n">
        <v>3338.82464454976</v>
      </c>
      <c r="H26" s="209" t="n">
        <v>3338.82464454976</v>
      </c>
      <c r="J26" s="184" t="n"/>
      <c r="K26" s="184" t="n"/>
      <c r="L26" s="184" t="n"/>
    </row>
    <row r="27" ht="13.2" customHeight="1" s="177">
      <c r="A27" s="201" t="inlineStr">
        <is>
          <t>Non-Standard Network Printers</t>
        </is>
      </c>
      <c r="B27" s="207" t="n"/>
      <c r="C27" s="207" t="n"/>
      <c r="D27" s="208" t="n">
        <v>429.782988276378</v>
      </c>
      <c r="E27" s="208" t="n">
        <v>429.782988276378</v>
      </c>
      <c r="F27" s="208" t="n">
        <v>429.782988276378</v>
      </c>
      <c r="G27" s="208" t="n">
        <v>429.782988276378</v>
      </c>
      <c r="H27" s="209" t="n">
        <v>429.782988276378</v>
      </c>
      <c r="J27" s="184" t="n"/>
      <c r="K27" s="184" t="n"/>
      <c r="L27" s="184" t="n"/>
    </row>
    <row r="28" ht="13.2" customHeight="1" s="177">
      <c r="A28" s="201" t="inlineStr">
        <is>
          <t>Other Peripherals</t>
        </is>
      </c>
      <c r="B28" s="263" t="n"/>
      <c r="C28" s="207" t="n"/>
      <c r="D28" s="208" t="n">
        <v>600</v>
      </c>
      <c r="E28" s="208" t="n">
        <v>600</v>
      </c>
      <c r="F28" s="208" t="n">
        <v>600</v>
      </c>
      <c r="G28" s="208" t="n">
        <v>600</v>
      </c>
      <c r="H28" s="209" t="n">
        <v>600</v>
      </c>
      <c r="J28" s="184" t="n"/>
      <c r="K28" s="184" t="n"/>
      <c r="L28" s="184" t="n"/>
    </row>
    <row r="29" ht="13.2" customHeight="1" s="177">
      <c r="A29" s="201" t="n"/>
      <c r="B29" s="263" t="n"/>
      <c r="C29" s="207" t="n"/>
      <c r="D29" s="208" t="n"/>
      <c r="E29" s="208" t="n"/>
      <c r="F29" s="208" t="n"/>
      <c r="G29" s="208" t="n"/>
      <c r="H29" s="209" t="n"/>
      <c r="J29" s="184" t="n"/>
      <c r="K29" s="184" t="n"/>
      <c r="L29" s="184" t="n"/>
    </row>
    <row r="30" ht="13.2" customHeight="1" s="177">
      <c r="A30" s="201" t="inlineStr">
        <is>
          <t>Installations</t>
        </is>
      </c>
      <c r="B30" s="263" t="n"/>
      <c r="C30" s="207" t="n"/>
      <c r="D30" s="208" t="n">
        <v>2800</v>
      </c>
      <c r="E30" s="208" t="n">
        <v>2800</v>
      </c>
      <c r="F30" s="208" t="n">
        <v>2800</v>
      </c>
      <c r="G30" s="208" t="n">
        <v>2800</v>
      </c>
      <c r="H30" s="209" t="n">
        <v>2800</v>
      </c>
      <c r="J30" s="184" t="n"/>
      <c r="K30" s="184" t="n"/>
      <c r="L30" s="184" t="n"/>
    </row>
    <row r="31" ht="13.2" customHeight="1" s="177">
      <c r="A31" s="201" t="inlineStr">
        <is>
          <t>Moves</t>
        </is>
      </c>
      <c r="B31" s="184" t="n"/>
      <c r="C31" s="208" t="n"/>
      <c r="D31" s="208" t="n">
        <v>11000</v>
      </c>
      <c r="E31" s="208" t="n">
        <v>11000</v>
      </c>
      <c r="F31" s="208" t="n">
        <v>11000</v>
      </c>
      <c r="G31" s="208" t="n">
        <v>11000</v>
      </c>
      <c r="H31" s="209" t="n">
        <v>11000</v>
      </c>
      <c r="J31" s="184" t="n"/>
      <c r="K31" s="184" t="n"/>
      <c r="L31" s="184" t="n"/>
    </row>
    <row r="32" ht="13.2" customHeight="1" s="177">
      <c r="A32" s="201" t="inlineStr">
        <is>
          <t>Adds</t>
        </is>
      </c>
      <c r="B32" s="263" t="n"/>
      <c r="C32" s="207" t="n"/>
      <c r="D32" s="208" t="n"/>
      <c r="E32" s="208" t="n"/>
      <c r="F32" s="208" t="n"/>
      <c r="G32" s="208" t="n"/>
      <c r="H32" s="209" t="n"/>
      <c r="J32" s="184" t="n"/>
      <c r="K32" s="184" t="n"/>
      <c r="L32" s="184" t="n"/>
    </row>
    <row r="33" ht="13.2" customHeight="1" s="177">
      <c r="A33" s="201" t="inlineStr">
        <is>
          <t>Changes</t>
        </is>
      </c>
      <c r="B33" s="263" t="n"/>
      <c r="C33" s="207" t="n"/>
      <c r="D33" s="208" t="n">
        <v>3100</v>
      </c>
      <c r="E33" s="208" t="n">
        <v>3100</v>
      </c>
      <c r="F33" s="208" t="n">
        <v>3100</v>
      </c>
      <c r="G33" s="208" t="n">
        <v>3100</v>
      </c>
      <c r="H33" s="209" t="n">
        <v>3100</v>
      </c>
    </row>
    <row r="34" ht="13.2" customHeight="1" s="177">
      <c r="A34" s="201" t="n"/>
      <c r="B34" s="263" t="n"/>
      <c r="C34" s="207" t="n"/>
      <c r="D34" s="208" t="n"/>
      <c r="E34" s="208" t="n"/>
      <c r="F34" s="208" t="n"/>
      <c r="G34" s="208" t="n"/>
      <c r="H34" s="209" t="n"/>
    </row>
    <row r="35" ht="13.8" customHeight="1" s="177">
      <c r="A35" s="196" t="inlineStr">
        <is>
          <t>Packaging &amp; Distribution</t>
        </is>
      </c>
      <c r="B35" s="197" t="n"/>
      <c r="C35" s="210" t="n"/>
      <c r="D35" s="198" t="n"/>
      <c r="E35" s="198" t="n"/>
      <c r="F35" s="198" t="n"/>
      <c r="G35" s="198" t="n"/>
      <c r="H35" s="199" t="n"/>
    </row>
    <row r="36" ht="13.2" customHeight="1" s="177">
      <c r="A36" s="201" t="inlineStr">
        <is>
          <t>Packages Distributed per year</t>
        </is>
      </c>
      <c r="B36" s="263" t="n"/>
      <c r="C36" s="266" t="n"/>
      <c r="D36" s="264" t="n">
        <v>960</v>
      </c>
      <c r="E36" s="264" t="n">
        <v>960</v>
      </c>
      <c r="F36" s="264" t="n">
        <v>960</v>
      </c>
      <c r="G36" s="264" t="n">
        <v>960</v>
      </c>
      <c r="H36" s="265" t="n">
        <v>960</v>
      </c>
    </row>
    <row r="37" ht="13.8" customHeight="1" s="177">
      <c r="A37" s="255" t="n"/>
      <c r="B37" s="268" t="n"/>
      <c r="C37" s="269" t="n"/>
      <c r="D37" s="270" t="n"/>
      <c r="E37" s="270" t="n"/>
      <c r="F37" s="270" t="n"/>
      <c r="G37" s="270" t="n"/>
      <c r="H37" s="271" t="n"/>
    </row>
    <row r="38" ht="13.8" customHeight="1" s="177">
      <c r="A38" s="190" t="n"/>
      <c r="B38" s="191" t="n"/>
      <c r="C38" s="191" t="n"/>
      <c r="D38" s="191" t="n"/>
      <c r="E38" s="191" t="n"/>
      <c r="F38" s="191" t="n"/>
      <c r="G38" s="191" t="n"/>
      <c r="H38" s="192" t="n"/>
      <c r="I38" s="184" t="n"/>
      <c r="J38" s="184" t="n"/>
      <c r="K38" s="184" t="n"/>
      <c r="L38" s="184" t="n"/>
    </row>
    <row r="39" ht="13.2" customHeight="1" s="177">
      <c r="A39" s="272" t="inlineStr">
        <is>
          <t xml:space="preserve">Seats Supported  </t>
        </is>
      </c>
      <c r="B39" s="273" t="n"/>
      <c r="C39" s="274" t="n"/>
      <c r="D39" s="275" t="n">
        <v>38137</v>
      </c>
      <c r="E39" s="275" t="n">
        <v>38137</v>
      </c>
      <c r="F39" s="275" t="n">
        <v>38137</v>
      </c>
      <c r="G39" s="275" t="n">
        <v>38137</v>
      </c>
      <c r="H39" s="276" t="n">
        <v>38137</v>
      </c>
      <c r="I39" s="277" t="n"/>
      <c r="J39" s="277" t="n"/>
      <c r="K39" s="277" t="n"/>
      <c r="L39" s="277" t="n"/>
    </row>
    <row r="40" ht="13.2" customHeight="1" s="177">
      <c r="A40" s="278" t="n"/>
      <c r="B40" s="279" t="n"/>
      <c r="C40" s="280" t="n"/>
      <c r="D40" s="280" t="n"/>
      <c r="E40" s="280" t="n"/>
      <c r="F40" s="280" t="n"/>
      <c r="G40" s="280" t="n"/>
      <c r="H40" s="281" t="n"/>
      <c r="I40" s="184" t="n"/>
    </row>
    <row r="41" ht="13.2" customHeight="1" s="177">
      <c r="A41" s="216" t="inlineStr">
        <is>
          <t>No. of actions per annum</t>
        </is>
      </c>
      <c r="B41" s="282" t="n"/>
      <c r="C41" s="207" t="n"/>
      <c r="D41" s="208" t="n">
        <v>572055</v>
      </c>
      <c r="E41" s="208" t="n">
        <v>533918</v>
      </c>
      <c r="F41" s="208" t="n">
        <v>495781</v>
      </c>
      <c r="G41" s="208" t="n">
        <v>457644</v>
      </c>
      <c r="H41" s="209" t="n">
        <v>419507</v>
      </c>
      <c r="I41" s="283" t="n"/>
      <c r="J41" s="283" t="n"/>
      <c r="K41" s="283" t="n"/>
      <c r="L41" s="283" t="n"/>
    </row>
    <row r="42" ht="13.2" customHeight="1" s="177">
      <c r="A42" s="217" t="inlineStr">
        <is>
          <t>Thereof registrated:</t>
        </is>
      </c>
      <c r="B42" s="284" t="n"/>
      <c r="C42" s="285" t="n"/>
      <c r="D42" s="286" t="n"/>
      <c r="E42" s="286" t="n"/>
      <c r="F42" s="286" t="n"/>
      <c r="G42" s="286" t="n"/>
      <c r="H42" s="287" t="n"/>
    </row>
    <row r="43" ht="13.2" customHeight="1" s="177">
      <c r="A43" s="217" t="inlineStr">
        <is>
          <t>Incident</t>
        </is>
      </c>
      <c r="B43" s="284" t="n"/>
      <c r="C43" s="288" t="n"/>
      <c r="D43" s="289" t="n">
        <v>395810.789414029</v>
      </c>
      <c r="E43" s="289" t="n">
        <v>369423.403453094</v>
      </c>
      <c r="F43" s="289" t="n">
        <v>343036.017492159</v>
      </c>
      <c r="G43" s="289" t="n">
        <v>316648.631531223</v>
      </c>
      <c r="H43" s="290" t="n">
        <v>290261.245570288</v>
      </c>
      <c r="J43" s="291" t="n"/>
      <c r="K43" s="291" t="n"/>
      <c r="L43" s="291" t="n"/>
      <c r="M43" s="291" t="n"/>
      <c r="N43" s="291" t="n"/>
      <c r="O43" s="291" t="n"/>
    </row>
    <row r="44" ht="13.2" customHeight="1" s="177">
      <c r="A44" s="217" t="inlineStr">
        <is>
          <t>Question</t>
        </is>
      </c>
      <c r="B44" s="284" t="n"/>
      <c r="C44" s="288" t="n"/>
      <c r="D44" s="289" t="n">
        <v>62444.4910573794</v>
      </c>
      <c r="E44" s="289" t="n">
        <v>58281.5249868874</v>
      </c>
      <c r="F44" s="289" t="n">
        <v>54118.5589163955</v>
      </c>
      <c r="G44" s="289" t="n">
        <v>49955.5928459035</v>
      </c>
      <c r="H44" s="290" t="n">
        <v>45792.6267754116</v>
      </c>
      <c r="J44" s="291" t="n"/>
      <c r="K44" s="291" t="n"/>
      <c r="L44" s="291" t="n"/>
      <c r="M44" s="291" t="n"/>
      <c r="N44" s="291" t="n"/>
      <c r="O44" s="291" t="n"/>
    </row>
    <row r="45" ht="13.2" customHeight="1" s="177">
      <c r="A45" s="217" t="inlineStr">
        <is>
          <t>Service Request</t>
        </is>
      </c>
      <c r="B45" s="284" t="n"/>
      <c r="C45" s="288" t="n"/>
      <c r="D45" s="289" t="n">
        <v>113799.719528591</v>
      </c>
      <c r="E45" s="289" t="n">
        <v>106213.071560019</v>
      </c>
      <c r="F45" s="289" t="n">
        <v>98626.4235914459</v>
      </c>
      <c r="G45" s="289" t="n">
        <v>91039.7756228732</v>
      </c>
      <c r="H45" s="290" t="n">
        <v>83453.12765430041</v>
      </c>
      <c r="J45" s="291" t="n"/>
      <c r="K45" s="291" t="n"/>
      <c r="L45" s="291" t="n"/>
      <c r="M45" s="291" t="n"/>
      <c r="N45" s="291" t="n"/>
      <c r="O45" s="291" t="n"/>
    </row>
    <row r="46" ht="13.2" customHeight="1" s="177">
      <c r="A46" s="219" t="n"/>
      <c r="B46" s="292" t="n"/>
      <c r="C46" s="293" t="n"/>
      <c r="D46" s="294" t="n"/>
      <c r="E46" s="294" t="n"/>
      <c r="F46" s="294" t="n"/>
      <c r="G46" s="294" t="n"/>
      <c r="H46" s="295" t="n"/>
      <c r="J46" s="296" t="n"/>
      <c r="K46" s="296" t="n"/>
      <c r="L46" s="296" t="n"/>
    </row>
    <row r="47" ht="13.8" customHeight="1" s="177">
      <c r="A47" s="190" t="inlineStr">
        <is>
          <t>LAN Services</t>
        </is>
      </c>
      <c r="B47" s="191" t="n"/>
      <c r="C47" s="191" t="n"/>
      <c r="D47" s="191" t="n"/>
      <c r="E47" s="191" t="n"/>
      <c r="F47" s="191" t="n"/>
      <c r="G47" s="191" t="n"/>
      <c r="H47" s="192" t="n"/>
      <c r="I47" s="184" t="n"/>
      <c r="J47" s="184" t="n"/>
      <c r="K47" s="184" t="n"/>
      <c r="L47" s="184" t="n"/>
    </row>
    <row r="48" ht="13.2" customHeight="1" s="177">
      <c r="A48" s="220" t="inlineStr">
        <is>
          <t>Support Services</t>
        </is>
      </c>
      <c r="B48" s="221" t="n"/>
      <c r="C48" s="221" t="n"/>
      <c r="D48" s="222" t="n"/>
      <c r="E48" s="222" t="n"/>
      <c r="F48" s="222" t="n"/>
      <c r="G48" s="222" t="n"/>
      <c r="H48" s="223" t="n"/>
      <c r="I48" s="184" t="n"/>
    </row>
    <row r="49" ht="13.2" customHeight="1" s="177">
      <c r="A49" s="224" t="inlineStr">
        <is>
          <t>Monitoring LAN port IT, SP, ...</t>
        </is>
      </c>
      <c r="B49" s="263" t="n"/>
      <c r="C49" s="297" t="n"/>
      <c r="D49" s="297" t="n"/>
      <c r="E49" s="297" t="n"/>
      <c r="F49" s="297" t="n"/>
      <c r="G49" s="297" t="n"/>
      <c r="H49" s="298" t="n"/>
      <c r="I49" s="184" t="n"/>
    </row>
    <row r="50" ht="13.2" customHeight="1" s="177">
      <c r="A50" s="201" t="inlineStr">
        <is>
          <t>Site Type A: # of Active LAN Ports</t>
        </is>
      </c>
      <c r="B50" s="263" t="n"/>
      <c r="C50" s="297" t="n"/>
      <c r="D50" s="297" t="n">
        <v>5324</v>
      </c>
      <c r="E50" s="297" t="n">
        <v>5324</v>
      </c>
      <c r="F50" s="297" t="n">
        <v>5324</v>
      </c>
      <c r="G50" s="297" t="n">
        <v>5324</v>
      </c>
      <c r="H50" s="298" t="n">
        <v>5324</v>
      </c>
      <c r="I50" s="184" t="n"/>
      <c r="J50" s="184" t="n"/>
      <c r="K50" s="184" t="n"/>
      <c r="L50" s="184" t="n"/>
    </row>
    <row r="51" ht="13.2" customHeight="1" s="177">
      <c r="A51" s="201" t="inlineStr">
        <is>
          <t>Site Type B: # of Active LAN Ports</t>
        </is>
      </c>
      <c r="B51" s="263" t="n"/>
      <c r="C51" s="297" t="n"/>
      <c r="D51" s="297" t="n">
        <v>8256</v>
      </c>
      <c r="E51" s="297" t="n">
        <v>8256</v>
      </c>
      <c r="F51" s="297" t="n">
        <v>8256</v>
      </c>
      <c r="G51" s="297" t="n">
        <v>8256</v>
      </c>
      <c r="H51" s="298" t="n">
        <v>8256</v>
      </c>
      <c r="I51" s="184" t="n"/>
      <c r="J51" s="184" t="n"/>
      <c r="K51" s="184" t="n"/>
      <c r="L51" s="184" t="n"/>
    </row>
    <row r="52" ht="13.2" customHeight="1" s="177">
      <c r="A52" s="201" t="inlineStr">
        <is>
          <t>Site Type C: # of Active LAN Ports</t>
        </is>
      </c>
      <c r="B52" s="299" t="n"/>
      <c r="C52" s="300" t="n"/>
      <c r="D52" s="300" t="n">
        <v>34295</v>
      </c>
      <c r="E52" s="300" t="n">
        <v>34295</v>
      </c>
      <c r="F52" s="300" t="n">
        <v>34295</v>
      </c>
      <c r="G52" s="300" t="n">
        <v>34295</v>
      </c>
      <c r="H52" s="301" t="n">
        <v>34295</v>
      </c>
      <c r="I52" s="184" t="n"/>
      <c r="J52" s="184" t="n"/>
      <c r="K52" s="184" t="n"/>
      <c r="L52" s="184" t="n"/>
    </row>
    <row r="53" ht="13.8" customHeight="1" s="177">
      <c r="A53" s="201" t="n"/>
      <c r="B53" s="299" t="n"/>
      <c r="C53" s="300" t="n"/>
      <c r="D53" s="300" t="n"/>
      <c r="E53" s="300" t="n"/>
      <c r="F53" s="302" t="n"/>
      <c r="G53" s="300" t="n"/>
      <c r="H53" s="301" t="n"/>
      <c r="I53" s="184" t="n"/>
    </row>
    <row r="54" ht="13.8" customHeight="1" s="177">
      <c r="A54" s="190" t="inlineStr">
        <is>
          <t>Voice Services</t>
        </is>
      </c>
      <c r="B54" s="191" t="n"/>
      <c r="C54" s="191" t="n"/>
      <c r="D54" s="191" t="n"/>
      <c r="E54" s="191" t="n"/>
      <c r="F54" s="191" t="n"/>
      <c r="G54" s="191" t="n"/>
      <c r="H54" s="192" t="n"/>
      <c r="J54" s="184" t="n"/>
      <c r="K54" s="184" t="n"/>
      <c r="L54" s="184" t="n"/>
    </row>
    <row r="55" ht="13.2" customHeight="1" s="177">
      <c r="A55" s="225" t="inlineStr">
        <is>
          <t>Locations (Systems &amp; Services)</t>
        </is>
      </c>
      <c r="B55" s="226" t="n"/>
      <c r="C55" s="303" t="n"/>
      <c r="D55" s="228" t="n"/>
      <c r="E55" s="228" t="n"/>
      <c r="F55" s="228" t="n"/>
      <c r="G55" s="228" t="n"/>
      <c r="H55" s="229" t="n"/>
      <c r="I55" s="184" t="n"/>
      <c r="J55" s="184" t="n"/>
      <c r="K55" s="184" t="n"/>
      <c r="L55" s="184" t="n"/>
    </row>
    <row r="56" ht="13.2" customHeight="1" s="177">
      <c r="A56" s="230" t="inlineStr">
        <is>
          <t>Call Centres</t>
        </is>
      </c>
      <c r="B56" s="231" t="inlineStr">
        <is>
          <t>Location</t>
        </is>
      </c>
      <c r="C56" s="202" t="n"/>
      <c r="D56" s="202" t="n">
        <v>10</v>
      </c>
      <c r="E56" s="202" t="n">
        <v>10</v>
      </c>
      <c r="F56" s="202" t="n">
        <v>10</v>
      </c>
      <c r="G56" s="202" t="n">
        <v>10</v>
      </c>
      <c r="H56" s="203" t="n">
        <v>10</v>
      </c>
      <c r="I56" s="184" t="n"/>
      <c r="J56" s="184" t="n"/>
      <c r="K56" s="184" t="n"/>
      <c r="L56" s="184" t="n"/>
    </row>
    <row r="57" ht="13.2" customHeight="1" s="177">
      <c r="A57" s="230" t="inlineStr">
        <is>
          <t xml:space="preserve">  Employee ISDN</t>
        </is>
      </c>
      <c r="B57" s="231" t="inlineStr">
        <is>
          <t>Location</t>
        </is>
      </c>
      <c r="C57" s="202" t="n"/>
      <c r="D57" s="202" t="n">
        <v>1200</v>
      </c>
      <c r="E57" s="202" t="n">
        <v>1200</v>
      </c>
      <c r="F57" s="202" t="n">
        <v>1200</v>
      </c>
      <c r="G57" s="202" t="n">
        <v>1200</v>
      </c>
      <c r="H57" s="203" t="n">
        <v>1200</v>
      </c>
      <c r="I57" s="184" t="n"/>
      <c r="J57" s="184" t="n"/>
      <c r="K57" s="184" t="n"/>
      <c r="L57" s="184" t="n"/>
    </row>
    <row r="58" ht="13.2" customHeight="1" s="177">
      <c r="A58" s="230" t="n"/>
      <c r="B58" s="231" t="n"/>
      <c r="C58" s="202" t="n"/>
      <c r="D58" s="202" t="n"/>
      <c r="E58" s="202" t="n"/>
      <c r="F58" s="202" t="n"/>
      <c r="G58" s="202" t="n"/>
      <c r="H58" s="203" t="n"/>
      <c r="I58" s="184" t="n"/>
      <c r="J58" s="184" t="n"/>
      <c r="K58" s="184" t="n"/>
      <c r="L58" s="184" t="n"/>
    </row>
    <row r="59" ht="13.2" customHeight="1" s="177">
      <c r="A59" s="230" t="inlineStr">
        <is>
          <t xml:space="preserve">  Videoconferencing rooms</t>
        </is>
      </c>
      <c r="B59" s="231" t="inlineStr">
        <is>
          <t>Rooms</t>
        </is>
      </c>
      <c r="C59" s="202" t="n"/>
      <c r="D59" s="202" t="n">
        <v>34</v>
      </c>
      <c r="E59" s="202" t="n">
        <v>34</v>
      </c>
      <c r="F59" s="202" t="n">
        <v>34</v>
      </c>
      <c r="G59" s="202" t="n">
        <v>34</v>
      </c>
      <c r="H59" s="203" t="n">
        <v>34</v>
      </c>
      <c r="I59" s="184" t="n"/>
      <c r="J59" s="184" t="n"/>
      <c r="K59" s="184" t="n"/>
      <c r="L59" s="184" t="n"/>
    </row>
    <row r="60" ht="13.2" customHeight="1" s="177">
      <c r="A60" s="216" t="inlineStr">
        <is>
          <t xml:space="preserve">  PBXs: Small (1-50)</t>
        </is>
      </c>
      <c r="B60" s="231" t="inlineStr">
        <is>
          <t>System</t>
        </is>
      </c>
      <c r="C60" s="202" t="n"/>
      <c r="D60" s="202" t="n">
        <v>186</v>
      </c>
      <c r="E60" s="202" t="n">
        <v>186</v>
      </c>
      <c r="F60" s="202" t="n">
        <v>186</v>
      </c>
      <c r="G60" s="202" t="n">
        <v>186</v>
      </c>
      <c r="H60" s="203" t="n">
        <v>186</v>
      </c>
      <c r="I60" s="184" t="n"/>
      <c r="J60" s="184" t="n"/>
      <c r="K60" s="184" t="n"/>
      <c r="L60" s="184" t="n"/>
    </row>
    <row r="61" ht="13.2" customHeight="1" s="177">
      <c r="A61" s="230" t="inlineStr">
        <is>
          <t xml:space="preserve">            Medium (50-500)</t>
        </is>
      </c>
      <c r="B61" s="231" t="inlineStr">
        <is>
          <t>System</t>
        </is>
      </c>
      <c r="C61" s="202" t="n"/>
      <c r="D61" s="202" t="n">
        <v>147</v>
      </c>
      <c r="E61" s="202" t="n">
        <v>147</v>
      </c>
      <c r="F61" s="202" t="n">
        <v>147</v>
      </c>
      <c r="G61" s="202" t="n">
        <v>147</v>
      </c>
      <c r="H61" s="203" t="n">
        <v>147</v>
      </c>
      <c r="I61" s="184" t="n"/>
      <c r="J61" s="184" t="n"/>
      <c r="K61" s="184" t="n"/>
      <c r="L61" s="184" t="n"/>
    </row>
    <row r="62" ht="13.2" customHeight="1" s="177">
      <c r="A62" s="230" t="inlineStr">
        <is>
          <t xml:space="preserve">            Large (500+)</t>
        </is>
      </c>
      <c r="B62" s="231" t="inlineStr">
        <is>
          <t>System</t>
        </is>
      </c>
      <c r="C62" s="202" t="n"/>
      <c r="D62" s="202" t="n">
        <v>25</v>
      </c>
      <c r="E62" s="202" t="n">
        <v>25</v>
      </c>
      <c r="F62" s="202" t="n">
        <v>25</v>
      </c>
      <c r="G62" s="202" t="n">
        <v>25</v>
      </c>
      <c r="H62" s="203" t="n">
        <v>25</v>
      </c>
      <c r="I62" s="184" t="n"/>
      <c r="J62" s="184" t="n"/>
      <c r="K62" s="184" t="n"/>
      <c r="L62" s="184" t="n"/>
    </row>
    <row r="63" ht="13.2" customHeight="1" s="177">
      <c r="A63" s="216" t="inlineStr">
        <is>
          <t xml:space="preserve">  Handsets - Digital (incl. DECT)</t>
        </is>
      </c>
      <c r="B63" s="231" t="inlineStr">
        <is>
          <t>set</t>
        </is>
      </c>
      <c r="C63" s="202" t="n"/>
      <c r="D63" s="202" t="n">
        <v>41870</v>
      </c>
      <c r="E63" s="202" t="n">
        <v>42870</v>
      </c>
      <c r="F63" s="202" t="n">
        <v>43870</v>
      </c>
      <c r="G63" s="202" t="n">
        <v>44870</v>
      </c>
      <c r="H63" s="203" t="n">
        <v>44870</v>
      </c>
      <c r="I63" s="184" t="n"/>
      <c r="J63" s="184" t="n"/>
      <c r="K63" s="184" t="n"/>
      <c r="L63" s="184" t="n"/>
    </row>
    <row r="64" ht="13.2" customHeight="1" s="177">
      <c r="A64" s="216" t="inlineStr">
        <is>
          <t xml:space="preserve">  Handsets - Analog</t>
        </is>
      </c>
      <c r="B64" s="231" t="inlineStr">
        <is>
          <t>set</t>
        </is>
      </c>
      <c r="C64" s="202" t="n"/>
      <c r="D64" s="202" t="n">
        <v>13000</v>
      </c>
      <c r="E64" s="202" t="n">
        <v>12000</v>
      </c>
      <c r="F64" s="202" t="n">
        <v>11000</v>
      </c>
      <c r="G64" s="202" t="n">
        <v>10000</v>
      </c>
      <c r="H64" s="203" t="n">
        <v>10000</v>
      </c>
      <c r="I64" s="184" t="n"/>
      <c r="J64" s="184" t="n"/>
      <c r="K64" s="184" t="n"/>
      <c r="L64" s="184" t="n"/>
    </row>
    <row r="65" ht="13.2" customHeight="1" s="177">
      <c r="A65" s="216" t="inlineStr">
        <is>
          <t xml:space="preserve">  Cellular Phones </t>
        </is>
      </c>
      <c r="B65" s="231" t="inlineStr">
        <is>
          <t>set</t>
        </is>
      </c>
      <c r="C65" s="202" t="n"/>
      <c r="D65" s="202" t="n">
        <v>9500</v>
      </c>
      <c r="E65" s="202" t="n">
        <v>10000</v>
      </c>
      <c r="F65" s="202" t="n">
        <v>11000</v>
      </c>
      <c r="G65" s="202" t="n">
        <v>11000</v>
      </c>
      <c r="H65" s="203" t="n">
        <v>11000</v>
      </c>
      <c r="I65" s="184" t="n"/>
      <c r="J65" s="184" t="n"/>
      <c r="K65" s="184" t="n"/>
      <c r="L65" s="184" t="n"/>
    </row>
    <row r="66" ht="13.2" customHeight="1" s="177">
      <c r="A66" s="216" t="inlineStr">
        <is>
          <t xml:space="preserve">  GPRS/UMTS Cards or Devices</t>
        </is>
      </c>
      <c r="B66" s="231" t="inlineStr">
        <is>
          <t>Subscriptions</t>
        </is>
      </c>
      <c r="C66" s="202" t="n"/>
      <c r="D66" s="202" t="n">
        <v>100</v>
      </c>
      <c r="E66" s="202" t="n">
        <v>120</v>
      </c>
      <c r="F66" s="202" t="n">
        <v>120</v>
      </c>
      <c r="G66" s="202" t="n">
        <v>120</v>
      </c>
      <c r="H66" s="203" t="n">
        <v>120</v>
      </c>
      <c r="I66" s="184" t="n"/>
      <c r="J66" s="184" t="n"/>
      <c r="K66" s="184" t="n"/>
      <c r="L66" s="184" t="n"/>
    </row>
    <row r="67" ht="13.2" customHeight="1" s="177">
      <c r="A67" s="230" t="inlineStr">
        <is>
          <t xml:space="preserve">  Blackberries</t>
        </is>
      </c>
      <c r="B67" s="231" t="inlineStr">
        <is>
          <t>Devices</t>
        </is>
      </c>
      <c r="C67" s="202" t="n"/>
      <c r="D67" s="202" t="n">
        <v>650</v>
      </c>
      <c r="E67" s="202" t="n">
        <v>900</v>
      </c>
      <c r="F67" s="202" t="n">
        <v>1000</v>
      </c>
      <c r="G67" s="202" t="n">
        <v>1000</v>
      </c>
      <c r="H67" s="203" t="n">
        <v>1000</v>
      </c>
      <c r="I67" s="184" t="n"/>
      <c r="J67" s="184" t="n"/>
      <c r="K67" s="184" t="n"/>
      <c r="L67" s="184" t="n"/>
    </row>
    <row r="68" ht="13.2" customHeight="1" s="177">
      <c r="A68" s="216" t="inlineStr">
        <is>
          <t>Internal Pagers</t>
        </is>
      </c>
      <c r="B68" s="231" t="inlineStr">
        <is>
          <t>Devices</t>
        </is>
      </c>
      <c r="C68" s="202" t="n"/>
      <c r="D68" s="202" t="n">
        <v>0</v>
      </c>
      <c r="E68" s="202" t="n">
        <v>0</v>
      </c>
      <c r="F68" s="202" t="n">
        <v>0</v>
      </c>
      <c r="G68" s="202" t="n">
        <v>0</v>
      </c>
      <c r="H68" s="203" t="n">
        <v>0</v>
      </c>
      <c r="I68" s="184" t="n"/>
      <c r="J68" s="184" t="n"/>
      <c r="K68" s="184" t="n"/>
      <c r="L68" s="184" t="n"/>
    </row>
    <row r="69" ht="13.2" customHeight="1" s="177">
      <c r="A69" s="216" t="inlineStr">
        <is>
          <t>External Pagers</t>
        </is>
      </c>
      <c r="B69" s="231" t="inlineStr">
        <is>
          <t>Devices</t>
        </is>
      </c>
      <c r="C69" s="202" t="n"/>
      <c r="D69" s="202" t="n">
        <v>180</v>
      </c>
      <c r="E69" s="202" t="n">
        <v>180</v>
      </c>
      <c r="F69" s="202" t="n">
        <v>180</v>
      </c>
      <c r="G69" s="202" t="n">
        <v>180</v>
      </c>
      <c r="H69" s="203" t="n">
        <v>180</v>
      </c>
      <c r="I69" s="184" t="n"/>
      <c r="J69" s="184" t="n"/>
      <c r="K69" s="184" t="n"/>
      <c r="L69" s="184" t="n"/>
    </row>
    <row r="70" ht="13.2" customHeight="1" s="177">
      <c r="A70" s="232" t="n"/>
      <c r="B70" s="233" t="n"/>
      <c r="C70" s="234" t="n"/>
      <c r="D70" s="234" t="n"/>
      <c r="E70" s="234" t="n"/>
      <c r="F70" s="234" t="n"/>
      <c r="G70" s="234" t="n"/>
      <c r="H70" s="235" t="n"/>
      <c r="I70" s="184" t="n"/>
      <c r="J70" s="184" t="n"/>
      <c r="K70" s="184" t="n"/>
      <c r="L70" s="184" t="n"/>
    </row>
    <row r="71" ht="13.2" customHeight="1" s="177">
      <c r="A71" s="236" t="inlineStr">
        <is>
          <t>VOICE</t>
        </is>
      </c>
      <c r="B71" s="237" t="n"/>
      <c r="C71" s="304" t="n"/>
      <c r="D71" s="304" t="n"/>
      <c r="E71" s="304" t="n"/>
      <c r="F71" s="304" t="n"/>
      <c r="G71" s="304" t="n"/>
      <c r="H71" s="305" t="n"/>
      <c r="I71" s="184" t="n"/>
    </row>
    <row r="72" ht="13.2" customHeight="1" s="177">
      <c r="A72" s="216" t="inlineStr">
        <is>
          <t>Domestic Outbound Calls - Local</t>
        </is>
      </c>
      <c r="B72" s="231" t="inlineStr">
        <is>
          <t>Min.</t>
        </is>
      </c>
      <c r="C72" s="306" t="n"/>
      <c r="D72" s="306" t="n">
        <v>34815462.8333333</v>
      </c>
      <c r="E72" s="306" t="n">
        <v>34815462.8333333</v>
      </c>
      <c r="F72" s="306" t="n">
        <v>34815462.8333333</v>
      </c>
      <c r="G72" s="306" t="n">
        <v>34815462.8333333</v>
      </c>
      <c r="H72" s="307" t="n">
        <v>34815462.8333333</v>
      </c>
      <c r="I72" s="184" t="n"/>
    </row>
    <row r="73" ht="13.2" customHeight="1" s="177">
      <c r="A73" s="216" t="inlineStr">
        <is>
          <t>Domestic Outbound Calls - Long Distance</t>
        </is>
      </c>
      <c r="B73" s="231" t="inlineStr">
        <is>
          <t>Min.</t>
        </is>
      </c>
      <c r="C73" s="306" t="n"/>
      <c r="D73" s="306" t="n">
        <v>44174798.7833333</v>
      </c>
      <c r="E73" s="306" t="n">
        <v>44174798.7833333</v>
      </c>
      <c r="F73" s="306" t="n">
        <v>44174798.7833333</v>
      </c>
      <c r="G73" s="306" t="n">
        <v>44174798.7833333</v>
      </c>
      <c r="H73" s="307" t="n">
        <v>44174798.7833333</v>
      </c>
      <c r="I73" s="184" t="n"/>
    </row>
    <row r="74" ht="13.2" customHeight="1" s="177">
      <c r="A74" s="216" t="inlineStr">
        <is>
          <t>Domestic Outbound Calls - Cellular</t>
        </is>
      </c>
      <c r="B74" s="231" t="inlineStr">
        <is>
          <t>Min.</t>
        </is>
      </c>
      <c r="C74" s="306" t="n"/>
      <c r="D74" s="306" t="n">
        <v>11135995.4666667</v>
      </c>
      <c r="E74" s="306" t="n">
        <v>11135995.4666667</v>
      </c>
      <c r="F74" s="306" t="n">
        <v>11135995.4666667</v>
      </c>
      <c r="G74" s="306" t="n">
        <v>11135995.4666667</v>
      </c>
      <c r="H74" s="307" t="n">
        <v>11135995.4666667</v>
      </c>
      <c r="I74" s="184" t="n"/>
    </row>
    <row r="75" ht="13.2" customHeight="1" s="177">
      <c r="A75" s="216" t="inlineStr">
        <is>
          <t>International Outbound Calls</t>
        </is>
      </c>
      <c r="B75" s="231" t="inlineStr">
        <is>
          <t>Min.</t>
        </is>
      </c>
      <c r="C75" s="306" t="n"/>
      <c r="D75" s="308" t="n">
        <v>7172137.93333333</v>
      </c>
      <c r="E75" s="308" t="n">
        <v>7172137.93333333</v>
      </c>
      <c r="F75" s="308" t="n">
        <v>7172137.93333333</v>
      </c>
      <c r="G75" s="308" t="n">
        <v>7172137.93333333</v>
      </c>
      <c r="H75" s="309" t="n">
        <v>7172137.93333333</v>
      </c>
      <c r="I75" s="184" t="n"/>
    </row>
    <row r="76" ht="13.2" customHeight="1" s="177">
      <c r="A76" s="216" t="inlineStr">
        <is>
          <t>Mobile - national</t>
        </is>
      </c>
      <c r="B76" s="231" t="inlineStr">
        <is>
          <t>Min</t>
        </is>
      </c>
      <c r="C76" s="308" t="n"/>
      <c r="D76" s="308" t="n">
        <v>22538930</v>
      </c>
      <c r="E76" s="308" t="n">
        <v>24587920</v>
      </c>
      <c r="F76" s="308" t="n">
        <v>26636910</v>
      </c>
      <c r="G76" s="308" t="n">
        <v>26636910</v>
      </c>
      <c r="H76" s="309" t="n">
        <v>26636910</v>
      </c>
      <c r="I76" s="184" t="n"/>
    </row>
    <row r="77" ht="13.2" customHeight="1" s="177">
      <c r="A77" s="216" t="inlineStr">
        <is>
          <t>Mobile - international</t>
        </is>
      </c>
      <c r="B77" s="231" t="inlineStr">
        <is>
          <t>Min</t>
        </is>
      </c>
      <c r="C77" s="308" t="n"/>
      <c r="D77" s="308" t="n">
        <v>627370</v>
      </c>
      <c r="E77" s="308" t="n">
        <v>684400</v>
      </c>
      <c r="F77" s="308" t="n">
        <v>741430</v>
      </c>
      <c r="G77" s="308" t="n">
        <v>741430</v>
      </c>
      <c r="H77" s="309" t="n">
        <v>741430</v>
      </c>
      <c r="I77" s="184" t="n"/>
    </row>
    <row r="78" ht="13.2" customHeight="1" s="177">
      <c r="A78" s="216" t="inlineStr">
        <is>
          <t>Mobile - roaming outbound</t>
        </is>
      </c>
      <c r="B78" s="231" t="inlineStr">
        <is>
          <t>Min</t>
        </is>
      </c>
      <c r="C78" s="308" t="n"/>
      <c r="D78" s="308" t="n">
        <v>1076850</v>
      </c>
      <c r="E78" s="308" t="n">
        <v>1174740</v>
      </c>
      <c r="F78" s="308" t="n">
        <v>1272630</v>
      </c>
      <c r="G78" s="308" t="n">
        <v>1272630</v>
      </c>
      <c r="H78" s="309" t="n">
        <v>1272630</v>
      </c>
      <c r="I78" s="184" t="n"/>
    </row>
    <row r="79" ht="13.2" customHeight="1" s="177">
      <c r="A79" s="216" t="inlineStr">
        <is>
          <t>Mobile - roaming inbound</t>
        </is>
      </c>
      <c r="B79" s="231" t="inlineStr">
        <is>
          <t>Min</t>
        </is>
      </c>
      <c r="C79" s="308" t="n"/>
      <c r="D79" s="308" t="n">
        <v>453804</v>
      </c>
      <c r="E79" s="308" t="n">
        <v>453804</v>
      </c>
      <c r="F79" s="308" t="n">
        <v>453804</v>
      </c>
      <c r="G79" s="308" t="n">
        <v>453804</v>
      </c>
      <c r="H79" s="309" t="n">
        <v>453804</v>
      </c>
      <c r="I79" s="184" t="n"/>
    </row>
    <row r="80" ht="13.2" customHeight="1" s="177">
      <c r="A80" s="216" t="inlineStr">
        <is>
          <t>Free phone Service Calls</t>
        </is>
      </c>
      <c r="B80" s="231" t="inlineStr">
        <is>
          <t>Calls</t>
        </is>
      </c>
      <c r="C80" s="310" t="n"/>
      <c r="D80" s="310" t="n">
        <v>3700000</v>
      </c>
      <c r="E80" s="310" t="n">
        <v>3700000</v>
      </c>
      <c r="F80" s="310" t="n">
        <v>3700000</v>
      </c>
      <c r="G80" s="310" t="n">
        <v>3700000</v>
      </c>
      <c r="H80" s="311" t="n">
        <v>3700000</v>
      </c>
      <c r="I80" s="184" t="n"/>
    </row>
    <row r="81" ht="13.2" customHeight="1" s="177">
      <c r="A81" s="216" t="inlineStr">
        <is>
          <t>Free phone Services Dedicated</t>
        </is>
      </c>
      <c r="B81" s="231" t="inlineStr">
        <is>
          <t>Min.</t>
        </is>
      </c>
      <c r="C81" s="308" t="n"/>
      <c r="D81" s="308" t="n">
        <v>14540000</v>
      </c>
      <c r="E81" s="308" t="n">
        <v>14540000</v>
      </c>
      <c r="F81" s="308" t="n">
        <v>14540000</v>
      </c>
      <c r="G81" s="308" t="n">
        <v>14540000</v>
      </c>
      <c r="H81" s="309" t="n">
        <v>14540000</v>
      </c>
      <c r="I81" s="184" t="n"/>
      <c r="J81" s="184" t="n"/>
      <c r="K81" s="184" t="n"/>
      <c r="L81" s="184" t="n"/>
    </row>
    <row r="82" ht="13.2" customHeight="1" s="177">
      <c r="A82" s="243" t="inlineStr">
        <is>
          <t>High Tariff Outbound Calls (0900)</t>
        </is>
      </c>
      <c r="B82" s="231" t="inlineStr">
        <is>
          <t>Min.</t>
        </is>
      </c>
      <c r="C82" s="306" t="n"/>
      <c r="D82" s="306" t="n">
        <v>2355845.98333333</v>
      </c>
      <c r="E82" s="306" t="n">
        <v>2355845.98333333</v>
      </c>
      <c r="F82" s="306" t="n">
        <v>2355845.98333333</v>
      </c>
      <c r="G82" s="306" t="n">
        <v>2355845.98333333</v>
      </c>
      <c r="H82" s="307" t="n">
        <v>2355845.98333333</v>
      </c>
      <c r="I82" s="184" t="n"/>
    </row>
    <row r="83" ht="13.2" customHeight="1" s="177">
      <c r="A83" s="243" t="inlineStr">
        <is>
          <t>High Tariff Outbound Calls (0676 internet)</t>
        </is>
      </c>
      <c r="B83" s="231" t="inlineStr">
        <is>
          <t>Min.</t>
        </is>
      </c>
      <c r="C83" s="306" t="n"/>
      <c r="D83" s="306" t="n">
        <v>38505758.6666667</v>
      </c>
      <c r="E83" s="306" t="n">
        <v>38505758.6666667</v>
      </c>
      <c r="F83" s="306" t="n">
        <v>38505758.6666667</v>
      </c>
      <c r="G83" s="306" t="n">
        <v>38505758.6666667</v>
      </c>
      <c r="H83" s="307" t="n">
        <v>38505758.6666667</v>
      </c>
      <c r="I83" s="184" t="n"/>
    </row>
    <row r="84" ht="13.2" customHeight="1" s="177">
      <c r="A84" s="243" t="inlineStr">
        <is>
          <t>High Tariff Outbound Calls  Other</t>
        </is>
      </c>
      <c r="B84" s="231" t="inlineStr">
        <is>
          <t>Min.</t>
        </is>
      </c>
      <c r="C84" s="308" t="n"/>
      <c r="D84" s="308" t="n">
        <v>516265.75</v>
      </c>
      <c r="E84" s="308" t="n">
        <v>516265.75</v>
      </c>
      <c r="F84" s="308" t="n">
        <v>516265.75</v>
      </c>
      <c r="G84" s="308" t="n">
        <v>516265.75</v>
      </c>
      <c r="H84" s="309" t="n">
        <v>516265.75</v>
      </c>
      <c r="I84" s="184" t="n"/>
    </row>
    <row r="85" ht="13.2" customHeight="1" s="177">
      <c r="A85" s="216" t="inlineStr">
        <is>
          <t>Voice - Directory Assistance Calls</t>
        </is>
      </c>
      <c r="B85" s="231" t="inlineStr">
        <is>
          <t>Calls</t>
        </is>
      </c>
      <c r="C85" s="202" t="n"/>
      <c r="D85" s="202" t="n">
        <v>0</v>
      </c>
      <c r="E85" s="202" t="n">
        <v>0</v>
      </c>
      <c r="F85" s="202" t="n">
        <v>0</v>
      </c>
      <c r="G85" s="202" t="n">
        <v>0</v>
      </c>
      <c r="H85" s="203" t="n">
        <v>0</v>
      </c>
      <c r="I85" s="184" t="n"/>
    </row>
    <row r="86" ht="13.2" customHeight="1" s="177">
      <c r="A86" s="216" t="inlineStr">
        <is>
          <t>Voice - Hard IMACS</t>
        </is>
      </c>
      <c r="B86" s="231" t="inlineStr">
        <is>
          <t>per IMAC</t>
        </is>
      </c>
      <c r="C86" s="308" t="n"/>
      <c r="D86" s="308" t="n">
        <v>8600</v>
      </c>
      <c r="E86" s="308" t="n">
        <v>8000</v>
      </c>
      <c r="F86" s="308" t="n">
        <v>7400</v>
      </c>
      <c r="G86" s="308" t="n">
        <v>6800</v>
      </c>
      <c r="H86" s="309" t="n">
        <v>6200</v>
      </c>
      <c r="I86" s="184" t="n"/>
    </row>
    <row r="87" ht="13.2" customHeight="1" s="177">
      <c r="A87" s="216" t="n"/>
      <c r="B87" s="202" t="n"/>
      <c r="C87" s="202" t="n"/>
      <c r="D87" s="202" t="n"/>
      <c r="E87" s="202" t="n"/>
      <c r="F87" s="202" t="n"/>
      <c r="G87" s="202" t="n"/>
      <c r="H87" s="203" t="n"/>
      <c r="I87" s="184" t="n"/>
    </row>
    <row r="88" ht="13.2" customHeight="1" s="177">
      <c r="A88" s="236" t="inlineStr">
        <is>
          <t>Subscriptions</t>
        </is>
      </c>
      <c r="B88" s="237" t="n"/>
      <c r="C88" s="304" t="n"/>
      <c r="D88" s="304" t="n"/>
      <c r="E88" s="304" t="n"/>
      <c r="F88" s="304" t="n"/>
      <c r="G88" s="304" t="n"/>
      <c r="H88" s="305" t="n"/>
      <c r="I88" s="184" t="n"/>
    </row>
    <row r="89" ht="13.2" customHeight="1" s="177">
      <c r="A89" s="244" t="inlineStr">
        <is>
          <t>ISDN 1</t>
        </is>
      </c>
      <c r="B89" s="202" t="n"/>
      <c r="C89" s="312" t="n"/>
      <c r="D89" s="312" t="n">
        <v>88</v>
      </c>
      <c r="E89" s="312" t="n">
        <v>1139</v>
      </c>
      <c r="F89" s="312" t="n">
        <v>1139</v>
      </c>
      <c r="G89" s="312" t="n">
        <v>1139</v>
      </c>
      <c r="H89" s="313" t="n">
        <v>1139</v>
      </c>
      <c r="I89" s="184" t="n"/>
    </row>
    <row r="90" ht="13.2" customHeight="1" s="177">
      <c r="A90" s="244" t="inlineStr">
        <is>
          <t>ISDN 2</t>
        </is>
      </c>
      <c r="B90" s="202" t="n"/>
      <c r="C90" s="312" t="n"/>
      <c r="D90" s="312" t="n">
        <v>5068</v>
      </c>
      <c r="E90" s="312" t="n">
        <v>2729</v>
      </c>
      <c r="F90" s="312" t="n">
        <v>2729</v>
      </c>
      <c r="G90" s="312" t="n">
        <v>2729</v>
      </c>
      <c r="H90" s="313" t="n">
        <v>2729</v>
      </c>
      <c r="I90" s="184" t="n"/>
    </row>
    <row r="91" ht="13.2" customHeight="1" s="177">
      <c r="A91" s="244" t="inlineStr">
        <is>
          <t>ISDN 15</t>
        </is>
      </c>
      <c r="B91" s="202" t="n"/>
      <c r="C91" s="312" t="n"/>
      <c r="D91" s="312" t="n">
        <v>6</v>
      </c>
      <c r="E91" s="312" t="n">
        <v>4</v>
      </c>
      <c r="F91" s="312" t="n">
        <v>4</v>
      </c>
      <c r="G91" s="312" t="n">
        <v>4</v>
      </c>
      <c r="H91" s="313" t="n">
        <v>4</v>
      </c>
      <c r="I91" s="184" t="n"/>
    </row>
    <row r="92" ht="13.2" customHeight="1" s="177">
      <c r="A92" s="244" t="inlineStr">
        <is>
          <t xml:space="preserve">ISDN 30  </t>
        </is>
      </c>
      <c r="B92" s="202" t="n"/>
      <c r="C92" s="312" t="n"/>
      <c r="D92" s="312" t="n">
        <v>207</v>
      </c>
      <c r="E92" s="312" t="n">
        <v>166</v>
      </c>
      <c r="F92" s="312" t="n">
        <v>166</v>
      </c>
      <c r="G92" s="312" t="n">
        <v>166</v>
      </c>
      <c r="H92" s="313" t="n">
        <v>166</v>
      </c>
      <c r="I92" s="184" t="n"/>
    </row>
    <row r="93" ht="13.2" customHeight="1" s="177">
      <c r="A93" s="244" t="inlineStr">
        <is>
          <t>ISDN 30 (CPA)</t>
        </is>
      </c>
      <c r="B93" s="202" t="n"/>
      <c r="C93" s="312" t="n"/>
      <c r="D93" s="312" t="n">
        <v>317</v>
      </c>
      <c r="E93" s="312" t="n">
        <v>293</v>
      </c>
      <c r="F93" s="312" t="n">
        <v>293</v>
      </c>
      <c r="G93" s="312" t="n">
        <v>293</v>
      </c>
      <c r="H93" s="313" t="n">
        <v>293</v>
      </c>
      <c r="I93" s="184" t="n"/>
    </row>
    <row r="94" ht="13.2" customHeight="1" s="177">
      <c r="A94" s="244" t="inlineStr">
        <is>
          <t>Dual homing telephony</t>
        </is>
      </c>
      <c r="B94" s="202" t="n"/>
      <c r="C94" s="312" t="n"/>
      <c r="D94" s="312" t="n">
        <v>7</v>
      </c>
      <c r="E94" s="312" t="n">
        <v>7</v>
      </c>
      <c r="F94" s="312" t="n">
        <v>7</v>
      </c>
      <c r="G94" s="312" t="n">
        <v>7</v>
      </c>
      <c r="H94" s="313" t="n">
        <v>7</v>
      </c>
      <c r="I94" s="184" t="n"/>
    </row>
    <row r="95" ht="13.2" customHeight="1" s="177">
      <c r="A95" s="244" t="inlineStr">
        <is>
          <t>DDI reserved numbers (10)</t>
        </is>
      </c>
      <c r="B95" s="202" t="n"/>
      <c r="C95" s="312" t="n"/>
      <c r="D95" s="312" t="n">
        <v>1068</v>
      </c>
      <c r="E95" s="312" t="n">
        <v>542</v>
      </c>
      <c r="F95" s="312" t="n">
        <v>542</v>
      </c>
      <c r="G95" s="312" t="n">
        <v>542</v>
      </c>
      <c r="H95" s="313" t="n">
        <v>542</v>
      </c>
      <c r="I95" s="184" t="n"/>
    </row>
    <row r="96" ht="13.2" customHeight="1" s="177">
      <c r="A96" s="244" t="inlineStr">
        <is>
          <t>DDI reserved numbers (100)</t>
        </is>
      </c>
      <c r="B96" s="202" t="n"/>
      <c r="C96" s="312" t="n"/>
      <c r="D96" s="312" t="n">
        <v>735</v>
      </c>
      <c r="E96" s="312" t="n">
        <v>355</v>
      </c>
      <c r="F96" s="312" t="n">
        <v>355</v>
      </c>
      <c r="G96" s="312" t="n">
        <v>355</v>
      </c>
      <c r="H96" s="313" t="n">
        <v>355</v>
      </c>
      <c r="I96" s="184" t="n"/>
    </row>
    <row r="97" ht="13.2" customHeight="1" s="177">
      <c r="A97" s="244" t="inlineStr">
        <is>
          <t>DDI reserved numbers (1000)</t>
        </is>
      </c>
      <c r="B97" s="202" t="n"/>
      <c r="C97" s="312" t="n"/>
      <c r="D97" s="312" t="n">
        <v>55</v>
      </c>
      <c r="E97" s="312" t="n">
        <v>23</v>
      </c>
      <c r="F97" s="312" t="n">
        <v>23</v>
      </c>
      <c r="G97" s="312" t="n">
        <v>23</v>
      </c>
      <c r="H97" s="313" t="n">
        <v>23</v>
      </c>
      <c r="I97" s="184" t="n"/>
    </row>
    <row r="98" ht="13.2" customHeight="1" s="177">
      <c r="A98" s="244" t="inlineStr">
        <is>
          <t>DDI reserved numbers (10000)</t>
        </is>
      </c>
      <c r="B98" s="202" t="n"/>
      <c r="C98" s="312" t="n"/>
      <c r="D98" s="312" t="n">
        <v>3</v>
      </c>
      <c r="E98" s="312" t="n">
        <v>2</v>
      </c>
      <c r="F98" s="312" t="n">
        <v>2</v>
      </c>
      <c r="G98" s="312" t="n">
        <v>2</v>
      </c>
      <c r="H98" s="313" t="n">
        <v>2</v>
      </c>
      <c r="I98" s="184" t="n"/>
    </row>
    <row r="99" ht="13.2" customHeight="1" s="177">
      <c r="A99" s="244" t="inlineStr">
        <is>
          <t>DDI facilities</t>
        </is>
      </c>
      <c r="B99" s="202" t="n"/>
      <c r="C99" s="312" t="n"/>
      <c r="D99" s="312" t="n">
        <v>845.062992125984</v>
      </c>
      <c r="E99" s="312" t="n">
        <v>845.062992125984</v>
      </c>
      <c r="F99" s="312" t="n">
        <v>845.062992125984</v>
      </c>
      <c r="G99" s="312" t="n">
        <v>845.062992125984</v>
      </c>
      <c r="H99" s="313" t="n">
        <v>845.062992125984</v>
      </c>
      <c r="I99" s="184" t="n"/>
    </row>
    <row r="100" ht="13.2" customHeight="1" s="177">
      <c r="A100" s="244" t="inlineStr">
        <is>
          <t>Calamity services</t>
        </is>
      </c>
      <c r="B100" s="202" t="n"/>
      <c r="C100" s="312" t="n"/>
      <c r="D100" s="312" t="n">
        <v>7</v>
      </c>
      <c r="E100" s="312" t="n">
        <v>7</v>
      </c>
      <c r="F100" s="312" t="n">
        <v>7</v>
      </c>
      <c r="G100" s="312" t="n">
        <v>7</v>
      </c>
      <c r="H100" s="313" t="n">
        <v>7</v>
      </c>
      <c r="I100" s="184" t="n"/>
    </row>
    <row r="101" ht="13.2" customHeight="1" s="177">
      <c r="A101" s="244" t="inlineStr">
        <is>
          <t>Infrastructure services</t>
        </is>
      </c>
      <c r="B101" s="202" t="n"/>
      <c r="C101" s="312" t="n"/>
      <c r="D101" s="312" t="n">
        <v>2994</v>
      </c>
      <c r="E101" s="312" t="n">
        <v>2994</v>
      </c>
      <c r="F101" s="312" t="n">
        <v>2994</v>
      </c>
      <c r="G101" s="312" t="n">
        <v>2994</v>
      </c>
      <c r="H101" s="313" t="n">
        <v>2994</v>
      </c>
      <c r="I101" s="184" t="n"/>
    </row>
    <row r="102" ht="13.2" customHeight="1" s="177">
      <c r="A102" s="244" t="inlineStr">
        <is>
          <t>ADSL</t>
        </is>
      </c>
      <c r="B102" s="202" t="n"/>
      <c r="C102" s="312" t="n"/>
      <c r="D102" s="312" t="n">
        <v>597</v>
      </c>
      <c r="E102" s="312" t="n">
        <v>1472</v>
      </c>
      <c r="F102" s="312" t="n">
        <v>1472</v>
      </c>
      <c r="G102" s="312" t="n">
        <v>1472</v>
      </c>
      <c r="H102" s="313" t="n">
        <v>1472</v>
      </c>
      <c r="I102" s="184" t="n"/>
    </row>
    <row r="103" ht="13.2" customHeight="1" s="177">
      <c r="A103" s="244" t="inlineStr">
        <is>
          <t>PSTN</t>
        </is>
      </c>
      <c r="B103" s="202" t="n"/>
      <c r="C103" s="312" t="n"/>
      <c r="D103" s="312" t="n">
        <v>3515.00000000001</v>
      </c>
      <c r="E103" s="312" t="n">
        <v>3156.00000000001</v>
      </c>
      <c r="F103" s="312" t="n">
        <v>3156.00000000001</v>
      </c>
      <c r="G103" s="312" t="n">
        <v>3156.00000000001</v>
      </c>
      <c r="H103" s="313" t="n">
        <v>3156.00000000001</v>
      </c>
      <c r="I103" s="184" t="n"/>
    </row>
    <row r="104" ht="13.2" customHeight="1" s="177">
      <c r="A104" s="244" t="inlineStr">
        <is>
          <t>Telex</t>
        </is>
      </c>
      <c r="B104" s="202" t="n"/>
      <c r="C104" s="312" t="n"/>
      <c r="D104" s="312" t="n">
        <v>70</v>
      </c>
      <c r="E104" s="312" t="n">
        <v>0</v>
      </c>
      <c r="F104" s="312" t="n">
        <v>0</v>
      </c>
      <c r="G104" s="312" t="n">
        <v>0</v>
      </c>
      <c r="H104" s="313" t="n">
        <v>0</v>
      </c>
      <c r="I104" s="184" t="n"/>
    </row>
    <row r="105" ht="13.8" customHeight="1" s="177">
      <c r="A105" s="216" t="n"/>
      <c r="B105" s="245" t="n"/>
      <c r="C105" s="245" t="n"/>
      <c r="D105" s="245" t="n"/>
      <c r="E105" s="245" t="n"/>
      <c r="F105" s="245" t="n"/>
      <c r="G105" s="245" t="n"/>
      <c r="H105" s="246" t="n"/>
      <c r="I105" s="184" t="n"/>
    </row>
    <row r="106" ht="13.8" customHeight="1" s="177">
      <c r="A106" s="190" t="inlineStr">
        <is>
          <t>Server Management</t>
        </is>
      </c>
      <c r="B106" s="191" t="n"/>
      <c r="C106" s="191" t="n"/>
      <c r="D106" s="191" t="n"/>
      <c r="E106" s="191" t="n"/>
      <c r="F106" s="191" t="n"/>
      <c r="G106" s="191" t="n"/>
      <c r="H106" s="192" t="n"/>
      <c r="J106" s="184" t="n"/>
      <c r="K106" s="184" t="n"/>
      <c r="L106" s="184" t="n"/>
    </row>
    <row r="107" ht="13.2" customHeight="1" s="177">
      <c r="A107" s="249" t="inlineStr">
        <is>
          <t>Support Services</t>
        </is>
      </c>
      <c r="B107" s="314" t="n"/>
      <c r="C107" s="238" t="n"/>
      <c r="D107" s="238" t="n"/>
      <c r="E107" s="238" t="n"/>
      <c r="F107" s="238" t="n"/>
      <c r="G107" s="238" t="n"/>
      <c r="H107" s="239" t="n"/>
      <c r="I107" s="184" t="n"/>
    </row>
    <row r="108" ht="13.8" customHeight="1" s="177">
      <c r="A108" s="250" t="n"/>
      <c r="B108" s="315" t="n"/>
      <c r="C108" s="251" t="n"/>
      <c r="D108" s="252" t="n"/>
      <c r="E108" s="252" t="n"/>
      <c r="F108" s="252" t="n"/>
      <c r="G108" s="252" t="n"/>
      <c r="H108" s="253" t="n"/>
      <c r="I108" s="184" t="n"/>
    </row>
    <row r="109" ht="13.2" customHeight="1" s="177">
      <c r="A109" s="201" t="inlineStr">
        <is>
          <t>Number of Servers</t>
        </is>
      </c>
      <c r="B109" s="263" t="n"/>
      <c r="C109" s="208" t="n"/>
      <c r="D109" s="208" t="n">
        <v>2500</v>
      </c>
      <c r="E109" s="208" t="n">
        <v>2500</v>
      </c>
      <c r="F109" s="208" t="n">
        <v>2500</v>
      </c>
      <c r="G109" s="208" t="n">
        <v>2500</v>
      </c>
      <c r="H109" s="209" t="n">
        <v>2500</v>
      </c>
      <c r="I109" s="316" t="n"/>
      <c r="J109" s="184" t="n"/>
      <c r="K109" s="184" t="n"/>
      <c r="L109" s="184" t="n"/>
    </row>
    <row r="110" ht="13.2" customHeight="1" s="177">
      <c r="A110" s="201" t="inlineStr">
        <is>
          <t>Number of Production Servers</t>
        </is>
      </c>
      <c r="B110" s="263" t="n"/>
      <c r="C110" s="208" t="n"/>
      <c r="D110" s="208" t="n"/>
      <c r="E110" s="208" t="n"/>
      <c r="F110" s="208" t="n"/>
      <c r="G110" s="208" t="n"/>
      <c r="H110" s="209" t="n"/>
      <c r="I110" s="316" t="n"/>
      <c r="J110" s="184" t="n"/>
      <c r="K110" s="184" t="n"/>
      <c r="L110" s="184" t="n"/>
    </row>
    <row r="111" ht="13.2" customHeight="1" s="177">
      <c r="A111" s="201" t="inlineStr">
        <is>
          <t>Number of High Availability Servers</t>
        </is>
      </c>
      <c r="B111" s="263" t="n"/>
      <c r="C111" s="208" t="n"/>
      <c r="D111" s="208" t="n"/>
      <c r="E111" s="208" t="n"/>
      <c r="F111" s="208" t="n"/>
      <c r="G111" s="208" t="n"/>
      <c r="H111" s="209" t="n"/>
      <c r="I111" s="316" t="n"/>
      <c r="J111" s="184" t="n"/>
      <c r="K111" s="184" t="n"/>
      <c r="L111" s="184" t="n"/>
    </row>
    <row r="112" ht="13.2" customHeight="1" s="177">
      <c r="A112" s="201" t="inlineStr">
        <is>
          <t>Number of Centralised Servers</t>
        </is>
      </c>
      <c r="B112" s="263" t="n"/>
      <c r="C112" s="208" t="n"/>
      <c r="D112" s="208" t="n"/>
      <c r="E112" s="208" t="n"/>
      <c r="F112" s="208" t="n"/>
      <c r="G112" s="208" t="n"/>
      <c r="H112" s="209" t="n"/>
      <c r="I112" s="316" t="n"/>
      <c r="J112" s="184" t="n"/>
      <c r="K112" s="184" t="n"/>
      <c r="L112" s="184" t="n"/>
    </row>
    <row r="113" ht="13.2" customHeight="1" s="177">
      <c r="A113" s="201" t="inlineStr">
        <is>
          <t>Number of Decentralized Servers</t>
        </is>
      </c>
      <c r="B113" s="263" t="n"/>
      <c r="C113" s="208" t="n"/>
      <c r="D113" s="208" t="n"/>
      <c r="E113" s="208" t="n"/>
      <c r="F113" s="208" t="n"/>
      <c r="G113" s="208" t="n"/>
      <c r="H113" s="209" t="n"/>
      <c r="I113" s="316" t="n"/>
      <c r="J113" s="184" t="n"/>
      <c r="K113" s="184" t="n"/>
      <c r="L113" s="184" t="n"/>
    </row>
    <row r="114" ht="13.2" customHeight="1" s="177">
      <c r="A114" s="201" t="inlineStr">
        <is>
          <t>Number of Pedestal Servers</t>
        </is>
      </c>
      <c r="B114" s="263" t="n"/>
      <c r="C114" s="208" t="n"/>
      <c r="D114" s="208" t="n"/>
      <c r="E114" s="208" t="n"/>
      <c r="F114" s="208" t="n"/>
      <c r="G114" s="208" t="n"/>
      <c r="H114" s="209" t="n"/>
      <c r="I114" s="316" t="n"/>
      <c r="J114" s="184" t="n"/>
      <c r="K114" s="184" t="n"/>
      <c r="L114" s="184" t="n"/>
    </row>
    <row r="115" ht="13.2" customHeight="1" s="177">
      <c r="A115" s="201" t="inlineStr">
        <is>
          <t>Number of Rack Servers</t>
        </is>
      </c>
      <c r="B115" s="263" t="n"/>
      <c r="C115" s="208" t="n"/>
      <c r="D115" s="208" t="n"/>
      <c r="E115" s="208" t="n"/>
      <c r="F115" s="208" t="n"/>
      <c r="G115" s="208" t="n"/>
      <c r="H115" s="209" t="n"/>
      <c r="I115" s="316" t="n"/>
      <c r="J115" s="184" t="n"/>
      <c r="K115" s="184" t="n"/>
      <c r="L115" s="184" t="n"/>
    </row>
    <row r="116" ht="13.2" customHeight="1" s="177">
      <c r="A116" s="201" t="inlineStr">
        <is>
          <t>Number of Blade Servers</t>
        </is>
      </c>
      <c r="B116" s="263" t="n"/>
      <c r="C116" s="208" t="n"/>
      <c r="D116" s="208" t="n"/>
      <c r="E116" s="208" t="n"/>
      <c r="F116" s="208" t="n"/>
      <c r="G116" s="208" t="n"/>
      <c r="H116" s="209" t="n"/>
      <c r="I116" s="316" t="n"/>
      <c r="J116" s="184" t="n"/>
      <c r="K116" s="184" t="n"/>
      <c r="L116" s="184" t="n"/>
    </row>
    <row r="117" ht="13.2" customHeight="1" s="177">
      <c r="A117" s="201" t="n"/>
      <c r="B117" s="263" t="n"/>
      <c r="C117" s="208" t="n"/>
      <c r="D117" s="208" t="n"/>
      <c r="E117" s="208" t="n"/>
      <c r="F117" s="208" t="n"/>
      <c r="G117" s="208" t="n"/>
      <c r="H117" s="209" t="n"/>
      <c r="I117" s="316" t="n"/>
      <c r="J117" s="184" t="n"/>
      <c r="K117" s="184" t="n"/>
      <c r="L117" s="184" t="n"/>
    </row>
    <row r="118" ht="13.2" customHeight="1" s="177">
      <c r="A118" s="201" t="n"/>
      <c r="B118" s="263" t="n"/>
      <c r="C118" s="208" t="n"/>
      <c r="D118" s="208" t="n"/>
      <c r="E118" s="208" t="n"/>
      <c r="F118" s="208" t="n"/>
      <c r="G118" s="208" t="n"/>
      <c r="H118" s="209" t="n"/>
      <c r="I118" s="316" t="n"/>
      <c r="J118" s="184" t="n"/>
      <c r="K118" s="184" t="n"/>
      <c r="L118" s="184" t="n"/>
    </row>
    <row r="119" ht="13.2" customHeight="1" s="177">
      <c r="A119" s="201" t="inlineStr">
        <is>
          <t>Total DAS (TB)</t>
        </is>
      </c>
      <c r="B119" s="263" t="n"/>
      <c r="C119" s="208" t="n"/>
      <c r="D119" s="208" t="n">
        <v>116.836527802684</v>
      </c>
      <c r="E119" s="208" t="n">
        <v>110</v>
      </c>
      <c r="F119" s="208" t="n">
        <v>110</v>
      </c>
      <c r="G119" s="208" t="n">
        <v>110</v>
      </c>
      <c r="H119" s="209" t="n">
        <v>110</v>
      </c>
      <c r="I119" s="316" t="n"/>
      <c r="J119" s="184" t="n"/>
      <c r="K119" s="184" t="n"/>
      <c r="L119" s="184" t="n"/>
    </row>
    <row r="120" ht="13.8" customHeight="1" s="177">
      <c r="A120" s="255" t="inlineStr">
        <is>
          <t>E-mail Accounts</t>
        </is>
      </c>
      <c r="B120" s="268" t="n"/>
      <c r="C120" s="270" t="n"/>
      <c r="D120" s="270" t="n">
        <v>60000</v>
      </c>
      <c r="E120" s="270" t="n">
        <v>60000</v>
      </c>
      <c r="F120" s="270" t="n">
        <v>60000</v>
      </c>
      <c r="G120" s="270" t="n">
        <v>60000</v>
      </c>
      <c r="H120" s="271" t="n">
        <v>60000</v>
      </c>
      <c r="I120" s="316" t="n"/>
      <c r="J120" s="184" t="n"/>
      <c r="K120" s="184" t="n"/>
      <c r="L120" s="184" t="n"/>
    </row>
    <row r="121"/>
    <row r="122"/>
    <row r="123" ht="13.2" customHeight="1" s="177">
      <c r="A123" s="277" t="n"/>
    </row>
  </sheetData>
  <mergeCells count="5">
    <mergeCell ref="A106:H106"/>
    <mergeCell ref="A38:H38"/>
    <mergeCell ref="A2:H2"/>
    <mergeCell ref="A54:H54"/>
    <mergeCell ref="A47:H47"/>
  </mergeCells>
  <printOptions horizontalCentered="1" verticalCentered="0" headings="0" gridLines="0" gridLinesSet="1"/>
  <pageMargins left="0.9840277777777779" right="0.9840277777777779" top="0.75" bottom="0.529861111111111" header="0.236111111111111" footer="0.236111111111111"/>
  <pageSetup orientation="landscape" paperSize="9" scale="100" fitToHeight="3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 4-D  &amp;A  &amp;P&amp;R&amp;"Times New Roman,Regular"&amp;8 &amp;Kffffff 5 Dec 2006</oddFooter>
    <evenHeader/>
    <evenFooter/>
    <firstHeader/>
    <firstFooter/>
  </headerFooter>
  <rowBreaks count="1" manualBreakCount="1">
    <brk id="52" min="0" max="16383" man="1"/>
  </rowBreak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O123"/>
  <sheetViews>
    <sheetView showFormulas="0" showGridLines="0" showRowColHeaders="1" showZeros="1" rightToLeft="0" tabSelected="0" showOutlineSymbols="1" defaultGridColor="1" view="normal" topLeftCell="A1" colorId="64" zoomScale="70" zoomScaleNormal="70" zoomScalePageLayoutView="100" workbookViewId="0">
      <pane xSplit="1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G1" activeCellId="0" sqref="G1"/>
    </sheetView>
  </sheetViews>
  <sheetFormatPr baseColWidth="8" defaultColWidth="9.328125" defaultRowHeight="13.2" customHeight="1" zeroHeight="0" outlineLevelRow="0"/>
  <cols>
    <col width="48.66" customWidth="1" style="184" min="1" max="1"/>
    <col width="13.66" customWidth="1" style="184" min="2" max="2"/>
    <col width="13.43" customWidth="1" style="184" min="3" max="8"/>
    <col width="2.32" customWidth="1" style="184" min="9" max="9"/>
    <col width="9.33" customWidth="1" style="184" min="10" max="257"/>
  </cols>
  <sheetData>
    <row r="1" ht="36.75" customHeight="1" s="177">
      <c r="A1" s="186" t="inlineStr">
        <is>
          <t>BELGIUM RESOURCE BASELINE</t>
        </is>
      </c>
      <c r="B1" s="187" t="inlineStr">
        <is>
          <t>Resource Units</t>
        </is>
      </c>
      <c r="C1" s="188" t="n"/>
      <c r="D1" s="188" t="inlineStr">
        <is>
          <t>Year 1 Annual Avg.</t>
        </is>
      </c>
      <c r="E1" s="188" t="inlineStr">
        <is>
          <t>Year 2 Annual Avg.</t>
        </is>
      </c>
      <c r="F1" s="188" t="inlineStr">
        <is>
          <t>Year 3 Annual Avg.</t>
        </is>
      </c>
      <c r="G1" s="188" t="inlineStr">
        <is>
          <t>Year 4 Annual Avg.</t>
        </is>
      </c>
      <c r="H1" s="189" t="inlineStr">
        <is>
          <t>Year 5 Annual Avg.</t>
        </is>
      </c>
    </row>
    <row r="2" ht="13.8" customHeight="1" s="177">
      <c r="A2" s="190" t="inlineStr">
        <is>
          <t>EUC</t>
        </is>
      </c>
      <c r="B2" s="191" t="n"/>
      <c r="C2" s="191" t="n"/>
      <c r="D2" s="191" t="n"/>
      <c r="E2" s="191" t="n"/>
      <c r="F2" s="191" t="n"/>
      <c r="G2" s="191" t="n"/>
      <c r="H2" s="192" t="n"/>
    </row>
    <row r="3" ht="13.2" customHeight="1" s="177">
      <c r="A3" s="258" t="inlineStr">
        <is>
          <t>Support Services</t>
        </is>
      </c>
      <c r="B3" s="317" t="n"/>
      <c r="C3" s="260" t="n"/>
      <c r="D3" s="261" t="n"/>
      <c r="E3" s="261" t="n"/>
      <c r="F3" s="261" t="n"/>
      <c r="G3" s="261" t="n"/>
      <c r="H3" s="262" t="n"/>
    </row>
    <row r="4" ht="13.8" customHeight="1" s="177">
      <c r="A4" s="196" t="inlineStr">
        <is>
          <t xml:space="preserve">Medium Service Level </t>
        </is>
      </c>
      <c r="B4" s="197" t="n"/>
      <c r="C4" s="197" t="n"/>
      <c r="D4" s="198" t="n"/>
      <c r="E4" s="198" t="n"/>
      <c r="F4" s="198" t="n"/>
      <c r="G4" s="198" t="n"/>
      <c r="H4" s="199" t="n"/>
    </row>
    <row r="5" ht="13.2" customHeight="1" s="177">
      <c r="A5" s="201" t="inlineStr">
        <is>
          <t>Standard Desktops</t>
        </is>
      </c>
      <c r="B5" s="263" t="n"/>
      <c r="C5" s="207" t="n"/>
      <c r="D5" s="208" t="n">
        <v>5245</v>
      </c>
      <c r="E5" s="208" t="n">
        <v>5245</v>
      </c>
      <c r="F5" s="208" t="n">
        <v>5245</v>
      </c>
      <c r="G5" s="208" t="n">
        <v>5245</v>
      </c>
      <c r="H5" s="209" t="n">
        <v>5245</v>
      </c>
    </row>
    <row r="6" ht="13.2" customHeight="1" s="177">
      <c r="A6" s="201" t="inlineStr">
        <is>
          <t>Non-Standard Desktops</t>
        </is>
      </c>
      <c r="B6" s="263" t="n"/>
      <c r="C6" s="207" t="n"/>
      <c r="D6" s="208" t="n"/>
      <c r="E6" s="208" t="n"/>
      <c r="F6" s="208" t="n"/>
      <c r="G6" s="208" t="n"/>
      <c r="H6" s="209" t="n"/>
    </row>
    <row r="7" ht="13.2" customHeight="1" s="177">
      <c r="A7" s="201" t="inlineStr">
        <is>
          <t>Standard Laptops</t>
        </is>
      </c>
      <c r="B7" s="263" t="n"/>
      <c r="C7" s="207" t="n"/>
      <c r="D7" s="208" t="n">
        <v>856</v>
      </c>
      <c r="E7" s="208" t="n">
        <v>856</v>
      </c>
      <c r="F7" s="208" t="n">
        <v>856</v>
      </c>
      <c r="G7" s="208" t="n">
        <v>856</v>
      </c>
      <c r="H7" s="209" t="n">
        <v>856</v>
      </c>
    </row>
    <row r="8" ht="13.2" customHeight="1" s="177">
      <c r="A8" s="201" t="inlineStr">
        <is>
          <t>Non-Standard Laptops</t>
        </is>
      </c>
      <c r="B8" s="263" t="n"/>
      <c r="C8" s="207" t="n"/>
      <c r="D8" s="208" t="n"/>
      <c r="E8" s="208" t="n"/>
      <c r="F8" s="208" t="n"/>
      <c r="G8" s="208" t="n"/>
      <c r="H8" s="209" t="n"/>
    </row>
    <row r="9" ht="13.2" customHeight="1" s="177">
      <c r="A9" s="201" t="inlineStr">
        <is>
          <t>Standard Local Printers</t>
        </is>
      </c>
      <c r="B9" s="263" t="n"/>
      <c r="C9" s="207" t="n"/>
      <c r="D9" s="208" t="n">
        <v>2495.5</v>
      </c>
      <c r="E9" s="208" t="n">
        <v>2495.5</v>
      </c>
      <c r="F9" s="208" t="n">
        <v>2495.5</v>
      </c>
      <c r="G9" s="208" t="n">
        <v>2495.5</v>
      </c>
      <c r="H9" s="209" t="n">
        <v>2495.5</v>
      </c>
    </row>
    <row r="10" ht="13.2" customHeight="1" s="177">
      <c r="A10" s="201" t="inlineStr">
        <is>
          <t>Non-Standard Local Printers</t>
        </is>
      </c>
      <c r="B10" s="263" t="n"/>
      <c r="C10" s="207" t="n"/>
      <c r="D10" s="208" t="n"/>
      <c r="E10" s="208" t="n"/>
      <c r="F10" s="208" t="n"/>
      <c r="G10" s="208" t="n"/>
      <c r="H10" s="209" t="n"/>
    </row>
    <row r="11" ht="13.2" customHeight="1" s="177">
      <c r="A11" s="201" t="inlineStr">
        <is>
          <t>Standard Network Printers</t>
        </is>
      </c>
      <c r="B11" s="263" t="n"/>
      <c r="C11" s="207" t="n"/>
      <c r="D11" s="208" t="n">
        <v>359</v>
      </c>
      <c r="E11" s="208" t="n">
        <v>359</v>
      </c>
      <c r="F11" s="208" t="n">
        <v>359</v>
      </c>
      <c r="G11" s="208" t="n">
        <v>359</v>
      </c>
      <c r="H11" s="209" t="n">
        <v>359</v>
      </c>
      <c r="K11" s="184" t="n"/>
      <c r="L11" s="184" t="n"/>
      <c r="M11" s="184" t="n"/>
      <c r="N11" s="184" t="n"/>
      <c r="O11" s="184" t="n"/>
    </row>
    <row r="12" ht="13.2" customHeight="1" s="177">
      <c r="A12" s="201" t="inlineStr">
        <is>
          <t>Non-Standard Network Printers</t>
        </is>
      </c>
      <c r="B12" s="263" t="n"/>
      <c r="C12" s="207" t="n"/>
      <c r="D12" s="208" t="n">
        <v>93</v>
      </c>
      <c r="E12" s="208" t="n">
        <v>93</v>
      </c>
      <c r="F12" s="208" t="n">
        <v>93</v>
      </c>
      <c r="G12" s="208" t="n">
        <v>93</v>
      </c>
      <c r="H12" s="209" t="n">
        <v>93</v>
      </c>
      <c r="K12" s="184" t="n"/>
      <c r="L12" s="184" t="n"/>
      <c r="M12" s="184" t="n"/>
      <c r="N12" s="184" t="n"/>
      <c r="O12" s="184" t="n"/>
    </row>
    <row r="13" ht="13.2" customHeight="1" s="177">
      <c r="A13" s="201" t="inlineStr">
        <is>
          <t xml:space="preserve">Other Peripherals </t>
        </is>
      </c>
      <c r="B13" s="263" t="n"/>
      <c r="C13" s="207" t="n"/>
      <c r="D13" s="208" t="n"/>
      <c r="E13" s="208" t="n"/>
      <c r="F13" s="208" t="n"/>
      <c r="G13" s="208" t="n"/>
      <c r="H13" s="209" t="n"/>
      <c r="K13" s="184" t="n"/>
      <c r="L13" s="184" t="n"/>
      <c r="M13" s="184" t="n"/>
      <c r="N13" s="184" t="n"/>
      <c r="O13" s="184" t="n"/>
    </row>
    <row r="14" ht="13.2" customHeight="1" s="177">
      <c r="A14" s="201" t="n"/>
      <c r="B14" s="263" t="n"/>
      <c r="C14" s="207" t="n"/>
      <c r="D14" s="208" t="n"/>
      <c r="E14" s="208" t="n"/>
      <c r="F14" s="208" t="n"/>
      <c r="G14" s="208" t="n"/>
      <c r="H14" s="209" t="n"/>
      <c r="K14" s="184" t="n"/>
      <c r="L14" s="184" t="n"/>
      <c r="M14" s="184" t="n"/>
      <c r="N14" s="184" t="n"/>
      <c r="O14" s="184" t="n"/>
    </row>
    <row r="15" ht="13.2" customHeight="1" s="177">
      <c r="A15" s="201" t="inlineStr">
        <is>
          <t>Installations</t>
        </is>
      </c>
      <c r="B15" s="263" t="n"/>
      <c r="C15" s="207" t="n"/>
      <c r="D15" s="208" t="n">
        <v>682</v>
      </c>
      <c r="E15" s="208" t="n">
        <v>682</v>
      </c>
      <c r="F15" s="208" t="n">
        <v>682</v>
      </c>
      <c r="G15" s="208" t="n">
        <v>682</v>
      </c>
      <c r="H15" s="209" t="n">
        <v>682</v>
      </c>
      <c r="K15" s="184" t="n"/>
      <c r="L15" s="184" t="n"/>
      <c r="M15" s="184" t="n"/>
      <c r="N15" s="184" t="n"/>
      <c r="O15" s="184" t="n"/>
    </row>
    <row r="16" ht="13.2" customHeight="1" s="177">
      <c r="A16" s="201" t="inlineStr">
        <is>
          <t>Moves</t>
        </is>
      </c>
      <c r="B16" s="263" t="n"/>
      <c r="C16" s="207" t="n"/>
      <c r="D16" s="208" t="n">
        <v>1085</v>
      </c>
      <c r="E16" s="208" t="n">
        <v>1085</v>
      </c>
      <c r="F16" s="208" t="n">
        <v>1085</v>
      </c>
      <c r="G16" s="208" t="n">
        <v>1085</v>
      </c>
      <c r="H16" s="209" t="n">
        <v>1085</v>
      </c>
      <c r="K16" s="184" t="n"/>
      <c r="L16" s="184" t="n"/>
      <c r="M16" s="184" t="n"/>
      <c r="N16" s="184" t="n"/>
      <c r="O16" s="184" t="n"/>
    </row>
    <row r="17" ht="13.2" customHeight="1" s="177">
      <c r="A17" s="201" t="inlineStr">
        <is>
          <t>Adds</t>
        </is>
      </c>
      <c r="B17" s="263" t="n"/>
      <c r="C17" s="207" t="n"/>
      <c r="D17" s="208" t="n"/>
      <c r="E17" s="208" t="n"/>
      <c r="F17" s="208" t="n"/>
      <c r="G17" s="208" t="n"/>
      <c r="H17" s="209" t="n"/>
      <c r="K17" s="184" t="n"/>
      <c r="L17" s="184" t="n"/>
      <c r="M17" s="184" t="n"/>
      <c r="N17" s="184" t="n"/>
      <c r="O17" s="184" t="n"/>
    </row>
    <row r="18" ht="13.2" customHeight="1" s="177">
      <c r="A18" s="201" t="inlineStr">
        <is>
          <t xml:space="preserve">Changes </t>
        </is>
      </c>
      <c r="B18" s="263" t="n"/>
      <c r="C18" s="207" t="n"/>
      <c r="D18" s="208" t="n">
        <v>899</v>
      </c>
      <c r="E18" s="208" t="n">
        <v>899</v>
      </c>
      <c r="F18" s="208" t="n">
        <v>899</v>
      </c>
      <c r="G18" s="208" t="n">
        <v>899</v>
      </c>
      <c r="H18" s="209" t="n">
        <v>899</v>
      </c>
      <c r="K18" s="184" t="n"/>
      <c r="L18" s="184" t="n"/>
      <c r="M18" s="184" t="n"/>
      <c r="N18" s="184" t="n"/>
      <c r="O18" s="184" t="n"/>
    </row>
    <row r="19" ht="13.2" customHeight="1" s="177">
      <c r="A19" s="204" t="inlineStr">
        <is>
          <t>Low Service Level</t>
        </is>
      </c>
      <c r="B19" s="267" t="n"/>
      <c r="C19" s="205" t="n"/>
      <c r="D19" s="205" t="n"/>
      <c r="E19" s="205" t="n"/>
      <c r="F19" s="205" t="n"/>
      <c r="G19" s="205" t="n"/>
      <c r="H19" s="206" t="n"/>
      <c r="K19" s="184" t="n"/>
      <c r="L19" s="184" t="n"/>
      <c r="M19" s="184" t="n"/>
      <c r="N19" s="184" t="n"/>
      <c r="O19" s="184" t="n"/>
    </row>
    <row r="20" ht="13.2" customHeight="1" s="177">
      <c r="A20" s="201" t="inlineStr">
        <is>
          <t>Standard Desktops</t>
        </is>
      </c>
      <c r="B20" s="263" t="n"/>
      <c r="C20" s="266" t="n"/>
      <c r="D20" s="208" t="n">
        <v>12049</v>
      </c>
      <c r="E20" s="208" t="n">
        <v>12049</v>
      </c>
      <c r="F20" s="208" t="n">
        <v>12049</v>
      </c>
      <c r="G20" s="208" t="n">
        <v>12049</v>
      </c>
      <c r="H20" s="209" t="n">
        <v>12049</v>
      </c>
    </row>
    <row r="21" ht="13.2" customHeight="1" s="177">
      <c r="A21" s="201" t="inlineStr">
        <is>
          <t>Non-Standard Desktops</t>
        </is>
      </c>
      <c r="B21" s="263" t="n"/>
      <c r="C21" s="266" t="n"/>
      <c r="D21" s="208" t="n"/>
      <c r="E21" s="208" t="n"/>
      <c r="F21" s="208" t="n"/>
      <c r="G21" s="208" t="n"/>
      <c r="H21" s="209" t="n"/>
    </row>
    <row r="22" ht="13.2" customHeight="1" s="177">
      <c r="A22" s="201" t="inlineStr">
        <is>
          <t>Standard Laptops</t>
        </is>
      </c>
      <c r="B22" s="263" t="n"/>
      <c r="C22" s="266" t="n"/>
      <c r="D22" s="208" t="n">
        <v>967</v>
      </c>
      <c r="E22" s="208" t="n">
        <v>967</v>
      </c>
      <c r="F22" s="208" t="n">
        <v>967</v>
      </c>
      <c r="G22" s="208" t="n">
        <v>967</v>
      </c>
      <c r="H22" s="209" t="n">
        <v>967</v>
      </c>
    </row>
    <row r="23" ht="13.2" customHeight="1" s="177">
      <c r="A23" s="201" t="inlineStr">
        <is>
          <t>Non-Standard Laptops</t>
        </is>
      </c>
      <c r="B23" s="263" t="n"/>
      <c r="C23" s="266" t="n"/>
      <c r="D23" s="208" t="n"/>
      <c r="E23" s="208" t="n"/>
      <c r="F23" s="208" t="n"/>
      <c r="G23" s="208" t="n"/>
      <c r="H23" s="209" t="n"/>
      <c r="K23" s="184" t="n"/>
      <c r="L23" s="184" t="n"/>
      <c r="M23" s="184" t="n"/>
      <c r="N23" s="184" t="n"/>
      <c r="O23" s="184" t="n"/>
    </row>
    <row r="24" ht="13.2" customHeight="1" s="177">
      <c r="A24" s="201" t="inlineStr">
        <is>
          <t>Standard Local Printers</t>
        </is>
      </c>
      <c r="B24" s="263" t="n"/>
      <c r="C24" s="266" t="n"/>
      <c r="D24" s="208" t="n">
        <v>5554.5</v>
      </c>
      <c r="E24" s="208" t="n">
        <v>5554.5</v>
      </c>
      <c r="F24" s="208" t="n">
        <v>5554.5</v>
      </c>
      <c r="G24" s="208" t="n">
        <v>5554.5</v>
      </c>
      <c r="H24" s="209" t="n">
        <v>5554.5</v>
      </c>
      <c r="K24" s="184" t="n"/>
      <c r="L24" s="184" t="n"/>
      <c r="M24" s="184" t="n"/>
      <c r="N24" s="184" t="n"/>
      <c r="O24" s="184" t="n"/>
    </row>
    <row r="25" ht="13.2" customHeight="1" s="177">
      <c r="A25" s="201" t="inlineStr">
        <is>
          <t>Non-Standard Local Printers</t>
        </is>
      </c>
      <c r="B25" s="263" t="n"/>
      <c r="C25" s="266" t="n"/>
      <c r="D25" s="208" t="n"/>
      <c r="E25" s="208" t="n"/>
      <c r="F25" s="208" t="n"/>
      <c r="G25" s="208" t="n"/>
      <c r="H25" s="209" t="n"/>
      <c r="K25" s="184" t="n"/>
      <c r="L25" s="184" t="n"/>
      <c r="M25" s="184" t="n"/>
      <c r="N25" s="184" t="n"/>
      <c r="O25" s="184" t="n"/>
    </row>
    <row r="26" ht="13.2" customHeight="1" s="177">
      <c r="A26" s="201" t="inlineStr">
        <is>
          <t>Standard Network Printers</t>
        </is>
      </c>
      <c r="B26" s="263" t="n"/>
      <c r="C26" s="266" t="n"/>
      <c r="D26" s="208" t="n">
        <v>800</v>
      </c>
      <c r="E26" s="208" t="n">
        <v>800</v>
      </c>
      <c r="F26" s="208" t="n">
        <v>800</v>
      </c>
      <c r="G26" s="208" t="n">
        <v>800</v>
      </c>
      <c r="H26" s="209" t="n">
        <v>800</v>
      </c>
      <c r="K26" s="184" t="n"/>
      <c r="L26" s="184" t="n"/>
      <c r="M26" s="184" t="n"/>
      <c r="N26" s="184" t="n"/>
      <c r="O26" s="184" t="n"/>
    </row>
    <row r="27" ht="13.2" customHeight="1" s="177">
      <c r="A27" s="201" t="inlineStr">
        <is>
          <t>Non-Standard Network Printers</t>
        </is>
      </c>
      <c r="B27" s="263" t="n"/>
      <c r="C27" s="266" t="n"/>
      <c r="D27" s="208" t="n">
        <v>207</v>
      </c>
      <c r="E27" s="208" t="n">
        <v>207</v>
      </c>
      <c r="F27" s="208" t="n">
        <v>207</v>
      </c>
      <c r="G27" s="208" t="n">
        <v>207</v>
      </c>
      <c r="H27" s="209" t="n">
        <v>207</v>
      </c>
    </row>
    <row r="28" ht="13.2" customHeight="1" s="177">
      <c r="A28" s="201" t="inlineStr">
        <is>
          <t>Other Peripherals</t>
        </is>
      </c>
      <c r="B28" s="263" t="n"/>
      <c r="C28" s="266" t="n"/>
      <c r="D28" s="208" t="n"/>
      <c r="E28" s="208" t="n"/>
      <c r="F28" s="208" t="n"/>
      <c r="G28" s="208" t="n"/>
      <c r="H28" s="209" t="n"/>
    </row>
    <row r="29" ht="13.2" customHeight="1" s="177">
      <c r="A29" s="201" t="n"/>
      <c r="B29" s="263" t="n"/>
      <c r="C29" s="266" t="n"/>
      <c r="D29" s="208" t="n"/>
      <c r="E29" s="208" t="n"/>
      <c r="F29" s="208" t="n"/>
      <c r="G29" s="208" t="n"/>
      <c r="H29" s="209" t="n"/>
    </row>
    <row r="30" ht="13.2" customHeight="1" s="177">
      <c r="A30" s="201" t="inlineStr">
        <is>
          <t>Installations</t>
        </is>
      </c>
      <c r="B30" s="263" t="n"/>
      <c r="C30" s="266" t="n"/>
      <c r="D30" s="208" t="n">
        <v>1518</v>
      </c>
      <c r="E30" s="208" t="n">
        <v>1518</v>
      </c>
      <c r="F30" s="208" t="n">
        <v>1518</v>
      </c>
      <c r="G30" s="208" t="n">
        <v>1518</v>
      </c>
      <c r="H30" s="209" t="n">
        <v>1518</v>
      </c>
    </row>
    <row r="31" ht="13.2" customHeight="1" s="177">
      <c r="A31" s="201" t="inlineStr">
        <is>
          <t>Moves</t>
        </is>
      </c>
      <c r="B31" s="263" t="n"/>
      <c r="C31" s="266" t="n"/>
      <c r="D31" s="208" t="n">
        <v>2415</v>
      </c>
      <c r="E31" s="208" t="n">
        <v>2415</v>
      </c>
      <c r="F31" s="208" t="n">
        <v>2415</v>
      </c>
      <c r="G31" s="208" t="n">
        <v>2415</v>
      </c>
      <c r="H31" s="209" t="n">
        <v>2415</v>
      </c>
    </row>
    <row r="32" ht="13.2" customHeight="1" s="177">
      <c r="A32" s="201" t="inlineStr">
        <is>
          <t>Adds</t>
        </is>
      </c>
      <c r="B32" s="263" t="n"/>
      <c r="C32" s="207" t="n"/>
      <c r="D32" s="208" t="n"/>
      <c r="E32" s="208" t="n"/>
      <c r="F32" s="208" t="n"/>
      <c r="G32" s="208" t="n"/>
      <c r="H32" s="209" t="n"/>
    </row>
    <row r="33" ht="13.2" customHeight="1" s="177">
      <c r="A33" s="201" t="inlineStr">
        <is>
          <t>Changes</t>
        </is>
      </c>
      <c r="B33" s="263" t="n"/>
      <c r="C33" s="207" t="n"/>
      <c r="D33" s="208" t="n">
        <v>2001</v>
      </c>
      <c r="E33" s="208" t="n">
        <v>2001</v>
      </c>
      <c r="F33" s="208" t="n">
        <v>2001</v>
      </c>
      <c r="G33" s="208" t="n">
        <v>2001</v>
      </c>
      <c r="H33" s="209" t="n">
        <v>2001</v>
      </c>
    </row>
    <row r="34" ht="13.2" customHeight="1" s="177">
      <c r="A34" s="201" t="n"/>
      <c r="B34" s="263" t="n"/>
      <c r="C34" s="207" t="n"/>
      <c r="D34" s="208" t="n"/>
      <c r="E34" s="208" t="n"/>
      <c r="F34" s="208" t="n"/>
      <c r="G34" s="208" t="n"/>
      <c r="H34" s="209" t="n"/>
    </row>
    <row r="35" ht="13.2" customHeight="1" s="177">
      <c r="A35" s="196" t="inlineStr">
        <is>
          <t>Packaging &amp; Distribution</t>
        </is>
      </c>
      <c r="B35" s="197" t="n"/>
      <c r="C35" s="210" t="n"/>
      <c r="D35" s="210" t="n"/>
      <c r="E35" s="210" t="n"/>
      <c r="F35" s="210" t="n"/>
      <c r="G35" s="210" t="n"/>
      <c r="H35" s="318" t="n"/>
    </row>
    <row r="36" ht="13.2" customHeight="1" s="177">
      <c r="A36" s="201" t="inlineStr">
        <is>
          <t>Packages Distributed per year</t>
        </is>
      </c>
      <c r="B36" s="263" t="n"/>
      <c r="C36" s="207" t="n"/>
      <c r="D36" s="208" t="n">
        <v>991</v>
      </c>
      <c r="E36" s="208" t="n">
        <v>970</v>
      </c>
      <c r="F36" s="208" t="n">
        <v>970</v>
      </c>
      <c r="G36" s="208" t="n">
        <v>970</v>
      </c>
      <c r="H36" s="209" t="n">
        <v>970</v>
      </c>
    </row>
    <row r="37" ht="13.8" customHeight="1" s="177">
      <c r="A37" s="201" t="n"/>
      <c r="B37" s="263" t="n"/>
      <c r="C37" s="207" t="n"/>
      <c r="D37" s="208" t="n"/>
      <c r="E37" s="208" t="n"/>
      <c r="F37" s="208" t="n"/>
      <c r="G37" s="208" t="n"/>
      <c r="H37" s="209" t="n"/>
    </row>
    <row r="38" ht="13.8" customHeight="1" s="177">
      <c r="A38" s="190" t="inlineStr">
        <is>
          <t>Service Desk</t>
        </is>
      </c>
      <c r="B38" s="191" t="n"/>
      <c r="C38" s="191" t="n"/>
      <c r="D38" s="191" t="n"/>
      <c r="E38" s="191" t="n"/>
      <c r="F38" s="191" t="n"/>
      <c r="G38" s="191" t="n"/>
      <c r="H38" s="192" t="n"/>
    </row>
    <row r="39" ht="13.2" customHeight="1" s="177">
      <c r="A39" s="272" t="inlineStr">
        <is>
          <t xml:space="preserve">Seats Supported  </t>
        </is>
      </c>
      <c r="B39" s="273" t="n"/>
      <c r="C39" s="274" t="n"/>
      <c r="D39" s="275" t="n">
        <v>15530</v>
      </c>
      <c r="E39" s="275" t="n">
        <v>15530</v>
      </c>
      <c r="F39" s="275" t="n">
        <v>15530</v>
      </c>
      <c r="G39" s="275" t="n">
        <v>15530</v>
      </c>
      <c r="H39" s="276" t="n">
        <v>15530</v>
      </c>
    </row>
    <row r="40" ht="13.2" customHeight="1" s="177">
      <c r="A40" s="319" t="n"/>
      <c r="B40" s="320" t="n"/>
      <c r="C40" s="184" t="n"/>
      <c r="D40" s="321" t="n"/>
      <c r="E40" s="321" t="n"/>
      <c r="F40" s="321" t="n"/>
      <c r="G40" s="321" t="n"/>
      <c r="H40" s="322" t="n"/>
    </row>
    <row r="41" ht="13.2" customHeight="1" s="177">
      <c r="A41" s="216" t="inlineStr">
        <is>
          <t>No. of actions per annum</t>
        </is>
      </c>
      <c r="B41" s="282" t="n"/>
      <c r="C41" s="207" t="n"/>
      <c r="D41" s="208" t="n">
        <v>232950</v>
      </c>
      <c r="E41" s="208" t="n">
        <v>217420</v>
      </c>
      <c r="F41" s="208" t="n">
        <v>201890</v>
      </c>
      <c r="G41" s="208" t="n">
        <v>186360</v>
      </c>
      <c r="H41" s="209" t="n">
        <v>170830</v>
      </c>
      <c r="K41" s="283" t="n"/>
      <c r="L41" s="283" t="n"/>
    </row>
    <row r="42" ht="13.2" customHeight="1" s="177">
      <c r="A42" s="217" t="inlineStr">
        <is>
          <t>Thereof registrated:</t>
        </is>
      </c>
      <c r="B42" s="284" t="n"/>
      <c r="C42" s="285" t="n"/>
      <c r="D42" s="286" t="n"/>
      <c r="E42" s="286" t="n"/>
      <c r="F42" s="286" t="n"/>
      <c r="G42" s="286" t="n"/>
      <c r="H42" s="287" t="n"/>
      <c r="K42" s="184" t="n"/>
      <c r="L42" s="184" t="n"/>
    </row>
    <row r="43" ht="13.2" customHeight="1" s="177">
      <c r="A43" s="217" t="inlineStr">
        <is>
          <t>Incident</t>
        </is>
      </c>
      <c r="B43" s="284" t="n"/>
      <c r="C43" s="288" t="n"/>
      <c r="D43" s="323" t="n">
        <v>140188.473053892</v>
      </c>
      <c r="E43" s="323" t="n">
        <v>130842.574850299</v>
      </c>
      <c r="F43" s="323" t="n">
        <v>121496.676646707</v>
      </c>
      <c r="G43" s="323" t="n">
        <v>112150.778443114</v>
      </c>
      <c r="H43" s="324" t="n">
        <v>102804.880239521</v>
      </c>
      <c r="K43" s="291" t="n"/>
      <c r="L43" s="291" t="n"/>
      <c r="M43" s="291" t="n"/>
      <c r="N43" s="291" t="n"/>
      <c r="O43" s="291" t="n"/>
    </row>
    <row r="44" ht="13.2" customHeight="1" s="177">
      <c r="A44" s="217" t="inlineStr">
        <is>
          <t>Question</t>
        </is>
      </c>
      <c r="B44" s="284" t="n"/>
      <c r="C44" s="288" t="n"/>
      <c r="D44" s="323" t="n">
        <v>12554.1916167665</v>
      </c>
      <c r="E44" s="323" t="n">
        <v>11717.245508982</v>
      </c>
      <c r="F44" s="323" t="n">
        <v>10880.2994011976</v>
      </c>
      <c r="G44" s="323" t="n">
        <v>10043.3532934132</v>
      </c>
      <c r="H44" s="324" t="n">
        <v>9206.407185628739</v>
      </c>
      <c r="K44" s="291" t="n"/>
      <c r="L44" s="291" t="n"/>
      <c r="M44" s="291" t="n"/>
      <c r="N44" s="291" t="n"/>
      <c r="O44" s="291" t="n"/>
    </row>
    <row r="45" ht="13.2" customHeight="1" s="177">
      <c r="A45" s="217" t="inlineStr">
        <is>
          <t>Service Request</t>
        </is>
      </c>
      <c r="B45" s="284" t="n"/>
      <c r="C45" s="288" t="n"/>
      <c r="D45" s="323" t="n">
        <v>80207.33532934129</v>
      </c>
      <c r="E45" s="323" t="n">
        <v>74860.1796407186</v>
      </c>
      <c r="F45" s="323" t="n">
        <v>69513.0239520958</v>
      </c>
      <c r="G45" s="323" t="n">
        <v>64165.8682634731</v>
      </c>
      <c r="H45" s="324" t="n">
        <v>58818.7125748503</v>
      </c>
      <c r="K45" s="291" t="n"/>
      <c r="L45" s="291" t="n"/>
      <c r="M45" s="291" t="n"/>
      <c r="N45" s="291" t="n"/>
      <c r="O45" s="291" t="n"/>
    </row>
    <row r="46" ht="13.2" customHeight="1" s="177">
      <c r="A46" s="219" t="n"/>
      <c r="B46" s="292" t="n"/>
      <c r="C46" s="293" t="n"/>
      <c r="D46" s="294" t="n"/>
      <c r="E46" s="294" t="n"/>
      <c r="F46" s="294" t="n"/>
      <c r="G46" s="294" t="n"/>
      <c r="H46" s="295" t="n"/>
    </row>
    <row r="47" ht="13.8" customHeight="1" s="177">
      <c r="A47" s="190" t="inlineStr">
        <is>
          <t>LAN Services</t>
        </is>
      </c>
      <c r="B47" s="191" t="n"/>
      <c r="C47" s="191" t="n"/>
      <c r="D47" s="191" t="n"/>
      <c r="E47" s="191" t="n"/>
      <c r="F47" s="191" t="n"/>
      <c r="G47" s="191" t="n"/>
      <c r="H47" s="192" t="n"/>
    </row>
    <row r="48" ht="13.2" customHeight="1" s="177">
      <c r="A48" s="220" t="inlineStr">
        <is>
          <t>Support Services</t>
        </is>
      </c>
      <c r="B48" s="221" t="n"/>
      <c r="C48" s="221" t="n"/>
      <c r="D48" s="222" t="n"/>
      <c r="E48" s="222" t="n"/>
      <c r="F48" s="222" t="n"/>
      <c r="G48" s="222" t="n"/>
      <c r="H48" s="223" t="n"/>
    </row>
    <row r="49" ht="13.2" customHeight="1" s="177">
      <c r="A49" s="224" t="inlineStr">
        <is>
          <t>Monitoring LAN port IT, SP, ...</t>
        </is>
      </c>
      <c r="B49" s="263" t="n"/>
      <c r="C49" s="297" t="n"/>
      <c r="D49" s="297" t="n">
        <v>2000</v>
      </c>
      <c r="E49" s="297" t="n">
        <v>2000</v>
      </c>
      <c r="F49" s="297" t="n">
        <v>2000</v>
      </c>
      <c r="G49" s="297" t="n">
        <v>2000</v>
      </c>
      <c r="H49" s="298" t="n">
        <v>2000</v>
      </c>
    </row>
    <row r="50" ht="13.2" customHeight="1" s="177">
      <c r="A50" s="201" t="inlineStr">
        <is>
          <t>Site Type A: # of Active LAN Ports</t>
        </is>
      </c>
      <c r="B50" s="263" t="n"/>
      <c r="C50" s="297" t="n"/>
      <c r="D50" s="297" t="n">
        <v>14464</v>
      </c>
      <c r="E50" s="297" t="n">
        <v>14464</v>
      </c>
      <c r="F50" s="297" t="n">
        <v>14464</v>
      </c>
      <c r="G50" s="297" t="n">
        <v>14464</v>
      </c>
      <c r="H50" s="298" t="n">
        <v>14464</v>
      </c>
    </row>
    <row r="51" ht="13.2" customHeight="1" s="177">
      <c r="A51" s="201" t="inlineStr">
        <is>
          <t>Site Type B: # of Active LAN Ports</t>
        </is>
      </c>
      <c r="B51" s="263" t="n"/>
      <c r="C51" s="297" t="n"/>
      <c r="D51" s="297" t="n">
        <v>2419</v>
      </c>
      <c r="E51" s="297" t="n">
        <v>2419</v>
      </c>
      <c r="F51" s="297" t="n">
        <v>2419</v>
      </c>
      <c r="G51" s="297" t="n">
        <v>2419</v>
      </c>
      <c r="H51" s="298" t="n">
        <v>2419</v>
      </c>
    </row>
    <row r="52" ht="13.2" customHeight="1" s="177">
      <c r="A52" s="201" t="inlineStr">
        <is>
          <t>Site Type C: # of Active LAN Ports</t>
        </is>
      </c>
      <c r="B52" s="299" t="n"/>
      <c r="C52" s="300" t="n"/>
      <c r="D52" s="300" t="n">
        <v>11682</v>
      </c>
      <c r="E52" s="300" t="n">
        <v>11682</v>
      </c>
      <c r="F52" s="300" t="n">
        <v>11682</v>
      </c>
      <c r="G52" s="300" t="n">
        <v>11682</v>
      </c>
      <c r="H52" s="301" t="n">
        <v>11682</v>
      </c>
    </row>
    <row r="53" ht="13.8" customHeight="1" s="177">
      <c r="A53" s="201" t="n"/>
      <c r="B53" s="299" t="n"/>
      <c r="C53" s="300" t="n"/>
      <c r="D53" s="300" t="n"/>
      <c r="E53" s="300" t="n"/>
      <c r="F53" s="302" t="n"/>
      <c r="G53" s="300" t="n"/>
      <c r="H53" s="301" t="n"/>
    </row>
    <row r="54" ht="13.8" customHeight="1" s="177">
      <c r="A54" s="190" t="inlineStr">
        <is>
          <t>Voice Services</t>
        </is>
      </c>
      <c r="B54" s="191" t="n"/>
      <c r="C54" s="191" t="n"/>
      <c r="D54" s="191" t="n"/>
      <c r="E54" s="191" t="n"/>
      <c r="F54" s="191" t="n"/>
      <c r="G54" s="191" t="n"/>
      <c r="H54" s="192" t="n"/>
    </row>
    <row r="55" ht="13.2" customHeight="1" s="177">
      <c r="A55" s="225" t="inlineStr">
        <is>
          <t>Locations (Systems &amp; Services)</t>
        </is>
      </c>
      <c r="B55" s="226" t="n"/>
      <c r="C55" s="303" t="n"/>
      <c r="D55" s="228" t="n"/>
      <c r="E55" s="228" t="n"/>
      <c r="F55" s="228" t="n"/>
      <c r="G55" s="228" t="n"/>
      <c r="H55" s="229" t="n"/>
    </row>
    <row r="56" ht="13.2" customHeight="1" s="177">
      <c r="A56" s="230" t="inlineStr">
        <is>
          <t>Call Centres</t>
        </is>
      </c>
      <c r="B56" s="231" t="inlineStr">
        <is>
          <t>Location</t>
        </is>
      </c>
      <c r="C56" s="202" t="n"/>
      <c r="D56" s="202" t="n">
        <v>1</v>
      </c>
      <c r="E56" s="202" t="n">
        <v>1</v>
      </c>
      <c r="F56" s="202" t="n">
        <v>1</v>
      </c>
      <c r="G56" s="202" t="n">
        <v>1</v>
      </c>
      <c r="H56" s="203" t="n">
        <v>1</v>
      </c>
    </row>
    <row r="57" ht="13.2" customHeight="1" s="177">
      <c r="A57" s="230" t="inlineStr">
        <is>
          <t xml:space="preserve">  Employee ISDN</t>
        </is>
      </c>
      <c r="B57" s="231" t="inlineStr">
        <is>
          <t>Location</t>
        </is>
      </c>
      <c r="C57" s="202" t="n"/>
      <c r="D57" s="202" t="n">
        <v>200</v>
      </c>
      <c r="E57" s="202" t="n">
        <v>200</v>
      </c>
      <c r="F57" s="202" t="n">
        <v>200</v>
      </c>
      <c r="G57" s="202" t="n">
        <v>200</v>
      </c>
      <c r="H57" s="203" t="n">
        <v>200</v>
      </c>
    </row>
    <row r="58" ht="13.2" customHeight="1" s="177">
      <c r="A58" s="230" t="n"/>
      <c r="B58" s="231" t="n"/>
      <c r="C58" s="202" t="n"/>
      <c r="D58" s="202" t="n"/>
      <c r="E58" s="202" t="n"/>
      <c r="F58" s="202" t="n"/>
      <c r="G58" s="202" t="n"/>
      <c r="H58" s="203" t="n"/>
    </row>
    <row r="59" ht="13.2" customHeight="1" s="177">
      <c r="A59" s="230" t="inlineStr">
        <is>
          <t xml:space="preserve">  Videoconferencing rooms</t>
        </is>
      </c>
      <c r="B59" s="231" t="inlineStr">
        <is>
          <t>Rooms</t>
        </is>
      </c>
      <c r="C59" s="202" t="n"/>
      <c r="D59" s="202" t="n">
        <v>35</v>
      </c>
      <c r="E59" s="202" t="n">
        <v>35</v>
      </c>
      <c r="F59" s="202" t="n">
        <v>35</v>
      </c>
      <c r="G59" s="202" t="n">
        <v>35</v>
      </c>
      <c r="H59" s="203" t="n">
        <v>35</v>
      </c>
    </row>
    <row r="60" ht="13.2" customHeight="1" s="177">
      <c r="A60" s="216" t="inlineStr">
        <is>
          <t xml:space="preserve">  PBXs: Small (1-50)</t>
        </is>
      </c>
      <c r="B60" s="231" t="inlineStr">
        <is>
          <t>System</t>
        </is>
      </c>
      <c r="C60" s="202" t="n"/>
      <c r="D60" s="202" t="n">
        <v>617</v>
      </c>
      <c r="E60" s="202" t="n">
        <v>617</v>
      </c>
      <c r="F60" s="202" t="n">
        <v>617</v>
      </c>
      <c r="G60" s="202" t="n">
        <v>617</v>
      </c>
      <c r="H60" s="203" t="n">
        <v>617</v>
      </c>
    </row>
    <row r="61" ht="13.2" customHeight="1" s="177">
      <c r="A61" s="230" t="inlineStr">
        <is>
          <t xml:space="preserve">            Medium (50-500)</t>
        </is>
      </c>
      <c r="B61" s="231" t="inlineStr">
        <is>
          <t>System</t>
        </is>
      </c>
      <c r="C61" s="202" t="n"/>
      <c r="D61" s="202" t="n">
        <v>50</v>
      </c>
      <c r="E61" s="202" t="n">
        <v>50</v>
      </c>
      <c r="F61" s="202" t="n">
        <v>50</v>
      </c>
      <c r="G61" s="202" t="n">
        <v>50</v>
      </c>
      <c r="H61" s="203" t="n">
        <v>50</v>
      </c>
    </row>
    <row r="62" ht="13.2" customHeight="1" s="177">
      <c r="A62" s="230" t="inlineStr">
        <is>
          <t xml:space="preserve">            Large (500+)</t>
        </is>
      </c>
      <c r="B62" s="231" t="inlineStr">
        <is>
          <t>System</t>
        </is>
      </c>
      <c r="C62" s="202" t="n"/>
      <c r="D62" s="202" t="n">
        <v>3</v>
      </c>
      <c r="E62" s="202" t="n">
        <v>3</v>
      </c>
      <c r="F62" s="202" t="n">
        <v>3</v>
      </c>
      <c r="G62" s="202" t="n">
        <v>3</v>
      </c>
      <c r="H62" s="203" t="n">
        <v>3</v>
      </c>
    </row>
    <row r="63" ht="13.2" customHeight="1" s="177">
      <c r="A63" s="216" t="inlineStr">
        <is>
          <t xml:space="preserve">  Handsets - Digital (incl. DECT)</t>
        </is>
      </c>
      <c r="B63" s="231" t="inlineStr">
        <is>
          <t>set</t>
        </is>
      </c>
      <c r="C63" s="202" t="n"/>
      <c r="D63" s="202" t="n">
        <v>18266</v>
      </c>
      <c r="E63" s="202" t="n">
        <v>18266</v>
      </c>
      <c r="F63" s="202" t="n">
        <v>18266</v>
      </c>
      <c r="G63" s="202" t="n">
        <v>18266</v>
      </c>
      <c r="H63" s="203" t="n">
        <v>18266</v>
      </c>
    </row>
    <row r="64" ht="13.2" customHeight="1" s="177">
      <c r="A64" s="216" t="inlineStr">
        <is>
          <t xml:space="preserve">  Handsets - Analog</t>
        </is>
      </c>
      <c r="B64" s="231" t="inlineStr">
        <is>
          <t>set</t>
        </is>
      </c>
      <c r="C64" s="202" t="n"/>
      <c r="D64" s="202" t="n">
        <v>3997</v>
      </c>
      <c r="E64" s="202" t="n">
        <v>3997</v>
      </c>
      <c r="F64" s="202" t="n">
        <v>3997</v>
      </c>
      <c r="G64" s="202" t="n">
        <v>3997</v>
      </c>
      <c r="H64" s="203" t="n">
        <v>3997</v>
      </c>
    </row>
    <row r="65" ht="13.2" customHeight="1" s="177">
      <c r="A65" s="216" t="inlineStr">
        <is>
          <t xml:space="preserve">  Cellular Phones </t>
        </is>
      </c>
      <c r="B65" s="231" t="inlineStr">
        <is>
          <t>set</t>
        </is>
      </c>
      <c r="C65" s="202" t="n"/>
      <c r="D65" s="202" t="n">
        <v>6990</v>
      </c>
      <c r="E65" s="202" t="n">
        <v>6990</v>
      </c>
      <c r="F65" s="202" t="n">
        <v>6990</v>
      </c>
      <c r="G65" s="202" t="n">
        <v>6990</v>
      </c>
      <c r="H65" s="203" t="n">
        <v>6990</v>
      </c>
    </row>
    <row r="66" ht="13.2" customHeight="1" s="177">
      <c r="A66" s="216" t="inlineStr">
        <is>
          <t xml:space="preserve">  GPRS/UMTS Cards or Devices</t>
        </is>
      </c>
      <c r="B66" s="231" t="inlineStr">
        <is>
          <t>Subscriptions</t>
        </is>
      </c>
      <c r="C66" s="202" t="n"/>
      <c r="D66" s="202" t="n">
        <v>0</v>
      </c>
      <c r="E66" s="202" t="n">
        <v>0</v>
      </c>
      <c r="F66" s="202" t="n">
        <v>0</v>
      </c>
      <c r="G66" s="202" t="n">
        <v>0</v>
      </c>
      <c r="H66" s="203" t="n">
        <v>0</v>
      </c>
    </row>
    <row r="67" ht="13.2" customHeight="1" s="177">
      <c r="A67" s="230" t="inlineStr">
        <is>
          <t xml:space="preserve">  Blackberries</t>
        </is>
      </c>
      <c r="B67" s="231" t="inlineStr">
        <is>
          <t>Devices</t>
        </is>
      </c>
      <c r="C67" s="202" t="n"/>
      <c r="D67" s="202" t="n">
        <v>180</v>
      </c>
      <c r="E67" s="202" t="n">
        <v>230</v>
      </c>
      <c r="F67" s="202" t="n">
        <v>280</v>
      </c>
      <c r="G67" s="202" t="n">
        <v>330</v>
      </c>
      <c r="H67" s="203" t="n">
        <v>380</v>
      </c>
    </row>
    <row r="68" ht="13.2" customHeight="1" s="177">
      <c r="A68" s="216" t="inlineStr">
        <is>
          <t>Internal Pagers</t>
        </is>
      </c>
      <c r="B68" s="231" t="inlineStr">
        <is>
          <t>Devices</t>
        </is>
      </c>
      <c r="C68" s="202" t="n"/>
      <c r="D68" s="202" t="n">
        <v>350</v>
      </c>
      <c r="E68" s="202" t="n">
        <v>350</v>
      </c>
      <c r="F68" s="202" t="n">
        <v>350</v>
      </c>
      <c r="G68" s="202" t="n">
        <v>350</v>
      </c>
      <c r="H68" s="203" t="n">
        <v>350</v>
      </c>
    </row>
    <row r="69" ht="13.2" customHeight="1" s="177">
      <c r="A69" s="216" t="inlineStr">
        <is>
          <t>External Pagers</t>
        </is>
      </c>
      <c r="B69" s="231" t="inlineStr">
        <is>
          <t>Devices</t>
        </is>
      </c>
      <c r="C69" s="202" t="n"/>
      <c r="D69" s="202" t="n">
        <v>0</v>
      </c>
      <c r="E69" s="202" t="n">
        <v>0</v>
      </c>
      <c r="F69" s="202" t="n">
        <v>0</v>
      </c>
      <c r="G69" s="202" t="n">
        <v>0</v>
      </c>
      <c r="H69" s="203" t="n">
        <v>0</v>
      </c>
    </row>
    <row r="70" ht="13.2" customHeight="1" s="177">
      <c r="A70" s="232" t="n"/>
      <c r="B70" s="233" t="n"/>
      <c r="C70" s="234" t="n"/>
      <c r="D70" s="234" t="n"/>
      <c r="E70" s="234" t="n"/>
      <c r="F70" s="234" t="n"/>
      <c r="G70" s="234" t="n"/>
      <c r="H70" s="235" t="n"/>
    </row>
    <row r="71" ht="13.2" customHeight="1" s="177">
      <c r="A71" s="236" t="inlineStr">
        <is>
          <t>VOICE</t>
        </is>
      </c>
      <c r="B71" s="237" t="n"/>
      <c r="C71" s="304" t="n"/>
      <c r="D71" s="304" t="n"/>
      <c r="E71" s="304" t="n"/>
      <c r="F71" s="304" t="n"/>
      <c r="G71" s="304" t="n"/>
      <c r="H71" s="305" t="n"/>
    </row>
    <row r="72" ht="13.2" customHeight="1" s="177">
      <c r="A72" s="216" t="inlineStr">
        <is>
          <t>Domestic Outbound Calls - Local</t>
        </is>
      </c>
      <c r="B72" s="231" t="inlineStr">
        <is>
          <t>Min.</t>
        </is>
      </c>
      <c r="C72" s="202" t="n"/>
      <c r="D72" s="202" t="n">
        <v>40760597.9</v>
      </c>
      <c r="E72" s="202" t="n">
        <v>40760597.9</v>
      </c>
      <c r="F72" s="202" t="n">
        <v>40760597.9</v>
      </c>
      <c r="G72" s="202" t="n">
        <v>40760597.9</v>
      </c>
      <c r="H72" s="203" t="n">
        <v>40760597.9</v>
      </c>
    </row>
    <row r="73" ht="13.2" customHeight="1" s="177">
      <c r="A73" s="216" t="inlineStr">
        <is>
          <t>Domestic Outbound Calls - Long Distance</t>
        </is>
      </c>
      <c r="B73" s="231" t="inlineStr">
        <is>
          <t>Min.</t>
        </is>
      </c>
      <c r="C73" s="202" t="n"/>
      <c r="D73" s="202" t="n">
        <v>0</v>
      </c>
      <c r="E73" s="202" t="n">
        <v>0</v>
      </c>
      <c r="F73" s="202" t="n">
        <v>0</v>
      </c>
      <c r="G73" s="202" t="n">
        <v>0</v>
      </c>
      <c r="H73" s="203" t="n">
        <v>0</v>
      </c>
    </row>
    <row r="74" ht="13.2" customHeight="1" s="177">
      <c r="A74" s="216" t="inlineStr">
        <is>
          <t>Domestic Outbound Calls - Cellular</t>
        </is>
      </c>
      <c r="B74" s="231" t="inlineStr">
        <is>
          <t>Min.</t>
        </is>
      </c>
      <c r="C74" s="202" t="n"/>
      <c r="D74" s="202" t="n">
        <v>6743343</v>
      </c>
      <c r="E74" s="202" t="n">
        <v>6743343</v>
      </c>
      <c r="F74" s="202" t="n">
        <v>6743343</v>
      </c>
      <c r="G74" s="202" t="n">
        <v>6743343</v>
      </c>
      <c r="H74" s="203" t="n">
        <v>6743343</v>
      </c>
    </row>
    <row r="75" ht="13.2" customHeight="1" s="177">
      <c r="A75" s="216" t="inlineStr">
        <is>
          <t>International Outbound Calls</t>
        </is>
      </c>
      <c r="B75" s="231" t="inlineStr">
        <is>
          <t>Min.</t>
        </is>
      </c>
      <c r="C75" s="202" t="n"/>
      <c r="D75" s="202" t="n">
        <v>2805827</v>
      </c>
      <c r="E75" s="202" t="n">
        <v>2805827</v>
      </c>
      <c r="F75" s="202" t="n">
        <v>2805827</v>
      </c>
      <c r="G75" s="202" t="n">
        <v>2805827</v>
      </c>
      <c r="H75" s="203" t="n">
        <v>2805827</v>
      </c>
    </row>
    <row r="76" ht="13.2" customHeight="1" s="177">
      <c r="A76" s="216" t="inlineStr">
        <is>
          <t>Mobile - national</t>
        </is>
      </c>
      <c r="B76" s="231" t="inlineStr">
        <is>
          <t>Min</t>
        </is>
      </c>
      <c r="C76" s="202" t="n"/>
      <c r="D76" s="202" t="n">
        <v>10349568</v>
      </c>
      <c r="E76" s="202" t="n">
        <v>10349568</v>
      </c>
      <c r="F76" s="202" t="n">
        <v>10349568</v>
      </c>
      <c r="G76" s="202" t="n">
        <v>10349568</v>
      </c>
      <c r="H76" s="203" t="n">
        <v>10349568</v>
      </c>
    </row>
    <row r="77" ht="13.2" customHeight="1" s="177">
      <c r="A77" s="216" t="inlineStr">
        <is>
          <t>Mobile - international</t>
        </is>
      </c>
      <c r="B77" s="231" t="inlineStr">
        <is>
          <t>Min</t>
        </is>
      </c>
      <c r="C77" s="202" t="n"/>
      <c r="D77" s="202" t="n">
        <v>133704</v>
      </c>
      <c r="E77" s="202" t="n">
        <v>133704</v>
      </c>
      <c r="F77" s="202" t="n">
        <v>133704</v>
      </c>
      <c r="G77" s="202" t="n">
        <v>133704</v>
      </c>
      <c r="H77" s="203" t="n">
        <v>133704</v>
      </c>
    </row>
    <row r="78" ht="13.2" customHeight="1" s="177">
      <c r="A78" s="216" t="inlineStr">
        <is>
          <t>Mobile - roaming outbound</t>
        </is>
      </c>
      <c r="B78" s="231" t="inlineStr">
        <is>
          <t>Min</t>
        </is>
      </c>
      <c r="C78" s="202" t="n"/>
      <c r="D78" s="202" t="n">
        <v>216732</v>
      </c>
      <c r="E78" s="202" t="n">
        <v>216732</v>
      </c>
      <c r="F78" s="202" t="n">
        <v>216732</v>
      </c>
      <c r="G78" s="202" t="n">
        <v>216732</v>
      </c>
      <c r="H78" s="203" t="n">
        <v>216732</v>
      </c>
    </row>
    <row r="79" ht="13.2" customHeight="1" s="177">
      <c r="A79" s="216" t="inlineStr">
        <is>
          <t>Mobile - roaming inbound</t>
        </is>
      </c>
      <c r="B79" s="231" t="inlineStr">
        <is>
          <t>Min</t>
        </is>
      </c>
      <c r="C79" s="202" t="n"/>
      <c r="D79" s="202" t="n">
        <v>188868</v>
      </c>
      <c r="E79" s="202" t="n">
        <v>188868</v>
      </c>
      <c r="F79" s="202" t="n">
        <v>188868</v>
      </c>
      <c r="G79" s="202" t="n">
        <v>188868</v>
      </c>
      <c r="H79" s="203" t="n">
        <v>188868</v>
      </c>
    </row>
    <row r="80" ht="13.2" customHeight="1" s="177">
      <c r="A80" s="216" t="inlineStr">
        <is>
          <t>Free phone Service Calls</t>
        </is>
      </c>
      <c r="B80" s="231" t="inlineStr">
        <is>
          <t>Calls</t>
        </is>
      </c>
      <c r="C80" s="202" t="n"/>
      <c r="D80" s="202" t="n">
        <v>0</v>
      </c>
      <c r="E80" s="202" t="n">
        <v>0</v>
      </c>
      <c r="F80" s="202" t="n">
        <v>0</v>
      </c>
      <c r="G80" s="202" t="n">
        <v>0</v>
      </c>
      <c r="H80" s="203" t="n">
        <v>0</v>
      </c>
    </row>
    <row r="81" ht="13.2" customHeight="1" s="177">
      <c r="A81" s="216" t="inlineStr">
        <is>
          <t>Free phone Services Dedicated</t>
        </is>
      </c>
      <c r="B81" s="231" t="inlineStr">
        <is>
          <t>Min.</t>
        </is>
      </c>
      <c r="C81" s="202" t="n"/>
      <c r="D81" s="202" t="n">
        <v>0</v>
      </c>
      <c r="E81" s="202" t="n">
        <v>0</v>
      </c>
      <c r="F81" s="202" t="n">
        <v>0</v>
      </c>
      <c r="G81" s="202" t="n">
        <v>0</v>
      </c>
      <c r="H81" s="203" t="n">
        <v>0</v>
      </c>
    </row>
    <row r="82" ht="13.2" customHeight="1" s="177">
      <c r="A82" s="243" t="inlineStr">
        <is>
          <t>High Tariff Outbound Calls (0900)</t>
        </is>
      </c>
      <c r="B82" s="231" t="inlineStr">
        <is>
          <t>Min.</t>
        </is>
      </c>
      <c r="C82" s="202" t="n"/>
      <c r="D82" s="202" t="n">
        <v>74121</v>
      </c>
      <c r="E82" s="202" t="n">
        <v>74121</v>
      </c>
      <c r="F82" s="202" t="n">
        <v>74121</v>
      </c>
      <c r="G82" s="202" t="n">
        <v>74121</v>
      </c>
      <c r="H82" s="203" t="n">
        <v>74121</v>
      </c>
    </row>
    <row r="83" ht="13.2" customHeight="1" s="177">
      <c r="A83" s="243" t="inlineStr">
        <is>
          <t>High Tariff Outbound Calls (0676 internet)</t>
        </is>
      </c>
      <c r="B83" s="231" t="inlineStr">
        <is>
          <t>Min.</t>
        </is>
      </c>
      <c r="C83" s="202" t="n"/>
      <c r="D83" s="202" t="n">
        <v>2716419</v>
      </c>
      <c r="E83" s="202" t="n">
        <v>2716419</v>
      </c>
      <c r="F83" s="202" t="n">
        <v>2716419</v>
      </c>
      <c r="G83" s="202" t="n">
        <v>2716419</v>
      </c>
      <c r="H83" s="203" t="n">
        <v>2716419</v>
      </c>
    </row>
    <row r="84" ht="13.2" customHeight="1" s="177">
      <c r="A84" s="243" t="inlineStr">
        <is>
          <t>High Tariff Outbound Calls  Other</t>
        </is>
      </c>
      <c r="B84" s="231" t="inlineStr">
        <is>
          <t>Min.</t>
        </is>
      </c>
      <c r="C84" s="202" t="n"/>
      <c r="D84" s="202" t="n">
        <v>0</v>
      </c>
      <c r="E84" s="202" t="n">
        <v>0</v>
      </c>
      <c r="F84" s="202" t="n">
        <v>0</v>
      </c>
      <c r="G84" s="202" t="n">
        <v>0</v>
      </c>
      <c r="H84" s="203" t="n">
        <v>0</v>
      </c>
    </row>
    <row r="85" ht="13.2" customHeight="1" s="177">
      <c r="A85" s="216" t="inlineStr">
        <is>
          <t>Voice - Directory Assistance Calls</t>
        </is>
      </c>
      <c r="B85" s="231" t="inlineStr">
        <is>
          <t>Calls</t>
        </is>
      </c>
      <c r="C85" s="202" t="n"/>
      <c r="D85" s="202" t="n">
        <v>30000</v>
      </c>
      <c r="E85" s="202" t="n">
        <v>30000</v>
      </c>
      <c r="F85" s="202" t="n">
        <v>30000</v>
      </c>
      <c r="G85" s="202" t="n">
        <v>30000</v>
      </c>
      <c r="H85" s="203" t="n">
        <v>30000</v>
      </c>
    </row>
    <row r="86" ht="13.2" customHeight="1" s="177">
      <c r="A86" s="216" t="inlineStr">
        <is>
          <t>Voice - Hard IMACS</t>
        </is>
      </c>
      <c r="B86" s="231" t="inlineStr">
        <is>
          <t>per IMAC</t>
        </is>
      </c>
      <c r="C86" s="202" t="n"/>
      <c r="D86" s="202" t="n">
        <v>4160</v>
      </c>
      <c r="E86" s="202" t="n">
        <v>4160</v>
      </c>
      <c r="F86" s="202" t="n">
        <v>4160</v>
      </c>
      <c r="G86" s="202" t="n">
        <v>4160</v>
      </c>
      <c r="H86" s="203" t="n">
        <v>4160</v>
      </c>
    </row>
    <row r="87" ht="13.2" customHeight="1" s="177">
      <c r="A87" s="216" t="n"/>
      <c r="B87" s="202" t="n"/>
      <c r="C87" s="202" t="n"/>
      <c r="D87" s="202" t="n"/>
      <c r="E87" s="202" t="n"/>
      <c r="F87" s="202" t="n"/>
      <c r="G87" s="202" t="n"/>
      <c r="H87" s="203" t="n"/>
    </row>
    <row r="88" ht="13.2" customHeight="1" s="177">
      <c r="A88" s="236" t="inlineStr">
        <is>
          <t>Subscriptions</t>
        </is>
      </c>
      <c r="B88" s="237" t="n"/>
      <c r="C88" s="304" t="n"/>
      <c r="D88" s="304" t="n"/>
      <c r="E88" s="304" t="n"/>
      <c r="F88" s="304" t="n"/>
      <c r="G88" s="304" t="n"/>
      <c r="H88" s="305" t="n"/>
    </row>
    <row r="89" ht="13.2" customHeight="1" s="177">
      <c r="A89" s="244" t="inlineStr">
        <is>
          <t>ISDN 1</t>
        </is>
      </c>
      <c r="B89" s="202" t="n"/>
      <c r="C89" s="312" t="n"/>
      <c r="D89" s="312" t="n">
        <v>0</v>
      </c>
      <c r="E89" s="312" t="n">
        <v>0</v>
      </c>
      <c r="F89" s="312" t="n">
        <v>0</v>
      </c>
      <c r="G89" s="312" t="n">
        <v>0</v>
      </c>
      <c r="H89" s="313" t="n">
        <v>0</v>
      </c>
    </row>
    <row r="90" ht="13.2" customHeight="1" s="177">
      <c r="A90" s="244" t="inlineStr">
        <is>
          <t>ISDN 2</t>
        </is>
      </c>
      <c r="B90" s="202" t="n"/>
      <c r="C90" s="312" t="n"/>
      <c r="D90" s="312" t="n">
        <v>2323</v>
      </c>
      <c r="E90" s="312" t="n">
        <v>2105</v>
      </c>
      <c r="F90" s="312" t="n">
        <v>2105</v>
      </c>
      <c r="G90" s="312" t="n">
        <v>2105</v>
      </c>
      <c r="H90" s="313" t="n">
        <v>2105</v>
      </c>
    </row>
    <row r="91" ht="13.2" customHeight="1" s="177">
      <c r="A91" s="244" t="inlineStr">
        <is>
          <t>ISDN 15</t>
        </is>
      </c>
      <c r="B91" s="202" t="n"/>
      <c r="C91" s="312" t="n"/>
      <c r="D91" s="312" t="n">
        <v>0</v>
      </c>
      <c r="E91" s="312" t="n">
        <v>0</v>
      </c>
      <c r="F91" s="312" t="n">
        <v>0</v>
      </c>
      <c r="G91" s="312" t="n">
        <v>0</v>
      </c>
      <c r="H91" s="313" t="n">
        <v>0</v>
      </c>
    </row>
    <row r="92" ht="13.2" customHeight="1" s="177">
      <c r="A92" s="244" t="inlineStr">
        <is>
          <t xml:space="preserve">ISDN 30  </t>
        </is>
      </c>
      <c r="B92" s="202" t="n"/>
      <c r="C92" s="312" t="n"/>
      <c r="D92" s="312" t="n">
        <v>134</v>
      </c>
      <c r="E92" s="312" t="n">
        <v>120</v>
      </c>
      <c r="F92" s="312" t="n">
        <v>120</v>
      </c>
      <c r="G92" s="312" t="n">
        <v>120</v>
      </c>
      <c r="H92" s="313" t="n">
        <v>120</v>
      </c>
    </row>
    <row r="93" ht="13.2" customHeight="1" s="177">
      <c r="A93" s="244" t="inlineStr">
        <is>
          <t>ISDN 30 (CPA)</t>
        </is>
      </c>
      <c r="B93" s="202" t="n"/>
      <c r="C93" s="312" t="n"/>
      <c r="D93" s="312" t="n">
        <v>0</v>
      </c>
      <c r="E93" s="312" t="n">
        <v>0</v>
      </c>
      <c r="F93" s="312" t="n">
        <v>0</v>
      </c>
      <c r="G93" s="312" t="n">
        <v>0</v>
      </c>
      <c r="H93" s="313" t="n">
        <v>0</v>
      </c>
    </row>
    <row r="94" ht="13.2" customHeight="1" s="177">
      <c r="A94" s="244" t="inlineStr">
        <is>
          <t>Dual homing telephony</t>
        </is>
      </c>
      <c r="B94" s="202" t="n"/>
      <c r="C94" s="312" t="n"/>
      <c r="D94" s="312" t="n">
        <v>0</v>
      </c>
      <c r="E94" s="312" t="n">
        <v>0</v>
      </c>
      <c r="F94" s="312" t="n">
        <v>0</v>
      </c>
      <c r="G94" s="312" t="n">
        <v>0</v>
      </c>
      <c r="H94" s="313" t="n">
        <v>0</v>
      </c>
    </row>
    <row r="95" ht="13.2" customHeight="1" s="177">
      <c r="A95" s="244" t="inlineStr">
        <is>
          <t>DDI reserved numbers (10)</t>
        </is>
      </c>
      <c r="B95" s="202" t="n"/>
      <c r="C95" s="312" t="n"/>
      <c r="D95" s="312" t="n">
        <v>868</v>
      </c>
      <c r="E95" s="312" t="n">
        <v>817</v>
      </c>
      <c r="F95" s="312" t="n">
        <v>817</v>
      </c>
      <c r="G95" s="312" t="n">
        <v>817</v>
      </c>
      <c r="H95" s="313" t="n">
        <v>817</v>
      </c>
    </row>
    <row r="96" ht="13.2" customHeight="1" s="177">
      <c r="A96" s="244" t="inlineStr">
        <is>
          <t>DDI reserved numbers (100)</t>
        </is>
      </c>
      <c r="B96" s="202" t="n"/>
      <c r="C96" s="312" t="n"/>
      <c r="D96" s="312" t="n">
        <v>99</v>
      </c>
      <c r="E96" s="312" t="n">
        <v>95</v>
      </c>
      <c r="F96" s="312" t="n">
        <v>95</v>
      </c>
      <c r="G96" s="312" t="n">
        <v>95</v>
      </c>
      <c r="H96" s="313" t="n">
        <v>95</v>
      </c>
    </row>
    <row r="97" ht="13.2" customHeight="1" s="177">
      <c r="A97" s="244" t="inlineStr">
        <is>
          <t>DDI reserved numbers (1000)</t>
        </is>
      </c>
      <c r="B97" s="202" t="n"/>
      <c r="C97" s="312" t="n"/>
      <c r="D97" s="312" t="n">
        <v>18</v>
      </c>
      <c r="E97" s="312" t="n">
        <v>17</v>
      </c>
      <c r="F97" s="312" t="n">
        <v>17</v>
      </c>
      <c r="G97" s="312" t="n">
        <v>17</v>
      </c>
      <c r="H97" s="313" t="n">
        <v>17</v>
      </c>
    </row>
    <row r="98" ht="13.2" customHeight="1" s="177">
      <c r="A98" s="244" t="inlineStr">
        <is>
          <t>DDI reserved numbers (10000)</t>
        </is>
      </c>
      <c r="B98" s="202" t="n"/>
      <c r="C98" s="312" t="n"/>
      <c r="D98" s="312" t="n">
        <v>0</v>
      </c>
      <c r="E98" s="312" t="n">
        <v>0</v>
      </c>
      <c r="F98" s="312" t="n">
        <v>0</v>
      </c>
      <c r="G98" s="312" t="n">
        <v>0</v>
      </c>
      <c r="H98" s="313" t="n">
        <v>0</v>
      </c>
    </row>
    <row r="99" ht="13.2" customHeight="1" s="177">
      <c r="A99" s="244" t="inlineStr">
        <is>
          <t>DDI facilities</t>
        </is>
      </c>
      <c r="B99" s="202" t="n"/>
      <c r="C99" s="312" t="n"/>
      <c r="D99" s="312" t="n">
        <v>1646</v>
      </c>
      <c r="E99" s="312" t="n">
        <v>1646</v>
      </c>
      <c r="F99" s="312" t="n">
        <v>1646</v>
      </c>
      <c r="G99" s="312" t="n">
        <v>1646</v>
      </c>
      <c r="H99" s="313" t="n">
        <v>1646</v>
      </c>
    </row>
    <row r="100" ht="13.2" customHeight="1" s="177">
      <c r="A100" s="244" t="inlineStr">
        <is>
          <t>Calamity services</t>
        </is>
      </c>
      <c r="B100" s="202" t="n"/>
      <c r="C100" s="312" t="n"/>
      <c r="D100" s="312" t="n">
        <v>0</v>
      </c>
      <c r="E100" s="312" t="n">
        <v>0</v>
      </c>
      <c r="F100" s="312" t="n">
        <v>0</v>
      </c>
      <c r="G100" s="312" t="n">
        <v>0</v>
      </c>
      <c r="H100" s="313" t="n">
        <v>0</v>
      </c>
    </row>
    <row r="101" ht="13.2" customHeight="1" s="177">
      <c r="A101" s="244" t="inlineStr">
        <is>
          <t>Infrastructure services</t>
        </is>
      </c>
      <c r="B101" s="202" t="n"/>
      <c r="C101" s="312" t="n"/>
      <c r="D101" s="312" t="n">
        <v>0</v>
      </c>
      <c r="E101" s="312" t="n">
        <v>0</v>
      </c>
      <c r="F101" s="312" t="n">
        <v>0</v>
      </c>
      <c r="G101" s="312" t="n">
        <v>0</v>
      </c>
      <c r="H101" s="313" t="n">
        <v>0</v>
      </c>
    </row>
    <row r="102" ht="13.2" customHeight="1" s="177">
      <c r="A102" s="244" t="inlineStr">
        <is>
          <t>ADSL</t>
        </is>
      </c>
      <c r="B102" s="202" t="n"/>
      <c r="C102" s="312" t="n"/>
      <c r="D102" s="312" t="n">
        <v>0</v>
      </c>
      <c r="E102" s="312" t="n">
        <v>0</v>
      </c>
      <c r="F102" s="312" t="n">
        <v>0</v>
      </c>
      <c r="G102" s="312" t="n">
        <v>0</v>
      </c>
      <c r="H102" s="313" t="n">
        <v>0</v>
      </c>
    </row>
    <row r="103" ht="13.2" customHeight="1" s="177">
      <c r="A103" s="244" t="inlineStr">
        <is>
          <t>PSTN</t>
        </is>
      </c>
      <c r="B103" s="202" t="n"/>
      <c r="C103" s="312" t="n"/>
      <c r="D103" s="312" t="n">
        <v>1062</v>
      </c>
      <c r="E103" s="312" t="n">
        <v>857</v>
      </c>
      <c r="F103" s="312" t="n">
        <v>857</v>
      </c>
      <c r="G103" s="312" t="n">
        <v>857</v>
      </c>
      <c r="H103" s="313" t="n">
        <v>857</v>
      </c>
    </row>
    <row r="104" ht="13.2" customHeight="1" s="177">
      <c r="A104" s="244" t="inlineStr">
        <is>
          <t>Telex</t>
        </is>
      </c>
      <c r="B104" s="202" t="n"/>
      <c r="C104" s="312" t="n"/>
      <c r="D104" s="312" t="n">
        <v>0</v>
      </c>
      <c r="E104" s="312" t="n">
        <v>0</v>
      </c>
      <c r="F104" s="312" t="n">
        <v>0</v>
      </c>
      <c r="G104" s="312" t="n">
        <v>0</v>
      </c>
      <c r="H104" s="313" t="n">
        <v>0</v>
      </c>
    </row>
    <row r="105" ht="13.8" customHeight="1" s="177">
      <c r="A105" s="216" t="n"/>
      <c r="B105" s="245" t="n"/>
      <c r="C105" s="245" t="n"/>
      <c r="D105" s="245" t="n"/>
      <c r="E105" s="245" t="n"/>
      <c r="F105" s="245" t="n"/>
      <c r="G105" s="245" t="n"/>
      <c r="H105" s="246" t="n"/>
    </row>
    <row r="106" ht="13.8" customHeight="1" s="177">
      <c r="A106" s="190" t="inlineStr">
        <is>
          <t>Server Management</t>
        </is>
      </c>
      <c r="B106" s="191" t="n"/>
      <c r="C106" s="191" t="n"/>
      <c r="D106" s="191" t="n"/>
      <c r="E106" s="191" t="n"/>
      <c r="F106" s="191" t="n"/>
      <c r="G106" s="191" t="n"/>
      <c r="H106" s="192" t="n"/>
    </row>
    <row r="107" ht="13.2" customHeight="1" s="177">
      <c r="A107" s="249" t="inlineStr">
        <is>
          <t>Support Services</t>
        </is>
      </c>
      <c r="B107" s="314" t="n"/>
      <c r="C107" s="238" t="n"/>
      <c r="D107" s="238" t="n"/>
      <c r="E107" s="238" t="n"/>
      <c r="F107" s="238" t="n"/>
      <c r="G107" s="238" t="n"/>
      <c r="H107" s="239" t="n"/>
    </row>
    <row r="108" ht="13.2" customHeight="1" s="177">
      <c r="A108" s="250" t="n"/>
      <c r="B108" s="325" t="n"/>
      <c r="C108" s="208" t="n"/>
      <c r="D108" s="208" t="n"/>
      <c r="E108" s="208" t="n"/>
      <c r="F108" s="208" t="n"/>
      <c r="G108" s="208" t="n"/>
      <c r="H108" s="209" t="n"/>
    </row>
    <row r="109" ht="13.2" customHeight="1" s="177">
      <c r="A109" s="201" t="inlineStr">
        <is>
          <t>Number of Servers</t>
        </is>
      </c>
      <c r="B109" s="263" t="n"/>
      <c r="C109" s="264" t="n"/>
      <c r="D109" s="264" t="n">
        <v>1446</v>
      </c>
      <c r="E109" s="264" t="n">
        <v>1446</v>
      </c>
      <c r="F109" s="264" t="n">
        <v>1446</v>
      </c>
      <c r="G109" s="264" t="n">
        <v>1446</v>
      </c>
      <c r="H109" s="265" t="n">
        <v>1446</v>
      </c>
    </row>
    <row r="110" ht="13.2" customHeight="1" s="177">
      <c r="A110" s="201" t="inlineStr">
        <is>
          <t>Number of Production Servers</t>
        </is>
      </c>
      <c r="B110" s="263" t="n"/>
      <c r="C110" s="264" t="n"/>
      <c r="D110" s="264" t="n"/>
      <c r="E110" s="264" t="n"/>
      <c r="F110" s="264" t="n"/>
      <c r="G110" s="264" t="n"/>
      <c r="H110" s="265" t="n"/>
    </row>
    <row r="111" ht="13.2" customHeight="1" s="177">
      <c r="A111" s="201" t="inlineStr">
        <is>
          <t>Number of High Availability Servers</t>
        </is>
      </c>
      <c r="B111" s="263" t="n"/>
      <c r="C111" s="264" t="n"/>
      <c r="D111" s="264" t="n"/>
      <c r="E111" s="264" t="n"/>
      <c r="F111" s="264" t="n"/>
      <c r="G111" s="264" t="n"/>
      <c r="H111" s="265" t="n"/>
    </row>
    <row r="112" ht="13.2" customHeight="1" s="177">
      <c r="A112" s="201" t="inlineStr">
        <is>
          <t>Number of Centralised Servers</t>
        </is>
      </c>
      <c r="B112" s="263" t="n"/>
      <c r="C112" s="264" t="n"/>
      <c r="D112" s="264" t="n"/>
      <c r="E112" s="264" t="n"/>
      <c r="F112" s="264" t="n"/>
      <c r="G112" s="264" t="n"/>
      <c r="H112" s="265" t="n"/>
    </row>
    <row r="113" ht="13.2" customHeight="1" s="177">
      <c r="A113" s="201" t="inlineStr">
        <is>
          <t>Number of Decentralized Servers</t>
        </is>
      </c>
      <c r="B113" s="263" t="n"/>
      <c r="C113" s="264" t="n"/>
      <c r="D113" s="264" t="n"/>
      <c r="E113" s="264" t="n"/>
      <c r="F113" s="264" t="n"/>
      <c r="G113" s="264" t="n"/>
      <c r="H113" s="265" t="n"/>
    </row>
    <row r="114" ht="13.2" customHeight="1" s="177">
      <c r="A114" s="201" t="inlineStr">
        <is>
          <t>Number of Pedestal Servers</t>
        </is>
      </c>
      <c r="B114" s="263" t="n"/>
      <c r="C114" s="264" t="n"/>
      <c r="D114" s="264" t="n"/>
      <c r="E114" s="264" t="n"/>
      <c r="F114" s="264" t="n"/>
      <c r="G114" s="264" t="n"/>
      <c r="H114" s="265" t="n"/>
    </row>
    <row r="115" ht="13.2" customHeight="1" s="177">
      <c r="A115" s="201" t="inlineStr">
        <is>
          <t>Number of Rack Servers</t>
        </is>
      </c>
      <c r="B115" s="263" t="n"/>
      <c r="C115" s="264" t="n"/>
      <c r="D115" s="264" t="n"/>
      <c r="E115" s="264" t="n"/>
      <c r="F115" s="264" t="n"/>
      <c r="G115" s="264" t="n"/>
      <c r="H115" s="265" t="n"/>
    </row>
    <row r="116" ht="13.2" customHeight="1" s="177">
      <c r="A116" s="201" t="inlineStr">
        <is>
          <t>Number of Blade Servers</t>
        </is>
      </c>
      <c r="B116" s="263" t="n"/>
      <c r="C116" s="264" t="n"/>
      <c r="D116" s="264" t="n"/>
      <c r="E116" s="264" t="n"/>
      <c r="F116" s="264" t="n"/>
      <c r="G116" s="264" t="n"/>
      <c r="H116" s="265" t="n"/>
    </row>
    <row r="117" ht="13.2" customHeight="1" s="177">
      <c r="A117" s="201" t="n"/>
      <c r="B117" s="263" t="n"/>
      <c r="C117" s="264" t="n"/>
      <c r="D117" s="264" t="n"/>
      <c r="E117" s="264" t="n"/>
      <c r="F117" s="264" t="n"/>
      <c r="G117" s="264" t="n"/>
      <c r="H117" s="265" t="n"/>
    </row>
    <row r="118" ht="13.2" customHeight="1" s="177">
      <c r="A118" s="201" t="n"/>
      <c r="B118" s="263" t="n"/>
      <c r="C118" s="326" t="n"/>
      <c r="D118" s="326" t="n"/>
      <c r="E118" s="326" t="n"/>
      <c r="F118" s="326" t="n"/>
      <c r="G118" s="326" t="n"/>
      <c r="H118" s="327" t="n"/>
    </row>
    <row r="119" ht="13.2" customHeight="1" s="177">
      <c r="A119" s="201" t="inlineStr">
        <is>
          <t>Total DAS (TB)</t>
        </is>
      </c>
      <c r="B119" s="263" t="n"/>
      <c r="C119" s="264" t="n"/>
      <c r="D119" s="264" t="n">
        <v>51.5959539413452</v>
      </c>
      <c r="E119" s="264" t="n">
        <v>46.5959539413452</v>
      </c>
      <c r="F119" s="264" t="n">
        <v>46.5959539413452</v>
      </c>
      <c r="G119" s="264" t="n">
        <v>46.5959539413452</v>
      </c>
      <c r="H119" s="265" t="n">
        <v>46.5959539413452</v>
      </c>
    </row>
    <row r="120" ht="13.8" customHeight="1" s="177">
      <c r="A120" s="255" t="inlineStr">
        <is>
          <t>E-mail Accounts</t>
        </is>
      </c>
      <c r="B120" s="268" t="n"/>
      <c r="C120" s="270" t="n"/>
      <c r="D120" s="270" t="n">
        <v>25500</v>
      </c>
      <c r="E120" s="270" t="n">
        <v>25500</v>
      </c>
      <c r="F120" s="270" t="n">
        <v>25500</v>
      </c>
      <c r="G120" s="270" t="n">
        <v>25500</v>
      </c>
      <c r="H120" s="271" t="n">
        <v>25500</v>
      </c>
    </row>
    <row r="121"/>
    <row r="122"/>
    <row r="123" ht="13.2" customHeight="1" s="177">
      <c r="A123" s="277" t="n"/>
    </row>
  </sheetData>
  <mergeCells count="5">
    <mergeCell ref="A106:H106"/>
    <mergeCell ref="A38:H38"/>
    <mergeCell ref="A2:H2"/>
    <mergeCell ref="A54:H54"/>
    <mergeCell ref="A47:H47"/>
  </mergeCells>
  <printOptions horizontalCentered="1" verticalCentered="0" headings="0" gridLines="0" gridLinesSet="1"/>
  <pageMargins left="0.9840277777777779" right="0.9840277777777779" top="0.75" bottom="0.529861111111111" header="0.236111111111111" footer="0.236111111111111"/>
  <pageSetup orientation="landscape" paperSize="9" scale="100" fitToHeight="3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 4-D  &amp;A  &amp;P&amp;R&amp;"Times New Roman,Regular"&amp;8 &amp;Kffffff 5 Dec 2006</oddFooter>
    <evenHeader/>
    <evenFooter/>
    <firstHeader/>
    <firstFooter/>
  </headerFooter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2026-02-11T03:34:27Z</dcterms:modified>
  <cp:lastModifiedBy>Stuart Johnson</cp:lastModifiedBy>
  <cp:revision>0</cp:revision>
  <cp:lastPrinted>2006-12-12T15:35:14Z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1514881595</vt:r8>
  </property>
  <property name="_AuthorEmail" fmtid="{D5CDD505-2E9C-101B-9397-08002B2CF9AE}" pid="3">
    <vt:lpwstr xmlns:vt="http://schemas.openxmlformats.org/officeDocument/2006/docPropsVTypes">Hans.Overeem@mail.ing.nl</vt:lpwstr>
  </property>
  <property name="_AuthorEmailDisplayName" fmtid="{D5CDD505-2E9C-101B-9397-08002B2CF9AE}" pid="4">
    <vt:lpwstr xmlns:vt="http://schemas.openxmlformats.org/officeDocument/2006/docPropsVTypes">Overeem, J. (Hans)</vt:lpwstr>
  </property>
  <property name="_EmailSubject" fmtid="{D5CDD505-2E9C-101B-9397-08002B2CF9AE}" pid="5">
    <vt:lpwstr xmlns:vt="http://schemas.openxmlformats.org/officeDocument/2006/docPropsVTypes">Exhibit 4D version 1.6</vt:lpwstr>
  </property>
  <property name="_PreviousAdHocReviewCycleID" fmtid="{D5CDD505-2E9C-101B-9397-08002B2CF9AE}" pid="6">
    <vt:r8 xmlns:vt="http://schemas.openxmlformats.org/officeDocument/2006/docPropsVTypes">-868906015</vt:r8>
  </property>
  <property name="_ReviewingToolsShownOnce" fmtid="{D5CDD505-2E9C-101B-9397-08002B2CF9AE}" pid="7">
    <vt:lpwstr xmlns:vt="http://schemas.openxmlformats.org/officeDocument/2006/docPropsVTypes"/>
  </property>
</Properties>
</file>